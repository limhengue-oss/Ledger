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pivotCache/pivotCacheRecords1.xml" ContentType="application/vnd.openxmlformats-officedocument.spreadsheetml.pivotCacheRecords+xml"/>
  <Override PartName="/docProps/app.xml" ContentType="application/vnd.openxmlformats-officedocument.extended-properties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xl/pivotCache/pivotCacheDefinition1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pivotTables/pivotTable1.xml" ContentType="application/vnd.openxmlformats-officedocument.spreadsheetml.pivotTable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pivotCache/pivotCacheDefinition2.xml" ContentType="application/vnd.openxmlformats-officedocument.spreadsheetml.pivotCacheDefinition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/>
  <bookViews>
    <workbookView xWindow="360" yWindow="15" windowWidth="20955" windowHeight="9720" activeTab="1"/>
  </bookViews>
  <sheets>
    <sheet name="Sheet1" sheetId="1" state="visible" r:id="rId4"/>
    <sheet name="Sheet2" sheetId="2" state="visible" r:id="rId5"/>
    <sheet name="Transactions" sheetId="3" state="visible" r:id="rId6"/>
    <sheet name="Accounts" sheetId="4" state="visible" r:id="rId7"/>
    <sheet name="Categories" sheetId="5" state="visible" r:id="rId8"/>
    <sheet name="Budgets" sheetId="6" state="visible" r:id="rId9"/>
    <sheet name="Recurring" sheetId="7" state="visible" r:id="rId10"/>
    <sheet name="Debtors" sheetId="8" state="visible" r:id="rId11"/>
    <sheet name="DebtorTxs" sheetId="9" state="visible" r:id="rId12"/>
    <sheet name="Loans" sheetId="10" state="visible" r:id="rId13"/>
    <sheet name="AssetClasses" sheetId="11" state="visible" r:id="rId14"/>
    <sheet name="Assets" sheetId="12" state="visible" r:id="rId15"/>
    <sheet name="AssetReturns" sheetId="13" state="visible" r:id="rId16"/>
    <sheet name="DivPending" sheetId="14" state="visible" r:id="rId17"/>
  </sheets>
  <calcPr/>
  <pivotCaches>
    <pivotCache cacheId="0" r:id="rId1"/>
    <pivotCache cacheId="1" r:id="rId2"/>
  </pivotCaches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<sst xmlns="http://schemas.openxmlformats.org/spreadsheetml/2006/main" count="7414" uniqueCount="7414">
  <si>
    <t>to_account</t>
  </si>
  <si>
    <t xml:space="preserve">(Multiple Items)</t>
  </si>
  <si>
    <t xml:space="preserve">Row Labels</t>
  </si>
  <si>
    <t xml:space="preserve">Sum of amount</t>
  </si>
  <si>
    <t xml:space="preserve">Grand Total</t>
  </si>
  <si>
    <t>1AM-DAILY-RA</t>
  </si>
  <si>
    <t>B-VIETNAMSSF</t>
  </si>
  <si>
    <t>ES-CASH</t>
  </si>
  <si>
    <t>ES-SETESG-ThaiESG-D</t>
  </si>
  <si>
    <t>K-CHINA-SSF</t>
  </si>
  <si>
    <t>K-USA-SSF</t>
  </si>
  <si>
    <t>K-USARMF</t>
  </si>
  <si>
    <t>KFCASH-A</t>
  </si>
  <si>
    <t>KFGGRMF</t>
  </si>
  <si>
    <t>KFGGSSF</t>
  </si>
  <si>
    <t>KFGTECHRMF</t>
  </si>
  <si>
    <t>KFS100RMF</t>
  </si>
  <si>
    <t>KFS100SSF</t>
  </si>
  <si>
    <t>KFVIETSSF</t>
  </si>
  <si>
    <t xml:space="preserve">KKP EQ THAI ESG</t>
  </si>
  <si>
    <t xml:space="preserve">KKP GB THAI ESG</t>
  </si>
  <si>
    <t xml:space="preserve">KKP PGE-UH-SSF</t>
  </si>
  <si>
    <t>KT-INDIA-SSF</t>
  </si>
  <si>
    <t>KTSTPLUS-A</t>
  </si>
  <si>
    <t>MEGA10AIRMF</t>
  </si>
  <si>
    <t>MEGA10CHINARMF</t>
  </si>
  <si>
    <t>ONE-UGG-ASSF</t>
  </si>
  <si>
    <t xml:space="preserve">PRINCIPAL iPROPEN-SSF</t>
  </si>
  <si>
    <t>SCBSFF</t>
  </si>
  <si>
    <t>SCBTS100X(25A)</t>
  </si>
  <si>
    <t>UGIS-SSF</t>
  </si>
  <si>
    <t>UOBID</t>
  </si>
  <si>
    <t>2021-11-04</t>
  </si>
  <si>
    <t>2021-12-02</t>
  </si>
  <si>
    <t>2021-12-29</t>
  </si>
  <si>
    <t>2022-02-13</t>
  </si>
  <si>
    <t>x</t>
  </si>
  <si>
    <t>2022-12-28</t>
  </si>
  <si>
    <t>2023-03-08</t>
  </si>
  <si>
    <t>2023-07-05</t>
  </si>
  <si>
    <t>2023-07-11</t>
  </si>
  <si>
    <t>2023-10-05</t>
  </si>
  <si>
    <t>2023-10-25</t>
  </si>
  <si>
    <t>2023-11-28</t>
  </si>
  <si>
    <t>2023-12-18</t>
  </si>
  <si>
    <t>2024-01-04</t>
  </si>
  <si>
    <t>2024-03-17</t>
  </si>
  <si>
    <t>2024-06-17</t>
  </si>
  <si>
    <t>2024-06-25</t>
  </si>
  <si>
    <t>2024-06-26</t>
  </si>
  <si>
    <t>2024-07-26</t>
  </si>
  <si>
    <t>2024-08-23</t>
  </si>
  <si>
    <t>2024-08-26</t>
  </si>
  <si>
    <t>2024-08-27</t>
  </si>
  <si>
    <t>2024-09-26</t>
  </si>
  <si>
    <t>2024-10-26</t>
  </si>
  <si>
    <t>2024-11-26</t>
  </si>
  <si>
    <t>2024-12-02</t>
  </si>
  <si>
    <t>2024-12-24</t>
  </si>
  <si>
    <t>2025-02-27</t>
  </si>
  <si>
    <t>2025-03-04</t>
  </si>
  <si>
    <t>2025-03-09</t>
  </si>
  <si>
    <t>2025-06-26</t>
  </si>
  <si>
    <t>2025-09-12</t>
  </si>
  <si>
    <t>2025-11-03</t>
  </si>
  <si>
    <t>2026-01-29</t>
  </si>
  <si>
    <t>2026-05-05</t>
  </si>
  <si>
    <t>2026-07-05</t>
  </si>
  <si>
    <t>type</t>
  </si>
  <si>
    <t>expense</t>
  </si>
  <si>
    <t>account_map</t>
  </si>
  <si>
    <t xml:space="preserve">Column labels</t>
  </si>
  <si>
    <t>month</t>
  </si>
  <si>
    <t xml:space="preserve">App &amp; Game</t>
  </si>
  <si>
    <t>Boardgame</t>
  </si>
  <si>
    <t>Books</t>
  </si>
  <si>
    <t xml:space="preserve">City SV Interest</t>
  </si>
  <si>
    <t>Condo</t>
  </si>
  <si>
    <t xml:space="preserve">Condo stuff</t>
  </si>
  <si>
    <t xml:space="preserve">Condo suppliers</t>
  </si>
  <si>
    <t xml:space="preserve">Family paid</t>
  </si>
  <si>
    <t>Fashion</t>
  </si>
  <si>
    <t>Finance</t>
  </si>
  <si>
    <t xml:space="preserve">Food &amp; Coff</t>
  </si>
  <si>
    <t>Fuel</t>
  </si>
  <si>
    <t>Gashapon</t>
  </si>
  <si>
    <t xml:space="preserve">Home Chomthong Interest</t>
  </si>
  <si>
    <t>Hong</t>
  </si>
  <si>
    <t xml:space="preserve">Initial Home loan</t>
  </si>
  <si>
    <t>Insurance</t>
  </si>
  <si>
    <t xml:space="preserve">Intial city</t>
  </si>
  <si>
    <t>Laundry</t>
  </si>
  <si>
    <t>Manga</t>
  </si>
  <si>
    <t xml:space="preserve">Merit and gift</t>
  </si>
  <si>
    <t xml:space="preserve">Modified Bal.</t>
  </si>
  <si>
    <t xml:space="preserve">Monthly subscription</t>
  </si>
  <si>
    <t xml:space="preserve">Nintendo Switch</t>
  </si>
  <si>
    <t xml:space="preserve">Office Suit</t>
  </si>
  <si>
    <t>Other</t>
  </si>
  <si>
    <t>Tax</t>
  </si>
  <si>
    <t xml:space="preserve">Team BOT</t>
  </si>
  <si>
    <t>Trips</t>
  </si>
  <si>
    <t>utility</t>
  </si>
  <si>
    <t>id</t>
  </si>
  <si>
    <t>date</t>
  </si>
  <si>
    <t>year</t>
  </si>
  <si>
    <t>day</t>
  </si>
  <si>
    <t>time</t>
  </si>
  <si>
    <t>amount</t>
  </si>
  <si>
    <t>category</t>
  </si>
  <si>
    <t>category_map</t>
  </si>
  <si>
    <t>account</t>
  </si>
  <si>
    <t>to_account_map</t>
  </si>
  <si>
    <t>description</t>
  </si>
  <si>
    <t>tags</t>
  </si>
  <si>
    <t>source</t>
  </si>
  <si>
    <t>note</t>
  </si>
  <si>
    <t>recurring</t>
  </si>
  <si>
    <t>loanPaydownId</t>
  </si>
  <si>
    <t>656736fb-a4cc-4b3c-a5df-c1769a7d2f92</t>
  </si>
  <si>
    <t>2026-06-02</t>
  </si>
  <si>
    <t>00:00</t>
  </si>
  <si>
    <t>other_1781955063348_27zj</t>
  </si>
  <si>
    <t>kbank</t>
  </si>
  <si>
    <t/>
  </si>
  <si>
    <t>-</t>
  </si>
  <si>
    <t>import</t>
  </si>
  <si>
    <t>d388c81f-20af-4afa-9b0e-c87900888aa7</t>
  </si>
  <si>
    <t>transfer</t>
  </si>
  <si>
    <t>อื่นๆ</t>
  </si>
  <si>
    <t>rc_acc_1781955063347_kjxt</t>
  </si>
  <si>
    <t>advance</t>
  </si>
  <si>
    <t>9c221fa6-b353-42e2-a21e-9c21fb714676</t>
  </si>
  <si>
    <t>2026-06-01</t>
  </si>
  <si>
    <t>rc_cat_1781955063347_anhy_1781955063350_fcpb</t>
  </si>
  <si>
    <t>d994cf74-4956-4882-9a36-52c12f675e8f</t>
  </si>
  <si>
    <t>other</t>
  </si>
  <si>
    <t>rc_acc_1781955063357_rvam</t>
  </si>
  <si>
    <t>5a8cdebc-95d1-4c36-8903-8e7d599a921d</t>
  </si>
  <si>
    <t>rc_cat_1781955063347_04qb_1781955063347_wt5p</t>
  </si>
  <si>
    <t>ddcb7cdc-fa12-45ac-a029-fa25a6e2361c</t>
  </si>
  <si>
    <t>entertain_1781955063348_kx2f</t>
  </si>
  <si>
    <t xml:space="preserve">ss26ultra 03/10</t>
  </si>
  <si>
    <t>20dc8885-1beb-4397-bf2c-96843349dfc9</t>
  </si>
  <si>
    <t>rc_cat_1781955063347_anhy_1781955063347_qnaz</t>
  </si>
  <si>
    <t>b3f8c1ef-16d0-4a0f-adc4-e6135b16c6af</t>
  </si>
  <si>
    <t>2026-05-31</t>
  </si>
  <si>
    <t>14:51</t>
  </si>
  <si>
    <t>f6a45dd4-3e99-40b1-bfc8-04920b126cc2</t>
  </si>
  <si>
    <t>14:54</t>
  </si>
  <si>
    <t>rc_cat_1781955063347_5qjb_1781955063347_tezk</t>
  </si>
  <si>
    <t>ae2677b6-002d-48ce-8b16-6b6f8aa63d20</t>
  </si>
  <si>
    <t>rc_cat_1781955063347_s4sz_1781955063347_deos</t>
  </si>
  <si>
    <t>b19b6491-d25e-4cf0-bfd3-0978c11f7dc5</t>
  </si>
  <si>
    <t>14:55</t>
  </si>
  <si>
    <t>entertain_1781955063359_cf7f</t>
  </si>
  <si>
    <t>16afbb20-5352-41d3-9652-449a24dffa81</t>
  </si>
  <si>
    <t>entertain_1781955063347_8r8e</t>
  </si>
  <si>
    <t>3c9192d1-54c1-40de-b59d-a2f6c37125eb</t>
  </si>
  <si>
    <t>14:56</t>
  </si>
  <si>
    <t>rc_cat_1781955063347_s4sz_1781955063347_9tpp</t>
  </si>
  <si>
    <t>f2cc5004-9ce4-4290-88d8-198fe972fe0b</t>
  </si>
  <si>
    <t>5de22862-3e94-4dbf-8036-178b2dc863bc</t>
  </si>
  <si>
    <t>15:20</t>
  </si>
  <si>
    <t xml:space="preserve">คืน kiwamiya</t>
  </si>
  <si>
    <t>048f23f8-4d8e-41a8-a1e8-244e57216091</t>
  </si>
  <si>
    <t>15:23</t>
  </si>
  <si>
    <t>phone</t>
  </si>
  <si>
    <t>a2f98d38-f517-43e4-af53-02672834877e</t>
  </si>
  <si>
    <t>entertain_1781955063352_1jgx</t>
  </si>
  <si>
    <t>daf52cb3-6b69-47ae-b5ab-4aa12d182530</t>
  </si>
  <si>
    <t>15:24</t>
  </si>
  <si>
    <t>cellphone</t>
  </si>
  <si>
    <t>c5112d40-af64-4775-8a7e-ec22928c8fcc</t>
  </si>
  <si>
    <t>1177d4d7-71ce-4d3d-b66d-6d52c19353ea</t>
  </si>
  <si>
    <t>15:26</t>
  </si>
  <si>
    <t>612a5adf-c0f5-439d-abc9-d483359fa7c7</t>
  </si>
  <si>
    <t>15:57</t>
  </si>
  <si>
    <t>rc_acc_1781955063347_uxz4</t>
  </si>
  <si>
    <t>d983d28c-19e7-4a2c-be96-300af78cece5</t>
  </si>
  <si>
    <t>17:14</t>
  </si>
  <si>
    <t xml:space="preserve">คืนยอด toyoko 18030</t>
  </si>
  <si>
    <t>e58db440-6cc7-4083-9e34-10cfa59e8d80</t>
  </si>
  <si>
    <t>18:46</t>
  </si>
  <si>
    <t>2c5e0494-002c-43ed-ba38-be29488a0442</t>
  </si>
  <si>
    <t>19:49</t>
  </si>
  <si>
    <t xml:space="preserve">joshin gunpla</t>
  </si>
  <si>
    <t>4b662376-35c2-41fd-a93a-582577599447</t>
  </si>
  <si>
    <t>2026-05-27</t>
  </si>
  <si>
    <t>12:29</t>
  </si>
  <si>
    <t>00d796c2-67f6-426d-b96c-b049679113f7</t>
  </si>
  <si>
    <t>14:31</t>
  </si>
  <si>
    <t xml:space="preserve">kbank shopee+ UOB</t>
  </si>
  <si>
    <t>3b319eb2-155c-4b7d-8e33-54dfb6991557</t>
  </si>
  <si>
    <t>2026-05-25</t>
  </si>
  <si>
    <t>rc_cat_1781955063347_04qb_1781955063350_acgf</t>
  </si>
  <si>
    <t>64db2ea7-1507-42bc-991e-25881a6ab354</t>
  </si>
  <si>
    <t>rc_cat_1781955063347_04qb_1781955063360_ocha</t>
  </si>
  <si>
    <t>5594158f-9f2a-413c-bd41-c8400dd2287a</t>
  </si>
  <si>
    <t>rc_cat_1781955063347_04qb_1781955063347_kgnn</t>
  </si>
  <si>
    <t>39ea103d-6000-4c6d-9c10-33ef14b923a3</t>
  </si>
  <si>
    <t>rc_acc_1781955063347_6gmg</t>
  </si>
  <si>
    <t>641d7157-dc66-493d-9689-75b258cff1f7</t>
  </si>
  <si>
    <t>rc_acc_1781955063347_r9dz</t>
  </si>
  <si>
    <t>33</t>
  </si>
  <si>
    <t>d361eda9-d995-4066-8eeb-5874546eaf20</t>
  </si>
  <si>
    <t>income</t>
  </si>
  <si>
    <t>income_1781955063347_5zxt</t>
  </si>
  <si>
    <t>eb40710a-68ae-4745-a7b2-27dc5107b93a</t>
  </si>
  <si>
    <t>2026-05-13</t>
  </si>
  <si>
    <t>5fefcd35-e2c7-4c62-bd26-bcaa3126f828</t>
  </si>
  <si>
    <t>2026-05-12</t>
  </si>
  <si>
    <t>12:28</t>
  </si>
  <si>
    <t>rc_acc_1781955063348_no9r</t>
  </si>
  <si>
    <t>ac406d76-52eb-4c95-85af-8784245dabbb</t>
  </si>
  <si>
    <t>rc_acc_1781955063349_yz2g</t>
  </si>
  <si>
    <t>c4c8f33a-a4c6-4d47-8ac3-10064381d3c8</t>
  </si>
  <si>
    <t>2026-05-04</t>
  </si>
  <si>
    <t>573611ac-1c3e-41b8-8c7c-656b631f2dbb</t>
  </si>
  <si>
    <t>12:38</t>
  </si>
  <si>
    <t>dfe80027-8454-4e13-adb3-271958a3e2d3</t>
  </si>
  <si>
    <t>12:46</t>
  </si>
  <si>
    <t xml:space="preserve">ss 2/10</t>
  </si>
  <si>
    <t>71b682e3-db26-48b2-851f-7d818f2cefae</t>
  </si>
  <si>
    <t>12:47</t>
  </si>
  <si>
    <t>75b7eaae-71c2-438f-acd6-eaf07bcb9cfd</t>
  </si>
  <si>
    <t>12:48</t>
  </si>
  <si>
    <t>8f9bbe79-7814-4fa6-83c3-bca3d930c5cd</t>
  </si>
  <si>
    <t>12:49</t>
  </si>
  <si>
    <t>คืนค่าไฟ</t>
  </si>
  <si>
    <t>2da586c8-871a-46b0-a22e-6420942549ea</t>
  </si>
  <si>
    <t>20:27</t>
  </si>
  <si>
    <t xml:space="preserve">แลกเงิน JPY</t>
  </si>
  <si>
    <t>2674e201-0242-4831-8950-5baf50abb9f9</t>
  </si>
  <si>
    <t>20:53</t>
  </si>
  <si>
    <t>rc_acc_1781955063358_cs4m</t>
  </si>
  <si>
    <t>da6d4487-85b3-4091-8dc9-17d92e4e4f5c</t>
  </si>
  <si>
    <t>2026-05-03</t>
  </si>
  <si>
    <t>8f23d47c-478d-4829-9503-bd7f0d6789ad</t>
  </si>
  <si>
    <t>5009f186-4ac0-487b-84d8-ea8b43056591</t>
  </si>
  <si>
    <t>2026-05-02</t>
  </si>
  <si>
    <t>12:37</t>
  </si>
  <si>
    <t>เค้ก</t>
  </si>
  <si>
    <t>a5ea460c-a848-48a4-8246-c804f974f41b</t>
  </si>
  <si>
    <t>2026-05-01</t>
  </si>
  <si>
    <t>cbed083e-90fb-4097-ba2c-235a13d87f28</t>
  </si>
  <si>
    <t>2026-04-30</t>
  </si>
  <si>
    <t>12:55</t>
  </si>
  <si>
    <t>910eda16-f113-4630-97ac-e2130021e4bc</t>
  </si>
  <si>
    <t>13:06</t>
  </si>
  <si>
    <t>17b444f1-1309-4a0b-b439-30e08e1d9aa6</t>
  </si>
  <si>
    <t>13:09</t>
  </si>
  <si>
    <t>f41de673-a1ea-4462-9088-16b555aaa443</t>
  </si>
  <si>
    <t>19:48</t>
  </si>
  <si>
    <t>other_1781955063347_5s7r</t>
  </si>
  <si>
    <t>Difference</t>
  </si>
  <si>
    <t>dc8ab973-8f45-406a-8881-e3b471658c3c</t>
  </si>
  <si>
    <t>2026-04-29</t>
  </si>
  <si>
    <t>12:27</t>
  </si>
  <si>
    <t>rc_cat_1781955063347_anhy_1781955063348_k5l1</t>
  </si>
  <si>
    <t>เลี้ยงฝน</t>
  </si>
  <si>
    <t>ad4ebf64-9077-4a5e-aaee-c169e1174c6c</t>
  </si>
  <si>
    <t>2026-04-25</t>
  </si>
  <si>
    <t>d81f1c2c-f8b1-4566-8049-111162fbd720</t>
  </si>
  <si>
    <t>f07b080b-53e6-4b19-bbc3-9ed5c8960b2d</t>
  </si>
  <si>
    <t>a30dd100-5433-4b03-8416-79c69c92bd23</t>
  </si>
  <si>
    <t>1d21d44a-5eaa-49fb-81f9-af6273f75762</t>
  </si>
  <si>
    <t>69dbe281-78c8-48b5-8796-9fc7aebbb6b5</t>
  </si>
  <si>
    <t>8c01ee50-18e2-4537-94f4-d9f90695ca0c</t>
  </si>
  <si>
    <t>2026-04-24</t>
  </si>
  <si>
    <t>12:26</t>
  </si>
  <si>
    <t xml:space="preserve">เลี้ยงทีม น้ำและข้าว</t>
  </si>
  <si>
    <t>4616b5d9-92d8-4495-a08d-3f1450fc6295</t>
  </si>
  <si>
    <t xml:space="preserve">เคส 425degree</t>
  </si>
  <si>
    <t>e92cdfa8-e2f9-4bc9-b011-1aada204a766</t>
  </si>
  <si>
    <t>2026-04-23</t>
  </si>
  <si>
    <t>12:25</t>
  </si>
  <si>
    <t>Mentoring</t>
  </si>
  <si>
    <t>0bf0efe2-4796-4eb7-a41a-f854271c9511</t>
  </si>
  <si>
    <t>2026-04-21</t>
  </si>
  <si>
    <t>12:24</t>
  </si>
  <si>
    <t>income_1781955063347_zblt</t>
  </si>
  <si>
    <t>0752f577-5006-46cc-9fe0-0cfa751fbb53</t>
  </si>
  <si>
    <t>2026-04-15</t>
  </si>
  <si>
    <t>12:23</t>
  </si>
  <si>
    <t xml:space="preserve">ค่าไฟ คืนแล้ว</t>
  </si>
  <si>
    <t>d525fbe6-961d-4229-99d2-5d9505eafb51</t>
  </si>
  <si>
    <t>6aa0d776-217d-4c7c-9691-2273e9fe7269</t>
  </si>
  <si>
    <t>2026-04-06</t>
  </si>
  <si>
    <t>19:31</t>
  </si>
  <si>
    <t>827be5f2-dd1b-4676-857c-e94f6f1e4bd5</t>
  </si>
  <si>
    <t>19:32</t>
  </si>
  <si>
    <t>3e0fa2d4-4ade-4ee9-b853-c06ec1b286b0</t>
  </si>
  <si>
    <t>19:34</t>
  </si>
  <si>
    <t>กองกลางค้าง</t>
  </si>
  <si>
    <t>92c75425-c94f-4381-b9bd-2a3a78cf0d9e</t>
  </si>
  <si>
    <t>2026-04-04</t>
  </si>
  <si>
    <t>c6b03119-e780-4926-a5a4-166922027dbf</t>
  </si>
  <si>
    <t>13:46</t>
  </si>
  <si>
    <t xml:space="preserve">ยอด shopee เคส กาตูน กิน</t>
  </si>
  <si>
    <t>54cd23a9-ee84-4f3d-b2ed-74bd83cb729b</t>
  </si>
  <si>
    <t>13:48</t>
  </si>
  <si>
    <t xml:space="preserve">ค่า รร นาโกย่า ยกเลิกยอด 6378 /30760 yen ขาดทุน 165 บาท</t>
  </si>
  <si>
    <t>b2016e7c-30d7-4c25-af55-8efd61860e52</t>
  </si>
  <si>
    <t>13:49</t>
  </si>
  <si>
    <t>2e6dc8cc-1160-4234-aa26-3731deb89d55</t>
  </si>
  <si>
    <t>13:50</t>
  </si>
  <si>
    <t>18098542-b981-4762-bcb5-905108adb17e</t>
  </si>
  <si>
    <t>14:02</t>
  </si>
  <si>
    <t>00c8a123-310f-40e3-ac3e-56c489ea7988</t>
  </si>
  <si>
    <t>5df0fbd4-e207-45cb-9fd6-5d7470da9e3f</t>
  </si>
  <si>
    <t>14:03</t>
  </si>
  <si>
    <t>aed3f5fe-d2a7-477b-9688-aadfacd7bfaf</t>
  </si>
  <si>
    <t>timbits</t>
  </si>
  <si>
    <t>98d31883-a399-4092-8710-7a9831828853</t>
  </si>
  <si>
    <t>14:04</t>
  </si>
  <si>
    <t>9ef62a2b-4e80-4ff7-817d-b8c0c0c28f03</t>
  </si>
  <si>
    <t>14:11</t>
  </si>
  <si>
    <t xml:space="preserve">ยอดค้างจากเดือน กพ ทยอยจ่ายคืน</t>
  </si>
  <si>
    <t>bd85a977-8b89-4d0d-ad93-1d73c17190ff</t>
  </si>
  <si>
    <t>18:07</t>
  </si>
  <si>
    <t xml:space="preserve">ที่พัก kanayama 18030 คืนแล้ว</t>
  </si>
  <si>
    <t>4769b7b1-2845-4b0c-b62b-ca5c4f490004</t>
  </si>
  <si>
    <t xml:space="preserve">ที่พัก toyama 17868 ไปรวมกับ travelcard</t>
  </si>
  <si>
    <t>d424331c-55ff-4120-ae59-7c097fb5b3b8</t>
  </si>
  <si>
    <t>2026-04-02</t>
  </si>
  <si>
    <t>13:38</t>
  </si>
  <si>
    <t>899f10ad-3ee1-4203-896d-476f6b180a61</t>
  </si>
  <si>
    <t>2026-04-01</t>
  </si>
  <si>
    <t>13:39</t>
  </si>
  <si>
    <t>11086ccc-7485-42f0-9308-d9cb4b273b95</t>
  </si>
  <si>
    <t>2026-03-31</t>
  </si>
  <si>
    <t>13:35</t>
  </si>
  <si>
    <t>985f360c-02a5-471f-b7fe-b04f98d2b74b</t>
  </si>
  <si>
    <t>18:47</t>
  </si>
  <si>
    <t>7193d857-54c1-42ad-9da9-ade8f51444fd</t>
  </si>
  <si>
    <t>2026-03-29</t>
  </si>
  <si>
    <t>13:33</t>
  </si>
  <si>
    <t>entertain_1781955063349_gok1</t>
  </si>
  <si>
    <t>ทริปพัทยา</t>
  </si>
  <si>
    <t>0c3b8c56-2685-4f45-acd2-bb253bdfdbab</t>
  </si>
  <si>
    <t>13:34</t>
  </si>
  <si>
    <t xml:space="preserve">WCF onepiece</t>
  </si>
  <si>
    <t>dd6c34a3-055a-4d40-9c4d-05e654d8e774</t>
  </si>
  <si>
    <t>2026-03-27</t>
  </si>
  <si>
    <t>13:31</t>
  </si>
  <si>
    <t>34ff7a41-6d38-4f8a-bbbb-86d30c214104</t>
  </si>
  <si>
    <t>2026-03-25</t>
  </si>
  <si>
    <t>be0b821e-9b1e-4a2b-b460-0a5b89cddba6</t>
  </si>
  <si>
    <t>a1c05d0d-6a3c-4f18-8f61-f14714b11b10</t>
  </si>
  <si>
    <t>ad98b55b-58cd-484d-9034-19e63a929703</t>
  </si>
  <si>
    <t>f8f4f68f-f817-4244-985a-7ec298f9c444</t>
  </si>
  <si>
    <t>67b0d882-1f5d-4bdf-9956-40f521586e82</t>
  </si>
  <si>
    <t>7a6de6f2-cba4-464e-88bf-519dc2338b70</t>
  </si>
  <si>
    <t>2026-03-24</t>
  </si>
  <si>
    <t>13:28</t>
  </si>
  <si>
    <t>3cf61470-3472-4907-9067-395a6a5ceb94</t>
  </si>
  <si>
    <t>2026-03-21</t>
  </si>
  <si>
    <t xml:space="preserve">ค่าตั๋ว sendai</t>
  </si>
  <si>
    <t>96372b09-5ec7-4372-a60a-f4b9f2f4bbcd</t>
  </si>
  <si>
    <t>2026-03-19</t>
  </si>
  <si>
    <t>13:19</t>
  </si>
  <si>
    <t xml:space="preserve">rate 0.207</t>
  </si>
  <si>
    <t>10732acc-2398-4a86-8f8b-fd689e0b11b5</t>
  </si>
  <si>
    <t>14:36</t>
  </si>
  <si>
    <t>aaef82fe-e7c2-415b-b60b-8edace00da92</t>
  </si>
  <si>
    <t>2026-03-16</t>
  </si>
  <si>
    <t>13:18</t>
  </si>
  <si>
    <t>a5b90719-78d3-40fe-b82d-f0ac81d8f6b0</t>
  </si>
  <si>
    <t>2026-03-15</t>
  </si>
  <si>
    <t>13:36</t>
  </si>
  <si>
    <t>ab400646-03c9-435e-86a6-fe57ebea75f0</t>
  </si>
  <si>
    <t>2026-03-13</t>
  </si>
  <si>
    <t>13:16</t>
  </si>
  <si>
    <t>ของฝากชุมพร</t>
  </si>
  <si>
    <t>51939385-ddde-454b-ba6b-7e1db5d921cd</t>
  </si>
  <si>
    <t>13:17</t>
  </si>
  <si>
    <t>ตัดผม</t>
  </si>
  <si>
    <t>52a8bcd8-2d13-44f8-b780-1f0da88e948b</t>
  </si>
  <si>
    <t>2026-03-09</t>
  </si>
  <si>
    <t>13:15</t>
  </si>
  <si>
    <t>2e4eb55e-56e4-4a27-985f-8e70c30c56c3</t>
  </si>
  <si>
    <t>2026-03-07</t>
  </si>
  <si>
    <t>13:13</t>
  </si>
  <si>
    <t xml:space="preserve">trade in  lost</t>
  </si>
  <si>
    <t>be4ad88d-8a1c-4fa0-87c1-b540a68add76</t>
  </si>
  <si>
    <t>13:14</t>
  </si>
  <si>
    <t>a6d5096e-d603-46ca-aa84-b2d56f50de15</t>
  </si>
  <si>
    <t>2026-03-01</t>
  </si>
  <si>
    <t>13:10</t>
  </si>
  <si>
    <t>14e7b6aa-2e7f-45f8-b496-b09c778a0124</t>
  </si>
  <si>
    <t>2026-02-28</t>
  </si>
  <si>
    <t>c4f71300-b915-429d-9cf9-891b1eef92c9</t>
  </si>
  <si>
    <t>d62305e8-1389-4cd8-ab49-0333731ce6e1</t>
  </si>
  <si>
    <t>18:48</t>
  </si>
  <si>
    <t>f6e62f2d-f837-4549-8617-4878caca4d17</t>
  </si>
  <si>
    <t>2026-02-25</t>
  </si>
  <si>
    <t>1cd5ea28-1bcb-4033-9c80-7b99c6277178</t>
  </si>
  <si>
    <t>f2eb459e-5a8d-44c6-9a44-cdda104192b3</t>
  </si>
  <si>
    <t>9c6cf25f-930f-4333-bedc-90c2def4a092</t>
  </si>
  <si>
    <t>7f6eb2e7-7ddb-49a3-b0f6-c0485fe55077</t>
  </si>
  <si>
    <t>73c158ed-aef4-451c-be22-6092d0d994f0</t>
  </si>
  <si>
    <t>78995ba8-dcff-4b9b-922c-d6437866b0d3</t>
  </si>
  <si>
    <t>16:56</t>
  </si>
  <si>
    <t>66933848-da24-4152-87bd-4d9664f3d80c</t>
  </si>
  <si>
    <t>c9f786db-095c-476f-9d81-468e05734dd6</t>
  </si>
  <si>
    <t>2026-02-22</t>
  </si>
  <si>
    <t>16:54</t>
  </si>
  <si>
    <t>rc_cat_1781955063347_04qb_1781955063363_voa0</t>
  </si>
  <si>
    <t>AIA</t>
  </si>
  <si>
    <t>ff0f85e5-8092-4cb9-8ab5-328dc661a64f</t>
  </si>
  <si>
    <t>17:06</t>
  </si>
  <si>
    <t>octopath</t>
  </si>
  <si>
    <t>b639fc99-544d-4d90-be36-46bf6f6afec7</t>
  </si>
  <si>
    <t xml:space="preserve">เปลี่ยนตั๋วขากลับ EDP</t>
  </si>
  <si>
    <t>752abf3d-9df3-4e52-a6a5-8e3c0afda301</t>
  </si>
  <si>
    <t>2026-02-21</t>
  </si>
  <si>
    <t>16:53</t>
  </si>
  <si>
    <t xml:space="preserve">เงินรุ่น edp</t>
  </si>
  <si>
    <t>8c919855-06f0-46d7-9047-421536309401</t>
  </si>
  <si>
    <t>2026-02-05</t>
  </si>
  <si>
    <t xml:space="preserve">ค่าตั๋ว trip.com nagoya</t>
  </si>
  <si>
    <t>f0293e31-577a-475f-a662-6e053c68e478</t>
  </si>
  <si>
    <t>2026-02-04</t>
  </si>
  <si>
    <t>16:52</t>
  </si>
  <si>
    <t>rc_acc_1781955063347_e3zv</t>
  </si>
  <si>
    <t>341970a0-907d-435f-bb6d-e5dd80f03a35</t>
  </si>
  <si>
    <t>2026-02-03</t>
  </si>
  <si>
    <t>5c5de9f1-14f9-43a7-9d61-5555e5bfcc99</t>
  </si>
  <si>
    <t>0328f646-2ec5-45d7-8dcb-15ff2c916ac0</t>
  </si>
  <si>
    <t>2026-02-02</t>
  </si>
  <si>
    <t>16:51</t>
  </si>
  <si>
    <t xml:space="preserve">shopee ยังไม่ได้เช็ค</t>
  </si>
  <si>
    <t>8e52708c-8c66-4ca5-8bf2-fdee4404e076</t>
  </si>
  <si>
    <t>2026-02-01</t>
  </si>
  <si>
    <t>d41a171b-d8a1-499e-a681-0afb01c2a7e4</t>
  </si>
  <si>
    <t>2026-01-31</t>
  </si>
  <si>
    <t>16:50</t>
  </si>
  <si>
    <t>f2525921-5859-44f2-b6ad-9b34e8318763</t>
  </si>
  <si>
    <t>c621fefa-632b-4d21-86f7-9ba363d425ee</t>
  </si>
  <si>
    <t>16:49</t>
  </si>
  <si>
    <t>626368ab-0fc4-41a2-904c-5b69ac1f44fd</t>
  </si>
  <si>
    <t>2026-01-25</t>
  </si>
  <si>
    <t>rc_cat_1781955063347_04qb_1781955063347_lu9b</t>
  </si>
  <si>
    <t>19c82a20-936e-4ae6-bf2a-d4e0424cb027</t>
  </si>
  <si>
    <t>93dd5382-795b-466f-bc8d-b923386ba398</t>
  </si>
  <si>
    <t>rc_cat_1781955063347_04qb_1781955063360_g684</t>
  </si>
  <si>
    <t>7508d425-6418-4275-9f92-aa219e69786e</t>
  </si>
  <si>
    <t>73cb7c82-4d2b-4742-902a-ed265bef916a</t>
  </si>
  <si>
    <t>0560a9a7-fda8-4d03-ac45-998b6ee84934</t>
  </si>
  <si>
    <t>8c6c65b0-b15c-491f-b49c-9d2cea89a9b4</t>
  </si>
  <si>
    <t>dc09af4c-e29c-4b16-8cd1-fb2a166fd8bd</t>
  </si>
  <si>
    <t>9b3d1c56-1730-4c32-a1cd-9bc3fd9de604</t>
  </si>
  <si>
    <t>2026-01-24</t>
  </si>
  <si>
    <t>a0eef9a0-97e0-48e7-8915-7bca6e344316</t>
  </si>
  <si>
    <t>18:08</t>
  </si>
  <si>
    <t xml:space="preserve">เช่ารถ ngo26 คืนแล้ว</t>
  </si>
  <si>
    <t>474fceff-fe45-4529-badf-098adecbc944</t>
  </si>
  <si>
    <t>18:09</t>
  </si>
  <si>
    <t xml:space="preserve">ngo26 toyoko คืนแล้ว</t>
  </si>
  <si>
    <t>e3b1b43f-dc69-4c07-ac78-44bf212e338b</t>
  </si>
  <si>
    <t>18:13</t>
  </si>
  <si>
    <t xml:space="preserve">คืน toyoko</t>
  </si>
  <si>
    <t>f81a55d2-3853-477a-a4f5-70dc86b9f81e</t>
  </si>
  <si>
    <t>e1ec8746-4d0c-493d-9e00-0815c028401b</t>
  </si>
  <si>
    <t>18:30</t>
  </si>
  <si>
    <t>6f64c04f-51bd-4469-9ae1-a219325e668a</t>
  </si>
  <si>
    <t>2026-01-23</t>
  </si>
  <si>
    <t>18:22</t>
  </si>
  <si>
    <t>30a9bff2-5d75-476c-87f8-3a6381ad4139</t>
  </si>
  <si>
    <t>18:24</t>
  </si>
  <si>
    <t>คืนแล้ว</t>
  </si>
  <si>
    <t>d371ffcc-5ca6-4352-8f0f-74b55b6ef8a3</t>
  </si>
  <si>
    <t xml:space="preserve">ngo26 flightviet</t>
  </si>
  <si>
    <t>6f525b65-7ce2-4140-a8b3-54ce848b8288</t>
  </si>
  <si>
    <t>2026-01-22</t>
  </si>
  <si>
    <t>18:00</t>
  </si>
  <si>
    <t>a6cf3e73-540d-45a3-ae6e-cc4c9de50315</t>
  </si>
  <si>
    <t>2026-01-20</t>
  </si>
  <si>
    <t>17:59</t>
  </si>
  <si>
    <t>f2c30507-85e8-454e-8563-08a4cb66fe05</t>
  </si>
  <si>
    <t>2026-01-13</t>
  </si>
  <si>
    <t>17:54</t>
  </si>
  <si>
    <t>2702b317-bf9f-4dd2-a76c-ca6aae91ef40</t>
  </si>
  <si>
    <t>2026-01-11</t>
  </si>
  <si>
    <t>17:53</t>
  </si>
  <si>
    <t>หนึ่งนมนัว</t>
  </si>
  <si>
    <t>754897be-ced4-4c04-b575-e00ce4391266</t>
  </si>
  <si>
    <t>2026-01-06</t>
  </si>
  <si>
    <t>17:52</t>
  </si>
  <si>
    <t>6c813798-a426-4a81-93ff-10f640d5be71</t>
  </si>
  <si>
    <t>3202dbfa-b98d-4ea9-af1e-a26c4f744957</t>
  </si>
  <si>
    <t>2026-01-01</t>
  </si>
  <si>
    <t>6b7f659d-f73d-4ed6-a7c1-f12e08632255</t>
  </si>
  <si>
    <t>b66c97ea-6a99-40e6-b126-f0f1ebc4aec8</t>
  </si>
  <si>
    <t>2025-12-31</t>
  </si>
  <si>
    <t>10:02</t>
  </si>
  <si>
    <t>f410a2cd-18a9-44c4-8d9c-6a2cdbe6bde3</t>
  </si>
  <si>
    <t>2025-12-28</t>
  </si>
  <si>
    <t>17:50</t>
  </si>
  <si>
    <t>17cdcdb1-e7a0-4927-9290-f4a5fdcc2763</t>
  </si>
  <si>
    <t>gunpla</t>
  </si>
  <si>
    <t>34081f50-d68b-4a3c-bee6-372bf933bd63</t>
  </si>
  <si>
    <t>2025-12-27</t>
  </si>
  <si>
    <t>15:40</t>
  </si>
  <si>
    <t xml:space="preserve">เช่ารถเชียงใหม่ ยังไม่คืน</t>
  </si>
  <si>
    <t>c5200465-c58a-4dee-a42f-b910d5ebe305</t>
  </si>
  <si>
    <t>17:45</t>
  </si>
  <si>
    <t xml:space="preserve">toyoko คืนแล้ว</t>
  </si>
  <si>
    <t>8caf188d-301a-4cb9-8cdf-bd2f3f52b3a5</t>
  </si>
  <si>
    <t>17:47</t>
  </si>
  <si>
    <t>414388c9-376f-4d07-a65a-6241591c2e96</t>
  </si>
  <si>
    <t>2025-12-25</t>
  </si>
  <si>
    <t>0c7d5182-3ae0-4ec6-9048-dc9d4dd033c1</t>
  </si>
  <si>
    <t>bc38332b-b0c7-49a7-83b7-83fa3dd4943d</t>
  </si>
  <si>
    <t>7c9b4daa-d1d5-4069-8ac8-2502db81a403</t>
  </si>
  <si>
    <t>57294f2a-523f-4350-9036-1d18a808fb2f</t>
  </si>
  <si>
    <t>8c4a427b-9e7c-40bc-9c43-1620aec072b2</t>
  </si>
  <si>
    <t>aade6f1a-c7a7-4eb9-a9ac-8738c17d0b43</t>
  </si>
  <si>
    <t>7353de5b-d89d-4e72-a5e0-9cb54e58e33a</t>
  </si>
  <si>
    <t>c116b15a-8ff9-4e9d-a404-baa60f9aa584</t>
  </si>
  <si>
    <t>15:36</t>
  </si>
  <si>
    <t>d1a06f41-e18a-430a-a929-b39943d14278</t>
  </si>
  <si>
    <t>2025-12-23</t>
  </si>
  <si>
    <t>15:35</t>
  </si>
  <si>
    <t>c0e7b13b-e147-47b3-a197-c963246bdd64</t>
  </si>
  <si>
    <t>2025-12-21</t>
  </si>
  <si>
    <t>15:34</t>
  </si>
  <si>
    <t>เชียงใหม่</t>
  </si>
  <si>
    <t>3bd02485-9a94-486b-9769-0f0413d6c14e</t>
  </si>
  <si>
    <t>2025-12-19</t>
  </si>
  <si>
    <t>income_1781955063351_3ab8</t>
  </si>
  <si>
    <t>237cd5e2-b48e-442c-98d1-cdae512ed6ff</t>
  </si>
  <si>
    <t>17:46</t>
  </si>
  <si>
    <t>ค่าส่วนกลาง</t>
  </si>
  <si>
    <t>008e5b39-8c41-4218-acc4-af263580d0ec</t>
  </si>
  <si>
    <t>2025-12-18</t>
  </si>
  <si>
    <t>17:48</t>
  </si>
  <si>
    <t>ac947dc4-8f0e-4450-8177-11210c8afc8c</t>
  </si>
  <si>
    <t>2025-12-14</t>
  </si>
  <si>
    <t>15:32</t>
  </si>
  <si>
    <t>9bf8027d-99cf-45c8-adb4-165ca721b2e6</t>
  </si>
  <si>
    <t>2025-12-13</t>
  </si>
  <si>
    <t>28033301-9ae2-4362-8e64-a037232a60b2</t>
  </si>
  <si>
    <t>2025-12-01</t>
  </si>
  <si>
    <t>5dddf291-4e70-4805-8091-097ec6e84bcb</t>
  </si>
  <si>
    <t>2025-11-30</t>
  </si>
  <si>
    <t>17:04</t>
  </si>
  <si>
    <t>a79d65d7-7ae7-4bf3-b78d-5527d893132d</t>
  </si>
  <si>
    <t>64c9024a-dcad-48ed-985c-4ef5f1d0a999</t>
  </si>
  <si>
    <t>766bd864-e51b-436d-8d2d-d7a39563d24c</t>
  </si>
  <si>
    <t>17:05</t>
  </si>
  <si>
    <t>ค่าโทรศัพท์</t>
  </si>
  <si>
    <t>9bf63871-f467-45f8-adda-3abf45360b47</t>
  </si>
  <si>
    <t>17:10</t>
  </si>
  <si>
    <t>fb3ca6e6-f51b-46ce-9bc6-87c71faad691</t>
  </si>
  <si>
    <t>18:51</t>
  </si>
  <si>
    <t>7e56f4ac-d277-41ff-a371-334b6bbd73aa</t>
  </si>
  <si>
    <t>23:31</t>
  </si>
  <si>
    <t>097fb1d7-59a3-4cf6-955b-e3cf5d7f7164</t>
  </si>
  <si>
    <t>2025-11-25</t>
  </si>
  <si>
    <t>9cf2ea6f-361a-4258-a45c-14413bc16a9d</t>
  </si>
  <si>
    <t>f0606972-8685-4a45-a90f-d51ba69ad508</t>
  </si>
  <si>
    <t>f1eaad32-dd94-435b-b0ef-a165675a43ee</t>
  </si>
  <si>
    <t>579023c4-0695-4310-a598-cae377eb663c</t>
  </si>
  <si>
    <t>64d8d01b-3b09-40a4-b5ac-b3c97358432c</t>
  </si>
  <si>
    <t>5094cfce-e36b-4425-9a29-4f7577206aa2</t>
  </si>
  <si>
    <t>f4350fb8-63f1-4078-9254-24dfe6495679</t>
  </si>
  <si>
    <t>1bad03c5-4d03-4736-88ed-e5880f193eed</t>
  </si>
  <si>
    <t>2025-11-21</t>
  </si>
  <si>
    <t>17:08</t>
  </si>
  <si>
    <t>39bdbc1a-4883-4196-afe3-cefdde9d65b6</t>
  </si>
  <si>
    <t>2025-11-14</t>
  </si>
  <si>
    <t>17:07</t>
  </si>
  <si>
    <t>aff65383-ea92-4c67-a8bb-c0db5fbc709d</t>
  </si>
  <si>
    <t>19b2c29f-eecd-402e-9e9f-7f9f75d62d5a</t>
  </si>
  <si>
    <t>6f9cf0d7-de21-4d94-b098-c350582ecba9</t>
  </si>
  <si>
    <t>2025-11-01</t>
  </si>
  <si>
    <t>0875fd6f-92b3-4dd6-b618-2f64615c4821</t>
  </si>
  <si>
    <t>13:51</t>
  </si>
  <si>
    <t>15ca7cff-e0ff-48a6-b7d9-888f2c05e8fd</t>
  </si>
  <si>
    <t>2025-10-31</t>
  </si>
  <si>
    <t>13:53</t>
  </si>
  <si>
    <t>78209c17-10a7-4fc6-ac6b-fcb6bcb1846f</t>
  </si>
  <si>
    <t>2025-10-25</t>
  </si>
  <si>
    <t>3e53b8ed-980b-448d-b330-d725dd875985</t>
  </si>
  <si>
    <t>f3cc0892-64cc-4ba2-a352-fe63f2697634</t>
  </si>
  <si>
    <t>3a66157f-0e88-4e40-b31d-a4c79e26722c</t>
  </si>
  <si>
    <t>b12faa69-4190-4d8b-a97f-c6cbf4e08c35</t>
  </si>
  <si>
    <t>c0aace87-ad08-4764-82d6-8626e1069f6a</t>
  </si>
  <si>
    <t>224084ea-c64b-441f-ad3d-0dfb06464666</t>
  </si>
  <si>
    <t>920e11f7-19b5-4f7d-b43d-b1e89b6147bc</t>
  </si>
  <si>
    <t>e09719a5-f3d2-4fa8-98a5-d8a9f0de0de8</t>
  </si>
  <si>
    <t>a3120228-1981-462c-aeb2-76410c0d44d4</t>
  </si>
  <si>
    <t>2025-10-24</t>
  </si>
  <si>
    <t>12:20</t>
  </si>
  <si>
    <t>131cb5eb-b2a0-413a-8264-3094935f7664</t>
  </si>
  <si>
    <t>12:22</t>
  </si>
  <si>
    <t>84c62caa-0690-4b6e-b386-47bd4dccfbf9</t>
  </si>
  <si>
    <t>13:05</t>
  </si>
  <si>
    <t>5cb8e07c-c013-4ba2-ac40-3054ac78eea8</t>
  </si>
  <si>
    <t>89425dc5-3d57-4a3f-9b74-6cf85797b149</t>
  </si>
  <si>
    <t>2025-10-22</t>
  </si>
  <si>
    <t>12:19</t>
  </si>
  <si>
    <t>38ad215f-6d9d-46bf-b653-34795ab9551c</t>
  </si>
  <si>
    <t>2025-10-19</t>
  </si>
  <si>
    <t>12:15</t>
  </si>
  <si>
    <t>26f079de-9432-4089-98c4-4ac85781e74c</t>
  </si>
  <si>
    <t>12:16</t>
  </si>
  <si>
    <t>5d1bdf02-d38d-4b60-b47e-7888c7e28fe0</t>
  </si>
  <si>
    <t>2025-10-17</t>
  </si>
  <si>
    <t>b4827b8e-9697-48b7-91e4-698b2fc7225e</t>
  </si>
  <si>
    <t>2025-10-15</t>
  </si>
  <si>
    <t>12:14</t>
  </si>
  <si>
    <t>entertain_1781955063348_32wr</t>
  </si>
  <si>
    <t>1c315547-2d8d-41d7-8a44-fb9a1c8719c1</t>
  </si>
  <si>
    <t>2025-10-14</t>
  </si>
  <si>
    <t>1695765e-522b-4fb0-b30d-be2205c4266c</t>
  </si>
  <si>
    <t>2025-10-08</t>
  </si>
  <si>
    <t>81af73b9-cd17-4f91-ac68-876a25a0ade0</t>
  </si>
  <si>
    <t>10:47</t>
  </si>
  <si>
    <t>สมุดหงฝากแลก</t>
  </si>
  <si>
    <t>85f25ac2-8cb8-4d7a-b40d-23e2bf0f64aa</t>
  </si>
  <si>
    <t>25df11d1-bb6e-4b76-afb4-4ca141ccc8cf</t>
  </si>
  <si>
    <t>2025-10-05</t>
  </si>
  <si>
    <t>10:46</t>
  </si>
  <si>
    <t>dae45749-f66e-4123-831f-b97d21303d47</t>
  </si>
  <si>
    <t>2025-09-30</t>
  </si>
  <si>
    <t>5b428d03-127d-4ef1-8af3-2ecabbe90bad</t>
  </si>
  <si>
    <t>2025-09-25</t>
  </si>
  <si>
    <t>cef42bff-d68a-40c4-bd34-4b83a91d0f1a</t>
  </si>
  <si>
    <t>a2ee70c7-3e7d-4524-9f8b-ee27ff526927</t>
  </si>
  <si>
    <t>b4cd7df7-0dbb-4812-8b49-e70153574a9c</t>
  </si>
  <si>
    <t>615efec5-66a1-4022-9de8-02a53396b603</t>
  </si>
  <si>
    <t>ef539ce6-ac97-4491-bd7c-ab4f8bcabb36</t>
  </si>
  <si>
    <t>9a8eb216-07c2-4621-bb18-f69fac7cd3f5</t>
  </si>
  <si>
    <t>b0732c36-0334-4638-b4f4-919a1af9c75a</t>
  </si>
  <si>
    <t>8e9d43ed-ec0c-4330-a3e1-3b86ba8d9337</t>
  </si>
  <si>
    <t>2025-09-16</t>
  </si>
  <si>
    <t>10:29</t>
  </si>
  <si>
    <t>fc802a92-113d-4cb6-9095-5aee77ee3b2f</t>
  </si>
  <si>
    <t>2025-09-14</t>
  </si>
  <si>
    <t>2aa237f5-0666-4ee4-bad2-2a4279049340</t>
  </si>
  <si>
    <t>19:18</t>
  </si>
  <si>
    <t>6f76b709-3fb0-4b42-af53-49cd0739048c</t>
  </si>
  <si>
    <t>51f5a6c6-f12a-4764-9f02-e1fbf14db5d7</t>
  </si>
  <si>
    <t>2025-09-13</t>
  </si>
  <si>
    <t>19:17</t>
  </si>
  <si>
    <t>942b35f5-b3dc-4c17-b6c2-3e0d02c57b2c</t>
  </si>
  <si>
    <t>19:15</t>
  </si>
  <si>
    <t>a7d667fc-b675-4ebd-a89d-a8d88f34201b</t>
  </si>
  <si>
    <t>19:16</t>
  </si>
  <si>
    <t>เลี้ยงเชน</t>
  </si>
  <si>
    <t>d9b3d12d-0e69-4192-aee0-cac743644eaa</t>
  </si>
  <si>
    <t>f2ee7794-c5dc-4554-a2a3-c97d8269dc0b</t>
  </si>
  <si>
    <t>2025-09-11</t>
  </si>
  <si>
    <t>5841c408-f30b-489a-887c-04b2f03dd2b3</t>
  </si>
  <si>
    <t>2025-09-06</t>
  </si>
  <si>
    <t>19:14</t>
  </si>
  <si>
    <t>7bc99059-31c1-4f43-a3e9-91178af9957a</t>
  </si>
  <si>
    <t>3431aba6-5287-4c10-b78f-528ea58390f4</t>
  </si>
  <si>
    <t>2025-09-05</t>
  </si>
  <si>
    <t>19:13</t>
  </si>
  <si>
    <t xml:space="preserve">kbank shopee</t>
  </si>
  <si>
    <t>849e4e02-52fe-43c1-892f-af7eaf556c9d</t>
  </si>
  <si>
    <t>2025-08-31</t>
  </si>
  <si>
    <t>15f26d4d-c60d-4c01-b742-f2e9dfb7e322</t>
  </si>
  <si>
    <t>d0bbf936-162f-47de-b406-93419b042e71</t>
  </si>
  <si>
    <t>19:12</t>
  </si>
  <si>
    <t>0f883b2c-2c14-45dc-8ee7-5bc92d705686</t>
  </si>
  <si>
    <t>2025-08-27</t>
  </si>
  <si>
    <t>19:11</t>
  </si>
  <si>
    <t>เลี้ยงสำนัก</t>
  </si>
  <si>
    <t>e8284a39-d8b9-4374-a86e-40920e671497</t>
  </si>
  <si>
    <t>2025-08-26</t>
  </si>
  <si>
    <t>19:22</t>
  </si>
  <si>
    <t>d45f8cd3-033f-40f6-b010-034670206919</t>
  </si>
  <si>
    <t>2025-08-25</t>
  </si>
  <si>
    <t>c6b7b8bd-9bb0-41a1-bf9a-f18b8e7a64dd</t>
  </si>
  <si>
    <t>f5c43a69-258e-41b3-af88-8d4dd75744e7</t>
  </si>
  <si>
    <t>c1554ede-3e7f-4bbd-b7ce-ec8680d01587</t>
  </si>
  <si>
    <t>4c5cde8b-3830-455d-935c-3cba3375adea</t>
  </si>
  <si>
    <t>3f8db9ae-a363-4231-b6b8-9e0cc8d93dd8</t>
  </si>
  <si>
    <t>a6976a05-2637-4b06-911a-6737794f7ab3</t>
  </si>
  <si>
    <t>8e8a1395-4819-466b-9752-fc9d20a60dbf</t>
  </si>
  <si>
    <t>15adea08-421e-457d-a7eb-be6f25510045</t>
  </si>
  <si>
    <t>19:07</t>
  </si>
  <si>
    <t>c681822a-d5ab-41da-96c3-8cb9d2aff3f8</t>
  </si>
  <si>
    <t>2025-08-24</t>
  </si>
  <si>
    <t>10:20</t>
  </si>
  <si>
    <t>16e13041-b9a9-428c-b8f0-b65e21876aed</t>
  </si>
  <si>
    <t>10:23</t>
  </si>
  <si>
    <t>c7b714fc-46ba-42d4-b75b-e6d723e87aec</t>
  </si>
  <si>
    <t>11:18</t>
  </si>
  <si>
    <t xml:space="preserve">เค้ก จจ</t>
  </si>
  <si>
    <t>6d2b06eb-ba6f-4caf-ae5a-3d29ebd29969</t>
  </si>
  <si>
    <t>11:21</t>
  </si>
  <si>
    <t>59993fad-dc75-4d32-8fdf-649ef74cd0d3</t>
  </si>
  <si>
    <t>19:03</t>
  </si>
  <si>
    <t xml:space="preserve">บัตร uob</t>
  </si>
  <si>
    <t>7f719e4c-ce10-47a4-876d-ceb1e5d1f79f</t>
  </si>
  <si>
    <t>19:04</t>
  </si>
  <si>
    <t>ข้าวต้มเพ่งเพง</t>
  </si>
  <si>
    <t>0b76f45a-bcdf-4e1a-add8-7721e0073348</t>
  </si>
  <si>
    <t>2025-08-21</t>
  </si>
  <si>
    <t>11:17</t>
  </si>
  <si>
    <t>798b7ce1-5e8f-445a-9ca5-dd01ace649c8</t>
  </si>
  <si>
    <t>เลี้ยงเจ้</t>
  </si>
  <si>
    <t>47e12c1e-18ce-40f4-aefd-4b8017b5268e</t>
  </si>
  <si>
    <t>2025-08-20</t>
  </si>
  <si>
    <t>rc_acc_1781955063348_998o</t>
  </si>
  <si>
    <t>53f36baf-f1b2-4efc-83df-877c1aa06e3b</t>
  </si>
  <si>
    <t>2025-08-18</t>
  </si>
  <si>
    <t>11:16</t>
  </si>
  <si>
    <t>เลี้ยงปาล์ม</t>
  </si>
  <si>
    <t>5c06795f-b7e7-4de4-8999-d150ce8e12c9</t>
  </si>
  <si>
    <t>b28a9a2a-0935-4402-86e5-ae369a3f8de3</t>
  </si>
  <si>
    <t>2025-08-14</t>
  </si>
  <si>
    <t>7f057e6c-9ac4-49ea-9cbb-74cb344d18ce</t>
  </si>
  <si>
    <t>2025-08-05</t>
  </si>
  <si>
    <t>161e374c-dc59-43f9-962d-c36544563351</t>
  </si>
  <si>
    <t>2025-08-04</t>
  </si>
  <si>
    <t>10:25</t>
  </si>
  <si>
    <t>20aa3ba7-a35e-482d-88fc-d83435200354</t>
  </si>
  <si>
    <t>2025-08-03</t>
  </si>
  <si>
    <t>e4404fa1-3f0c-4228-a3a7-6f1024109db4</t>
  </si>
  <si>
    <t>2025-08-02</t>
  </si>
  <si>
    <t>caeb1b11-8a0b-4d1b-b832-6be9accef08b</t>
  </si>
  <si>
    <t>2025-08-01</t>
  </si>
  <si>
    <t>ec791584-bf3b-4a42-8b65-aa4ed66f6e44</t>
  </si>
  <si>
    <t>เลี้ยงชา</t>
  </si>
  <si>
    <t>08930f20-cd01-4759-b5d2-62766fcd5f9b</t>
  </si>
  <si>
    <t>2025-07-31</t>
  </si>
  <si>
    <t>630e077a-d2dd-42bb-aa8e-146f2a38e395</t>
  </si>
  <si>
    <t>2025-07-30</t>
  </si>
  <si>
    <t>90a72bb0-5f36-487a-b036-e242581dee9f</t>
  </si>
  <si>
    <t>2025-07-26</t>
  </si>
  <si>
    <t>20:20</t>
  </si>
  <si>
    <t>9d61e519-e23c-48ab-86ab-fcf35d43786e</t>
  </si>
  <si>
    <t>932e9541-00bd-407f-b790-08d1d93e256a</t>
  </si>
  <si>
    <t>20:21</t>
  </si>
  <si>
    <t>9bdc799b-81ef-419c-bfe1-a57faf40188c</t>
  </si>
  <si>
    <t>20:22</t>
  </si>
  <si>
    <t>rc_acc_1781955063347_hv85</t>
  </si>
  <si>
    <t>021d3969-b849-407f-97f3-e697347e080d</t>
  </si>
  <si>
    <t>c24f65d7-9e60-4312-ba46-04631a30f34d</t>
  </si>
  <si>
    <t>20:25</t>
  </si>
  <si>
    <t>rc_acc_1781955063348_w3gp</t>
  </si>
  <si>
    <t>aedcf558-7eed-4986-a6aa-50933b352b88</t>
  </si>
  <si>
    <t>2025-07-25</t>
  </si>
  <si>
    <t>2dfe32fe-6072-4f29-8ccf-2e7a785dfa5a</t>
  </si>
  <si>
    <t>a38ce2bb-b8e1-4659-89e2-0a5547b3db1d</t>
  </si>
  <si>
    <t>db03aa6f-a984-4cde-b792-9e50545058ca</t>
  </si>
  <si>
    <t>ea22a9ed-d209-484f-84a0-3d5fabbd8786</t>
  </si>
  <si>
    <t>5c54e58c-b32c-4947-b40f-3f4a0a7764a2</t>
  </si>
  <si>
    <t>1b04cd3d-f262-4b98-b9aa-6dce418307d8</t>
  </si>
  <si>
    <t>dc94dfc7-022c-4f18-b706-d32029acac60</t>
  </si>
  <si>
    <t>f651b07b-332c-4175-8bee-fec2d6deb79c</t>
  </si>
  <si>
    <t>10:16</t>
  </si>
  <si>
    <t>16768bf1-14df-49ba-b0a2-7c0954dfdc88</t>
  </si>
  <si>
    <t>2025-07-20</t>
  </si>
  <si>
    <t>16:24</t>
  </si>
  <si>
    <t>e4b14a02-fc16-42ba-bd55-f3dc8e6d1f0c</t>
  </si>
  <si>
    <t>16:28</t>
  </si>
  <si>
    <t>16f1ea76-992d-4c03-8f32-e3953de92ac6</t>
  </si>
  <si>
    <t>16:29</t>
  </si>
  <si>
    <t>rc_acc_1781955063348_obza</t>
  </si>
  <si>
    <t>9cc67b43-f571-4b49-ad46-753eb75d5a8b</t>
  </si>
  <si>
    <t>16:36</t>
  </si>
  <si>
    <t>66e71667-63de-44fb-b3bb-d135165b4783</t>
  </si>
  <si>
    <t>16:37</t>
  </si>
  <si>
    <t>bfb1198a-8046-4ff2-ab1e-f1ed54cf3542</t>
  </si>
  <si>
    <t>2025-07-17</t>
  </si>
  <si>
    <t>16:23</t>
  </si>
  <si>
    <t>8a675a3c-e271-4134-92f8-01f8bec5216f</t>
  </si>
  <si>
    <t>2025-07-12</t>
  </si>
  <si>
    <t>22:05</t>
  </si>
  <si>
    <t>a43687ae-ada1-4aaf-8e9e-c2bee0edaa06</t>
  </si>
  <si>
    <t>22:11</t>
  </si>
  <si>
    <t>5d91e099-03df-4218-a7cb-b464203aaaa8</t>
  </si>
  <si>
    <t>2025-07-10</t>
  </si>
  <si>
    <t>tablet(10/10)</t>
  </si>
  <si>
    <t>97fe836a-fd12-4982-bd33-5096367e82e2</t>
  </si>
  <si>
    <t>22:10</t>
  </si>
  <si>
    <t>ภคกร</t>
  </si>
  <si>
    <t>91da82f7-eb59-41d5-ada0-3786f859decc</t>
  </si>
  <si>
    <t>2025-07-08</t>
  </si>
  <si>
    <t>22:09</t>
  </si>
  <si>
    <t>d7cb1986-281d-4d2c-a5b3-8f2dbeaeb4ac</t>
  </si>
  <si>
    <t>06be7fd4-137f-4846-92ac-d8a147fd4dd0</t>
  </si>
  <si>
    <t>2025-07-06</t>
  </si>
  <si>
    <t>17:09</t>
  </si>
  <si>
    <t>b8abb7dd-28b5-4b89-92f6-e88fd094fbf2</t>
  </si>
  <si>
    <t>d985fb32-31a5-46fe-8535-c5400b36ff41</t>
  </si>
  <si>
    <t>17:38</t>
  </si>
  <si>
    <t>e92b99d8-dc4c-48f1-88b2-1890b0f9b31a</t>
  </si>
  <si>
    <t>รอเคลียร์</t>
  </si>
  <si>
    <t>a731198b-3915-4de1-a751-baab9d282021</t>
  </si>
  <si>
    <t>17:55</t>
  </si>
  <si>
    <t>คืนยอดเซี่ยงไฮ้</t>
  </si>
  <si>
    <t>79af8583-af74-41d0-896e-523a13e3f9c2</t>
  </si>
  <si>
    <t>2025-07-05</t>
  </si>
  <si>
    <t>16:48</t>
  </si>
  <si>
    <t>7c463f84-ab9f-4a6c-97ab-5a7a12909570</t>
  </si>
  <si>
    <t>17:28</t>
  </si>
  <si>
    <t xml:space="preserve">ยอด shopee เดือน พค 6011</t>
  </si>
  <si>
    <t>f3be3714-aae9-4399-83e5-2ab3f8dc4543</t>
  </si>
  <si>
    <t>17:29</t>
  </si>
  <si>
    <t>6011</t>
  </si>
  <si>
    <t>839df49d-c539-42da-86ee-2b7671d22c71</t>
  </si>
  <si>
    <t>f99ce2cc-f4e7-45ea-a1ee-71b2e8fd71e7</t>
  </si>
  <si>
    <t>2025-07-03</t>
  </si>
  <si>
    <t xml:space="preserve">shopee เดือนก่อน</t>
  </si>
  <si>
    <t>a0722c07-d30f-46be-b424-05d3fa2a274b</t>
  </si>
  <si>
    <t>9212bde3-96f3-4cfd-ab8c-8c1a4d79a847</t>
  </si>
  <si>
    <t>17:13</t>
  </si>
  <si>
    <t>50ec563d-1317-46a7-a9e4-52229590290b</t>
  </si>
  <si>
    <t>56cf2169-be84-4e8b-92cd-0a5e81e2eed0</t>
  </si>
  <si>
    <t>2025-06-29</t>
  </si>
  <si>
    <t>45ad555f-08d6-4819-a74a-a204e7223a48</t>
  </si>
  <si>
    <t>16:55</t>
  </si>
  <si>
    <t>จากเฟิน</t>
  </si>
  <si>
    <t>eb60e6cc-c6a7-438b-b5a8-5a21bf228e0b</t>
  </si>
  <si>
    <t>2025-06-28</t>
  </si>
  <si>
    <t>rc_cat_1781955063347_s4sz_1781955063360_d7jr</t>
  </si>
  <si>
    <t>c609771f-37cd-4352-90ce-843e6c9b1763</t>
  </si>
  <si>
    <t>d304f99e-e79b-4409-ad55-8414cb5d91c9</t>
  </si>
  <si>
    <t>16:45</t>
  </si>
  <si>
    <t>83612570-f51e-40ec-94cd-5131ddb7ace7</t>
  </si>
  <si>
    <t>16:47</t>
  </si>
  <si>
    <t>326f3f20-6ff7-464a-bb9b-cc0fe89b7a58</t>
  </si>
  <si>
    <t>2025-06-25</t>
  </si>
  <si>
    <t>2790a462-3d1c-4629-9ba1-31543678565e</t>
  </si>
  <si>
    <t>a793e180-39d4-4b07-92cd-82372b839c19</t>
  </si>
  <si>
    <t>6016d42b-8cbf-4307-9cca-8f31c9839dbc</t>
  </si>
  <si>
    <t>0163f4b6-0ee2-415c-aebc-0a6fbdf0e5ae</t>
  </si>
  <si>
    <t>3a99f5f9-532e-4989-8df8-26fe1fa1e976</t>
  </si>
  <si>
    <t>64233533-8694-42ae-a94e-8383eef4e0e8</t>
  </si>
  <si>
    <t>df1ab9fe-a469-468c-b52c-6d36b1d7e827</t>
  </si>
  <si>
    <t>6463c318-5087-4276-9ed1-cea432ef7bf7</t>
  </si>
  <si>
    <t>16:43</t>
  </si>
  <si>
    <t>c2cca90a-98a9-4067-8e9c-f061036990c3</t>
  </si>
  <si>
    <t>a709f001-4ee0-410b-9fe2-b48461813b6e</t>
  </si>
  <si>
    <t>19:44</t>
  </si>
  <si>
    <t>rc_acc_1781955063348_hnxg</t>
  </si>
  <si>
    <t>71860c39-a021-4c1b-8374-91d8651e0fd8</t>
  </si>
  <si>
    <t>2025-06-23</t>
  </si>
  <si>
    <t>16:41</t>
  </si>
  <si>
    <t>c1a77d5a-4092-4dfd-a223-4f86903065ee</t>
  </si>
  <si>
    <t>e057f425-59c7-48f3-98c0-4de4ae837e4d</t>
  </si>
  <si>
    <t>2025-06-22</t>
  </si>
  <si>
    <t>16:40</t>
  </si>
  <si>
    <t>c0905649-bcb5-4b03-b36b-4996fe0ea162</t>
  </si>
  <si>
    <t>3a73a8f9-5f1b-4aa1-8cb3-e093187d5d45</t>
  </si>
  <si>
    <t>17:15</t>
  </si>
  <si>
    <t>rc_acc_1781955063358_d7gc</t>
  </si>
  <si>
    <t>da5363ef-e8ae-4938-aa09-66eee7485c46</t>
  </si>
  <si>
    <t>17:35</t>
  </si>
  <si>
    <t>34503005-d0bd-4dcc-902f-35e3687650b5</t>
  </si>
  <si>
    <t>21:39</t>
  </si>
  <si>
    <t xml:space="preserve">ยอด ญป</t>
  </si>
  <si>
    <t>264b93d1-7628-4658-a82a-422ed74cfc18</t>
  </si>
  <si>
    <t>21:53</t>
  </si>
  <si>
    <t>TK2025</t>
  </si>
  <si>
    <t>78a2e09b-0c92-40f1-b960-54e12dda1a1a</t>
  </si>
  <si>
    <t>2025-06-20</t>
  </si>
  <si>
    <t>44bf757b-9099-43ad-b0cb-b6813b086f30</t>
  </si>
  <si>
    <t>7a92ca8a-01b8-4959-9469-e6c9aedf8375</t>
  </si>
  <si>
    <t>2025-06-19</t>
  </si>
  <si>
    <t>16:01</t>
  </si>
  <si>
    <t>ef14b276-07e4-41df-b2f5-dc15ebdca297</t>
  </si>
  <si>
    <t>17:18</t>
  </si>
  <si>
    <t>3956f90e-f400-4844-8845-ab483066f470</t>
  </si>
  <si>
    <t>17:39</t>
  </si>
  <si>
    <t>007f3027-7213-45b2-9612-410508b5110c</t>
  </si>
  <si>
    <t>2025-06-15</t>
  </si>
  <si>
    <t>16:00</t>
  </si>
  <si>
    <t>39cacfa5-0ba2-43d6-8d7b-c03433bca36f</t>
  </si>
  <si>
    <t>2025-06-14</t>
  </si>
  <si>
    <t>15:58</t>
  </si>
  <si>
    <t>47dc323a-2ef0-4953-a6d1-4ff908dab696</t>
  </si>
  <si>
    <t>2bed1b6b-e709-4a63-8e8c-52d6c559f967</t>
  </si>
  <si>
    <t>15:59</t>
  </si>
  <si>
    <t>youtrip</t>
  </si>
  <si>
    <t>7669ea91-7486-4d50-872c-6e48fce9edce</t>
  </si>
  <si>
    <t>17:20</t>
  </si>
  <si>
    <t>2974be33-4570-473d-af96-73a7f269ce93</t>
  </si>
  <si>
    <t>2025-06-10</t>
  </si>
  <si>
    <t>15:56</t>
  </si>
  <si>
    <t>e34c99f2-a678-4677-9944-b3cebb5126bd</t>
  </si>
  <si>
    <t>tablet(9/10)</t>
  </si>
  <si>
    <t>3c317644-79a8-4889-b4fc-33b920504a63</t>
  </si>
  <si>
    <t>2025-06-09</t>
  </si>
  <si>
    <t>rc_acc_1781955063347_omhz</t>
  </si>
  <si>
    <t xml:space="preserve">shopee pay</t>
  </si>
  <si>
    <t>8578c6ea-2767-4bb8-971d-0e611ab89471</t>
  </si>
  <si>
    <t>2025-06-05</t>
  </si>
  <si>
    <t>15:45</t>
  </si>
  <si>
    <t>65bf9469-0865-4b2c-bd0f-d17d90558ebd</t>
  </si>
  <si>
    <t>15:53</t>
  </si>
  <si>
    <t>e5db8138-d048-4a52-925a-c0ba96e78afe</t>
  </si>
  <si>
    <t>c712f45b-fdff-4f34-aa95-8aa6bd167c9f</t>
  </si>
  <si>
    <t>2025-06-04</t>
  </si>
  <si>
    <t>15:48</t>
  </si>
  <si>
    <t>f18f4eae-c679-4c44-9821-75a377b1e4fb</t>
  </si>
  <si>
    <t>19:41</t>
  </si>
  <si>
    <t>c910a38c-76a5-4cbc-ae93-67e2c2a44211</t>
  </si>
  <si>
    <t>2025-05-28</t>
  </si>
  <si>
    <t>53ef8ac2-324f-46c8-b34d-b40b397d09a8</t>
  </si>
  <si>
    <t>2025-05-27</t>
  </si>
  <si>
    <t>f4ced80a-47bf-45fe-9374-958fccc0bc26</t>
  </si>
  <si>
    <t>84f16c2a-deb1-4532-831e-a26a8aeeedea</t>
  </si>
  <si>
    <t>37f38d1f-f509-482a-a632-f96585813e74</t>
  </si>
  <si>
    <t>d4521d48-ff18-41c7-8c59-1e9bf086f027</t>
  </si>
  <si>
    <t>77e90ed7-707a-4393-892c-cf2c5cc1de7a</t>
  </si>
  <si>
    <t>94683b50-d6d4-4e17-914a-f798bdebbb63</t>
  </si>
  <si>
    <t>2f18ecf6-abd3-4136-b2a4-b7ed268b480e</t>
  </si>
  <si>
    <t>c4443064-e77f-4ffe-afd8-452a29ecbb3e</t>
  </si>
  <si>
    <t>2025-05-26</t>
  </si>
  <si>
    <t>45f570c9-0af6-4b7d-b947-4577f5695f34</t>
  </si>
  <si>
    <t>38ec453f-a6cc-4762-9bc3-a86fbc3d952e</t>
  </si>
  <si>
    <t>2025-05-25</t>
  </si>
  <si>
    <t>15:43</t>
  </si>
  <si>
    <t>88070e2f-7217-4c26-ad75-ba189781617f</t>
  </si>
  <si>
    <t>15:46</t>
  </si>
  <si>
    <t xml:space="preserve">kbank card 4282</t>
  </si>
  <si>
    <t>e7009f4e-672e-4cdc-98ca-14fa603db1a5</t>
  </si>
  <si>
    <t>2025-05-24</t>
  </si>
  <si>
    <t>18:27</t>
  </si>
  <si>
    <t>8b9c7c13-6a4d-4f00-9f14-0201a2ea706e</t>
  </si>
  <si>
    <t>18:38</t>
  </si>
  <si>
    <t>673f4adb-a664-4e2d-9fe2-b4d29c559024</t>
  </si>
  <si>
    <t>2025-05-19</t>
  </si>
  <si>
    <t>18:11</t>
  </si>
  <si>
    <t>c6de4575-fbdd-49ef-97c6-5e5c2438c12c</t>
  </si>
  <si>
    <t>2025-05-17</t>
  </si>
  <si>
    <t>4fe3e474-52ef-4286-b69a-3253eff04f1d</t>
  </si>
  <si>
    <t>1c94cc7c-281d-4ba9-8961-bdff26acfc2e</t>
  </si>
  <si>
    <t>2025-05-11</t>
  </si>
  <si>
    <t>18:01</t>
  </si>
  <si>
    <t>ef345c48-97bf-4b70-a90f-4e588bec80c5</t>
  </si>
  <si>
    <t>9adbdd67-6558-4f79-bbe1-66ca2d04c694</t>
  </si>
  <si>
    <t>18:29</t>
  </si>
  <si>
    <t>8a8f822e-c751-4027-82f8-7ec855418a6e</t>
  </si>
  <si>
    <t>2025-05-10</t>
  </si>
  <si>
    <t>tablet(8/10)</t>
  </si>
  <si>
    <t>395bef3f-5136-433b-b89d-0674dd28d175</t>
  </si>
  <si>
    <t>2025-05-08</t>
  </si>
  <si>
    <t>55515609-ff4d-421b-a65f-c2e3848d7435</t>
  </si>
  <si>
    <t>2025-05-05</t>
  </si>
  <si>
    <t>74ee456b-8609-4e8d-ad8d-75b8cd28b6cb</t>
  </si>
  <si>
    <t>21:35</t>
  </si>
  <si>
    <t xml:space="preserve">shanghai trip</t>
  </si>
  <si>
    <t>d8c77897-d02a-4485-9a74-3666f1b6077f</t>
  </si>
  <si>
    <t>2025-04-30</t>
  </si>
  <si>
    <t>18:03</t>
  </si>
  <si>
    <t xml:space="preserve">left in youtrip</t>
  </si>
  <si>
    <t>8f5e7117-f61e-4ffa-a67f-827b74c5c196</t>
  </si>
  <si>
    <t>18:04</t>
  </si>
  <si>
    <t>e61e214b-03bc-4f89-baf2-6b1cee7268f1</t>
  </si>
  <si>
    <t>570ebda8-ddbc-40a1-bfd6-b3f8cd6cc69f</t>
  </si>
  <si>
    <t>2025-04-29</t>
  </si>
  <si>
    <t>19:42</t>
  </si>
  <si>
    <t>3dbc10ef-414a-4506-aa78-0cf0c163b6cd</t>
  </si>
  <si>
    <t>19:43</t>
  </si>
  <si>
    <t>2ad5d141-3f0a-4850-971e-a78c60966a38</t>
  </si>
  <si>
    <t>2025-04-26</t>
  </si>
  <si>
    <t>4d06a5a0-7c85-46e8-b613-079c41762c28</t>
  </si>
  <si>
    <t>18:02</t>
  </si>
  <si>
    <t>9b7feb77-f961-45cc-9c41-4d2dc3da6aac</t>
  </si>
  <si>
    <t>2025-04-25</t>
  </si>
  <si>
    <t>72af7fcb-99bd-4899-be64-08455502e76a</t>
  </si>
  <si>
    <t>d7754a39-8779-4e63-a59c-455a0f34c179</t>
  </si>
  <si>
    <t>a9df26d0-6ed9-42d0-8a69-63771c1ba2e9</t>
  </si>
  <si>
    <t>d1264085-91df-4f3d-b591-c96b13c0785b</t>
  </si>
  <si>
    <t>2e37db8d-3500-4868-a3aa-3f1701973d71</t>
  </si>
  <si>
    <t>f51eb4ee-45e6-4459-8361-078562fa28d6</t>
  </si>
  <si>
    <t>d1820212-ca91-4c0f-914b-f446c6bb69af</t>
  </si>
  <si>
    <t>eb1dae7b-b16c-4947-a0d0-aac151514b58</t>
  </si>
  <si>
    <t>18:21</t>
  </si>
  <si>
    <t>0c0d3583-22c9-46d9-9b8c-479ebda6a305</t>
  </si>
  <si>
    <t>2025-04-15</t>
  </si>
  <si>
    <t>af71b38a-0aef-4bc0-996f-bd3bcdfea01c</t>
  </si>
  <si>
    <t>2025-04-12</t>
  </si>
  <si>
    <t>18:39</t>
  </si>
  <si>
    <t>e742db44-3a23-4187-9594-be57ecd13ea2</t>
  </si>
  <si>
    <t>2025-04-10</t>
  </si>
  <si>
    <t>tablet(7/10)</t>
  </si>
  <si>
    <t>3bda6296-74a9-45bc-9fb8-d6542cda9309</t>
  </si>
  <si>
    <t>2025-04-06</t>
  </si>
  <si>
    <t>62de0c8b-ab34-4b66-aef6-1ca1af8b5e21</t>
  </si>
  <si>
    <t>2025-04-04</t>
  </si>
  <si>
    <t>12:17</t>
  </si>
  <si>
    <t>55c57f50-398a-424a-acc1-2e1f3bdd9062</t>
  </si>
  <si>
    <t>12:18</t>
  </si>
  <si>
    <t>56ed0e91-91b3-4ea1-b899-64100a1064bd</t>
  </si>
  <si>
    <t>2025-04-01</t>
  </si>
  <si>
    <t>f1b43b58-d3a1-4c3a-88fe-541db4ca0a26</t>
  </si>
  <si>
    <t>2025-03-31</t>
  </si>
  <si>
    <t>09:07</t>
  </si>
  <si>
    <t>faa98b8e-f9fe-44e2-83bc-41c1b581e706</t>
  </si>
  <si>
    <t>2025-03-30</t>
  </si>
  <si>
    <t>09:08</t>
  </si>
  <si>
    <t>207faf00-466a-4ce1-8f53-5a585d68c886</t>
  </si>
  <si>
    <t>09:10</t>
  </si>
  <si>
    <t>65862726-ead2-43b8-972c-889f5af99f6f</t>
  </si>
  <si>
    <t>8dc7ec33-e02f-40cf-b31c-dd858c2e6c39</t>
  </si>
  <si>
    <t>9e0e01d4-ec04-4bcd-aaf7-1632be74a52e</t>
  </si>
  <si>
    <t>2025-03-29</t>
  </si>
  <si>
    <t>13:25</t>
  </si>
  <si>
    <t>ซาลาเปาไหว้เชงเม้ง</t>
  </si>
  <si>
    <t>c5aff016-696d-44cd-8cae-a9d4aa35a3a8</t>
  </si>
  <si>
    <t>13:27</t>
  </si>
  <si>
    <t>05425e62-c9d9-4b96-8f71-a3051f3c8604</t>
  </si>
  <si>
    <t>2025-03-27</t>
  </si>
  <si>
    <t>2d23142b-3460-4f3c-bd11-5bb8716b7b46</t>
  </si>
  <si>
    <t>2025-03-25</t>
  </si>
  <si>
    <t>aa573499-5146-4690-a039-078345b641af</t>
  </si>
  <si>
    <t>5c1136c9-600b-4a73-a961-64b4078728fc</t>
  </si>
  <si>
    <t>3651cdeb-5a3d-4079-8990-ccc80aa74940</t>
  </si>
  <si>
    <t>84aaa1ac-2d18-4c66-bb20-0db1e36f30e7</t>
  </si>
  <si>
    <t>7b34b131-ff70-4f1f-922e-7ea88954796a</t>
  </si>
  <si>
    <t>8c4aa026-c947-4307-a58d-5adfb55bc793</t>
  </si>
  <si>
    <t>0c5826cb-bd78-48bc-aed3-d7fe58e7ea46</t>
  </si>
  <si>
    <t>2098f84b-d61f-43a7-81cc-c5022aae19f2</t>
  </si>
  <si>
    <t>2025-03-23</t>
  </si>
  <si>
    <t>11:50</t>
  </si>
  <si>
    <t>cb2bff7e-4eec-4c44-9d94-ea9912089ea5</t>
  </si>
  <si>
    <t>11:52</t>
  </si>
  <si>
    <t>ac7f5b25-0baf-4cef-97d7-cea76463e2dd</t>
  </si>
  <si>
    <t>14:09</t>
  </si>
  <si>
    <t>2420df06-dd2f-4030-a3d0-fd44eced35a9</t>
  </si>
  <si>
    <t>14:26</t>
  </si>
  <si>
    <t xml:space="preserve">Tokyo 2025</t>
  </si>
  <si>
    <t>9247c390-53e8-409c-a0e5-265fa4481cc8</t>
  </si>
  <si>
    <t>14:27</t>
  </si>
  <si>
    <t>H&amp;M</t>
  </si>
  <si>
    <t>db1acb03-519f-46d9-9936-990511e73bea</t>
  </si>
  <si>
    <t>14:30</t>
  </si>
  <si>
    <t>a792390b-5598-46b6-97b5-964a92b1ca03</t>
  </si>
  <si>
    <t>rc_cat_1781955063347_04qb_1781955063361_s1n1</t>
  </si>
  <si>
    <t xml:space="preserve">เบี้ยจริง 23294 บวกหัก 1800 หักคอย 1361.25 บวกจุกจิก 2344</t>
  </si>
  <si>
    <t>65740a53-e09f-4a82-a8e5-2f065fd72237</t>
  </si>
  <si>
    <t xml:space="preserve">คืนยอด 9 มีค</t>
  </si>
  <si>
    <t>957e8204-9261-429b-bbd0-46be0d1cd5dc</t>
  </si>
  <si>
    <t>14:41</t>
  </si>
  <si>
    <t>ea108092-1c66-4be4-958f-c90a7c3cde7d</t>
  </si>
  <si>
    <t>14:45</t>
  </si>
  <si>
    <t>6f758c79-7b16-421d-ba70-aeac7ff74d47</t>
  </si>
  <si>
    <t>2025-03-10</t>
  </si>
  <si>
    <t>tablet(6/10)</t>
  </si>
  <si>
    <t>094e8bdd-e2a1-4c06-b535-706cc5ea1020</t>
  </si>
  <si>
    <t>10:53</t>
  </si>
  <si>
    <t>52cba671-8f9d-48e9-9cbb-7603b85b52ff</t>
  </si>
  <si>
    <t>e0564ff9-e263-4d17-bcf0-f1c01ae30ee2</t>
  </si>
  <si>
    <t>2025-03-08</t>
  </si>
  <si>
    <t>139fef94-848e-444e-8fd6-78b1cbcabcdf</t>
  </si>
  <si>
    <t>10:48</t>
  </si>
  <si>
    <t>kkp</t>
  </si>
  <si>
    <t>43c6c31e-9577-42d3-8150-23708fbaa74d</t>
  </si>
  <si>
    <t>10:51</t>
  </si>
  <si>
    <t>ของพลีส</t>
  </si>
  <si>
    <t>f0357cc1-9e99-4ae3-9707-7e359807b7fb</t>
  </si>
  <si>
    <t>2025-03-02</t>
  </si>
  <si>
    <t>10:49</t>
  </si>
  <si>
    <t>ea12945d-75a0-492a-982a-b60b4b671b6d</t>
  </si>
  <si>
    <t>13:40</t>
  </si>
  <si>
    <t>da35e1ea-e0f3-4b58-b3b1-c62d282d0a94</t>
  </si>
  <si>
    <t>13:42</t>
  </si>
  <si>
    <t xml:space="preserve">tonshin ramen ยอดรวม 1730</t>
  </si>
  <si>
    <t>94d82c34-609f-453b-91f7-428e8175e264</t>
  </si>
  <si>
    <t>2025-03-01</t>
  </si>
  <si>
    <t>5d642115-18e3-458f-80b7-5838ee70c5eb</t>
  </si>
  <si>
    <t>48c6f056-adb6-4193-8a80-469af253036d</t>
  </si>
  <si>
    <t>2025-02-28</t>
  </si>
  <si>
    <t>a62daf58-5fa4-40c7-86a1-90475ffa0953</t>
  </si>
  <si>
    <t>13:47</t>
  </si>
  <si>
    <t>6872335c-f083-4005-85c2-46433ad213f6</t>
  </si>
  <si>
    <t>2025-02-26</t>
  </si>
  <si>
    <t>10:30</t>
  </si>
  <si>
    <t>จ่ายค่าไฟ</t>
  </si>
  <si>
    <t>b3d9d314-0bf0-45b3-bc82-717c2b1ba5a2</t>
  </si>
  <si>
    <t>2025-02-25</t>
  </si>
  <si>
    <t>33e09a17-e5a5-416b-bf2f-9e5d40801788</t>
  </si>
  <si>
    <t>8939cbc7-5989-4b60-8ce0-cbf105600b3d</t>
  </si>
  <si>
    <t>ab510b13-bbdc-4885-bfef-85ba38299116</t>
  </si>
  <si>
    <t>121fdcad-10d8-44b9-be68-b4143563aac8</t>
  </si>
  <si>
    <t>fb86c2c4-05de-4b70-9f5e-58d93d05f434</t>
  </si>
  <si>
    <t>cfdfbd8a-62c2-4f29-86e5-e732af825283</t>
  </si>
  <si>
    <t>f209c040-72ac-4a24-85b3-c0b2a12b0da7</t>
  </si>
  <si>
    <t>196fa781-ab34-428f-8c20-213d4c8ea5ef</t>
  </si>
  <si>
    <t>8da6c892-d4ab-4fed-8583-cf397a89e4fc</t>
  </si>
  <si>
    <t>da05655f-b023-4056-8cc7-71ed1263e611</t>
  </si>
  <si>
    <t>2025-02-23</t>
  </si>
  <si>
    <t>11:49</t>
  </si>
  <si>
    <t>การ์ดจอ</t>
  </si>
  <si>
    <t>7993bf36-d325-46cc-98cf-9903e4b7ddcb</t>
  </si>
  <si>
    <t>12:00</t>
  </si>
  <si>
    <t>e0a8d95e-125e-438e-8391-1fd73c35392d</t>
  </si>
  <si>
    <t>fcefd130-8970-49b9-a77c-faddfac91f4b</t>
  </si>
  <si>
    <t>13:54</t>
  </si>
  <si>
    <t>80569601-4f6b-42a1-8a6e-15b595a31acb</t>
  </si>
  <si>
    <t>15:02</t>
  </si>
  <si>
    <t xml:space="preserve">JP25 Tokyo ตั๋วบินกลับโตเกียว 6913 ได้ส่วนต่าง 1154 หักยอด 19181</t>
  </si>
  <si>
    <t>e55fed45-7d73-4831-abed-c17bb52f6a8b</t>
  </si>
  <si>
    <t>15:03</t>
  </si>
  <si>
    <t xml:space="preserve">ยอดกองกลางเงินเยน หักยอด 19181</t>
  </si>
  <si>
    <t>8f9dbdef-da15-46ea-8281-2eca0c059bbc</t>
  </si>
  <si>
    <t>15:11</t>
  </si>
  <si>
    <t>คืนยอด</t>
  </si>
  <si>
    <t>c3b48f9d-ee88-4768-9b1d-3ff55b23fdb2</t>
  </si>
  <si>
    <t>15:18</t>
  </si>
  <si>
    <t xml:space="preserve">daily food janfeb</t>
  </si>
  <si>
    <t>862f1288-d18a-44bb-af62-f479044bdd28</t>
  </si>
  <si>
    <t>15:22</t>
  </si>
  <si>
    <t xml:space="preserve">shoping youtube</t>
  </si>
  <si>
    <t>c811914a-aec7-4597-87c1-fa06298eaa6b</t>
  </si>
  <si>
    <t>f25a7a93-535b-48b7-9f15-563318e06ec4</t>
  </si>
  <si>
    <t>29e3c58b-b660-425f-897c-723edd6dca96</t>
  </si>
  <si>
    <t>15:27</t>
  </si>
  <si>
    <t>2906d9bd-e193-4bff-958c-edac7f19006e</t>
  </si>
  <si>
    <t>2025-02-22</t>
  </si>
  <si>
    <t>15:17</t>
  </si>
  <si>
    <t xml:space="preserve">1515 915 1515 915</t>
  </si>
  <si>
    <t>95689aaf-69ba-4a64-ba26-549ed360d22d</t>
  </si>
  <si>
    <t>15:38</t>
  </si>
  <si>
    <t>201a1cbd-d3f1-428f-8631-f50dcc4930e3</t>
  </si>
  <si>
    <t>2025-02-21</t>
  </si>
  <si>
    <t>bb2739ed-00b2-46c8-82c2-fe02cea4dbb3</t>
  </si>
  <si>
    <t>2025-02-19</t>
  </si>
  <si>
    <t>61ad7358-108d-4bd6-975a-dfbe49330863</t>
  </si>
  <si>
    <t>2025-02-14</t>
  </si>
  <si>
    <t>15:15</t>
  </si>
  <si>
    <t xml:space="preserve">cake p surach</t>
  </si>
  <si>
    <t>d10fac0f-824f-4281-a19d-499a42712631</t>
  </si>
  <si>
    <t>2025-02-13</t>
  </si>
  <si>
    <t>93038872-027f-49f9-97b6-1f443d37c01e</t>
  </si>
  <si>
    <t>15:16</t>
  </si>
  <si>
    <t>65748fb2-ab3f-469c-8b1e-0d4b0bfe681a</t>
  </si>
  <si>
    <t>2025-02-10</t>
  </si>
  <si>
    <t>tablet(5/10)</t>
  </si>
  <si>
    <t>c02d49d4-5283-41eb-a552-27e086984656</t>
  </si>
  <si>
    <t>2025-02-09</t>
  </si>
  <si>
    <t>15:13</t>
  </si>
  <si>
    <t>894935d3-721c-46ba-90f6-6fbd2261c4b3</t>
  </si>
  <si>
    <t>2025-02-04</t>
  </si>
  <si>
    <t>15:12</t>
  </si>
  <si>
    <t>d2120bd9-877e-4a4b-8b6f-c80d5cc61f89</t>
  </si>
  <si>
    <t>2025-02-01</t>
  </si>
  <si>
    <t xml:space="preserve">ชำระยอด shopee มค</t>
  </si>
  <si>
    <t>8a08e641-282e-4198-b156-30559318b246</t>
  </si>
  <si>
    <t>2025-01-30</t>
  </si>
  <si>
    <t>15:14</t>
  </si>
  <si>
    <t xml:space="preserve">ค่ากินเดือน มค</t>
  </si>
  <si>
    <t>8dc82f05-de23-4d92-bfba-4d2ca2aa45c8</t>
  </si>
  <si>
    <t>2025-01-28</t>
  </si>
  <si>
    <t>0edff1f8-0b42-4cf3-abfc-64e109573b54</t>
  </si>
  <si>
    <t>2025-01-26</t>
  </si>
  <si>
    <t>15:33</t>
  </si>
  <si>
    <t>9c227e9b-bd9f-4614-ab8c-225fa8880314</t>
  </si>
  <si>
    <t>2025-01-25</t>
  </si>
  <si>
    <t>5ec36940-36fb-4080-aa12-fd5a020639b6</t>
  </si>
  <si>
    <t>98194085-51d3-4832-a8ce-2df198bc5924</t>
  </si>
  <si>
    <t>aabfc854-68d4-42cf-ba8f-3f6eaaf09176</t>
  </si>
  <si>
    <t>b8055fcb-c101-4e28-a4b6-dc3a40d77ecf</t>
  </si>
  <si>
    <t>1dff4b7e-f303-4043-951c-9bd1592a70f4</t>
  </si>
  <si>
    <t>9ebe5773-cda6-45d6-904f-b5e2554380de</t>
  </si>
  <si>
    <t>35150266-08ac-4528-a7dd-0e7abe374647</t>
  </si>
  <si>
    <t>60cf8719-4596-4e66-98e3-557395953fcb</t>
  </si>
  <si>
    <t>2025-01-24</t>
  </si>
  <si>
    <t>23:13</t>
  </si>
  <si>
    <t>cb83fe01-ebbb-46d4-afbd-f48aa117358c</t>
  </si>
  <si>
    <t>23:14</t>
  </si>
  <si>
    <t>แต๊ะเอีย</t>
  </si>
  <si>
    <t>caf8577e-2a03-4ca8-9506-db332fc29318</t>
  </si>
  <si>
    <t>23:15</t>
  </si>
  <si>
    <t xml:space="preserve">xing fu tang</t>
  </si>
  <si>
    <t>93b71c6f-b9ed-46c3-a3f7-8135c750f721</t>
  </si>
  <si>
    <t>23:56</t>
  </si>
  <si>
    <t>62684e39-88f3-4dc1-b6e3-cefa3cf966d7</t>
  </si>
  <si>
    <t>2025-01-23</t>
  </si>
  <si>
    <t>23:12</t>
  </si>
  <si>
    <t>0f3b2c8b-7894-4049-986d-504b69c9cee9</t>
  </si>
  <si>
    <t>2025-01-22</t>
  </si>
  <si>
    <t>สลากงานปีใหม่</t>
  </si>
  <si>
    <t>35a8bb75-05e2-457e-90d7-a69498883cf5</t>
  </si>
  <si>
    <t>2025-01-20</t>
  </si>
  <si>
    <t>23:11</t>
  </si>
  <si>
    <t>6c3ba4f2-856d-4944-b7d4-f411eb9e01ac</t>
  </si>
  <si>
    <t>2025-01-19</t>
  </si>
  <si>
    <t>20:23</t>
  </si>
  <si>
    <t>c9d6abac-d9f4-4687-9cdf-bdd71983ebbe</t>
  </si>
  <si>
    <t>9862a96d-6d79-4608-9e8b-69cdf3894da8</t>
  </si>
  <si>
    <t>20:24</t>
  </si>
  <si>
    <t>7d2a3640-66e1-4ad3-b434-6e44c10f37ad</t>
  </si>
  <si>
    <t xml:space="preserve">JP25 Tokyo ตั๋วบินโอซาก้า</t>
  </si>
  <si>
    <t>b5b1a2da-0b8b-4aa1-bbad-ac697e9c48f2</t>
  </si>
  <si>
    <t>2025-01-16</t>
  </si>
  <si>
    <t xml:space="preserve">Columbia snow shoes</t>
  </si>
  <si>
    <t>4b5292e5-2df8-49d7-8b76-5a6d0e6efe04</t>
  </si>
  <si>
    <t>2025-01-12</t>
  </si>
  <si>
    <t xml:space="preserve">Monday bruce</t>
  </si>
  <si>
    <t>adc8d9bf-18e0-4a71-bd5c-4d18354f5719</t>
  </si>
  <si>
    <t>2025-01-10</t>
  </si>
  <si>
    <t>15:08</t>
  </si>
  <si>
    <t>6655bc4b-b733-47db-aee0-810481be780a</t>
  </si>
  <si>
    <t>20:06</t>
  </si>
  <si>
    <t>7854b15c-fea5-4d3b-8e5c-0bf5005a461d</t>
  </si>
  <si>
    <t>tablet(4/10)</t>
  </si>
  <si>
    <t>98ddf453-860b-4647-bc9f-e64bc6eae908</t>
  </si>
  <si>
    <t>2025-01-06</t>
  </si>
  <si>
    <t>15:28</t>
  </si>
  <si>
    <t>00084c57-b1f8-4bbd-b7fa-5c8ae9001dfe</t>
  </si>
  <si>
    <t>2024-12-31</t>
  </si>
  <si>
    <t>20:07</t>
  </si>
  <si>
    <t>4f8d7f14-e025-477b-9842-b6750302e926</t>
  </si>
  <si>
    <t>20:15</t>
  </si>
  <si>
    <t>a547009f-0acf-4535-bd12-158587084439</t>
  </si>
  <si>
    <t>20:17</t>
  </si>
  <si>
    <t>แปรงไฟฟ้า</t>
  </si>
  <si>
    <t>40c36f89-d2a4-4290-ad33-c269e1a8e186</t>
  </si>
  <si>
    <t>20:18</t>
  </si>
  <si>
    <t xml:space="preserve">เสื้อ h&amp;m</t>
  </si>
  <si>
    <t>98e4dabc-53ae-4873-9d9f-9dc1b68298cd</t>
  </si>
  <si>
    <t>2024-12-30</t>
  </si>
  <si>
    <t>20:05</t>
  </si>
  <si>
    <t>fbc3c514-e4ff-4d0c-8e83-adbd8ac4cd8a</t>
  </si>
  <si>
    <t>2024-12-28</t>
  </si>
  <si>
    <t>20:04</t>
  </si>
  <si>
    <t>d37e4e3c-bce1-45f6-88dd-29f86f9144a4</t>
  </si>
  <si>
    <t>2024-12-27</t>
  </si>
  <si>
    <t>10:18</t>
  </si>
  <si>
    <t>ce6190b0-7e60-486a-aca6-ecddd5bd266a</t>
  </si>
  <si>
    <t>15:30</t>
  </si>
  <si>
    <t>529b66be-4b4f-4333-88ed-e1317a690a0d</t>
  </si>
  <si>
    <t>20:03</t>
  </si>
  <si>
    <t>45fec448-5f63-4ec1-97fd-40abf408e961</t>
  </si>
  <si>
    <t>2024-12-26</t>
  </si>
  <si>
    <t>10:12</t>
  </si>
  <si>
    <t xml:space="preserve">เงินสด JPY</t>
  </si>
  <si>
    <t>35880683-6ba2-483c-9480-505121b9fb7f</t>
  </si>
  <si>
    <t>2024-12-25</t>
  </si>
  <si>
    <t>c27e2fbc-8168-49c4-ad70-6d7d89889dbc</t>
  </si>
  <si>
    <t>cbfa0b83-c11e-4b98-85d4-3c47c510f4a7</t>
  </si>
  <si>
    <t>rc_acc_1781955063347_bwow</t>
  </si>
  <si>
    <t>83cef1e5-dadb-43fa-aefa-b9ec7757805f</t>
  </si>
  <si>
    <t>rc_acc_1781955063347_mzbn</t>
  </si>
  <si>
    <t>6b05405e-7abe-4bf8-ad12-2f8d3b07f647</t>
  </si>
  <si>
    <t>5e5b2c2f-d62e-48c3-8234-2da9abbd2d86</t>
  </si>
  <si>
    <t>d46bef21-5711-4a7d-85e4-bac87813e653</t>
  </si>
  <si>
    <t>fa37be05-6738-4d7c-9e38-4082431f0685</t>
  </si>
  <si>
    <t>5545c807-c013-4378-82c4-a824f976203d</t>
  </si>
  <si>
    <t>10:11</t>
  </si>
  <si>
    <t>297e1c8c-c6c0-41e1-8926-7c5772ccb541</t>
  </si>
  <si>
    <t xml:space="preserve">trine aeonend playpass</t>
  </si>
  <si>
    <t>1d1a52fc-3146-4c09-b4d9-f7380977607f</t>
  </si>
  <si>
    <t>b781d4c4-f738-4b0b-b1a3-fb2a3f408263</t>
  </si>
  <si>
    <t>af6e0b81-bfee-429c-936f-13ae374d1634</t>
  </si>
  <si>
    <t>89660da6-1cc2-43cb-baf4-0ebc79428605</t>
  </si>
  <si>
    <t>10:57</t>
  </si>
  <si>
    <t xml:space="preserve">จับของขวัญ กล่องสุ่ม</t>
  </si>
  <si>
    <t>d50db02d-909b-4aef-a723-56e8dc368f93</t>
  </si>
  <si>
    <t>2024-12-22</t>
  </si>
  <si>
    <t xml:space="preserve">เงินเดือน ธค มค</t>
  </si>
  <si>
    <t>6e16a11f-44f2-40b2-a9d6-f87bbd91523b</t>
  </si>
  <si>
    <t>10:50</t>
  </si>
  <si>
    <t>ทำบุญบ้าน</t>
  </si>
  <si>
    <t>e8cd53fd-b446-43fd-a8c4-a5a4f6f1b436</t>
  </si>
  <si>
    <t>2024-12-21</t>
  </si>
  <si>
    <t>11:00</t>
  </si>
  <si>
    <t>47354885-3d1f-4df3-bfcd-295e199d0c4d</t>
  </si>
  <si>
    <t>11:04</t>
  </si>
  <si>
    <t>swensens</t>
  </si>
  <si>
    <t>183e3ac3-7334-4f68-b86e-e58e4380c71d</t>
  </si>
  <si>
    <t>2024-12-20</t>
  </si>
  <si>
    <t>10:58</t>
  </si>
  <si>
    <t>1a45b3d9-777e-4c75-b0b8-3eed433a8d6a</t>
  </si>
  <si>
    <t>2024-12-19</t>
  </si>
  <si>
    <t>11:01</t>
  </si>
  <si>
    <t>bdf94563-ef13-4b66-8752-bd63dfbf2ae4</t>
  </si>
  <si>
    <t>2024-12-12</t>
  </si>
  <si>
    <t>11:05</t>
  </si>
  <si>
    <t>caadd911-2159-40f0-9c35-c561b2aa4a58</t>
  </si>
  <si>
    <t>2024-12-10</t>
  </si>
  <si>
    <t>15fda78d-533c-45e2-964a-291b5ebaaa59</t>
  </si>
  <si>
    <t>tablet(3/10)</t>
  </si>
  <si>
    <t>c6e77d2b-1773-44ca-af54-4be0aa2dca45</t>
  </si>
  <si>
    <t>2024-12-07</t>
  </si>
  <si>
    <t>11:03</t>
  </si>
  <si>
    <t xml:space="preserve">เขาใหญ่ ชาหน้าผา 695 คูปอง 600</t>
  </si>
  <si>
    <t>7c471856-a2ed-48fa-b1f0-33c834118ad4</t>
  </si>
  <si>
    <t>2024-12-06</t>
  </si>
  <si>
    <t>947f4d2a-63e9-426e-b34b-85f20acdac08</t>
  </si>
  <si>
    <t>2024-12-05</t>
  </si>
  <si>
    <t>20:36</t>
  </si>
  <si>
    <t>b0e57b00-0c5f-453e-914a-80671355a2ee</t>
  </si>
  <si>
    <t>b7d61610-a855-4827-b180-3f75b85fdec5</t>
  </si>
  <si>
    <t>ส่วนกลางคอนโด</t>
  </si>
  <si>
    <t>f7b487b6-7e0a-4fd2-9e2d-d383ca54e594</t>
  </si>
  <si>
    <t>20:37</t>
  </si>
  <si>
    <t>745f824e-e178-451f-8fd0-3131bc7fa320</t>
  </si>
  <si>
    <t>20:39</t>
  </si>
  <si>
    <t>79cc2cda-0cfb-438b-8552-e32a9c09d5a5</t>
  </si>
  <si>
    <t>2024-12-01</t>
  </si>
  <si>
    <t>82ff6ff7-e541-4f3d-a247-f4f2c6a78b66</t>
  </si>
  <si>
    <t>e27241ca-8008-4643-baa9-5a546ca16127</t>
  </si>
  <si>
    <t>15:25</t>
  </si>
  <si>
    <t>9c609c4c-9757-4a69-a49c-08c7822c3e47</t>
  </si>
  <si>
    <t>rc_acc_1781955063347_sv7p</t>
  </si>
  <si>
    <t>568f0538-58be-4aa5-bb50-6e343acc2141</t>
  </si>
  <si>
    <t>16:02</t>
  </si>
  <si>
    <t>rc_acc_1781955063347_tvnx</t>
  </si>
  <si>
    <t>2866f551-e51c-48e7-9265-b48fadb50a03</t>
  </si>
  <si>
    <t>rc_acc_1781955063348_bs00</t>
  </si>
  <si>
    <t>174b530d-3567-4004-a65e-ed59a8728c21</t>
  </si>
  <si>
    <t>rc_acc_1781955063358_dohc</t>
  </si>
  <si>
    <t>96f41cbe-b87f-49c5-b8ef-e959d8f0a959</t>
  </si>
  <si>
    <t>2024-11-30</t>
  </si>
  <si>
    <t>14:43</t>
  </si>
  <si>
    <t>55ba30c9-750c-456e-ac8f-95fc180fe4df</t>
  </si>
  <si>
    <t>569ce67b-38ae-4bd9-975f-2a48deef19e3</t>
  </si>
  <si>
    <t>5a0157aa-c35b-4004-b75c-186210e93fea</t>
  </si>
  <si>
    <t>2024-11-25</t>
  </si>
  <si>
    <t>188c69a1-aac0-4bce-b740-9f1d7a05cbc0</t>
  </si>
  <si>
    <t>9d7265bb-f4f4-4c6a-9131-5f7ff0c18aa4</t>
  </si>
  <si>
    <t>bcdf91e6-af28-4f5e-8877-35f1f3b814bb</t>
  </si>
  <si>
    <t>5f52a83e-e00c-443d-8d07-bd6f5f09638f</t>
  </si>
  <si>
    <t>32391760-4089-4db9-ab56-9619bbd292e0</t>
  </si>
  <si>
    <t>6a011040-352f-4eb5-990e-158b4d38bb15</t>
  </si>
  <si>
    <t>258dd5f8-6f30-4e3f-9607-e1d7da8e8ad5</t>
  </si>
  <si>
    <t>7b221ef2-4d97-4434-9e80-074be1ad1cbb</t>
  </si>
  <si>
    <t>2024-11-23</t>
  </si>
  <si>
    <t>09:59</t>
  </si>
  <si>
    <t>5ed74143-617f-49c5-a24b-9267fa97be33</t>
  </si>
  <si>
    <t>a263838a-2e65-440e-a036-5e008444c1d8</t>
  </si>
  <si>
    <t>10:00</t>
  </si>
  <si>
    <t>b8fcd497-c8ad-490e-bb0d-f935ea154c17</t>
  </si>
  <si>
    <t>10:17</t>
  </si>
  <si>
    <t>62d58583-155d-4f1d-91d1-d2eeed2c7527</t>
  </si>
  <si>
    <t>entertain_1781955063348_gj0i</t>
  </si>
  <si>
    <t>b69d31a9-a1a1-4b17-8684-ab19e2ab9110</t>
  </si>
  <si>
    <t>ef450157-7955-4ca9-90a1-424fa02574e5</t>
  </si>
  <si>
    <t>10:19</t>
  </si>
  <si>
    <t>7edca61a-5354-4e3a-afb8-17e32beb5309</t>
  </si>
  <si>
    <t>17094dab-4b7e-404c-9003-a337faf3a900</t>
  </si>
  <si>
    <t>e68e1ced-99c0-4a2c-a577-85a4fff81288</t>
  </si>
  <si>
    <t>10:22</t>
  </si>
  <si>
    <t>928da231-6a1d-48e1-9374-5c9cdcb0a0ce</t>
  </si>
  <si>
    <t>2dd68a8e-fa12-4384-8f74-351bc27cd956</t>
  </si>
  <si>
    <t>10:24</t>
  </si>
  <si>
    <t>30f01f48-c8e9-4762-accb-2370d76299ca</t>
  </si>
  <si>
    <t>e14dc89d-6038-4c04-98f2-caa5a0cd7458</t>
  </si>
  <si>
    <t>2024-11-22</t>
  </si>
  <si>
    <t>10:21</t>
  </si>
  <si>
    <t>0ffa797b-c4fb-4b71-8b59-55121563683b</t>
  </si>
  <si>
    <t>2024-11-20</t>
  </si>
  <si>
    <t>88556133-e51c-45e4-89e0-75cf27ccfada</t>
  </si>
  <si>
    <t>2024-11-17</t>
  </si>
  <si>
    <t>17:44</t>
  </si>
  <si>
    <t>d2fc5916-ef22-4ee7-955a-0d828727e1a7</t>
  </si>
  <si>
    <t>20:41</t>
  </si>
  <si>
    <t>samsung</t>
  </si>
  <si>
    <t>2eed2785-43bf-460c-906b-9527b73f83f9</t>
  </si>
  <si>
    <t>20:42</t>
  </si>
  <si>
    <t xml:space="preserve">youtube app</t>
  </si>
  <si>
    <t>5cf74426-8a1f-483c-96f4-612db5976db8</t>
  </si>
  <si>
    <t>2024-11-16</t>
  </si>
  <si>
    <t>ae048535-ee12-47ed-9221-43c309300138</t>
  </si>
  <si>
    <t>2024-11-11</t>
  </si>
  <si>
    <t>16:15</t>
  </si>
  <si>
    <t>4d6bc44a-c636-4042-9b32-10e6dd7a2fb1</t>
  </si>
  <si>
    <t>2024-11-10</t>
  </si>
  <si>
    <t>4652eb3b-b5d8-4b65-98af-d6028d88d578</t>
  </si>
  <si>
    <t>tablet(2/10)</t>
  </si>
  <si>
    <t>edbbb1e3-3b96-4ca9-a0aa-95e7fac14385</t>
  </si>
  <si>
    <t>2024-11-07</t>
  </si>
  <si>
    <t>13:30</t>
  </si>
  <si>
    <t>45015d7f-1f47-41e0-9124-62632838aa60</t>
  </si>
  <si>
    <t>754d0d57-fa28-407d-9ef8-1f4917638f37</t>
  </si>
  <si>
    <t>2024-11-05</t>
  </si>
  <si>
    <t>arno's</t>
  </si>
  <si>
    <t>96f4d6e3-c0b5-4b8f-a1a4-255bf45c6887</t>
  </si>
  <si>
    <t>2024-11-02</t>
  </si>
  <si>
    <t>2e4821c7-390a-482a-9730-0982c991683e</t>
  </si>
  <si>
    <t xml:space="preserve">บาบิก้อน เสวนเซน 2 พย</t>
  </si>
  <si>
    <t>87f3c049-a411-477b-829a-c49cdcbf1023</t>
  </si>
  <si>
    <t>c69fc693-d090-4a82-9447-048c964a0c16</t>
  </si>
  <si>
    <t>13:41</t>
  </si>
  <si>
    <t>บาบิก้อน</t>
  </si>
  <si>
    <t>1977680b-7fdd-498d-b8e0-12003939d31d</t>
  </si>
  <si>
    <t>2024-10-31</t>
  </si>
  <si>
    <t>7a249d55-8e85-4ea7-991e-333a035694e1</t>
  </si>
  <si>
    <t>16:17</t>
  </si>
  <si>
    <t>be6fac51-7cca-4800-b9a6-18e465641b58</t>
  </si>
  <si>
    <t>16:20</t>
  </si>
  <si>
    <t>6197a5f3-0b53-4a34-a98f-a975a9d4d479</t>
  </si>
  <si>
    <t>20:45</t>
  </si>
  <si>
    <t>888d84bf-ace0-4695-b1f4-3e20db25f6cf</t>
  </si>
  <si>
    <t>2024-10-27</t>
  </si>
  <si>
    <t>20:46</t>
  </si>
  <si>
    <t>894c857e-8a4d-4166-ba3a-3657c6a6c1e2</t>
  </si>
  <si>
    <t>เสน่ห์ชาย</t>
  </si>
  <si>
    <t>e2848739-7184-480d-9dcd-9a38d1d5a15b</t>
  </si>
  <si>
    <t>50f3e567-1029-4c6d-8106-9889680eacb4</t>
  </si>
  <si>
    <t>2024-10-25</t>
  </si>
  <si>
    <t>0c1a09d6-4f9a-493c-bfa0-426874044c8e</t>
  </si>
  <si>
    <t>c8a23c26-d0f0-451d-94d0-950097881c08</t>
  </si>
  <si>
    <t>f7aba151-bd41-4f09-b006-daed94b4f67f</t>
  </si>
  <si>
    <t>3ebf10ce-f1a6-45c1-88a1-99b1c8ee6e96</t>
  </si>
  <si>
    <t>360a11f4-e403-4a79-a6c5-558f4c05f493</t>
  </si>
  <si>
    <t>f8a44938-1b27-4110-a580-51f9538a4cb1</t>
  </si>
  <si>
    <t>1bd8ff4f-55b5-4a1e-9068-8680fe43d35d</t>
  </si>
  <si>
    <t>02e78fd8-51ed-4bbf-9102-b10a8f0d2c8f</t>
  </si>
  <si>
    <t>รักษาเกินสิทธิ</t>
  </si>
  <si>
    <t>fec14d94-b174-4bbe-84d7-bff16b4e3f93</t>
  </si>
  <si>
    <t>2024-10-22</t>
  </si>
  <si>
    <t>16:10</t>
  </si>
  <si>
    <t>02db2fb5-5ef1-4d2f-a3e2-8b44ab4c46d4</t>
  </si>
  <si>
    <t>20:47</t>
  </si>
  <si>
    <t>1eb901eb-8a72-475e-ba3c-2ba5e06a6bbc</t>
  </si>
  <si>
    <t>20:51</t>
  </si>
  <si>
    <t>rc_acc_1781955063348_xd87</t>
  </si>
  <si>
    <t>94870a51-53be-4b83-a4b0-f0a479d54f95</t>
  </si>
  <si>
    <t>2024-10-20</t>
  </si>
  <si>
    <t>18:54</t>
  </si>
  <si>
    <t>cd49c021-d6b7-48c1-bf2c-679e68daf02f</t>
  </si>
  <si>
    <t>2024-10-10</t>
  </si>
  <si>
    <t>tablet(1/10)</t>
  </si>
  <si>
    <t>a83dce9e-4dd7-4d71-940f-04ca33b5856d</t>
  </si>
  <si>
    <t>2024-10-05</t>
  </si>
  <si>
    <t xml:space="preserve">monitor hub charger</t>
  </si>
  <si>
    <t>f24a501d-2a82-435d-a0ca-25a1a9d45cbc</t>
  </si>
  <si>
    <t>17:49</t>
  </si>
  <si>
    <t>965398b0-e795-465a-8086-f22371741630</t>
  </si>
  <si>
    <t>e41faa21-9313-4281-a55f-da6e574153ed</t>
  </si>
  <si>
    <t>a5e4d908-04ca-4a40-a90d-331778bae53a</t>
  </si>
  <si>
    <t>18:57</t>
  </si>
  <si>
    <t>46565a88-6419-4657-ae99-df9dc0259f07</t>
  </si>
  <si>
    <t>18:59</t>
  </si>
  <si>
    <t>a42bb03a-f8bb-4c27-a4bc-73a54d6c08dc</t>
  </si>
  <si>
    <t>4a078ff8-94f1-4e21-a9b9-fe4e134a2278</t>
  </si>
  <si>
    <t>2024-09-29</t>
  </si>
  <si>
    <t>3a21deb2-5ea9-43c4-b045-555de614ec4b</t>
  </si>
  <si>
    <t>2024-09-28</t>
  </si>
  <si>
    <t>4e7ad3b9-c30e-4930-bd1f-1f1792ac41c4</t>
  </si>
  <si>
    <t>43b1e6d3-50c1-4c6d-971c-17b2f45e96a4</t>
  </si>
  <si>
    <t>17:23</t>
  </si>
  <si>
    <t>เลี้ยงทีมคลัง</t>
  </si>
  <si>
    <t>6599b44f-3970-468a-915d-f472d1ec2beb</t>
  </si>
  <si>
    <t>17:24</t>
  </si>
  <si>
    <t xml:space="preserve">ซูกิชิ วันรเกิด</t>
  </si>
  <si>
    <t>737f500b-c421-4389-b8de-c527a46533b0</t>
  </si>
  <si>
    <t>17:25</t>
  </si>
  <si>
    <t>ค่าโทรศัพท์แม่</t>
  </si>
  <si>
    <t>b07e15ce-066f-469c-beb3-8d0833f3762f</t>
  </si>
  <si>
    <t>other_1781955063348_yjhe</t>
  </si>
  <si>
    <t>LAMY</t>
  </si>
  <si>
    <t>9c0019f6-f0cb-4dd8-a171-e733c624ced0</t>
  </si>
  <si>
    <t>17:26</t>
  </si>
  <si>
    <t>46622072-4e2a-49d4-ac84-0040c4b0a6d0</t>
  </si>
  <si>
    <t>2024-09-27</t>
  </si>
  <si>
    <t>17:19</t>
  </si>
  <si>
    <t>a5651c2d-fbaf-445a-ada4-c945db97aa86</t>
  </si>
  <si>
    <t>3413ff84-eec8-4ebb-ba9d-461c35b0317a</t>
  </si>
  <si>
    <t>17:01</t>
  </si>
  <si>
    <t>87d1ca75-1af3-489d-b322-75c6d5ab27e1</t>
  </si>
  <si>
    <t>2024-09-25</t>
  </si>
  <si>
    <t>244663cc-6767-4153-8284-9733eb6407d4</t>
  </si>
  <si>
    <t>a7ebb58a-76be-445d-8a0d-eb589e736bd8</t>
  </si>
  <si>
    <t>2ee17013-30b5-4476-a3de-7df0423f4747</t>
  </si>
  <si>
    <t>3784a6aa-bb67-4687-93b4-215794141911</t>
  </si>
  <si>
    <t>aa2dc003-0bdb-444e-833b-b294ea6922e5</t>
  </si>
  <si>
    <t>5581ae53-5542-4b23-827e-fab790145401</t>
  </si>
  <si>
    <t>1f859261-a936-47e9-8005-a03d7df87a94</t>
  </si>
  <si>
    <t>5cf9cbd7-0b4d-43ed-a8d9-e15f6bf6ee0c</t>
  </si>
  <si>
    <t>2024-09-21</t>
  </si>
  <si>
    <t>17:17</t>
  </si>
  <si>
    <t>4b4bf799-c5c5-4dd3-85de-352d641ccf4d</t>
  </si>
  <si>
    <t>c41d9d91-9c91-4943-92ba-ff5c900825e4</t>
  </si>
  <si>
    <t>2024-09-20</t>
  </si>
  <si>
    <t>08:39</t>
  </si>
  <si>
    <t xml:space="preserve">ekkamai macchiato</t>
  </si>
  <si>
    <t>bbae8569-20ab-49ba-9eda-73d4925bdc5a</t>
  </si>
  <si>
    <t>2024-09-19</t>
  </si>
  <si>
    <t xml:space="preserve">kansai fu</t>
  </si>
  <si>
    <t>171681e4-172d-45aa-81ce-cb05e645d484</t>
  </si>
  <si>
    <t>2024-09-14</t>
  </si>
  <si>
    <t>08:38</t>
  </si>
  <si>
    <t>starbucks</t>
  </si>
  <si>
    <t>458e03ea-6d5c-4223-977c-024659d6ad18</t>
  </si>
  <si>
    <t>2024-09-11</t>
  </si>
  <si>
    <t>08:35</t>
  </si>
  <si>
    <t>เยี่ยหนาน+ekamai</t>
  </si>
  <si>
    <t>63b4408e-9c4d-43d6-aa5a-c661f8658cca</t>
  </si>
  <si>
    <t>2024-09-10</t>
  </si>
  <si>
    <t>08:34</t>
  </si>
  <si>
    <t>fd0b5c8e-0cf4-46e3-8af2-3d46e1e14351</t>
  </si>
  <si>
    <t>2024-09-08</t>
  </si>
  <si>
    <t>08:33</t>
  </si>
  <si>
    <t>1ffe4a8f-2a46-4695-9964-d74c584d404b</t>
  </si>
  <si>
    <t>08:47</t>
  </si>
  <si>
    <t>a1829113-29ee-435a-80c1-4bb9cc7e3331</t>
  </si>
  <si>
    <t>08:48</t>
  </si>
  <si>
    <t>3b22e73f-acea-44d7-90c8-e1fe563bf071</t>
  </si>
  <si>
    <t>b8c33e18-a348-48c2-8bf3-f50045ab5b0a</t>
  </si>
  <si>
    <t>2024-09-03</t>
  </si>
  <si>
    <t>09:39</t>
  </si>
  <si>
    <t>f329913c-49a3-4424-9b36-0a45fb5acbd3</t>
  </si>
  <si>
    <t>rc_cat_1781955063347_5qjb_1781955063347_irl1</t>
  </si>
  <si>
    <t>7510359e-7b57-47ef-91d8-b4e3229ab0c7</t>
  </si>
  <si>
    <t>09:44</t>
  </si>
  <si>
    <t>49d6e3a1-423f-4758-a08f-f9bab5d7fa7d</t>
  </si>
  <si>
    <t>2024-09-02</t>
  </si>
  <si>
    <t>12:50</t>
  </si>
  <si>
    <t>9fddec62-c822-4e83-a6ca-f6e85c04617a</t>
  </si>
  <si>
    <t>2024-09-01</t>
  </si>
  <si>
    <t>46d07cdf-f7aa-4c4e-8c99-635a783ce174</t>
  </si>
  <si>
    <t>2024-08-31</t>
  </si>
  <si>
    <t>08:03</t>
  </si>
  <si>
    <t xml:space="preserve">akiyoshi บ้านหง</t>
  </si>
  <si>
    <t>b933daf2-f0fe-4190-be76-dd69e9f8cc6e</t>
  </si>
  <si>
    <t>08:04</t>
  </si>
  <si>
    <t>ca3c2061-e84e-4fc6-ac2e-37b96cfce04e</t>
  </si>
  <si>
    <t>08:05</t>
  </si>
  <si>
    <t>49aceb9d-ce3c-4a76-a8eb-e87fd05ae42f</t>
  </si>
  <si>
    <t>08:07</t>
  </si>
  <si>
    <t xml:space="preserve">hai ti lao</t>
  </si>
  <si>
    <t>d430182a-0288-4448-9273-c29b4b060fa3</t>
  </si>
  <si>
    <t xml:space="preserve">mk saladaeng</t>
  </si>
  <si>
    <t>398214e9-fbf5-4bda-a27c-42ee298c1188</t>
  </si>
  <si>
    <t>09:42</t>
  </si>
  <si>
    <t>4b315252-5f75-42f8-8a28-5ea9e16f5e61</t>
  </si>
  <si>
    <t>09:43</t>
  </si>
  <si>
    <t>b2c52ddf-cb62-4bba-9e83-0e3a6d22d8f5</t>
  </si>
  <si>
    <t>11:30</t>
  </si>
  <si>
    <t>เค้กแม่</t>
  </si>
  <si>
    <t>7542e19e-d362-455b-84d8-1b4b3a54a38e</t>
  </si>
  <si>
    <t>14:37</t>
  </si>
  <si>
    <t>4c1e378e-92a6-47d1-bb21-c62ba11613c7</t>
  </si>
  <si>
    <t>5dbd65da-6ffc-4129-b708-0c80bd44ddf8</t>
  </si>
  <si>
    <t>14:38</t>
  </si>
  <si>
    <t>2b086b13-34f3-4d2e-884e-15c2e17df090</t>
  </si>
  <si>
    <t>20057416-8c95-497c-9df8-22f91f49dfa8</t>
  </si>
  <si>
    <t>fa36db77-651e-4869-a2ea-a647925b2762</t>
  </si>
  <si>
    <t>2024-08-30</t>
  </si>
  <si>
    <t>เค้กหงส์</t>
  </si>
  <si>
    <t>7de5f1d2-f0cd-4a63-8267-d8fb1750ff67</t>
  </si>
  <si>
    <t>2024-08-29</t>
  </si>
  <si>
    <t xml:space="preserve">เบียร์ outing</t>
  </si>
  <si>
    <t>8bc6d177-d589-4304-a2fc-9a881dcdcb50</t>
  </si>
  <si>
    <t>2024-08-28</t>
  </si>
  <si>
    <t>5b7943a3-45c1-4bf5-91bd-63e66d89cb73</t>
  </si>
  <si>
    <t>21:31</t>
  </si>
  <si>
    <t>8c116d81-b432-4470-8613-72e37e8056a3</t>
  </si>
  <si>
    <t>b010b926-283f-4c45-8925-dbc09159500c</t>
  </si>
  <si>
    <t>เลี้ยงปิ่น</t>
  </si>
  <si>
    <t>e5796a6a-cf7b-40be-9407-cb1f985ad230</t>
  </si>
  <si>
    <t>2024-08-25</t>
  </si>
  <si>
    <t>4fe81eaa-f2d0-4802-872d-99a6a6a02d81</t>
  </si>
  <si>
    <t>ff816e92-daf4-435c-b980-ce82c7ee69b6</t>
  </si>
  <si>
    <t>a280c725-5137-42bd-80b1-2094b7b12394</t>
  </si>
  <si>
    <t>8ac2333b-0a33-4a85-bc15-698abb45bb22</t>
  </si>
  <si>
    <t>6b18d1ad-45bf-4711-8d67-81ff33639fb5</t>
  </si>
  <si>
    <t>dbc8d6be-7994-405a-a4e3-14d45f6a2ff5</t>
  </si>
  <si>
    <t>b1b4c1d3-cf5f-489b-b5ac-9768d383f00c</t>
  </si>
  <si>
    <t>81dcb340-3cc1-4578-badd-c52ab4152967</t>
  </si>
  <si>
    <t>43b1953e-3b36-4828-aea4-302a15b95511</t>
  </si>
  <si>
    <t>c41e6ba1-6c87-47f6-86c5-9d783983a49a</t>
  </si>
  <si>
    <t>2024-08-24</t>
  </si>
  <si>
    <t>22:15</t>
  </si>
  <si>
    <t>9daff6ed-8f03-4b11-9703-56be076a3599</t>
  </si>
  <si>
    <t>5c41b30d-8c06-4eff-b951-ec20a14d5e11</t>
  </si>
  <si>
    <t>b74b5f4d-b9a1-45d4-b2f4-32c992700f6f</t>
  </si>
  <si>
    <t>2024-08-21</t>
  </si>
  <si>
    <t>16:34</t>
  </si>
  <si>
    <t>เงินฝ่าย</t>
  </si>
  <si>
    <t>e095a5f2-da08-4bb1-ac9f-eee49bc021de</t>
  </si>
  <si>
    <t>555c6ab0-1c30-4008-b994-3345f2a98dbf</t>
  </si>
  <si>
    <t>2024-08-20</t>
  </si>
  <si>
    <t>07:25</t>
  </si>
  <si>
    <t xml:space="preserve">กาชา แชงส์</t>
  </si>
  <si>
    <t>0be1397b-5f5a-4b81-8d70-c66efc0e7219</t>
  </si>
  <si>
    <t>2024-08-17</t>
  </si>
  <si>
    <t>10:59</t>
  </si>
  <si>
    <t>9d9d9453-93ce-48ca-86f6-adc4a3677d94</t>
  </si>
  <si>
    <t>11:31</t>
  </si>
  <si>
    <t>โอนให้แม่</t>
  </si>
  <si>
    <t>6f2764d9-e0d0-4ff2-a607-03fd30267e75</t>
  </si>
  <si>
    <t>11:33</t>
  </si>
  <si>
    <t>ค่าไฟ</t>
  </si>
  <si>
    <t>fa84ba5c-51df-44c3-8cad-f1ba6553d779</t>
  </si>
  <si>
    <t>12:34</t>
  </si>
  <si>
    <t>แบงก์ให้แม่</t>
  </si>
  <si>
    <t>b51f73c2-70d8-44d7-a48b-51d50a220c2f</t>
  </si>
  <si>
    <t>12:35</t>
  </si>
  <si>
    <t>c5c92467-0129-4b32-836e-2a94db478fc0</t>
  </si>
  <si>
    <t>21:33</t>
  </si>
  <si>
    <t>22424473-6cd1-4d2a-beec-c616b606621c</t>
  </si>
  <si>
    <t>2024-08-12</t>
  </si>
  <si>
    <t>4d884fb6-a5f2-40d5-a10c-ebb312ab5baa</t>
  </si>
  <si>
    <t>2024-08-11</t>
  </si>
  <si>
    <t>10:05</t>
  </si>
  <si>
    <t>9b1bdb7b-57dc-498e-9744-e6db4f4320d5</t>
  </si>
  <si>
    <t>2024-08-03</t>
  </si>
  <si>
    <t>10:56</t>
  </si>
  <si>
    <t>775f1d92-4b6a-4ae8-a511-d84b911c505a</t>
  </si>
  <si>
    <t>2024-07-31</t>
  </si>
  <si>
    <t>10:04</t>
  </si>
  <si>
    <t>72b3b545-a9b7-4dcf-95db-d90f106ee706</t>
  </si>
  <si>
    <t>34d030d2-c90d-43d4-9283-35c290ad1ec4</t>
  </si>
  <si>
    <t>63c4c945-9500-42ca-a96d-e14fc8f54522</t>
  </si>
  <si>
    <t>11:06</t>
  </si>
  <si>
    <t>82264fbd-c34f-48c7-b759-bf6574d757bf</t>
  </si>
  <si>
    <t>11:10</t>
  </si>
  <si>
    <t>de3cc10d-6b52-41d5-bc14-cd399a1d6c08</t>
  </si>
  <si>
    <t>2024-07-30</t>
  </si>
  <si>
    <t>17:31</t>
  </si>
  <si>
    <t>d570d6ad-3329-4210-833e-a2cf8f5ac850</t>
  </si>
  <si>
    <t>2024-07-28</t>
  </si>
  <si>
    <t>e3eefbaf-38a7-4517-9b30-dabffc1053ad</t>
  </si>
  <si>
    <t>526fb387-59f7-4691-a5e1-7a4c373df7b2</t>
  </si>
  <si>
    <t>18:19</t>
  </si>
  <si>
    <t xml:space="preserve">หง 12 ใบ</t>
  </si>
  <si>
    <t>8a8acf1f-fcee-4341-8678-9e5f3a294426</t>
  </si>
  <si>
    <t>18:20</t>
  </si>
  <si>
    <t>2608094f-310c-409f-a49c-b7c0f5860a0f</t>
  </si>
  <si>
    <t>50bfb512-1f9d-4fba-9c24-4df5da229d41</t>
  </si>
  <si>
    <t>f975cdfd-1eb6-4745-95c3-43e36b5430dc</t>
  </si>
  <si>
    <t>15fa7bc3-044b-4f45-b1bb-0d88459ac7b1</t>
  </si>
  <si>
    <t>2024-07-27</t>
  </si>
  <si>
    <t>6c9704c3-a859-471b-b0dc-a58dd6857b37</t>
  </si>
  <si>
    <t>f39780af-54fb-4bb8-ba48-adae927bf444</t>
  </si>
  <si>
    <t>2024-07-25</t>
  </si>
  <si>
    <t>042c6d93-2fc9-4ca9-b60c-bf669988b972</t>
  </si>
  <si>
    <t>104c5089-a91a-49f4-b7eb-bb27e2a26407</t>
  </si>
  <si>
    <t>7b83357f-6757-405d-ae8e-fd3f1c7db8f2</t>
  </si>
  <si>
    <t>12bebdea-a420-4c8e-afc6-857917d6a488</t>
  </si>
  <si>
    <t>76f467bb-0fc0-47ee-b88d-91a08f440041</t>
  </si>
  <si>
    <t>a67850fe-17da-48e3-8c2f-ff6f47e49040</t>
  </si>
  <si>
    <t>aba559ac-7f62-42b6-a18a-0366fe26a964</t>
  </si>
  <si>
    <t>5b20323b-2b91-45de-a74e-280071d33ec0</t>
  </si>
  <si>
    <t>48aba4dd-0818-4bb5-805a-897fc8a97b3f</t>
  </si>
  <si>
    <t>2024-07-21</t>
  </si>
  <si>
    <t>bb7644c7-5f11-4694-8557-52f5cbe611bb</t>
  </si>
  <si>
    <t>2024-07-20</t>
  </si>
  <si>
    <t>11:46</t>
  </si>
  <si>
    <t>db3f080d-f017-4ce2-8db5-2528d017578c</t>
  </si>
  <si>
    <t>11:48</t>
  </si>
  <si>
    <t>f6fdddc2-8718-42e1-b397-810848542f34</t>
  </si>
  <si>
    <t>01c356df-9f87-4a82-86ab-c222d5fe925c</t>
  </si>
  <si>
    <t>2024-07-19</t>
  </si>
  <si>
    <t>11:39</t>
  </si>
  <si>
    <t>40886c33-e055-4a0f-b85c-3cf1cbe8fdcc</t>
  </si>
  <si>
    <t>2024-07-13</t>
  </si>
  <si>
    <t>11:40</t>
  </si>
  <si>
    <t>eb46b6d5-979c-4717-9f33-cc235f4dec07</t>
  </si>
  <si>
    <t>22:34</t>
  </si>
  <si>
    <t>38ae80af-16b6-4525-86fd-ed73c8f1c7f9</t>
  </si>
  <si>
    <t>2024-07-12</t>
  </si>
  <si>
    <t>11:38</t>
  </si>
  <si>
    <t>b06cf9e1-e53c-4484-9ba0-6caa1db0456f</t>
  </si>
  <si>
    <t>2024-07-11</t>
  </si>
  <si>
    <t>11:56</t>
  </si>
  <si>
    <t>42dbbc09-4a85-44ff-b878-6200cd204b4b</t>
  </si>
  <si>
    <t>2024-07-10</t>
  </si>
  <si>
    <t>5cf2856a-dcae-4bac-8121-32b396f9c2f9</t>
  </si>
  <si>
    <t>2024-07-09</t>
  </si>
  <si>
    <t>11:37</t>
  </si>
  <si>
    <t>c977aa4b-0393-4d0e-a4cf-d6cdda6f2c22</t>
  </si>
  <si>
    <t>2024-07-04</t>
  </si>
  <si>
    <t>11:51</t>
  </si>
  <si>
    <t>ca960d4f-6587-474c-b1aa-8fedb741972c</t>
  </si>
  <si>
    <t>2024-07-01</t>
  </si>
  <si>
    <t>11:36</t>
  </si>
  <si>
    <t>ae874dc8-f886-4bd1-97a1-114709fa2019</t>
  </si>
  <si>
    <t>c9469073-7105-496e-beef-6a3fcc50089e</t>
  </si>
  <si>
    <t>b2efbc19-b248-4d2a-9733-14210009a976</t>
  </si>
  <si>
    <t>2024-06-30</t>
  </si>
  <si>
    <t>2f9e0cef-f00b-4006-8ed3-0d211b3e20aa</t>
  </si>
  <si>
    <t>rc_cat_1781955063347_5qjb_1781955063348_wpky</t>
  </si>
  <si>
    <t>โต๊ะ</t>
  </si>
  <si>
    <t>8ca03cfd-1a9d-4e80-8612-f376e5c32d14</t>
  </si>
  <si>
    <t>a2cf9a2f-ab7c-4ac2-9e2a-035eef9d5145</t>
  </si>
  <si>
    <t>10:26</t>
  </si>
  <si>
    <t>67be2302-a5ae-4a7e-8280-0e69de303e07</t>
  </si>
  <si>
    <t>11:41</t>
  </si>
  <si>
    <t>5aa9d283-519c-42fb-8932-b0ccd6b9732a</t>
  </si>
  <si>
    <t>11:45</t>
  </si>
  <si>
    <t>6edfe022-4109-40e8-8836-89ce74a95d74</t>
  </si>
  <si>
    <t>11:47</t>
  </si>
  <si>
    <t>171699e0-a812-4007-a5a4-c68b7e89e075</t>
  </si>
  <si>
    <t>83682154-cc25-46c3-9ca6-ec0bca1e6543</t>
  </si>
  <si>
    <t>10f5c781-3931-44b7-a02a-92954d01b578</t>
  </si>
  <si>
    <t>2024-06-29</t>
  </si>
  <si>
    <t>16:04</t>
  </si>
  <si>
    <t>3fd6a29a-2937-4e76-8229-5ef9801eeab1</t>
  </si>
  <si>
    <t>2024-06-28</t>
  </si>
  <si>
    <t>ค่าแบงก์</t>
  </si>
  <si>
    <t>ddc6b727-954b-4379-9edd-c1156a3a0921</t>
  </si>
  <si>
    <t>10:06</t>
  </si>
  <si>
    <t>55796973-ef4b-4bd6-9e06-1d9401418e13</t>
  </si>
  <si>
    <t>10:01</t>
  </si>
  <si>
    <t>e44c1b40-737a-4d68-ad37-67c552b42530</t>
  </si>
  <si>
    <t>12:07</t>
  </si>
  <si>
    <t>5b7a3526-a6fc-47a0-96ae-a0f1d1f9d17a</t>
  </si>
  <si>
    <t>ad5c0b96-bcc9-4943-bc89-919b978114a0</t>
  </si>
  <si>
    <t>0e820443-1b45-4237-a442-e55800e6b4a3</t>
  </si>
  <si>
    <t>b55c1dba-01cc-4ab4-b8b3-ccce4fcd7566</t>
  </si>
  <si>
    <t>685165f6-d49f-469d-9446-b36910f0ec05</t>
  </si>
  <si>
    <t>26da62c6-3186-48ed-b8aa-410caa379db7</t>
  </si>
  <si>
    <t>5b861730-c0d3-4568-b3c2-05f37cd87348</t>
  </si>
  <si>
    <t>f667c3a7-d01d-4c7b-a136-5db77ee3c375</t>
  </si>
  <si>
    <t>391b1b65-0c8b-4f8d-8584-4c09eccaed70</t>
  </si>
  <si>
    <t>98c8af0e-b4ff-443f-b818-3672d934c1ee</t>
  </si>
  <si>
    <t>10:03</t>
  </si>
  <si>
    <t>f58d7f7f-0478-430d-916c-7f9c407ab362</t>
  </si>
  <si>
    <t>c268ecf0-fffa-4a7d-a634-400f65fb1052</t>
  </si>
  <si>
    <t>0035e357-2709-4def-85ae-fc429725e0ce</t>
  </si>
  <si>
    <t>11:19</t>
  </si>
  <si>
    <t>vp</t>
  </si>
  <si>
    <t>6949a0f1-775c-4c48-a35e-1dd7602ff6ae</t>
  </si>
  <si>
    <t>2024-06-21</t>
  </si>
  <si>
    <t>a93f3a98-c8a9-460f-b5a4-a5b7b899645d</t>
  </si>
  <si>
    <t>2024-06-19</t>
  </si>
  <si>
    <t>f41861cd-c727-4ed1-b2ca-ba74bfe60cbf</t>
  </si>
  <si>
    <t>2024-06-18</t>
  </si>
  <si>
    <t>f0942586-0872-4c71-a39d-c13f0ab32ca4</t>
  </si>
  <si>
    <t>8180820a-23fc-4450-bfc5-66b083910107</t>
  </si>
  <si>
    <t>55df5d46-516e-499e-8fff-8243668ec400</t>
  </si>
  <si>
    <t>4e606a7c-03d9-431e-9536-471d81f2b84c</t>
  </si>
  <si>
    <t>14:12</t>
  </si>
  <si>
    <t>24823a4d-e2b7-4bba-8133-c753f4902b21</t>
  </si>
  <si>
    <t>aa96f401-354b-4b0f-87d1-cf486c339ca6</t>
  </si>
  <si>
    <t>2024-06-16</t>
  </si>
  <si>
    <t>d6c6f5ab-8d30-48e4-b6a6-d2df16515d9e</t>
  </si>
  <si>
    <t>2024-06-14</t>
  </si>
  <si>
    <t>ecdff75a-faa0-4525-b9be-df2bb254d235</t>
  </si>
  <si>
    <t>0fcc3fcb-3220-41e7-8887-253b9fa8ce87</t>
  </si>
  <si>
    <t>2e44f2ce-b2db-4718-a903-99375d5cae31</t>
  </si>
  <si>
    <t>2024-06-11</t>
  </si>
  <si>
    <t>a4145064-ad88-4eed-8f39-7c2a1b3f150b</t>
  </si>
  <si>
    <t>16:18</t>
  </si>
  <si>
    <t>fe2b4a87-3374-45f2-9360-1a9e84d2f217</t>
  </si>
  <si>
    <t>2024-06-09</t>
  </si>
  <si>
    <t>c1d08df5-f2fb-409d-aa19-f77a6e408b9e</t>
  </si>
  <si>
    <t>2024-06-05</t>
  </si>
  <si>
    <t>เลี้ยงจจ</t>
  </si>
  <si>
    <t>209252a8-e082-4d1e-95c7-c18c0d0351c2</t>
  </si>
  <si>
    <t>1d07b270-c3a7-4420-aca6-65826277e74b</t>
  </si>
  <si>
    <t>2024-06-03</t>
  </si>
  <si>
    <t>6621ccad-9f1e-40c7-95ec-0f6f2ccd08a6</t>
  </si>
  <si>
    <t>2024-06-02</t>
  </si>
  <si>
    <t>10:44</t>
  </si>
  <si>
    <t>fb1aa178-0f61-45f4-b555-32be74b1c62e</t>
  </si>
  <si>
    <t>dc08ecb8-0fd7-477b-92ed-de6d51364ca0</t>
  </si>
  <si>
    <t>a762d1cb-4842-4d86-ad4e-38e048c4bff7</t>
  </si>
  <si>
    <t>4475008e-3a89-42bc-b22f-bb0ef711f124</t>
  </si>
  <si>
    <t>2024-06-01</t>
  </si>
  <si>
    <t>6fd431ba-b14c-42d9-a366-8f3a44c2725c</t>
  </si>
  <si>
    <t>19:19</t>
  </si>
  <si>
    <t>rc_acc_1781955063353_k5yx</t>
  </si>
  <si>
    <t>7b1e6068-95f8-4f30-9cb7-e6e0e84293a5</t>
  </si>
  <si>
    <t>95f1bf86-6ce5-4e92-974c-ecc023b9dc97</t>
  </si>
  <si>
    <t>2024-05-31</t>
  </si>
  <si>
    <t>16:19</t>
  </si>
  <si>
    <t>cf08ded1-f743-4b30-8514-99703b9843ed</t>
  </si>
  <si>
    <t>18:34</t>
  </si>
  <si>
    <t>d1d3bf9a-7577-4026-948e-ea65a351c834</t>
  </si>
  <si>
    <t>18:41</t>
  </si>
  <si>
    <t>31ea2a2a-9808-4619-9e6d-6ccd7b6ab815</t>
  </si>
  <si>
    <t>e2ddfa23-7513-45ec-8f0b-382b2ae66129</t>
  </si>
  <si>
    <t>19:00</t>
  </si>
  <si>
    <t>094ab12f-57bd-43b4-8973-2275f153c964</t>
  </si>
  <si>
    <t>19:10</t>
  </si>
  <si>
    <t xml:space="preserve">คงเหลือ 112062</t>
  </si>
  <si>
    <t>ac970223-6fb2-4d94-bd7b-51c7bc7f473b</t>
  </si>
  <si>
    <t>2024-05-30</t>
  </si>
  <si>
    <t>b649aab5-1e1e-4719-a07f-0fc00c609e00</t>
  </si>
  <si>
    <t>18:35</t>
  </si>
  <si>
    <t>81ac0455-8b62-470d-8831-47bb50d5aa3e</t>
  </si>
  <si>
    <t>2024-05-28</t>
  </si>
  <si>
    <t>18:58</t>
  </si>
  <si>
    <t>ff2a9f44-5d54-422e-ae80-917faa83156b</t>
  </si>
  <si>
    <t>2024-05-26</t>
  </si>
  <si>
    <t>18:55</t>
  </si>
  <si>
    <t xml:space="preserve">2shark gaimon mandarake</t>
  </si>
  <si>
    <t>b46a72d4-3e39-402e-9fc0-b49606643063</t>
  </si>
  <si>
    <t>kiyomizu</t>
  </si>
  <si>
    <t>fc183ac1-fe80-4ed8-9cdf-3fe7078a2ee5</t>
  </si>
  <si>
    <t>2024-05-25</t>
  </si>
  <si>
    <t>09:26</t>
  </si>
  <si>
    <t>ชาไม่หวาน</t>
  </si>
  <si>
    <t>6e798975-8485-4159-a507-b4da9ae32679</t>
  </si>
  <si>
    <t>ค่าเข้าปราสาท</t>
  </si>
  <si>
    <t>bcc6a996-096c-4d86-83a5-0292c8e74c27</t>
  </si>
  <si>
    <t xml:space="preserve">seven หารสอง ของเรา 168</t>
  </si>
  <si>
    <t>17dc77fd-6ddc-42a7-a18d-a72764f8a4f1</t>
  </si>
  <si>
    <t>12:30</t>
  </si>
  <si>
    <t>steakland</t>
  </si>
  <si>
    <t>986db98c-cf93-475b-8260-cd97550ef562</t>
  </si>
  <si>
    <t>13:00</t>
  </si>
  <si>
    <t xml:space="preserve">soft serve</t>
  </si>
  <si>
    <t>3cd07f75-571a-4253-883b-b99db2e248e1</t>
  </si>
  <si>
    <t>19:56</t>
  </si>
  <si>
    <t>pudding</t>
  </si>
  <si>
    <t>1b9a71bf-e2a6-4271-84c7-59ac8e91c2ca</t>
  </si>
  <si>
    <t>22:00</t>
  </si>
  <si>
    <t>6a413b45-0c34-4816-8191-b1c80c41f5cb</t>
  </si>
  <si>
    <t>d5d6120c-7869-4061-b273-5e70f2a80df5</t>
  </si>
  <si>
    <t>f97db286-075e-4a8b-9fc5-4f859cd9b1fa</t>
  </si>
  <si>
    <t>7b422710-a6b6-486b-836d-d2ca3b6644da</t>
  </si>
  <si>
    <t>5c5a558c-875c-432e-99a8-f5fa28fa3876</t>
  </si>
  <si>
    <t>2024-05-24</t>
  </si>
  <si>
    <t>takoyaki</t>
  </si>
  <si>
    <t>fa1b16a5-26a2-429d-ac3d-d754e9adf8b4</t>
  </si>
  <si>
    <t>10:13</t>
  </si>
  <si>
    <t>mizuno</t>
  </si>
  <si>
    <t>f98bdc00-9a51-432d-a837-43b5bc8c2029</t>
  </si>
  <si>
    <t>โง่</t>
  </si>
  <si>
    <t>d2d8d18c-6cdf-4761-8e3a-71dfb317c065</t>
  </si>
  <si>
    <t xml:space="preserve">mattari pudding</t>
  </si>
  <si>
    <t>73ea8b7d-8182-4891-8985-ec0d0dd7da86</t>
  </si>
  <si>
    <t>12:32</t>
  </si>
  <si>
    <t>843d8ba9-42a9-42f4-8945-7603cdf145f4</t>
  </si>
  <si>
    <t>rc_acc_1781955063358_kqcd</t>
  </si>
  <si>
    <t>0edd1622-674a-4823-9bde-d6e51406e7f8</t>
  </si>
  <si>
    <t>musashi</t>
  </si>
  <si>
    <t>16589f26-48d0-43d9-b0d4-2b60acf16cd8</t>
  </si>
  <si>
    <t xml:space="preserve">wcf luffy sanji reyligh</t>
  </si>
  <si>
    <t>f3cfd9c6-7204-49c1-8fe0-b4529a2b8100</t>
  </si>
  <si>
    <t xml:space="preserve">joto curry</t>
  </si>
  <si>
    <t>436e3894-a339-4ee2-bdfb-7a54b8c831b9</t>
  </si>
  <si>
    <t>18:33</t>
  </si>
  <si>
    <t>fccc43db-c96c-443c-bb7a-44f53d856c59</t>
  </si>
  <si>
    <t>18:52</t>
  </si>
  <si>
    <t>เครื่องราง</t>
  </si>
  <si>
    <t>7876ae0b-15b4-41ab-986e-db9d37b22cfd</t>
  </si>
  <si>
    <t>18:53</t>
  </si>
  <si>
    <t xml:space="preserve">gashapon yukio</t>
  </si>
  <si>
    <t>64856005-b096-4e2e-8296-6fb7a072aa13</t>
  </si>
  <si>
    <t>20:09</t>
  </si>
  <si>
    <t xml:space="preserve">yellow 5 purple 6 brown 1</t>
  </si>
  <si>
    <t>26a89e15-0305-40c7-a0d0-30ca9f413cc8</t>
  </si>
  <si>
    <t>20:10</t>
  </si>
  <si>
    <t xml:space="preserve">wcf kaido bigmum pageone</t>
  </si>
  <si>
    <t>2adff5ca-9e64-44ac-9066-0ea166e79637</t>
  </si>
  <si>
    <t>20:12</t>
  </si>
  <si>
    <t xml:space="preserve">toyoko inn</t>
  </si>
  <si>
    <t>97fd929b-a2f0-49b9-8953-1e07c02addcd</t>
  </si>
  <si>
    <t>c7867eb4-9efa-42b4-b66b-88dd6ca294e3</t>
  </si>
  <si>
    <t>cf2451f4-f19c-4612-baeb-3ab93d0ade59</t>
  </si>
  <si>
    <t>629b7423-87a9-4ae0-99f5-9eef9968e7b0</t>
  </si>
  <si>
    <t>d8b22c3d-f9d0-404a-a39a-7be2b245510e</t>
  </si>
  <si>
    <t>2024-05-23</t>
  </si>
  <si>
    <t>3c29d3c6-af4f-4085-89bc-2ad681585bc1</t>
  </si>
  <si>
    <t>a9faebbe-084e-43b8-8250-371d8f964749</t>
  </si>
  <si>
    <t>18:45</t>
  </si>
  <si>
    <t>04c1af4a-719b-4de5-8bc7-9c8d2dbe0a15</t>
  </si>
  <si>
    <t>2024-05-19</t>
  </si>
  <si>
    <t>18:37</t>
  </si>
  <si>
    <t xml:space="preserve">harudot บ้านหง</t>
  </si>
  <si>
    <t>4d9c21b1-6b35-4e8b-8f07-c5f498c3fb07</t>
  </si>
  <si>
    <t>18:43</t>
  </si>
  <si>
    <t>b59dd6db-059b-46bc-8156-46d5f7c7a477</t>
  </si>
  <si>
    <t>2024-05-18</t>
  </si>
  <si>
    <t>20:26</t>
  </si>
  <si>
    <t>a3df20ae-81ca-423d-9c82-fdbe0b219246</t>
  </si>
  <si>
    <t>20:34</t>
  </si>
  <si>
    <t>f2040b93-6e15-4877-bae2-947ab5077894</t>
  </si>
  <si>
    <t>192cf04d-e904-44fa-b5a1-229c2c37085f</t>
  </si>
  <si>
    <t>21:21</t>
  </si>
  <si>
    <t>10de2278-9f67-42fe-9d13-4e74a1846237</t>
  </si>
  <si>
    <t>2024-05-15</t>
  </si>
  <si>
    <t>พ่อหงฝากแลก</t>
  </si>
  <si>
    <t>b5d965e4-db6e-4635-8bc0-b52aeaeab988</t>
  </si>
  <si>
    <t>18:50</t>
  </si>
  <si>
    <t>b1974129-a650-436d-ad6d-926ae3483919</t>
  </si>
  <si>
    <t>2024-05-12</t>
  </si>
  <si>
    <t>6ea7c4d5-8ab3-4a52-979b-5dc8c2191de8</t>
  </si>
  <si>
    <t>14:53</t>
  </si>
  <si>
    <t>bab48c7e-d60a-41f2-a45d-0f44a3e1b139</t>
  </si>
  <si>
    <t>15:01</t>
  </si>
  <si>
    <t>rc_cat_1781955063347_5qjb_1781955063348_hrbf</t>
  </si>
  <si>
    <t>95b51be2-d67b-43bb-8152-b8ca0ad2f33d</t>
  </si>
  <si>
    <t>2024-05-06</t>
  </si>
  <si>
    <t>19:47</t>
  </si>
  <si>
    <t>bet</t>
  </si>
  <si>
    <t>f89fafe9-9b9c-4133-812f-7cb9995d6b1d</t>
  </si>
  <si>
    <t>2024-05-05</t>
  </si>
  <si>
    <t>19:51</t>
  </si>
  <si>
    <t>fb520080-0e6d-4f89-88bc-3ce6676b87d9</t>
  </si>
  <si>
    <t>2024-05-03</t>
  </si>
  <si>
    <t>09:12</t>
  </si>
  <si>
    <t>cc947e0e-e7fd-4f4c-a426-0929aba0fb6b</t>
  </si>
  <si>
    <t>2024-05-02</t>
  </si>
  <si>
    <t>16:11</t>
  </si>
  <si>
    <t>aa4a717a-8006-4db3-bef5-cf17dcccbfb7</t>
  </si>
  <si>
    <t>2024-05-01</t>
  </si>
  <si>
    <t>20:01</t>
  </si>
  <si>
    <t>7c4ebf2b-0d0e-4b42-aa9e-707720efac8c</t>
  </si>
  <si>
    <t>1bdf1c65-49d3-477c-93b7-c9f2c22b60ab</t>
  </si>
  <si>
    <t>2024-04-30</t>
  </si>
  <si>
    <t>20:19</t>
  </si>
  <si>
    <t>rc_cat_1781955063347_5qjb_1781955063348_laj8</t>
  </si>
  <si>
    <t>f2b1477b-ab1a-46c6-bef5-dfda006ba572</t>
  </si>
  <si>
    <t>a4f0082b-f090-418e-ba15-2e5df553602a</t>
  </si>
  <si>
    <t>5692b696-519e-4332-b14a-5f84154c91bd</t>
  </si>
  <si>
    <t>5c63aa91-2b67-4105-afb5-358a8431e71d</t>
  </si>
  <si>
    <t>27f875df-9bb9-441e-a61b-1177fbf4c6d3</t>
  </si>
  <si>
    <t>cf45bad8-ef54-447b-894f-6814ff36b946</t>
  </si>
  <si>
    <t>20:33</t>
  </si>
  <si>
    <t xml:space="preserve">gashapon onepiece</t>
  </si>
  <si>
    <t>cf5d75d4-bf95-43cb-9512-b53e1564abfe</t>
  </si>
  <si>
    <t>20:35</t>
  </si>
  <si>
    <t>09ceb1bb-bfac-4056-a0a5-05325f1e5e51</t>
  </si>
  <si>
    <t>c8da0ca3-838d-4e2a-be51-526946fc0d5b</t>
  </si>
  <si>
    <t xml:space="preserve">โต๊ะ คีบอด ฐานกันดัม</t>
  </si>
  <si>
    <t>07e0fa2a-42bf-4db7-9cf6-bb8c868353b7</t>
  </si>
  <si>
    <t>dee29d81-846b-4164-a8c2-1b80a5feeefe</t>
  </si>
  <si>
    <t>1f6f9816-9b36-46f3-b842-17a0e416168b</t>
  </si>
  <si>
    <t>20:57</t>
  </si>
  <si>
    <t>609bc8ce-b64b-4aa7-9d6a-82150e3b3511</t>
  </si>
  <si>
    <t>20:58</t>
  </si>
  <si>
    <t>b73e5600-8000-4bfb-a721-54b8005c57e7</t>
  </si>
  <si>
    <t>2024-04-29</t>
  </si>
  <si>
    <t>19:35</t>
  </si>
  <si>
    <t>48197745-d315-4f66-b636-04d167718ba9</t>
  </si>
  <si>
    <t>7d5b7bc0-3f1d-4dfe-b07c-2d36a43fdeb7</t>
  </si>
  <si>
    <t>2024-04-28</t>
  </si>
  <si>
    <t>19:54</t>
  </si>
  <si>
    <t>348ed1b1-872f-473c-bbee-288f9156d0d4</t>
  </si>
  <si>
    <t>19:57</t>
  </si>
  <si>
    <t>บ้านป้าหนู</t>
  </si>
  <si>
    <t>19c61f46-b308-4bc1-a594-5100136662f6</t>
  </si>
  <si>
    <t>2024-04-26</t>
  </si>
  <si>
    <t>19:46</t>
  </si>
  <si>
    <t>2704738d-8463-4b26-ac3e-35fd3e2f6adb</t>
  </si>
  <si>
    <t>2024-04-25</t>
  </si>
  <si>
    <t>4fa95bec-36a2-4228-a32d-580fc9670bc7</t>
  </si>
  <si>
    <t>c2904aec-eb03-4cbe-bd5b-e7e955a4ca19</t>
  </si>
  <si>
    <t>1b3c45cd-f324-436b-a492-17dc55352c48</t>
  </si>
  <si>
    <t>150f681b-f5bb-4ba5-9dca-16861d87596b</t>
  </si>
  <si>
    <t>d16311a6-9815-47d3-91ba-8507428212f2</t>
  </si>
  <si>
    <t>89dd621a-de40-40aa-9a4b-cefd64b13d24</t>
  </si>
  <si>
    <t>223255cb-377f-41af-a938-a86a3dc696bf</t>
  </si>
  <si>
    <t>1449c76c-7682-4aa3-be0c-04b1528d0747</t>
  </si>
  <si>
    <t>2ae557e4-54cc-4ac5-9433-bea1988a0dbe</t>
  </si>
  <si>
    <t>19:40</t>
  </si>
  <si>
    <t>99ddae4d-7d49-4038-addf-d8dea88d1443</t>
  </si>
  <si>
    <t>3b809885-5468-4b42-9270-8cf5495df5de</t>
  </si>
  <si>
    <t>2024-04-24</t>
  </si>
  <si>
    <t>21320b4a-1927-45eb-9706-1471a9d358f6</t>
  </si>
  <si>
    <t>2024-04-21</t>
  </si>
  <si>
    <t>cf38bb96-7c67-48b5-b446-cc356ff77b1b</t>
  </si>
  <si>
    <t>a9fab438-0a24-41d6-8771-1c14b7956cbd</t>
  </si>
  <si>
    <t>18:26</t>
  </si>
  <si>
    <t>14da8285-050a-4ad1-a582-932b86d73fbd</t>
  </si>
  <si>
    <t>18:28</t>
  </si>
  <si>
    <t>a00f22e3-d4f0-4aad-bf5f-0290d6f5afdc</t>
  </si>
  <si>
    <t>2024-04-17</t>
  </si>
  <si>
    <t xml:space="preserve">la meaw mala</t>
  </si>
  <si>
    <t>5ccf0f73-f399-4520-8c2a-f8c9d0760013</t>
  </si>
  <si>
    <t>2024-04-16</t>
  </si>
  <si>
    <t>17:42</t>
  </si>
  <si>
    <t>shopee</t>
  </si>
  <si>
    <t>9ede6a02-16e7-41b5-a90a-65b2f200d03d</t>
  </si>
  <si>
    <t>720c4a62-9b45-444a-903d-77f9f0b64801</t>
  </si>
  <si>
    <t>003bbb9b-810c-4fba-8042-3e3222509c54</t>
  </si>
  <si>
    <t>17:51</t>
  </si>
  <si>
    <t xml:space="preserve">เบอเกอ วัด</t>
  </si>
  <si>
    <t>9a242828-9d23-4c5e-aa56-57b55dc03140</t>
  </si>
  <si>
    <t>2024-04-15</t>
  </si>
  <si>
    <t>17:36</t>
  </si>
  <si>
    <t>dc9e8a3a-8ea3-43d7-85d1-62672a07d243</t>
  </si>
  <si>
    <t>18:36</t>
  </si>
  <si>
    <t>2af6f983-4888-4497-9b89-a4a939b3e3e6</t>
  </si>
  <si>
    <t>2024-04-12</t>
  </si>
  <si>
    <t xml:space="preserve">gasha onepiece</t>
  </si>
  <si>
    <t>e5b4cbaa-db7f-4f94-82f7-b7b3e37571f6</t>
  </si>
  <si>
    <t>2024-04-11</t>
  </si>
  <si>
    <t>529318d5-19f9-4576-bcd7-87b9c4470afc</t>
  </si>
  <si>
    <t>2024-04-10</t>
  </si>
  <si>
    <t>17:34</t>
  </si>
  <si>
    <t>9a4caca9-ec75-4a01-8201-6d640e1b729c</t>
  </si>
  <si>
    <t>2024-04-08</t>
  </si>
  <si>
    <t>19:05</t>
  </si>
  <si>
    <t>ea4261b8-1680-47ca-bc19-d1997905e7c6</t>
  </si>
  <si>
    <t>2024-04-07</t>
  </si>
  <si>
    <t>11:20</t>
  </si>
  <si>
    <t>7aa75f28-35f6-4557-b1d8-89b0274659cf</t>
  </si>
  <si>
    <t>4292ca8d-b8ee-435d-99aa-5801c78d7fbe</t>
  </si>
  <si>
    <t>2024-04-02</t>
  </si>
  <si>
    <t>11:28</t>
  </si>
  <si>
    <t>a9c4d4d9-54be-4599-a9fd-1b2e9a6d498c</t>
  </si>
  <si>
    <t>970cc8ca-f384-4274-9a56-0b076ba3eb1c</t>
  </si>
  <si>
    <t>2024-04-01</t>
  </si>
  <si>
    <t>1f253a37-4a4a-453e-bbc2-80626e977ebc</t>
  </si>
  <si>
    <t>2024-03-31</t>
  </si>
  <si>
    <t>11:34</t>
  </si>
  <si>
    <t xml:space="preserve">เชงเม้ง ข้าว กาแฟ</t>
  </si>
  <si>
    <t>8f0bd711-efd0-4f6b-8530-07547b834513</t>
  </si>
  <si>
    <t>2b1fb9a4-941a-48ef-8e4b-8e840d9ea35e</t>
  </si>
  <si>
    <t>3464fc4e-81e0-46bd-b879-c3f7a9d08c92</t>
  </si>
  <si>
    <t>27573a88-6b41-4171-a7a2-88ff31cbf810</t>
  </si>
  <si>
    <t>19:36</t>
  </si>
  <si>
    <t>25e31b20-449e-4f13-8363-301d20ae262b</t>
  </si>
  <si>
    <t>9e149a9b-acd3-41cf-8eb2-c7676d885126</t>
  </si>
  <si>
    <t>2024-03-30</t>
  </si>
  <si>
    <t>dda523d2-533c-42da-ab45-e55d3ddbc32d</t>
  </si>
  <si>
    <t>dde56ba9-e40f-4bdc-b18a-410f838581f9</t>
  </si>
  <si>
    <t>e73587cb-2f2e-4ea6-955f-25d128a3599b</t>
  </si>
  <si>
    <t>ce3b7021-6c27-4444-b543-d66fabd284a1</t>
  </si>
  <si>
    <t>10e80e34-cd3e-4e02-b4b0-b57c193fdc3d</t>
  </si>
  <si>
    <t>2024-03-28</t>
  </si>
  <si>
    <t>19:08</t>
  </si>
  <si>
    <t>237813bd-a119-4905-9894-e53e07105630</t>
  </si>
  <si>
    <t>97126948-38a1-4757-a9d0-fd6dbe15e913</t>
  </si>
  <si>
    <t>2024-03-27</t>
  </si>
  <si>
    <t>933cb674-c062-455a-8fc1-47afcdebe67a</t>
  </si>
  <si>
    <t>2024-03-25</t>
  </si>
  <si>
    <t>cecb05de-58e3-4f19-8448-e26f12f75344</t>
  </si>
  <si>
    <t>ba22465f-b51c-4ecf-b66b-ab1e04880b1b</t>
  </si>
  <si>
    <t>fd4bf80f-2d2f-4c2c-9c8a-8ea4125bd2f1</t>
  </si>
  <si>
    <t>217a2b06-2e3c-4bbe-a8d8-2925857cce9a</t>
  </si>
  <si>
    <t>baff2df3-87c6-4b56-995e-5249ec706037</t>
  </si>
  <si>
    <t>f0e1071c-263c-4cf4-8e29-42513bd359ff</t>
  </si>
  <si>
    <t>8040bc2d-42f4-4228-8ac1-3419e5d1778e</t>
  </si>
  <si>
    <t>b15490c3-d196-41f8-b767-d45d94bb3f9e</t>
  </si>
  <si>
    <t>d40f59a3-6f54-4f2c-a136-ed177ad64678</t>
  </si>
  <si>
    <t>2024-03-24</t>
  </si>
  <si>
    <t>5dd6dcd8-40a0-4aa8-a16c-ab29cb50fca4</t>
  </si>
  <si>
    <t>14:19</t>
  </si>
  <si>
    <t>4124abfc-61dd-4f9c-a6f1-e3c02dede0eb</t>
  </si>
  <si>
    <t xml:space="preserve">ค่าที่พัก 5965*2 784*3</t>
  </si>
  <si>
    <t>341a41c3-54e8-427f-8ce4-77fa4965c57a</t>
  </si>
  <si>
    <t xml:space="preserve">จากกองกลาง 784*2</t>
  </si>
  <si>
    <t>da8bdeba-bc13-4866-865e-f9afe46b1352</t>
  </si>
  <si>
    <t>de8002c1-55dc-412d-90f0-743c3c82c339</t>
  </si>
  <si>
    <t>21:11</t>
  </si>
  <si>
    <t>9fd2d2db-6b78-4c79-9f6f-07818601c28b</t>
  </si>
  <si>
    <t>21:12</t>
  </si>
  <si>
    <t>60e9d1c6-ba6b-4ae6-8dd2-c6149a9bb420</t>
  </si>
  <si>
    <t>21:15</t>
  </si>
  <si>
    <t>dcf0decc-34ac-4b23-b249-8ec9e6006ddc</t>
  </si>
  <si>
    <t>a8ed514f-9354-40f2-8157-d6b81cb6c79c</t>
  </si>
  <si>
    <t>23:55</t>
  </si>
  <si>
    <t>taipei24</t>
  </si>
  <si>
    <t>d8bfeab7-a7db-47e3-be4d-34f78cf9066b</t>
  </si>
  <si>
    <t>2024-03-23</t>
  </si>
  <si>
    <t>44467f86-78cd-4029-8b62-b0284851f9cb</t>
  </si>
  <si>
    <t>14285e90-a6f9-451d-89ee-704e8956bbd3</t>
  </si>
  <si>
    <t>2024-03-22</t>
  </si>
  <si>
    <t>20:49</t>
  </si>
  <si>
    <t>b8755b43-3af8-47c3-9211-12b36d790240</t>
  </si>
  <si>
    <t>21:55</t>
  </si>
  <si>
    <t>720453c4-d7ca-4b77-b23e-77cffae78278</t>
  </si>
  <si>
    <t>2024-03-20</t>
  </si>
  <si>
    <t>8d28d70a-460f-4b13-b203-8093f44e910e</t>
  </si>
  <si>
    <t>TESG</t>
  </si>
  <si>
    <t>75382109-19c7-42cd-bbb7-603efcc45e49</t>
  </si>
  <si>
    <t xml:space="preserve">JP25 sap</t>
  </si>
  <si>
    <t>f5a5d83f-12fe-4adb-a322-121b32614499</t>
  </si>
  <si>
    <t>2024-03-16</t>
  </si>
  <si>
    <t>11:23</t>
  </si>
  <si>
    <t>เลี้ยงขนม</t>
  </si>
  <si>
    <t>e3b368fc-97aa-4577-95b4-17121cda3a0f</t>
  </si>
  <si>
    <t>2024-03-14</t>
  </si>
  <si>
    <t>f88d084d-1b5f-4f00-b6ae-abc84de35139</t>
  </si>
  <si>
    <t>2024-03-11</t>
  </si>
  <si>
    <t>4f9f3730-12db-4fab-80f6-442eeaa54500</t>
  </si>
  <si>
    <t xml:space="preserve">ฝากแลกสามหมื่นบาท เรท 0.2417</t>
  </si>
  <si>
    <t>00767adf-21e1-4d3d-845f-567878b27d2f</t>
  </si>
  <si>
    <t>2024-03-10</t>
  </si>
  <si>
    <t>26850a24-1a04-4b06-9454-dfbb5f062db6</t>
  </si>
  <si>
    <t>2024-03-09</t>
  </si>
  <si>
    <t>11:26</t>
  </si>
  <si>
    <t>90fa99c0-be0f-40fc-910d-e066fab78f3d</t>
  </si>
  <si>
    <t>3e8cc797-e0b4-4d62-b9c7-6d90f9d76354</t>
  </si>
  <si>
    <t>2024-03-06</t>
  </si>
  <si>
    <t xml:space="preserve">งาน สนง</t>
  </si>
  <si>
    <t>34360a9f-8e0d-442f-a70d-6775c4832887</t>
  </si>
  <si>
    <t>2024-03-05</t>
  </si>
  <si>
    <t>11:07</t>
  </si>
  <si>
    <t>5b59f65a-91db-4830-b65e-32f0f7335f12</t>
  </si>
  <si>
    <t>2024-03-04</t>
  </si>
  <si>
    <t>8e3217c7-a42b-466d-a6d0-1d09d5af4ab9</t>
  </si>
  <si>
    <t>2024-03-02</t>
  </si>
  <si>
    <t>20:14</t>
  </si>
  <si>
    <t>7602a5e9-39c2-4e85-8802-6e0d843e6051</t>
  </si>
  <si>
    <t>1c9fd6f0-e610-4d2d-944e-b352842cc889</t>
  </si>
  <si>
    <t>4ffb224b-01ef-4b6d-b723-872901779583</t>
  </si>
  <si>
    <t>20:59</t>
  </si>
  <si>
    <t>d2d5d189-8c40-46f0-b9f3-b2e0108925ba</t>
  </si>
  <si>
    <t>21:04</t>
  </si>
  <si>
    <t>a6faee72-6b57-4cbb-92d1-e5770616aa1f</t>
  </si>
  <si>
    <t xml:space="preserve">พี่จุ๊บจ่าย grab</t>
  </si>
  <si>
    <t>d8b367cf-72bf-4a5e-ae06-8db0d0bd9667</t>
  </si>
  <si>
    <t>21:13</t>
  </si>
  <si>
    <t>2e6890a0-7892-41a2-b654-12931961ae3d</t>
  </si>
  <si>
    <t>3587ccf7-e029-4d31-838d-619c3fd1cb6a</t>
  </si>
  <si>
    <t>21:18</t>
  </si>
  <si>
    <t>f2bde707-0a92-4446-8eed-7c819e48a8ba</t>
  </si>
  <si>
    <t>6b412dd3-8ca1-4d04-bfd1-9b128d637dc2</t>
  </si>
  <si>
    <t>2024-02-29</t>
  </si>
  <si>
    <t>90a67a8b-c4a0-44ba-b953-fefc5f747c17</t>
  </si>
  <si>
    <t>2024-02-26</t>
  </si>
  <si>
    <t>ae555d47-06be-470e-944f-7ba35e5f29d0</t>
  </si>
  <si>
    <t>19:45</t>
  </si>
  <si>
    <t>เคสมือถือ</t>
  </si>
  <si>
    <t>125c4f4d-760f-4338-987b-b7901b248358</t>
  </si>
  <si>
    <t>f158cf19-f8eb-411b-aa10-bed5d71bd437</t>
  </si>
  <si>
    <t>5a8fe3e6-9f76-471f-acbe-095f802f84a2</t>
  </si>
  <si>
    <t>98bce8c3-96e3-4ca9-85ba-7fbd81e8733f</t>
  </si>
  <si>
    <t>13f121a0-09ba-423f-8b4a-a00c67918256</t>
  </si>
  <si>
    <t>2024-02-25</t>
  </si>
  <si>
    <t>7a58fbac-1f66-45fa-91ad-44573d4cc977</t>
  </si>
  <si>
    <t>79c1ed76-4770-483b-a082-b6b65674e1d2</t>
  </si>
  <si>
    <t>12a994a2-1ffa-40ca-8eb5-074f2e4a37cc</t>
  </si>
  <si>
    <t>41d91d48-11c3-403f-94bc-55b81412e71f</t>
  </si>
  <si>
    <t>f53cda84-d559-4ea7-acd3-d75e35bf06ea</t>
  </si>
  <si>
    <t>fb2b4713-af0f-4ba6-bd9b-f3e13a9d119a</t>
  </si>
  <si>
    <t>66649fee-b6f3-4667-917b-c53338012f47</t>
  </si>
  <si>
    <t>d99a4c2b-47cf-4ff7-94d9-411ff339ec9a</t>
  </si>
  <si>
    <t>928a2164-be63-4a70-8441-e1f64701f1c9</t>
  </si>
  <si>
    <t>47bff2e6-2a02-41e7-8706-43244e8bf63a</t>
  </si>
  <si>
    <t>eaefda35-017d-4290-90a8-3a594f8c82ed</t>
  </si>
  <si>
    <t>2024-02-23</t>
  </si>
  <si>
    <t>e17f7e6d-dc53-4d77-b5fe-0221a4eaa190</t>
  </si>
  <si>
    <t>2024-02-21</t>
  </si>
  <si>
    <t>705f2d39-1e14-499f-a29c-245f2202db24</t>
  </si>
  <si>
    <t>2024-02-16</t>
  </si>
  <si>
    <t>11:25</t>
  </si>
  <si>
    <t>e8f474b7-8df6-44b0-908c-ed17dc7cb1c9</t>
  </si>
  <si>
    <t>2024-02-15</t>
  </si>
  <si>
    <t>12:41</t>
  </si>
  <si>
    <t>c168b93b-fc04-48ba-9f92-d9025feefa2e</t>
  </si>
  <si>
    <t>2024-02-14</t>
  </si>
  <si>
    <t>d441883f-a9af-4f39-b564-1ed313d9d643</t>
  </si>
  <si>
    <t>2024-02-11</t>
  </si>
  <si>
    <t>19:29</t>
  </si>
  <si>
    <t>fca6321e-7609-4852-b75a-fb538199a641</t>
  </si>
  <si>
    <t>2024-02-09</t>
  </si>
  <si>
    <t>91c9e147-abc6-4505-b834-0a9b1162a047</t>
  </si>
  <si>
    <t>12:42</t>
  </si>
  <si>
    <t>1e3454e4-5bd3-4a29-9932-2123c8c506bd</t>
  </si>
  <si>
    <t>2024-02-05</t>
  </si>
  <si>
    <t>07b7c56c-92f3-41bd-8ac2-bef60ff0e98e</t>
  </si>
  <si>
    <t>2024-02-04</t>
  </si>
  <si>
    <t>11:24</t>
  </si>
  <si>
    <t>27edd048-9f66-4e9a-b9c7-3e0a7bca5b4e</t>
  </si>
  <si>
    <t>12:40</t>
  </si>
  <si>
    <t>f0ae0af0-5b11-4e31-ba7f-ed01a7bc19d1</t>
  </si>
  <si>
    <t>13:01</t>
  </si>
  <si>
    <t>d0275c37-9f21-4ce3-9f8f-1fae31ad957d</t>
  </si>
  <si>
    <t>2024-02-03</t>
  </si>
  <si>
    <t>ff4ddc25-e66e-4c44-a4ab-f9b6c07853d4</t>
  </si>
  <si>
    <t>2024-02-02</t>
  </si>
  <si>
    <t>87e15cd8-d3e8-4654-8596-50b44d32812f</t>
  </si>
  <si>
    <t>2024-02-01</t>
  </si>
  <si>
    <t>0de71ed2-dcd9-4160-81c2-581203ba1188</t>
  </si>
  <si>
    <t>04c492a9-6bcc-4af5-8982-752579c0875f</t>
  </si>
  <si>
    <t>0e9a2f11-7b91-46ec-b2af-1317061b352d</t>
  </si>
  <si>
    <t>2024-01-31</t>
  </si>
  <si>
    <t>ba5af48e-1418-4700-9b3c-e9a09ee8b8b1</t>
  </si>
  <si>
    <t>รสดีเด็ดของอุ้ย</t>
  </si>
  <si>
    <t>88f792f3-80b3-4533-b783-28a69aa91a18</t>
  </si>
  <si>
    <t>19:37</t>
  </si>
  <si>
    <t>2c6c28a6-ead0-4203-a0fc-6555e99cc2ed</t>
  </si>
  <si>
    <t>2024-01-30</t>
  </si>
  <si>
    <t>6b7ab54a-5d9a-4a43-ac3f-c0c0acd13739</t>
  </si>
  <si>
    <t>14:25</t>
  </si>
  <si>
    <t>dbc10cec-81cc-469f-b858-e6cfff838afe</t>
  </si>
  <si>
    <t>ค่าประกันหักแคช</t>
  </si>
  <si>
    <t>73648b9d-02a5-46a8-979f-0a456cfb15e9</t>
  </si>
  <si>
    <t>14:28</t>
  </si>
  <si>
    <t>b349c7d4-8cbe-409c-b456-22628db6884d</t>
  </si>
  <si>
    <t>8aab6c97-28a6-45d7-83c2-ed93d8641887</t>
  </si>
  <si>
    <t>1c3ab84a-5615-485c-948e-dd711ec5e9d0</t>
  </si>
  <si>
    <t>2024-01-29</t>
  </si>
  <si>
    <t>12:10</t>
  </si>
  <si>
    <t>d1f85024-d365-4223-9b8d-86fb51093780</t>
  </si>
  <si>
    <t>12:31</t>
  </si>
  <si>
    <t>dcf7bc77-55c6-4dc8-8739-f8f42d97d50c</t>
  </si>
  <si>
    <t>862c54a7-d569-4192-8189-44bd2219aeda</t>
  </si>
  <si>
    <t>14:13</t>
  </si>
  <si>
    <t>ของนนท์</t>
  </si>
  <si>
    <t>b9064379-322a-4890-8235-e8777fc978c0</t>
  </si>
  <si>
    <t>d1935dfa-7dac-4458-b056-7cadc0afa2f4</t>
  </si>
  <si>
    <t>14:22</t>
  </si>
  <si>
    <t>3f8654c0-af80-4a4f-931f-ac56aff77a8c</t>
  </si>
  <si>
    <t>14:24</t>
  </si>
  <si>
    <t>12263a08-f9a8-418d-805e-79c2df5262c8</t>
  </si>
  <si>
    <t>4cd3e7dd-3cbf-4f98-b242-c2a1d5ed18d1</t>
  </si>
  <si>
    <t>2b8c6981-97ef-453a-99a3-d823d9ad87d1</t>
  </si>
  <si>
    <t>2024-01-28</t>
  </si>
  <si>
    <t>13:37</t>
  </si>
  <si>
    <t>66be69f2-1ace-4dd0-9c8f-37058d8c3653</t>
  </si>
  <si>
    <t>2024-01-27</t>
  </si>
  <si>
    <t>13:59</t>
  </si>
  <si>
    <t>30ed64fc-e36b-4bde-902f-034eeb63d968</t>
  </si>
  <si>
    <t>ค่าเค้ก</t>
  </si>
  <si>
    <t>862a9302-0da4-41af-8ca9-4ab252b3e4b7</t>
  </si>
  <si>
    <t>2024-01-26</t>
  </si>
  <si>
    <t>12:21</t>
  </si>
  <si>
    <t>77311bd2-dcd7-4011-b8f6-73626e30cdc6</t>
  </si>
  <si>
    <t>2024-01-25</t>
  </si>
  <si>
    <t>181a1bd2-6d7a-4e4d-8bb6-b672442ede29</t>
  </si>
  <si>
    <t>6f354770-a533-4c1e-96da-0641dbeff764</t>
  </si>
  <si>
    <t>62074914-bc38-4b80-9f78-efdcf3ba5477</t>
  </si>
  <si>
    <t>0dee3698-e651-413e-8a9b-80182a4cabe0</t>
  </si>
  <si>
    <t>0d603a81-ebb5-4922-8d9b-71f5f05da72f</t>
  </si>
  <si>
    <t>2222e72d-a5a6-4687-9781-292bf5be15c8</t>
  </si>
  <si>
    <t>1617abb3-b8c9-4ab7-a9f3-da4ce4384f5e</t>
  </si>
  <si>
    <t>6bd14174-3d53-461d-9307-06ac6443c8f0</t>
  </si>
  <si>
    <t>bc2dd880-c039-4b6e-bb7a-8012f53a5cb9</t>
  </si>
  <si>
    <t>2024-01-24</t>
  </si>
  <si>
    <t>329d2c14-d48a-4412-8328-07fa46830cb2</t>
  </si>
  <si>
    <t>2024-01-22</t>
  </si>
  <si>
    <t xml:space="preserve">เพิ่มส่วนต่าง advice</t>
  </si>
  <si>
    <t>6cbd4d99-9029-4e53-8446-8d7ce9f5625d</t>
  </si>
  <si>
    <t>2024-01-21</t>
  </si>
  <si>
    <t>2a6c0649-abed-4b26-9818-0212ba8ab526</t>
  </si>
  <si>
    <t>11:43</t>
  </si>
  <si>
    <t xml:space="preserve">windows 3436
advice 5238+7930</t>
  </si>
  <si>
    <t>ec762521-dfa6-44b2-bea1-7b729ec4d638</t>
  </si>
  <si>
    <t xml:space="preserve">dice throne</t>
  </si>
  <si>
    <t>c588d247-c118-431f-bbab-c4d4a5aefac5</t>
  </si>
  <si>
    <t>407649db-3f8f-4763-b54e-1b2f32c2583b</t>
  </si>
  <si>
    <t>13:07</t>
  </si>
  <si>
    <t>switch</t>
  </si>
  <si>
    <t>bfd1dfa9-8afa-4a66-b9b8-16cbee3db8da</t>
  </si>
  <si>
    <t>b07d27b5-1eb0-4777-9259-b6c884f98da8</t>
  </si>
  <si>
    <t>2024-01-20</t>
  </si>
  <si>
    <t>dd30c131-0883-459b-8325-7d0b8447c896</t>
  </si>
  <si>
    <t>2f4eea3f-eaac-4921-a704-2aee472d3c68</t>
  </si>
  <si>
    <t>2024-01-16</t>
  </si>
  <si>
    <t>28421e00-7061-43da-a1b0-23426aa570e8</t>
  </si>
  <si>
    <t>2024-01-15</t>
  </si>
  <si>
    <t>paided</t>
  </si>
  <si>
    <t>73f41b7d-a945-4f53-8c63-a8dd6b6f7ce6</t>
  </si>
  <si>
    <t>2024-01-14</t>
  </si>
  <si>
    <t>4eff64d1-2198-4948-ad6d-036a014a25e9</t>
  </si>
  <si>
    <t>2024-01-08</t>
  </si>
  <si>
    <t>b04687f7-9294-4da3-b3ca-99317ac13b10</t>
  </si>
  <si>
    <t>2024-01-05</t>
  </si>
  <si>
    <t>beb92095-6627-4461-bc5b-8f26ba3643e1</t>
  </si>
  <si>
    <t>16:12</t>
  </si>
  <si>
    <t>set</t>
  </si>
  <si>
    <t>0ee12cb1-5ae3-4a08-b87b-5850a00ded66</t>
  </si>
  <si>
    <t>2024-01-02</t>
  </si>
  <si>
    <t>6d989400-171e-4c74-82af-37c20e527910</t>
  </si>
  <si>
    <t>2024-01-01</t>
  </si>
  <si>
    <t>b261e815-fe80-4941-8949-efb7a2e70662</t>
  </si>
  <si>
    <t>17:43</t>
  </si>
  <si>
    <t>3298f7d6-ed8a-49cc-a0ff-8bbfcbcc272f</t>
  </si>
  <si>
    <t>fd658d47-cdec-4c58-abb1-555442270c16</t>
  </si>
  <si>
    <t>โจ๊กอุ้ย</t>
  </si>
  <si>
    <t>6600e757-ec75-4710-8c75-2597dad8143c</t>
  </si>
  <si>
    <t>1c6ad105-73d2-4453-a10d-d8ec0c954941</t>
  </si>
  <si>
    <t>f104a00f-c17f-46c5-8a7f-860df6296487</t>
  </si>
  <si>
    <t>0af1b3d8-79d6-4c01-988f-571c2c70b392</t>
  </si>
  <si>
    <t>471685f1-70e2-4c3f-97c3-b152e6c85dd6</t>
  </si>
  <si>
    <t>6f3000a2-04b0-461e-b21d-1091cc95d40a</t>
  </si>
  <si>
    <t>4dff4397-0601-4efc-8391-f5f19a2533bd</t>
  </si>
  <si>
    <t>2023-12-31</t>
  </si>
  <si>
    <t xml:space="preserve">udomsuk walk new year party</t>
  </si>
  <si>
    <t>d9bdb6ee-79f9-4e71-b3a8-108a77f71ffd</t>
  </si>
  <si>
    <t>18:17</t>
  </si>
  <si>
    <t>1a31cffc-2ed6-41ed-920b-8b8e68a561ca</t>
  </si>
  <si>
    <t>2023-12-29</t>
  </si>
  <si>
    <t xml:space="preserve">song hong</t>
  </si>
  <si>
    <t>8c170f4b-3540-4475-81f0-48d9d322e0fb</t>
  </si>
  <si>
    <t>e98a0b34-6eb4-46d3-9e9c-922527780964</t>
  </si>
  <si>
    <t>2023-12-25</t>
  </si>
  <si>
    <t>7b16edce-7fb3-4fbf-bf71-c06c408fdd12</t>
  </si>
  <si>
    <t>9cd12bc6-7d9b-4ddb-8123-9b15cfcaf108</t>
  </si>
  <si>
    <t>b6f253a9-2c25-4c4d-9d08-a0570b8bdd6f</t>
  </si>
  <si>
    <t>ae6f1d38-3f9f-45d4-ab67-0cbc958c80fe</t>
  </si>
  <si>
    <t>83230ffd-d3ea-4ce7-9186-51f9e59db3bd</t>
  </si>
  <si>
    <t>039d17ab-3b28-4d7d-9906-958d49261014</t>
  </si>
  <si>
    <t>6c2652c5-b2ef-4af2-bfeb-bcd72a8f7e5e</t>
  </si>
  <si>
    <t>cb591dc2-9604-42f4-af5b-e63c843d0958</t>
  </si>
  <si>
    <t>a4404849-d437-4ebf-bc5b-29536e43906a</t>
  </si>
  <si>
    <t>72e3a2c3-6896-4610-96ad-8d70bd143b97</t>
  </si>
  <si>
    <t>2a22fcd5-1d26-496e-a648-f4baa1952306</t>
  </si>
  <si>
    <t>2023-12-24</t>
  </si>
  <si>
    <t xml:space="preserve">stark food</t>
  </si>
  <si>
    <t>e50ec40e-4e84-4a18-88d2-1aea15ba544f</t>
  </si>
  <si>
    <t>2023-12-23</t>
  </si>
  <si>
    <t>143999eb-0c90-44a7-b7c0-ef012d2ffce3</t>
  </si>
  <si>
    <t>2023-12-22</t>
  </si>
  <si>
    <t>6406a13f-c45b-4028-90a6-ef0b6f818782</t>
  </si>
  <si>
    <t>2023-12-21</t>
  </si>
  <si>
    <t>ffae1963-61e9-4f9a-a1f8-acf769cc7e9f</t>
  </si>
  <si>
    <t>18141a89-72d4-469f-98ce-5e7c5f096489</t>
  </si>
  <si>
    <t>2023-12-17</t>
  </si>
  <si>
    <t>d39bdc6d-3545-4a7f-93a8-a54b255785ab</t>
  </si>
  <si>
    <t>199f8ed4-95ff-4623-bc6d-522ab3a6fbc6</t>
  </si>
  <si>
    <t>2023-12-15</t>
  </si>
  <si>
    <t>c82506ab-5d91-4e28-ba7b-193c5c093903</t>
  </si>
  <si>
    <t>00511adc-b3b1-4a35-a9fa-81d477995fcf</t>
  </si>
  <si>
    <t>2023-12-14</t>
  </si>
  <si>
    <t>3d5df815-d5f3-4174-8908-cee2e9c72120</t>
  </si>
  <si>
    <t>2023-12-11</t>
  </si>
  <si>
    <t>db751f83-01ea-441a-bc8a-fe4f820945a9</t>
  </si>
  <si>
    <t>2023-12-10</t>
  </si>
  <si>
    <t>ab86f496-65a4-49d5-a524-4b51bfc43c3d</t>
  </si>
  <si>
    <t>19:09</t>
  </si>
  <si>
    <t>13f88806-dd34-43a9-a66c-79e53e425295</t>
  </si>
  <si>
    <t>2023-12-09</t>
  </si>
  <si>
    <t>aec42971-5ca7-4b0f-9c3a-cdb166972c24</t>
  </si>
  <si>
    <t>7a670bad-a780-4159-857f-041b63692db5</t>
  </si>
  <si>
    <t>2023-12-03</t>
  </si>
  <si>
    <t>จองสิทเชี่ยวหลาน</t>
  </si>
  <si>
    <t>40f1d641-1360-4d2f-b333-5476a6cb2ff2</t>
  </si>
  <si>
    <t>88e32352-c44e-40ba-ac61-ae5c505905d6</t>
  </si>
  <si>
    <t>2023-12-02</t>
  </si>
  <si>
    <t>rc_acc_1781955063347_0qmn</t>
  </si>
  <si>
    <t>10b02180-8ee1-42f9-a64a-ebae0bec7996</t>
  </si>
  <si>
    <t>14:05</t>
  </si>
  <si>
    <t xml:space="preserve">ยอดเดือน พย</t>
  </si>
  <si>
    <t>0d2d1585-1925-44f1-9e99-7baee6ce1d8b</t>
  </si>
  <si>
    <t>2023-12-01</t>
  </si>
  <si>
    <t>datacamp</t>
  </si>
  <si>
    <t>8103defa-1d71-447e-868a-b8dad5260609</t>
  </si>
  <si>
    <t>3ed05e98-ed2e-486e-8a30-35ce654ddf86</t>
  </si>
  <si>
    <t>2023-11-29</t>
  </si>
  <si>
    <t>a665cc68-0ce7-4d76-96db-d46c4b8a928b</t>
  </si>
  <si>
    <t>CPFP</t>
  </si>
  <si>
    <t>17722577-18ce-451b-8227-03d9f25beb09</t>
  </si>
  <si>
    <t>18:15</t>
  </si>
  <si>
    <t xml:space="preserve">siri bond</t>
  </si>
  <si>
    <t>d4538fc2-6390-4b03-a32c-ec5d53f077dd</t>
  </si>
  <si>
    <t>2023-11-26</t>
  </si>
  <si>
    <t>13:45</t>
  </si>
  <si>
    <t>f7a9d930-b11c-49aa-b1bb-c50114aabe77</t>
  </si>
  <si>
    <t>2023-11-25</t>
  </si>
  <si>
    <t>5644b433-3aa0-4cb3-8bd8-f7a03e9bac0c</t>
  </si>
  <si>
    <t>9b7e694b-24b0-4e03-81c7-97a0e7be727b</t>
  </si>
  <si>
    <t>266c58c8-54fa-4180-b663-d8d0e1a3eaa1</t>
  </si>
  <si>
    <t>df6727ee-32c9-41fb-8cbd-af6fc5c80f17</t>
  </si>
  <si>
    <t>deb6bbfb-23cb-489b-86e0-c2911fd7aab7</t>
  </si>
  <si>
    <t>f9d9caa4-4305-4054-bf9e-fddd33980125</t>
  </si>
  <si>
    <t>d737fa92-8064-4737-8664-6dadc8e573e4</t>
  </si>
  <si>
    <t>dd8c8c66-fbb9-4a32-abc4-75d513b400f3</t>
  </si>
  <si>
    <t>75fe4a34-9a13-4689-bd9f-7072d5a448c1</t>
  </si>
  <si>
    <t>2023-11-24</t>
  </si>
  <si>
    <t>7ce2b0fd-3486-44c1-b58f-635860ab9930</t>
  </si>
  <si>
    <t>2023-11-23</t>
  </si>
  <si>
    <t>rc_acc_1781955063351_8khv</t>
  </si>
  <si>
    <t>0afadde3-88d6-4d1c-ba37-c13fa489dccb</t>
  </si>
  <si>
    <t>2023-11-19</t>
  </si>
  <si>
    <t xml:space="preserve">รสดีเด็ด ของอุ้ย</t>
  </si>
  <si>
    <t>56bcfd28-1f71-40f2-a104-6a6395e569a8</t>
  </si>
  <si>
    <t>2023-11-18</t>
  </si>
  <si>
    <t>329c967c-de41-4196-8bd2-57437d6aadf5</t>
  </si>
  <si>
    <t>2023-11-16</t>
  </si>
  <si>
    <t>fc8f9b1d-e2ad-463b-84fd-c32ca1d5381e</t>
  </si>
  <si>
    <t>2023-11-14</t>
  </si>
  <si>
    <t>d7955805-eed2-445a-b874-a68fa01c8497</t>
  </si>
  <si>
    <t>16:09</t>
  </si>
  <si>
    <t>0a61a668-f243-4992-8b0b-d7e75e072b2f</t>
  </si>
  <si>
    <t>2023-11-11</t>
  </si>
  <si>
    <t>lineshop</t>
  </si>
  <si>
    <t>307e0202-adec-4f38-9442-9ba1454cd49a</t>
  </si>
  <si>
    <t>2023-11-09</t>
  </si>
  <si>
    <t>e0b2ee1a-c133-454a-bf75-fc108da2bbf6</t>
  </si>
  <si>
    <t>a17bef37-1ee4-4cd4-9ef1-bfd2b408b75b</t>
  </si>
  <si>
    <t>2023-11-08</t>
  </si>
  <si>
    <t>16:08</t>
  </si>
  <si>
    <t>ed3b9006-23ed-4817-9ffb-cc91ec9906fe</t>
  </si>
  <si>
    <t>2023-11-05</t>
  </si>
  <si>
    <t>b1e35b77-6f82-4d82-bd57-7dfd7a23dd84</t>
  </si>
  <si>
    <t>ยอดของฝา</t>
  </si>
  <si>
    <t>97dd5dc1-df4b-47cf-9552-1233e57308b0</t>
  </si>
  <si>
    <t>13:29</t>
  </si>
  <si>
    <t xml:space="preserve">klook zipair</t>
  </si>
  <si>
    <t>73809a2a-00cb-4ca4-8ae8-43754fb3915e</t>
  </si>
  <si>
    <t>fd917de8-a206-4484-a3e8-64c1d7fda8aa</t>
  </si>
  <si>
    <t xml:space="preserve">ชดเชยเงินสดให้หงค่า ทา</t>
  </si>
  <si>
    <t>736abe2a-5ecf-415f-9bdf-da9c63f6c1b9</t>
  </si>
  <si>
    <t>cd3e3900-4abf-419b-aef4-1832b275f1b5</t>
  </si>
  <si>
    <t>a461f961-d789-4b85-88a8-d36645676195</t>
  </si>
  <si>
    <t>2023-11-04</t>
  </si>
  <si>
    <t>08:51</t>
  </si>
  <si>
    <t>ea7d5956-96ba-484d-b2ed-a7bd4b4268c3</t>
  </si>
  <si>
    <t>babeab35-8248-4ec6-9a2a-a079155b0fe3</t>
  </si>
  <si>
    <t>11:11</t>
  </si>
  <si>
    <t>94e62a6c-7791-41e0-86aa-8e6c36639e18</t>
  </si>
  <si>
    <t>3ec8015d-ae23-42ae-b343-43c7e6c2cd45</t>
  </si>
  <si>
    <t xml:space="preserve">งาน CMON</t>
  </si>
  <si>
    <t>5be6ca10-fbe6-4b52-8124-d5124fe1b326</t>
  </si>
  <si>
    <t>60701231-4a94-4fc4-ad2f-94c1fbc25125</t>
  </si>
  <si>
    <t>23b836af-2e1a-4b9c-8ce5-2de1c229cb55</t>
  </si>
  <si>
    <t>2023-11-03</t>
  </si>
  <si>
    <t>a73778e3-369d-4136-a07d-791f52ad53eb</t>
  </si>
  <si>
    <t>2023-11-01</t>
  </si>
  <si>
    <t>ค่ารักษาป๊า</t>
  </si>
  <si>
    <t>6d40d621-1736-49a1-a1a7-b5562f65736c</t>
  </si>
  <si>
    <t>2023-10-31</t>
  </si>
  <si>
    <t>96d31f50-2ba0-4c7d-b0bb-7732468487dd</t>
  </si>
  <si>
    <t>51f81828-6747-4a65-a1ed-ed46cdde8463</t>
  </si>
  <si>
    <t>2023-10-30</t>
  </si>
  <si>
    <t>11:09</t>
  </si>
  <si>
    <t>ชาบูจากริด</t>
  </si>
  <si>
    <t>a1a89056-90a8-4c41-b662-5af3874f8996</t>
  </si>
  <si>
    <t>2023-10-29</t>
  </si>
  <si>
    <t>5ea40c08-6e82-40d9-9d99-9eea9c7af23e</t>
  </si>
  <si>
    <t>758fb997-c425-4f7d-a3c0-6f32ba524464</t>
  </si>
  <si>
    <t>408bd2b6-eba3-47d2-92b5-fd340b8e3a4a</t>
  </si>
  <si>
    <t>0c7613d4-7561-4fd8-bfe0-11c84b1f0fd4</t>
  </si>
  <si>
    <t>9a490082-148b-418a-a95e-7cb9587f3b50</t>
  </si>
  <si>
    <t>ff456924-bbaa-430e-8007-83216e3bffb1</t>
  </si>
  <si>
    <t>276cc8c9-99ae-4c02-a5c5-e5fbf2449303</t>
  </si>
  <si>
    <t>bff6d8c7-f306-4a7c-b64a-6f8b339a26e8</t>
  </si>
  <si>
    <t>9d7836f2-6c52-482d-b164-c37f48d4483c</t>
  </si>
  <si>
    <t>d6fe2d6b-2a2e-4efd-86c0-f3d983f08dd8</t>
  </si>
  <si>
    <t>18:06</t>
  </si>
  <si>
    <t>41e95da3-b97e-4fc7-b785-ea3f9d3cce57</t>
  </si>
  <si>
    <t>2023-10-24</t>
  </si>
  <si>
    <t xml:space="preserve">monolith arena</t>
  </si>
  <si>
    <t>b5f73914-bbef-4d19-bfea-22c8b8a9e931</t>
  </si>
  <si>
    <t>อุ้ยโอนให้</t>
  </si>
  <si>
    <t>ad537b63-3f39-41d5-b30e-2e09147382a6</t>
  </si>
  <si>
    <t>57eabd09-972c-421f-a613-1c9bb1f0e452</t>
  </si>
  <si>
    <t>2023-10-21</t>
  </si>
  <si>
    <t>21:14</t>
  </si>
  <si>
    <t>507199c1-3712-4b20-ad72-16e031423bfa</t>
  </si>
  <si>
    <t xml:space="preserve">หง ส่วนทริป ญป</t>
  </si>
  <si>
    <t>d808781a-83f1-4ca2-b5bd-9811d454eb14</t>
  </si>
  <si>
    <t xml:space="preserve">google play pass</t>
  </si>
  <si>
    <t>87d922a9-ebef-4de4-a136-e621c648f544</t>
  </si>
  <si>
    <t>2023-10-20</t>
  </si>
  <si>
    <t>1fe2c4a6-dc77-4ad4-befa-4d3f0d9ed46f</t>
  </si>
  <si>
    <t>9f8ea7a1-bd77-4753-b3e8-96b0cee389df</t>
  </si>
  <si>
    <t>2023-10-18</t>
  </si>
  <si>
    <t>21:19</t>
  </si>
  <si>
    <t>เจ๊กุลช่วย</t>
  </si>
  <si>
    <t>067c43f9-ba4f-4085-aa8f-3e06cbaa47f9</t>
  </si>
  <si>
    <t>2023-10-17</t>
  </si>
  <si>
    <t>527887bd-4cdc-456a-a432-e8bd752c25b9</t>
  </si>
  <si>
    <t>2023-10-16</t>
  </si>
  <si>
    <t>21:22</t>
  </si>
  <si>
    <t>8a75b21e-6bdc-46d0-bed1-db05e7e22204</t>
  </si>
  <si>
    <t>2023-10-15</t>
  </si>
  <si>
    <t>12:03</t>
  </si>
  <si>
    <t>8bc3204e-8359-4adb-9b0b-207f385a78d6</t>
  </si>
  <si>
    <t>12:12</t>
  </si>
  <si>
    <t>5399d3a9-82cd-43a7-9e87-bf0d1fc90e76</t>
  </si>
  <si>
    <t>12:13</t>
  </si>
  <si>
    <t>กาชา</t>
  </si>
  <si>
    <t>a80e782c-4d6f-45a5-a58e-7ca45fd45750</t>
  </si>
  <si>
    <t>a1158c56-cf93-43f0-9c39-19d219f14fc2</t>
  </si>
  <si>
    <t xml:space="preserve">ทริปหัวหิน ส่วน mariage</t>
  </si>
  <si>
    <t>48dbae30-9bd1-4ab5-82b0-a18caa2ae964</t>
  </si>
  <si>
    <t xml:space="preserve">ทริปหัวหิน ส่วนเฟิน</t>
  </si>
  <si>
    <t>42129213-7d4a-42a1-a336-c4ae6911cd74</t>
  </si>
  <si>
    <t>2023-10-14</t>
  </si>
  <si>
    <t>444e667b-b756-437c-8b6a-8d0427ccd0d0</t>
  </si>
  <si>
    <t>2023-10-13</t>
  </si>
  <si>
    <t>13e4d2ad-0428-4672-adb1-ec408f9b1bb5</t>
  </si>
  <si>
    <t>20:29</t>
  </si>
  <si>
    <t>b039194d-65f8-4874-af40-4b4a7ed91ca9</t>
  </si>
  <si>
    <t>2023-10-11</t>
  </si>
  <si>
    <t>0a1bfd1f-8476-45f4-aee2-50c32c203158</t>
  </si>
  <si>
    <t>2023-10-10</t>
  </si>
  <si>
    <t>a5f5fe6a-45cf-4f05-864f-c335ae0bcfb6</t>
  </si>
  <si>
    <t>2023-10-09</t>
  </si>
  <si>
    <t xml:space="preserve">เจ๊นง 1720 ยอดอื่น</t>
  </si>
  <si>
    <t>91a28db4-c77f-43d0-b5d9-0c24d1b25175</t>
  </si>
  <si>
    <t>15:54</t>
  </si>
  <si>
    <t>0d8c9729-279b-420c-818a-4564d7e35ef2</t>
  </si>
  <si>
    <t>20:48</t>
  </si>
  <si>
    <t>6f276aa9-b1d4-4b7f-9b3e-34f092fe703c</t>
  </si>
  <si>
    <t>885c18e6-5fc8-41b5-81c2-fa3febc1f7ec</t>
  </si>
  <si>
    <t>ของฝากหัวหิน</t>
  </si>
  <si>
    <t>2de5854e-1c84-4430-aeec-156eb7a808bd</t>
  </si>
  <si>
    <t>2023-10-07</t>
  </si>
  <si>
    <t>09:56</t>
  </si>
  <si>
    <t>โกปีเฮียะไท่กี่</t>
  </si>
  <si>
    <t>5d4742ad-166a-4dbd-993a-633bb2d1cd44</t>
  </si>
  <si>
    <t>21:10</t>
  </si>
  <si>
    <t xml:space="preserve">มื้อเย็นวันแรก ทริปหัวหิน</t>
  </si>
  <si>
    <t>10240464-16bb-4c14-b70f-19b3f07f4299</t>
  </si>
  <si>
    <t>2023-10-06</t>
  </si>
  <si>
    <t xml:space="preserve">TP tea</t>
  </si>
  <si>
    <t>b0a9e5c2-f511-47a7-9a20-9b1dc7c240c3</t>
  </si>
  <si>
    <t>92269e9b-b32e-4832-a8a4-63b11906e15c</t>
  </si>
  <si>
    <t>93c22333-1ba8-419d-a8d5-d9e2b4b8c4a9</t>
  </si>
  <si>
    <t>21:16</t>
  </si>
  <si>
    <t>ssf</t>
  </si>
  <si>
    <t>88c2b5f7-d70e-4d03-984e-8322d3bafe24</t>
  </si>
  <si>
    <t>2023-10-03</t>
  </si>
  <si>
    <t>09:30</t>
  </si>
  <si>
    <t>47cf3dc1-4a95-422c-93bd-70763a93fbd5</t>
  </si>
  <si>
    <t>12:36</t>
  </si>
  <si>
    <t>59f2551c-49b7-4f28-93e4-cbdf0516687d</t>
  </si>
  <si>
    <t>2023-10-02</t>
  </si>
  <si>
    <t>12:05</t>
  </si>
  <si>
    <t>624bdd51-d866-43fc-a774-e69029aa0b3f</t>
  </si>
  <si>
    <t>ed006950-7944-447a-858c-f83969cdf469</t>
  </si>
  <si>
    <t>269288ac-4d02-4d62-b032-ca69c6329d09</t>
  </si>
  <si>
    <t>b0ea7924-5b31-4baa-87a5-36f52e9bd321</t>
  </si>
  <si>
    <t>fada83b9-9644-4819-8358-5c597a3dc5d6</t>
  </si>
  <si>
    <t>rc_acc_1781955063356_nq03</t>
  </si>
  <si>
    <t>d08a4df2-54d3-4893-a038-7f48e8c94264</t>
  </si>
  <si>
    <t xml:space="preserve">Difference as jpy use</t>
  </si>
  <si>
    <t>694f7130-b0b8-4b74-b57c-6803c5944284</t>
  </si>
  <si>
    <t>22:13</t>
  </si>
  <si>
    <t>55c8b0e9-9dcb-400a-8d3a-b53a7e55e8df</t>
  </si>
  <si>
    <t>22:21</t>
  </si>
  <si>
    <t>731a41c4-d83f-4041-851d-2f90a95be387</t>
  </si>
  <si>
    <t>22:23</t>
  </si>
  <si>
    <t>rc_acc_1781955063349_mitc</t>
  </si>
  <si>
    <t>caa753de-44e0-4fd6-8062-01692a7d9094</t>
  </si>
  <si>
    <t>22:25</t>
  </si>
  <si>
    <t>rc_acc_1781955063352_d0kz</t>
  </si>
  <si>
    <t>da7aa29d-e660-4d1c-b9ce-62f42b1b72df</t>
  </si>
  <si>
    <t>rc_acc_1781955063356_nmdo</t>
  </si>
  <si>
    <t>6f77f222-8174-4739-a60f-19ff75f16648</t>
  </si>
  <si>
    <t>rc_acc_1781955063351_9sgw</t>
  </si>
  <si>
    <t>3d5b901b-0ff7-4208-9afe-001e84c50b0b</t>
  </si>
  <si>
    <t>2023-10-01</t>
  </si>
  <si>
    <t>18:05</t>
  </si>
  <si>
    <t xml:space="preserve">ส่วนต่างศิริราช รอบสอง</t>
  </si>
  <si>
    <t>0ee715ec-f87d-4319-a065-e8b7ffe5c4db</t>
  </si>
  <si>
    <t>ea580659-4882-45cb-8d23-db0040d30ddc</t>
  </si>
  <si>
    <t xml:space="preserve">dont feed monkey</t>
  </si>
  <si>
    <t>907f02b8-dc13-4b2c-9812-16999dc190a8</t>
  </si>
  <si>
    <t xml:space="preserve">qed 18</t>
  </si>
  <si>
    <t>20ae2dbf-caaa-44c0-b0fb-118296377335</t>
  </si>
  <si>
    <t>trouser</t>
  </si>
  <si>
    <t>c7a96c18-a76d-4600-8f62-bcdd826f8ad4</t>
  </si>
  <si>
    <t>5e2fb256-ef3d-4c9a-a22d-10aa9e53beb9</t>
  </si>
  <si>
    <t>20:55</t>
  </si>
  <si>
    <t xml:space="preserve">kagonoya วันเกิด</t>
  </si>
  <si>
    <t>57e81637-1cba-4d4b-8b6a-01a6ee12c298</t>
  </si>
  <si>
    <t xml:space="preserve">แกงค์แหลกๆ เอี่ยวไถ่</t>
  </si>
  <si>
    <t>d016e79b-77c4-48f2-ad4e-41cba2eb05ae</t>
  </si>
  <si>
    <t>21:09</t>
  </si>
  <si>
    <t xml:space="preserve">ของขวัญฟรัง teddy</t>
  </si>
  <si>
    <t>50d38ebf-2ceb-463f-8899-d88c329377e6</t>
  </si>
  <si>
    <t>8c576aca-acba-4230-832f-58825ab6f0ae</t>
  </si>
  <si>
    <t>21:38</t>
  </si>
  <si>
    <t>9629bda3-71de-44a4-a7d2-4376dd7cb584</t>
  </si>
  <si>
    <t>0750f1c3-5075-4367-8888-ba506a1af013</t>
  </si>
  <si>
    <t>21:40</t>
  </si>
  <si>
    <t>97faf338-58fb-4f2d-97ac-00bec78e6fe7</t>
  </si>
  <si>
    <t>22:01</t>
  </si>
  <si>
    <t>c123bd6b-3228-4d7b-812c-82177f216548</t>
  </si>
  <si>
    <t>54ab4834-4c84-4405-ac47-ab83836ca72b</t>
  </si>
  <si>
    <t>sim</t>
  </si>
  <si>
    <t>8250968a-6193-4430-9cec-9797a9eb0f1e</t>
  </si>
  <si>
    <t>2023-09-30</t>
  </si>
  <si>
    <t>09:11</t>
  </si>
  <si>
    <t>ออกเองบางส่วน</t>
  </si>
  <si>
    <t>52e8f077-6c20-4645-9f88-14662ae45a77</t>
  </si>
  <si>
    <t xml:space="preserve">fammary h 128</t>
  </si>
  <si>
    <t>5894a79d-ea32-43a8-ad82-35e99a475245</t>
  </si>
  <si>
    <t>br</t>
  </si>
  <si>
    <t>8794d251-93c1-4b8d-a7db-3263f4792336</t>
  </si>
  <si>
    <t>ชานม</t>
  </si>
  <si>
    <t>242c767d-b69d-4a07-88a4-f610885cd38b</t>
  </si>
  <si>
    <t xml:space="preserve">Difference at trip end</t>
  </si>
  <si>
    <t>a6dcae0f-918a-4f78-9769-d7a0f12f3c00</t>
  </si>
  <si>
    <t>32404ca9-eeb2-49cc-9b3e-e42bc6587283</t>
  </si>
  <si>
    <t>2023-09-29</t>
  </si>
  <si>
    <t xml:space="preserve">กาชา โคนัน hero gundam sasuke</t>
  </si>
  <si>
    <t>69aaa754-fa68-494b-b03d-70a327b94306</t>
  </si>
  <si>
    <t>d49f381d-8e29-475e-bdb7-01e827bc95c2</t>
  </si>
  <si>
    <t xml:space="preserve">gindaco กองกลาง</t>
  </si>
  <si>
    <t>bd52aa3c-54ac-4472-8ab5-e1154334d2d5</t>
  </si>
  <si>
    <t>20:30</t>
  </si>
  <si>
    <t>figure</t>
  </si>
  <si>
    <t>dfa8ae7d-2569-471a-82ee-23322734d401</t>
  </si>
  <si>
    <t>2023-09-27</t>
  </si>
  <si>
    <t xml:space="preserve">กองกลาง พระใหญ่</t>
  </si>
  <si>
    <t>99853ae5-fc4d-419e-9d2d-df37d2a7bcb5</t>
  </si>
  <si>
    <t xml:space="preserve">เนื้อทอด ปังแกง</t>
  </si>
  <si>
    <t>c92ab3b8-9975-4091-8123-722be9d6a722</t>
  </si>
  <si>
    <t>2023-09-26</t>
  </si>
  <si>
    <t>07:16</t>
  </si>
  <si>
    <t xml:space="preserve">กาแฟ สถานี higashi nihombashi</t>
  </si>
  <si>
    <t>1dcdb6d3-0ca3-45e9-8513-7c167cd4eea9</t>
  </si>
  <si>
    <t>09:40</t>
  </si>
  <si>
    <t xml:space="preserve">กองกลาง ขนมปังกันตาย</t>
  </si>
  <si>
    <t>bd1c7a8c-5d28-4e36-bf01-8d4a0f073713</t>
  </si>
  <si>
    <t>11:13</t>
  </si>
  <si>
    <t xml:space="preserve">เหรียญ pkcenter</t>
  </si>
  <si>
    <t>705a2e10-433b-490e-b48a-42311d786881</t>
  </si>
  <si>
    <t>pokemon</t>
  </si>
  <si>
    <t>e4147088-213d-4b3d-8f59-9b7e0256aa20</t>
  </si>
  <si>
    <t>15:10</t>
  </si>
  <si>
    <t xml:space="preserve">กาชา ueno บิ๊กมัม คาตาคุริ ช็อปเปอร์ จินเบ คิง โมโมะ</t>
  </si>
  <si>
    <t>f0e8c462-b31a-4410-a0b8-d87537ca4fa7</t>
  </si>
  <si>
    <t xml:space="preserve">รถไฟจาก yogohama มา shibuya</t>
  </si>
  <si>
    <t>d4825924-042d-4bc7-97ee-2dbba2dc08ae</t>
  </si>
  <si>
    <t>2023-09-25</t>
  </si>
  <si>
    <t>a9be3427-ff8c-4f3b-99b0-8847d6848a11</t>
  </si>
  <si>
    <t>968d8062-bd9f-49c0-a859-d9f1d9d8721b</t>
  </si>
  <si>
    <t>00:01</t>
  </si>
  <si>
    <t>2a21fcee-f812-447c-b092-1d472d3facf0</t>
  </si>
  <si>
    <t>07:17</t>
  </si>
  <si>
    <t xml:space="preserve">กดน้ำ miyashita park</t>
  </si>
  <si>
    <t>5f9f2450-c351-4708-ae78-0846d2a7db9c</t>
  </si>
  <si>
    <t xml:space="preserve">กองกลาง เกี้ยวซ่า</t>
  </si>
  <si>
    <t>f3e3773e-3918-4b00-81ee-f0050e36df1b</t>
  </si>
  <si>
    <t xml:space="preserve">สมุด cup noodle</t>
  </si>
  <si>
    <t>e2ac7035-0b22-49c5-9fda-a558096ed960</t>
  </si>
  <si>
    <t xml:space="preserve">gashapon พลเอก*3 นามิบรูคลูฟี่ ซาโบ้ ไคโด กันดัม ยามาโตะ</t>
  </si>
  <si>
    <t>de9e475a-474b-4a15-9c2a-3593dcd95c63</t>
  </si>
  <si>
    <t xml:space="preserve">crane game</t>
  </si>
  <si>
    <t>de9ec2c0-0e58-40c6-815d-9231be3b4bec</t>
  </si>
  <si>
    <t>11cd6836-42b5-4765-ae3d-a011d342af51</t>
  </si>
  <si>
    <t xml:space="preserve">กองกลาง fmmart</t>
  </si>
  <si>
    <t>446c8082-731a-44ce-a9cc-cef28b5873e3</t>
  </si>
  <si>
    <t>14:40</t>
  </si>
  <si>
    <t xml:space="preserve">รถเมล์ไป gundam fac</t>
  </si>
  <si>
    <t>3b3a2883-e4ba-4a7e-a917-0cf47a09208a</t>
  </si>
  <si>
    <t>15:00</t>
  </si>
  <si>
    <t>ค่าเข้ากันดัม</t>
  </si>
  <si>
    <t>0403f7d2-9c6c-4d75-b8d3-4c90a3baf2a6</t>
  </si>
  <si>
    <t xml:space="preserve">yogohama gundam</t>
  </si>
  <si>
    <t>1ecbb8ec-1063-46ff-9773-b95327bc724b</t>
  </si>
  <si>
    <t>17:03</t>
  </si>
  <si>
    <t xml:space="preserve">กองกลาง เสี่ยวหลงเปา</t>
  </si>
  <si>
    <t>87e4da00-f1a3-4204-97eb-2165925cb422</t>
  </si>
  <si>
    <t xml:space="preserve">กองกลาง yogohama chinatown</t>
  </si>
  <si>
    <t>adfded1f-3d65-46c9-9400-4d7e2df1d8f8</t>
  </si>
  <si>
    <t xml:space="preserve">กองกลาง ไก่ทอด</t>
  </si>
  <si>
    <t>1f6744f1-aace-4363-8318-fccf3943d2e9</t>
  </si>
  <si>
    <t>e2eac186-cf36-48f5-9476-8cdcec0cbe31</t>
  </si>
  <si>
    <t>2023-09-24</t>
  </si>
  <si>
    <t>09:33</t>
  </si>
  <si>
    <t xml:space="preserve">กดน้ำระหว่างไป nikko</t>
  </si>
  <si>
    <t>2a069cce-4f88-4062-8d45-f4100ce9e416</t>
  </si>
  <si>
    <t>น้ำเปล่า</t>
  </si>
  <si>
    <t>e11721cb-4a80-4fd2-a464-04e7afac4581</t>
  </si>
  <si>
    <t>14:00</t>
  </si>
  <si>
    <t xml:space="preserve">กองกลาง เข้าโซนหลังวัด</t>
  </si>
  <si>
    <t>f832939b-273a-4367-8462-68bffa6b1ecb</t>
  </si>
  <si>
    <t xml:space="preserve">กองกลาง ฟองเต้าหู้ทอด</t>
  </si>
  <si>
    <t>c578244a-f61a-4fc9-97c6-1f927d4e1435</t>
  </si>
  <si>
    <t>75c68e5a-bd0e-4575-b2ad-365eaaf3a672</t>
  </si>
  <si>
    <t>e2d8d72d-c96c-4762-93da-89810a6ef5ac</t>
  </si>
  <si>
    <t>7a430388-51f4-4471-ba74-72127896528a</t>
  </si>
  <si>
    <t>de1fbd96-d48e-4a43-858b-d4ea15a5d3c1</t>
  </si>
  <si>
    <t>ddc81080-1f11-494b-aa33-6c8fa142a7ec</t>
  </si>
  <si>
    <t>2c5c1d64-85bd-4068-90b0-8c9a3506665c</t>
  </si>
  <si>
    <t>2023-09-23</t>
  </si>
  <si>
    <t>06:40</t>
  </si>
  <si>
    <t xml:space="preserve">กองกลาง access express</t>
  </si>
  <si>
    <t>01cad715-d334-4197-9e61-001e12203c71</t>
  </si>
  <si>
    <t>16fd454c-e380-46ba-a007-ce147a212a76</t>
  </si>
  <si>
    <t>06:41</t>
  </si>
  <si>
    <t>15a1b96e-8ca2-4c28-acb3-a3dd51787fea</t>
  </si>
  <si>
    <t>09:32</t>
  </si>
  <si>
    <t xml:space="preserve">จากที่พักไป ueno</t>
  </si>
  <si>
    <t>b837a912-7f33-4dca-96cc-8df50bb04914</t>
  </si>
  <si>
    <t>14:33</t>
  </si>
  <si>
    <t xml:space="preserve">เมล่อนปัง กับโครอกเขะ</t>
  </si>
  <si>
    <t>08f9c270-2264-4041-8ef6-88c87381eee1</t>
  </si>
  <si>
    <t xml:space="preserve">กาชา ไคโดสองตัว</t>
  </si>
  <si>
    <t>c490b356-2172-45b4-b526-5ce20335d66a</t>
  </si>
  <si>
    <t xml:space="preserve">Difference at 1st date</t>
  </si>
  <si>
    <t>d2b36a28-72a0-4e88-a241-1ebdcb39a3b2</t>
  </si>
  <si>
    <t>2023-09-22</t>
  </si>
  <si>
    <t>11:29</t>
  </si>
  <si>
    <t>bb4e8102-5480-4950-8847-800fe40edc14</t>
  </si>
  <si>
    <t>2023-09-15</t>
  </si>
  <si>
    <t>09:01</t>
  </si>
  <si>
    <t>33407308-2c5c-416c-8776-7eb83a01e3a0</t>
  </si>
  <si>
    <t>2023-09-14</t>
  </si>
  <si>
    <t>f1209253-464b-4477-be06-07bfb1c4b7d8</t>
  </si>
  <si>
    <t>6ab01ff2-944f-42d7-864e-dab9c3edc4ac</t>
  </si>
  <si>
    <t>2023-09-10</t>
  </si>
  <si>
    <t>cc9fa5de-ea72-4ba2-8277-4db53ccba2e6</t>
  </si>
  <si>
    <t>11:27</t>
  </si>
  <si>
    <t>64075f57-e946-43e8-b37a-253cc70cee4c</t>
  </si>
  <si>
    <t>2023-09-08</t>
  </si>
  <si>
    <t>4428fa1e-8b6f-4f45-93cf-ab729a9ccaa2</t>
  </si>
  <si>
    <t>2023-09-07</t>
  </si>
  <si>
    <t>285ff510-962e-4db0-bbbf-3af78718ca47</t>
  </si>
  <si>
    <t>211f48b3-6d29-4a50-81e5-a6446ed0c61c</t>
  </si>
  <si>
    <t>2023-09-05</t>
  </si>
  <si>
    <t>9dcbe448-3a74-4442-9f40-348aba291258</t>
  </si>
  <si>
    <t>2023-09-04</t>
  </si>
  <si>
    <t>09:02</t>
  </si>
  <si>
    <t xml:space="preserve">รักษาป๊า สำรองที่เอิน</t>
  </si>
  <si>
    <t>c23e1c9e-0614-47e9-aa5b-f171286217d3</t>
  </si>
  <si>
    <t>2023-09-03</t>
  </si>
  <si>
    <t>003e01f4-b03b-4407-981b-3750ab0f35de</t>
  </si>
  <si>
    <t>2fcd9f93-0e4c-42f3-b78b-3ed88fb2f6ca</t>
  </si>
  <si>
    <t>2023-09-02</t>
  </si>
  <si>
    <t>09:03</t>
  </si>
  <si>
    <t>be371d93-3a3c-4df2-a26d-b69213813ca2</t>
  </si>
  <si>
    <t>09:57</t>
  </si>
  <si>
    <t>e42b4a66-b877-4230-8201-c4513ab6fe57</t>
  </si>
  <si>
    <t>2023-09-01</t>
  </si>
  <si>
    <t>09:00</t>
  </si>
  <si>
    <t>b8070dfd-5178-401c-bea0-fcdcd7f6a86f</t>
  </si>
  <si>
    <t>12:02</t>
  </si>
  <si>
    <t>b5f7734d-2c47-4df4-9474-4ef5384f2b4d</t>
  </si>
  <si>
    <t>20:02</t>
  </si>
  <si>
    <t>8d35149e-a506-4613-a5a4-17d94435830f</t>
  </si>
  <si>
    <t>20:16</t>
  </si>
  <si>
    <t>0d8f89e8-913f-4558-9aec-0dea4b8ce97d</t>
  </si>
  <si>
    <t>2023-08-31</t>
  </si>
  <si>
    <t>cbfdaea1-ec85-4889-a690-68b7c41379cd</t>
  </si>
  <si>
    <t>12:45</t>
  </si>
  <si>
    <t>รักษาป๊า</t>
  </si>
  <si>
    <t>aa33acfa-a73d-458e-ba7b-8b564b10dccc</t>
  </si>
  <si>
    <t>2023-08-30</t>
  </si>
  <si>
    <t>780c7339-de7e-43f7-a71a-eca1f708765d</t>
  </si>
  <si>
    <t>8a1a4a52-f5f9-47d8-96d7-5d0b97b576a2</t>
  </si>
  <si>
    <t>2023-08-29</t>
  </si>
  <si>
    <t>09:37</t>
  </si>
  <si>
    <t>b5874284-3b1d-4c0d-99d4-c85498546fea</t>
  </si>
  <si>
    <t>e1a5ff68-53d8-4340-9205-2e40e9a70b54</t>
  </si>
  <si>
    <t>d9da3efd-d065-451a-8826-75ac7d4ffee4</t>
  </si>
  <si>
    <t>2023-08-28</t>
  </si>
  <si>
    <t>00008635-df6c-4865-b88a-76b83d8ab755</t>
  </si>
  <si>
    <t>49b6e500-08cf-471e-9ca3-a795ce783fcf</t>
  </si>
  <si>
    <t>29b72dc4-315c-4fc1-ad88-c95cb876513b</t>
  </si>
  <si>
    <t>2023-08-27</t>
  </si>
  <si>
    <t>a124abad-7495-4087-a026-31a5e97c175c</t>
  </si>
  <si>
    <t>c2410f89-b3d3-4210-b741-1e6e50a2f112</t>
  </si>
  <si>
    <t>AIIZ</t>
  </si>
  <si>
    <t>f530d11a-18e5-4258-95a2-275c4e51ef7c</t>
  </si>
  <si>
    <t>9ba91e12-2699-4a3c-a2ec-0cf78baeb729</t>
  </si>
  <si>
    <t>11:42</t>
  </si>
  <si>
    <t>44962dc9-2d2f-4694-9d34-7592082da3ab</t>
  </si>
  <si>
    <t>fdc9f9f1-cfc6-4fac-8e3b-ea92f8e510a1</t>
  </si>
  <si>
    <t>e8818516-3692-476c-a450-67f3ddeb4fb8</t>
  </si>
  <si>
    <t>e4f505a3-36c3-46c2-b197-473c508eb32b</t>
  </si>
  <si>
    <t>2023-08-26</t>
  </si>
  <si>
    <t>22:19</t>
  </si>
  <si>
    <t>f4d7f877-76ec-47f4-8235-c78c8e4985f9</t>
  </si>
  <si>
    <t>b0ca1b99-6291-421e-8a7b-8a6630e268a2</t>
  </si>
  <si>
    <t>2023-08-25</t>
  </si>
  <si>
    <t>a16fc1ce-dda5-4ca1-8b28-42d151dd8b62</t>
  </si>
  <si>
    <t>9b301eb3-4c8d-4c50-a5c9-d137e0bc1796</t>
  </si>
  <si>
    <t>9d37fc56-4dad-46a8-af64-5b51046f1ffa</t>
  </si>
  <si>
    <t>7fccd421-083f-4f96-b964-7e5498f2416f</t>
  </si>
  <si>
    <t>49248fc0-9865-44f1-96c9-72cfdf971fca</t>
  </si>
  <si>
    <t>3a62572d-26a5-4c9d-a547-5f03fd5df7b4</t>
  </si>
  <si>
    <t>80c9c328-4f64-4435-9143-0a4d21b1ae34</t>
  </si>
  <si>
    <t>a061381f-50af-4493-99ec-0320775c387a</t>
  </si>
  <si>
    <t>094a287e-dc88-4dde-b9eb-bfa234f025db</t>
  </si>
  <si>
    <t>71e80719-38fe-4d50-af97-209ef2b18c50</t>
  </si>
  <si>
    <t>e815540f-278d-4e05-9d20-3f7ec4992858</t>
  </si>
  <si>
    <t>2023-08-24</t>
  </si>
  <si>
    <t>09:17</t>
  </si>
  <si>
    <t>b7beff26-b4e0-4546-aaab-f29259ab6db2</t>
  </si>
  <si>
    <t>d9d3b840-15a8-4e05-8b51-3eeef1c759e0</t>
  </si>
  <si>
    <t>4602c978-3cf6-41b4-b420-ddde877d8c67</t>
  </si>
  <si>
    <t>2023-08-23</t>
  </si>
  <si>
    <t>d47e1937-fe9f-4b39-a8a3-89414a823954</t>
  </si>
  <si>
    <t>43c6f5db-0549-4f96-b975-a1ac4ce2bba0</t>
  </si>
  <si>
    <t>94725eb9-ddb5-459f-8fd3-1ee950c8f36e</t>
  </si>
  <si>
    <t>2023-08-22</t>
  </si>
  <si>
    <t>d4d80cc5-eae0-4921-b54b-d837e581ecc7</t>
  </si>
  <si>
    <t>22:22</t>
  </si>
  <si>
    <t>70f32bdc-e8fc-4b03-aad9-ef09944a9063</t>
  </si>
  <si>
    <t>2023-08-21</t>
  </si>
  <si>
    <t>08:46</t>
  </si>
  <si>
    <t>89841bf0-921b-4137-92a4-a7600faa32b1</t>
  </si>
  <si>
    <t>2023-08-20</t>
  </si>
  <si>
    <t>09:14</t>
  </si>
  <si>
    <t>10aab9d2-8293-42c6-afed-02e3108fee3e</t>
  </si>
  <si>
    <t>561b9f46-d9cd-408e-9429-00ead78eba59</t>
  </si>
  <si>
    <t>2933aac2-235e-487e-a656-d865cc00676f</t>
  </si>
  <si>
    <t>bd5f626e-6bd3-4c2d-b4ca-a660bf1297fb</t>
  </si>
  <si>
    <t>e4863dd7-9717-4031-a6b8-3899a4ab321e</t>
  </si>
  <si>
    <t>2023-08-19</t>
  </si>
  <si>
    <t>e7a121c5-bd47-4ed7-9cbf-235b40b28b79</t>
  </si>
  <si>
    <t>52ce7dad-9f78-4982-87b3-9aca65daad2e</t>
  </si>
  <si>
    <t>2023-08-18</t>
  </si>
  <si>
    <t>f5a849b5-c6a9-4072-9a16-06aa087a02b0</t>
  </si>
  <si>
    <t>33a114b5-7ee1-4965-bb10-6bfb7a62b351</t>
  </si>
  <si>
    <t>2023-08-17</t>
  </si>
  <si>
    <t>a30a7a80-f96e-45aa-97b5-4fec9a94d7c9</t>
  </si>
  <si>
    <t>2023-08-16</t>
  </si>
  <si>
    <t>e9c61e83-8d01-4d72-91e4-8335f8b2fe8f</t>
  </si>
  <si>
    <t>cb8d9e12-a9be-411d-a26f-8712f55b6f33</t>
  </si>
  <si>
    <t>fc80ca7a-786a-46cb-9b96-7a311ca67272</t>
  </si>
  <si>
    <t>13:57</t>
  </si>
  <si>
    <t>86163d06-e124-496f-b52d-c02acd63be09</t>
  </si>
  <si>
    <t>2023-08-15</t>
  </si>
  <si>
    <t>c2ee2193-6cb9-4022-9a7c-1f53a96b6c93</t>
  </si>
  <si>
    <t>2ea37f82-bde5-434b-9df6-c739b45e720b</t>
  </si>
  <si>
    <t>13:08</t>
  </si>
  <si>
    <t>9f91c7bf-34f7-45b8-8069-65b6cf424652</t>
  </si>
  <si>
    <t>21:46</t>
  </si>
  <si>
    <t>e1172a5e-8c88-4b29-b03b-49fa3976104c</t>
  </si>
  <si>
    <t>2023-08-14</t>
  </si>
  <si>
    <t>c8e9eca6-8071-416a-8227-19172a144bd3</t>
  </si>
  <si>
    <t>00:38</t>
  </si>
  <si>
    <t>18d0a7fc-c247-471a-8af5-d42f4aeae732</t>
  </si>
  <si>
    <t>143a1932-8b68-4dcc-947a-0bd1a3a24fad</t>
  </si>
  <si>
    <t>0f90bdd4-1c71-403b-86c6-1a71401a21e5</t>
  </si>
  <si>
    <t>4746f016-63c5-4947-a015-7e252e233dd0</t>
  </si>
  <si>
    <t>22:40</t>
  </si>
  <si>
    <t>e5b12b94-c6cf-4e10-9ca5-bcda74437951</t>
  </si>
  <si>
    <t>23:37</t>
  </si>
  <si>
    <t>b95dec82-4b9c-478a-b4ee-ec187d03a24f</t>
  </si>
  <si>
    <t>2023-08-13</t>
  </si>
  <si>
    <t>james</t>
  </si>
  <si>
    <t>47e1369c-0fae-4196-8f94-842ddb358eef</t>
  </si>
  <si>
    <t>2023-08-12</t>
  </si>
  <si>
    <t>a2499e49-ede6-4445-81bf-1189d1a80d0a</t>
  </si>
  <si>
    <t>12:09</t>
  </si>
  <si>
    <t>fb5eb9fa-438d-45c1-9612-8432522d7b2b</t>
  </si>
  <si>
    <t>2023-08-11</t>
  </si>
  <si>
    <t>83ff2e1b-bbc0-4f01-bf86-24ace8be8a9a</t>
  </si>
  <si>
    <t>6e6f1202-0e2f-4c0a-b2c0-356952c662ea</t>
  </si>
  <si>
    <t>2023-08-10</t>
  </si>
  <si>
    <t>9d0e0f95-c761-4989-b8c4-e207580d62ff</t>
  </si>
  <si>
    <t>12:06</t>
  </si>
  <si>
    <t>7f40ac00-0630-48ee-b8f9-2316b83daeb8</t>
  </si>
  <si>
    <t>4eadc791-9e5b-44b0-9680-82f746a72ac6</t>
  </si>
  <si>
    <t>2023-08-09</t>
  </si>
  <si>
    <t>09:45</t>
  </si>
  <si>
    <t>730b4124-f1cd-49fc-801a-ab60f7a8c40c</t>
  </si>
  <si>
    <t>09:46</t>
  </si>
  <si>
    <t>55021b56-8e77-4b60-b47d-d0c3bf0bd655</t>
  </si>
  <si>
    <t>2023-08-08</t>
  </si>
  <si>
    <t>10:43</t>
  </si>
  <si>
    <t>c808796d-a64f-4a3f-8000-f769d712c636</t>
  </si>
  <si>
    <t>e3dab7b3-3762-4b8a-aa72-3e192196b284</t>
  </si>
  <si>
    <t>13:44</t>
  </si>
  <si>
    <t>3ea53c22-871b-47c5-9828-ce565b837c2a</t>
  </si>
  <si>
    <t>21:45</t>
  </si>
  <si>
    <t>9465c62d-6b0f-4237-9a0c-9d37bb1f7b28</t>
  </si>
  <si>
    <t>2023-08-07</t>
  </si>
  <si>
    <t>08:40</t>
  </si>
  <si>
    <t>3fd3c552-5f72-47c6-ba13-e7aa81b086bf</t>
  </si>
  <si>
    <t>f4e0d59d-3ee5-4e37-8cfe-bc72f6ad1011</t>
  </si>
  <si>
    <t>2023-08-06</t>
  </si>
  <si>
    <t>574757b8-5520-4fc5-877a-d382102eb67b</t>
  </si>
  <si>
    <t>083f78f2-ceea-47b9-95ba-5bf3537c5719</t>
  </si>
  <si>
    <t>2023-08-04</t>
  </si>
  <si>
    <t>09:16</t>
  </si>
  <si>
    <t>56359bfa-43a0-403b-9ee0-a57ec6599e7f</t>
  </si>
  <si>
    <t>69c2f388-f461-432f-9112-daf4f375fc7e</t>
  </si>
  <si>
    <t>2676f855-97e8-4e94-9d64-5d6dfbcd0345</t>
  </si>
  <si>
    <t>859675c5-50cb-4fde-90a7-e2547ab137c7</t>
  </si>
  <si>
    <t>21986fa4-4dbd-452d-8ecb-4990bd13af4b</t>
  </si>
  <si>
    <t>2023-08-03</t>
  </si>
  <si>
    <t>ce485955-2268-4cc9-b95f-4c9d74c2ea98</t>
  </si>
  <si>
    <t>23:58</t>
  </si>
  <si>
    <t>4339b954-6c3c-40f1-9a72-c501f36944f5</t>
  </si>
  <si>
    <t>2023-08-02</t>
  </si>
  <si>
    <t>3bc0d2c3-398a-4870-9a70-1972a03e1591</t>
  </si>
  <si>
    <t>d024596f-16a7-41a1-b724-f9f12591de74</t>
  </si>
  <si>
    <t>2023-07-31</t>
  </si>
  <si>
    <t xml:space="preserve">ล่วงหน้า ทริปหัวหิน</t>
  </si>
  <si>
    <t>4cc20c47-22df-4f70-aebe-4438d3f2c847</t>
  </si>
  <si>
    <t>2023-07-30</t>
  </si>
  <si>
    <t>b2f65ccb-5b08-433a-95ad-23eae76b42c7</t>
  </si>
  <si>
    <t>19:06</t>
  </si>
  <si>
    <t>628fd7ad-a2cc-48c3-905a-7f8a96411a22</t>
  </si>
  <si>
    <t>rc_acc_1781955063350_i8ms</t>
  </si>
  <si>
    <t xml:space="preserve">s22 ultra(10/10)</t>
  </si>
  <si>
    <t>2219d85e-9162-4d72-94ad-5a8f52e9fbb8</t>
  </si>
  <si>
    <t>2023-07-29</t>
  </si>
  <si>
    <t>1509bbdd-a110-44d4-84f4-36b765131bcc</t>
  </si>
  <si>
    <t>20:40</t>
  </si>
  <si>
    <t>60b945b1-eed1-4940-8062-21037716f2f0</t>
  </si>
  <si>
    <t>2023-07-27</t>
  </si>
  <si>
    <t>bb1a94a6-0bfa-48e1-8683-cd1ea9e646c1</t>
  </si>
  <si>
    <t>451a1b52-799f-48f2-b45f-b858c1439ee6</t>
  </si>
  <si>
    <t>d7d0d8cb-c92d-4e9e-9c4a-a7cbbf0a5d4d</t>
  </si>
  <si>
    <t>2023-07-25</t>
  </si>
  <si>
    <t>7100206e-62a4-4d36-8ea3-9aad8a7be88e</t>
  </si>
  <si>
    <t>1336fd66-a0e9-4a2b-8c6e-e7666068b3be</t>
  </si>
  <si>
    <t>63d2abc3-2d21-4044-98d3-39251be1e276</t>
  </si>
  <si>
    <t>18707016-71e1-45cd-bece-ff530040023f</t>
  </si>
  <si>
    <t>e76e85fb-ee05-49b5-9994-b8d2fa7f9aaa</t>
  </si>
  <si>
    <t>03b6204a-061c-4439-be84-d61705961381</t>
  </si>
  <si>
    <t>415663ab-1616-48ca-84e1-d3586437005f</t>
  </si>
  <si>
    <t>76a61f87-acfb-44f4-937e-0df5686b80e1</t>
  </si>
  <si>
    <t>00:02</t>
  </si>
  <si>
    <t>5413d4d1-9771-4cb8-b08a-9952657dde1c</t>
  </si>
  <si>
    <t>12:04</t>
  </si>
  <si>
    <t>steve</t>
  </si>
  <si>
    <t>6f21f4d6-a380-4afd-a688-7fee9afacca2</t>
  </si>
  <si>
    <t>2023-07-24</t>
  </si>
  <si>
    <t xml:space="preserve">sips shopee</t>
  </si>
  <si>
    <t>f6a7b770-8026-4fad-ac26-1ab7caabc28b</t>
  </si>
  <si>
    <t>2023-07-23</t>
  </si>
  <si>
    <t>ซีฟูดทริปหลวงพ่อโสธร</t>
  </si>
  <si>
    <t>7369cd4c-21c6-4497-8021-19db6789ef7d</t>
  </si>
  <si>
    <t>2023-07-22</t>
  </si>
  <si>
    <t>17:56</t>
  </si>
  <si>
    <t>c832fd67-6f5e-4111-af07-546ffaad2960</t>
  </si>
  <si>
    <t>1513f0d1-7119-43ea-a3a4-30d41b905817</t>
  </si>
  <si>
    <t>f97d9f03-e9b7-47b1-baf7-cb1f086bcef3</t>
  </si>
  <si>
    <t xml:space="preserve">ยอดก้อน กับเพ่งเพ้ง 1489 670</t>
  </si>
  <si>
    <t>f3f5d48a-9ee4-4105-b7ee-d04f74f4908a</t>
  </si>
  <si>
    <t>18:56</t>
  </si>
  <si>
    <t>69e49f62-6a40-434b-824c-a1b31a1b650d</t>
  </si>
  <si>
    <t>เคลียอดเกาหลี</t>
  </si>
  <si>
    <t>3d14f403-89fb-482c-afcd-46d6c80ea766</t>
  </si>
  <si>
    <t>drive</t>
  </si>
  <si>
    <t>1e504182-f2ea-470f-a6ec-70dddcdbe662</t>
  </si>
  <si>
    <t>2023-07-21</t>
  </si>
  <si>
    <t>90a01f83-cd7d-4538-b500-8b203ebce033</t>
  </si>
  <si>
    <t>9bb910ed-a96c-4153-bc6a-5d7da9c96c7b</t>
  </si>
  <si>
    <t>12:54</t>
  </si>
  <si>
    <t>f9dbb1c0-c410-49e2-8f13-5735a4fce75e</t>
  </si>
  <si>
    <t>2023-07-20</t>
  </si>
  <si>
    <t>44a8965d-070f-4cba-aef8-10a785c5097c</t>
  </si>
  <si>
    <t>2023-07-19</t>
  </si>
  <si>
    <t>09:35</t>
  </si>
  <si>
    <t>5776f8f3-af95-49af-be85-fe34e998565b</t>
  </si>
  <si>
    <t>09:41</t>
  </si>
  <si>
    <t>ab16cde4-6f8a-400d-8082-88af52b18e44</t>
  </si>
  <si>
    <t>2023-07-18</t>
  </si>
  <si>
    <t>65bd431f-db2f-4174-9db3-bf37b70ff4c0</t>
  </si>
  <si>
    <t>2023-07-17</t>
  </si>
  <si>
    <t>07:53</t>
  </si>
  <si>
    <t>2e4e885b-690e-42eb-b8e6-8063f8b13b1c</t>
  </si>
  <si>
    <t>66a771fb-e370-48b7-87ed-a56ba30ca105</t>
  </si>
  <si>
    <t>2023-07-16</t>
  </si>
  <si>
    <t>09:47</t>
  </si>
  <si>
    <t>ตวง</t>
  </si>
  <si>
    <t>c3a108ff-505e-4411-b08a-74181257e4e3</t>
  </si>
  <si>
    <t>2023-07-14</t>
  </si>
  <si>
    <t>9ba74641-d2be-49f5-94a8-4580e19ef34c</t>
  </si>
  <si>
    <t>4395aa2a-4d9b-4312-9b53-508b267575fe</t>
  </si>
  <si>
    <t>5aaebccf-dcf3-47a7-be7a-5269d5e639d2</t>
  </si>
  <si>
    <t>4fec2a43-ec7a-4c99-ac6b-58c9f3a1202a</t>
  </si>
  <si>
    <t>2023-07-13</t>
  </si>
  <si>
    <t>d8cb8404-f217-4dd4-a707-f39e45ad4cd1</t>
  </si>
  <si>
    <t>19d29ff7-6dee-4cad-ba9e-00d3222e668a</t>
  </si>
  <si>
    <t>2023-07-12</t>
  </si>
  <si>
    <t>08:45</t>
  </si>
  <si>
    <t>447f9282-1167-401b-9c83-fd62249f6d82</t>
  </si>
  <si>
    <t>055d4b59-eb9d-4eb3-9c95-58457e881f35</t>
  </si>
  <si>
    <t>1eeb14ec-e019-4de1-89e0-ca5e8332a96e</t>
  </si>
  <si>
    <t>b1ad5c20-3884-41ef-988c-ff6e857fe5de</t>
  </si>
  <si>
    <t>7de6107a-8bea-40b7-a1bc-077ab4fce407</t>
  </si>
  <si>
    <t>09:52</t>
  </si>
  <si>
    <t>8bf189cf-87c4-437e-96e9-92d83d6d5b31</t>
  </si>
  <si>
    <t>0147bc60-f6ba-4839-af5f-e78845dfd299</t>
  </si>
  <si>
    <t>14:20</t>
  </si>
  <si>
    <t>5b50e813-faf5-400f-8dd3-52b48f6a6d2f</t>
  </si>
  <si>
    <t>2023-07-10</t>
  </si>
  <si>
    <t>b428d1f6-654b-4e9f-a276-db6711d0b264</t>
  </si>
  <si>
    <t>2023-07-09</t>
  </si>
  <si>
    <t>398efccf-b919-40c5-8a98-de3013cbac94</t>
  </si>
  <si>
    <t>เก้าอี้รองนั่ง</t>
  </si>
  <si>
    <t>cd55762d-a119-404a-bdda-a03d3cd8f90a</t>
  </si>
  <si>
    <t>1ca7f840-f5a4-46ad-9eb8-13ce45b8254d</t>
  </si>
  <si>
    <t>71a3a73d-ea86-44b9-b638-223ae1ec3c9e</t>
  </si>
  <si>
    <t>2023-07-08</t>
  </si>
  <si>
    <t>กิมโป้</t>
  </si>
  <si>
    <t>aa2e805a-0df9-4194-93c6-811c6d45a729</t>
  </si>
  <si>
    <t>11:15</t>
  </si>
  <si>
    <t>ค่าจอดรถกลับจากเกาหลี</t>
  </si>
  <si>
    <t>0b23c8f6-19b6-47a5-a7b0-4862a9c3110e</t>
  </si>
  <si>
    <t>581ecd63-72f3-4a65-a610-29374a19018d</t>
  </si>
  <si>
    <t>ff7b9862-cfeb-466a-a3a7-5bb61358f0ba</t>
  </si>
  <si>
    <t>ยุ้ย</t>
  </si>
  <si>
    <t>73942d74-322e-468c-8fd1-6263d3aaed91</t>
  </si>
  <si>
    <t>2023-07-07</t>
  </si>
  <si>
    <t>09:55</t>
  </si>
  <si>
    <t>3b47a325-e11e-4ec5-99c6-43a38a3572a9</t>
  </si>
  <si>
    <t>85621a30-11d7-414a-94ff-1f611997da60</t>
  </si>
  <si>
    <t>2023-07-06</t>
  </si>
  <si>
    <t>fde09700-2d5e-4333-8a79-0b02ec21c44b</t>
  </si>
  <si>
    <t>13:02</t>
  </si>
  <si>
    <t>f9ce30e4-9f9e-4d8a-a906-f0b273ae0917</t>
  </si>
  <si>
    <t>d7a70684-c21c-46f4-b5f4-548889438fdd</t>
  </si>
  <si>
    <t>50627150-64b0-4e52-9a3a-82ae5379bfb4</t>
  </si>
  <si>
    <t>5a32677d-4b2a-4355-9db8-2cc3e316edee</t>
  </si>
  <si>
    <t>6df322ed-f28f-4a3c-83f9-ed81269205ac</t>
  </si>
  <si>
    <t>2023-07-04</t>
  </si>
  <si>
    <t>1fad7c3e-5520-4d1e-b3b2-41081bff47ef</t>
  </si>
  <si>
    <t>ce2268cd-ffab-4955-a09a-d110998bcfd0</t>
  </si>
  <si>
    <t>2023-07-03</t>
  </si>
  <si>
    <t>cc4dca6b-1326-4c3b-98e6-20feeb7c7c9b</t>
  </si>
  <si>
    <t>17:22</t>
  </si>
  <si>
    <t>512b4bec-f22b-43b3-b42f-089a488a976e</t>
  </si>
  <si>
    <t>2023-07-02</t>
  </si>
  <si>
    <t>34de1665-913e-401a-bfa3-deb92f1c5e67</t>
  </si>
  <si>
    <t>9e9b5443-58b5-43e5-88bb-f6c29ac512e2</t>
  </si>
  <si>
    <t>dade098c-b83c-44c4-a7ee-972e459f889d</t>
  </si>
  <si>
    <t>2023-07-01</t>
  </si>
  <si>
    <t>9b721397-7bcb-415a-8d1e-b140c134092c</t>
  </si>
  <si>
    <t>2023-06-30</t>
  </si>
  <si>
    <t>11:14</t>
  </si>
  <si>
    <t>678039b9-6059-4ada-bd6c-aa747af215b8</t>
  </si>
  <si>
    <t>f4e4f7ee-871e-4e65-a103-8d06f78aece2</t>
  </si>
  <si>
    <t>20a6b3b4-e40a-4e76-ad02-fc5f21fddf6d</t>
  </si>
  <si>
    <t>17f137d9-1be0-4b76-99b3-1d9d8d29cc69</t>
  </si>
  <si>
    <t>50229328-4477-4abf-93af-6d7e07df7021</t>
  </si>
  <si>
    <t xml:space="preserve">s22 ultra(9/10)</t>
  </si>
  <si>
    <t>6462fd37-4c52-462c-9f34-f22619d6321e</t>
  </si>
  <si>
    <t>2023-06-29</t>
  </si>
  <si>
    <t>09:58</t>
  </si>
  <si>
    <t>54531bb8-8ffb-4f2f-8db1-f451d1a1a839</t>
  </si>
  <si>
    <t>c8f375fd-c650-4430-b403-59bd5cac8ff5</t>
  </si>
  <si>
    <t>d55f825d-f324-435b-ac15-6c2dc5f1d513</t>
  </si>
  <si>
    <t>18:14</t>
  </si>
  <si>
    <t>21281e8f-d7dd-43b7-8ca3-6db72c6375ce</t>
  </si>
  <si>
    <t>2023-06-28</t>
  </si>
  <si>
    <t>08:55</t>
  </si>
  <si>
    <t>dc47906f-3743-4a8f-9e26-b524e22c4b6d</t>
  </si>
  <si>
    <t>e276a6f5-94dc-480b-96c6-c0da670907e5</t>
  </si>
  <si>
    <t>c819ada9-ec49-4fe0-8897-a7acac04e7a9</t>
  </si>
  <si>
    <t>2023-06-27</t>
  </si>
  <si>
    <t>fb6f4907-de93-4090-ae12-5d3cc6158050</t>
  </si>
  <si>
    <t>fcccbb21-4ef9-4a57-b5e6-f43089d4cb3c</t>
  </si>
  <si>
    <t>47ca45f9-5a14-459d-b323-ed2d00cbe9fd</t>
  </si>
  <si>
    <t>6a764955-7370-413a-bf47-f5ce702c5db7</t>
  </si>
  <si>
    <t>5020acc9-6b85-4d93-8f1e-b75869f6ebc6</t>
  </si>
  <si>
    <t>7642cd1f-c9d0-43f8-96e3-0b01a46c1471</t>
  </si>
  <si>
    <t>25146a13-a70b-4bfb-b85f-8316f6569588</t>
  </si>
  <si>
    <t>57db3f20-3dab-4b63-9596-5739d12b7409</t>
  </si>
  <si>
    <t>7c0fa67c-3ac0-456c-a64b-d2864655ea7c</t>
  </si>
  <si>
    <t>db3e0820-1003-49b8-b94b-5a7ff316902b</t>
  </si>
  <si>
    <t>53e5a822-07e6-4fae-99a4-b7b25c0b7de1</t>
  </si>
  <si>
    <t>2023-06-25</t>
  </si>
  <si>
    <t>00:58</t>
  </si>
  <si>
    <t>ที่จอดรถ</t>
  </si>
  <si>
    <t>c9173148-feae-47b7-a463-ba8f18a4652e</t>
  </si>
  <si>
    <t>8a84dd5a-85cc-4af0-a305-d361217e95e0</t>
  </si>
  <si>
    <t>6ef2cc18-c0a8-41eb-b38d-1489008d8507</t>
  </si>
  <si>
    <t>16:21</t>
  </si>
  <si>
    <t>5040b0aa-4110-451b-85d4-787a2a28de83</t>
  </si>
  <si>
    <t>16:39</t>
  </si>
  <si>
    <t>กองกลาง</t>
  </si>
  <si>
    <t>1e2a2712-abf2-49ce-8ffd-3bb68a3d6fe6</t>
  </si>
  <si>
    <t>16:57</t>
  </si>
  <si>
    <t>da52b482-f091-43e7-8cae-5a2bc958fc08</t>
  </si>
  <si>
    <t>2023-06-24</t>
  </si>
  <si>
    <t>09:06</t>
  </si>
  <si>
    <t xml:space="preserve">กาแฟ observatory</t>
  </si>
  <si>
    <t>9ad0a01c-5aa7-44f0-9a4d-bdb04ef936c0</t>
  </si>
  <si>
    <t>EGGDROP</t>
  </si>
  <si>
    <t>a3e6b598-2cfd-423c-9f39-2516909fd324</t>
  </si>
  <si>
    <t>LINEFRIENDS</t>
  </si>
  <si>
    <t>65472f70-10ed-4624-88d3-0ca7d5814f55</t>
  </si>
  <si>
    <t xml:space="preserve">ให้หงยืมค่า footmask</t>
  </si>
  <si>
    <t>fb4bb61c-0d4d-4a82-8c30-3530ae16b06e</t>
  </si>
  <si>
    <t>14:32</t>
  </si>
  <si>
    <t xml:space="preserve">DOWNTOWNER BURGER</t>
  </si>
  <si>
    <t>54b8a0c0-ce4d-4029-9407-946f82b6aa74</t>
  </si>
  <si>
    <t xml:space="preserve">coffee numdaemun</t>
  </si>
  <si>
    <t>e5b1f9b6-1ae4-4ff0-be63-3cedd607cb84</t>
  </si>
  <si>
    <t>taxi</t>
  </si>
  <si>
    <t>05be138c-3cb5-4291-91f0-2d250290c0ed</t>
  </si>
  <si>
    <t>2023-06-23</t>
  </si>
  <si>
    <t>ของฝาก</t>
  </si>
  <si>
    <t>087babb8-0b39-421a-a667-b1b46ea12056</t>
  </si>
  <si>
    <t>14:35</t>
  </si>
  <si>
    <t>topten</t>
  </si>
  <si>
    <t>25d525cc-b195-4ac2-b6ac-7c55040d0412</t>
  </si>
  <si>
    <t>ขึ้นกระเช้า</t>
  </si>
  <si>
    <t>192c9e32-eaef-4c07-92f5-35c057afba86</t>
  </si>
  <si>
    <t xml:space="preserve">ungtori sangogi</t>
  </si>
  <si>
    <t>9db745f6-8520-4868-8929-d9c9f341250c</t>
  </si>
  <si>
    <t>น้ำเปล่าลงกระเช้า</t>
  </si>
  <si>
    <t>59f11d25-153a-4ed9-b41c-b73852467356</t>
  </si>
  <si>
    <t xml:space="preserve">seoul tower twosome palce</t>
  </si>
  <si>
    <t>4aab0e04-ea39-498b-97e5-bb776b7a0c4c</t>
  </si>
  <si>
    <t>21:05</t>
  </si>
  <si>
    <t>magnet</t>
  </si>
  <si>
    <t>93c8fcf3-d9bb-470d-b61e-a70a7a90fd10</t>
  </si>
  <si>
    <t>21:20</t>
  </si>
  <si>
    <t>เหรียญ</t>
  </si>
  <si>
    <t>e5c595e7-a689-43a3-99b3-a814c01a1830</t>
  </si>
  <si>
    <t>2023-06-22</t>
  </si>
  <si>
    <t>เกี้ยวเมียงดง</t>
  </si>
  <si>
    <t>dbe648b9-372a-49a0-89ae-253bddfb77bd</t>
  </si>
  <si>
    <t>daiso</t>
  </si>
  <si>
    <t>f25df82a-afd8-49b1-ab2c-f5688abdb951</t>
  </si>
  <si>
    <t>รองเท้า</t>
  </si>
  <si>
    <t>5a0bdd84-939f-4000-8251-8fc3be93ba5e</t>
  </si>
  <si>
    <t>23066252-94ba-4a36-9cf1-3245a4ad2442</t>
  </si>
  <si>
    <t xml:space="preserve">กาแฟหน้า รร</t>
  </si>
  <si>
    <t>ba608f29-6a78-4f38-958e-89294f16c3c9</t>
  </si>
  <si>
    <t>rc_acc_1781955063356_4xom</t>
  </si>
  <si>
    <t xml:space="preserve">รถเมล์ไป ddp</t>
  </si>
  <si>
    <t>259429e5-e436-4f50-84c7-2b695559a0f9</t>
  </si>
  <si>
    <t>กาแฟตลาดกวางจัง</t>
  </si>
  <si>
    <t>b13cefe5-2914-4f5d-be1e-e59ec22692a0</t>
  </si>
  <si>
    <t xml:space="preserve">ไอติม ตลาดกวางจัง</t>
  </si>
  <si>
    <t>4e6d677d-9d50-4c98-8932-c535cf222283</t>
  </si>
  <si>
    <t>15:37</t>
  </si>
  <si>
    <t>e7ee2112-9dca-47d7-b9da-a59663cb8606</t>
  </si>
  <si>
    <t>shakenshank</t>
  </si>
  <si>
    <t>0cf7a945-f86a-4955-83cf-dcfe547b2df1</t>
  </si>
  <si>
    <t>2023-06-21</t>
  </si>
  <si>
    <t>kfc</t>
  </si>
  <si>
    <t>4916bcbe-425f-4d79-885c-0c2e79e992cd</t>
  </si>
  <si>
    <t>2023-06-20</t>
  </si>
  <si>
    <t>10:08</t>
  </si>
  <si>
    <t>knotted</t>
  </si>
  <si>
    <t>aeb9d3d1-65ce-45f8-be36-e05866ebe28e</t>
  </si>
  <si>
    <t>bagel</t>
  </si>
  <si>
    <t>dd9291da-2fb9-40f9-9422-b7fbb654b8dc</t>
  </si>
  <si>
    <t>a4e8fc46-5155-4a1a-9350-b6371e0fc06a</t>
  </si>
  <si>
    <t>hongjjukgumi</t>
  </si>
  <si>
    <t>c13226a4-c153-4990-a37c-7d8a309089fa</t>
  </si>
  <si>
    <t>2023-06-19</t>
  </si>
  <si>
    <t>07:28</t>
  </si>
  <si>
    <t>บัตรห้าวัง</t>
  </si>
  <si>
    <t>73da90c0-c61d-41a2-93e2-2c7b96df8ea6</t>
  </si>
  <si>
    <t>07:29</t>
  </si>
  <si>
    <t xml:space="preserve">ข้าวเช้าเซเว่น กองกลาง</t>
  </si>
  <si>
    <t>b294c02e-9d36-4804-9fff-fbd9defc0dad</t>
  </si>
  <si>
    <t>08:30</t>
  </si>
  <si>
    <t>ที่พักไปวังเคียงบกกุง</t>
  </si>
  <si>
    <t>3ba57c39-1afc-4a7e-8c42-ef243e2b43a6</t>
  </si>
  <si>
    <t xml:space="preserve">น้ำเปล่า กองกลาง</t>
  </si>
  <si>
    <t>747a6578-01ad-4f0d-b69f-8197b9fafc88</t>
  </si>
  <si>
    <t>12:33</t>
  </si>
  <si>
    <t>ริมรั้ววัง</t>
  </si>
  <si>
    <t>fdf15fdc-de40-4fac-902a-ce3a89bb5a44</t>
  </si>
  <si>
    <t>โค้ก</t>
  </si>
  <si>
    <t>f4527884-ffbf-474f-aadd-a0d634c1331d</t>
  </si>
  <si>
    <t>กลับจากบุกชอนไปที่พัก</t>
  </si>
  <si>
    <t>cc8ddb7a-a232-47a0-95d1-20842274547e</t>
  </si>
  <si>
    <t>ที่พักไปฮงแด</t>
  </si>
  <si>
    <t>1b444407-2fc7-4671-a358-9c33413b5621</t>
  </si>
  <si>
    <t>ฮงแดกลับมาเมียงดง</t>
  </si>
  <si>
    <t>b0f9fbb0-5aa1-4f23-928a-689508382d59</t>
  </si>
  <si>
    <t xml:space="preserve">กาแฟเซเว่น ซื้อมาตุน</t>
  </si>
  <si>
    <t>79ae8f91-7734-4c76-b299-77916e95c0c0</t>
  </si>
  <si>
    <t>2023-06-18</t>
  </si>
  <si>
    <t>07:30</t>
  </si>
  <si>
    <t>klook</t>
  </si>
  <si>
    <t>ad5ec05d-9d8e-4a95-a6ca-186186367708</t>
  </si>
  <si>
    <t>07:45</t>
  </si>
  <si>
    <t xml:space="preserve">บัตร t money</t>
  </si>
  <si>
    <t>b12026f2-b13e-42bf-b5ad-f76280fd6985</t>
  </si>
  <si>
    <t>f3472024-bd6a-44fd-845e-68d7adcb1f6d</t>
  </si>
  <si>
    <t xml:space="preserve">จาก seoul station ไป city station</t>
  </si>
  <si>
    <t>8f3b265b-f100-4ea3-a415-7620aad1d1d2</t>
  </si>
  <si>
    <t xml:space="preserve">จาก city station ไป gwangjung mart</t>
  </si>
  <si>
    <t>8f568467-221c-4472-b71d-2d3969a277ee</t>
  </si>
  <si>
    <t xml:space="preserve">ขนม churos</t>
  </si>
  <si>
    <t>e5fc2420-9162-4dc1-b077-cf54d710ddc1</t>
  </si>
  <si>
    <t xml:space="preserve">gwangjung mart ไป boe geun sa</t>
  </si>
  <si>
    <t>f063f8b8-0160-439f-bc34-636fcde1e1ca</t>
  </si>
  <si>
    <t xml:space="preserve">น้ำ seven น้ำเปล่าแค่ 700</t>
  </si>
  <si>
    <t>0b8667e8-90c4-43b3-b06f-c6d622353448</t>
  </si>
  <si>
    <t>12:11</t>
  </si>
  <si>
    <t xml:space="preserve">น้ำเปล่า coex</t>
  </si>
  <si>
    <t>e22af9a4-2287-4a9d-97dd-83549fda3628</t>
  </si>
  <si>
    <t>13:12</t>
  </si>
  <si>
    <t xml:space="preserve">จาก coex ไปที่พัก</t>
  </si>
  <si>
    <t>d899c6fb-adc8-4938-bec4-57d6305672d3</t>
  </si>
  <si>
    <t xml:space="preserve">bhc chicken</t>
  </si>
  <si>
    <t>707c228a-b361-4963-9531-0a17d5950e8e</t>
  </si>
  <si>
    <t>ไอติมสูงๆ</t>
  </si>
  <si>
    <t>66c0b44c-c2f1-4d24-b143-9bf3094189b6</t>
  </si>
  <si>
    <t>2023-06-17</t>
  </si>
  <si>
    <t>8c2afae2-4fe5-4aa9-80bb-8b29f7160208</t>
  </si>
  <si>
    <t>sim2fly</t>
  </si>
  <si>
    <t>9afc9ea5-8f0a-43f0-907b-40f919f069d3</t>
  </si>
  <si>
    <t>16:31</t>
  </si>
  <si>
    <t>39fa2270-0857-4e78-bf28-52cd0d6c4056</t>
  </si>
  <si>
    <t>16:42</t>
  </si>
  <si>
    <t xml:space="preserve">ยอดจริง 304000</t>
  </si>
  <si>
    <t>0c9f265b-b5e4-45d1-9c20-911ec208b9e2</t>
  </si>
  <si>
    <t>225e81db-c149-4e2c-8217-5447dca80602</t>
  </si>
  <si>
    <t>ซองงานพลีส</t>
  </si>
  <si>
    <t>b8c4be27-7c40-4004-92bc-cdd0c85a416e</t>
  </si>
  <si>
    <t>46130c81-1a83-407a-9875-2c64082f7226</t>
  </si>
  <si>
    <t>2023-06-16</t>
  </si>
  <si>
    <t xml:space="preserve">grab+ coco</t>
  </si>
  <si>
    <t>76c38600-9d95-410a-8b3a-7327204e48ef</t>
  </si>
  <si>
    <t>16:30</t>
  </si>
  <si>
    <t>84fd9340-9e04-4c81-8363-ecb835fc0fc7</t>
  </si>
  <si>
    <t>e92167ed-ccac-47dc-8cdc-00724ab13a2f</t>
  </si>
  <si>
    <t>2023-06-15</t>
  </si>
  <si>
    <t>907f3b6d-d3a7-4641-8764-f305b5c83f9a</t>
  </si>
  <si>
    <t>2023-06-14</t>
  </si>
  <si>
    <t>13:24</t>
  </si>
  <si>
    <t>6a3bfbcf-6012-4a40-be95-a158bf6b2550</t>
  </si>
  <si>
    <t>57a583ea-09aa-40e0-b0c1-7c346540af2c</t>
  </si>
  <si>
    <t>13:43</t>
  </si>
  <si>
    <t>f6e5d53b-4e07-4ee8-8f57-f207736da1ae</t>
  </si>
  <si>
    <t>1559f220-e606-4d35-b7a0-bf77b94f80c6</t>
  </si>
  <si>
    <t>2023-06-13</t>
  </si>
  <si>
    <t>3fac10aa-3a77-4da0-840a-696366b990ae</t>
  </si>
  <si>
    <t>a256fcc9-6151-4a83-b6a9-cb2318b24b0f</t>
  </si>
  <si>
    <t>2023-06-12</t>
  </si>
  <si>
    <t>81b5f323-6952-4175-9603-ca3f658616bf</t>
  </si>
  <si>
    <t xml:space="preserve">cashback barbgon</t>
  </si>
  <si>
    <t>297d177d-9d1e-476d-805f-04c9a590dabb</t>
  </si>
  <si>
    <t>f5fa3dcc-caed-421a-bfb2-b2644f4fbc88</t>
  </si>
  <si>
    <t>2023-06-11</t>
  </si>
  <si>
    <t>11:55</t>
  </si>
  <si>
    <t>4bf70db3-f604-4e1a-a0f8-ba581f3788e7</t>
  </si>
  <si>
    <t>b09ad7fd-dd0a-4c0a-9abf-598e015df73c</t>
  </si>
  <si>
    <t>อาหารเย็น</t>
  </si>
  <si>
    <t>46274a71-d136-454b-ba70-f79a79a7d189</t>
  </si>
  <si>
    <t>2023-06-10</t>
  </si>
  <si>
    <t>08:50</t>
  </si>
  <si>
    <t>39bc256f-03b5-4cb1-883a-fff7dd1d1b1b</t>
  </si>
  <si>
    <t>ศรีย่าน</t>
  </si>
  <si>
    <t>c6fe2819-28c1-47c8-ae7c-22b898f58682</t>
  </si>
  <si>
    <t>2023-06-08</t>
  </si>
  <si>
    <t>07:50</t>
  </si>
  <si>
    <t>5307e27c-deea-439b-bc85-2374e3ac1106</t>
  </si>
  <si>
    <t>b1577022-e3de-4cb6-8916-fba303492073</t>
  </si>
  <si>
    <t>2023-06-07</t>
  </si>
  <si>
    <t>acbcb1c1-5260-4650-b27b-a85624efd972</t>
  </si>
  <si>
    <t>16:27</t>
  </si>
  <si>
    <t>d2a6d6d9-19e1-4a07-ba45-e98fcff0dcc5</t>
  </si>
  <si>
    <t>2023-06-06</t>
  </si>
  <si>
    <t>16:26</t>
  </si>
  <si>
    <t>b0179ff1-d1f8-4444-b428-e5255996b490</t>
  </si>
  <si>
    <t>2023-06-05</t>
  </si>
  <si>
    <t>ซอง</t>
  </si>
  <si>
    <t>cd37abbc-accc-4011-8fc7-1c615e6ccc8d</t>
  </si>
  <si>
    <t>a8572049-69d8-4a2b-a325-ba50765e7da9</t>
  </si>
  <si>
    <t>2023-06-03</t>
  </si>
  <si>
    <t>14:50</t>
  </si>
  <si>
    <t xml:space="preserve">bar b gon</t>
  </si>
  <si>
    <t>e28cec86-80ed-4c56-a664-79ecbac86ba4</t>
  </si>
  <si>
    <t>5bf32958-4ce5-411b-ab9b-1fba93de0121</t>
  </si>
  <si>
    <t>800c4d2b-1a76-4046-8021-34d34890eca3</t>
  </si>
  <si>
    <t>ค่าส่วนกลางส่วนหง</t>
  </si>
  <si>
    <t>21a3e603-4cee-4a20-9c18-c83bf8aaa669</t>
  </si>
  <si>
    <t>ade81507-20dd-4c6a-b56a-cf668d69c2c0</t>
  </si>
  <si>
    <t>18:40</t>
  </si>
  <si>
    <t>a878a2da-cabe-44ec-8256-23f4c9d43d2a</t>
  </si>
  <si>
    <t>885def81-a608-4199-b386-80f8aaaef059</t>
  </si>
  <si>
    <t>f62f84ba-30a2-4f71-95eb-8a1442b85b63</t>
  </si>
  <si>
    <t>96066151-8266-45bf-aae5-fb882940b51c</t>
  </si>
  <si>
    <t>f176ba7f-d0e3-4749-8bd7-75bbee94cf96</t>
  </si>
  <si>
    <t xml:space="preserve">KR2023 ค่าบิน</t>
  </si>
  <si>
    <t>71dea9f2-6422-4c71-af74-147db5b978d5</t>
  </si>
  <si>
    <t>82709c89-6283-4763-82ec-15dab958c770</t>
  </si>
  <si>
    <t xml:space="preserve">JP2023 zipair</t>
  </si>
  <si>
    <t>fbd27b1c-d7ee-419a-beef-afa7cdd3344d</t>
  </si>
  <si>
    <t>8ef98c79-acd5-440f-8873-8a2e6ea4905e</t>
  </si>
  <si>
    <t>2023-06-02</t>
  </si>
  <si>
    <t>0b6dc174-f281-4be8-b630-a6337349d9c4</t>
  </si>
  <si>
    <t>05f966ae-087d-43e4-bf95-ff279e469110</t>
  </si>
  <si>
    <t>2023-06-01</t>
  </si>
  <si>
    <t>05:25</t>
  </si>
  <si>
    <t>rc_acc_1781955063349_qn1n</t>
  </si>
  <si>
    <t>Yuang</t>
  </si>
  <si>
    <t>8dff33cc-8479-42f9-9781-0084ffd2b8e1</t>
  </si>
  <si>
    <t>บัตร</t>
  </si>
  <si>
    <t>14c70fa2-e77b-4f5a-abfb-0fddf9434d94</t>
  </si>
  <si>
    <t>2023-05-31</t>
  </si>
  <si>
    <t>fd6ec556-d261-464a-b166-125a9711395d</t>
  </si>
  <si>
    <t>2023-05-30</t>
  </si>
  <si>
    <t xml:space="preserve">s22 ultra(8/10)</t>
  </si>
  <si>
    <t>42371ed4-648c-4d9e-b714-85e6d745d0b2</t>
  </si>
  <si>
    <t>2023-05-25</t>
  </si>
  <si>
    <t>daeb3aae-2a45-4fb4-94cb-2da2da74c0ee</t>
  </si>
  <si>
    <t>c28de4c9-ab29-48d2-b650-a3c6f109fc0f</t>
  </si>
  <si>
    <t>1c5c3a83-7efb-4319-8f30-faeac28b25a6</t>
  </si>
  <si>
    <t>510d9617-c93a-4f2c-a0ca-be17051a74fd</t>
  </si>
  <si>
    <t>49ad3245-e9a2-4d0a-aa20-28a2a5b92ff6</t>
  </si>
  <si>
    <t>887a4270-d2b2-4f05-a6f6-54b5fe6470d7</t>
  </si>
  <si>
    <t>f8ad01ec-0184-4d35-835e-f9ebb423d258</t>
  </si>
  <si>
    <t>c41791cc-d1e5-48ed-a4fc-18f87845acc8</t>
  </si>
  <si>
    <t>2023-05-21</t>
  </si>
  <si>
    <t>เนต</t>
  </si>
  <si>
    <t>11c9f059-3830-47f3-ac5d-39198af40307</t>
  </si>
  <si>
    <t>5762cf2e-1fe0-4f68-a6b5-aea1ce95c674</t>
  </si>
  <si>
    <t>20:00</t>
  </si>
  <si>
    <t>5a4e321e-09c5-49ba-b5fc-a8e0f9ebfe10</t>
  </si>
  <si>
    <t>20:11</t>
  </si>
  <si>
    <t>ad3f1456-718e-408d-82d7-d53716525c86</t>
  </si>
  <si>
    <t>20:13</t>
  </si>
  <si>
    <t>rc_cat_1781955063347_5qjb_1781955063348_edf6</t>
  </si>
  <si>
    <t>734d7067-a861-4ddf-ae15-10feb2771171</t>
  </si>
  <si>
    <t>aa755360-095b-4be4-8aca-9cfe9df8da9b</t>
  </si>
  <si>
    <t>2023-05-18</t>
  </si>
  <si>
    <t>45adc7f0-31ee-4ddb-8410-5865adc88283</t>
  </si>
  <si>
    <t>2023-05-16</t>
  </si>
  <si>
    <t>09:20</t>
  </si>
  <si>
    <t>ef96e171-5731-4db2-9cf9-9e71cdd61369</t>
  </si>
  <si>
    <t>4a973217-9a39-4581-9bc4-33a7a0417952</t>
  </si>
  <si>
    <t xml:space="preserve">hotel 1st night korea</t>
  </si>
  <si>
    <t>e3d1de76-b979-4401-a6b1-acba3fee4e7d</t>
  </si>
  <si>
    <t>2023-05-15</t>
  </si>
  <si>
    <t>852d9ec2-cba9-4618-8ce7-ca2f22db2ad1</t>
  </si>
  <si>
    <t>20:08</t>
  </si>
  <si>
    <t xml:space="preserve">ตั๋ว Jinair</t>
  </si>
  <si>
    <t>6db08866-bc8a-4dbb-b4b0-1d791bc91fb7</t>
  </si>
  <si>
    <t>2023-05-14</t>
  </si>
  <si>
    <t>535425d7-fed4-4601-9529-af225095522c</t>
  </si>
  <si>
    <t>84e55620-8bc7-4e31-9d3f-a5db17117c57</t>
  </si>
  <si>
    <t>18:25</t>
  </si>
  <si>
    <t>2a666af4-da10-4987-97de-1a7923d2dc3e</t>
  </si>
  <si>
    <t>945cbfcc-198c-4449-8f4f-c874ea233ca7</t>
  </si>
  <si>
    <t>2023-05-13</t>
  </si>
  <si>
    <t>08:57</t>
  </si>
  <si>
    <t>f5289aa9-c5b0-4f49-a5d1-5b3ed368614a</t>
  </si>
  <si>
    <t>17:12</t>
  </si>
  <si>
    <t>5fe27a4e-310a-4c26-a921-6932f1a0b5d8</t>
  </si>
  <si>
    <t>2023-05-12</t>
  </si>
  <si>
    <t>f49a24c4-dfe0-4c72-b3d5-973de679dd98</t>
  </si>
  <si>
    <t>18:23</t>
  </si>
  <si>
    <t>d24a5910-14a3-4bca-8725-5fe57ef51c9a</t>
  </si>
  <si>
    <t>2023-05-11</t>
  </si>
  <si>
    <t>e5f21a10-cda0-468c-9e5f-cead400d85ed</t>
  </si>
  <si>
    <t>11:02</t>
  </si>
  <si>
    <t>937253ee-03bb-4b31-95e7-67e3c678f6b9</t>
  </si>
  <si>
    <t>fd6b4178-3326-499a-8dc7-ef4b15ccbc83</t>
  </si>
  <si>
    <t>2acb8a3e-2511-4e66-8ec3-b0c2b02a6094</t>
  </si>
  <si>
    <t>2023-05-10</t>
  </si>
  <si>
    <t>09:09</t>
  </si>
  <si>
    <t>492e9184-a836-42ea-a417-4ee1a216b6d9</t>
  </si>
  <si>
    <t>0223236b-1f08-4021-bfff-5e856b670df4</t>
  </si>
  <si>
    <t>175d7541-e9b3-46c7-8fde-4b30a41ecbe1</t>
  </si>
  <si>
    <t>2023-05-09</t>
  </si>
  <si>
    <t>c1d11452-01f6-4c37-a22a-1c9c698d5842</t>
  </si>
  <si>
    <t>2023-05-08</t>
  </si>
  <si>
    <t>08:58</t>
  </si>
  <si>
    <t>3ba1e8dd-2908-4947-82c4-b0c6a854a67c</t>
  </si>
  <si>
    <t>021bec94-0004-42a7-8c5f-8210fe85cee9</t>
  </si>
  <si>
    <t>76caa8b6-62e2-4a4e-bcf8-4c1cb2e42e85</t>
  </si>
  <si>
    <t>2023-05-07</t>
  </si>
  <si>
    <t>df1e18bb-9ae9-4873-b6ec-b97a63e8baab</t>
  </si>
  <si>
    <t>2023-05-06</t>
  </si>
  <si>
    <t>mk</t>
  </si>
  <si>
    <t>6ac0ba0a-64f3-43b0-b5e0-cf05a554d9d6</t>
  </si>
  <si>
    <t>ea8c8180-6a31-4b1f-bdef-3f460eb5c4b1</t>
  </si>
  <si>
    <t>2023-05-05</t>
  </si>
  <si>
    <t>11:08</t>
  </si>
  <si>
    <t>6a4f5764-eb22-450c-8929-fff54c063c30</t>
  </si>
  <si>
    <t>1feda525-5a42-47cc-a564-bf07eebac4ec</t>
  </si>
  <si>
    <t>960cc4f4-614d-440e-a704-82aa6f3f3e96</t>
  </si>
  <si>
    <t>14:58</t>
  </si>
  <si>
    <t>9c5e269f-e445-46d5-8cc0-931b926c3e22</t>
  </si>
  <si>
    <t>19de29de-2cf6-47d7-9915-8216a2f92956</t>
  </si>
  <si>
    <t>2023-05-04</t>
  </si>
  <si>
    <t>28dd04b2-8c77-49d8-8e12-84b8d0fd757f</t>
  </si>
  <si>
    <t>0e64438f-e4af-454f-a0df-aefa41b4fb1f</t>
  </si>
  <si>
    <t>11:22</t>
  </si>
  <si>
    <t>ค่าโง่</t>
  </si>
  <si>
    <t>032b7e33-6444-4568-9eb3-c1353fcc2713</t>
  </si>
  <si>
    <t xml:space="preserve">แท็กไป oranji</t>
  </si>
  <si>
    <t>749f1621-28e8-426a-9caf-e0717dbb6860</t>
  </si>
  <si>
    <t>91a37977-5ab9-47bc-8fbb-1fe63c7035d6</t>
  </si>
  <si>
    <t>7c2198e1-add6-48e0-9afb-f4ef60c002a2</t>
  </si>
  <si>
    <t>2023-05-03</t>
  </si>
  <si>
    <t>827cde4c-64b9-421a-bbca-a5ed9fd4218a</t>
  </si>
  <si>
    <t>34e87458-51ab-4134-8ed5-5d6b35060e2f</t>
  </si>
  <si>
    <t>64b63baa-f630-47f6-acd7-13cac8b80ea8</t>
  </si>
  <si>
    <t>f173beb5-84ff-4ff6-bd24-19a6f4d580f7</t>
  </si>
  <si>
    <t>91e6daff-6026-4c99-8d5c-01077354c6c8</t>
  </si>
  <si>
    <t>2023-05-02</t>
  </si>
  <si>
    <t>00a1930f-aeb4-4613-a315-af1c1c246fc1</t>
  </si>
  <si>
    <t>7dfc055c-ae61-46b5-9032-267802ea0f53</t>
  </si>
  <si>
    <t>34b82f50-b91c-4721-81a2-5ce714efe887</t>
  </si>
  <si>
    <t>4700564c-70f9-4a4e-a2d7-439dc4bbcd76</t>
  </si>
  <si>
    <t>2023-05-01</t>
  </si>
  <si>
    <t xml:space="preserve">ไอติม seacon</t>
  </si>
  <si>
    <t>04feb887-6f86-4d7f-a69a-dcc810c8b9c9</t>
  </si>
  <si>
    <t xml:space="preserve">เสื้อ adidas</t>
  </si>
  <si>
    <t>d1dbb5a4-a018-44ef-bfd9-56f74abd40c5</t>
  </si>
  <si>
    <t>17:11</t>
  </si>
  <si>
    <t>สุกี้ข้าน้อย</t>
  </si>
  <si>
    <t>830ea390-5d60-4a20-b5c1-5c8e0fef1be9</t>
  </si>
  <si>
    <t>17:16</t>
  </si>
  <si>
    <t>9de66f37-f4c4-48b8-9038-3752a9965789</t>
  </si>
  <si>
    <t>d41b31cb-e271-4c83-a8a0-be97ab319af5</t>
  </si>
  <si>
    <t>2023-04-30</t>
  </si>
  <si>
    <t>1906bbc4-3557-474e-ba9e-991e36bf21f9</t>
  </si>
  <si>
    <t>d55565b0-360f-4921-86d8-0fc362e76b4c</t>
  </si>
  <si>
    <t>f0e8c701-6058-4ad6-bff3-00ab41739958</t>
  </si>
  <si>
    <t xml:space="preserve">boardgame 2711 1308</t>
  </si>
  <si>
    <t>e2c8b118-c40d-41ac-a0c6-7be6c0dd5803</t>
  </si>
  <si>
    <t>11:58</t>
  </si>
  <si>
    <t xml:space="preserve">ยอดเคลียร์ JCB 30 apr</t>
  </si>
  <si>
    <t>788088b7-a4a4-49e3-8b13-963d2a674d28</t>
  </si>
  <si>
    <t>หูตาคอจมูก</t>
  </si>
  <si>
    <t>09c0807a-779c-41d0-9166-1d7ba5be0470</t>
  </si>
  <si>
    <t xml:space="preserve">หนังสือ 28 apr</t>
  </si>
  <si>
    <t>8b20fd30-85ec-46ba-a094-843daf88c7e5</t>
  </si>
  <si>
    <t>4f9f212a-9115-40f9-bdc8-81743d2aaa75</t>
  </si>
  <si>
    <t>41aa6177-192e-43c4-a33c-c7ce7cfee5cc</t>
  </si>
  <si>
    <t>760b5937-90fa-4794-bd38-0b3f733526cb</t>
  </si>
  <si>
    <t>ccba3682-5f4d-47f3-87f8-92089d112471</t>
  </si>
  <si>
    <t>b416a4c0-04bd-49d7-86f1-43c58dd7f3ff</t>
  </si>
  <si>
    <t>96e56d2e-e9cf-4904-af04-0d8dcd035f79</t>
  </si>
  <si>
    <t>12:52</t>
  </si>
  <si>
    <t>f24963e7-6a48-47a6-bf53-d82df3f3c197</t>
  </si>
  <si>
    <t>12:53</t>
  </si>
  <si>
    <t>0edc50e5-d881-47ec-a21d-55e758959bc2</t>
  </si>
  <si>
    <t>868856b4-0124-4afe-97b0-a12ec43ff629</t>
  </si>
  <si>
    <t>637eec92-277a-42c1-91c1-5ddaa33ffad9</t>
  </si>
  <si>
    <t>781fc8f1-a19e-43cb-80a6-81da66fee51e</t>
  </si>
  <si>
    <t>13:03</t>
  </si>
  <si>
    <t>6a9f8915-6922-40ad-804a-860b5b3066c0</t>
  </si>
  <si>
    <t>8187fa81-09f6-4d1f-80d6-163d2209b3cf</t>
  </si>
  <si>
    <t>0d3c06e4-1d97-403d-a96d-a4fb6867e0c5</t>
  </si>
  <si>
    <t>ae16d973-879b-4149-8b05-69eb088368ae</t>
  </si>
  <si>
    <t>16:14</t>
  </si>
  <si>
    <t>น่าจะมีไอติม</t>
  </si>
  <si>
    <t>fb9307cb-b930-4dea-b1a9-539a81aede7c</t>
  </si>
  <si>
    <t xml:space="preserve">s22 ultra(7/10)</t>
  </si>
  <si>
    <t>2bbd88a5-1115-4f6c-acf9-d40e0b238bd2</t>
  </si>
  <si>
    <t>2023-04-29</t>
  </si>
  <si>
    <t>09:24</t>
  </si>
  <si>
    <t>bfbf69ea-84f0-49e8-9590-bdcc84f291b4</t>
  </si>
  <si>
    <t>20a225b6-a105-4b78-a443-f5dc1e22f50a</t>
  </si>
  <si>
    <t>72f2873c-b15e-4053-bc11-f45b6195a7a7</t>
  </si>
  <si>
    <t>cbed7d85-7420-4c64-a7c6-5ec23cca483a</t>
  </si>
  <si>
    <t>2023-04-28</t>
  </si>
  <si>
    <t>cddccafb-06e7-4e9a-80cb-a4107f9fa538</t>
  </si>
  <si>
    <t>ซ่อมรองเท้า</t>
  </si>
  <si>
    <t>ab9ee410-d0ee-49c3-b634-00b9443c2dc5</t>
  </si>
  <si>
    <t>teddy</t>
  </si>
  <si>
    <t>22b189aa-aa1c-4a3c-9287-c6f32e79be17</t>
  </si>
  <si>
    <t>2023-04-27</t>
  </si>
  <si>
    <t>08:26</t>
  </si>
  <si>
    <t>c31b3c9c-c81c-4e0e-97a0-c8f424104f71</t>
  </si>
  <si>
    <t>8f4bd9b4-9dc4-4dbc-bf0c-58ef32d5aa07</t>
  </si>
  <si>
    <t>19:30</t>
  </si>
  <si>
    <t>d40070d7-b9c4-4113-bac3-05f410fc265b</t>
  </si>
  <si>
    <t>ca6474fe-24f3-4da2-b8f5-5eed18ddd2ce</t>
  </si>
  <si>
    <t>2023-04-26</t>
  </si>
  <si>
    <t>aff1275a-8e9f-4e65-964f-2158b54134f3</t>
  </si>
  <si>
    <t>2023-04-25</t>
  </si>
  <si>
    <t>45690835-953d-4096-aac6-c281f7c6e992</t>
  </si>
  <si>
    <t>2105fede-2ffc-4b87-a558-e9177ae0cbd4</t>
  </si>
  <si>
    <t>c612d41f-5abb-4e3a-8f38-a1e270b1d89d</t>
  </si>
  <si>
    <t>2c86467b-f82d-42ae-b6c6-6ede1862ca97</t>
  </si>
  <si>
    <t>8b97c8bd-ebea-4416-8075-a02482c2da21</t>
  </si>
  <si>
    <t>d23c6d47-11ae-4c51-9a99-4b87c0eb9428</t>
  </si>
  <si>
    <t>cc22d8ae-1c9b-48ee-9d37-ae64d847bf89</t>
  </si>
  <si>
    <t>89c0ecdb-dc9b-4b8c-a8e8-2080a3873ef9</t>
  </si>
  <si>
    <t>9cb4b0d8-b93e-4d0d-9251-2bc6b00e1fda</t>
  </si>
  <si>
    <t>dfbf67a8-0241-4b34-aa1e-e7a15b5d9ccf</t>
  </si>
  <si>
    <t>732a1498-258f-44bb-b5f5-a23c0c18d231</t>
  </si>
  <si>
    <t>2023-04-24</t>
  </si>
  <si>
    <t>18c4b774-6175-4551-ad46-bba7abc39469</t>
  </si>
  <si>
    <t>99c978ba-02b0-4ed5-b8ad-665f164e9e41</t>
  </si>
  <si>
    <t>a081f983-76f6-4bdd-ac74-40387f0cc491</t>
  </si>
  <si>
    <t>12:39</t>
  </si>
  <si>
    <t>37624550-bf77-46b7-825f-a1ff7f9721ac</t>
  </si>
  <si>
    <t>2023-04-23</t>
  </si>
  <si>
    <t>09:50</t>
  </si>
  <si>
    <t>04976c79-6be5-4c68-9092-07316a849a09</t>
  </si>
  <si>
    <t>0ba282c2-a289-40b7-866a-06a34f774d91</t>
  </si>
  <si>
    <t>13:04</t>
  </si>
  <si>
    <t>3eb94436-2476-468b-81ca-b8827dd2eb67</t>
  </si>
  <si>
    <t>16:05</t>
  </si>
  <si>
    <t>0a064cbd-e281-41b8-ad5a-a65257633cff</t>
  </si>
  <si>
    <t>18:12</t>
  </si>
  <si>
    <t>6eee1b41-f5bf-4240-863d-d5b43ee4602f</t>
  </si>
  <si>
    <t>2023-04-22</t>
  </si>
  <si>
    <t>b0ddf137-b713-47bd-9eae-c12a9c5ad414</t>
  </si>
  <si>
    <t>2023-04-20</t>
  </si>
  <si>
    <t>363a075d-2345-4b0b-a4cd-ea03f6d94b65</t>
  </si>
  <si>
    <t>b14e7dba-c19a-417d-83ba-901672f9cccb</t>
  </si>
  <si>
    <t>9d5d963a-128f-4398-9a4c-608600aab3a8</t>
  </si>
  <si>
    <t>0cd844b7-ba3e-43c8-b5e0-84199b393b54</t>
  </si>
  <si>
    <t>2023-04-19</t>
  </si>
  <si>
    <t>cf64482d-9ee5-476e-b3c6-6f70698b4871</t>
  </si>
  <si>
    <t>bbb4e471-ecac-43cc-996f-24e45839ee9f</t>
  </si>
  <si>
    <t>8b05354e-9a6e-4fc2-aafe-8f7693c6f7aa</t>
  </si>
  <si>
    <t>564db884-247f-49c3-af20-f7552582a0ae</t>
  </si>
  <si>
    <t>2023-04-18</t>
  </si>
  <si>
    <t>7f87cb54-079b-4432-8c02-1cd0ac7f4235</t>
  </si>
  <si>
    <t>74cb3fab-c4ca-4d64-a6d1-e66faf9f5f70</t>
  </si>
  <si>
    <t>2023-04-17</t>
  </si>
  <si>
    <t>b0e7321b-4e8f-4442-bc22-2b0e883f4fcf</t>
  </si>
  <si>
    <t>5b842981-4f01-45ec-8180-eb138916bd7e</t>
  </si>
  <si>
    <t>31ef704f-2c6f-4698-a842-15f91911c95b</t>
  </si>
  <si>
    <t>62e66d3a-8432-4251-8132-aba34abe2741</t>
  </si>
  <si>
    <t>2023-04-16</t>
  </si>
  <si>
    <t>08:27</t>
  </si>
  <si>
    <t>da4c0374-808c-4916-8d16-049ddc9697d1</t>
  </si>
  <si>
    <t>burger</t>
  </si>
  <si>
    <t>c8be64cb-2363-49fa-92cc-43f5d29ffc48</t>
  </si>
  <si>
    <t>52655058-bc9b-46f0-bef8-94619d0191d0</t>
  </si>
  <si>
    <t>0eb8d1d3-5067-4dd4-a015-1aa9b50a43fc</t>
  </si>
  <si>
    <t>2023-04-15</t>
  </si>
  <si>
    <t>2c31a891-459b-45c9-aac8-721fcf41d2fe</t>
  </si>
  <si>
    <t>769b07bb-dbb2-4710-b45f-35b86b94b9e0</t>
  </si>
  <si>
    <t>a9d09508-04c0-4976-b361-42184cf59a40</t>
  </si>
  <si>
    <t>2023-04-14</t>
  </si>
  <si>
    <t>994831cb-c963-4ccd-99f4-38cde6bf4c1d</t>
  </si>
  <si>
    <t xml:space="preserve">bts gold</t>
  </si>
  <si>
    <t>f909d928-11fc-4ef8-94c3-fae0d63e5533</t>
  </si>
  <si>
    <t>563981b8-ff27-4c0c-aedf-113c3015cb84</t>
  </si>
  <si>
    <t>1e5b9a68-7e98-40ec-8bb2-b9dc595218b5</t>
  </si>
  <si>
    <t>ชาตรามือ</t>
  </si>
  <si>
    <t>8c55db30-8662-4667-963a-82c602c5c9e5</t>
  </si>
  <si>
    <t>16:07</t>
  </si>
  <si>
    <t>ชาบูชิ</t>
  </si>
  <si>
    <t>00f6ea55-0c22-49c6-a045-def0c63d3425</t>
  </si>
  <si>
    <t>ค่าไรวะ</t>
  </si>
  <si>
    <t>487337a6-b753-4a7f-8766-6032c02527f9</t>
  </si>
  <si>
    <t xml:space="preserve">eric kayzer</t>
  </si>
  <si>
    <t>5ffdfb7a-9323-4518-8639-d74e76020a2b</t>
  </si>
  <si>
    <t>2023-04-13</t>
  </si>
  <si>
    <t>15:04</t>
  </si>
  <si>
    <t>rc_cat_1781955063347_5qjb_1781955063348_xqml</t>
  </si>
  <si>
    <t>macro</t>
  </si>
  <si>
    <t>3d820bb4-922d-4954-8133-a0109ba4740b</t>
  </si>
  <si>
    <t>da37a16c-96c5-48be-bc78-1af43cd3f26e</t>
  </si>
  <si>
    <t>17:00</t>
  </si>
  <si>
    <t>tops</t>
  </si>
  <si>
    <t>b4ba2a28-47c0-4309-8721-da3d1e4c3a32</t>
  </si>
  <si>
    <t>2023-04-12</t>
  </si>
  <si>
    <t>1e290c14-b9b5-4954-94b7-b8b22b91b10a</t>
  </si>
  <si>
    <t>09:53</t>
  </si>
  <si>
    <t>81e2eea8-8aea-4507-abf0-9e8f33e56b24</t>
  </si>
  <si>
    <t>cf76b6c8-45ee-4649-83e7-6f50aed7cbdd</t>
  </si>
  <si>
    <t>2b39d1a5-b85e-41ef-a458-44377ca51527</t>
  </si>
  <si>
    <t>พี่ปอมช่วยจ่าย</t>
  </si>
  <si>
    <t>7f45e3bc-4e33-4ea3-9546-ff490b96e025</t>
  </si>
  <si>
    <t>2023-04-11</t>
  </si>
  <si>
    <t>a74ed844-8956-4be1-84a0-f6e85988c0e6</t>
  </si>
  <si>
    <t>19e14dd2-c613-4e81-bb28-ccbfbb2e35b3</t>
  </si>
  <si>
    <t>2023-04-10</t>
  </si>
  <si>
    <t>09:51</t>
  </si>
  <si>
    <t>bd9435a4-32a6-45c6-b2b2-9db91a7876e8</t>
  </si>
  <si>
    <t>12:51</t>
  </si>
  <si>
    <t>355a46f3-986c-46d5-bfa9-c80ddd29aa3b</t>
  </si>
  <si>
    <t>5940ac2f-ac77-4795-bd9d-a5b1ac1deda1</t>
  </si>
  <si>
    <t>ec40032a-cc6d-4d17-a669-4b3e9e4a0ccd</t>
  </si>
  <si>
    <t>2023-04-09</t>
  </si>
  <si>
    <t>14:15</t>
  </si>
  <si>
    <t>6fbfc6a7-b54b-469d-88e2-58cb95b291e4</t>
  </si>
  <si>
    <t>c00d6c82-78fe-4f4b-b2cf-8304e198d795</t>
  </si>
  <si>
    <t>18:10</t>
  </si>
  <si>
    <t>11b00a91-b588-4f32-998b-24366066f981</t>
  </si>
  <si>
    <t>2023-04-08</t>
  </si>
  <si>
    <t>copper</t>
  </si>
  <si>
    <t>917f999b-3367-477e-aa7e-0b8b8549fa72</t>
  </si>
  <si>
    <t>eda2435e-4df4-48eb-9248-6111ffd8ae1d</t>
  </si>
  <si>
    <t>d30327c6-faf8-468b-85d9-ca9da214d72a</t>
  </si>
  <si>
    <t>fda119eb-1263-474d-adaa-e9344b2bcf01</t>
  </si>
  <si>
    <t>5e822df5-90b3-4c5d-9f2b-9af8dd01a415</t>
  </si>
  <si>
    <t>5303f4de-cc07-4a54-b1e6-f21dd5882baa</t>
  </si>
  <si>
    <t>2023-04-07</t>
  </si>
  <si>
    <t>fa592fda-21d1-433f-9803-d8a7a325b7ed</t>
  </si>
  <si>
    <t>6bd21ac7-b566-4505-badf-459052b01e7a</t>
  </si>
  <si>
    <t>f9852a80-d0ba-40eb-9f26-0fe201c0f697</t>
  </si>
  <si>
    <t>c01d4088-8049-471b-87da-eb3c1851655e</t>
  </si>
  <si>
    <t>b66fe218-180f-402d-ba8e-c5aff7493664</t>
  </si>
  <si>
    <t>2023-04-06</t>
  </si>
  <si>
    <t>be3c90ff-0e0d-4320-93b0-e088ce0d4ac3</t>
  </si>
  <si>
    <t>2023-04-05</t>
  </si>
  <si>
    <t>ffab4e6a-e915-42fc-b211-cc4cc2446a34</t>
  </si>
  <si>
    <t>3f28345f-31e4-4539-a2b8-d0cfc737f8dd</t>
  </si>
  <si>
    <t>b622889c-0a17-4247-9d2e-87e6cddb9730</t>
  </si>
  <si>
    <t>7af06c03-1f20-41d5-9dbb-c3f9cf373f8d</t>
  </si>
  <si>
    <t>3aa94d45-aad0-4466-97c6-1d3b39f74e45</t>
  </si>
  <si>
    <t>3133a996-80c0-4da1-842a-dddfc3bc4065</t>
  </si>
  <si>
    <t>19:28</t>
  </si>
  <si>
    <t>0124e231-2f34-4663-84a8-fed83de6431f</t>
  </si>
  <si>
    <t>หมูกะทะ</t>
  </si>
  <si>
    <t>7560143c-ae8a-45bb-adb0-967d95cc264b</t>
  </si>
  <si>
    <t>22:28</t>
  </si>
  <si>
    <t>f4f71fe0-82a8-4793-89f5-a976a689a3e0</t>
  </si>
  <si>
    <t>2023-04-04</t>
  </si>
  <si>
    <t>9e4d7350-73ae-4206-a534-54c8f3e7de98</t>
  </si>
  <si>
    <t>cb2cfbf3-0730-4e64-ac93-a46edca53fa8</t>
  </si>
  <si>
    <t>8e7d064a-c6fc-4344-a043-27a03f57a47b</t>
  </si>
  <si>
    <t>2023-04-03</t>
  </si>
  <si>
    <t>07159851-ed73-4c41-b2de-7ec0f435e3cd</t>
  </si>
  <si>
    <t>7867f816-6902-425e-a018-249b6e9bc155</t>
  </si>
  <si>
    <t>2023-04-02</t>
  </si>
  <si>
    <t>sizzler</t>
  </si>
  <si>
    <t>4848c485-0e68-4439-a7fc-0d8d39240cda</t>
  </si>
  <si>
    <t>389bb7aa-b705-47a4-8c2d-826d231147f6</t>
  </si>
  <si>
    <t>27b8d8dd-7048-475d-a11f-c071fff2fb1d</t>
  </si>
  <si>
    <t>4584c315-814d-496a-ad88-71fd98e6bfb0</t>
  </si>
  <si>
    <t>136fd9e7-ee43-4868-929c-2332e1db4d37</t>
  </si>
  <si>
    <t>526d5e4e-31ad-41aa-bdb3-d07440038127</t>
  </si>
  <si>
    <t>2d8f0823-c465-4154-9903-a47ab951529c</t>
  </si>
  <si>
    <t>17:57</t>
  </si>
  <si>
    <t>b4e3a1f6-6314-4a11-85f5-b6ce7fe945c0</t>
  </si>
  <si>
    <t>2023-04-01</t>
  </si>
  <si>
    <t>00:47</t>
  </si>
  <si>
    <t>e0da37ac-c57c-44ef-8a82-0c646d788ec3</t>
  </si>
  <si>
    <t>57910d7c-b60b-4afe-a7bf-cc409fe400b1</t>
  </si>
  <si>
    <t>f1429542-cd9d-48a8-9314-d70a47106e95</t>
  </si>
  <si>
    <t>cbecb4fb-d6a9-49b1-a73e-b9cd09f5ab2a</t>
  </si>
  <si>
    <t>af76dc55-5182-4083-9685-72abd42ebca5</t>
  </si>
  <si>
    <t>9c096ebf-2918-4782-8156-252e1c0f0c63</t>
  </si>
  <si>
    <t>18:44</t>
  </si>
  <si>
    <t>barbgon</t>
  </si>
  <si>
    <t>7fc08257-551f-4e2d-a028-a3e60af4606b</t>
  </si>
  <si>
    <t>19:52</t>
  </si>
  <si>
    <t>e5d2ba46-1bc6-499c-9e93-e3d871eb15df</t>
  </si>
  <si>
    <t>19:53</t>
  </si>
  <si>
    <t>21baef05-7160-487f-8e08-3f2db27c3927</t>
  </si>
  <si>
    <t>ทริปจัน</t>
  </si>
  <si>
    <t>660c5b10-3cbc-41c5-8df9-da5a3e4a2cb5</t>
  </si>
  <si>
    <t>ac4bc163-326a-44ec-a25f-07438c9f0651</t>
  </si>
  <si>
    <t>20:38</t>
  </si>
  <si>
    <t>2e5bf070-050f-4923-a92a-aae0d7f573aa</t>
  </si>
  <si>
    <t>aa5a4dc0-ae61-4369-a1ae-ef16d71e926d</t>
  </si>
  <si>
    <t xml:space="preserve">ยอดเมื่อวันที่ 7 citi</t>
  </si>
  <si>
    <t>a34586d0-ecf8-4efd-8da4-0800bdac74ca</t>
  </si>
  <si>
    <t>365cee13-55c1-4d9f-88cb-993e01aa3a89</t>
  </si>
  <si>
    <t>ea21b2b6-5b2e-4cf4-b7e5-907045e7ed2b</t>
  </si>
  <si>
    <t>ed8f7f53-609c-49cc-b6a5-8ae1eff5f5a4</t>
  </si>
  <si>
    <t>22:41</t>
  </si>
  <si>
    <t>7548f0ad-d800-4b3b-8970-1335eb6d0337</t>
  </si>
  <si>
    <t>2023-03-31</t>
  </si>
  <si>
    <t>d99726d9-3d09-4211-8555-bc96c3dca629</t>
  </si>
  <si>
    <t>62830e3f-3548-4b50-8bb1-47e06854a95f</t>
  </si>
  <si>
    <t>22:46</t>
  </si>
  <si>
    <t>6c3e56a2-f4fd-45a9-a6c3-720f1bbf8fd0</t>
  </si>
  <si>
    <t>2023-03-30</t>
  </si>
  <si>
    <t>84e07067-a42c-428a-8865-0cf64075478d</t>
  </si>
  <si>
    <t xml:space="preserve">s22 ultra(6/10)</t>
  </si>
  <si>
    <t>790d0cfb-6498-4948-ad35-467c0514a310</t>
  </si>
  <si>
    <t>2023-03-29</t>
  </si>
  <si>
    <t>12:44</t>
  </si>
  <si>
    <t>41dd44a0-b6d9-4f0b-a521-5d714b175095</t>
  </si>
  <si>
    <t>2023-03-28</t>
  </si>
  <si>
    <t>12:43</t>
  </si>
  <si>
    <t>36107cd4-e8ed-457b-955f-83aaef0ada6e</t>
  </si>
  <si>
    <t>0fdd1338-e502-494e-8672-10992dd474c5</t>
  </si>
  <si>
    <t>2023-03-27</t>
  </si>
  <si>
    <t xml:space="preserve">mom ของอุ้ย</t>
  </si>
  <si>
    <t>704a83ab-2689-4744-8d4a-bd8a5c552319</t>
  </si>
  <si>
    <t>koi</t>
  </si>
  <si>
    <t>101d41bd-bb41-4f30-b6ee-b27ef3889b35</t>
  </si>
  <si>
    <t>2023-03-26</t>
  </si>
  <si>
    <t>a876c024-7bf3-4f9e-84a8-efa6c14743b9</t>
  </si>
  <si>
    <t>เยนตาโฟ</t>
  </si>
  <si>
    <t>6ec73995-eb48-45b0-8543-b11fe8fce79b</t>
  </si>
  <si>
    <t>17:30</t>
  </si>
  <si>
    <t>3cf426aa-9f32-40f4-9880-ab447e878373</t>
  </si>
  <si>
    <t>33721534-dfce-445c-a813-d955255b9333</t>
  </si>
  <si>
    <t>b4333c93-1a24-4240-be84-732d29a88880</t>
  </si>
  <si>
    <t>2023-03-25</t>
  </si>
  <si>
    <t>ab036c59-65a8-4f7d-8d3b-ca79cc0e6ab7</t>
  </si>
  <si>
    <t>2cd4faeb-5b4e-4777-a35a-c6c67e094549</t>
  </si>
  <si>
    <t>66745c21-ebc2-45e9-88e5-d992ce596185</t>
  </si>
  <si>
    <t>8418040c-1281-4d21-81aa-76c6cba848c3</t>
  </si>
  <si>
    <t>7b765142-4673-4159-a087-ee879aeb9e26</t>
  </si>
  <si>
    <t>3188f7c3-ee1d-4091-add7-cb0469e89750</t>
  </si>
  <si>
    <t>8b09c09c-e6d7-417c-a251-f704246055ce</t>
  </si>
  <si>
    <t>c45fe680-128f-4dfd-add5-7491273f68f1</t>
  </si>
  <si>
    <t>ec522607-7bb4-40e7-826c-6ad4259d20a5</t>
  </si>
  <si>
    <t>5700262d-699e-494b-ab7f-777b4619cba6</t>
  </si>
  <si>
    <t>0e12a168-1519-416b-87fe-f09fb84eef6e</t>
  </si>
  <si>
    <t>6ce1f595-eb6a-42b9-8a41-9de40dc16fb5</t>
  </si>
  <si>
    <t>5e3791fc-bfe8-4b19-94d6-4f7212ab7583</t>
  </si>
  <si>
    <t>20:28</t>
  </si>
  <si>
    <t>77e84b4b-0251-4d73-8b77-47a02e286a18</t>
  </si>
  <si>
    <t>2023-03-24</t>
  </si>
  <si>
    <t>7583f61e-4d5c-44a3-907f-dfb921dcd9e5</t>
  </si>
  <si>
    <t>เลี้ยงทีม</t>
  </si>
  <si>
    <t>c1fb77e7-8a8c-4c8e-8ba6-a30e2113f6a0</t>
  </si>
  <si>
    <t>7b3280b0-bc4e-435f-8887-1f828785dda8</t>
  </si>
  <si>
    <t>2023-03-22</t>
  </si>
  <si>
    <t>20fd3fee-ba4c-41a5-a5ae-c8d571d81fbb</t>
  </si>
  <si>
    <t>2023-03-18</t>
  </si>
  <si>
    <t xml:space="preserve">110 123 307</t>
  </si>
  <si>
    <t>3261586b-1a8e-4c78-a012-dc4a022d580b</t>
  </si>
  <si>
    <t>19:58</t>
  </si>
  <si>
    <t>7c946b2b-62ef-444a-bcdd-887e0eb40dd4</t>
  </si>
  <si>
    <t>2023-03-16</t>
  </si>
  <si>
    <t>486a099f-7c19-45e5-8a99-309a5c8b3b5d</t>
  </si>
  <si>
    <t>0844d047-4516-4aa8-b549-536ed6969865</t>
  </si>
  <si>
    <t>2023-03-14</t>
  </si>
  <si>
    <t>f9099948-27f1-416c-9010-982536c8ca7b</t>
  </si>
  <si>
    <t>c3bc4ee6-3977-4acb-af5a-a5ddb6086c94</t>
  </si>
  <si>
    <t>2023-03-12</t>
  </si>
  <si>
    <t>12:08</t>
  </si>
  <si>
    <t>7c5fa981-5d92-4d6c-abd8-3bcc3595f0c3</t>
  </si>
  <si>
    <t>softserve</t>
  </si>
  <si>
    <t>6bf59d72-6f1b-483c-8bfc-9931583a2dac</t>
  </si>
  <si>
    <t>682f1853-f25e-45e9-93ba-f4e5cb8ab192</t>
  </si>
  <si>
    <t>16:13</t>
  </si>
  <si>
    <t>c40ae85a-ec24-4010-bd63-5bd48a602012</t>
  </si>
  <si>
    <t>16:22</t>
  </si>
  <si>
    <t>หาหมอหู</t>
  </si>
  <si>
    <t>13a6df8d-8605-4727-b01f-8cfe0d914cd8</t>
  </si>
  <si>
    <t>13998da0-3325-4b25-9e60-b3d916a5cd0d</t>
  </si>
  <si>
    <t>2023-03-11</t>
  </si>
  <si>
    <t>ลุงหนึ่ง</t>
  </si>
  <si>
    <t>7743bd1b-c4f5-482d-bf7c-1754b58459d6</t>
  </si>
  <si>
    <t>5953f34a-c472-4625-bcba-cd53fde92d30</t>
  </si>
  <si>
    <t>โมโม</t>
  </si>
  <si>
    <t>da95a6be-186b-4995-baee-48f4a10d8916</t>
  </si>
  <si>
    <t>2023-03-09</t>
  </si>
  <si>
    <t>a1b24dae-14d4-4725-a931-2fd1713d6df3</t>
  </si>
  <si>
    <t>14:07</t>
  </si>
  <si>
    <t>cb09b610-f7a8-4719-b46f-383837112971</t>
  </si>
  <si>
    <t>f933d63c-08fc-4178-a91c-791dd007f64f</t>
  </si>
  <si>
    <t>dc67ae6d-3945-48f2-a90e-63cff9314493</t>
  </si>
  <si>
    <t>93c2f051-71b0-4c78-850f-3fc7bde6463f</t>
  </si>
  <si>
    <t>23:07</t>
  </si>
  <si>
    <t>c1680a79-7d10-45cb-b03b-ce2907bb6170</t>
  </si>
  <si>
    <t>2023-03-07</t>
  </si>
  <si>
    <t>09:05</t>
  </si>
  <si>
    <t>bf827dd6-2c60-418e-981d-57341e6f55a7</t>
  </si>
  <si>
    <t>1fcd55f9-be42-40ed-b21e-2bdb44381992</t>
  </si>
  <si>
    <t>13:20</t>
  </si>
  <si>
    <t>558c92ce-6de4-43c1-864b-19310ea27910</t>
  </si>
  <si>
    <t>2023-03-06</t>
  </si>
  <si>
    <t>10:28</t>
  </si>
  <si>
    <t>52a40481-3d5f-4b01-a3ac-a56d29dea7f9</t>
  </si>
  <si>
    <t>96101680-6f2b-4eaa-a0c3-15fe68b6c961</t>
  </si>
  <si>
    <t xml:space="preserve">line shopiing ทริปหัวหินกับอุ้ยกับเฟินล่วงหน้า</t>
  </si>
  <si>
    <t>e3ebf4ad-54a4-4168-ae55-62eb7cc7895a</t>
  </si>
  <si>
    <t>14:18</t>
  </si>
  <si>
    <t>722d9e5b-05d7-400d-ba5d-e28696b9bbea</t>
  </si>
  <si>
    <t>e56dea51-21cd-45e1-9abe-91945fa7177f</t>
  </si>
  <si>
    <t>8cfa6153-d27c-46b5-8507-3924011007f3</t>
  </si>
  <si>
    <t>7322d4e7-82e4-464e-b20a-68e57ec83466</t>
  </si>
  <si>
    <t>83e04e1c-1c4a-41a6-91e1-6111cdc30357</t>
  </si>
  <si>
    <t>2023-03-05</t>
  </si>
  <si>
    <t xml:space="preserve">fufu shabu</t>
  </si>
  <si>
    <t>450a11a1-f372-4e09-9eb7-26e727591e5d</t>
  </si>
  <si>
    <t>dc4ee52b-667a-4383-a9ae-8817a94ce364</t>
  </si>
  <si>
    <t xml:space="preserve">fufu shabu voucher</t>
  </si>
  <si>
    <t>53053dcb-d4a7-411b-8892-7ec0e1126ad3</t>
  </si>
  <si>
    <t>2023-03-04</t>
  </si>
  <si>
    <t>09:28</t>
  </si>
  <si>
    <t>2bc94fdc-40bd-4af7-a1ed-54ccfca90567</t>
  </si>
  <si>
    <t>ค่าข้าวล่วงหน้า</t>
  </si>
  <si>
    <t>a3f072b4-8d2c-488b-9864-143c8e029b34</t>
  </si>
  <si>
    <t>2023-03-03</t>
  </si>
  <si>
    <t>a1b1cd5c-d19f-4f73-a424-b7d27ac148ff</t>
  </si>
  <si>
    <t>2023-03-02</t>
  </si>
  <si>
    <t>19:21</t>
  </si>
  <si>
    <t>65cc1fd3-6cec-4f6d-b16b-0e0ef3dbc061</t>
  </si>
  <si>
    <t>ค่าน้ำ</t>
  </si>
  <si>
    <t>b4729d55-a53f-4194-bcff-37302b48a943</t>
  </si>
  <si>
    <t>2023-03-01</t>
  </si>
  <si>
    <t>09:23</t>
  </si>
  <si>
    <t>8bc506bf-cff6-4e38-bf1e-88227563901f</t>
  </si>
  <si>
    <t>7f004595-6146-4cbc-a64a-64a30273a4bb</t>
  </si>
  <si>
    <t>75c094a2-a8c3-44fc-9fc6-26d76565ede3</t>
  </si>
  <si>
    <t>เพ่งเพง</t>
  </si>
  <si>
    <t>c45046d9-3a86-4c00-a1ec-4ea4a48c1ce8</t>
  </si>
  <si>
    <t>aa676e96-79d8-41f4-a834-4f2f4883d3e4</t>
  </si>
  <si>
    <t>2023-02-28</t>
  </si>
  <si>
    <t xml:space="preserve">s22 ultra(5/10)</t>
  </si>
  <si>
    <t>1be5377c-19a4-4766-9833-7b88e79c3144</t>
  </si>
  <si>
    <t>2023-02-27</t>
  </si>
  <si>
    <t>19:26</t>
  </si>
  <si>
    <t xml:space="preserve">make by kbank</t>
  </si>
  <si>
    <t>86f6a950-aa1d-4dee-ae7d-a5f7193bb41b</t>
  </si>
  <si>
    <t>2023-02-26</t>
  </si>
  <si>
    <t>ae707bec-32e5-424f-880d-1d624001855b</t>
  </si>
  <si>
    <t>596d2641-6921-4aa1-b89a-5c9148c00c7b</t>
  </si>
  <si>
    <t>77a62a72-7f24-4427-a10d-0557645e4eff</t>
  </si>
  <si>
    <t>502a8674-0b5c-4e4b-9db8-1b574f1611f6</t>
  </si>
  <si>
    <t>6caeb90f-06e8-4d39-b4b9-289002ccaf04</t>
  </si>
  <si>
    <t>12:57</t>
  </si>
  <si>
    <t xml:space="preserve">Japan trip zipair</t>
  </si>
  <si>
    <t>e6169a6c-4f9a-4f5c-ba8f-91d5aba3b9bc</t>
  </si>
  <si>
    <t>12:58</t>
  </si>
  <si>
    <t xml:space="preserve">yuu yakiniku</t>
  </si>
  <si>
    <t>60dfcc5f-d6fc-4242-9221-667d3f729608</t>
  </si>
  <si>
    <t>ดูหนัง</t>
  </si>
  <si>
    <t>1fb26676-dadf-420f-af2b-d190bd60d455</t>
  </si>
  <si>
    <t>67cbc99b-092a-4a7a-9757-f5d5c0a7ec94</t>
  </si>
  <si>
    <t>f68a2ce7-d4a3-428b-b2c4-092f0fc522b3</t>
  </si>
  <si>
    <t>31b9ab5d-8bd9-4403-b38d-84284855898f</t>
  </si>
  <si>
    <t>508d3e8a-60f6-434d-8a42-dfe746bda51e</t>
  </si>
  <si>
    <t>935f8b55-5128-4f10-baf4-f270e9fde154</t>
  </si>
  <si>
    <t xml:space="preserve">yuu + ดูหนัง</t>
  </si>
  <si>
    <t>a3b6a373-600f-4d74-a516-c7d5fbc2fa2f</t>
  </si>
  <si>
    <t>ebbe2972-a572-4ce2-8d2c-5794c63a59b6</t>
  </si>
  <si>
    <t>b9dbc31a-09a7-4694-967a-745b46df5104</t>
  </si>
  <si>
    <t>f3851f98-04f1-46f4-808b-5ecc032d5873</t>
  </si>
  <si>
    <t>19:38</t>
  </si>
  <si>
    <t>a305f190-272e-46aa-a096-b0a8e99ed00a</t>
  </si>
  <si>
    <t>cda32eb7-e513-4da7-bdc2-0f6252905129</t>
  </si>
  <si>
    <t>8e84969d-c08d-430a-853c-c334a65db3af</t>
  </si>
  <si>
    <t>2023-02-25</t>
  </si>
  <si>
    <t>fa30570f-f723-42ca-93bb-ad94757c8d0f</t>
  </si>
  <si>
    <t>2023-02-24</t>
  </si>
  <si>
    <t>18:32</t>
  </si>
  <si>
    <t>355dab7c-07da-41aa-b8a8-053a46ec4f12</t>
  </si>
  <si>
    <t>2023-02-23</t>
  </si>
  <si>
    <t>13abfe6b-82f5-4afa-90a6-531f5d241ca2</t>
  </si>
  <si>
    <t>ea4241c6-c5c9-45a3-aa82-34f8a3a95a8e</t>
  </si>
  <si>
    <t>0216899f-bb50-470f-bae0-14c7bb527178</t>
  </si>
  <si>
    <t>6be711b4-8f93-498a-a40b-0b57e4fb7983</t>
  </si>
  <si>
    <t>44e52464-cd35-4927-91f7-5645983b2a39</t>
  </si>
  <si>
    <t>7c6567ad-5ce5-4f73-aa33-7b284ac5006c</t>
  </si>
  <si>
    <t>c66a2b38-b500-4ad3-a60b-e34cf98a436c</t>
  </si>
  <si>
    <t>ac17a5c6-8d4f-4253-b3d5-7b015ad9a3e6</t>
  </si>
  <si>
    <t>a4953b06-a970-46b2-b2e5-6bbf05dee5ed</t>
  </si>
  <si>
    <t>3810aa85-6652-4b58-809f-576c79216c13</t>
  </si>
  <si>
    <t>3ca39c9b-0751-4639-abca-cc153ebb5b7f</t>
  </si>
  <si>
    <t>02:30</t>
  </si>
  <si>
    <t>น่าจะปันผลสหกรณ์</t>
  </si>
  <si>
    <t>58f7b5c1-182b-46e1-9b9a-2cc29038fb42</t>
  </si>
  <si>
    <t>87f4883b-2f8c-4223-8430-63222f8526de</t>
  </si>
  <si>
    <t>a6ede5de-d1a4-4860-8ad3-81893ed5b5ae</t>
  </si>
  <si>
    <t>972eebeb-734a-49dc-99f0-e3c381b0315d</t>
  </si>
  <si>
    <t>2023-02-22</t>
  </si>
  <si>
    <t>08:23</t>
  </si>
  <si>
    <t>1c78768d-28fd-4181-802b-2d4e4c652d90</t>
  </si>
  <si>
    <t>24875dbf-6535-4398-9151-cb53f8768623</t>
  </si>
  <si>
    <t>e54552f3-0f0c-4918-a3f5-5cf24343b3ee</t>
  </si>
  <si>
    <t>9509270a-ff17-47fe-abf6-55f3a27e4b84</t>
  </si>
  <si>
    <t>fb53e05f-e19f-484b-a700-eb8daa75534c</t>
  </si>
  <si>
    <t>3e0da138-7ded-4092-9c1c-9bc8086f1282</t>
  </si>
  <si>
    <t>6218806c-51aa-4ad7-b0f0-887607f7bb1b</t>
  </si>
  <si>
    <t>21:27</t>
  </si>
  <si>
    <t>e48a1f47-9efc-4782-9df1-e79300287664</t>
  </si>
  <si>
    <t>2023-02-21</t>
  </si>
  <si>
    <t>6b0ff9ac-678b-44cb-824c-09013cc8f3b7</t>
  </si>
  <si>
    <t>2023-02-20</t>
  </si>
  <si>
    <t>09:21</t>
  </si>
  <si>
    <t>49a44076-bc13-46aa-9e9a-da093ac85bbc</t>
  </si>
  <si>
    <t>79db578d-0b1f-4aaa-940f-27cdc3657b5d</t>
  </si>
  <si>
    <t>e8481bcd-b5e7-45e8-a080-fbd8b22f5035</t>
  </si>
  <si>
    <t>2023-02-19</t>
  </si>
  <si>
    <t>10c12c5a-cd85-49f5-be23-e7e3c87311a9</t>
  </si>
  <si>
    <t xml:space="preserve">บาบีก้อน 1049 ตั๋วหนังป็อปคอน 690+139 ปิ้งย่าง 2630 ตกคนละพันห้า</t>
  </si>
  <si>
    <t>58a07319-d643-46bf-8fa3-e89fb483266c</t>
  </si>
  <si>
    <t>2023-02-16</t>
  </si>
  <si>
    <t>91ae98d5-a3ef-4f1d-898d-d61fe0be14c5</t>
  </si>
  <si>
    <t>12eed1c7-a483-4469-94f2-9db0e4107e5c</t>
  </si>
  <si>
    <t>2023-02-15</t>
  </si>
  <si>
    <t>58bfa133-261f-4b10-8010-666c49ebcb06</t>
  </si>
  <si>
    <t>5016b111-8a3c-4410-b4e9-d23c8391a019</t>
  </si>
  <si>
    <t>2144a358-39ae-4494-b595-a8285e1fa365</t>
  </si>
  <si>
    <t>25681bbf-2de7-4aca-8bbd-fda0209087ee</t>
  </si>
  <si>
    <t>2023-02-14</t>
  </si>
  <si>
    <t>e1216b53-722b-4ef9-811f-0a6598be7925</t>
  </si>
  <si>
    <t>df880bdc-3eca-440d-8c57-6795e36c10ff</t>
  </si>
  <si>
    <t>51b41ac8-48df-43da-bb38-0341cd2df1da</t>
  </si>
  <si>
    <t>e3c0279f-2867-4b49-bab1-7c7becb9fb18</t>
  </si>
  <si>
    <t>สมศักดิ์ปูอบ</t>
  </si>
  <si>
    <t>cb5530ad-8b8c-4906-af45-69ab4da911e4</t>
  </si>
  <si>
    <t>2023-02-13</t>
  </si>
  <si>
    <t>08:16</t>
  </si>
  <si>
    <t>45dbc4a2-449b-49a4-b450-13f91982def5</t>
  </si>
  <si>
    <t>4d2a5509-95a2-4266-893f-e6b1668148df</t>
  </si>
  <si>
    <t>21:02</t>
  </si>
  <si>
    <t>ThaiBMA</t>
  </si>
  <si>
    <t>48d1ae1c-ab87-498a-8ab3-ceaa930360a1</t>
  </si>
  <si>
    <t>2023-02-12</t>
  </si>
  <si>
    <t>14:17</t>
  </si>
  <si>
    <t>f6b2b0a9-0000-4a26-a02a-a3ff1ed41794</t>
  </si>
  <si>
    <t>บาบีก้อนกับอุ้ย</t>
  </si>
  <si>
    <t>c292a545-f1bf-4d36-ba75-6f91d54563b7</t>
  </si>
  <si>
    <t>2023-02-11</t>
  </si>
  <si>
    <t>coffeelism</t>
  </si>
  <si>
    <t>d9b840cb-f144-45aa-9b2a-a1f2a0b89aa7</t>
  </si>
  <si>
    <t>610a5a4e-f24e-4045-9e45-0505b86f3a26</t>
  </si>
  <si>
    <t>669c66be-ef01-4945-9d68-7217a758d1d4</t>
  </si>
  <si>
    <t>18:18</t>
  </si>
  <si>
    <t xml:space="preserve">luggage etax</t>
  </si>
  <si>
    <t>b57be539-cd7c-4168-a47b-154ff2c5e724</t>
  </si>
  <si>
    <t>8da44971-3f4e-41ea-b59f-e94cafcb8fef</t>
  </si>
  <si>
    <t>2023-02-09</t>
  </si>
  <si>
    <t>0bcdd0be-c3cd-4974-a092-6ae3a1c23599</t>
  </si>
  <si>
    <t>02c23448-bbd5-4774-81dd-231cdddec1a2</t>
  </si>
  <si>
    <t>aaa22fe7-d436-4c03-ac12-fb633c871593</t>
  </si>
  <si>
    <t>fe229eec-982c-4665-a2c1-3c98b57dcf80</t>
  </si>
  <si>
    <t>52e2f0b5-97e7-4b83-ac94-30207d9cff92</t>
  </si>
  <si>
    <t>2023-02-08</t>
  </si>
  <si>
    <t>f6e4fe67-d4ef-441c-ac60-f7a0604f0d60</t>
  </si>
  <si>
    <t>2023-02-07</t>
  </si>
  <si>
    <t>09:38</t>
  </si>
  <si>
    <t>60bec7dd-2d1d-4ff5-a0fd-dbe20a003d99</t>
  </si>
  <si>
    <t xml:space="preserve">หน้ากาก tax</t>
  </si>
  <si>
    <t>4b143225-d03e-4469-8739-7399d975d62b</t>
  </si>
  <si>
    <t>2023-02-05</t>
  </si>
  <si>
    <t>อาหารคลีน</t>
  </si>
  <si>
    <t>6f4721d6-ba61-464c-bbe5-3f9660cc3125</t>
  </si>
  <si>
    <t>cf6ba140-1e25-4908-96e7-a3df631fc425</t>
  </si>
  <si>
    <t xml:space="preserve">ก๋วยเตี๋ยว หมูจุ่ม</t>
  </si>
  <si>
    <t>c5fabeef-9bd3-4f85-bdc5-04301af5367e</t>
  </si>
  <si>
    <t>2023-02-04</t>
  </si>
  <si>
    <t>d1f5c6f5-8262-44be-9f4b-d78b7760d125</t>
  </si>
  <si>
    <t>15:55</t>
  </si>
  <si>
    <t xml:space="preserve">lock n lock</t>
  </si>
  <si>
    <t>bae683c2-faba-4e04-ab40-8487dc5af5fe</t>
  </si>
  <si>
    <t>c875b4ed-83cc-4d58-99b3-b20fe0dfe137</t>
  </si>
  <si>
    <t>cdf6fce2-f3ac-42c6-aa86-36e1296deed4</t>
  </si>
  <si>
    <t>22:04</t>
  </si>
  <si>
    <t>8b118829-3c58-4cb9-b64a-657fae1de09b</t>
  </si>
  <si>
    <t>22:07</t>
  </si>
  <si>
    <t xml:space="preserve">pepper lunch 345 tonkatsu 847</t>
  </si>
  <si>
    <t>259e77b2-827e-480c-a65e-a8d761cc62a2</t>
  </si>
  <si>
    <t>22:24</t>
  </si>
  <si>
    <t xml:space="preserve">dicecup boardgame tax</t>
  </si>
  <si>
    <t>e5afdd3c-8f73-4332-93d0-f295097ad191</t>
  </si>
  <si>
    <t xml:space="preserve">lanlalen tax etax</t>
  </si>
  <si>
    <t>423c977d-10f4-4a72-9456-70632034e3eb</t>
  </si>
  <si>
    <t>22:26</t>
  </si>
  <si>
    <t>83a86f08-3415-4056-a25a-203ed07ff088</t>
  </si>
  <si>
    <t>22:32</t>
  </si>
  <si>
    <t>ค่าเนตสองเดือน</t>
  </si>
  <si>
    <t>4d70057d-51c8-404f-9f76-a3d420028404</t>
  </si>
  <si>
    <t xml:space="preserve">อาหาร shopee ทั้งเดือน</t>
  </si>
  <si>
    <t>b6eb0be9-bbbe-4543-a28e-dc6d58529d97</t>
  </si>
  <si>
    <t>22:33</t>
  </si>
  <si>
    <t>avatar2</t>
  </si>
  <si>
    <t>fdf5a5a1-9bfc-4067-88ea-1d17703e92ac</t>
  </si>
  <si>
    <t xml:space="preserve">LTD pants tax etax</t>
  </si>
  <si>
    <t>a65c8e7d-d713-4c9e-95f8-95c2a4cea619</t>
  </si>
  <si>
    <t>22:53</t>
  </si>
  <si>
    <t>81b24edf-b67a-4024-966b-2548ade88905</t>
  </si>
  <si>
    <t>2023-02-03</t>
  </si>
  <si>
    <t>ตุ๊ก</t>
  </si>
  <si>
    <t>f57d33b1-2a5f-45b6-a961-4e0de51f6d0b</t>
  </si>
  <si>
    <t>e1e61319-7e71-4d08-a78f-ef4cfc11b479</t>
  </si>
  <si>
    <t>2023-02-02</t>
  </si>
  <si>
    <t>a628ddeb-86d2-4a03-9ed2-c4cbb6b181a1</t>
  </si>
  <si>
    <t>13210bde-5a83-4db7-adca-6001c7f38a24</t>
  </si>
  <si>
    <t>2aa971db-6c51-4eb6-bbb6-4f00ba22de46</t>
  </si>
  <si>
    <t>เซนปิ่น</t>
  </si>
  <si>
    <t>b88b4ad4-312c-49dd-90b1-65a1e7c2013a</t>
  </si>
  <si>
    <t>2023-02-01</t>
  </si>
  <si>
    <t>31ea5d1f-ca0f-45d1-bacd-87db7148b5ca</t>
  </si>
  <si>
    <t>9de0a55a-6e27-4e78-916e-18d842512c6d</t>
  </si>
  <si>
    <t>08:54</t>
  </si>
  <si>
    <t>86e4ffa0-e9cc-4878-b6b5-3817eba37d56</t>
  </si>
  <si>
    <t>badc63eb-b8d7-47cb-9925-5f69fcc807c0</t>
  </si>
  <si>
    <t>d56099e5-6dd6-4653-a078-e31b4ee8ec96</t>
  </si>
  <si>
    <t>2023-01-31</t>
  </si>
  <si>
    <t>4f619ae5-84c7-4ffd-9854-82b526b4eab3</t>
  </si>
  <si>
    <t>20cb32f3-0284-4d9f-83c0-798cd3805bf8</t>
  </si>
  <si>
    <t>e0416c42-6008-4b1e-ae2d-63ef2fcd3088</t>
  </si>
  <si>
    <t>2023-01-30</t>
  </si>
  <si>
    <t>08:53</t>
  </si>
  <si>
    <t>fb742f9c-93ab-44ee-a0e8-7482d6209331</t>
  </si>
  <si>
    <t xml:space="preserve">s22 ultra(4/10)</t>
  </si>
  <si>
    <t>10c457d6-dc15-49b8-a6aa-09980f6471a6</t>
  </si>
  <si>
    <t>2023-01-29</t>
  </si>
  <si>
    <t>7d08de52-31d8-41ca-9d5e-bcdc2be6a5dc</t>
  </si>
  <si>
    <t>2023-01-28</t>
  </si>
  <si>
    <t>41451946-f66f-4d72-996c-ff8695c1bf99</t>
  </si>
  <si>
    <t xml:space="preserve">mk tax</t>
  </si>
  <si>
    <t>dbbda6ca-f686-4d5e-ac4e-16bf30e446a3</t>
  </si>
  <si>
    <t>369134bc-b16c-43f4-8a6a-a846dbbe469f</t>
  </si>
  <si>
    <t>d491c9b4-6e51-48f6-ab8c-5f463a306a15</t>
  </si>
  <si>
    <t>c1b788ef-1a88-4096-908a-910d6bd8d45c</t>
  </si>
  <si>
    <t>8d829746-c988-4565-90be-d47a20be239c</t>
  </si>
  <si>
    <t>21:32</t>
  </si>
  <si>
    <t xml:space="preserve">fuel tax</t>
  </si>
  <si>
    <t>4f288ea0-dc46-4d2e-9d31-e00605bcf49f</t>
  </si>
  <si>
    <t>986f6aea-ce44-4223-82e4-aab750e2f7fb</t>
  </si>
  <si>
    <t>21:34</t>
  </si>
  <si>
    <t xml:space="preserve">zara tax</t>
  </si>
  <si>
    <t>858ba64e-52a5-4e23-9d69-975ba0209f5e</t>
  </si>
  <si>
    <t>22:35</t>
  </si>
  <si>
    <t>deffbd06-eccd-490c-b97a-8d449c6f021d</t>
  </si>
  <si>
    <t>2023-01-27</t>
  </si>
  <si>
    <t>1a4063ff-e694-431f-b88c-6e28dec45fbc</t>
  </si>
  <si>
    <t>2023-01-26</t>
  </si>
  <si>
    <t>13761e96-2891-42d9-8432-62c921d08dd9</t>
  </si>
  <si>
    <t>7835b06a-6976-4cb4-9095-44a7f3af0ce1</t>
  </si>
  <si>
    <t>7be6b105-7d1a-4b9c-a967-e1b9a2ea7d3e</t>
  </si>
  <si>
    <t>0ddcc5f6-8359-4f35-bef9-6b460e31be5c</t>
  </si>
  <si>
    <t>ff95b692-638c-40c4-9b36-090bf456873c</t>
  </si>
  <si>
    <t>9f4612ce-5468-426a-8a6d-3523dcccc926</t>
  </si>
  <si>
    <t>3d58748c-ac49-42ce-a91e-8e24a0b8abec</t>
  </si>
  <si>
    <t>3be519e4-e0ad-4f6a-9287-ae05cf9becc9</t>
  </si>
  <si>
    <t>08:00</t>
  </si>
  <si>
    <t>6fc671a1-1053-4a8d-8be1-d93d7cfd50ac</t>
  </si>
  <si>
    <t>08:44</t>
  </si>
  <si>
    <t>8386f9cc-daae-440a-8e26-2382ae5983e4</t>
  </si>
  <si>
    <t>c542d555-7e96-42ea-a7a7-7605b0df8806</t>
  </si>
  <si>
    <t>490740eb-aacb-4a96-aafb-b9901f582b9c</t>
  </si>
  <si>
    <t>2023-01-25</t>
  </si>
  <si>
    <t>49414496-7f82-4323-914a-aeb27a49652a</t>
  </si>
  <si>
    <t>275a9957-c7cf-42a4-a611-ad3467b0eef8</t>
  </si>
  <si>
    <t>1a4e017e-b5a5-4263-8f0e-9d65c8998298</t>
  </si>
  <si>
    <t>2023-01-24</t>
  </si>
  <si>
    <t>20:43</t>
  </si>
  <si>
    <t>60618bda-f13e-4d1c-91c8-0bc3f3e83a79</t>
  </si>
  <si>
    <t>2023-01-23</t>
  </si>
  <si>
    <t>bcd19a39-2a36-44f8-8386-0f5c75580688</t>
  </si>
  <si>
    <t>1210593b-7f66-40e4-b3bb-a4b862c3be69</t>
  </si>
  <si>
    <t>2023-01-22</t>
  </si>
  <si>
    <t>6618e0d1-05bf-469a-baaa-1d07d96bddbe</t>
  </si>
  <si>
    <t>2023-01-21</t>
  </si>
  <si>
    <t xml:space="preserve">macro tax</t>
  </si>
  <si>
    <t>cb672a94-72b4-47e7-875a-8e1ce609cc6c</t>
  </si>
  <si>
    <t>7e9f2ba8-b9a8-4149-951a-a2c1c3962f99</t>
  </si>
  <si>
    <t>67146f3a-5e9a-4930-967f-93a9423ffa7a</t>
  </si>
  <si>
    <t>2023-01-20</t>
  </si>
  <si>
    <t>548f09e6-c4b4-47ec-b433-190954ca43fc</t>
  </si>
  <si>
    <t>5cfc98f0-23ce-47d7-82e2-88c41a7c66db</t>
  </si>
  <si>
    <t>ea2d1e2a-b83d-4118-82a1-de70730f37bc</t>
  </si>
  <si>
    <t>aca3e504-aa6a-41a7-83ad-8de87cf1eac1</t>
  </si>
  <si>
    <t>2023-01-19</t>
  </si>
  <si>
    <t>09:54</t>
  </si>
  <si>
    <t>16-19</t>
  </si>
  <si>
    <t>e7512c54-8d6d-47d0-96e4-7ada05f0c2e7</t>
  </si>
  <si>
    <t>3556b2fd-f740-4bfb-b9ae-69134ec1e436</t>
  </si>
  <si>
    <t>2023-01-18</t>
  </si>
  <si>
    <t>2b63d1df-a510-4e68-bba0-5fdeea9c6655</t>
  </si>
  <si>
    <t>c43d608e-d18d-4ae3-a3a7-03f96f22f8c2</t>
  </si>
  <si>
    <t>2023-01-17</t>
  </si>
  <si>
    <t>cdb75c93-79d3-431a-a242-7740310d1111</t>
  </si>
  <si>
    <t>2023-01-16</t>
  </si>
  <si>
    <t xml:space="preserve">แอม พี่เนย</t>
  </si>
  <si>
    <t>2fe6b4eb-991c-45b3-9f2e-91fa65581f59</t>
  </si>
  <si>
    <t>a5b72e25-9f3d-4df5-b2ba-ff9c9424a4f0</t>
  </si>
  <si>
    <t>2023-01-15</t>
  </si>
  <si>
    <t>e08fb2f7-5218-4219-9174-48b44f5dbac1</t>
  </si>
  <si>
    <t xml:space="preserve">hdd tax 2590</t>
  </si>
  <si>
    <t>2538b540-5e83-4cf2-abc4-bd81eb885c34</t>
  </si>
  <si>
    <t>ae017dcd-6f47-451a-af99-77fe992d0bc0</t>
  </si>
  <si>
    <t>shabushi</t>
  </si>
  <si>
    <t>0ed3270c-cfb9-40c1-827e-6606fbdbd2c6</t>
  </si>
  <si>
    <t>34507c47-eb53-4bef-880d-1493e6540800</t>
  </si>
  <si>
    <t>19:55</t>
  </si>
  <si>
    <t>94b24c5f-5dca-4397-a09e-de1a14a7a938</t>
  </si>
  <si>
    <t>13ab2109-d950-4600-b65c-0422e5cde413</t>
  </si>
  <si>
    <t>c1463c33-700c-4cd1-8658-a08329a3b588</t>
  </si>
  <si>
    <t>8a92b61c-dec6-4036-9d15-3a78bbf8cedf</t>
  </si>
  <si>
    <t xml:space="preserve">netflix hong</t>
  </si>
  <si>
    <t>51e9c794-a3f5-42b9-a5bc-88922f705a70</t>
  </si>
  <si>
    <t>2023-01-14</t>
  </si>
  <si>
    <t>a1e3827b-b7dd-4a0c-8802-1116c56c4b8a</t>
  </si>
  <si>
    <t>7fdc4428-94d7-4638-ba1c-8b494fd11b6e</t>
  </si>
  <si>
    <t>2024cdd6-d2ad-4576-9d27-4368f28712cf</t>
  </si>
  <si>
    <t>9e1b0584-0ac4-48fb-9ecd-d8c44e4221f2</t>
  </si>
  <si>
    <t>48405a7b-25c9-4730-8f58-fb610c700461</t>
  </si>
  <si>
    <t>2023-01-12</t>
  </si>
  <si>
    <t>605906a5-ef23-4014-a22a-898890cd9794</t>
  </si>
  <si>
    <t>69c15b75-1dc3-4da2-8fad-53394bc00ed9</t>
  </si>
  <si>
    <t>03af912a-4e8a-4a69-9827-5b6c3d05af74</t>
  </si>
  <si>
    <t>1135d80b-27fa-4827-b7aa-c111028ba038</t>
  </si>
  <si>
    <t xml:space="preserve">lotus prive</t>
  </si>
  <si>
    <t>8224611c-2fb8-4245-8415-5eb6c3928794</t>
  </si>
  <si>
    <t>2023-01-11</t>
  </si>
  <si>
    <t>08:59</t>
  </si>
  <si>
    <t>6863ff80-0111-4383-be0e-deeca63670a1</t>
  </si>
  <si>
    <t>cf4e5a3f-4880-43e3-87be-b11d4bd38844</t>
  </si>
  <si>
    <t>d33fd351-0777-4712-b610-776805251a93</t>
  </si>
  <si>
    <t>6f98c594-459b-4a05-a0fd-acb96e6671cd</t>
  </si>
  <si>
    <t>2023-01-10</t>
  </si>
  <si>
    <t>6c6034c3-0d6e-476a-9841-1feeaa5cae24</t>
  </si>
  <si>
    <t>c45315bc-4cab-44bf-9ad6-645717f9cf56</t>
  </si>
  <si>
    <t>787db693-0237-434a-bfc7-83fd54b68dc5</t>
  </si>
  <si>
    <t>856220e0-f720-44f2-854a-1eab8481bfc0</t>
  </si>
  <si>
    <t>f4ed893d-15a0-47a4-8d5c-98adbe8be038</t>
  </si>
  <si>
    <t>2023-01-09</t>
  </si>
  <si>
    <t>981eb07b-b3d2-4ae9-909c-5a8fa23c7495</t>
  </si>
  <si>
    <t>7e93cff7-0f55-462f-9dd1-770361f3474d</t>
  </si>
  <si>
    <t>9eb28f60-9d7a-483e-a6c8-c98a08c75ed2</t>
  </si>
  <si>
    <t>b3527d03-fcc9-4e6e-83f1-ea9f8810a317</t>
  </si>
  <si>
    <t>3f88f319-d5bc-4e79-9222-23caa4277a5f</t>
  </si>
  <si>
    <t>2023-01-08</t>
  </si>
  <si>
    <t>12d3b633-1425-45bb-ad1b-950189d0d61f</t>
  </si>
  <si>
    <t>913a24f9-e719-46a6-af70-0c850133bce0</t>
  </si>
  <si>
    <t>16:33</t>
  </si>
  <si>
    <t>waffle</t>
  </si>
  <si>
    <t>1aa4496f-df38-4c32-b27a-0b9925a3f7ee</t>
  </si>
  <si>
    <t>18:31</t>
  </si>
  <si>
    <t xml:space="preserve">น้ำมัน tax</t>
  </si>
  <si>
    <t>7105173b-74f7-46e5-b72b-b488cdb3bd4e</t>
  </si>
  <si>
    <t>hmpro</t>
  </si>
  <si>
    <t>8c01f30b-a0d5-46ac-8242-dbaabc805f13</t>
  </si>
  <si>
    <t>กาแฟหลังร้านเนื้อ</t>
  </si>
  <si>
    <t>8cb7f077-8973-4cc4-a0af-25a3274145de</t>
  </si>
  <si>
    <t xml:space="preserve">หนังสือ tax</t>
  </si>
  <si>
    <t>9941fd84-8821-4556-b475-02ba321e619f</t>
  </si>
  <si>
    <t>2023-01-07</t>
  </si>
  <si>
    <t>อุ้ยเคลียแล้ว</t>
  </si>
  <si>
    <t>2463c277-3bd0-47d1-ace5-9af8dbc4caf6</t>
  </si>
  <si>
    <t>a6a19565-0fa3-4cfe-b045-05257d544dbe</t>
  </si>
  <si>
    <t xml:space="preserve">35 dry edge tax</t>
  </si>
  <si>
    <t>b239471b-5e39-4f18-960b-f8418496edbe</t>
  </si>
  <si>
    <t>7888b45d-b30d-4193-93c3-b2d8ead85e41</t>
  </si>
  <si>
    <t>21:48</t>
  </si>
  <si>
    <t>639b44d5-3930-4908-a004-3da641c0f60e</t>
  </si>
  <si>
    <t>2023-01-06</t>
  </si>
  <si>
    <t>3f219894-4e8a-4e4b-8ed3-d552e9e85d1b</t>
  </si>
  <si>
    <t>49d3ad8a-ba03-4067-8e5a-eaa7d18369b9</t>
  </si>
  <si>
    <t>2e32439c-9145-49d2-b8b9-d814080109ed</t>
  </si>
  <si>
    <t>2023-01-05</t>
  </si>
  <si>
    <t>09:04</t>
  </si>
  <si>
    <t>c271ee3c-0bfb-4273-af3a-f48acceb9648</t>
  </si>
  <si>
    <t>11:35</t>
  </si>
  <si>
    <t>90e96d76-4878-4f48-ad77-2fb40c97ccff</t>
  </si>
  <si>
    <t>147c8eb1-bb12-4d4a-af56-a9f7d1e40ae4</t>
  </si>
  <si>
    <t>49676a9e-4308-4787-a9e6-59f5ac5d043f</t>
  </si>
  <si>
    <t>2023-01-04</t>
  </si>
  <si>
    <t>1d903bd6-1c1f-4bff-884c-60a3260ad412</t>
  </si>
  <si>
    <t>635cadf7-9a06-4b8b-ae23-efb4c01aa645</t>
  </si>
  <si>
    <t>d7db2c7a-4cfe-40ef-b290-5402d9bff790</t>
  </si>
  <si>
    <t>19:50</t>
  </si>
  <si>
    <t>9b7ca79d-6cf4-4928-bda6-b48043c49375</t>
  </si>
  <si>
    <t>2023-01-03</t>
  </si>
  <si>
    <t>08:43</t>
  </si>
  <si>
    <t>d0bf8d0e-72f2-4e87-a16b-3e5229de3e3b</t>
  </si>
  <si>
    <t>09:15</t>
  </si>
  <si>
    <t>e7e3a64e-4d35-46f0-9290-2acf530126b3</t>
  </si>
  <si>
    <t>16aacd49-9014-48b5-aa3c-35d4b031c6f5</t>
  </si>
  <si>
    <t>2023-01-02</t>
  </si>
  <si>
    <t>13:21</t>
  </si>
  <si>
    <t>1b8fb1e9-ff4a-459d-95e8-4ef64bbf43e8</t>
  </si>
  <si>
    <t xml:space="preserve">ยอดจากวัด บอร์ดเกม 24 dec65</t>
  </si>
  <si>
    <t>879c9f1d-df41-47c1-984b-47dd6517d36b</t>
  </si>
  <si>
    <t>fa75514a-71ab-4d60-b4ee-d89d1e7088d6</t>
  </si>
  <si>
    <t>17:40</t>
  </si>
  <si>
    <t>b81ee4b2-745a-4536-81ef-7451007f57e5</t>
  </si>
  <si>
    <t>9ff8fc31-df81-4435-8ae4-3bde568bd9b6</t>
  </si>
  <si>
    <t>19:24</t>
  </si>
  <si>
    <t>เชสเตอร์</t>
  </si>
  <si>
    <t>9ba67d63-eec5-40d3-834c-d3ff86f357bc</t>
  </si>
  <si>
    <t>2023-01-01</t>
  </si>
  <si>
    <t>a80a33ab-ec4a-4004-b8be-016930adcd38</t>
  </si>
  <si>
    <t>00:46</t>
  </si>
  <si>
    <t>97cff978-a682-4a99-b009-500aa6c5ae8a</t>
  </si>
  <si>
    <t>759c4571-9136-43d7-8a75-c480b9ebc8e2</t>
  </si>
  <si>
    <t>15a5f0de-61a3-4edc-8f7f-a0edf8862c4a</t>
  </si>
  <si>
    <t xml:space="preserve">eclipse tax</t>
  </si>
  <si>
    <t>45486bef-8f1d-4626-858c-fa66fbf7231b</t>
  </si>
  <si>
    <t xml:space="preserve">มานีมีหม้อ tax</t>
  </si>
  <si>
    <t>087d735e-b18e-43be-bd55-6ddcab043c52</t>
  </si>
  <si>
    <t xml:space="preserve">shopee food ถึง  18 dec</t>
  </si>
  <si>
    <t>fad22b87-32a2-4b75-ae17-46ce19b9d87d</t>
  </si>
  <si>
    <t>2022-12-31</t>
  </si>
  <si>
    <t>16b3089a-515c-4290-9014-d3d4410e6716</t>
  </si>
  <si>
    <t>f80a4c60-3692-4196-8cf2-098dc5b86414</t>
  </si>
  <si>
    <t>506245dd-206f-4a20-803a-ea8ff9f3d0e3</t>
  </si>
  <si>
    <t>d6b07b7e-c493-4c9f-88eb-4b6575f93aac</t>
  </si>
  <si>
    <t xml:space="preserve">ค่า royce จากหงส์</t>
  </si>
  <si>
    <t>1f654bf3-bebf-4f84-9a68-22fcbbd60aa4</t>
  </si>
  <si>
    <t>วัวล้วนล้วย</t>
  </si>
  <si>
    <t>b3d765ce-6a38-4415-a8e7-5c32dc9a726b</t>
  </si>
  <si>
    <t xml:space="preserve">คืนอุ้ย ของขวัญเด็ก 1430 ฝากซื้อ 1070 รองเท้า 2000</t>
  </si>
  <si>
    <t>6e5ef7cf-6f77-4efd-bcc3-cec71f0697c4</t>
  </si>
  <si>
    <t>15:09</t>
  </si>
  <si>
    <t xml:space="preserve">คืนอุ้ย รองเท้า mikki house</t>
  </si>
  <si>
    <t>718cd2ce-6538-4441-8da2-b88243a567a0</t>
  </si>
  <si>
    <t>15454732-d99e-456e-aaf7-d64d24aae325</t>
  </si>
  <si>
    <t xml:space="preserve">butter sand</t>
  </si>
  <si>
    <t>ad2ab90b-73f5-4bd0-8068-4ba0383e4538</t>
  </si>
  <si>
    <t xml:space="preserve">ขนม royce</t>
  </si>
  <si>
    <t>d146e3a1-232f-4e6a-afb6-6620ee958455</t>
  </si>
  <si>
    <t xml:space="preserve">ตัดคืนโคคา clear</t>
  </si>
  <si>
    <t>addf85aa-814d-411a-ba1d-ff93f51d9db9</t>
  </si>
  <si>
    <t>20:52</t>
  </si>
  <si>
    <t>bc51c93f-7a92-45ea-8a6f-e74915470b5f</t>
  </si>
  <si>
    <t>2022-12-30</t>
  </si>
  <si>
    <t xml:space="preserve">s22 ultra(3/10)</t>
  </si>
  <si>
    <t>68617afa-e972-460c-8915-ee0a24bd246f</t>
  </si>
  <si>
    <t>2022-12-29</t>
  </si>
  <si>
    <t>ba8b5e13-d78f-409c-b175-0b91a23539ba</t>
  </si>
  <si>
    <t>6c03e420-0305-46ee-963e-c9a533e29732</t>
  </si>
  <si>
    <t>536fa0ce-c814-473c-a847-9884623fb94d</t>
  </si>
  <si>
    <t>02:24</t>
  </si>
  <si>
    <t>be1af43d-0600-4969-b24f-e64d1484d685</t>
  </si>
  <si>
    <t>ต๋อง</t>
  </si>
  <si>
    <t>377d2366-a8af-423f-815a-9409b636227a</t>
  </si>
  <si>
    <t>e68d8dca-0350-40fc-ba87-f5ce2eca39b8</t>
  </si>
  <si>
    <t>21:24</t>
  </si>
  <si>
    <t>cbaa08d4-ab60-42d5-a55c-96ca65b5533f</t>
  </si>
  <si>
    <t>d6eff5d5-b8f4-4222-a4d4-c5d25646b75f</t>
  </si>
  <si>
    <t>21:30</t>
  </si>
  <si>
    <t>ead2402a-f8b8-48ed-9d4e-421360cead56</t>
  </si>
  <si>
    <t>d618c78f-c4ed-4aff-9cec-9a6bfe226dbc</t>
  </si>
  <si>
    <t>c8515144-ec37-4cfd-bca4-e7814541ad5b</t>
  </si>
  <si>
    <t>21:36</t>
  </si>
  <si>
    <t xml:space="preserve">เขียง grab</t>
  </si>
  <si>
    <t>28c2e32b-558a-456e-b952-7ebaa58afdea</t>
  </si>
  <si>
    <t>98e65b72-6a14-4bd8-8cfe-a64e764b9c1e</t>
  </si>
  <si>
    <t>f1ac9689-e186-411f-95f8-c8d196275837</t>
  </si>
  <si>
    <t>21:43</t>
  </si>
  <si>
    <t>46353</t>
  </si>
  <si>
    <t>b7ca245a-4448-4ea5-94d3-9430adca9c04</t>
  </si>
  <si>
    <t>2022-12-27</t>
  </si>
  <si>
    <t>94832687-eec0-4b94-a608-5e51c3336a9e</t>
  </si>
  <si>
    <t>5a0edbf8-2e5c-49b2-b215-a3c177a636ae</t>
  </si>
  <si>
    <t>51ef8adc-abcb-4c76-bb16-a5a3cb6d9234</t>
  </si>
  <si>
    <t>06ce09dd-e537-4b14-9c76-af98b6acb5fa</t>
  </si>
  <si>
    <t>3225684c-e02d-4063-bb96-3ca4e0f2d125</t>
  </si>
  <si>
    <t>3c8d69bc-d5bd-497e-b735-39dbd94e69d7</t>
  </si>
  <si>
    <t>1430ca56-cb09-4f6a-b8cc-67d64be520ba</t>
  </si>
  <si>
    <t>db3754e5-b6d4-4ddd-98db-222cb94d53c9</t>
  </si>
  <si>
    <t>535e05ee-a142-4af6-9a45-ea6d42ad3a05</t>
  </si>
  <si>
    <t>08:31</t>
  </si>
  <si>
    <t>3f91078b-7b74-4b9f-841d-5e7512a7f327</t>
  </si>
  <si>
    <t>99616b21-a66b-494a-9637-43a1c6ed8939</t>
  </si>
  <si>
    <t>b0371107-b261-4cfb-a854-b90c144c7a69</t>
  </si>
  <si>
    <t>dcad9b0f-e2fd-4a5b-8dc5-b14c56e6f2b6</t>
  </si>
  <si>
    <t>21:26</t>
  </si>
  <si>
    <t>280dc8d0-800a-452f-a274-a2f64b736c84</t>
  </si>
  <si>
    <t>2022-12-26</t>
  </si>
  <si>
    <t>08:20</t>
  </si>
  <si>
    <t>2392e7a6-40b3-49e7-9874-96844e47889a</t>
  </si>
  <si>
    <t>2022-12-25</t>
  </si>
  <si>
    <t>07283756-5eeb-4669-8dca-98d826b63837</t>
  </si>
  <si>
    <t>09137823-0c9a-4af4-bc9a-c71a6da98090</t>
  </si>
  <si>
    <t>2022-12-24</t>
  </si>
  <si>
    <t>833e95ad-4458-40fc-9c9c-38798eaea1f2</t>
  </si>
  <si>
    <t>2022-12-23</t>
  </si>
  <si>
    <t>09:18</t>
  </si>
  <si>
    <t>f68fcc6f-07e3-4aab-ab44-798b07dea830</t>
  </si>
  <si>
    <t>08f9de29-d07d-4e51-84a2-32c5f5a40e4f</t>
  </si>
  <si>
    <t>d1707c57-d75d-425c-a97a-e54a14b85b6f</t>
  </si>
  <si>
    <t>2022-12-22</t>
  </si>
  <si>
    <t>01e4635a-0a1f-4a93-937c-4538f7bc5731</t>
  </si>
  <si>
    <t>27150b15-97f2-484b-955a-62295368eb07</t>
  </si>
  <si>
    <t>2022-12-20</t>
  </si>
  <si>
    <t>ac1285d6-e175-4e35-9280-9a9305f703f4</t>
  </si>
  <si>
    <t>9908cd4c-2b94-4b50-a56e-42c754b12f6d</t>
  </si>
  <si>
    <t>042ac520-0384-4618-8ff6-7cc6d6e785b2</t>
  </si>
  <si>
    <t>edb7160b-d691-4b96-a283-afe774d27465</t>
  </si>
  <si>
    <t>2022-12-19</t>
  </si>
  <si>
    <t>09:29</t>
  </si>
  <si>
    <t>be6f94ba-4147-4fa6-ae47-5f0416fed952</t>
  </si>
  <si>
    <t>11cdc2d1-9805-48b1-8c9c-f185ea7ff21f</t>
  </si>
  <si>
    <t>2022-12-18</t>
  </si>
  <si>
    <t>18f1810b-a35a-473b-8ec5-f45226574863</t>
  </si>
  <si>
    <t>15:29</t>
  </si>
  <si>
    <t>ปากกา</t>
  </si>
  <si>
    <t>b891a75c-0864-4c62-93bd-a50f21ec0a0c</t>
  </si>
  <si>
    <t>89bb2cbc-fb2b-4431-a83c-9ad2f9043104</t>
  </si>
  <si>
    <t>712df7b2-fe9b-4306-bc2b-915a1de011fc</t>
  </si>
  <si>
    <t>977ae738-993d-4d84-835c-3812ea840810</t>
  </si>
  <si>
    <t>2022-12-16</t>
  </si>
  <si>
    <t>2ce3a69c-f4fc-4ebc-9a9e-8b3edc277ede</t>
  </si>
  <si>
    <t>7fcfcaa1-5b64-4e5e-ad33-a74250ca703b</t>
  </si>
  <si>
    <t>33d68abe-276d-4912-a3cf-43e939e7fa7c</t>
  </si>
  <si>
    <t>7ee57ef3-cbb5-44c3-9d94-f491a2ad644a</t>
  </si>
  <si>
    <t>46333</t>
  </si>
  <si>
    <t>d6e7a9dc-c2be-4c12-9063-a99147974cc5</t>
  </si>
  <si>
    <t>3b5b8c06-bbcf-49f9-b004-2701f83c4d60</t>
  </si>
  <si>
    <t xml:space="preserve">momo ของวัด clear</t>
  </si>
  <si>
    <t>60d6ebcb-e128-4549-ab82-4a5616e8daad</t>
  </si>
  <si>
    <t>momo</t>
  </si>
  <si>
    <t>9c18b511-9532-4374-9ba6-52fc582f69f0</t>
  </si>
  <si>
    <t>2ff29fb8-f8be-4025-8d66-616d5b04f347</t>
  </si>
  <si>
    <t>21:23</t>
  </si>
  <si>
    <t>e87c2b7b-8e50-4d5d-8eea-f5fafc38fa23</t>
  </si>
  <si>
    <t>d70624d4-de09-4a76-b10e-d8c90ddb2251</t>
  </si>
  <si>
    <t>94ab7204-4a7b-4c9d-9c5e-18cb317106f9</t>
  </si>
  <si>
    <t>2022-12-15</t>
  </si>
  <si>
    <t>8b99ad0c-7c1c-46f4-b317-e4fa62525cea</t>
  </si>
  <si>
    <t>13:11</t>
  </si>
  <si>
    <t>ce0455b8-c828-40e7-b4f4-326710c6ea4c</t>
  </si>
  <si>
    <t>2022-12-14</t>
  </si>
  <si>
    <t>07:12</t>
  </si>
  <si>
    <t>6a63732d-ab3c-4317-839b-98c6b1e6c43e</t>
  </si>
  <si>
    <t>08:12</t>
  </si>
  <si>
    <t>0730ac2a-75ba-4f67-ba22-c5642e29ed2f</t>
  </si>
  <si>
    <t>08:25</t>
  </si>
  <si>
    <t>0cbd1112-d282-4f0a-b14a-55fb1fd6a1d7</t>
  </si>
  <si>
    <t>dc69c7f4-5e74-4547-b578-64527d4a485d</t>
  </si>
  <si>
    <t>19:01</t>
  </si>
  <si>
    <t>69074791-8065-4461-9c49-c45c79d7578c</t>
  </si>
  <si>
    <t>2022-12-13</t>
  </si>
  <si>
    <t>d31b5e33-2bb1-4776-888a-fb01a4fa0740</t>
  </si>
  <si>
    <t>5b4d8143-bbf0-49ef-9940-3946f86ade02</t>
  </si>
  <si>
    <t>12:59</t>
  </si>
  <si>
    <t>9b52b2bd-ae34-45cd-8d2b-a8a4308d0b2f</t>
  </si>
  <si>
    <t>clear</t>
  </si>
  <si>
    <t>376584fd-bde5-4733-862a-50cc623d8374</t>
  </si>
  <si>
    <t>2022-12-12</t>
  </si>
  <si>
    <t>0cee9c61-7412-4dbe-a3ea-803fcb9469e9</t>
  </si>
  <si>
    <t>2022-12-11</t>
  </si>
  <si>
    <t>a0bebf86-6834-401b-8a1a-36be59625b2f</t>
  </si>
  <si>
    <t>16:58</t>
  </si>
  <si>
    <t>0bddad9a-ebb5-4276-9cc7-7c1f93e57a2b</t>
  </si>
  <si>
    <t>2022-12-10</t>
  </si>
  <si>
    <t>b30916a9-8655-4373-8809-82b04791ca30</t>
  </si>
  <si>
    <t>54fdb423-4dbc-4fb7-90ab-c83976e47b4c</t>
  </si>
  <si>
    <t>e418f71b-3d75-4ab2-a30d-662e66fd630e</t>
  </si>
  <si>
    <t>49f0524e-0c4d-4d32-a7bd-1d148c892e14</t>
  </si>
  <si>
    <t>2362fb74-2ba6-46b1-bf71-4d9bd431af87</t>
  </si>
  <si>
    <t>df641566-0186-4ce2-9cc5-2ea5cfdd6ad9</t>
  </si>
  <si>
    <t>2022-12-09</t>
  </si>
  <si>
    <t>b287a747-652c-485c-b537-292284f55c31</t>
  </si>
  <si>
    <t>26739b2f-6f66-43df-8f0a-b61d116af2f3</t>
  </si>
  <si>
    <t>e7e6bf5e-5cc1-4eba-978c-5e92bfeda771</t>
  </si>
  <si>
    <t>2022-12-08</t>
  </si>
  <si>
    <t>369986e6-c23b-4e94-a705-b8612c99c804</t>
  </si>
  <si>
    <t>5b193ae7-d699-4bd3-9c50-d27cf3237e95</t>
  </si>
  <si>
    <t>03277193-85a7-4c2b-bc05-0079598a6840</t>
  </si>
  <si>
    <t>1e01c61b-faa1-4384-81d7-d7f7ae3ee2d3</t>
  </si>
  <si>
    <t>2022-12-07</t>
  </si>
  <si>
    <t>08:28</t>
  </si>
  <si>
    <t>895fec58-f0f1-4f40-9d37-b9fee354eef1</t>
  </si>
  <si>
    <t>ef207b3f-e827-477a-9c16-b2ac94b6db4c</t>
  </si>
  <si>
    <t>f0e40f3d-3f66-4500-9a75-e25d89fbfd53</t>
  </si>
  <si>
    <t>21:25</t>
  </si>
  <si>
    <t>1b0633c0-3942-42c6-bdb7-bc417be179cb</t>
  </si>
  <si>
    <t>2022-12-06</t>
  </si>
  <si>
    <t>a766a0ab-8ad2-4a8d-bf17-6b38370bcf39</t>
  </si>
  <si>
    <t>80f134f8-3c03-49c3-a79c-a4318b942d86</t>
  </si>
  <si>
    <t>eeed92ed-894d-4b0a-86a1-9cb07316e7a4</t>
  </si>
  <si>
    <t>37d9a672-7b12-465a-807a-cbe9be6bdda2</t>
  </si>
  <si>
    <t>2022-12-04</t>
  </si>
  <si>
    <t>10:39</t>
  </si>
  <si>
    <t>3b9c8656-c382-489b-98cb-2f004363c1e7</t>
  </si>
  <si>
    <t>2022-12-02</t>
  </si>
  <si>
    <t>90dadffd-9379-4d4c-be4e-911c26ff02d4</t>
  </si>
  <si>
    <t>62890c82-2bf6-4886-a788-d0442b46b10c</t>
  </si>
  <si>
    <t>fbbd6ef9-bef6-44dc-b314-f25035017717</t>
  </si>
  <si>
    <t>67b399e7-8473-443c-8180-cfe2a2e50b50</t>
  </si>
  <si>
    <t>2022-12-01</t>
  </si>
  <si>
    <t>08:52</t>
  </si>
  <si>
    <t>68625677-262a-4801-b487-93dc1873baa3</t>
  </si>
  <si>
    <t>09:19</t>
  </si>
  <si>
    <t>23cd7c57-62f5-420b-a16c-34e9d22f3cfc</t>
  </si>
  <si>
    <t>10:45</t>
  </si>
  <si>
    <t>773f3be4-06fb-43ef-a007-bd78cf8e971a</t>
  </si>
  <si>
    <t>e0c3816c-2681-4f9c-91f3-dbe351453de1</t>
  </si>
  <si>
    <t>02dd6962-9581-4431-88fd-10eb1a7b6f9c</t>
  </si>
  <si>
    <t>0535c77c-7a8e-49e6-8db1-7eb4488c3559</t>
  </si>
  <si>
    <t>2022-11-30</t>
  </si>
  <si>
    <t>567ba574-73f5-4e9f-90a7-e69b9b5c8864</t>
  </si>
  <si>
    <t xml:space="preserve">s22 ultra(2/10)</t>
  </si>
  <si>
    <t>36e6262e-f44e-40e9-bb3c-c1fde54ff562</t>
  </si>
  <si>
    <t>9b595bb4-52fe-4b7e-838f-69e8b1ad064b</t>
  </si>
  <si>
    <t>2022-11-29</t>
  </si>
  <si>
    <t>4a249041-d0ce-4594-bd10-dc744f3fe478</t>
  </si>
  <si>
    <t>878af365-207c-490a-bb96-34b424480298</t>
  </si>
  <si>
    <t>2022-11-28</t>
  </si>
  <si>
    <t>96ded516-adbb-4759-b1cc-dfed5d5cf661</t>
  </si>
  <si>
    <t>23e1c2ba-4eec-4d96-8519-46db833dbad4</t>
  </si>
  <si>
    <t>f094bcd3-9b91-469e-90f6-9f2d0ec09873</t>
  </si>
  <si>
    <t>348946ab-7687-4349-bf5d-c2543f16f289</t>
  </si>
  <si>
    <t>ec2b08eb-175b-432e-9f08-dbfa4afadfe4</t>
  </si>
  <si>
    <t>ค่าเนต</t>
  </si>
  <si>
    <t>535e6670-815c-45d0-8f5d-2f131d0b2967</t>
  </si>
  <si>
    <t>2022-11-27</t>
  </si>
  <si>
    <t>c4d745df-60dc-406f-b730-a3bbd7a7acd9</t>
  </si>
  <si>
    <t>dounkin</t>
  </si>
  <si>
    <t>1e011cad-c279-45fb-aaa0-4cb351ede8c0</t>
  </si>
  <si>
    <t>0df38f58-424f-4cbb-992d-0ca6d2c19419</t>
  </si>
  <si>
    <t>7f615aec-0c42-4365-85bf-8490abe252e2</t>
  </si>
  <si>
    <t>f48d8edc-0090-4916-8b8e-a72bccf5c3f1</t>
  </si>
  <si>
    <t>2022-11-26</t>
  </si>
  <si>
    <t>f7b854b2-a983-4fb1-87af-ae977c9f4eb0</t>
  </si>
  <si>
    <t>c4303560-9b0f-4ccb-9e18-e2537e0bb90b</t>
  </si>
  <si>
    <t>ของทำคุกกี้</t>
  </si>
  <si>
    <t>6e8ac130-ef10-4067-a80b-b08e7033a7a1</t>
  </si>
  <si>
    <t>828af14c-3cb2-4dee-b5b3-9d89f60bf14f</t>
  </si>
  <si>
    <t>d377141f-cdf7-432f-acac-28b7b6266f47</t>
  </si>
  <si>
    <t>48840e21-4484-491d-b7ba-cbf90d9154cb</t>
  </si>
  <si>
    <t>ea738a27-212d-490e-b18f-324e85c7aa30</t>
  </si>
  <si>
    <t>35d7b394-3953-44dc-a6d8-99d04c58369c</t>
  </si>
  <si>
    <t>7afa6730-0008-4df5-8d46-54aad728715b</t>
  </si>
  <si>
    <t>a9785504-45ef-4897-8252-902a5d3052ec</t>
  </si>
  <si>
    <t>64d96622-c86e-4c11-af8e-14d529f7f9e8</t>
  </si>
  <si>
    <t>343acab2-992e-4b74-9598-4784d8d90294</t>
  </si>
  <si>
    <t xml:space="preserve">ยอด 7-11 ถึง 26 nov</t>
  </si>
  <si>
    <t>20df614b-f23e-46c9-b3cf-ea7e7759ce97</t>
  </si>
  <si>
    <t>aka</t>
  </si>
  <si>
    <t>93872b43-7453-4361-941f-afa62ea8e5c6</t>
  </si>
  <si>
    <t>d008738f-d199-446f-9a73-84dc6837328c</t>
  </si>
  <si>
    <t>eaea4ffd-d6cc-4686-9b19-7f6a454c835f</t>
  </si>
  <si>
    <t>2022-11-25</t>
  </si>
  <si>
    <t>1ebc978a-c03b-48a7-9d2b-a28054183b66</t>
  </si>
  <si>
    <t>37d2f0c0-0e14-4a04-b656-88b2df510292</t>
  </si>
  <si>
    <t>037d75ca-2e78-4efd-ae7f-1b52a355561a</t>
  </si>
  <si>
    <t>c35166e0-84bb-4a9c-ae72-5d9dedf833d3</t>
  </si>
  <si>
    <t>b1fdf993-fca8-446f-b4c1-a8a0e6191e2d</t>
  </si>
  <si>
    <t>590ce968-1aad-4f82-b3fb-06bad9554ac7</t>
  </si>
  <si>
    <t>af39e8dc-f7d2-4e04-b2fa-6539d8c3a2e1</t>
  </si>
  <si>
    <t>8f96f568-d4af-4155-b0e7-c4fb593af3ef</t>
  </si>
  <si>
    <t>2022-11-24</t>
  </si>
  <si>
    <t>508f9088-af58-4989-a69d-050657e5f1ac</t>
  </si>
  <si>
    <t>ea64e454-50c3-4161-8273-9970e19e6023</t>
  </si>
  <si>
    <t>a98b8727-9de3-4e37-879b-476980e660f2</t>
  </si>
  <si>
    <t>3c63f9de-f7a4-478a-a8f0-46b4fb78d60f</t>
  </si>
  <si>
    <t>61b5556d-558a-4c37-841c-5f7b488bd795</t>
  </si>
  <si>
    <t>791989ba-5947-4898-bd8b-f672dc2221eb</t>
  </si>
  <si>
    <t>cbfee656-9b90-4034-a72c-b2d3ef7f3c75</t>
  </si>
  <si>
    <t>2022-11-23</t>
  </si>
  <si>
    <t>3abbd6d5-037e-4c6e-a9b1-69d3587f0205</t>
  </si>
  <si>
    <t>71d97666-c875-402d-8b98-e8b025314b64</t>
  </si>
  <si>
    <t>10:34</t>
  </si>
  <si>
    <t>เสต็กหน้าแบงก์</t>
  </si>
  <si>
    <t>bd502516-d5be-4203-84d5-53e063a736cc</t>
  </si>
  <si>
    <t>7e68d7a4-2c3b-4d12-96ab-16a41a83bda3</t>
  </si>
  <si>
    <t>cf2d43ae-50b5-4519-9ac7-375adfdf0da3</t>
  </si>
  <si>
    <t>12:56</t>
  </si>
  <si>
    <t>8f48935d-2f34-4057-9e9a-f9643f04418f</t>
  </si>
  <si>
    <t>2d27c5a2-d791-4955-9beb-aebfbda74e65</t>
  </si>
  <si>
    <t>แขวนทีวี</t>
  </si>
  <si>
    <t>0c78c2ad-2105-4ba6-be24-b4747fc3c41b</t>
  </si>
  <si>
    <t>2022-11-22</t>
  </si>
  <si>
    <t>1ce8be66-2a0b-4c72-a32c-dcef4c2b039b</t>
  </si>
  <si>
    <t>d1dc3ec1-4461-4826-9d94-da1b37f68ec3</t>
  </si>
  <si>
    <t>14:08</t>
  </si>
  <si>
    <t>1687a665-b18b-47fe-bf77-a27ddf560529</t>
  </si>
  <si>
    <t>e33a10e8-7f45-4700-8f94-1dee6769397d</t>
  </si>
  <si>
    <t>2022-11-21</t>
  </si>
  <si>
    <t>3d8ffeae-22a6-4b14-9f19-14862c099b7c</t>
  </si>
  <si>
    <t>10:38</t>
  </si>
  <si>
    <t>220aeb71-caf6-46f1-8379-ebebe2f59bea</t>
  </si>
  <si>
    <t>ac37f683-4c9d-4dcb-9e27-92124d097da1</t>
  </si>
  <si>
    <t>2022-11-20</t>
  </si>
  <si>
    <t>โคคา</t>
  </si>
  <si>
    <t>39065748-db99-44da-bfc3-b56428e1db4d</t>
  </si>
  <si>
    <t>259bccbc-14c7-4615-af1c-0bfea4319928</t>
  </si>
  <si>
    <t>16:38</t>
  </si>
  <si>
    <t>f98aac73-6ace-41c5-a0af-adec70e3210d</t>
  </si>
  <si>
    <t xml:space="preserve">โคคาอุ้ย เคลีย</t>
  </si>
  <si>
    <t>d02a1f05-cc16-4989-98ee-494a3a685291</t>
  </si>
  <si>
    <t>2022-11-19</t>
  </si>
  <si>
    <t>8ae79e92-3170-4698-b268-d8a3e26655d9</t>
  </si>
  <si>
    <t>ce1288a1-8909-4ba5-9150-946948f4b77f</t>
  </si>
  <si>
    <t>5221d0b2-12df-4b1a-b3ad-dce50783783c</t>
  </si>
  <si>
    <t xml:space="preserve">yakiniku like</t>
  </si>
  <si>
    <t>8a50b632-253a-4b7b-ac7a-2100832795e7</t>
  </si>
  <si>
    <t>2022-11-18</t>
  </si>
  <si>
    <t>f133b981-1915-4e37-b3bc-2ad24fe06cd9</t>
  </si>
  <si>
    <t>406c1baa-aafb-41de-af0f-8a5b827c7c20</t>
  </si>
  <si>
    <t>5995720b-04d8-4ca4-a5a1-555240aa02c8</t>
  </si>
  <si>
    <t>769e47a4-3478-4282-9d10-3a084e92ba54</t>
  </si>
  <si>
    <t>2022-11-17</t>
  </si>
  <si>
    <t>48dea2b8-01f4-4733-b67e-7ba50f84eeed</t>
  </si>
  <si>
    <t>44266662-993d-45ec-a34c-dc2308966e6d</t>
  </si>
  <si>
    <t>034f3629-166b-4acb-b7dd-6936861d549a</t>
  </si>
  <si>
    <t>19:59</t>
  </si>
  <si>
    <t>a8bbfd30-6cb4-41ea-a0b9-d7ca332e5fa9</t>
  </si>
  <si>
    <t>2022-11-15</t>
  </si>
  <si>
    <t>f6e1f71c-fea6-4c71-a4db-f8f9e8142b3f</t>
  </si>
  <si>
    <t>578859b1-ca87-45b0-b3e6-4c35d1151a21</t>
  </si>
  <si>
    <t>f59d91d7-1c59-4c6f-88ca-83335b2ba2ce</t>
  </si>
  <si>
    <t>b79dd19f-2b4a-47b6-92ae-ff9728dbee67</t>
  </si>
  <si>
    <t>2022-11-14</t>
  </si>
  <si>
    <t>43b26276-2104-4bd4-802c-25937062c0c6</t>
  </si>
  <si>
    <t>07:51</t>
  </si>
  <si>
    <t>8fb7eb17-8a67-4aef-bede-e44c4cd72bca</t>
  </si>
  <si>
    <t>6e37c35d-16d3-4935-9f77-c6f7e02a0cb9</t>
  </si>
  <si>
    <t>73c3d420-8bf9-487f-8057-ea491200e898</t>
  </si>
  <si>
    <t>21:00</t>
  </si>
  <si>
    <t>de738c8f-7449-4508-b042-ef3f95c1204f</t>
  </si>
  <si>
    <t>2022-11-13</t>
  </si>
  <si>
    <t>88b4a3ff-429e-4dc4-9849-3f5a248a0abd</t>
  </si>
  <si>
    <t>be7911de-abd0-487b-88a7-373903457a1b</t>
  </si>
  <si>
    <t>0b4880e7-f6a9-4060-8430-11943ae16399</t>
  </si>
  <si>
    <t>eae200b1-65b9-4e70-bd79-adc8912b8e0a</t>
  </si>
  <si>
    <t>2022-11-12</t>
  </si>
  <si>
    <t>c84872ea-c88e-466e-bde9-2994a265d9ba</t>
  </si>
  <si>
    <t>f33c88c6-5e1b-47e2-9dc1-3c60fe6afca0</t>
  </si>
  <si>
    <t>c678cee5-28fe-48a3-b9d7-c91bdac051df</t>
  </si>
  <si>
    <t>13:22</t>
  </si>
  <si>
    <t xml:space="preserve">blackpanthet popcorn</t>
  </si>
  <si>
    <t>94a4e49f-66ab-42c3-87e9-9e8f569edd21</t>
  </si>
  <si>
    <t>eec2a4e5-397f-402f-b270-a42c10ba0973</t>
  </si>
  <si>
    <t>15:42</t>
  </si>
  <si>
    <t>ตี๋น้อย</t>
  </si>
  <si>
    <t>7889db17-4ef0-4e1d-aa22-dfb191f99e48</t>
  </si>
  <si>
    <t>5cfb6239-a914-4025-88f6-5cd845456040</t>
  </si>
  <si>
    <t>eb2af7ae-2e74-4ea8-904c-b12837ccdd14</t>
  </si>
  <si>
    <t>2022-11-11</t>
  </si>
  <si>
    <t>00:25</t>
  </si>
  <si>
    <t>55bcdd4a-720f-4a2a-ba47-30e765d18759</t>
  </si>
  <si>
    <t>00:34</t>
  </si>
  <si>
    <t>61f3e8eb-582a-4852-b98f-256be8b5f5db</t>
  </si>
  <si>
    <t>00:35</t>
  </si>
  <si>
    <t>37fe7447-1f56-4c0b-a889-9ca56a3991d6</t>
  </si>
  <si>
    <t>5162b2df-77a3-4f73-b2cb-97a2ee48c1e4</t>
  </si>
  <si>
    <t>a3054efb-0a2c-49bd-bada-926899c9c98c</t>
  </si>
  <si>
    <t>7f612bd3-4114-4250-83de-de30dcdd3109</t>
  </si>
  <si>
    <t>19:33</t>
  </si>
  <si>
    <t>e17085e0-1208-43ab-b31d-39f32cd2bb88</t>
  </si>
  <si>
    <t>0af43260-a71c-4c75-8d87-525e0ff145f4</t>
  </si>
  <si>
    <t xml:space="preserve">aprils bakery</t>
  </si>
  <si>
    <t>56eb0bf0-eacb-40b7-8d17-d8e68c1ea2c0</t>
  </si>
  <si>
    <t>2022-11-10</t>
  </si>
  <si>
    <t>16:46</t>
  </si>
  <si>
    <t xml:space="preserve">ptt blue connect</t>
  </si>
  <si>
    <t>1e3522e9-61dd-4f1e-87f5-f5591e6d5da7</t>
  </si>
  <si>
    <t>86b051a2-2aec-4634-b3d0-88b73798d68f</t>
  </si>
  <si>
    <t xml:space="preserve">lotus ตั้งแต่ก่อนไป JP</t>
  </si>
  <si>
    <t>fbbed855-b00f-43a5-82be-aa10934142a8</t>
  </si>
  <si>
    <t xml:space="preserve">ยอด 7-11 ถึง 14 oct</t>
  </si>
  <si>
    <t>5d1bfcfe-e78c-42ea-a8a0-9a16a3e995a3</t>
  </si>
  <si>
    <t xml:space="preserve">กินข้าว trip pattaya</t>
  </si>
  <si>
    <t>489dfecb-14c5-4209-9199-60d557be4cc6</t>
  </si>
  <si>
    <t xml:space="preserve">ais mobile</t>
  </si>
  <si>
    <t>09d7b3cc-157b-43fc-9523-ef6a998476e7</t>
  </si>
  <si>
    <t>17:58</t>
  </si>
  <si>
    <t xml:space="preserve">UOB fee</t>
  </si>
  <si>
    <t>b4db7ea5-7b85-4912-9440-04059caf5af1</t>
  </si>
  <si>
    <t>9e0310fd-bf3c-4550-adab-aaecd1641402</t>
  </si>
  <si>
    <t>fe0c8f35-2a6e-4b00-a490-aaf7f0cf0be0</t>
  </si>
  <si>
    <t xml:space="preserve">shopee food ถึง 14 oct</t>
  </si>
  <si>
    <t>a87cfd2c-5d24-459d-acb3-cb159b47bf06</t>
  </si>
  <si>
    <t>519aa892-c07a-4ff7-bb69-fce49e7ee7bf</t>
  </si>
  <si>
    <t>1061456c-4ca9-43dd-9169-1e9bb27138a2</t>
  </si>
  <si>
    <t>559cfcc4-1a50-4974-919a-10ac00169fa7</t>
  </si>
  <si>
    <t>b005f619-352a-4834-8e89-8c68b7a2f063</t>
  </si>
  <si>
    <t>131a2ea0-9732-4e49-a678-1b915b529f72</t>
  </si>
  <si>
    <t>2022-11-09</t>
  </si>
  <si>
    <t>62825201-6a68-4c97-a5a6-63900191f496</t>
  </si>
  <si>
    <t>7f0513f6-b994-4f0c-a7a3-9ceb4599a815</t>
  </si>
  <si>
    <t>0b3f4aa3-12b7-4f70-828a-bb8a8f2e4da6</t>
  </si>
  <si>
    <t>2022-11-08</t>
  </si>
  <si>
    <t>d1735591-b4f5-46bf-9ddd-3de4d2dce046</t>
  </si>
  <si>
    <t>74ede2db-28e0-4afb-ab11-5d7e1b4605c5</t>
  </si>
  <si>
    <t>2dec1002-9e44-4c9d-ada4-9260ebd8a7ce</t>
  </si>
  <si>
    <t>85e29117-6a52-4050-a17f-920c8d9fb9d1</t>
  </si>
  <si>
    <t>2022-11-07</t>
  </si>
  <si>
    <t>16fa4a8a-5470-4c95-abd8-bfa0fb85e26a</t>
  </si>
  <si>
    <t>5bffd81b-0a3e-4b8c-9e97-16554908a5fe</t>
  </si>
  <si>
    <t>2022-11-06</t>
  </si>
  <si>
    <t>fe2c3442-b23a-445e-806d-1f526ec4b66c</t>
  </si>
  <si>
    <t>1dd5a656-a257-4ac2-88d7-57625f673c52</t>
  </si>
  <si>
    <t xml:space="preserve">burger iconsiam</t>
  </si>
  <si>
    <t>724d73c8-9571-43d5-acc9-e78f58e71bd1</t>
  </si>
  <si>
    <t>yamasaki</t>
  </si>
  <si>
    <t>7b5d06c7-924b-4d5a-82c8-a310a0029136</t>
  </si>
  <si>
    <t>12ab0838-9dfa-4558-8268-41367cd3c9bf</t>
  </si>
  <si>
    <t>5e9a693d-9c66-4dca-a6d2-ca16ac5d36e9</t>
  </si>
  <si>
    <t>19:02</t>
  </si>
  <si>
    <t>e1a9fb4d-b0af-45f5-9ef7-9e4b68786e60</t>
  </si>
  <si>
    <t>bbe45ef1-9e06-44e9-8768-251e003feee6</t>
  </si>
  <si>
    <t>aa4a0bfd-19fa-4eaf-aa65-883d6f156d4a</t>
  </si>
  <si>
    <t>2347d384-d8d8-4aa9-90e2-00d868f744ec</t>
  </si>
  <si>
    <t>2022-11-05</t>
  </si>
  <si>
    <t>10:35</t>
  </si>
  <si>
    <t>c20605b1-929d-4158-8374-7fbdff6bc014</t>
  </si>
  <si>
    <t>ของกินสยาม</t>
  </si>
  <si>
    <t>0ed35aee-6d3e-4ed3-a0ff-d5c1180afede</t>
  </si>
  <si>
    <t>wargrill</t>
  </si>
  <si>
    <t>5a6d9ea7-d40d-4fc7-a3e4-d46b8605f978</t>
  </si>
  <si>
    <t>59acaac2-0f1d-4b82-b329-0bbf8cfd1685</t>
  </si>
  <si>
    <t>16:59</t>
  </si>
  <si>
    <t>97010127-fc7e-4365-8fdb-7c7d22679a05</t>
  </si>
  <si>
    <t>6213f2ca-a410-4735-bf9a-dcf6af8f4fa6</t>
  </si>
  <si>
    <t>5992bdea-88b7-4be0-a139-dbd138f58966</t>
  </si>
  <si>
    <t>a82d2766-3f25-451e-a871-9f1c4b4ee965</t>
  </si>
  <si>
    <t>7fe0074d-42db-4600-b844-7b05cecfab90</t>
  </si>
  <si>
    <t>2022-11-04</t>
  </si>
  <si>
    <t>78ba9f24-2b68-4838-88f9-a0dd35772305</t>
  </si>
  <si>
    <t>63a6f1fb-2c9b-45f5-9003-0fe1221c9a75</t>
  </si>
  <si>
    <t>c09724a3-59e3-4c51-a9db-f88d83793893</t>
  </si>
  <si>
    <t>2022-11-03</t>
  </si>
  <si>
    <t>20d5597e-d481-4488-a808-094bc6854a21</t>
  </si>
  <si>
    <t>47a9ca27-5861-42a1-ae13-ce9b7c36e737</t>
  </si>
  <si>
    <t>57806eac-3f4a-48c3-9dfc-c5378f220c67</t>
  </si>
  <si>
    <t>2022-11-02</t>
  </si>
  <si>
    <t>ขาหมู</t>
  </si>
  <si>
    <t>6b44d50a-e47e-405f-9d6d-6423d266cb5b</t>
  </si>
  <si>
    <t>09:25</t>
  </si>
  <si>
    <t>9c3dce95-f1d8-4058-a934-10ecbd6dc98e</t>
  </si>
  <si>
    <t>82801685-9c7a-49e9-aa45-bd253528a774</t>
  </si>
  <si>
    <t>d5309a17-c4f1-4453-b7b2-8ac3350ba67b</t>
  </si>
  <si>
    <t>2022-11-01</t>
  </si>
  <si>
    <t>ab57d74a-f59f-4143-a337-49e899385a5e</t>
  </si>
  <si>
    <t xml:space="preserve">ยอดถึง 13 ตค</t>
  </si>
  <si>
    <t>52800ea4-a551-49d7-8761-50a100913539</t>
  </si>
  <si>
    <t>f08e94f9-b0b0-4da2-9f79-a95b050b6c77</t>
  </si>
  <si>
    <t>133aa821-77db-4776-9ef4-47f1a222bb72</t>
  </si>
  <si>
    <t>10:15</t>
  </si>
  <si>
    <t>cabe0514-aee8-4f59-bc2a-4cf3afd0509b</t>
  </si>
  <si>
    <t>caae9c0a-a865-4ad1-ac44-3a97bef444ab</t>
  </si>
  <si>
    <t>9a3a0457-36a2-4736-afe2-f9f83993c644</t>
  </si>
  <si>
    <t>2022-10-31</t>
  </si>
  <si>
    <t>aa1c7c63-30a4-43f5-b418-fb810660746e</t>
  </si>
  <si>
    <t xml:space="preserve">ที่พัก outing</t>
  </si>
  <si>
    <t>7e533b64-5167-44aa-ad63-678dd2c5799f</t>
  </si>
  <si>
    <t>11:53</t>
  </si>
  <si>
    <t>3766662f-1e16-41db-b01b-81ed95663084</t>
  </si>
  <si>
    <t>90c14f49-b46e-469a-82b4-0d9bf88f3ea3</t>
  </si>
  <si>
    <t>213168d4-e17c-4270-84dd-05d76ac228a8</t>
  </si>
  <si>
    <t>89372d5b-6550-4769-86c3-b2a8ff68897a</t>
  </si>
  <si>
    <t>7b33a7aa-cb78-44a6-bf07-78b3a03c80cb</t>
  </si>
  <si>
    <t>21:51</t>
  </si>
  <si>
    <t xml:space="preserve">shabushi หลังกลับสนามบิน</t>
  </si>
  <si>
    <t>07636454-244d-47be-b45d-b3d3c5eb5e52</t>
  </si>
  <si>
    <t>23:51</t>
  </si>
  <si>
    <t>9249ebb5-6066-4d2e-af94-fce95e6ca981</t>
  </si>
  <si>
    <t>2022-10-30</t>
  </si>
  <si>
    <t>2ca3a6c1-4093-4b77-9608-3cdfad13f7ab</t>
  </si>
  <si>
    <t>13:23</t>
  </si>
  <si>
    <t>bd87344a-5786-4553-87a6-3e75b65a780c</t>
  </si>
  <si>
    <t>c63e2b5a-e2de-4bf0-8832-cbfa1972ec5e</t>
  </si>
  <si>
    <t>6295d420-d68e-42e6-a1a6-473fb010a161</t>
  </si>
  <si>
    <t>b5422ba4-d094-4bf9-93ce-1c3ec9d96004</t>
  </si>
  <si>
    <t>dd5901a7-97f6-43f1-8f54-5a09cfae9b83</t>
  </si>
  <si>
    <t xml:space="preserve">JPY ที่พัก</t>
  </si>
  <si>
    <t>30228c56-602e-4090-a09a-b1f07f14c0df</t>
  </si>
  <si>
    <t xml:space="preserve">s22 ultra(1/10)</t>
  </si>
  <si>
    <t>d9cee0f7-5fcd-46fd-a7ca-070c502c2dd2</t>
  </si>
  <si>
    <t>2022-10-29</t>
  </si>
  <si>
    <t>07:02</t>
  </si>
  <si>
    <t>ยอดเฟินตีกลับ</t>
  </si>
  <si>
    <t>6b8cfc56-8888-40f4-92ec-f87cd9f3755f</t>
  </si>
  <si>
    <t>14:47</t>
  </si>
  <si>
    <t xml:space="preserve">เสื้อ theme</t>
  </si>
  <si>
    <t>ba784866-81fa-459b-aa46-b88c6d10bcbe</t>
  </si>
  <si>
    <t>15:47</t>
  </si>
  <si>
    <t>b20bf0e4-0542-4064-b90b-7dcaba588efd</t>
  </si>
  <si>
    <t>ซื้อของแต่งตัวโลตัส</t>
  </si>
  <si>
    <t>a85e80cc-0059-4776-ad19-37471c9e61f9</t>
  </si>
  <si>
    <t>2022-10-28</t>
  </si>
  <si>
    <t>301dff81-b3db-438a-92ba-4190f6ecabe0</t>
  </si>
  <si>
    <t>473a7bfe-b53a-49d2-9bf3-7d7da635931a</t>
  </si>
  <si>
    <t xml:space="preserve">JPY ยอดวัด</t>
  </si>
  <si>
    <t>3237b465-cd1d-4a13-8c33-182b659bd408</t>
  </si>
  <si>
    <t>7944d995-c1fb-49c0-8ea6-74ed96e47ae2</t>
  </si>
  <si>
    <t>2022-10-27</t>
  </si>
  <si>
    <t>71cf2cbe-4fd9-4c40-8aad-137019ef2d7e</t>
  </si>
  <si>
    <t>08:10</t>
  </si>
  <si>
    <t>ea725491-9b02-41c0-a9bf-1c778f8a0304</t>
  </si>
  <si>
    <t>502fc798-83ba-4e5b-9ff0-92773c7580e0</t>
  </si>
  <si>
    <t>ec7689af-0bff-475c-b69c-adb2ca5fe6e2</t>
  </si>
  <si>
    <t>6adecc0c-aca8-4cc9-8ea6-9a95fd3124ee</t>
  </si>
  <si>
    <t>23:05</t>
  </si>
  <si>
    <t xml:space="preserve">JPY ยอดพี่อั๋น</t>
  </si>
  <si>
    <t>fb84eb10-8f64-48cb-8089-d8602824c502</t>
  </si>
  <si>
    <t>2022-10-26</t>
  </si>
  <si>
    <t>cbb96782-5a06-4888-9d65-e6b453875ddb</t>
  </si>
  <si>
    <t>aaf684f4-7453-49f9-809f-31c4a767b14a</t>
  </si>
  <si>
    <t>aedf8424-4671-4e97-acd5-26a4b00ff3ab</t>
  </si>
  <si>
    <t>f9d4b8ec-bb71-4640-9ffa-e67931d703ba</t>
  </si>
  <si>
    <t>88395fb7-d55b-4480-b042-0e3fd3f6e30b</t>
  </si>
  <si>
    <t>140e022f-bd74-4d50-a9c8-dd896e059e0a</t>
  </si>
  <si>
    <t>d6999863-cbe9-45d9-81ab-0ac9396175d4</t>
  </si>
  <si>
    <t>b4ca84c7-d9fa-4bd9-a849-e41b767ff58f</t>
  </si>
  <si>
    <t>64a11ad9-5917-4d38-bde9-510b834dad05</t>
  </si>
  <si>
    <t>1104f84a-e797-46c7-9dac-5c533e4a1ead</t>
  </si>
  <si>
    <t>19:27</t>
  </si>
  <si>
    <t>84f01038-0b07-4d15-940b-ea62b2857c66</t>
  </si>
  <si>
    <t>2022-10-25</t>
  </si>
  <si>
    <t>c42c387d-0609-416f-964a-bf993cc7293c</t>
  </si>
  <si>
    <t>b1fd77ab-4e4d-402e-ac06-b403c79160d3</t>
  </si>
  <si>
    <t xml:space="preserve">JPY huis ten bosch</t>
  </si>
  <si>
    <t>5bba07d2-1848-4ad5-93d1-cddece1c41cf</t>
  </si>
  <si>
    <t xml:space="preserve">JPY ค่ารองเท้าเฟิน ส่วนของอุ้ย</t>
  </si>
  <si>
    <t>2cce80a0-5499-4df1-9436-49aa859fdc3d</t>
  </si>
  <si>
    <t>2022-10-24</t>
  </si>
  <si>
    <t>alto</t>
  </si>
  <si>
    <t>d7d20b4e-e79c-4acb-b9b9-2ce1346a0628</t>
  </si>
  <si>
    <t xml:space="preserve">เงินสด JPY ใช้เอง</t>
  </si>
  <si>
    <t>1e188ff0-c18f-4fbd-8506-a7800580b0cf</t>
  </si>
  <si>
    <t>08bbe262-c5bd-4e4b-873c-b8d646d57588</t>
  </si>
  <si>
    <t xml:space="preserve">ยอด travel card เราเอง</t>
  </si>
  <si>
    <t>a58cf90c-7097-4d2d-923c-4aa2e5b574fe</t>
  </si>
  <si>
    <t xml:space="preserve">ยอดเงินสดคนอื่นออกให้ JPY</t>
  </si>
  <si>
    <t>0f0e8f2c-2b01-4d88-bb96-0056b11706f9</t>
  </si>
  <si>
    <t xml:space="preserve">ยอด thb เราเอง</t>
  </si>
  <si>
    <t>45f43ea9-ece1-4908-8467-98732d97994c</t>
  </si>
  <si>
    <t>2022-10-23</t>
  </si>
  <si>
    <t>310d4ea1-b5e9-4257-bae4-7dbeb80a49f1</t>
  </si>
  <si>
    <t>2022-10-14</t>
  </si>
  <si>
    <t>00:20</t>
  </si>
  <si>
    <t>5062f082-cc0b-45bf-a088-fa7df78da24a</t>
  </si>
  <si>
    <t>2022-10-13</t>
  </si>
  <si>
    <t>95b87dec-b3e7-4405-9189-1a1a219f477b</t>
  </si>
  <si>
    <t>7ae543c1-c03b-457a-8353-13a4d9b302ad</t>
  </si>
  <si>
    <t>2022-10-12</t>
  </si>
  <si>
    <t>หมูปิ้ง</t>
  </si>
  <si>
    <t>ce4a4d6d-2015-464e-b6af-06bb0a156b0d</t>
  </si>
  <si>
    <t>ab8b74da-0804-4c51-bbf2-22ec6ef86eec</t>
  </si>
  <si>
    <t>804f953b-948d-409b-b3c7-187d924a9fde</t>
  </si>
  <si>
    <t>92bbcfa2-2195-48c6-b206-39bb30de06ea</t>
  </si>
  <si>
    <t>1278378e-30c5-42c4-8f15-4357546b71ab</t>
  </si>
  <si>
    <t>7d374e2d-3037-4392-ae93-80ec0f4fc69c</t>
  </si>
  <si>
    <t>2022-10-11</t>
  </si>
  <si>
    <t>12243b63-9e96-4937-baf6-ec08ef9f2e67</t>
  </si>
  <si>
    <t>846995a0-0ffd-43dd-a5f1-54ff39eda929</t>
  </si>
  <si>
    <t>09:36</t>
  </si>
  <si>
    <t>19b21f68-e2dc-44d8-8097-3a99677335aa</t>
  </si>
  <si>
    <t>888fa0db-cce2-4c8a-acc6-39c2f203ede2</t>
  </si>
  <si>
    <t xml:space="preserve">JPY MSIG</t>
  </si>
  <si>
    <t>7713212e-5f24-4c03-963b-4d481155607d</t>
  </si>
  <si>
    <t>คั่วไก่</t>
  </si>
  <si>
    <t>c95cab03-92bf-45e0-92e3-ed6ffa948c51</t>
  </si>
  <si>
    <t>2022-10-10</t>
  </si>
  <si>
    <t>744cf467-3223-4aa8-971f-1be6e616c6dd</t>
  </si>
  <si>
    <t>10:37</t>
  </si>
  <si>
    <t xml:space="preserve">ยอด shopee ถึง 10 ตค</t>
  </si>
  <si>
    <t>077e1ee9-90ac-4dc8-b731-c015897ca0b3</t>
  </si>
  <si>
    <t>7cf631e9-e135-4ad3-b285-b172fafbc4f9</t>
  </si>
  <si>
    <t>เกงวอร์ม</t>
  </si>
  <si>
    <t>7fb3ffd4-c225-4591-9f5d-2ffc8dba62fc</t>
  </si>
  <si>
    <t>santafe</t>
  </si>
  <si>
    <t>816c6708-9035-4f96-80be-684dae87bf3a</t>
  </si>
  <si>
    <t>8a438b99-00cf-440f-a971-be21c92f276b</t>
  </si>
  <si>
    <t xml:space="preserve">JPY ตั๋ว airasia</t>
  </si>
  <si>
    <t>a2e8c7a9-9cb4-4b9e-8ae8-a5bca7ea7991</t>
  </si>
  <si>
    <t>05f7b8b9-1d54-4b61-82d7-91b4410c97bd</t>
  </si>
  <si>
    <t>057b0804-00ab-429f-a985-06e5e649bc37</t>
  </si>
  <si>
    <t xml:space="preserve">s22 ultra case</t>
  </si>
  <si>
    <t>33bcbd2c-f94d-4c2d-8e69-5982077bbb30</t>
  </si>
  <si>
    <t>2022-10-09</t>
  </si>
  <si>
    <t>c7a25716-ba28-496a-9c64-f34865e13981</t>
  </si>
  <si>
    <t>d64ae640-aead-4f0e-8732-558d54cec51b</t>
  </si>
  <si>
    <t>a3f0729b-1b06-44e5-9edc-821115e6a8ea</t>
  </si>
  <si>
    <t>48ec5d2c-8d91-4f75-a969-1830467a2225</t>
  </si>
  <si>
    <t>1296880f-1550-41f3-b79d-b3988b041374</t>
  </si>
  <si>
    <t>bfd3fda2-afce-43b9-b3f8-6e3dc6ed66d6</t>
  </si>
  <si>
    <t>19:25</t>
  </si>
  <si>
    <t>ติดฟิล์ม</t>
  </si>
  <si>
    <t>0246d16a-8d58-4fb5-a160-54b8da2831ac</t>
  </si>
  <si>
    <t>e4b35272-d484-44e8-b8a0-102276dfc982</t>
  </si>
  <si>
    <t>2022-10-08</t>
  </si>
  <si>
    <t>10:55</t>
  </si>
  <si>
    <t>59d85a60-e1af-45a9-8152-476905c07e67</t>
  </si>
  <si>
    <t>2022-10-07</t>
  </si>
  <si>
    <t>08:56</t>
  </si>
  <si>
    <t>4940ea70-8d03-4001-8d13-f0f8260b2513</t>
  </si>
  <si>
    <t>fad9e28e-4aa4-475d-ae06-715a55ea4c37</t>
  </si>
  <si>
    <t>909d7083-b8a5-48f1-952a-069171c096c2</t>
  </si>
  <si>
    <t>25f83f57-14ff-4c67-82b4-11b538321bb1</t>
  </si>
  <si>
    <t>a76e708d-9f04-4ffd-a425-938ba943b394</t>
  </si>
  <si>
    <t>2022-10-06</t>
  </si>
  <si>
    <t>00:30</t>
  </si>
  <si>
    <t>92110d5e-f33b-4216-b22a-95611676ea12</t>
  </si>
  <si>
    <t>901f404f-05e1-4801-99c7-3b890fdb60db</t>
  </si>
  <si>
    <t>5fefd32d-3232-4f7b-a149-79917aedb217</t>
  </si>
  <si>
    <t>แอนคั่วไก่</t>
  </si>
  <si>
    <t>1c975f34-b7d4-45b8-93b8-c7671f665c47</t>
  </si>
  <si>
    <t>2022-10-05</t>
  </si>
  <si>
    <t>cb92376a-f353-403c-b5ef-29ba8ea819c5</t>
  </si>
  <si>
    <t>09:34</t>
  </si>
  <si>
    <t>283394dd-84b4-473e-820c-90b1edda8991</t>
  </si>
  <si>
    <t>8e9cbf40-1097-4ebc-8ceb-943aa89ddbf0</t>
  </si>
  <si>
    <t>48996100-3444-4940-b753-bb0c7af828d6</t>
  </si>
  <si>
    <t>e5a6008c-02ef-4f5d-9f48-a40b0b2d6dcf</t>
  </si>
  <si>
    <t>เครื่องชั่งน้ำหนัก</t>
  </si>
  <si>
    <t>2dd9a2ce-5ae1-4477-b4f8-62b46eff843f</t>
  </si>
  <si>
    <t>21:37</t>
  </si>
  <si>
    <t>ที่ชั่งน้ำหนัก</t>
  </si>
  <si>
    <t>2de6a10d-0a6b-4c7d-982c-e85eebccd0ea</t>
  </si>
  <si>
    <t>2022-10-04</t>
  </si>
  <si>
    <t>08:15</t>
  </si>
  <si>
    <t>กางเกง</t>
  </si>
  <si>
    <t>ec7497bd-852f-4c18-888c-e0a1aedb964d</t>
  </si>
  <si>
    <t>89db5ef1-2d1e-4bae-8c78-93c3a54365bc</t>
  </si>
  <si>
    <t>1acea383-d02c-42fc-b963-c71d268b87b9</t>
  </si>
  <si>
    <t>b64ac28e-b65f-4140-b686-ef156a8e4bf1</t>
  </si>
  <si>
    <t>2022-10-03</t>
  </si>
  <si>
    <t>054b9cca-f8b3-40fb-86b7-8f05f26119f9</t>
  </si>
  <si>
    <t>4f301431-2d6c-429d-bac1-76ba6b9086d1</t>
  </si>
  <si>
    <t>233bbc44-57dc-4852-8424-f6213485845d</t>
  </si>
  <si>
    <t>2022-10-02</t>
  </si>
  <si>
    <t>07:40</t>
  </si>
  <si>
    <t>1c26ccff-4028-47bf-999e-c4a54a1a5077</t>
  </si>
  <si>
    <t>572d127a-4c0c-406a-82a9-65b6ec3253f9</t>
  </si>
  <si>
    <t xml:space="preserve">trip ถ่ายรูป</t>
  </si>
  <si>
    <t>535552bb-82a2-42ca-ba81-bb00c79590cd</t>
  </si>
  <si>
    <t>a67df1be-ca2d-43ba-8c72-e22b89ad6afa</t>
  </si>
  <si>
    <t>2022-10-01</t>
  </si>
  <si>
    <t>bonchon</t>
  </si>
  <si>
    <t>ad91ec31-5c44-4dd6-a2ab-d9113682b763</t>
  </si>
  <si>
    <t>7fb9b6ae-0680-4a2e-901f-8fc56657ac97</t>
  </si>
  <si>
    <t>fd1a0241-e843-483b-96cf-3608fc4d5376</t>
  </si>
  <si>
    <t>2022-09-30</t>
  </si>
  <si>
    <t>10:32</t>
  </si>
  <si>
    <t>b4063333-2181-4369-baea-aa27b3e484a3</t>
  </si>
  <si>
    <t>ca44420d-4be5-404f-9c3d-be9efcd4bc21</t>
  </si>
  <si>
    <t>f52accc8-88e8-4406-bae9-515e59a04848</t>
  </si>
  <si>
    <t>14:49</t>
  </si>
  <si>
    <t>3671d7f5-a3a9-4b42-b79e-95eb26299f42</t>
  </si>
  <si>
    <t>e38fa1b1-38bb-4777-b638-3a83ece6e91a</t>
  </si>
  <si>
    <t>bf7e88df-a278-4304-9c16-c187e6a91fcc</t>
  </si>
  <si>
    <t>15:52</t>
  </si>
  <si>
    <t>c61be1fc-fd96-4215-9da1-735c84c027a2</t>
  </si>
  <si>
    <t>b448536f-516c-41cd-84d7-4ec6a5cae645</t>
  </si>
  <si>
    <t>c7e7ccd3-7b3a-412e-b172-5229f55027e4</t>
  </si>
  <si>
    <t>2022-09-29</t>
  </si>
  <si>
    <t>76b84417-39de-40a9-9b94-e5439a107a8e</t>
  </si>
  <si>
    <t>2c0ab889-d57b-4bf7-9a81-3f3763a2d8f7</t>
  </si>
  <si>
    <t>c169f6fd-2f99-4223-9944-1e4919f661aa</t>
  </si>
  <si>
    <t>2022-09-28</t>
  </si>
  <si>
    <t>d737a9f8-caa3-47a0-bf52-673742475371</t>
  </si>
  <si>
    <t>2abee249-f576-4dfb-9b6e-64ae7f5ac2a3</t>
  </si>
  <si>
    <t>064d5d2c-d228-4963-b4d3-fae91c4f2e02</t>
  </si>
  <si>
    <t>a7454eba-88d2-4b91-9c17-10aae9952726</t>
  </si>
  <si>
    <t>95c7c4d0-c2b0-4254-b487-b773eb95fd2a</t>
  </si>
  <si>
    <t>505e8926-6d9f-4a31-b32c-708e51a5b71b</t>
  </si>
  <si>
    <t>9c872958-96c2-40cd-bf69-6fafcfd20d69</t>
  </si>
  <si>
    <t>2022-09-27</t>
  </si>
  <si>
    <t>ea2d05c5-6171-4a9e-9722-7d7d8f84c3f1</t>
  </si>
  <si>
    <t>df333089-2913-4fa4-966c-9a8ba9ebe85c</t>
  </si>
  <si>
    <t>31d9f209-e4e5-4e09-8ad7-ea26ec2082cb</t>
  </si>
  <si>
    <t>5ab9b372-10b7-442e-a985-42a80e888249</t>
  </si>
  <si>
    <t>1486b88c-29fb-4080-a853-ed7127da89a7</t>
  </si>
  <si>
    <t>34a9b19f-e763-4f84-bae3-b6654e6229fe</t>
  </si>
  <si>
    <t>a15b01dc-e4f1-47c9-83ad-25bd94a65cc1</t>
  </si>
  <si>
    <t>a554a523-fde7-4ac4-80b7-f5699872798f</t>
  </si>
  <si>
    <t>4d783cf2-1462-41e2-b23b-ec29237de95c</t>
  </si>
  <si>
    <t>41a687bd-6931-452e-8e8f-ee89517528b2</t>
  </si>
  <si>
    <t>4eeba647-d5c8-4355-b0c4-d6193a4b526b</t>
  </si>
  <si>
    <t>553eec9b-3018-4c1d-88a9-2f01c8a96a42</t>
  </si>
  <si>
    <t>2022-09-26</t>
  </si>
  <si>
    <t>00:56</t>
  </si>
  <si>
    <t>87b61915-5e23-4b41-9b90-a06e46b40268</t>
  </si>
  <si>
    <t>da121537-a976-4a25-bc50-8000e5313e3d</t>
  </si>
  <si>
    <t>2022-09-25</t>
  </si>
  <si>
    <t>37ec80fc-ad34-4887-9429-7aadc83ecca5</t>
  </si>
  <si>
    <t xml:space="preserve">tonshin mercure vill</t>
  </si>
  <si>
    <t>b688c9d4-c93f-4565-82e8-a5e3e2a660f0</t>
  </si>
  <si>
    <t>แป้ง</t>
  </si>
  <si>
    <t>c1abdc0c-487a-42a4-a33d-03714ad38e4e</t>
  </si>
  <si>
    <t>เขียง</t>
  </si>
  <si>
    <t>297757e3-3a0a-4131-b3d6-2a533a4c94d6</t>
  </si>
  <si>
    <t>d6da1a79-00c2-43ba-ad26-78be021e10d5</t>
  </si>
  <si>
    <t>b8f3bf56-f134-4c72-aaf9-81c5668fceea</t>
  </si>
  <si>
    <t>09294624-dfbb-44db-a134-ff66af00a9b3</t>
  </si>
  <si>
    <t>389655e6-4948-466e-9258-7bdd8e20fb3c</t>
  </si>
  <si>
    <t>มือถือ</t>
  </si>
  <si>
    <t>0b87b26b-959e-464c-b0a2-aa766d53787d</t>
  </si>
  <si>
    <t xml:space="preserve">ค่าน้ำย้อน 7 เดือน</t>
  </si>
  <si>
    <t>90b1d9bd-3794-47e1-a7aa-0f79042071b9</t>
  </si>
  <si>
    <t xml:space="preserve">shopee food ยอด 13-25 กย</t>
  </si>
  <si>
    <t>9ee958d2-5388-45d4-b3a1-16a9897c36ae</t>
  </si>
  <si>
    <t>695fee55-85b2-4676-adf8-adad763726cf</t>
  </si>
  <si>
    <t>911bd85c-360f-41fb-8bf6-4493e3cbc5df</t>
  </si>
  <si>
    <t>94208d54-a564-4df2-a1e4-2eca7a78209c</t>
  </si>
  <si>
    <t xml:space="preserve">งาน food</t>
  </si>
  <si>
    <t>663920be-eca4-41ff-a85f-43b21775f7f9</t>
  </si>
  <si>
    <t>13a89c14-9048-4d66-b448-331d982ef198</t>
  </si>
  <si>
    <t>2022-09-24</t>
  </si>
  <si>
    <t>0d0dd183-72d6-41d7-9480-f5286967c2ea</t>
  </si>
  <si>
    <t>dea7cd0b-298e-45b1-9ff7-ae1f6190f0e2</t>
  </si>
  <si>
    <t>5dc5992c-dbec-473a-9918-71619d8363dc</t>
  </si>
  <si>
    <t>สุกี้เฉลิมนคร</t>
  </si>
  <si>
    <t>16d90273-99e5-4415-8a6f-f746225d2239</t>
  </si>
  <si>
    <t>2022-09-23</t>
  </si>
  <si>
    <t>c0352f14-c7f0-4833-aeec-a7e67fd36f64</t>
  </si>
  <si>
    <t>30a8e3d9-0296-4c70-aff8-9ba8d10adbf6</t>
  </si>
  <si>
    <t>2022-09-20</t>
  </si>
  <si>
    <t>04323d34-99f0-4c98-a093-949b8ad7e593</t>
  </si>
  <si>
    <t>dca350cd-ca56-45ca-a5f6-ec865282ba01</t>
  </si>
  <si>
    <t>cc86f710-8a3c-4dd2-9f1d-ff5de112238f</t>
  </si>
  <si>
    <t>2022-09-19</t>
  </si>
  <si>
    <t>790d1f3a-8635-498c-8a85-cf38d4c39b10</t>
  </si>
  <si>
    <t>b7aedecd-dad6-4593-8406-73a1434e4b0e</t>
  </si>
  <si>
    <t>bd4a9f62-a782-4c88-b5a4-e998cffbabab</t>
  </si>
  <si>
    <t>3fcb01bb-bcec-403c-9535-3c3af5de7c90</t>
  </si>
  <si>
    <t>2022-09-18</t>
  </si>
  <si>
    <t>5984628d-f061-432f-9bea-d17d219e5dcb</t>
  </si>
  <si>
    <t>7e1c7028-8625-44d7-a77a-196e9a9febc8</t>
  </si>
  <si>
    <t>23:40</t>
  </si>
  <si>
    <t>a072daf7-7098-427f-987f-2c2f89f79b77</t>
  </si>
  <si>
    <t>2022-09-14</t>
  </si>
  <si>
    <t>7b733a7b-d18e-4e6d-ba12-a3c0fc1feb0d</t>
  </si>
  <si>
    <t>bf7a12ee-8ce6-4979-8873-684c72bd8ad6</t>
  </si>
  <si>
    <t>pasta</t>
  </si>
  <si>
    <t>d9700233-8ea2-47fa-97b1-50a688a43fd0</t>
  </si>
  <si>
    <t>9a55a30d-2f54-4aea-8604-420783f7511e</t>
  </si>
  <si>
    <t>2524555b-aa82-49ca-bda2-dd22e7e3add2</t>
  </si>
  <si>
    <t>ของพี่นัทส่วนเรา</t>
  </si>
  <si>
    <t>ef91b6e7-bc80-4870-a7df-fe59827bec34</t>
  </si>
  <si>
    <t xml:space="preserve">พี่กิ๊บพี่บูน 540*2</t>
  </si>
  <si>
    <t>63bcc74c-d6ad-4adf-a439-8aec44a7d8ae</t>
  </si>
  <si>
    <t>5ce67561-9e7f-441c-a76b-c669cc95c815</t>
  </si>
  <si>
    <t>16:32</t>
  </si>
  <si>
    <t>ของพี่อาท</t>
  </si>
  <si>
    <t>1dc66ec1-69ac-4ef4-a728-c55a856cd6e4</t>
  </si>
  <si>
    <t xml:space="preserve">ค่าข้าว 395*2  ของ 540</t>
  </si>
  <si>
    <t>8c3da57f-ba99-463d-8ea5-c131de687b74</t>
  </si>
  <si>
    <t>5697d9ff-a078-4159-a33a-1acc6f4e69bb</t>
  </si>
  <si>
    <t>2022-09-13</t>
  </si>
  <si>
    <t>e1a17226-a164-4384-a747-8aac9ae2829f</t>
  </si>
  <si>
    <t>54b935c7-cc1f-4a36-88e7-ed5dcd68b19d</t>
  </si>
  <si>
    <t>456dfecb-376a-44e8-97db-f23e13f82263</t>
  </si>
  <si>
    <t>baa992f2-ee7f-4ad9-b450-e55d51e47121</t>
  </si>
  <si>
    <t>2022-09-12</t>
  </si>
  <si>
    <t>a5aebc3e-fc22-4c9d-92e2-7f2cd6e2a8bc</t>
  </si>
  <si>
    <t>โมโมจากวัด</t>
  </si>
  <si>
    <t>0eb5cd0d-0227-41fe-a955-678c9c1d181a</t>
  </si>
  <si>
    <t>2022-09-11</t>
  </si>
  <si>
    <t>91d16787-7459-4478-b078-056efe1f5eb3</t>
  </si>
  <si>
    <t xml:space="preserve">a ramen</t>
  </si>
  <si>
    <t>c9fabe6f-d97a-4bd5-acce-7280372277f8</t>
  </si>
  <si>
    <t>ยา</t>
  </si>
  <si>
    <t>4cce60fa-3514-4773-9b36-a028a5bf44ba</t>
  </si>
  <si>
    <t>d78ad641-2341-49ba-b034-0948f8107dc7</t>
  </si>
  <si>
    <t>c9da6a83-9cca-41e7-98aa-d337c59b3d87</t>
  </si>
  <si>
    <t>750687e9-55ab-4236-90c3-e624e1a75e1f</t>
  </si>
  <si>
    <t>2022-09-10</t>
  </si>
  <si>
    <t>91efbe1b-3594-4447-ba0c-b38f1fb23676</t>
  </si>
  <si>
    <t>โรตีชาชัก</t>
  </si>
  <si>
    <t>4aaaa45e-a321-4fb1-9267-7ae815fc0a72</t>
  </si>
  <si>
    <t xml:space="preserve">สุกี้แห้ง เกี้ยวซ่า สกายลัค</t>
  </si>
  <si>
    <t>e1c1ef5c-5de4-44b7-ac42-5d54fc75a084</t>
  </si>
  <si>
    <t xml:space="preserve">dolce gelato</t>
  </si>
  <si>
    <t>ef24a8fd-49ff-4487-9844-05e8104b5702</t>
  </si>
  <si>
    <t xml:space="preserve">หน้ากาก ปากกา</t>
  </si>
  <si>
    <t>f917352c-b81a-424f-9e6b-18fbd72e5e9b</t>
  </si>
  <si>
    <t xml:space="preserve">เขียง  grab 5/9</t>
  </si>
  <si>
    <t>61de06c7-735b-489c-9216-37e0a83e2862</t>
  </si>
  <si>
    <t xml:space="preserve">ไอติม gussdamgood</t>
  </si>
  <si>
    <t>92456b26-cea2-4635-9002-3aeb19365469</t>
  </si>
  <si>
    <t>ae47f07f-79a8-414a-aa92-5e939476b2cc</t>
  </si>
  <si>
    <t>18:16</t>
  </si>
  <si>
    <t xml:space="preserve">ค่าไฟ กย</t>
  </si>
  <si>
    <t>d2b24606-2f03-44c6-8575-1128bb4f7fb5</t>
  </si>
  <si>
    <t xml:space="preserve">น้ำมัน 1128 aug</t>
  </si>
  <si>
    <t>6e1ae74e-dd38-4430-ba13-345f2496ad53</t>
  </si>
  <si>
    <t>5ce3eb7a-9f5a-4eb3-82ba-850a2fcbbbf0</t>
  </si>
  <si>
    <t>0f8adba7-3383-4730-974a-375c1e4df492</t>
  </si>
  <si>
    <t xml:space="preserve">น้ำมัน 4 กย</t>
  </si>
  <si>
    <t>1a6d4683-ca7c-4c81-b765-ecb8d6ada36f</t>
  </si>
  <si>
    <t>เครื่องคิดเลข</t>
  </si>
  <si>
    <t>e4326d00-ce20-443a-a00d-301a3d48df9c</t>
  </si>
  <si>
    <t>เม้าส์พี่นัท</t>
  </si>
  <si>
    <t>bbd3d52e-6966-45ee-a9d6-24abc1e48b42</t>
  </si>
  <si>
    <t>f479e162-cb8a-4516-9e9b-9299d7479c01</t>
  </si>
  <si>
    <t>cfa</t>
  </si>
  <si>
    <t>bd3d7247-0452-4f9c-84d1-c6a4b2baa5dc</t>
  </si>
  <si>
    <t>birthday</t>
  </si>
  <si>
    <t>a6e3dd72-e918-4fd4-b80c-9203f01f0aff</t>
  </si>
  <si>
    <t xml:space="preserve">หน้ากาก ที่ชาจ shopee</t>
  </si>
  <si>
    <t>8569d85c-a043-4e07-bf92-8a9eada0ead9</t>
  </si>
  <si>
    <t>01bcd2e6-bef7-4430-b0a3-1e9dc5b8d9bb</t>
  </si>
  <si>
    <t>5330ad6a-d421-46bb-8836-da04a2e10e83</t>
  </si>
  <si>
    <t xml:space="preserve">coffeelism 99</t>
  </si>
  <si>
    <t>3545a3c6-2680-4bef-8344-bd19a6208ed6</t>
  </si>
  <si>
    <t>c74fe314-b78a-4442-8681-11ed197637c9</t>
  </si>
  <si>
    <t>2022-09-09</t>
  </si>
  <si>
    <t>4bfc8c06-33da-417a-98d7-c7a44d88bd77</t>
  </si>
  <si>
    <t>12:01</t>
  </si>
  <si>
    <t>682b795a-fb81-470c-b44c-82f3dcb24ecb</t>
  </si>
  <si>
    <t>de33f271-28a7-4a0c-8e07-b607cdd3bebf</t>
  </si>
  <si>
    <t>68242935-84f0-4610-adc5-22c77925fae8</t>
  </si>
  <si>
    <t>19:23</t>
  </si>
  <si>
    <t>2f8831fa-232e-4fc0-a67f-fdd44d0944c0</t>
  </si>
  <si>
    <t>2022-09-08</t>
  </si>
  <si>
    <t>b081433a-3c28-4bc7-be31-b909d6d89999</t>
  </si>
  <si>
    <t>d7733c36-a037-4903-b38c-afa0e1231780</t>
  </si>
  <si>
    <t>ข้าวผัด</t>
  </si>
  <si>
    <t>38f8f92d-c427-4780-a1da-eb1984de3e0a</t>
  </si>
  <si>
    <t>801f6902-8795-405f-91d7-6785498a2b30</t>
  </si>
  <si>
    <t>57d8287a-7f21-4444-bf55-c7b580286563</t>
  </si>
  <si>
    <t>10f551ac-9213-421f-88ca-0948b857535d</t>
  </si>
  <si>
    <t>66e18409-a571-4f39-ba24-14ceb403039e</t>
  </si>
  <si>
    <t>2022-09-07</t>
  </si>
  <si>
    <t>50c557f1-0bb5-43f2-bd7f-805f76bdf1a4</t>
  </si>
  <si>
    <t>b60999b1-2861-4b82-b823-a5553f9837de</t>
  </si>
  <si>
    <t>a3e5a035-cef4-43fb-8fa0-3049625482d3</t>
  </si>
  <si>
    <t>e6af6938-a159-4163-a0c8-99ae790b2973</t>
  </si>
  <si>
    <t>2022-09-06</t>
  </si>
  <si>
    <t>558e034f-7200-4a12-8d1e-2933721d6e77</t>
  </si>
  <si>
    <t>86c62226-770a-473e-83b4-bd51ab487fdc</t>
  </si>
  <si>
    <t>hong</t>
  </si>
  <si>
    <t>90cb08ac-490c-4c8c-936e-a93f3e044361</t>
  </si>
  <si>
    <t>784496ba-983e-4273-99a6-c5fcf1a13a75</t>
  </si>
  <si>
    <t>501b16af-33ab-4f3d-b47c-55104317b3dd</t>
  </si>
  <si>
    <t>7001a68f-4bd9-4fc6-b20d-fa81b333ed80</t>
  </si>
  <si>
    <t>2022-09-05</t>
  </si>
  <si>
    <t>f92feab3-679c-40d5-a1af-6b6167e02282</t>
  </si>
  <si>
    <t>2022-09-04</t>
  </si>
  <si>
    <t xml:space="preserve">treespace ทริปพัทยา</t>
  </si>
  <si>
    <t>e1c3f932-cfe4-4db0-9e4c-a7f0ddf93fec</t>
  </si>
  <si>
    <t>โกอั๋น</t>
  </si>
  <si>
    <t>c89758df-7050-43ab-826d-334a88c550ac</t>
  </si>
  <si>
    <t xml:space="preserve">โกอั๋น เราเอง</t>
  </si>
  <si>
    <t>db322943-a5c8-492c-8a4d-bfd7e2333ce5</t>
  </si>
  <si>
    <t xml:space="preserve">toffeecake ของฝาก</t>
  </si>
  <si>
    <t>7d3b51b3-e30d-41d6-b2af-2b5e8eab8577</t>
  </si>
  <si>
    <t>007fbacd-e348-4958-af9d-3d83fb3b5ce2</t>
  </si>
  <si>
    <t>2c8f3e46-3e5d-41a3-a361-6caddae78742</t>
  </si>
  <si>
    <t>303d38ea-22d4-4431-8b6b-e66f01b36d5d</t>
  </si>
  <si>
    <t>2022-09-03</t>
  </si>
  <si>
    <t>3a2584f5-6155-48bb-9b03-f2dd09398541</t>
  </si>
  <si>
    <t>4b474c44-13e3-405c-bcde-5ca12353adc6</t>
  </si>
  <si>
    <t>18:49</t>
  </si>
  <si>
    <t>มุมอร่อย</t>
  </si>
  <si>
    <t>0dacba1f-f7e6-4066-9ba4-9d35b98a2def</t>
  </si>
  <si>
    <t>88824d11-6a70-4fff-8b2a-1eae513f0251</t>
  </si>
  <si>
    <t>c3ba49d2-cbb6-4022-9642-888f2ff7b7ea</t>
  </si>
  <si>
    <t>2022-09-02</t>
  </si>
  <si>
    <t>bd3afe41-b09a-4d11-a9d7-8c2e3fd0e06c</t>
  </si>
  <si>
    <t>92cde062-0c9d-4b1a-a6d0-090649d5c370</t>
  </si>
  <si>
    <t xml:space="preserve">เค้ก วันเกิดฝน</t>
  </si>
  <si>
    <t>c4816425-c08a-470c-8489-05187ec858fd</t>
  </si>
  <si>
    <t>a14263aa-2a28-4b54-9832-c497f76f1acd</t>
  </si>
  <si>
    <t>2022-09-01</t>
  </si>
  <si>
    <t>0a5e618a-1712-46a2-bbbf-ddf6672e2f7a</t>
  </si>
  <si>
    <t>bcd4512d-a8f5-4366-8a9d-619d6b5c4c9f</t>
  </si>
  <si>
    <t>1021cde4-099c-4a6c-b685-03e0e22c30d9</t>
  </si>
  <si>
    <t>steak</t>
  </si>
  <si>
    <t>0bde45d9-6128-4593-94b7-a796f6f69504</t>
  </si>
  <si>
    <t>2022-08-31</t>
  </si>
  <si>
    <t>b634ab83-6860-46ae-8734-a7a1729eb130</t>
  </si>
  <si>
    <t>9f5179ba-0b37-426c-967d-89d36df45ca8</t>
  </si>
  <si>
    <t>7dd6230a-f379-4386-8ad8-379222630263</t>
  </si>
  <si>
    <t>c80f3038-0db7-43b8-9bb5-d91910e4abc8</t>
  </si>
  <si>
    <t>5fd111ca-6a92-49d0-98dd-fbb0a01fedbe</t>
  </si>
  <si>
    <t>21:47</t>
  </si>
  <si>
    <t>dc9df4d2-f70c-48d4-9142-464b4bb305af</t>
  </si>
  <si>
    <t>2022-08-30</t>
  </si>
  <si>
    <t>c6f6d81e-e8f6-476b-b710-d0e10346baf4</t>
  </si>
  <si>
    <t>674d372b-2899-4b94-b4a3-62726a33ea7e</t>
  </si>
  <si>
    <t>e8704bb3-6d80-4f8c-bad7-a4a3655fc598</t>
  </si>
  <si>
    <t>8bc9265f-89ae-4f41-b713-de9855650099</t>
  </si>
  <si>
    <t>2022-08-29</t>
  </si>
  <si>
    <t>ec7bc853-da1b-4cd1-8a2d-f41bd9e5727c</t>
  </si>
  <si>
    <t>48a1e91b-e42a-48db-bbdc-3cdfd0818b6d</t>
  </si>
  <si>
    <t>fcb272bd-1aa8-4327-8d2a-920b00787424</t>
  </si>
  <si>
    <t>2022-08-28</t>
  </si>
  <si>
    <t xml:space="preserve">172 203 shopee ktc เขียง ก้อน</t>
  </si>
  <si>
    <t>fb73372d-b077-4632-bf57-11e71cadb4aa</t>
  </si>
  <si>
    <t xml:space="preserve">shopee 108 171 164 86</t>
  </si>
  <si>
    <t>262f8b1e-e490-4e88-8a91-89dcd64fb320</t>
  </si>
  <si>
    <t xml:space="preserve">easybuddy 2 sry im hungry</t>
  </si>
  <si>
    <t>ee9711e8-a3aa-4308-868c-ba01f34bad49</t>
  </si>
  <si>
    <t>26575bcd-76a9-4c46-a79d-b38b47832c56</t>
  </si>
  <si>
    <t>7dc8bff1-f3a4-4075-9a9e-a8583fd57a25</t>
  </si>
  <si>
    <t>โทรสัพ</t>
  </si>
  <si>
    <t>0faff139-69ec-4752-b3e3-9f199138388f</t>
  </si>
  <si>
    <t>679a301a-4057-48d5-8b11-10ab81ec92e1</t>
  </si>
  <si>
    <t xml:space="preserve">ชาเขียวน้ำผึ้ง ชาบูบ้านสวน ปังเยน</t>
  </si>
  <si>
    <t>db21841b-7599-4893-b53f-08eb0fdafd47</t>
  </si>
  <si>
    <t>2d972bc4-4e87-440a-99dc-c39905abd673</t>
  </si>
  <si>
    <t>2022-08-27</t>
  </si>
  <si>
    <t>f28f8785-a995-413a-b5ec-109d67c68066</t>
  </si>
  <si>
    <t>be251f23-99c5-44cf-831b-aed7797e694d</t>
  </si>
  <si>
    <t>เจ้อ้วน</t>
  </si>
  <si>
    <t>22914adf-3259-4279-ad43-3c3b8c2ead83</t>
  </si>
  <si>
    <t>สกายลัค</t>
  </si>
  <si>
    <t>b00fff1d-18c5-4e1e-aed1-d2a44e0397a1</t>
  </si>
  <si>
    <t>ซีคอน</t>
  </si>
  <si>
    <t>b72ac38d-6283-4e1f-a3f3-2abccf00f1cc</t>
  </si>
  <si>
    <t>64986ea2-4224-4bc5-8e7f-56cf4a5a0670</t>
  </si>
  <si>
    <t>2022-08-26</t>
  </si>
  <si>
    <t>d598759c-b6cf-4d5e-983b-d801c93af0ac</t>
  </si>
  <si>
    <t>8d4e16ab-b045-48bb-9b09-1d89931b11b0</t>
  </si>
  <si>
    <t>108728f8-34d3-46ad-b6ab-c3df5eb9c7e1</t>
  </si>
  <si>
    <t>eb277d0f-6963-4af4-bef6-4348b54f6729</t>
  </si>
  <si>
    <t>dff01616-6fa1-4232-8cdb-35c5adc269d7</t>
  </si>
  <si>
    <t>bf666497-593b-422d-b0bf-047a9d954453</t>
  </si>
  <si>
    <t>e7b2265f-9cf8-4597-86d4-e8f0dace491f</t>
  </si>
  <si>
    <t>00:32</t>
  </si>
  <si>
    <t>66d53dba-4352-476c-ac96-a052e8f3e2ec</t>
  </si>
  <si>
    <t>e433aaab-e6a4-4071-bcaa-73ce365de609</t>
  </si>
  <si>
    <t>2022-08-25</t>
  </si>
  <si>
    <t>d94245bf-979d-47a4-a25e-df3b646f4cc2</t>
  </si>
  <si>
    <t>1539f85b-c72d-4998-86da-974374bc3337</t>
  </si>
  <si>
    <t>17b922cd-dc25-4a11-9e7d-053c418f6b62</t>
  </si>
  <si>
    <t>d9f109b3-c1f8-463f-81a5-7ed416602b4e</t>
  </si>
  <si>
    <t>6fcc43e1-706c-4fb2-bc4a-9bbf336cc047</t>
  </si>
  <si>
    <t>214cb0ff-f88f-4a41-be3a-4241166be2a7</t>
  </si>
  <si>
    <t>2022-08-24</t>
  </si>
  <si>
    <t>b26fbc0d-e7ec-476e-bc6b-9001edc597a2</t>
  </si>
  <si>
    <t>efebd460-6e20-4995-b619-151d78cae346</t>
  </si>
  <si>
    <t>2022-08-23</t>
  </si>
  <si>
    <t>หมูทอด</t>
  </si>
  <si>
    <t>8396484d-c934-4fad-a544-d33145721837</t>
  </si>
  <si>
    <t>2a968835-0641-47af-b3cf-68c59638be18</t>
  </si>
  <si>
    <t>545f4354-4cbf-4060-9f9c-7ec231fea78a</t>
  </si>
  <si>
    <t>2022-08-22</t>
  </si>
  <si>
    <t>หมูทุบ</t>
  </si>
  <si>
    <t>6992255f-c6cd-409c-a97b-3f68bc205a42</t>
  </si>
  <si>
    <t>1322c101-75b7-4c02-8634-28761a133cfb</t>
  </si>
  <si>
    <t>da13056f-7832-46d1-be18-90e1a285927d</t>
  </si>
  <si>
    <t>2022-08-21</t>
  </si>
  <si>
    <t xml:space="preserve">ค่าโทรศัพท์ สค</t>
  </si>
  <si>
    <t>94452404-5962-46ad-8112-d0f587a2237e</t>
  </si>
  <si>
    <t>d88c589d-e1dc-48f3-a402-e8efc37c7f24</t>
  </si>
  <si>
    <t>90a36f83-e43a-48df-9dfe-59111f1f47c3</t>
  </si>
  <si>
    <t>11:59</t>
  </si>
  <si>
    <t xml:space="preserve">steam games</t>
  </si>
  <si>
    <t>9f1947e1-3d29-484f-97b2-6c880797136c</t>
  </si>
  <si>
    <t xml:space="preserve">siam takashimaya 17 aug</t>
  </si>
  <si>
    <t>b45b29d5-fa98-4a40-97e3-0c4f84657b27</t>
  </si>
  <si>
    <t>หูฟัง</t>
  </si>
  <si>
    <t>3c069aee-bfe3-4d31-87db-a62ebcde4e48</t>
  </si>
  <si>
    <t>104-121</t>
  </si>
  <si>
    <t>80ca7854-d306-41ae-a214-7cd160ebfce8</t>
  </si>
  <si>
    <t xml:space="preserve">จ่าย grab</t>
  </si>
  <si>
    <t>e55b36d4-0643-44c0-aa50-082556316b1d</t>
  </si>
  <si>
    <t>3ab46921-477f-4ec9-8b65-5f769e06d6c5</t>
  </si>
  <si>
    <t>eace56c3-dabe-4b1b-87cb-20b13f2e33c3</t>
  </si>
  <si>
    <t>8cf26de4-08a2-4982-b143-ff7a457c81c7</t>
  </si>
  <si>
    <t>fa5a3f1f-166f-4a69-b04f-09e89f472fe5</t>
  </si>
  <si>
    <t xml:space="preserve">KR k eta application</t>
  </si>
  <si>
    <t>265353ab-3bdd-40d4-9f0b-630d464e5713</t>
  </si>
  <si>
    <t>2416cf81-a4db-4310-b35c-bf1ff94db790</t>
  </si>
  <si>
    <t xml:space="preserve">เซเว่นครึ่งเดือนแรก 92 67 65 9</t>
  </si>
  <si>
    <t>28b460fd-a0b2-41f9-ad3f-76dbc6132f61</t>
  </si>
  <si>
    <t>8b4b8361-9f21-43ed-95b8-6f0181ac81cf</t>
  </si>
  <si>
    <t>16b89330-623c-4ac5-812c-2ab40f5cf43e</t>
  </si>
  <si>
    <t>2022-08-20</t>
  </si>
  <si>
    <t>ร้านตรงข้ามสวนกุหลาบ</t>
  </si>
  <si>
    <t>01860d4e-6f43-4602-a62f-aba9fd6c5580</t>
  </si>
  <si>
    <t>จิงจิง</t>
  </si>
  <si>
    <t>af799ffc-ced4-4e12-b4ee-5802f17e06cf</t>
  </si>
  <si>
    <t>สุกี้ตี๋น้อย</t>
  </si>
  <si>
    <t>dfcd0c08-2091-411f-a7fd-fbb82d94fc7b</t>
  </si>
  <si>
    <t>แมคโคร</t>
  </si>
  <si>
    <t>06f12802-417b-4c30-bb8f-6b4236e7d90c</t>
  </si>
  <si>
    <t>2022-08-19</t>
  </si>
  <si>
    <t>d13a4c91-00ba-4a50-8d17-27e0bac27702</t>
  </si>
  <si>
    <t>2022-08-18</t>
  </si>
  <si>
    <t>09:48</t>
  </si>
  <si>
    <t>4bcf3352-5a6a-4286-8fbf-0e1039da1c0d</t>
  </si>
  <si>
    <t>2022-08-17</t>
  </si>
  <si>
    <t>e68101fd-de42-41ac-ba23-83af8a6e5d19</t>
  </si>
  <si>
    <t>bd7f2c9a-60b6-4d03-ade8-6791ceceb82c</t>
  </si>
  <si>
    <t>9badef92-2a8f-4b32-be64-6210428361d5</t>
  </si>
  <si>
    <t>fd730eaf-87d4-4db8-9af0-d52edc0ee582</t>
  </si>
  <si>
    <t>2022-08-16</t>
  </si>
  <si>
    <t>38ca1b74-4620-409e-9eff-995e3dfade59</t>
  </si>
  <si>
    <t>หง</t>
  </si>
  <si>
    <t>29d13848-2f4f-4732-81d3-4ffaa2d7423d</t>
  </si>
  <si>
    <t>4b1081c6-b6fb-4abc-83be-d41307c15afd</t>
  </si>
  <si>
    <t>58530b1e-e8ad-4aca-960a-d17464a83a42</t>
  </si>
  <si>
    <t>2022-08-15</t>
  </si>
  <si>
    <t>0b02eadc-f7fe-440e-9097-0632b2ec85b4</t>
  </si>
  <si>
    <t>เทดดี้เลี้ยงเจต</t>
  </si>
  <si>
    <t>ed3fed0c-73e4-4bee-9d00-481f0a3c7526</t>
  </si>
  <si>
    <t>caab507c-da9d-4875-8163-6ef2fd03001e</t>
  </si>
  <si>
    <t>2022-08-14</t>
  </si>
  <si>
    <t>83a1cfaf-83ee-4ea1-92df-fd9341e6e085</t>
  </si>
  <si>
    <t>b2ceb1ae-b239-44e8-8411-dcdcee7ba2bf</t>
  </si>
  <si>
    <t>เกาเหลาเนื้อ</t>
  </si>
  <si>
    <t>e775a936-993a-4936-abec-1a7bce62d885</t>
  </si>
  <si>
    <t>b61f91d3-c1d2-4cb7-94b3-6a6e87fa2e0c</t>
  </si>
  <si>
    <t>2022-08-13</t>
  </si>
  <si>
    <t>28ml</t>
  </si>
  <si>
    <t>1017d155-246d-416f-97c2-8273f5ef1f52</t>
  </si>
  <si>
    <t>bc89976c-bf68-46ee-8987-45ca2757b426</t>
  </si>
  <si>
    <t>0facfdfa-a773-4281-b220-4ce6e233031c</t>
  </si>
  <si>
    <t>โดนัท</t>
  </si>
  <si>
    <t>12209a13-775d-4c8f-81ca-87446f6312f7</t>
  </si>
  <si>
    <t>ปังสยาม</t>
  </si>
  <si>
    <t>cce9a274-fa72-4075-82b1-c0659fdea69a</t>
  </si>
  <si>
    <t xml:space="preserve">ข้าวตั้งแต่ 9 สค 171 177 183</t>
  </si>
  <si>
    <t>f6aa34a3-9cbf-475d-9ab0-280a55e019ea</t>
  </si>
  <si>
    <t>495f4e7a-89aa-47f3-8e2d-fafebdbcaea9</t>
  </si>
  <si>
    <t>2022-08-12</t>
  </si>
  <si>
    <t>db56a0ba-69e5-42db-b366-cc229556790e</t>
  </si>
  <si>
    <t xml:space="preserve">ราวตากผ้า ตะกร้า</t>
  </si>
  <si>
    <t>d3401fcf-e5a3-4c8d-b119-d6231a045c7c</t>
  </si>
  <si>
    <t>adf7bdb9-cc8e-47c9-9f06-9cd6a539c79c</t>
  </si>
  <si>
    <t>2022-08-10</t>
  </si>
  <si>
    <t>02:49</t>
  </si>
  <si>
    <t xml:space="preserve">vp กลางปี ปะนะ</t>
  </si>
  <si>
    <t>f48c59dd-9165-4149-8b1f-2b9121ca16c8</t>
  </si>
  <si>
    <t>8372d995-c2bc-4ad8-9e49-b623f8a905a3</t>
  </si>
  <si>
    <t>7ab5b4e3-6e1a-4d4d-9e0b-269cbd222497</t>
  </si>
  <si>
    <t>yakkcafe</t>
  </si>
  <si>
    <t>d2eac02e-bd67-4d6a-a8e5-a805fb2ead38</t>
  </si>
  <si>
    <t>3cd98707-674d-405f-bb80-1de16cd2769d</t>
  </si>
  <si>
    <t>21:29</t>
  </si>
  <si>
    <t xml:space="preserve">white coffee</t>
  </si>
  <si>
    <t>57bc78c1-818e-46e2-9a3c-a54b28480ceb</t>
  </si>
  <si>
    <t>2022-08-09</t>
  </si>
  <si>
    <t>e32a004c-7564-4f4d-8b23-f17132ca866f</t>
  </si>
  <si>
    <t>cae2b489-6684-444b-9e59-9c1eaab18a6c</t>
  </si>
  <si>
    <t>3b311337-68e1-4978-a740-a44db681b137</t>
  </si>
  <si>
    <t>61ffdcae-f023-4d66-b14a-8db49cc358a2</t>
  </si>
  <si>
    <t>2022-08-08</t>
  </si>
  <si>
    <t>2d314f63-d3c5-4d5f-9751-a813abb04a81</t>
  </si>
  <si>
    <t>33f1b25f-d817-493a-a031-c7b2a8e62fdf</t>
  </si>
  <si>
    <t>0a030fcf-cc17-4607-9819-bec45c324007</t>
  </si>
  <si>
    <t>ที่ชาจ</t>
  </si>
  <si>
    <t>7743cd2b-7a5d-4dd3-bf00-5a34dcb0ef80</t>
  </si>
  <si>
    <t>20:44</t>
  </si>
  <si>
    <t xml:space="preserve">สายคล้อง หมอน กาตูน</t>
  </si>
  <si>
    <t>f3056a7e-e7ce-4891-a2a7-b6a566db2246</t>
  </si>
  <si>
    <t>55109c1a-8af0-465b-b7e3-2777aa2103c9</t>
  </si>
  <si>
    <t>2022-08-07</t>
  </si>
  <si>
    <t xml:space="preserve">ชะอำ 6 aug ของฝาก</t>
  </si>
  <si>
    <t>bbf45d34-a4fb-40b1-a5be-2593aa61a0b8</t>
  </si>
  <si>
    <t>10:33</t>
  </si>
  <si>
    <t xml:space="preserve">ชะอำ 6 aug ชาไทย baugett</t>
  </si>
  <si>
    <t>c57a6718-fb1d-448c-a1cc-70e41cd003e0</t>
  </si>
  <si>
    <t>ของฝากชะอำ</t>
  </si>
  <si>
    <t>0070e411-fe65-41e1-a363-764f980a0753</t>
  </si>
  <si>
    <t>8e3d0e0b-3559-4120-aae6-8434a1108e70</t>
  </si>
  <si>
    <t xml:space="preserve">ชะอำ 6 aug diamond dust coffee</t>
  </si>
  <si>
    <t>308c5f89-cdf7-4fa7-936a-5b72c2caa6a1</t>
  </si>
  <si>
    <t>13:55</t>
  </si>
  <si>
    <t xml:space="preserve">ชะอำ 6 aug ครัวห้วยทราย</t>
  </si>
  <si>
    <t>102b5de4-c765-4faf-adf1-7ee89920b625</t>
  </si>
  <si>
    <t>fbb50487-3bb5-44c2-b85a-6e594d738c6b</t>
  </si>
  <si>
    <t xml:space="preserve">ชะอำ 6 aug ครัวห้วยทราย 1650 ลบยอดโอนคืน 350</t>
  </si>
  <si>
    <t>47e8e933-c037-4d3d-8c2b-fb20a17121d4</t>
  </si>
  <si>
    <t xml:space="preserve">ชะอำ 6 aug kfc</t>
  </si>
  <si>
    <t>b838dd31-3585-49ba-b88c-50740e59246e</t>
  </si>
  <si>
    <t xml:space="preserve">ชะอำ 6 aug น้ำมันเริ่มทริป</t>
  </si>
  <si>
    <t>52f427e4-54de-4f2b-bda3-825162404607</t>
  </si>
  <si>
    <t>2b0e31d5-fc41-4456-87fa-135794191a34</t>
  </si>
  <si>
    <t>2022-08-06</t>
  </si>
  <si>
    <t>06:03</t>
  </si>
  <si>
    <t xml:space="preserve">ข้าวสี่ order 3-4 สค 193 237 102 267</t>
  </si>
  <si>
    <t>ea8bbf89-86e1-4636-b31a-eab9c6666673</t>
  </si>
  <si>
    <t>5bf6fb2b-d5b0-45a3-8f25-33a3c80bea8d</t>
  </si>
  <si>
    <t>สำรองจ่ายกองกลาง</t>
  </si>
  <si>
    <t>2f6f4606-392d-42b9-9db1-55444e75c89e</t>
  </si>
  <si>
    <t>c6344de0-91b6-4e1f-91db-9bc3776bbe87</t>
  </si>
  <si>
    <t>blackcanyon</t>
  </si>
  <si>
    <t>44a199db-8b88-46d9-9fc9-861b63ac29d1</t>
  </si>
  <si>
    <t xml:space="preserve">ชะอำ 6 aug กะเพราเนื้อตุ๋น</t>
  </si>
  <si>
    <t>423f05a4-4f5e-466a-9e50-85c321ffde68</t>
  </si>
  <si>
    <t>14:16</t>
  </si>
  <si>
    <t xml:space="preserve">ชะอำ 6 aug ขนมครก</t>
  </si>
  <si>
    <t>753d2407-7659-4836-a42f-b7b00adc01d2</t>
  </si>
  <si>
    <t xml:space="preserve">ชะอำ 6 aug cafe amazon</t>
  </si>
  <si>
    <t>cb2dce36-d702-4181-9609-7a30d289e867</t>
  </si>
  <si>
    <t xml:space="preserve">ชะอำ 6 aug โรตี</t>
  </si>
  <si>
    <t>f58dc484-b2df-464c-add5-a730c41d4e7b</t>
  </si>
  <si>
    <t xml:space="preserve">ชะอำ 6 aug ตลาดโต้รุ่ง หมู 150 40</t>
  </si>
  <si>
    <t>5d933d1c-cb00-489e-b62f-46299632d18f</t>
  </si>
  <si>
    <t>2022-08-05</t>
  </si>
  <si>
    <t>fc46bc70-8d17-4cad-8b75-f2b03c650cab</t>
  </si>
  <si>
    <t>ตุ้กริมคลอง</t>
  </si>
  <si>
    <t>960c13c9-5bd3-48cf-b338-32a6cfe498f7</t>
  </si>
  <si>
    <t>เจริญรส</t>
  </si>
  <si>
    <t>ba235b48-94a1-4e70-80e5-e106021f2c98</t>
  </si>
  <si>
    <t>2022-08-04</t>
  </si>
  <si>
    <t xml:space="preserve">เขียง หง wfh</t>
  </si>
  <si>
    <t>e8d709b4-bb42-4f14-baab-96c28dff06e2</t>
  </si>
  <si>
    <t>2022-08-03</t>
  </si>
  <si>
    <t>b920607c-9166-4fab-91bd-0f16cb2b68db</t>
  </si>
  <si>
    <t>2022-08-02</t>
  </si>
  <si>
    <t>a4a12168-a5cf-4ac6-af34-bb9cfca55260</t>
  </si>
  <si>
    <t>coffeelism+YAKKCAFE</t>
  </si>
  <si>
    <t>ddbdfbcd-585f-4d8b-96aa-cd3c819d66e7</t>
  </si>
  <si>
    <t>905ae240-72f1-458a-a510-bd56d2ac5041</t>
  </si>
  <si>
    <t>2b248e2f-75c9-43b5-8f9a-da5f27a98c09</t>
  </si>
  <si>
    <t>2022-08-01</t>
  </si>
  <si>
    <t>7c1cd322-5552-4b30-b8ad-4bb848e34b41</t>
  </si>
  <si>
    <t>61c43acc-daa4-4486-99ce-6a99abd38b5b</t>
  </si>
  <si>
    <t>2022-07-31</t>
  </si>
  <si>
    <t>14326237-2aa6-4c33-96f2-c9f7002ee063</t>
  </si>
  <si>
    <t>2022-07-29</t>
  </si>
  <si>
    <t>ab8bcddd-9c61-4cad-a4c5-a0a59e9bcac3</t>
  </si>
  <si>
    <t>2022-07-28</t>
  </si>
  <si>
    <t>สายไฟ</t>
  </si>
  <si>
    <t>a89ff5e9-d9f4-430d-8adb-fc28b58149c3</t>
  </si>
  <si>
    <t>e7a59669-05c8-453f-88b1-f386d829c40a</t>
  </si>
  <si>
    <t>2022-07-27</t>
  </si>
  <si>
    <t>มงคลชัย</t>
  </si>
  <si>
    <t>88b153a8-b642-4eda-90f5-8d8d67d7ce2f</t>
  </si>
  <si>
    <t>79c17b08-93b9-4985-9333-999211d3167b</t>
  </si>
  <si>
    <t>2022-07-26</t>
  </si>
  <si>
    <t>53832335-c47c-4738-8c1d-9808bdcdce0c</t>
  </si>
  <si>
    <t>rc_acc_1781955063348_jnjs</t>
  </si>
  <si>
    <t>cb2e167a-2315-4310-b3ce-7f3bf416f4f0</t>
  </si>
  <si>
    <t>064dc89f-a579-4a8c-bab4-8c0148278c4b</t>
  </si>
  <si>
    <t>0260cd0f-05ed-437a-9788-f7a64b6f8392</t>
  </si>
  <si>
    <t>a1e7c2d0-79d6-4d1f-ac79-b3bf87f14438</t>
  </si>
  <si>
    <t>2022-07-25</t>
  </si>
  <si>
    <t>09:31</t>
  </si>
  <si>
    <t>fa05c6bf-227a-4e2e-b7fd-b650a7191738</t>
  </si>
  <si>
    <t>65d7c41a-90b9-49de-b557-4ca5fabcb559</t>
  </si>
  <si>
    <t>eabfdacf-ef90-469c-b342-2df5bae4676d</t>
  </si>
  <si>
    <t>79eb4dab-3de9-46ca-a93d-ff2cb35bebf9</t>
  </si>
  <si>
    <t>2022-07-23</t>
  </si>
  <si>
    <t>d1384950-5df7-4296-9b72-7f329667044e</t>
  </si>
  <si>
    <t>3092f236-65a1-48de-8b94-d7e3c38e4974</t>
  </si>
  <si>
    <t>4946ac53-2836-4dad-a229-f029a854107c</t>
  </si>
  <si>
    <t>2a045941-4383-4c8a-b37b-0921d78e1cfe</t>
  </si>
  <si>
    <t>039b5683-d635-47a9-bba3-40b2bb8ef1bd</t>
  </si>
  <si>
    <t>7d04e9e8-61ad-4378-9cf3-22357da74ea3</t>
  </si>
  <si>
    <t>ec43f099-0f2c-4b3a-bf0e-6c98cd8b091f</t>
  </si>
  <si>
    <t>ad4daf44-e933-45b5-aac0-282f0c5b747f</t>
  </si>
  <si>
    <t>29f5182f-bd87-43f9-9186-3cd8759aa738</t>
  </si>
  <si>
    <t xml:space="preserve">s7 case</t>
  </si>
  <si>
    <t>3cf947d5-3878-422d-b12c-d9a0e798d8d7</t>
  </si>
  <si>
    <t>e8029928-2122-42b4-9346-26611cc8e740</t>
  </si>
  <si>
    <t>e2b41ae9-fc83-4ce9-9b0f-d9aadc14b6c0</t>
  </si>
  <si>
    <t>07d3d303-f207-42d7-b828-5b2c0f09c949</t>
  </si>
  <si>
    <t>ส่วนของวัด</t>
  </si>
  <si>
    <t>f55ddf1f-5389-4fe1-b157-7072dbf0705c</t>
  </si>
  <si>
    <t>36e85d52-5f87-4cea-ba80-fa4c5c1fd00e</t>
  </si>
  <si>
    <t>5e41caa6-d5e0-4ebe-9e23-f177d78eaaeb</t>
  </si>
  <si>
    <t>b9854eaa-e1ca-41ce-9ea8-5b87f703e736</t>
  </si>
  <si>
    <t>4c9132aa-da88-4b1a-bf03-38c112067f83</t>
  </si>
  <si>
    <t>81b4bf5b-b9db-4807-beca-484c63502936</t>
  </si>
  <si>
    <t>c30fe408-0e19-4c77-b2aa-ad3aeb587f53</t>
  </si>
  <si>
    <t>a40a4141-e91c-4bcd-af9e-075fd59d96fb</t>
  </si>
  <si>
    <t xml:space="preserve">ffbe wotv</t>
  </si>
  <si>
    <t>5fc765fe-dfb1-428f-bd2c-8db8d90fae70</t>
  </si>
  <si>
    <t>2022-07-22</t>
  </si>
  <si>
    <t>81493b90-a2cf-47b8-b121-e499063eb2ba</t>
  </si>
  <si>
    <t>ec65e9e9-9e77-4913-83a5-fccf32e8c77f</t>
  </si>
  <si>
    <t>izakaya</t>
  </si>
  <si>
    <t>b53017b8-c17b-48bc-b6b7-f6bc5bc5dfbb</t>
  </si>
  <si>
    <t>2022-07-21</t>
  </si>
  <si>
    <t>a071e5f5-8449-476b-aacc-a3a937dcab60</t>
  </si>
  <si>
    <t>46cc5516-615b-4a94-b992-ff5bea8815c3</t>
  </si>
  <si>
    <t>9813e3fa-c8a9-4ec8-81ed-9cadfc6537e9</t>
  </si>
  <si>
    <t>2022-07-20</t>
  </si>
  <si>
    <t>e7bf110f-e4db-4019-b953-664d326d6286</t>
  </si>
  <si>
    <t>1e22bbbc-f0d0-4d14-bcd8-5502c1bc7167</t>
  </si>
  <si>
    <t>2022-07-19</t>
  </si>
  <si>
    <t>f3cf5b6c-90a7-4094-ad87-d4fb650fba1e</t>
  </si>
  <si>
    <t>2022-07-18</t>
  </si>
  <si>
    <t>จั๊บยวน</t>
  </si>
  <si>
    <t>e9c6cbf4-c9c5-4906-90f3-0b4a3af7af5c</t>
  </si>
  <si>
    <t>a5bf21c0-8224-4536-920b-4b1234229370</t>
  </si>
  <si>
    <t>2022-07-15</t>
  </si>
  <si>
    <t>15a000d4-a08b-416a-90ca-bd646b099cf1</t>
  </si>
  <si>
    <t>2022-07-14</t>
  </si>
  <si>
    <t>bf5eebc6-5238-4be5-aa8e-a0b14ba9e846</t>
  </si>
  <si>
    <t>94dc9d78-f7a2-48d0-bb47-383d73451819</t>
  </si>
  <si>
    <t>ตุ๊กริมคลอง</t>
  </si>
  <si>
    <t>3e4a97d9-d694-47e8-9a2f-571802beba1a</t>
  </si>
  <si>
    <t>56f2c353-bb4b-4b26-89e3-b33bd0bb643a</t>
  </si>
  <si>
    <t>9695f2d4-a3b9-4a9a-b893-cffda2198049</t>
  </si>
  <si>
    <t>2022-07-13</t>
  </si>
  <si>
    <t xml:space="preserve">standard burger</t>
  </si>
  <si>
    <t>8427ca2d-b5bb-4dd6-9db7-6e128f3e8b3d</t>
  </si>
  <si>
    <t>เต่าบิน</t>
  </si>
  <si>
    <t>efa45b58-6470-4f19-b1a8-f0653d7045ed</t>
  </si>
  <si>
    <t>2022-07-12</t>
  </si>
  <si>
    <t>f0743ce8-89d4-4d9d-8193-c61704d3e1f6</t>
  </si>
  <si>
    <t>d475ce1d-4b03-4fb6-84ca-4e6167f62e5e</t>
  </si>
  <si>
    <t>17:37</t>
  </si>
  <si>
    <t xml:space="preserve">tab s7fe</t>
  </si>
  <si>
    <t>bff397c5-2e9b-4a93-905b-fcc96ab8a3b7</t>
  </si>
  <si>
    <t>ของเซ่เว่น</t>
  </si>
  <si>
    <t>af0adaec-1d0a-4201-bfa1-e75a1eecb3f6</t>
  </si>
  <si>
    <t>6def5ad6-1fa3-44e5-91d4-b762f90b5c54</t>
  </si>
  <si>
    <t>2741df72-c772-44a7-8c80-929ca8003563</t>
  </si>
  <si>
    <t>2022-07-11</t>
  </si>
  <si>
    <t>834114ef-48dc-4242-8814-fd1196f8c68c</t>
  </si>
  <si>
    <t>2022-07-10</t>
  </si>
  <si>
    <t>15:49</t>
  </si>
  <si>
    <t>(6/6)</t>
  </si>
  <si>
    <t>e7174e0c-9291-46ed-8eac-424cbfb44091</t>
  </si>
  <si>
    <t>2022-07-09</t>
  </si>
  <si>
    <t>11ad3bb4-2ccf-424b-a867-ceedfac503e6</t>
  </si>
  <si>
    <t>4f3b1663-f080-49ba-b53f-0f9493d5985c</t>
  </si>
  <si>
    <t>e194c389-f742-411d-840c-259892b48158</t>
  </si>
  <si>
    <t>2022-07-07</t>
  </si>
  <si>
    <t>haircut</t>
  </si>
  <si>
    <t>175f71cc-c0d1-42fc-8fb6-522c8951e1e5</t>
  </si>
  <si>
    <t>2022-07-06</t>
  </si>
  <si>
    <t>ee2a7129-3aff-4770-a2cc-cf3cdbfa098d</t>
  </si>
  <si>
    <t>f37a07f8-80aa-4dec-993b-779ea8186c21</t>
  </si>
  <si>
    <t>6c3a56f9-84bd-44c3-a29a-1675fa5066c4</t>
  </si>
  <si>
    <t>2022-07-05</t>
  </si>
  <si>
    <t>ea1059b5-bf11-4c55-bff0-017b97185d9e</t>
  </si>
  <si>
    <t>5c8a71c7-a36e-4f81-9b06-efe8a2ef9ff2</t>
  </si>
  <si>
    <t>2022-07-04</t>
  </si>
  <si>
    <t>5dc6c6b3-f2e7-4c9a-9fc2-8d500ac21c6f</t>
  </si>
  <si>
    <t>ca9346d4-dcdd-449b-9418-eb792d5e1ec3</t>
  </si>
  <si>
    <t>2022-07-03</t>
  </si>
  <si>
    <t>965a2698-fbf2-4279-b03f-c8318350daa1</t>
  </si>
  <si>
    <t>213c6ee8-2bef-45e2-a765-c02e57b44ba2</t>
  </si>
  <si>
    <t>30a5e32f-2b57-4e86-83db-5d7d688245db</t>
  </si>
  <si>
    <t>2022-07-02</t>
  </si>
  <si>
    <t>8dcebd76-3f55-4335-8652-68dc5b993740</t>
  </si>
  <si>
    <t>1145ad32-2033-4036-bb8f-e3fd583f4a7c</t>
  </si>
  <si>
    <t>4e40e3c5-befc-440b-9495-be691e819997</t>
  </si>
  <si>
    <t>15:05</t>
  </si>
  <si>
    <t>budds</t>
  </si>
  <si>
    <t>6310bd18-95d1-43fd-9f49-207b6ca69dab</t>
  </si>
  <si>
    <t>15:06</t>
  </si>
  <si>
    <t>เกี้ยวซ่า</t>
  </si>
  <si>
    <t>60162e76-bd3d-40f5-bab7-63b26b59a7e7</t>
  </si>
  <si>
    <t>2022-07-01</t>
  </si>
  <si>
    <t>21f4b08e-0a92-4a8c-ad23-d83e401af16e</t>
  </si>
  <si>
    <t>6b382e1a-dc5c-4282-8da0-367755faa2c3</t>
  </si>
  <si>
    <t>057ef70a-4c27-4baa-8676-453e9e2b726a</t>
  </si>
  <si>
    <t>f0279cf4-1c02-4683-8c68-586da7da118a</t>
  </si>
  <si>
    <t>2022-06-30</t>
  </si>
  <si>
    <t>20:56</t>
  </si>
  <si>
    <t>cedae848-18ab-4015-a6dc-1851efb23a35</t>
  </si>
  <si>
    <t>2022-06-28</t>
  </si>
  <si>
    <t>ac099e62-e275-4010-a7fd-92e5dc52f959</t>
  </si>
  <si>
    <t>543e6102-2b80-43ff-9c8d-91f97c007caf</t>
  </si>
  <si>
    <t>75c2e07c-cf67-4136-83c4-b858c19d73ac</t>
  </si>
  <si>
    <t>2022-06-27</t>
  </si>
  <si>
    <t>3ab88745-83c0-41f0-8933-295df1f140cf</t>
  </si>
  <si>
    <t>158bf4fc-1f29-4639-95c1-4b155219c91c</t>
  </si>
  <si>
    <t>a006705a-56d8-4655-9f0f-747fe72e4579</t>
  </si>
  <si>
    <t>808c6b32-7b44-43de-9ee8-abaa49c5014b</t>
  </si>
  <si>
    <t>c414eb2d-7bea-4601-906a-def7d201613f</t>
  </si>
  <si>
    <t>083bb56b-a714-4d86-99b8-67465b1801f2</t>
  </si>
  <si>
    <t>c3f5ae39-380d-47f8-9894-3688cb93bb46</t>
  </si>
  <si>
    <t>f1156304-c8f9-4365-8655-a58fafd3de2d</t>
  </si>
  <si>
    <t>c9163413-5c31-4515-98b3-53b4c7f7796f</t>
  </si>
  <si>
    <t>392f2ee3-352f-41c5-ab2f-685841f43f92</t>
  </si>
  <si>
    <t>6348970b-13f1-4c1c-a5cd-aec404296000</t>
  </si>
  <si>
    <t>2022-06-26</t>
  </si>
  <si>
    <t>fd8ef85e-ad45-4cae-a2fe-ec3ad97ccdb5</t>
  </si>
  <si>
    <t>a627a095-1861-4b65-b18d-6ae0801a7150</t>
  </si>
  <si>
    <t>a2791344-1a96-4381-9dfd-d4817cedec25</t>
  </si>
  <si>
    <t>20:31</t>
  </si>
  <si>
    <t>fb6d0ce8-7aa3-4678-a591-af15dabd4828</t>
  </si>
  <si>
    <t xml:space="preserve">ค่าเนต มิย</t>
  </si>
  <si>
    <t>ac2f7c3d-a284-45d0-8d12-b93222d1b474</t>
  </si>
  <si>
    <t>20:50</t>
  </si>
  <si>
    <t>ของเซเว่น</t>
  </si>
  <si>
    <t>7d8ab453-529d-4d7e-a946-6e7f6c82000e</t>
  </si>
  <si>
    <t>79b2f56c-35c7-4285-a261-410ea51a3bb8</t>
  </si>
  <si>
    <t>2022-06-25</t>
  </si>
  <si>
    <t>3913c2d3-0166-4bc6-9b18-3c54bca3bf91</t>
  </si>
  <si>
    <t>699ee54c-fb02-4fda-ad59-bbb0a88245fe</t>
  </si>
  <si>
    <t>2022-06-23</t>
  </si>
  <si>
    <t>93711ec2-98f6-4ac2-be2f-ee5d83c8cb49</t>
  </si>
  <si>
    <t>พวงหรีด</t>
  </si>
  <si>
    <t>62549475-da6e-424f-9ed6-54867e718044</t>
  </si>
  <si>
    <t>2022-06-22</t>
  </si>
  <si>
    <t>6b630817-4c46-4e86-9124-673747371a23</t>
  </si>
  <si>
    <t>งานศพตานัท</t>
  </si>
  <si>
    <t>6f526210-6f23-4f2a-8bd3-952de23a0a3d</t>
  </si>
  <si>
    <t>4bb6b2ed-e2df-4acd-8da7-5fc08bbe575c</t>
  </si>
  <si>
    <t>2022-06-21</t>
  </si>
  <si>
    <t>f22ae97b-25fc-40df-aaa5-021528771d35</t>
  </si>
  <si>
    <t>d3f6cf01-47c3-4b85-87bf-36f3c512725c</t>
  </si>
  <si>
    <t>2022-06-20</t>
  </si>
  <si>
    <t>459a1842-7a05-47cf-89c2-bf9d1b89670d</t>
  </si>
  <si>
    <t>2022-06-19</t>
  </si>
  <si>
    <t>9ce8afcc-1a50-4346-b3cb-b2a0bed5ee7c</t>
  </si>
  <si>
    <t>2022-06-18</t>
  </si>
  <si>
    <t>c2157676-9902-4493-b2ab-ed219a3a3de9</t>
  </si>
  <si>
    <t>4fc44be2-9c1d-4f13-8180-25c29f87a71c</t>
  </si>
  <si>
    <t>2022-06-17</t>
  </si>
  <si>
    <t xml:space="preserve">keyboard ส่วนของพงศ์</t>
  </si>
  <si>
    <t>8b3691a2-8954-4496-aea9-f30c2e252e36</t>
  </si>
  <si>
    <t>da57d900-b545-47b7-b69a-36642b87d3c1</t>
  </si>
  <si>
    <t>6e2b1d41-b2cd-4055-9185-18bc07f0e254</t>
  </si>
  <si>
    <t>2022-06-16</t>
  </si>
  <si>
    <t>508e8828-ecfc-4e0e-895d-f6a0b17e7fa4</t>
  </si>
  <si>
    <t>2022-06-15</t>
  </si>
  <si>
    <t>ad94b8ca-637e-414c-bb94-225f694eafe2</t>
  </si>
  <si>
    <t>ผ้าม่าน</t>
  </si>
  <si>
    <t>9446b3de-ed31-45d8-9789-ff25aa6d3671</t>
  </si>
  <si>
    <t>2022-06-14</t>
  </si>
  <si>
    <t>ab262fb0-21f4-441c-a781-8fe8069ffa59</t>
  </si>
  <si>
    <t>cddf7ba6-c288-4f3b-8dc5-f53d1f1a62dd</t>
  </si>
  <si>
    <t>14:42</t>
  </si>
  <si>
    <t>น้ำ</t>
  </si>
  <si>
    <t>c5479a28-ff50-4d9e-9651-fe7c7083a47c</t>
  </si>
  <si>
    <t>0270110a-15be-4859-b3cc-1b2b0dade888</t>
  </si>
  <si>
    <t>2022-06-12</t>
  </si>
  <si>
    <t>37062b41-bd21-458c-9022-c1bc8a8953e7</t>
  </si>
  <si>
    <t>af4f2f5f-f5b9-43f3-96ff-9b6c7afed471</t>
  </si>
  <si>
    <t>b23fc68f-7882-4646-8192-e525aa0ca2f6</t>
  </si>
  <si>
    <t>22:06</t>
  </si>
  <si>
    <t xml:space="preserve">ค่า locknlock</t>
  </si>
  <si>
    <t>8724408e-a6e2-41d2-bf5e-ab0760c2ccef</t>
  </si>
  <si>
    <t>2022-06-11</t>
  </si>
  <si>
    <t>2efbfc6b-171d-4958-a114-01347a82005d</t>
  </si>
  <si>
    <t>hafele</t>
  </si>
  <si>
    <t>698e8334-7287-4224-9767-43998772e6cf</t>
  </si>
  <si>
    <t>a862503b-70d1-4477-8748-0ad34701bb8c</t>
  </si>
  <si>
    <t>97b1b5a9-9a4e-4e35-a7a8-c77eb832ea89</t>
  </si>
  <si>
    <t>81b4d9c9-dcce-4128-9f0b-5405b7399b9f</t>
  </si>
  <si>
    <t>keycron</t>
  </si>
  <si>
    <t>3a7ca0ac-616b-40c9-a020-3a1a277c6421</t>
  </si>
  <si>
    <t>b98d877d-2ece-43ba-9e33-ea1263e607a4</t>
  </si>
  <si>
    <t>22:45</t>
  </si>
  <si>
    <t>03e233e9-5ad3-408b-9d30-a3d5f7cae6da</t>
  </si>
  <si>
    <t>2022-06-10</t>
  </si>
  <si>
    <t>79233969-0328-47b0-abe6-8ecb9a4f4e8e</t>
  </si>
  <si>
    <t>(5/6)</t>
  </si>
  <si>
    <t>330f7652-ce31-4b4e-9154-9d2a84c3b1aa</t>
  </si>
  <si>
    <t>2022-06-08</t>
  </si>
  <si>
    <t>ของขวัญเติ้ล</t>
  </si>
  <si>
    <t>48f6a856-3efd-4158-b7b5-1526a85d2054</t>
  </si>
  <si>
    <t xml:space="preserve">เงิน สคส</t>
  </si>
  <si>
    <t>89d574f4-8d0f-42ba-b3f3-e9b2123e2927</t>
  </si>
  <si>
    <t>2022-06-07</t>
  </si>
  <si>
    <t>c5bc8f2e-4598-407e-b6be-464a0223da39</t>
  </si>
  <si>
    <t>ddc58305-7830-4f11-9e28-7da12d1e336c</t>
  </si>
  <si>
    <t>2022-06-06</t>
  </si>
  <si>
    <t>0110d094-5750-495c-aa88-9a620fbdc3fb</t>
  </si>
  <si>
    <t>f9e62bb7-8511-4773-a43a-308fd44d30a7</t>
  </si>
  <si>
    <t>2022-06-04</t>
  </si>
  <si>
    <t>f91b68e7-fcdb-43a1-affd-65436d007b30</t>
  </si>
  <si>
    <t>772efbb8-4743-4d6a-94e4-6657237110ef</t>
  </si>
  <si>
    <t>2022-06-03</t>
  </si>
  <si>
    <t>6971b749-3bc9-4f0f-a390-886810a00795</t>
  </si>
  <si>
    <t>ea006b51-f33e-4d4f-a549-1298058c28de</t>
  </si>
  <si>
    <t xml:space="preserve">tops silomcomplex</t>
  </si>
  <si>
    <t>5d7df778-1abb-47b4-9149-b8fae6867640</t>
  </si>
  <si>
    <t>2022-06-02</t>
  </si>
  <si>
    <t>จั๊บญวน</t>
  </si>
  <si>
    <t>e88eefe5-5fff-428e-be6e-f400689b3067</t>
  </si>
  <si>
    <t>slowbar</t>
  </si>
  <si>
    <t>24191312-8e97-405f-b53d-aaca69adf403</t>
  </si>
  <si>
    <t>2022-06-01</t>
  </si>
  <si>
    <t>d619a890-38f0-4dcd-a28e-e4515d99717b</t>
  </si>
  <si>
    <t>ab8d5cfc-574e-4bbd-aa82-bcea27f917bd</t>
  </si>
  <si>
    <t xml:space="preserve">ผ้าม่าน มัดจำ</t>
  </si>
  <si>
    <t>36e32b21-5506-4adb-91d8-c8fcbc1787a9</t>
  </si>
  <si>
    <t>21:58</t>
  </si>
  <si>
    <t xml:space="preserve">ค่าเนต พค</t>
  </si>
  <si>
    <t>c10b306e-0498-412a-87b2-95710edfb8b7</t>
  </si>
  <si>
    <t>2022-05-31</t>
  </si>
  <si>
    <t>469de5dc-59bb-4548-9cfd-3d541d982af6</t>
  </si>
  <si>
    <t>c4645444-300e-423c-994d-67d54d02a1a3</t>
  </si>
  <si>
    <t>2022-05-30</t>
  </si>
  <si>
    <t>335b4a39-21b7-404e-ac1a-de572c7bd327</t>
  </si>
  <si>
    <t>f185d8b6-4f67-49a8-9fbe-ecad255a53a9</t>
  </si>
  <si>
    <t>eb6c92ec-8a02-441a-8f49-c7df242f3fae</t>
  </si>
  <si>
    <t>05e92769-20f5-4c6b-b844-61b12c5c597f</t>
  </si>
  <si>
    <t>2022-05-28</t>
  </si>
  <si>
    <t>d128cc36-f806-4ace-9405-50e1332d37b8</t>
  </si>
  <si>
    <t>2022-05-27</t>
  </si>
  <si>
    <t>14:01</t>
  </si>
  <si>
    <t>1efbb3ab-cea3-45a3-91c9-07ae0b408165</t>
  </si>
  <si>
    <t>40f51268-d6b1-49d0-9a8f-59d2cf4f8226</t>
  </si>
  <si>
    <t>1845b94d-45b9-4faa-9e3e-1f88e4fa3a73</t>
  </si>
  <si>
    <t>15:07</t>
  </si>
  <si>
    <t>b6d3e48d-1e17-4089-891d-d69365ea2c24</t>
  </si>
  <si>
    <t>0edc4411-a946-45f3-9c30-19646705d2a9</t>
  </si>
  <si>
    <t>cd150bff-afcb-4699-9ff4-998aa01c7316</t>
  </si>
  <si>
    <t xml:space="preserve">annual fee</t>
  </si>
  <si>
    <t>651160ec-ddee-42f4-873d-51043c7f1df4</t>
  </si>
  <si>
    <t>4eb69f4c-0793-4218-aac7-fc99fef8cfba</t>
  </si>
  <si>
    <t>2022-05-26</t>
  </si>
  <si>
    <t>262a9156-99ba-4f42-a79c-f9bbeebdb1a2</t>
  </si>
  <si>
    <t xml:space="preserve">today steak</t>
  </si>
  <si>
    <t>e792dcd3-272b-4f4c-8cce-a5306e568072</t>
  </si>
  <si>
    <t>2022-05-25</t>
  </si>
  <si>
    <t>2821d03a-e17c-42c6-83a5-fd6cb418b86c</t>
  </si>
  <si>
    <t>140b6c22-91e7-4405-a472-fe169e219fae</t>
  </si>
  <si>
    <t>77476a68-c114-46e4-9e59-d924883724f7</t>
  </si>
  <si>
    <t>0955358b-2673-4cd5-9ee6-958dd4a3adfe</t>
  </si>
  <si>
    <t>b445b64f-52bb-4c65-9fb8-e1d990b14852</t>
  </si>
  <si>
    <t>4ec4ca87-a325-48c5-90fb-e1e0a3febcf9</t>
  </si>
  <si>
    <t>f2cd2a1d-5fb8-4c29-b9f0-8151320c3e21</t>
  </si>
  <si>
    <t>00:41</t>
  </si>
  <si>
    <t>5fd3f5a8-4abe-47f3-8d69-63c4eb8f6b82</t>
  </si>
  <si>
    <t>102ae662-1746-4c25-8e81-0debe03096d3</t>
  </si>
  <si>
    <t>2022-05-21</t>
  </si>
  <si>
    <t xml:space="preserve">burger จ่ายให้นิว</t>
  </si>
  <si>
    <t>92a7a53a-ae6e-487a-aefb-39ab20f44de7</t>
  </si>
  <si>
    <t>2b0030d6-8497-4c03-bcb4-f5ef510fe005</t>
  </si>
  <si>
    <t>2022-05-19</t>
  </si>
  <si>
    <t>d817bd81-8ade-4765-a1fc-8de6dd2a4feb</t>
  </si>
  <si>
    <t>1b426147-8c48-4dd4-9bd8-cdca52ef97aa</t>
  </si>
  <si>
    <t>2022-05-18</t>
  </si>
  <si>
    <t>1a2082f1-0e20-4fb7-842d-58bdec2ac85a</t>
  </si>
  <si>
    <t>inter</t>
  </si>
  <si>
    <t>8c770f6a-ff29-4c23-a23e-8545944d6b54</t>
  </si>
  <si>
    <t>b4ed19b7-1f06-449f-8b07-142699d4b01e</t>
  </si>
  <si>
    <t>2022-05-17</t>
  </si>
  <si>
    <t>สมจิตร</t>
  </si>
  <si>
    <t>fef8a1aa-5928-4aec-8917-75bd2dd82e41</t>
  </si>
  <si>
    <t>2022-05-16</t>
  </si>
  <si>
    <t>da0a2893-7ee7-4fc7-8e25-6542eceedf64</t>
  </si>
  <si>
    <t>ff85dec9-17eb-49d0-a18e-59736f49d2b2</t>
  </si>
  <si>
    <t>2022-05-15</t>
  </si>
  <si>
    <t xml:space="preserve">tablet พ่อ</t>
  </si>
  <si>
    <t>49b0ddcc-b371-422c-9332-23d595818f4d</t>
  </si>
  <si>
    <t>2022-05-14</t>
  </si>
  <si>
    <t>719aa9d4-a041-481c-9422-9cdd17401841</t>
  </si>
  <si>
    <t>b131df60-cb33-446b-ac5f-699a9a145b47</t>
  </si>
  <si>
    <t>442b3e7b-0f67-4e33-a01a-18ba5593e4c7</t>
  </si>
  <si>
    <t>5f24ae3a-1a1e-49fd-af8b-88a580627ac7</t>
  </si>
  <si>
    <t>56ddb9c8-a428-435a-885a-3b3905c8179f</t>
  </si>
  <si>
    <t>9579228e-cfa1-483a-9025-92400e729406</t>
  </si>
  <si>
    <t>bread</t>
  </si>
  <si>
    <t>66d22c0f-feb5-465e-bcd9-f61e8edd9587</t>
  </si>
  <si>
    <t>rc_acc_1781955063348_u1qk</t>
  </si>
  <si>
    <t>c19e9337-c3f2-4cc5-b7fe-3af4250bc0fa</t>
  </si>
  <si>
    <t>c4e1bfa8-d9a6-48db-9f82-8422019cab22</t>
  </si>
  <si>
    <t>2022-05-12</t>
  </si>
  <si>
    <t>b3cd1407-2f12-4186-87b3-50c468b93d68</t>
  </si>
  <si>
    <t>34ce5d73-e3a2-4b16-b350-5919974b2edb</t>
  </si>
  <si>
    <t>2c763463-8a8b-4fd7-907f-bbde3c491cc9</t>
  </si>
  <si>
    <t>2022-05-11</t>
  </si>
  <si>
    <t>580df699-f5b1-49a6-990b-e2e1cb5214f9</t>
  </si>
  <si>
    <t>bbac58df-c71f-4b6b-95d7-6054c931b9a7</t>
  </si>
  <si>
    <t>14:34</t>
  </si>
  <si>
    <t xml:space="preserve">usb hub &amp; sfilm</t>
  </si>
  <si>
    <t>52ba6ba0-5083-4641-a96b-bf052ce5ade0</t>
  </si>
  <si>
    <t>2022-05-10</t>
  </si>
  <si>
    <t>d63ccc91-7d22-45c0-9b1f-721f337fdd8b</t>
  </si>
  <si>
    <t>ea508b84-605f-44b6-aace-70a0447bc279</t>
  </si>
  <si>
    <t>ecfc440b-0ebe-4e5b-ae2b-65e352406002</t>
  </si>
  <si>
    <t>(4/6)</t>
  </si>
  <si>
    <t>86505d61-c664-4c97-9138-ba90846d49ee</t>
  </si>
  <si>
    <t>2022-05-08</t>
  </si>
  <si>
    <t>harrods</t>
  </si>
  <si>
    <t>a14a7b8d-636e-4a13-99a8-e28bb5d0290f</t>
  </si>
  <si>
    <t>KFC</t>
  </si>
  <si>
    <t>504de71d-7a75-4d3d-8fe3-2ba83bd16638</t>
  </si>
  <si>
    <t>17:27</t>
  </si>
  <si>
    <t xml:space="preserve">Mister dougnut</t>
  </si>
  <si>
    <t>d914b16a-882c-4291-9292-3b239cc2be2f</t>
  </si>
  <si>
    <t>6a226d9a-995d-403f-b0f2-b9082c329289</t>
  </si>
  <si>
    <t>2022-05-06</t>
  </si>
  <si>
    <t>bc15ba1c-1c5b-48c4-a35e-1a2ee7a00ea4</t>
  </si>
  <si>
    <t>2022-05-05</t>
  </si>
  <si>
    <t>ค่าข้าววันบอร์ดเกม</t>
  </si>
  <si>
    <t>20db25d5-cf0d-4feb-a634-ff0c25a8a227</t>
  </si>
  <si>
    <t>2022-05-04</t>
  </si>
  <si>
    <t>636ac99d-32e9-40f6-9081-faed690b1059</t>
  </si>
  <si>
    <t>2022-05-03</t>
  </si>
  <si>
    <t>14:48</t>
  </si>
  <si>
    <t>26fee5a8-9181-4435-90e4-800de8066905</t>
  </si>
  <si>
    <t>b37f069c-5f3b-45a5-b1be-ff829efe6ffe</t>
  </si>
  <si>
    <t>c092eb36-332d-401b-9d5f-f5f48dac8501</t>
  </si>
  <si>
    <t>2022-05-02</t>
  </si>
  <si>
    <t>กองกลางช่วยออก</t>
  </si>
  <si>
    <t>69f07b34-0b36-4274-8254-457090507e8d</t>
  </si>
  <si>
    <t>07627887-d850-4f57-aa4d-150e6ebc7843</t>
  </si>
  <si>
    <t>2022-05-01</t>
  </si>
  <si>
    <t>4735b3d3-4c8d-40f7-ace7-5acbe1a5f613</t>
  </si>
  <si>
    <t>tsuta</t>
  </si>
  <si>
    <t>874100a5-03ff-4d77-b793-3cd2391e5ca4</t>
  </si>
  <si>
    <t>14:39</t>
  </si>
  <si>
    <t>0125647a-93e8-412e-aaef-9f809cb31e12</t>
  </si>
  <si>
    <t>86db2cee-9ced-461a-b8de-76637418d2e0</t>
  </si>
  <si>
    <t>001282c3-bf21-4c64-bc8f-78baa28eddaf</t>
  </si>
  <si>
    <t>26dd7a58-6248-41bf-9190-2f41233d4056</t>
  </si>
  <si>
    <t>63725e88-192c-42bc-9e56-a43394ff1724</t>
  </si>
  <si>
    <t>น้ำหอม</t>
  </si>
  <si>
    <t>91c2aa95-bd49-42a5-abfa-95bb894919b4</t>
  </si>
  <si>
    <t>salt</t>
  </si>
  <si>
    <t>fdeb8193-4ba8-4d8b-8cf7-b254e0465561</t>
  </si>
  <si>
    <t>2022-04-30</t>
  </si>
  <si>
    <t>14:57</t>
  </si>
  <si>
    <t>8111740c-61cd-4a07-a792-09fceb2ee3a8</t>
  </si>
  <si>
    <t xml:space="preserve">ยอดถึง 27 apr</t>
  </si>
  <si>
    <t>684c4f6c-e5bb-4cf5-8491-cfbbe0de9aa5</t>
  </si>
  <si>
    <t>บัญชีแม่จ่ายเอง</t>
  </si>
  <si>
    <t>8dd145f3-1322-407c-8df6-18ef63722334</t>
  </si>
  <si>
    <t>2022-04-29</t>
  </si>
  <si>
    <t>3f9dd57e-b8e8-4957-9267-050259778eb3</t>
  </si>
  <si>
    <t>426551e5-1bc9-4e43-9324-acde8bbca038</t>
  </si>
  <si>
    <t>2022-04-28</t>
  </si>
  <si>
    <t>08:32</t>
  </si>
  <si>
    <t>f9ca350a-6c78-461e-8dce-1e10610df21a</t>
  </si>
  <si>
    <t>166d0c53-37a0-4a69-8ff4-41993c72ca15</t>
  </si>
  <si>
    <t>df049ce6-9389-4958-a778-98c2feba467d</t>
  </si>
  <si>
    <t>2022-04-26</t>
  </si>
  <si>
    <t>03d2346a-97d8-4133-b855-a9d479e9e897</t>
  </si>
  <si>
    <t>d48b01e2-f555-4c68-bf15-224c9ec1c79d</t>
  </si>
  <si>
    <t>f92b4229-5679-4f77-8618-1df208c4eaab</t>
  </si>
  <si>
    <t>72e89763-091b-423e-9ef4-09a04a4e0e68</t>
  </si>
  <si>
    <t>ad0b8e9a-834d-4f68-9d4d-89dbcd732238</t>
  </si>
  <si>
    <t>57d0fad3-32f8-42b2-8620-1202d038ca23</t>
  </si>
  <si>
    <t>4d0fc574-65b9-4fd6-9bdc-2249bb1f4c19</t>
  </si>
  <si>
    <t>10:42</t>
  </si>
  <si>
    <t>aa5934cf-3caa-458c-8c31-ce09827de974</t>
  </si>
  <si>
    <t>c06a470e-c931-4ffd-9279-007025b66959</t>
  </si>
  <si>
    <t>2022-04-25</t>
  </si>
  <si>
    <t>fa3f3a57-ce6f-44df-a87e-78a700ad1ba1</t>
  </si>
  <si>
    <t>18:42</t>
  </si>
  <si>
    <t>c0ef192b-b3f7-495c-99c1-1be59b1d3eaf</t>
  </si>
  <si>
    <t>2022-04-24</t>
  </si>
  <si>
    <t>a4c52004-3bb0-49a1-9dbd-9dc7bf773a8d</t>
  </si>
  <si>
    <t>2022-04-23</t>
  </si>
  <si>
    <t>a0f8fd2b-4599-4141-989f-055bf2f446da</t>
  </si>
  <si>
    <t>2022-04-22</t>
  </si>
  <si>
    <t>19bf6295-b653-4265-9a57-9d7780b5efa6</t>
  </si>
  <si>
    <t>2022-04-19</t>
  </si>
  <si>
    <t>d2ab883c-09d0-4d5b-b5e5-851c06b11b41</t>
  </si>
  <si>
    <t>2022-04-17</t>
  </si>
  <si>
    <t>14:52</t>
  </si>
  <si>
    <t xml:space="preserve">11 bit</t>
  </si>
  <si>
    <t>dea9b54b-7ce6-430b-9dbb-3b01f841a27a</t>
  </si>
  <si>
    <t>d249322f-0bcd-4280-b32e-7ef5bd2c1d37</t>
  </si>
  <si>
    <t>2022-04-16</t>
  </si>
  <si>
    <t>dbaf7030-a8e1-489e-ae29-36a6ca21e2ed</t>
  </si>
  <si>
    <t>737aa1c0-e1a2-4a0e-b36e-5816eead047c</t>
  </si>
  <si>
    <t>479bf413-b3e6-412b-84b1-e642b822925a</t>
  </si>
  <si>
    <t>b660e91c-70e5-4565-aa78-c7ae1b97da22</t>
  </si>
  <si>
    <t>2022-04-15</t>
  </si>
  <si>
    <t xml:space="preserve">mk gold buffet</t>
  </si>
  <si>
    <t>908f0c09-c208-451d-8612-2994cdfae58d</t>
  </si>
  <si>
    <t>2022-04-14</t>
  </si>
  <si>
    <t>c61d2643-fa63-4ba6-bb4a-4269ea2f79cb</t>
  </si>
  <si>
    <t>41662c70-6bba-4049-83cd-f2132ec03043</t>
  </si>
  <si>
    <t>4bc79979-b54b-42cc-8bfd-0e57b84e2b0a</t>
  </si>
  <si>
    <t>2022-04-13</t>
  </si>
  <si>
    <t xml:space="preserve">369 เนื้อ</t>
  </si>
  <si>
    <t>bfa24d73-1777-4ff5-8e0a-92750bc6f0dc</t>
  </si>
  <si>
    <t>nana</t>
  </si>
  <si>
    <t>1beff15b-a333-487f-8a49-13ccf17fa35e</t>
  </si>
  <si>
    <t>fallabella</t>
  </si>
  <si>
    <t>0d0e4344-2c28-4611-b2f9-6e39e8b9cb90</t>
  </si>
  <si>
    <t xml:space="preserve">เนื้อ กับฟาราเบล เฉพาะยอดเรา 650 +985</t>
  </si>
  <si>
    <t>fe7f3f98-e9bd-492a-9b55-a3c71674c665</t>
  </si>
  <si>
    <t>23:30</t>
  </si>
  <si>
    <t>กับข้าวกับปลา</t>
  </si>
  <si>
    <t>b189706c-7eaf-49e1-91a6-1b47e37d56a5</t>
  </si>
  <si>
    <t>23:39</t>
  </si>
  <si>
    <t xml:space="preserve">ริด วัด นิว โอนให้</t>
  </si>
  <si>
    <t>bdc747ff-94e3-45e1-8129-44ed6da365a9</t>
  </si>
  <si>
    <t>2022-04-11</t>
  </si>
  <si>
    <t>grab</t>
  </si>
  <si>
    <t>4cf33432-0df8-4c4c-9f0a-294df4383424</t>
  </si>
  <si>
    <t>2022-04-10</t>
  </si>
  <si>
    <t>fcc1c8cf-d833-42d5-ad55-cd644b28ba9b</t>
  </si>
  <si>
    <t>(3/6)</t>
  </si>
  <si>
    <t>fbabd8fd-3506-4ea0-b329-259883cdfef1</t>
  </si>
  <si>
    <t>บ้านกาแฟ</t>
  </si>
  <si>
    <t>00a9bc8e-4c51-4471-acd2-af565e7e57b2</t>
  </si>
  <si>
    <t>เคลียยอดฟาร์มสมใจ</t>
  </si>
  <si>
    <t>9d74c56e-ef33-45c4-8ed5-f9439dfcaffa</t>
  </si>
  <si>
    <t>22:38</t>
  </si>
  <si>
    <t>ฟาร์มสมใจ</t>
  </si>
  <si>
    <t>dbf97fa0-1d46-43c8-9765-9c235f681566</t>
  </si>
  <si>
    <t>2022-04-09</t>
  </si>
  <si>
    <t xml:space="preserve">natura cafe</t>
  </si>
  <si>
    <t>85fabc92-7f69-416e-b598-60af2e9afb95</t>
  </si>
  <si>
    <t>633fc7a7-b871-478e-a0e2-3b60f704a367</t>
  </si>
  <si>
    <t xml:space="preserve">books uob</t>
  </si>
  <si>
    <t>d2ace294-31e8-4edd-89e4-d12bd81bea13</t>
  </si>
  <si>
    <t>fc4d9cb6-df90-4e2f-aff1-afaf080f0114</t>
  </si>
  <si>
    <t>2022-04-07</t>
  </si>
  <si>
    <t>db09eb66-5f13-4c8f-a04d-19da07eb48a5</t>
  </si>
  <si>
    <t>99a7830e-4ad7-4776-a5fa-b79cfbd9ba41</t>
  </si>
  <si>
    <t>de9a7a97-8a83-4bc4-b022-3ba0f57ca209</t>
  </si>
  <si>
    <t>2022-04-06</t>
  </si>
  <si>
    <t>atk</t>
  </si>
  <si>
    <t>ce6d254b-faaf-46ce-86ff-8791bb0a3457</t>
  </si>
  <si>
    <t>210cb3ac-7bb6-4add-a16f-94e2aa4e00bf</t>
  </si>
  <si>
    <t>2022-04-05</t>
  </si>
  <si>
    <t xml:space="preserve">powergrid boardgame</t>
  </si>
  <si>
    <t>7fab9d66-99b0-4aa2-9a8b-2935873df058</t>
  </si>
  <si>
    <t>00:48</t>
  </si>
  <si>
    <t>ชั้นวางจอคอม</t>
  </si>
  <si>
    <t>fb6e4bb0-0316-4394-b53a-e38c20352043</t>
  </si>
  <si>
    <t>00:49</t>
  </si>
  <si>
    <t xml:space="preserve">ไม้แขวน กางเกง สาย hdmi</t>
  </si>
  <si>
    <t>655305b4-6dff-47b0-800b-e00afe263455</t>
  </si>
  <si>
    <t>865c380b-654a-4f11-a743-cd1a73ac2863</t>
  </si>
  <si>
    <t>365aa4a8-17a4-4ff1-a47a-7597a75ef013</t>
  </si>
  <si>
    <t>7c62cfd3-8052-4803-97bd-77acd9922cdf</t>
  </si>
  <si>
    <t>96249e0d-dc38-4376-9e70-2441704c707a</t>
  </si>
  <si>
    <t>2022-04-04</t>
  </si>
  <si>
    <t>01:32</t>
  </si>
  <si>
    <t>33f4ba77-1ffc-476a-82f7-b8f0b64c8585</t>
  </si>
  <si>
    <t>2022-04-03</t>
  </si>
  <si>
    <t>2075170f-c545-4806-a58c-917d0cc2debd</t>
  </si>
  <si>
    <t>2022-04-02</t>
  </si>
  <si>
    <t>a01daf6f-00e6-4572-bc14-03fd397ad5e4</t>
  </si>
  <si>
    <t>15:39</t>
  </si>
  <si>
    <t>จ่ายคืน</t>
  </si>
  <si>
    <t>a0ff9c8b-853b-4155-a763-93065140328a</t>
  </si>
  <si>
    <t>c924b6f7-4c18-4fce-8443-c277e25ece3b</t>
  </si>
  <si>
    <t>d8d5cfd1-469f-46ab-ac5d-722a0ed80b58</t>
  </si>
  <si>
    <t>26036073-5c30-415c-825c-44cd30f72146</t>
  </si>
  <si>
    <t xml:space="preserve">pepper lunch</t>
  </si>
  <si>
    <t>88a69286-9ae0-4a77-940e-19f0a27d136a</t>
  </si>
  <si>
    <t>51bb4b2c-8b88-4790-8792-eaedff579eae</t>
  </si>
  <si>
    <t>2022-04-01</t>
  </si>
  <si>
    <t>751ee734-a280-4cfa-b4c7-6dda5b93db5e</t>
  </si>
  <si>
    <t>914ac81c-1bf2-4100-80a9-fd2443c982cb</t>
  </si>
  <si>
    <t>554b971d-b042-4f0a-a960-a787196e5de3</t>
  </si>
  <si>
    <t>616b6ac6-5f91-42dd-ae60-df4a887d0aae</t>
  </si>
  <si>
    <t>2022-03-31</t>
  </si>
  <si>
    <t>a58abba8-7b1b-4437-a908-3155eb232285</t>
  </si>
  <si>
    <t>175e51f7-d2f5-4511-b58f-45a2124d2767</t>
  </si>
  <si>
    <t>bluetooth</t>
  </si>
  <si>
    <t>56d03d12-f949-4811-ae54-70d3f17a9c25</t>
  </si>
  <si>
    <t>2022-03-30</t>
  </si>
  <si>
    <t xml:space="preserve">coin convert คุ้มสึ</t>
  </si>
  <si>
    <t>1ba6cd1e-a102-483a-88f8-ca2a138764f7</t>
  </si>
  <si>
    <t>2022-03-29</t>
  </si>
  <si>
    <t>f9a60883-0af5-4d1c-a18b-199e5f461a53</t>
  </si>
  <si>
    <t xml:space="preserve">pepperlunck shpf</t>
  </si>
  <si>
    <t>089a3bbe-7c6a-49db-8fc2-19168803420e</t>
  </si>
  <si>
    <t>0efc7688-d3a4-44bd-b1dd-ab094170c0d1</t>
  </si>
  <si>
    <t>2022-03-28</t>
  </si>
  <si>
    <t>1f73d06e-164e-4269-b82e-ee47a10ae90a</t>
  </si>
  <si>
    <t>524181e3-f157-4ceb-927a-b7dd98592cee</t>
  </si>
  <si>
    <t>79446020-19d5-4618-a592-8fa70945ab53</t>
  </si>
  <si>
    <t>57fb2af6-c62c-438b-92b0-2b238e868e1f</t>
  </si>
  <si>
    <t>8b45084d-00dd-4f9a-9695-8a3e6a1e4beb</t>
  </si>
  <si>
    <t>6bd1bae8-f254-4431-9bf3-7c80e6c9707f</t>
  </si>
  <si>
    <t>3802bfe1-8b21-4dd3-96e9-70e1abb1e745</t>
  </si>
  <si>
    <t>00:40</t>
  </si>
  <si>
    <t>f52b3dc6-ce7e-4564-a892-0a176ca376e0</t>
  </si>
  <si>
    <t>197a8d13-6b6b-4428-8bfb-169e0a2dd253</t>
  </si>
  <si>
    <t>01:00</t>
  </si>
  <si>
    <t>96572a7c-d4fb-4dd2-85ce-f9eefe15a567</t>
  </si>
  <si>
    <t xml:space="preserve">bangpakok inter</t>
  </si>
  <si>
    <t>10adb248-27b6-4e1a-a22b-6848e15ae95f</t>
  </si>
  <si>
    <t>2022-03-27</t>
  </si>
  <si>
    <t>ขนตู้เย็น</t>
  </si>
  <si>
    <t>2a79dce4-249d-4527-b420-14d1e96dee37</t>
  </si>
  <si>
    <t>39421e35-26f1-4c20-8f39-b8c0aeca359f</t>
  </si>
  <si>
    <t>8d0b30c8-310b-4c7c-8806-9d3a974a2ba6</t>
  </si>
  <si>
    <t>คอหมู</t>
  </si>
  <si>
    <t>766dc5df-f92c-4151-81d4-93c6c856b0ae</t>
  </si>
  <si>
    <t>ขนมปัง</t>
  </si>
  <si>
    <t>d349dc68-afbb-431a-86b2-4fbac32d7938</t>
  </si>
  <si>
    <t>pacamara</t>
  </si>
  <si>
    <t>23b275ab-1952-4dae-8713-90728e3f7de1</t>
  </si>
  <si>
    <t>2022-03-26</t>
  </si>
  <si>
    <t>donki</t>
  </si>
  <si>
    <t>0d1a32a4-ca09-4df6-964c-fc8362e0ea5c</t>
  </si>
  <si>
    <t>lotus</t>
  </si>
  <si>
    <t>5172a44c-af3e-47cd-bac1-742b98679f44</t>
  </si>
  <si>
    <t>2022-03-24</t>
  </si>
  <si>
    <t>d2efbec1-63ea-4aad-9175-e28bf6fad731</t>
  </si>
  <si>
    <t>2022-03-20</t>
  </si>
  <si>
    <t>08:08</t>
  </si>
  <si>
    <t>7fb7dd22-c198-44e6-8cce-c5b530c2d6dd</t>
  </si>
  <si>
    <t>d95bcb0d-016b-4451-989d-21bea438bc56</t>
  </si>
  <si>
    <t>65283990-aa5c-466a-bd13-fe6d8d733660</t>
  </si>
  <si>
    <t xml:space="preserve">t shirt</t>
  </si>
  <si>
    <t>b6b5d673-c1e2-41c6-821f-c8cfc13e4c6f</t>
  </si>
  <si>
    <t>be258859-157c-4dcd-adac-378d8631d8f2</t>
  </si>
  <si>
    <t>14:46</t>
  </si>
  <si>
    <t>70e88125-e448-404c-8ae1-555ed2870dcd</t>
  </si>
  <si>
    <t>404b8c5f-7548-482c-8036-e48e1cb71d21</t>
  </si>
  <si>
    <t xml:space="preserve">บัตร UOB</t>
  </si>
  <si>
    <t>48308508-f3fd-4df3-b652-4f4f48db54f9</t>
  </si>
  <si>
    <t>920caf01-6259-4021-a752-25bdb854137d</t>
  </si>
  <si>
    <t>rc_acc_1781955063348_2vnx</t>
  </si>
  <si>
    <t>a003a8c9-3060-4dc0-9118-172f2ca17e0d</t>
  </si>
  <si>
    <t>14:59</t>
  </si>
  <si>
    <t>rc_acc_1781955063347_pixu</t>
  </si>
  <si>
    <t>27ec1e13-db29-47ea-84dd-319368766c60</t>
  </si>
  <si>
    <t>คิดผิด</t>
  </si>
  <si>
    <t>b5ec9ef6-ce3e-4325-914a-a45fd748fc6a</t>
  </si>
  <si>
    <t>จ่ายค่ารถให้</t>
  </si>
  <si>
    <t>b6456425-c7e8-4cd2-919e-26354060fd1d</t>
  </si>
  <si>
    <t>5076da16-0958-45d7-a13f-3c6a888b26b8</t>
  </si>
  <si>
    <t>2022-03-19</t>
  </si>
  <si>
    <t>dcda9671-011f-4ae0-9a11-1e3fc4c7595c</t>
  </si>
  <si>
    <t>3fec285f-2936-4586-bfcf-d0c868c3599a</t>
  </si>
  <si>
    <t>befc6ee2-21d7-4ee8-a134-b95b5a62bfd4</t>
  </si>
  <si>
    <t>0f19d18d-39e8-46c2-8f19-52a280273122</t>
  </si>
  <si>
    <t>46712fb6-e246-4012-918e-11518b510ba7</t>
  </si>
  <si>
    <t xml:space="preserve">tao bin</t>
  </si>
  <si>
    <t>8206e294-9808-4a4b-949d-145f2cd08429</t>
  </si>
  <si>
    <t>02306f96-b2a4-4624-b289-9fb052d47989</t>
  </si>
  <si>
    <t xml:space="preserve">paybck dq 21/2</t>
  </si>
  <si>
    <t>773ef149-8641-4228-9d6a-62b6cba8a43b</t>
  </si>
  <si>
    <t>6eff7947-46fb-47d8-bb68-b6b804a2ec40</t>
  </si>
  <si>
    <t>ed0abfb4-59f1-4496-a8d7-5812bd270c2e</t>
  </si>
  <si>
    <t>coin</t>
  </si>
  <si>
    <t>3be5a418-4ea1-4f93-b678-37cf6783c47c</t>
  </si>
  <si>
    <t>16c96652-268f-4446-b729-5ee18614a881</t>
  </si>
  <si>
    <t>2022-03-18</t>
  </si>
  <si>
    <t>57cd9791-0a58-4a37-84ca-73075f9ce309</t>
  </si>
  <si>
    <t>cdd00176-d7d5-4b0e-a3ea-9aed5e260200</t>
  </si>
  <si>
    <t xml:space="preserve">auto tax</t>
  </si>
  <si>
    <t>c23a74eb-5298-4a85-9020-41a1b8aac898</t>
  </si>
  <si>
    <t>dq</t>
  </si>
  <si>
    <t>c8e03edb-f72d-416c-9468-ea0b0b372248</t>
  </si>
  <si>
    <t xml:space="preserve">big c water</t>
  </si>
  <si>
    <t>b2a9d965-f342-46fc-8855-e126fee3664c</t>
  </si>
  <si>
    <t>0f0e8c3e-9e6c-4854-bf88-f9b53a77cf01</t>
  </si>
  <si>
    <t>2022-03-17</t>
  </si>
  <si>
    <t>d7703c90-9061-4341-8ae5-21b219e429d6</t>
  </si>
  <si>
    <t>0821630e-58b1-46c5-b2b4-9785563378ca</t>
  </si>
  <si>
    <t xml:space="preserve">lui fire meat</t>
  </si>
  <si>
    <t>a0f0cedd-395c-4d76-b0b8-47a047008d7d</t>
  </si>
  <si>
    <t>2022-03-16</t>
  </si>
  <si>
    <t xml:space="preserve">aui paybackfortrip</t>
  </si>
  <si>
    <t>ea987ed3-f5bc-4f12-a55c-69540d84c7da</t>
  </si>
  <si>
    <t>2022-03-15</t>
  </si>
  <si>
    <t>6c4e8cde-b16a-40c5-b116-fb2f3cdcbfd5</t>
  </si>
  <si>
    <t>2022-03-14</t>
  </si>
  <si>
    <t>31cac034-1448-46e6-842a-74c53e944f97</t>
  </si>
  <si>
    <t>d7a141ef-e97e-4399-876e-6d49a9d1af09</t>
  </si>
  <si>
    <t>2022-03-13</t>
  </si>
  <si>
    <t>5a4a4633-f06c-40ee-9571-ed37a387f66f</t>
  </si>
  <si>
    <t>8a5681aa-f061-417c-862c-f50b215a67da</t>
  </si>
  <si>
    <t>2022-03-12</t>
  </si>
  <si>
    <t>fa966e1d-8691-4bf6-8fe7-daad56738c23</t>
  </si>
  <si>
    <t xml:space="preserve">กาแฟ ร้านแม่อะไรสักอย่าง</t>
  </si>
  <si>
    <t>4e8f56cd-67a2-431e-9c9f-4685164a8c31</t>
  </si>
  <si>
    <t xml:space="preserve">ซอง เติ้ล</t>
  </si>
  <si>
    <t>20f14358-fbad-47e9-b2be-94fba4da57ac</t>
  </si>
  <si>
    <t>noodle</t>
  </si>
  <si>
    <t>3d3ccb5d-1a02-42b2-860a-a3f9231c5560</t>
  </si>
  <si>
    <t>379</t>
  </si>
  <si>
    <t>187b0fa7-3dc8-4e86-b2b7-5d8a02d86e52</t>
  </si>
  <si>
    <t xml:space="preserve">ซอง แมน</t>
  </si>
  <si>
    <t>bfafb837-4150-49f8-a9fe-daf6fdb620e8</t>
  </si>
  <si>
    <t>2022-03-11</t>
  </si>
  <si>
    <t xml:space="preserve">krua see oae</t>
  </si>
  <si>
    <t>90a9bc32-491c-4931-85b6-da063d18aa43</t>
  </si>
  <si>
    <t>d121aba6-9669-4fd2-91ab-a81f6e2fdff7</t>
  </si>
  <si>
    <t>man</t>
  </si>
  <si>
    <t>dea34784-f4a3-4006-b97f-aac6c458ad21</t>
  </si>
  <si>
    <t>0fc3371c-0072-4875-8db6-0907ca176f7e</t>
  </si>
  <si>
    <t>6f346c86-ebf3-47b0-8d2b-4e3c8d97f41e</t>
  </si>
  <si>
    <t>7ffb2fbf-7ca4-4498-95cc-4bac1658323d</t>
  </si>
  <si>
    <t>2e25fcb3-3a10-4c61-873c-c3c16ddd8f8b</t>
  </si>
  <si>
    <t xml:space="preserve">aui roddeeded</t>
  </si>
  <si>
    <t>3dda8b1e-100e-4672-a41e-e743406116f5</t>
  </si>
  <si>
    <t>22:50</t>
  </si>
  <si>
    <t>3c81e39d-bb22-4974-9af9-94018b25b6cc</t>
  </si>
  <si>
    <t>2022-03-10</t>
  </si>
  <si>
    <t>b00ab6f5-d3c4-4804-86ac-e2d06c1df592</t>
  </si>
  <si>
    <t>f3e71b3f-c428-4da9-9e36-c660e432f9eb</t>
  </si>
  <si>
    <t>a2e8d43d-1093-416e-ba07-9e458e6eab6b</t>
  </si>
  <si>
    <t>b1308ddc-a38b-4dd2-a5d0-2477c369eef9</t>
  </si>
  <si>
    <t>54b8778a-79c3-4248-ab91-83cd8c51aaff</t>
  </si>
  <si>
    <t>(2/6)</t>
  </si>
  <si>
    <t>98137ce1-97b0-4d30-9dd3-c82b89aad5a7</t>
  </si>
  <si>
    <t>7bf83a6c-baf5-4ad4-a9c6-0f3d4a771990</t>
  </si>
  <si>
    <t>720c7ab7-a8f6-40c9-8dd0-b1f9ff190ad0</t>
  </si>
  <si>
    <t>2022-03-09</t>
  </si>
  <si>
    <t xml:space="preserve">grab daily</t>
  </si>
  <si>
    <t>04ca98ef-d458-47f7-9f5c-30f6d08c7a21</t>
  </si>
  <si>
    <t>2022-03-08</t>
  </si>
  <si>
    <t>2b2564c5-8516-47f2-9d1b-157c329e128f</t>
  </si>
  <si>
    <t>2022-03-07</t>
  </si>
  <si>
    <t>f18f9676-e680-423d-b4ab-10ddbb99ef75</t>
  </si>
  <si>
    <t>2022-03-06</t>
  </si>
  <si>
    <t>3a050dc7-7d0e-457b-a786-5828cc2fa261</t>
  </si>
  <si>
    <t>4c1fdc80-eece-45cf-b53b-ef87849c0cf2</t>
  </si>
  <si>
    <t>b8aef0a3-6f17-45d4-a7ac-33003d68aa3b</t>
  </si>
  <si>
    <t>c5729f6a-dfbe-4d37-aae9-3c5e74470ecd</t>
  </si>
  <si>
    <t>96ca6c3e-4eba-411d-beb7-c8b4a5c907fa</t>
  </si>
  <si>
    <t>14:10</t>
  </si>
  <si>
    <t xml:space="preserve">pk เถียงนา</t>
  </si>
  <si>
    <t>40fc2e67-0f59-43bf-95b4-ed6d9bb13851</t>
  </si>
  <si>
    <t>00f68a4c-90b2-4df0-a52a-33a381c6a7ed</t>
  </si>
  <si>
    <t>2022-03-05</t>
  </si>
  <si>
    <t xml:space="preserve">pk coffee</t>
  </si>
  <si>
    <t>ca0374f5-08e8-4179-b548-6ff947455a98</t>
  </si>
  <si>
    <t xml:space="preserve">pk ครัวลัดดา</t>
  </si>
  <si>
    <t>7bfb2de3-feb1-4483-b7c2-9bbd9520c9fa</t>
  </si>
  <si>
    <t xml:space="preserve">pk ซอง</t>
  </si>
  <si>
    <t>79405db6-ab3d-4efe-b5c3-462005ae7bd0</t>
  </si>
  <si>
    <t>8721ca32-0bb0-4f3b-89e7-e57efaf2e2c9</t>
  </si>
  <si>
    <t>2022-03-04</t>
  </si>
  <si>
    <t>02:46</t>
  </si>
  <si>
    <t>c38d97b8-06c8-4c8b-b918-5a7da1d3cbf3</t>
  </si>
  <si>
    <t>rbh</t>
  </si>
  <si>
    <t>e6b97647-d344-4a87-998a-0001152c33a5</t>
  </si>
  <si>
    <t xml:space="preserve">pk mac ขาไป</t>
  </si>
  <si>
    <t>db23d1f4-187f-4ee6-8a87-c151e9ba264c</t>
  </si>
  <si>
    <t>2022-03-03</t>
  </si>
  <si>
    <t>5c5174ce-4579-4902-953a-aece76382f9f</t>
  </si>
  <si>
    <t>6a86049b-dd28-4a17-bd34-f08bb2888a32</t>
  </si>
  <si>
    <t>1b2d51eb-9a75-4b7f-b140-51b9dba91884</t>
  </si>
  <si>
    <t>2022-03-01</t>
  </si>
  <si>
    <t>fab89f26-21c1-4474-8025-066f6f5ef10f</t>
  </si>
  <si>
    <t>2022-02-28</t>
  </si>
  <si>
    <t>8b543184-99d6-4763-8bca-8f20bc71967f</t>
  </si>
  <si>
    <t>Fill</t>
  </si>
  <si>
    <t>96aa3158-4708-41d9-a7eb-d6232686775a</t>
  </si>
  <si>
    <t>ข้าวใช้กับวอยเชอ</t>
  </si>
  <si>
    <t>0a8215c3-8c84-4723-8e0c-54834258b768</t>
  </si>
  <si>
    <t>c4853166-c5df-4108-90ff-e0bbca610777</t>
  </si>
  <si>
    <t>2022-02-27</t>
  </si>
  <si>
    <t xml:space="preserve">tops ladya</t>
  </si>
  <si>
    <t>9ef94812-6eb9-415f-8990-fe6daca9181c</t>
  </si>
  <si>
    <t>a03651cc-5f0b-42e5-a604-a3b820e06677</t>
  </si>
  <si>
    <t>627705de-9bcd-474d-bd69-8e0d1b5fe8a2</t>
  </si>
  <si>
    <t>e3a2960a-39fa-45c4-82f4-8b910b218f48</t>
  </si>
  <si>
    <t>2022-02-26</t>
  </si>
  <si>
    <t>3e8d00ba-100e-4481-8b6e-3c7862eedc30</t>
  </si>
  <si>
    <t>คอยน์</t>
  </si>
  <si>
    <t>d8deddff-d1b7-4f43-baf9-d67ea3816530</t>
  </si>
  <si>
    <t>1b9ec244-134a-4778-90d3-b19db9f8adee</t>
  </si>
  <si>
    <t>48f2e33f-7238-43f6-8845-960197ea3e20</t>
  </si>
  <si>
    <t>fb4eae41-1a76-4535-b1c5-f11966510514</t>
  </si>
  <si>
    <t>757e35e4-89e3-4d46-a15e-a1a6a44094eb</t>
  </si>
  <si>
    <t>20:54</t>
  </si>
  <si>
    <t>441b3219-c199-41bc-bc90-5b2ea25f5d51</t>
  </si>
  <si>
    <t>c31ca644-eeb0-4c61-b3ea-ac7034f42d67</t>
  </si>
  <si>
    <t>2022-02-25</t>
  </si>
  <si>
    <t>fill</t>
  </si>
  <si>
    <t>475c5f38-fd1f-447c-8c7a-f893208db191</t>
  </si>
  <si>
    <t>56ac1906-19e6-45bf-84d2-22443dfee1b6</t>
  </si>
  <si>
    <t>2022-02-23</t>
  </si>
  <si>
    <t>726c73ea-85be-4992-a3e0-aa6d46be310d</t>
  </si>
  <si>
    <t>b3505d6d-026c-4f5d-bc19-9b6bc61dec53</t>
  </si>
  <si>
    <t>797779b7-1b0a-4f37-88a6-4493bc6c2cbb</t>
  </si>
  <si>
    <t>71a55c1b-7f08-4da1-84b8-c5cee3e38f7a</t>
  </si>
  <si>
    <t>876f38ee-e48c-43fb-8a16-a71289615fe1</t>
  </si>
  <si>
    <t>d856005a-9c03-4e9f-b89c-4eab4710320a</t>
  </si>
  <si>
    <t>d341da9f-a05f-422f-9a94-4590ab88f31b</t>
  </si>
  <si>
    <t xml:space="preserve">vp star + repay</t>
  </si>
  <si>
    <t>ff3f13a3-bcef-452c-8e6f-b00953f5d119</t>
  </si>
  <si>
    <t>1ef111bb-2a69-4c46-b9ff-194489081626</t>
  </si>
  <si>
    <t>523d9b67-94cb-4f41-ad25-8dfc6108704b</t>
  </si>
  <si>
    <t>00:11</t>
  </si>
  <si>
    <t>2579294f-b97b-4cc6-b8c8-2cff3c32576f</t>
  </si>
  <si>
    <t>YAAK</t>
  </si>
  <si>
    <t>f7a424f9-21f5-4ec7-915a-f90e784c8853</t>
  </si>
  <si>
    <t xml:space="preserve">ถึง 26/2</t>
  </si>
  <si>
    <t>6410c37f-daeb-4274-be73-5038844cc9f1</t>
  </si>
  <si>
    <t>2022-02-22</t>
  </si>
  <si>
    <t>8ea7a7b2-c3b8-447a-8746-957d3ddd5a7f</t>
  </si>
  <si>
    <t>3f965711-beda-4426-beed-cb7deb1996b8</t>
  </si>
  <si>
    <t>2022-02-21</t>
  </si>
  <si>
    <t xml:space="preserve">50 35 30</t>
  </si>
  <si>
    <t>ad06d850-3248-4111-a030-0dbbd65f9893</t>
  </si>
  <si>
    <t>18d2d20a-3398-4adb-9217-f39da1cb2ab7</t>
  </si>
  <si>
    <t>e54ff457-4137-433c-b844-09c7a7930a6a</t>
  </si>
  <si>
    <t xml:space="preserve">dairy queen</t>
  </si>
  <si>
    <t>6ba3090b-e5a5-4427-8e8e-df3e1feeecd9</t>
  </si>
  <si>
    <t>79cb1c62-d26f-493a-ae21-a11e14a882b8</t>
  </si>
  <si>
    <t>2022-02-20</t>
  </si>
  <si>
    <t>09:13</t>
  </si>
  <si>
    <t>10fe5b2b-16d7-4f0f-9761-ce33a166813c</t>
  </si>
  <si>
    <t>ที่พักทริปเติ้ล</t>
  </si>
  <si>
    <t>c19b09ed-fd5c-4191-9ace-d3457e1668d7</t>
  </si>
  <si>
    <t>2022-02-19</t>
  </si>
  <si>
    <t>4b374274-aabc-4a86-bebe-3211a84dc083</t>
  </si>
  <si>
    <t xml:space="preserve">qed 13</t>
  </si>
  <si>
    <t>938536eb-9582-4b2a-90e3-ec249d6f19ea</t>
  </si>
  <si>
    <t>ed196a11-af5e-4689-bee5-dde906fbd3c0</t>
  </si>
  <si>
    <t>a556b4d4-885d-4913-8b17-459c62cbf366</t>
  </si>
  <si>
    <t>2022-02-16</t>
  </si>
  <si>
    <t xml:space="preserve">the alley</t>
  </si>
  <si>
    <t>4e7d8aed-80e4-4cb1-94f2-62e88fe8a17e</t>
  </si>
  <si>
    <t>2022-02-15</t>
  </si>
  <si>
    <t>14f32bad-2cd7-4cec-a69e-a1027130661a</t>
  </si>
  <si>
    <t>e90baa95-a5e8-4469-a91c-38ec1427c00e</t>
  </si>
  <si>
    <t>isakaya</t>
  </si>
  <si>
    <t>d0238a50-8137-41a3-9955-a9ed206e6344</t>
  </si>
  <si>
    <t>2022-02-14</t>
  </si>
  <si>
    <t>2c78a354-3479-414e-8def-d79b08d9074b</t>
  </si>
  <si>
    <t>2fdda738-e13e-42b9-a6f1-ac67b95b75ff</t>
  </si>
  <si>
    <t>e5c1fbbf-3b66-44de-addd-2fd08ab67dbd</t>
  </si>
  <si>
    <t>09a97fde-e53d-4adc-b84c-79dee7cfcca1</t>
  </si>
  <si>
    <t xml:space="preserve">scb port</t>
  </si>
  <si>
    <t>9b3c8591-ac32-4643-aaff-e48d09ac51e3</t>
  </si>
  <si>
    <t xml:space="preserve">oui roddeeded</t>
  </si>
  <si>
    <t>d808fa76-f76f-4154-91ac-77e96e2c31c7</t>
  </si>
  <si>
    <t>43048c0f-064a-4372-9980-a43947b2b367</t>
  </si>
  <si>
    <t>0c4ffce6-6ff8-46ee-aec0-b53d0f40905d</t>
  </si>
  <si>
    <t>b62cb474-6f76-41fd-bb4c-01cecbeb9628</t>
  </si>
  <si>
    <t>bdc20880-bb26-4d07-b7d0-ee96a70d6d53</t>
  </si>
  <si>
    <t>2022-02-12</t>
  </si>
  <si>
    <t>ของเล่นฟรังโฟริน</t>
  </si>
  <si>
    <t>cf8cebca-7ca7-4876-9589-4c471edf0497</t>
  </si>
  <si>
    <t>b3561092-6512-41bd-951b-05c7081d31e9</t>
  </si>
  <si>
    <t>2022-02-10</t>
  </si>
  <si>
    <t>b9b19900-505c-4fcf-925e-3966ddba9638</t>
  </si>
  <si>
    <t>(1/6)</t>
  </si>
  <si>
    <t>321d1c78-413b-4413-a037-1907f8cb6fae</t>
  </si>
  <si>
    <t>2022-02-09</t>
  </si>
  <si>
    <t>ff362bd7-a3b7-4c80-ada9-100d71ce22c1</t>
  </si>
  <si>
    <t>2022-02-06</t>
  </si>
  <si>
    <t>e0aa3b57-acd4-4877-ab04-7a6b371b48b9</t>
  </si>
  <si>
    <t>2022-02-04</t>
  </si>
  <si>
    <t>08981b75-fd90-4546-ab9c-30602df88088</t>
  </si>
  <si>
    <t>2022-02-02</t>
  </si>
  <si>
    <t>95d3906f-64d7-4205-a8bf-f99214bddd48</t>
  </si>
  <si>
    <t xml:space="preserve">ตู้เยน digital door lock</t>
  </si>
  <si>
    <t>28917754-aab7-421f-9d47-63781d363386</t>
  </si>
  <si>
    <t>14:14</t>
  </si>
  <si>
    <t>รับค่าบอร์ดเกมล่วงหน้า</t>
  </si>
  <si>
    <t>072aabfb-a42e-4ec5-9e0d-3dcf0ed51452</t>
  </si>
  <si>
    <t>boardgame</t>
  </si>
  <si>
    <t>7074b0bc-4f3c-403f-9a28-c022974efb33</t>
  </si>
  <si>
    <t xml:space="preserve">ฐาน ฟิล์ม</t>
  </si>
  <si>
    <t>d135644a-8bca-47c8-a21b-4959b15b471c</t>
  </si>
  <si>
    <t>b37451f5-80f1-4200-a082-1e5f80d9eb0e</t>
  </si>
  <si>
    <t>063f177c-91ee-413c-8473-48e0211d1552</t>
  </si>
  <si>
    <t>97974b5e-21b1-4017-8757-6f54091e9af8</t>
  </si>
  <si>
    <t>4bd21363-a70a-410f-ac9c-bf3f14317f36</t>
  </si>
  <si>
    <t>2022-02-01</t>
  </si>
  <si>
    <t>71e84dc4-6806-4737-8b9a-96ca37418f67</t>
  </si>
  <si>
    <t>84abbbdc-d71a-4a02-b5ab-1613c0ce387a</t>
  </si>
  <si>
    <t>07f7a4a6-05da-44a3-9dfd-b7a3a15f4a01</t>
  </si>
  <si>
    <t>2db6c395-f4bb-4564-a1ba-d622aa6dbd7b</t>
  </si>
  <si>
    <t>2022-01-31</t>
  </si>
  <si>
    <t>BARBGON</t>
  </si>
  <si>
    <t>84ec7caa-4241-44d3-8628-e1c68a2f2f2d</t>
  </si>
  <si>
    <t>2022-01-30</t>
  </si>
  <si>
    <t>5d3d0797-559e-47bc-b59e-57daadd98ca6</t>
  </si>
  <si>
    <t>ea08c72b-0101-4002-8980-e1f3c1cd7ce2</t>
  </si>
  <si>
    <t>2022-01-28</t>
  </si>
  <si>
    <t>092b61a8-afb0-49a9-ba24-1628d7add4a4</t>
  </si>
  <si>
    <t>2022-01-26</t>
  </si>
  <si>
    <t>เกาเหลา</t>
  </si>
  <si>
    <t>c3d61e94-7ba3-415d-bb0f-1be60dd80c28</t>
  </si>
  <si>
    <t>2022-01-25</t>
  </si>
  <si>
    <t>7d64ae3f-b14d-426d-9c9c-7025b58a70f4</t>
  </si>
  <si>
    <t>afc5168b-a90a-4e50-847d-78304ad8235c</t>
  </si>
  <si>
    <t>c7a0d06a-9cb0-402f-8812-dcddb958a970</t>
  </si>
  <si>
    <t>181d16aa-3326-4f29-b687-9bac952012b6</t>
  </si>
  <si>
    <t>eb4301d1-5e76-43ac-8783-4d886f0e661b</t>
  </si>
  <si>
    <t>1d16b9ae-5cd9-448b-b2b7-add042c1c718</t>
  </si>
  <si>
    <t>41969719-1468-4f03-8e3e-5e1fb9b94e86</t>
  </si>
  <si>
    <t>39bf498c-c5ac-4c80-add8-a43507cd238c</t>
  </si>
  <si>
    <t>510e18a3-686a-4c4c-9f21-d01746d1ea23</t>
  </si>
  <si>
    <t>2022-01-23</t>
  </si>
  <si>
    <t>11:54</t>
  </si>
  <si>
    <t>d7aa40c6-08fd-4b71-94e3-bce1a88a7e53</t>
  </si>
  <si>
    <t>7a27c764-9c71-4720-97f2-8d0b67a1d193</t>
  </si>
  <si>
    <t>4941935d-ae50-47f3-955a-20473378298a</t>
  </si>
  <si>
    <t>fe60b663-2396-40b4-9bd8-d613e68c6aaa</t>
  </si>
  <si>
    <t>669c23ad-a940-4638-a1d8-6512d79f3a70</t>
  </si>
  <si>
    <t>โคคาจากอุ้ย</t>
  </si>
  <si>
    <t>5611003f-43ee-4a5a-96e5-44dbd9c28f1c</t>
  </si>
  <si>
    <t xml:space="preserve">youtube premium</t>
  </si>
  <si>
    <t>0b9c0526-65b3-49a0-a185-e0f0e42fb2ac</t>
  </si>
  <si>
    <t>2022-01-22</t>
  </si>
  <si>
    <t xml:space="preserve">spirit island app</t>
  </si>
  <si>
    <t>2c22721d-4912-4c13-8aae-2f89e1b92926</t>
  </si>
  <si>
    <t>2022-01-21</t>
  </si>
  <si>
    <t>d5723fdb-5206-4f94-98dd-82a9b7b2ed81</t>
  </si>
  <si>
    <t>4b3c60a0-ce32-458c-97b0-e6fcca2830be</t>
  </si>
  <si>
    <t>2022-01-20</t>
  </si>
  <si>
    <t>afe06a96-b3fe-4df5-b4aa-46365b1fc5ef</t>
  </si>
  <si>
    <t>2022-01-19</t>
  </si>
  <si>
    <t xml:space="preserve">mx master 3</t>
  </si>
  <si>
    <t>1c1db7ae-2c56-45da-bc75-7d43169ebd44</t>
  </si>
  <si>
    <t>2022-01-16</t>
  </si>
  <si>
    <t>7a405d5a-8fcd-45c0-a543-ea8684ba488e</t>
  </si>
  <si>
    <t>2022-01-15</t>
  </si>
  <si>
    <t>5b8e5431-55f2-4737-b684-0083bc48c239</t>
  </si>
  <si>
    <t>moderna</t>
  </si>
  <si>
    <t>6cffefd3-2346-484d-861e-99e8d6b39382</t>
  </si>
  <si>
    <t>d1eae704-9a18-483d-8a77-1124893d829a</t>
  </si>
  <si>
    <t>2022-01-14</t>
  </si>
  <si>
    <t>be695deb-bd08-41f0-9556-22dfb09976b0</t>
  </si>
  <si>
    <t>d40eb26c-44fe-4130-bb1d-ae710fe50a76</t>
  </si>
  <si>
    <t>2022-01-12</t>
  </si>
  <si>
    <t>5d767771-0b12-4c56-ab6d-4e67133d2539</t>
  </si>
  <si>
    <t>2022-01-11</t>
  </si>
  <si>
    <t>2e8d7d41-f419-4587-8264-be54a9bd6063</t>
  </si>
  <si>
    <t>3de179e8-99e5-42fb-8a00-eda3fbc93c2f</t>
  </si>
  <si>
    <t>2022-01-10</t>
  </si>
  <si>
    <t>1dc8cbe9-c6ce-45c2-a2bc-742a905f5ddb</t>
  </si>
  <si>
    <t>2022-01-09</t>
  </si>
  <si>
    <t>ซองงานแต่ง</t>
  </si>
  <si>
    <t>e5587b5d-7b63-4cd4-b258-95233510155d</t>
  </si>
  <si>
    <t>0d7c34e2-24cc-4180-8fe3-2770fae6147a</t>
  </si>
  <si>
    <t>coca</t>
  </si>
  <si>
    <t>f9430763-016a-4071-a733-9bf167c64979</t>
  </si>
  <si>
    <t>2022-01-08</t>
  </si>
  <si>
    <t>rc_cat_1781955063347_s4sz_1781955063349_sg2w</t>
  </si>
  <si>
    <t xml:space="preserve">ซักแห้ง แพงสัส</t>
  </si>
  <si>
    <t>950e7fd5-6e84-4bde-8d0c-47fac9f41c74</t>
  </si>
  <si>
    <t>15:50</t>
  </si>
  <si>
    <t>5dad88ec-72c8-429e-9333-0110c2a04e29</t>
  </si>
  <si>
    <t>dc508743-d9a5-49cb-9385-bd4e9b65c8a3</t>
  </si>
  <si>
    <t>bc1b8f7b-cbfa-4129-bbba-fe10edf9b754</t>
  </si>
  <si>
    <t>2022-01-07</t>
  </si>
  <si>
    <t>6a05694c-dfeb-49f8-a2c6-574db1c809f1</t>
  </si>
  <si>
    <t>cd36551b-cbe0-4283-85d3-8b2b1045a570</t>
  </si>
  <si>
    <t>2022-01-06</t>
  </si>
  <si>
    <t>4e9da82c-e5e1-4c07-ac5e-070b33a9bab7</t>
  </si>
  <si>
    <t>850901ce-8aae-4324-ae31-edc8a736ef03</t>
  </si>
  <si>
    <t>2022-01-05</t>
  </si>
  <si>
    <t>ค่าโทรศัพม์จ่ายล่วงหน้า</t>
  </si>
  <si>
    <t>5d410405-0077-475f-bc82-3795b4aad5c6</t>
  </si>
  <si>
    <t>2022-01-04</t>
  </si>
  <si>
    <t>fdc82208-d400-405c-aae7-90b31abe8b57</t>
  </si>
  <si>
    <t>3e3d0368-40ff-42f1-b382-8339155bb259</t>
  </si>
  <si>
    <t>fee39eff-c97f-4a55-9d18-096c5a85b0d5</t>
  </si>
  <si>
    <t>2022-01-03</t>
  </si>
  <si>
    <t>214ffbde-c4fd-482d-9b51-5df4a53ffc69</t>
  </si>
  <si>
    <t>482c44b6-039e-4289-96f7-85d8968beea7</t>
  </si>
  <si>
    <t>c0939264-ea22-49da-8476-610c51a9409d</t>
  </si>
  <si>
    <t>เกาเกลาเนื้อ</t>
  </si>
  <si>
    <t>17d3010a-1620-429f-b8ea-faa1bf04d076</t>
  </si>
  <si>
    <t>2022-01-02</t>
  </si>
  <si>
    <t>dbc8de6b-eb39-41b4-935d-23d33d83bf4c</t>
  </si>
  <si>
    <t>84d29d1f-951d-48cb-b6d4-3525bbd3b721</t>
  </si>
  <si>
    <t>2022-01-01</t>
  </si>
  <si>
    <t>c4eabaee-a1d5-4f46-9587-e8c48f44f2b9</t>
  </si>
  <si>
    <t>magnum</t>
  </si>
  <si>
    <t>bbe3e263-6d6d-46af-b627-e9260a4728b8</t>
  </si>
  <si>
    <t>2021-12-31</t>
  </si>
  <si>
    <t>343eec4f-6cdd-4065-a173-96af9fba8ecf</t>
  </si>
  <si>
    <t>dec3c9ea-f921-4474-9ff9-88ddb3dafb9d</t>
  </si>
  <si>
    <t>4865afce-803e-46b7-bceb-cadeb2f3f744</t>
  </si>
  <si>
    <t>23:01</t>
  </si>
  <si>
    <t>f62b0b32-4e22-4ec8-a992-9a660b59e3c5</t>
  </si>
  <si>
    <t>9b07d334-d1e6-4ea8-a9c1-625ee0cd60e6</t>
  </si>
  <si>
    <t>23:02</t>
  </si>
  <si>
    <t>2ad3819a-83c2-42a6-be45-84bf9159dcee</t>
  </si>
  <si>
    <t>23:04</t>
  </si>
  <si>
    <t>a3c3717e-00a1-4f3c-9304-b2353a359bee</t>
  </si>
  <si>
    <t>c4d43f9f-577c-4810-8e72-7385abc8cd35</t>
  </si>
  <si>
    <t>fb5622a7-9401-41dd-8a37-05ed6e98887f</t>
  </si>
  <si>
    <t>95cbff11-e00d-4044-be32-7ad0a93b66f7</t>
  </si>
  <si>
    <t>23:06</t>
  </si>
  <si>
    <t>22e1b299-8a76-48d7-85c8-1688c7f67f25</t>
  </si>
  <si>
    <t>f680055d-edb0-4454-8d38-6348e3f5ff04</t>
  </si>
  <si>
    <t>9b178efa-ecf7-4447-916a-e790e4fc8b0f</t>
  </si>
  <si>
    <t>23:22</t>
  </si>
  <si>
    <t>c9a827da-90be-4643-b2bd-fecfdee7390e</t>
  </si>
  <si>
    <t>23:23</t>
  </si>
  <si>
    <t>e55fbec3-e6e0-4470-8aff-17e74c942729</t>
  </si>
  <si>
    <t>23:25</t>
  </si>
  <si>
    <t>978c20be-0d46-4fcc-8ed1-fc4d79f0b81d</t>
  </si>
  <si>
    <t>f8120496-fde9-49b8-a27c-dd04d5173777</t>
  </si>
  <si>
    <t>23:27</t>
  </si>
  <si>
    <t>f5ed1a9b-6844-4af9-a208-7445205859eb</t>
  </si>
  <si>
    <t>23:28</t>
  </si>
  <si>
    <t>d3eded62-b619-4b88-b9c1-04aaa45ef40c</t>
  </si>
  <si>
    <t>2021-12-30</t>
  </si>
  <si>
    <t>0985969d-cd92-4407-a880-dd7cca1afc5a</t>
  </si>
  <si>
    <t>08:09</t>
  </si>
  <si>
    <t>25e9eb3c-c4a3-4223-8ca5-552cd0acb8f3</t>
  </si>
  <si>
    <t>93b39844-e211-41bf-8091-24f9f05f0167</t>
  </si>
  <si>
    <t>02eac684-3254-4e2d-a145-b7888e361489</t>
  </si>
  <si>
    <t>d1cffbc2-73e5-4c9a-84bb-6b287177d48a</t>
  </si>
  <si>
    <t>0ab5d1ce-c5f2-463c-a6e4-482585d2e0fd</t>
  </si>
  <si>
    <t>d92c6f03-b4c1-46c4-b71a-0c8bbc6878d4</t>
  </si>
  <si>
    <t>2021-12-28</t>
  </si>
  <si>
    <t>b1b56d4c-e553-45c8-a14c-55da8ce947db</t>
  </si>
  <si>
    <t>2021-12-27</t>
  </si>
  <si>
    <t>e541692e-fbc3-4e0e-bd0c-2c93e45d16b5</t>
  </si>
  <si>
    <t>0140c5e5-c305-4835-b3f9-efb4f62a9853</t>
  </si>
  <si>
    <t>35ac8670-7e70-4111-b53a-2cf5e118f9dd</t>
  </si>
  <si>
    <t>e0d25efa-e027-4c9e-b3b4-369b7a9657e6</t>
  </si>
  <si>
    <t>95e92683-28c2-49cb-85ee-1e5d7c94dd37</t>
  </si>
  <si>
    <t>85520a6c-6e8f-43fd-a088-d77ee713604b</t>
  </si>
  <si>
    <t>a98c1f2b-54b5-4d06-acdf-4e3041b5777a</t>
  </si>
  <si>
    <t>2c85de65-8cd5-4fa2-b4f2-6d8259913635</t>
  </si>
  <si>
    <t>2021-12-26</t>
  </si>
  <si>
    <t>8f1d4df1-3fbc-4a69-837f-2fea47b70bc4</t>
  </si>
  <si>
    <t>ค่าห้องสำรองจ่าย</t>
  </si>
  <si>
    <t>fa072dd2-f7a4-46c7-8d08-5e456d6d2e1f</t>
  </si>
  <si>
    <t>f10df95f-39da-47c1-ab5a-59902ae386a6</t>
  </si>
  <si>
    <t>2021-12-25</t>
  </si>
  <si>
    <t>00:55</t>
  </si>
  <si>
    <t>1d41a679-ecbd-465c-8a20-7db14d1b6ab4</t>
  </si>
  <si>
    <t>63f8a713-6c2c-4256-b1ea-96c6e284a569</t>
  </si>
  <si>
    <t>7a09d942-bd96-4075-87e9-148104b8cda1</t>
  </si>
  <si>
    <t>22:27</t>
  </si>
  <si>
    <t>09ad4940-982d-4c4c-a4b7-a861a2ea0b0d</t>
  </si>
  <si>
    <t>6a6847c4-e3d3-45e3-a467-399301fc52ed</t>
  </si>
  <si>
    <t>22:54</t>
  </si>
  <si>
    <t>c97153b5-3f42-4a9d-bd40-a20939c7406c</t>
  </si>
  <si>
    <t>2021-12-24</t>
  </si>
  <si>
    <t xml:space="preserve">jabra elite</t>
  </si>
  <si>
    <t>66062e92-2430-43d9-80bb-00d1c0297910</t>
  </si>
  <si>
    <t>4d9151bb-dbe3-41bd-80a7-f43ea9db4fea</t>
  </si>
  <si>
    <t>ranee</t>
  </si>
  <si>
    <t>aa6e16a5-9144-4985-a2ec-704dbbaf848f</t>
  </si>
  <si>
    <t>14:29</t>
  </si>
  <si>
    <t>9c21a2a7-c76d-4913-9902-91ac985629c3</t>
  </si>
  <si>
    <t>2021-12-23</t>
  </si>
  <si>
    <t>a7f305fe-7a02-48f4-a3d4-f21d849aac26</t>
  </si>
  <si>
    <t>21:56</t>
  </si>
  <si>
    <t>9b632795-3d34-4103-a13a-596a3dc1b66d</t>
  </si>
  <si>
    <t>2021-12-22</t>
  </si>
  <si>
    <t>96a9d56a-a2a0-4f20-8967-604a1e5a30f1</t>
  </si>
  <si>
    <t>22:03</t>
  </si>
  <si>
    <t>ed83500d-c868-4ea8-8a1a-00cce939b66a</t>
  </si>
  <si>
    <t>2021-12-21</t>
  </si>
  <si>
    <t>fba9062f-5afd-43f1-aa4d-888e92e475b7</t>
  </si>
  <si>
    <t>2021-12-20</t>
  </si>
  <si>
    <t>083e75f5-a6d0-4c62-971a-8e7ab703e50a</t>
  </si>
  <si>
    <t>2021-12-19</t>
  </si>
  <si>
    <t xml:space="preserve">ห่อปก b2s</t>
  </si>
  <si>
    <t>3a44c446-9410-447b-92df-b720f29e1c11</t>
  </si>
  <si>
    <t>2021-12-18</t>
  </si>
  <si>
    <t>c70df632-480e-4819-af49-14af76e82f20</t>
  </si>
  <si>
    <t>ef21dbca-8931-4637-a9d3-236b1ca8dc83</t>
  </si>
  <si>
    <t>4a945276-5d03-4ddd-ab86-be7acd6fcee0</t>
  </si>
  <si>
    <t>2021-12-17</t>
  </si>
  <si>
    <t>c418800b-4710-4073-8ce1-12bc2a2170dc</t>
  </si>
  <si>
    <t>c95a951e-64ca-4215-8b7f-a86f5e79179c</t>
  </si>
  <si>
    <t>2021-12-16</t>
  </si>
  <si>
    <t>7ef3c811-8e12-4d7f-bdf9-1aaf6b37c300</t>
  </si>
  <si>
    <t>2021-12-15</t>
  </si>
  <si>
    <t>ก๋วยเตี๋ยวสุโขทัย</t>
  </si>
  <si>
    <t>f064f598-9e67-4ae6-960c-9ee0d49ae962</t>
  </si>
  <si>
    <t>9c3679b6-10a8-4a16-a8b3-6e4f14058f2f</t>
  </si>
  <si>
    <t>f780618d-e0a6-4294-8e38-e669b60a0fdd</t>
  </si>
  <si>
    <t>2021-12-14</t>
  </si>
  <si>
    <t>efe61277-064f-412f-8361-0b2d62d55672</t>
  </si>
  <si>
    <t>e4900c46-8611-42c9-8a69-4dbd76db0112</t>
  </si>
  <si>
    <t>21:03</t>
  </si>
  <si>
    <t>d1c6c5e8-10a0-4943-a2c8-994f584e9296</t>
  </si>
  <si>
    <t>2021-12-13</t>
  </si>
  <si>
    <t>e82b81fd-47e9-4227-8674-45c235755cba</t>
  </si>
  <si>
    <t>a788f37d-9f5d-48a3-902c-3eeb548ac62b</t>
  </si>
  <si>
    <t>2021-12-12</t>
  </si>
  <si>
    <t>4dfc1617-8f53-4c6b-868a-d486eb05cc93</t>
  </si>
  <si>
    <t>GQ</t>
  </si>
  <si>
    <t>79ad4a1c-8e4e-4a14-9994-7d60126c2669</t>
  </si>
  <si>
    <t xml:space="preserve">maracaibo lostruinofarnak centurygolem</t>
  </si>
  <si>
    <t>b231c20f-dd16-4a6e-a7c9-232c345fe0f3</t>
  </si>
  <si>
    <t>910310ff-a7e7-4962-917c-af2661d1c4b7</t>
  </si>
  <si>
    <t>b1133275-6a6b-46cb-8e2b-e1651b6511a0</t>
  </si>
  <si>
    <t>9d991f80-667e-4754-ba50-5d36b3409639</t>
  </si>
  <si>
    <t>seasons</t>
  </si>
  <si>
    <t>d4a91b62-f346-4ecb-90fb-e05f93ccd7bd</t>
  </si>
  <si>
    <t>22:30</t>
  </si>
  <si>
    <t>Datacamp</t>
  </si>
  <si>
    <t>2bc531ff-7586-4acc-a98d-c8832addd72c</t>
  </si>
  <si>
    <t>2021-12-11</t>
  </si>
  <si>
    <t>5c2c0054-1aa8-4206-9d0d-185419709956</t>
  </si>
  <si>
    <t>453b7f1c-3608-45d1-9712-40a0e1efb7a0</t>
  </si>
  <si>
    <t>ebd34e1c-e410-43da-bdfe-9a4b694fbcd4</t>
  </si>
  <si>
    <t>krispycream</t>
  </si>
  <si>
    <t>6c699e65-6249-49f6-874a-9036c19dd182</t>
  </si>
  <si>
    <t>21:17</t>
  </si>
  <si>
    <t>carthographer</t>
  </si>
  <si>
    <t>ac6562f0-6ca0-4e2f-9276-198a487b8ec5</t>
  </si>
  <si>
    <t>2021-12-10</t>
  </si>
  <si>
    <t>11:44</t>
  </si>
  <si>
    <t>18f34bc0-ed64-477d-940e-47d35b608cb5</t>
  </si>
  <si>
    <t>มั</t>
  </si>
  <si>
    <t>060e3355-533e-49b2-aed7-3789c8515e65</t>
  </si>
  <si>
    <t xml:space="preserve">เครื่องซักผ้า LG(6/6)</t>
  </si>
  <si>
    <t>5deda905-cbb7-4d42-8bd5-2f50951aed72</t>
  </si>
  <si>
    <t xml:space="preserve">ชั้น พัดลม homepro(6/6)</t>
  </si>
  <si>
    <t>080518a9-c7ea-4ec7-a79e-6ad288c3846e</t>
  </si>
  <si>
    <t>f2b266bf-8898-4861-89ea-caadf87aa03c</t>
  </si>
  <si>
    <t>09909e58-7603-40bf-9dcc-a4233dc9f99a</t>
  </si>
  <si>
    <t>2021-12-09</t>
  </si>
  <si>
    <t>eb73aed2-c11b-400b-8839-402bee9b7b9d</t>
  </si>
  <si>
    <t>3bb6f369-c285-4bbc-b2e2-76ff03087fa1</t>
  </si>
  <si>
    <t>2021-12-05</t>
  </si>
  <si>
    <t>91321d6b-e482-4b1d-99e5-d6ec940a958e</t>
  </si>
  <si>
    <t>63b29835-151a-4d83-8753-31eb2b99d161</t>
  </si>
  <si>
    <t>5948922a-5ec6-4eec-8617-ed49a4649097</t>
  </si>
  <si>
    <t>2021-12-04</t>
  </si>
  <si>
    <t>19dec8aa-c816-4fb6-9409-8cbfab4dc37d</t>
  </si>
  <si>
    <t xml:space="preserve">รวมที่ออกล่วงหน้า 5300 ค่าตรวจสุขภาพ</t>
  </si>
  <si>
    <t>bff4dce9-0bd5-4917-964f-69dca620190d</t>
  </si>
  <si>
    <t xml:space="preserve">ออกล่วงหน้า evenboy</t>
  </si>
  <si>
    <t>69be1d4f-63c0-4b40-9876-a02b8868cffd</t>
  </si>
  <si>
    <t>22:44</t>
  </si>
  <si>
    <t>9605c362-5c97-4539-b79c-249356bbb513</t>
  </si>
  <si>
    <t>10:27</t>
  </si>
  <si>
    <t>d0125b01-b59c-4346-9783-d748dbd4fa5d</t>
  </si>
  <si>
    <t>23:08</t>
  </si>
  <si>
    <t>5077d14f-a3c5-432b-92c5-6c184ac9382e</t>
  </si>
  <si>
    <t>2021-12-01</t>
  </si>
  <si>
    <t>1bfccab5-8fe5-4eeb-b99c-072afe331a6f</t>
  </si>
  <si>
    <t>9322b698-ea7e-4460-b596-79c811f743e9</t>
  </si>
  <si>
    <t>66d0c9ff-29ac-41f4-9809-0f91ec7ab479</t>
  </si>
  <si>
    <t>2021-11-30</t>
  </si>
  <si>
    <t>08:18</t>
  </si>
  <si>
    <t>efa26ad6-6bf6-4c3c-8444-e80d8a61a158</t>
  </si>
  <si>
    <t>e2dea58e-1139-48db-b87d-239e94db9afd</t>
  </si>
  <si>
    <t xml:space="preserve">เบอร์เกอร์ rbh</t>
  </si>
  <si>
    <t>56f45d28-020a-4b8a-b904-9e6eaec5b8e3</t>
  </si>
  <si>
    <t>entertain_1781955063347_2t5k</t>
  </si>
  <si>
    <t>600fba41-6139-46d7-820f-9e03cacf5f09</t>
  </si>
  <si>
    <t>633689e5-cb01-4f7a-a943-1909510b2ae5</t>
  </si>
  <si>
    <t>5f620f7c-773e-41e2-a11e-9e4813c550fb</t>
  </si>
  <si>
    <t xml:space="preserve">สั่งข้าว shopee 91 70 70 57</t>
  </si>
  <si>
    <t>34757089-397e-4922-9033-ee2d1beeea52</t>
  </si>
  <si>
    <t>792a5b85-ef5b-42c7-b947-761ca41415be</t>
  </si>
  <si>
    <t>coffilism</t>
  </si>
  <si>
    <t>fbee98c2-c152-4ad2-be01-18a33c42ff4b</t>
  </si>
  <si>
    <t>68181516-66d9-4e53-93b8-3a545cca0874</t>
  </si>
  <si>
    <t>9a6228b7-d94f-4351-8e9d-085dcc95378b</t>
  </si>
  <si>
    <t>หงโอน</t>
  </si>
  <si>
    <t>63860bb7-49a6-409e-a6be-842f4a1ceb53</t>
  </si>
  <si>
    <t>9702b124-0e2c-4661-95ed-8760a73bb75a</t>
  </si>
  <si>
    <t xml:space="preserve">kraftwagen boardgame</t>
  </si>
  <si>
    <t>1fa1081d-9334-46d1-b75c-e1d33d0c4956</t>
  </si>
  <si>
    <t>f43302a8-07bc-483c-b35b-3b06717c68f4</t>
  </si>
  <si>
    <t>2021-11-29</t>
  </si>
  <si>
    <t>cbe4d3a6-1736-4b0b-8f6d-b84766b90a38</t>
  </si>
  <si>
    <t>2021-11-28</t>
  </si>
  <si>
    <t>193a8287-5f8d-4386-83f1-f771eac27de5</t>
  </si>
  <si>
    <t xml:space="preserve">RBH 24 - 28</t>
  </si>
  <si>
    <t>f332436d-84d6-4405-80df-7a3411d24a05</t>
  </si>
  <si>
    <t>โอนเพิ่ม</t>
  </si>
  <si>
    <t>398f9c7f-57df-49bb-9b70-2b0bf47e8ff1</t>
  </si>
  <si>
    <t>9274146b-3c91-431f-9828-ef2463e1c2b7</t>
  </si>
  <si>
    <t>19f6b6a9-f9e5-471b-bef8-2fdea273d6e0</t>
  </si>
  <si>
    <t>14:21</t>
  </si>
  <si>
    <t>199095b5-7a92-4f7d-9c38-5a36dfb979e0</t>
  </si>
  <si>
    <t>d8ea300c-1960-45de-bb73-a2f2d78debca</t>
  </si>
  <si>
    <t>กล่องขนม</t>
  </si>
  <si>
    <t>40198838-214e-43da-a383-b3f1c4b9cc48</t>
  </si>
  <si>
    <t>7de6b927-5f97-4d7e-9df1-58a3d4042fc5</t>
  </si>
  <si>
    <t>เบอร์เกอร์วันบอดเกม</t>
  </si>
  <si>
    <t>49b79ef6-11f8-4434-b5ab-bbcfaad23b5c</t>
  </si>
  <si>
    <t>530f2703-140d-423d-b9ef-ac33419aa35d</t>
  </si>
  <si>
    <t>2021-11-27</t>
  </si>
  <si>
    <t xml:space="preserve">steam game</t>
  </si>
  <si>
    <t>4bdca62f-1e36-4d45-8c28-9691dfa23712</t>
  </si>
  <si>
    <t>2021-11-26</t>
  </si>
  <si>
    <t>75d35c83-7df7-4521-a482-8d1dc793208a</t>
  </si>
  <si>
    <t xml:space="preserve">เยนตาโฟ และกาแฟ</t>
  </si>
  <si>
    <t>1c1c4a0d-971f-4815-8dc3-b79237a43153</t>
  </si>
  <si>
    <t>a5166be6-b152-4bcd-b2d7-89de7ac1513e</t>
  </si>
  <si>
    <t>2021-11-25</t>
  </si>
  <si>
    <t>735b308b-8aa6-4be1-be8c-68975b94a81e</t>
  </si>
  <si>
    <t>09488fb1-6b96-4c7b-a955-b17adf1d136f</t>
  </si>
  <si>
    <t>6b25c43d-e246-4552-94ba-772dc34ed6d1</t>
  </si>
  <si>
    <t>33b18d39-052e-4b19-a7ab-24d7f16fd700</t>
  </si>
  <si>
    <t>21f0fcdb-887c-497b-b6b6-805cb50fb87e</t>
  </si>
  <si>
    <t>8d114dee-3559-49c1-ba21-5c15a30c2574</t>
  </si>
  <si>
    <t>bd378511-419a-4c38-b573-6945cca6b5d8</t>
  </si>
  <si>
    <t>2021-11-23</t>
  </si>
  <si>
    <t>จี้ฮอง</t>
  </si>
  <si>
    <t>e188a055-7a52-4820-8738-674c6c3f54ab</t>
  </si>
  <si>
    <t>27004924-2e14-4301-8b8e-ce3f24cd883d</t>
  </si>
  <si>
    <t xml:space="preserve">กาฟ asterisk</t>
  </si>
  <si>
    <t>22e763ba-efa2-467f-b3f1-4794de39ca11</t>
  </si>
  <si>
    <t>16:16</t>
  </si>
  <si>
    <t>โรตี</t>
  </si>
  <si>
    <t>be19b26e-a304-4c01-8e23-ea7da398c6b9</t>
  </si>
  <si>
    <t>6ce2f05b-ca78-45d0-96dd-34d0fb68829d</t>
  </si>
  <si>
    <t xml:space="preserve">foodcourt airport</t>
  </si>
  <si>
    <t>1e1966cb-656e-4e74-a1d5-c104adca013c</t>
  </si>
  <si>
    <t xml:space="preserve">carpark fee</t>
  </si>
  <si>
    <t>5fde4967-22cd-4d41-94a8-c19ade9e4d24</t>
  </si>
  <si>
    <t>2021-11-22</t>
  </si>
  <si>
    <t>มาลาติ่มซำ</t>
  </si>
  <si>
    <t>90eb1ef9-9fae-41bc-b02b-4fb7a58ca4c7</t>
  </si>
  <si>
    <t>11:57</t>
  </si>
  <si>
    <t>1ddd92da-eec5-43c8-bdb8-af3dafdf394a</t>
  </si>
  <si>
    <t xml:space="preserve">cafe hill</t>
  </si>
  <si>
    <t>a2f31fb9-42af-4bfb-aef8-087512ef9604</t>
  </si>
  <si>
    <t>ค่ารถขึ้นเขา</t>
  </si>
  <si>
    <t>78644fe1-aed7-40d3-a5e8-3a92ab3e0488</t>
  </si>
  <si>
    <t>ฮ้องข้าวต้มปลา</t>
  </si>
  <si>
    <t>e0a1259b-cef5-4288-a305-80e25d786b7a</t>
  </si>
  <si>
    <t>20:32</t>
  </si>
  <si>
    <t>หวานละมุน</t>
  </si>
  <si>
    <t>3ae8798d-1345-483b-a74e-da9c04c0624a</t>
  </si>
  <si>
    <t>2021-11-21</t>
  </si>
  <si>
    <t>64f33a3e-8745-4f5e-867f-58e5b85a0d45</t>
  </si>
  <si>
    <t>กาแฟเซเว่น</t>
  </si>
  <si>
    <t>b64a6bca-3855-4647-bed6-d9fc66b3ac8e</t>
  </si>
  <si>
    <t xml:space="preserve">pkt2021 ค่าเรือ</t>
  </si>
  <si>
    <t>8c3aa2ce-c1ad-4153-b3de-763736fe594e</t>
  </si>
  <si>
    <t>ซีฟูด</t>
  </si>
  <si>
    <t>bde18acc-265a-4c57-923a-b767c704b980</t>
  </si>
  <si>
    <t>6058e322-f33f-441c-80a4-e7a19472cf4a</t>
  </si>
  <si>
    <t>19:39</t>
  </si>
  <si>
    <t>ไอติม</t>
  </si>
  <si>
    <t>93375e4c-4c3e-41e0-8b83-ee2e638e56e8</t>
  </si>
  <si>
    <t>หมูย่าง</t>
  </si>
  <si>
    <t>a77680b8-e814-47c5-b59a-14c3aab89989</t>
  </si>
  <si>
    <t>2021-11-20</t>
  </si>
  <si>
    <t>amazon</t>
  </si>
  <si>
    <t>826ed18e-2c2e-46b7-899a-238473d60510</t>
  </si>
  <si>
    <t>ค่ารถ</t>
  </si>
  <si>
    <t>c68858c2-5786-4e2b-9bb8-906bf7fa27fc</t>
  </si>
  <si>
    <t>f2b3c08d-fd63-4e80-a836-e8b46ef7fa95</t>
  </si>
  <si>
    <t>13:26</t>
  </si>
  <si>
    <t>6afbb511-71b0-401b-9bca-81f23e122600</t>
  </si>
  <si>
    <t xml:space="preserve">shelter coffee</t>
  </si>
  <si>
    <t>beec11b4-8544-4d6e-85bd-cbe19adffbc4</t>
  </si>
  <si>
    <t>สุชาติไอติมทอด</t>
  </si>
  <si>
    <t>18f920bb-10f0-44bc-98a1-c33a36598e99</t>
  </si>
  <si>
    <t xml:space="preserve">ทอดมันกุ้ง หมูปิ้ง เกี้ยวซ่า วาฟเฟิล ชานม เนื้อ</t>
  </si>
  <si>
    <t>a8104430-7921-4f2c-b641-36697bc65522</t>
  </si>
  <si>
    <t>7109222e-8a7f-49a2-93e3-a8bc35361151</t>
  </si>
  <si>
    <t>2021-11-19</t>
  </si>
  <si>
    <t xml:space="preserve">rbh 14-19</t>
  </si>
  <si>
    <t>ab265a89-4303-4e16-a9b1-1fdcb68ccf91</t>
  </si>
  <si>
    <t>a97b389f-13f7-4415-bda2-e61806d307b1</t>
  </si>
  <si>
    <t>2021-11-16</t>
  </si>
  <si>
    <t>BLACKCANYON</t>
  </si>
  <si>
    <t>640a5b35-7d4f-4d9d-8e09-a10a8b93ba62</t>
  </si>
  <si>
    <t xml:space="preserve">ตรวจสุขภาพ 5300 จ่ายแล้ว</t>
  </si>
  <si>
    <t>0d46ee04-087f-4d02-9565-c18523f41753</t>
  </si>
  <si>
    <t xml:space="preserve">tong rimtang</t>
  </si>
  <si>
    <t>b33639ee-891c-410f-b7be-0ea4cb7f29b0</t>
  </si>
  <si>
    <t>49d188c2-4846-49d9-a247-6a82a9b5c0b6</t>
  </si>
  <si>
    <t xml:space="preserve">amazon kitkat</t>
  </si>
  <si>
    <t>09253424-be9b-49b2-b46d-09d00e5220ee</t>
  </si>
  <si>
    <t>2021-11-15</t>
  </si>
  <si>
    <t>eb8f6dd0-c66e-4c34-a92b-f9798c68e54a</t>
  </si>
  <si>
    <t>2021-11-14</t>
  </si>
  <si>
    <t>a6069927-0a52-4f0f-9062-4ad3ad540854</t>
  </si>
  <si>
    <t>1c915b49-fea2-4438-a800-2cd0f5eae371</t>
  </si>
  <si>
    <t>7e344bc7-b274-4b09-9211-5e5b0d61e1e8</t>
  </si>
  <si>
    <t>267377c3-39e8-4736-ae36-865295eb3245</t>
  </si>
  <si>
    <t xml:space="preserve">kagi + spa trufle</t>
  </si>
  <si>
    <t>b0428423-84c7-4c1d-bc35-5b084484b6ed</t>
  </si>
  <si>
    <t xml:space="preserve">cha tra mue + whtstory</t>
  </si>
  <si>
    <t>f522bab0-ad4e-45a6-9793-125768f52f98</t>
  </si>
  <si>
    <t xml:space="preserve">TOPs ปิ่นเกล้า</t>
  </si>
  <si>
    <t>3a47d469-bb25-4eb6-bd4e-edab790ae543</t>
  </si>
  <si>
    <t>2021-11-13</t>
  </si>
  <si>
    <t>b011d483-76c0-4770-b9cd-d8daf02cc790</t>
  </si>
  <si>
    <t>7995bab5-97a0-4e80-8274-247f5ec0bb07</t>
  </si>
  <si>
    <t>b78b23f7-736b-4269-9d08-fb92d4463624</t>
  </si>
  <si>
    <t>7cdb7c36-0140-4088-ae23-e5f1f831ef62</t>
  </si>
  <si>
    <t>b89c473b-84f4-4d18-a67f-893ceff1c3ea</t>
  </si>
  <si>
    <t>robinhood</t>
  </si>
  <si>
    <t>cceecaa7-ef54-42b4-806c-c4f78d818500</t>
  </si>
  <si>
    <t>a399166b-48ec-40a0-93fc-611b576d0832</t>
  </si>
  <si>
    <t>ของโลตัส</t>
  </si>
  <si>
    <t>5f561217-db9e-4bc6-953a-9b3dce76cc48</t>
  </si>
  <si>
    <t>pizza</t>
  </si>
  <si>
    <t>837b9816-b37d-42f2-8b67-3771cd951bc6</t>
  </si>
  <si>
    <t>5948107b-3688-4f86-bb6c-e9efbb047ef3</t>
  </si>
  <si>
    <t>0cd89a9b-b34a-42f3-87f3-8bf895c21737</t>
  </si>
  <si>
    <t>669203f5-83f9-4409-8a6e-17a5dd2c38d9</t>
  </si>
  <si>
    <t>8d31d7d2-6fd4-429b-b6a9-cb0dc65686ab</t>
  </si>
  <si>
    <t>pkt2021</t>
  </si>
  <si>
    <t>933dd399-91e4-4cdf-82f2-f01a471b19fd</t>
  </si>
  <si>
    <t>29c96927-a4c8-4813-a68c-136225e8be2b</t>
  </si>
  <si>
    <t>693fa0fd-5d42-431e-bd26-71c7f0c172ee</t>
  </si>
  <si>
    <t>2021-11-12</t>
  </si>
  <si>
    <t>ขายแรม</t>
  </si>
  <si>
    <t>cd8ae28a-7763-4e68-87f5-4d211daf3aa8</t>
  </si>
  <si>
    <t>2021-11-11</t>
  </si>
  <si>
    <t>7d7c27b3-8597-443a-b42f-da9821b969c4</t>
  </si>
  <si>
    <t>365b77ec-1ce6-44e7-87b8-d9b22b03cde0</t>
  </si>
  <si>
    <t>75c64798-6112-42ff-aa39-ee3cf17820e9</t>
  </si>
  <si>
    <t>2021-11-10</t>
  </si>
  <si>
    <t xml:space="preserve">เครื่องซักผ้า LG(5/6)</t>
  </si>
  <si>
    <t>563e7c22-67d2-4d57-ae28-48eeabe11185</t>
  </si>
  <si>
    <t xml:space="preserve">ชั้น พัดลม homepro(5/6)</t>
  </si>
  <si>
    <t>04ead29b-19a9-450b-8c44-842be299aa7e</t>
  </si>
  <si>
    <t>2021-11-08</t>
  </si>
  <si>
    <t>898cab27-2199-468a-8eeb-e2c9c0013be5</t>
  </si>
  <si>
    <t>2021-11-06</t>
  </si>
  <si>
    <t>กาแฟ</t>
  </si>
  <si>
    <t>6a4e72ce-d3cb-4eef-aa16-43daf5a93bda</t>
  </si>
  <si>
    <t>e2facded-769d-4f3c-91d3-a06579962d72</t>
  </si>
  <si>
    <t xml:space="preserve">ippudo+krispy cream</t>
  </si>
  <si>
    <t>65131530-41e8-487e-a34b-3861f9df3ec1</t>
  </si>
  <si>
    <t>2021-11-05</t>
  </si>
  <si>
    <t>3219fc66-1485-42b1-848a-22ef54ef25ee</t>
  </si>
  <si>
    <t>e079dfa6-10a9-4144-97d8-1cfd142747b9</t>
  </si>
  <si>
    <t>426facc8-7daa-4c23-bb8c-ac5b0e64ba98</t>
  </si>
  <si>
    <t>01658902-d771-49fd-ac95-7414b79345f0</t>
  </si>
  <si>
    <t>2021-11-03</t>
  </si>
  <si>
    <t>4d7b507b-6349-448a-8908-53f40595f92b</t>
  </si>
  <si>
    <t>2021-11-01</t>
  </si>
  <si>
    <t xml:space="preserve">from hong</t>
  </si>
  <si>
    <t>7a4ce256-677a-42b9-9af6-c3fa324865a9</t>
  </si>
  <si>
    <t>37ff5c01-8a33-458c-9bee-ec0e183b348a</t>
  </si>
  <si>
    <t>2021-10-31</t>
  </si>
  <si>
    <t>10:14</t>
  </si>
  <si>
    <t>415a8010-f5a8-4dfb-9c7c-d848c137a52f</t>
  </si>
  <si>
    <t>1a483c59-4c5b-4020-b760-833787d7c5d2</t>
  </si>
  <si>
    <t xml:space="preserve">coca suki</t>
  </si>
  <si>
    <t>69e23ff7-5b9a-47b1-a692-687903cb35d2</t>
  </si>
  <si>
    <t>c2aed346-6d3c-41b7-9d4c-4511e50f3842</t>
  </si>
  <si>
    <t>f54360ab-52fa-4085-be0c-84162c58f595</t>
  </si>
  <si>
    <t>เป๋าตัง</t>
  </si>
  <si>
    <t>ef6289ca-bb62-4759-950d-3359c988da31</t>
  </si>
  <si>
    <t>31297cfc-5842-4463-a3b1-a4a928bfa760</t>
  </si>
  <si>
    <t>2021-10-30</t>
  </si>
  <si>
    <t>40473974-61a8-4e55-9200-adb4984ca3ed</t>
  </si>
  <si>
    <t>0da0b308-f742-4107-ac80-60a39f587f65</t>
  </si>
  <si>
    <t>5c1f0d67-5f69-44e8-8720-052ad6f65bc6</t>
  </si>
  <si>
    <t>15c0f504-95c0-4354-acb1-35e985f30473</t>
  </si>
  <si>
    <t>ก๋วยเตี๋ยวพระนคร</t>
  </si>
  <si>
    <t>c8459675-3d92-416a-8e29-0a8f829c11a4</t>
  </si>
  <si>
    <t>game</t>
  </si>
  <si>
    <t>4a62d723-d90d-4856-ae54-1b6899544a8b</t>
  </si>
  <si>
    <t>9a12bb74-33c0-4374-824d-5c4c9e4613fd</t>
  </si>
  <si>
    <t>7ddb8863-0568-4a92-b621-012607104552</t>
  </si>
  <si>
    <t>15:21</t>
  </si>
  <si>
    <t>5d91e977-cf77-4531-abdd-b801de2444f6</t>
  </si>
  <si>
    <t>a31a838c-0a7d-42bb-860b-4f4c3f8d1aa2</t>
  </si>
  <si>
    <t>rc_acc_1781955063347_27fe</t>
  </si>
  <si>
    <t>9d10bb61-22f1-4b42-a188-9ad1aefe5941</t>
  </si>
  <si>
    <t>เท็กซัส</t>
  </si>
  <si>
    <t>458f3f80-f653-4714-b27d-94666ed480f6</t>
  </si>
  <si>
    <t>bc1065ef-6688-40b3-b8e9-9a0202909c26</t>
  </si>
  <si>
    <t>2021-10-29</t>
  </si>
  <si>
    <t>10:09</t>
  </si>
  <si>
    <t>4cd54d4d-08de-449a-ba80-08eb5572fbdf</t>
  </si>
  <si>
    <t>f4329975-bc7e-488c-9ff1-2b0857a0c3bb</t>
  </si>
  <si>
    <t>14:23</t>
  </si>
  <si>
    <t>eec4acd3-2291-4838-a266-3b270368ccf8</t>
  </si>
  <si>
    <t>eecf2d94-a80d-4d28-9d5b-89a831ee2520</t>
  </si>
  <si>
    <t>ของตลาดพลู</t>
  </si>
  <si>
    <t>57bd3fde-14de-4059-a145-01bdf3e2b990</t>
  </si>
  <si>
    <t>2021-10-28</t>
  </si>
  <si>
    <t>540753cf-d09f-469a-8cff-551586e4e53a</t>
  </si>
  <si>
    <t>f1258b77-c5d9-4f3e-b80e-8d2ae5ff3ec1</t>
  </si>
  <si>
    <t>eab32cb6-cab2-4db2-a481-a1fcc888dfef</t>
  </si>
  <si>
    <t>7c5bc7e6-8e2d-4ae3-aac7-36b849a4496a</t>
  </si>
  <si>
    <t xml:space="preserve">ของเซเว่น citi</t>
  </si>
  <si>
    <t>893d4170-2611-4d93-afb1-6e2fbd0de6d1</t>
  </si>
  <si>
    <t>amz</t>
  </si>
  <si>
    <t>8ea94881-b4f5-4dc7-90c7-26f61646832d</t>
  </si>
  <si>
    <t xml:space="preserve">kfc grab</t>
  </si>
  <si>
    <t>9164fd0c-45b5-49d3-bd2f-64498ea64ddd</t>
  </si>
  <si>
    <t>2021-10-27</t>
  </si>
  <si>
    <t>1220a841-b5bc-4581-8405-29dd6af291e9</t>
  </si>
  <si>
    <t>2021-10-26</t>
  </si>
  <si>
    <t>ชาพะยอม</t>
  </si>
  <si>
    <t>7128b5a2-bd91-4dad-a113-20a8b7d86767</t>
  </si>
  <si>
    <t>d07abc0b-2cc4-43dc-83de-d6e249b70bdc</t>
  </si>
  <si>
    <t>d18e61df-3346-4c2b-9c3f-53bd363242d1</t>
  </si>
  <si>
    <t>2021-10-25</t>
  </si>
  <si>
    <t>968ce319-6d31-4325-b38f-61bd6a08eee8</t>
  </si>
  <si>
    <t>edad1744-759d-4006-aac1-e6ae169cf71a</t>
  </si>
  <si>
    <t>a85e1750-4c7c-4973-9aae-ebf2a1d84a25</t>
  </si>
  <si>
    <t>4134c2fd-91b1-42a1-8426-4c0ee52510dc</t>
  </si>
  <si>
    <t>7c762e16-4635-4231-bc70-02b479846c9d</t>
  </si>
  <si>
    <t>dcd54f4d-9654-4f78-823c-819ca384d5a4</t>
  </si>
  <si>
    <t>6903c033-4a28-4fdb-a1d8-131b995dca59</t>
  </si>
  <si>
    <t>13286dd7-6f95-493f-acbd-7a48c935babd</t>
  </si>
  <si>
    <t>2021-10-23</t>
  </si>
  <si>
    <t>f2b28f6d-bbcb-472c-ab6e-64e2af2580d7</t>
  </si>
  <si>
    <t xml:space="preserve">villa market</t>
  </si>
  <si>
    <t>bd900d1b-5b46-4b7d-b61d-11bf44f18d07</t>
  </si>
  <si>
    <t>9e13d4d9-2498-4d00-84f4-a3db59eb7e8b</t>
  </si>
  <si>
    <t>2021-10-22</t>
  </si>
  <si>
    <t>โลตัส</t>
  </si>
  <si>
    <t>9c7e49c3-1b0a-4bdb-b21f-4a9f840ff7bb</t>
  </si>
  <si>
    <t>2021-10-21</t>
  </si>
  <si>
    <t>c50d7aaa-7077-49e2-85c9-72663e23d8d1</t>
  </si>
  <si>
    <t>5385d14d-75bf-4e0b-b205-31068f3bd720</t>
  </si>
  <si>
    <t>0c92e3c4-3264-4ab9-b699-33a90078d639</t>
  </si>
  <si>
    <t>fc9a2635-7c4d-4a04-baa7-6b9108805ecd</t>
  </si>
  <si>
    <t>d3b84ab8-76ee-4cab-8c22-2dada3526594</t>
  </si>
  <si>
    <t>สุกี้นินจา</t>
  </si>
  <si>
    <t>c79fa1f2-ebef-42eb-9c1e-d2d6e1b8269b</t>
  </si>
  <si>
    <t>2021-10-20</t>
  </si>
  <si>
    <t>10:54</t>
  </si>
  <si>
    <t>e9a914cc-14ab-425a-8f10-316abd063d6a</t>
  </si>
  <si>
    <t xml:space="preserve">sb build in(4/4)</t>
  </si>
  <si>
    <t>e471d708-d638-498a-a2d9-8dcc5c65c135</t>
  </si>
  <si>
    <t>4fe635de-c998-4580-bc0b-3cd3a5d887c7</t>
  </si>
  <si>
    <t>2021-10-19</t>
  </si>
  <si>
    <t>d8680b23-5497-4a5f-a836-15e1585aa891</t>
  </si>
  <si>
    <t>dfad8ccc-aa03-4086-95bc-910c8d280e9e</t>
  </si>
  <si>
    <t>ข้าวมะฝันไก่</t>
  </si>
  <si>
    <t>6c3686a3-1fde-43fc-9e15-0daf0441d85b</t>
  </si>
  <si>
    <t>e27c4d62-1713-4cc5-818a-1d960aec9865</t>
  </si>
  <si>
    <t>2021-10-18</t>
  </si>
  <si>
    <t>cd315a27-a25b-43b1-a1fb-65c559b1606e</t>
  </si>
  <si>
    <t>75153676-36a5-4ae7-ab78-15485e791135</t>
  </si>
  <si>
    <t>โจ๊ก</t>
  </si>
  <si>
    <t>8a8d2836-c431-442f-b032-a300a5a19d81</t>
  </si>
  <si>
    <t>บะหมี่</t>
  </si>
  <si>
    <t>57a8ac02-2ec7-4655-b90a-a21e865a4d14</t>
  </si>
  <si>
    <t>2021-10-17</t>
  </si>
  <si>
    <t>063de549-5100-43fc-8edf-cfe44543d9ae</t>
  </si>
  <si>
    <t>959c5b60-e459-4bf2-9d8b-d635a451e66e</t>
  </si>
  <si>
    <t>YAYOI</t>
  </si>
  <si>
    <t>c515790a-4cb8-4ccc-99a9-995b5f44318f</t>
  </si>
  <si>
    <t xml:space="preserve">ขนมปัง เกี้ยว</t>
  </si>
  <si>
    <t>855833e6-6675-4f07-9695-013330091aef</t>
  </si>
  <si>
    <t>f157b6eb-25f9-4d35-9c82-035b335da666</t>
  </si>
  <si>
    <t>บราวนี่</t>
  </si>
  <si>
    <t>cb54d0e6-ad5d-4823-a591-834a60c45d1d</t>
  </si>
  <si>
    <t xml:space="preserve">amz grab</t>
  </si>
  <si>
    <t>a73f357b-86ef-4ab2-910d-2d86db1e29d5</t>
  </si>
  <si>
    <t>2021-10-16</t>
  </si>
  <si>
    <t xml:space="preserve">at ladya</t>
  </si>
  <si>
    <t>ff08dea7-9b11-4f5d-bf68-09f2b2469c34</t>
  </si>
  <si>
    <t>976818d8-899a-4c76-b80e-023b4e848a96</t>
  </si>
  <si>
    <t>048e09e0-e212-4756-9dec-457b0ac9f028</t>
  </si>
  <si>
    <t>1afbb6ae-55ac-4308-a276-46f165c0ea13</t>
  </si>
  <si>
    <t>e1ba4b96-d4d6-477c-a35e-443ac63ad64c</t>
  </si>
  <si>
    <t>2021-10-15</t>
  </si>
  <si>
    <t>6e342cbf-5c61-4bf8-887b-4d5f8bdb3ed7</t>
  </si>
  <si>
    <t>00:06</t>
  </si>
  <si>
    <t>bafabe70-caee-4207-86c9-999359336efc</t>
  </si>
  <si>
    <t>686f1c55-7b14-49ba-8d6c-203a22c0c5d0</t>
  </si>
  <si>
    <t>4a47f751-2b3f-47c4-be12-2c659308fc84</t>
  </si>
  <si>
    <t>23446394-43ba-42bd-b90d-1150fb381ce5</t>
  </si>
  <si>
    <t>e296b7b9-f9ec-4332-a467-8c422761a73d</t>
  </si>
  <si>
    <t>17:41</t>
  </si>
  <si>
    <t>manoi</t>
  </si>
  <si>
    <t>088084ab-6a2b-45f0-889d-7fb6f6b22992</t>
  </si>
  <si>
    <t>2524b19f-3610-459b-931f-7f1245791519</t>
  </si>
  <si>
    <t>2021-10-14</t>
  </si>
  <si>
    <t>61b16e0e-1e65-4a58-9e7f-a12a7d97961e</t>
  </si>
  <si>
    <t>2021-10-13</t>
  </si>
  <si>
    <t>c433e784-534c-499b-8f66-23e0811d686f</t>
  </si>
  <si>
    <t>5e84554a-ca22-48a9-b6a3-1b3bda4ccb1a</t>
  </si>
  <si>
    <t>kingkong</t>
  </si>
  <si>
    <t>b69fe47d-6a9e-4073-af71-fa78ac2ff441</t>
  </si>
  <si>
    <t>2021-10-12</t>
  </si>
  <si>
    <t>98bb8152-3120-4186-841f-a6d370c52924</t>
  </si>
  <si>
    <t>11:32</t>
  </si>
  <si>
    <t xml:space="preserve">aroi dee</t>
  </si>
  <si>
    <t>a2e7ccc3-b4e6-4135-8e8d-e92cd46a2707</t>
  </si>
  <si>
    <t>2021-10-11</t>
  </si>
  <si>
    <t>กะเพราถาด</t>
  </si>
  <si>
    <t>796fe4ee-a12b-4413-9eee-adb3881ca859</t>
  </si>
  <si>
    <t>2021-10-10</t>
  </si>
  <si>
    <t>7e2ee34e-a976-4d47-9baf-ab87a72a3e28</t>
  </si>
  <si>
    <t xml:space="preserve">เครื่องซักผ้า LG(4/6)</t>
  </si>
  <si>
    <t>be1c406a-010f-4e3c-b321-7b1007ace6ab</t>
  </si>
  <si>
    <t xml:space="preserve">ชั้น พัดลม homepro(4/6)</t>
  </si>
  <si>
    <t>12bad312-75af-4919-af92-785b965a0054</t>
  </si>
  <si>
    <t>15:31</t>
  </si>
  <si>
    <t>185c02bc-155c-44bf-8d89-f964a2c01e83</t>
  </si>
  <si>
    <t>ce3db80e-2ff7-43df-8b3b-1a050c585a8a</t>
  </si>
  <si>
    <t>4b0d28a8-9ad0-4cbe-a4c4-c6cb57a285d1</t>
  </si>
  <si>
    <t xml:space="preserve">ของ shopee หูฟัง แฟ้ม กางเกง เกงใน ที่วาง</t>
  </si>
  <si>
    <t>ef8ac5d1-dd74-4513-803a-65c968cc7a8c</t>
  </si>
  <si>
    <t>64634caf-a905-4d00-a3e8-3d8f5e2f4409</t>
  </si>
  <si>
    <t>หม้อหุงข้าว</t>
  </si>
  <si>
    <t>f582f3a5-ea97-4c69-a212-25c7889666a0</t>
  </si>
  <si>
    <t>2021-10-09</t>
  </si>
  <si>
    <t xml:space="preserve">kfc ยอด ptt kbank</t>
  </si>
  <si>
    <t>bc6ee446-9bcb-4623-b3cb-cb153cdeee3d</t>
  </si>
  <si>
    <t>16:03</t>
  </si>
  <si>
    <t>bts</t>
  </si>
  <si>
    <t>b86c52b2-4a42-434f-b5d1-5e3b1bb50f2d</t>
  </si>
  <si>
    <t xml:space="preserve">din tai fong</t>
  </si>
  <si>
    <t>e73d9e4c-57e2-47ec-8a7f-5d7a810c86ba</t>
  </si>
  <si>
    <t xml:space="preserve">noi bakery</t>
  </si>
  <si>
    <t>31a11325-521d-43e6-b066-3f418d725eb2</t>
  </si>
  <si>
    <t>2021-10-08</t>
  </si>
  <si>
    <t>47ade04e-a6a3-4a09-be4b-bc6d67565bf3</t>
  </si>
  <si>
    <t>2021-10-07</t>
  </si>
  <si>
    <t>4ca259fe-e141-4c8a-b15b-5b180e245987</t>
  </si>
  <si>
    <t>2021-10-05</t>
  </si>
  <si>
    <t>be262d98-49dd-4eee-8709-a7a14df2f130</t>
  </si>
  <si>
    <t>บิกซี</t>
  </si>
  <si>
    <t>00d992b6-b51b-443d-bb77-ea3d722f69c0</t>
  </si>
  <si>
    <t>1241a08f-01b8-45cb-a795-7c3a8468ca03</t>
  </si>
  <si>
    <t>2021-10-03</t>
  </si>
  <si>
    <t>98af4103-54cc-4b9b-ba8e-3f591d7b7664</t>
  </si>
  <si>
    <t>66b5f64f-a08d-4f87-84b2-2279217edbba</t>
  </si>
  <si>
    <t>273c95f9-a757-4222-8147-200a9dfb6ef8</t>
  </si>
  <si>
    <t>ไก่ทอด</t>
  </si>
  <si>
    <t>fe4c411a-f50b-480c-ada3-56091f8bfe47</t>
  </si>
  <si>
    <t>inthanin</t>
  </si>
  <si>
    <t>5b03b4f0-815a-4f0a-9068-d047a1d73838</t>
  </si>
  <si>
    <t>36560a5f-96a3-4fa1-9886-bb5ed17f37a3</t>
  </si>
  <si>
    <t>2021-10-02</t>
  </si>
  <si>
    <t>3421a647-da75-49c5-b39f-b0f365dbc388</t>
  </si>
  <si>
    <t>5fe9fe7c-d192-4de7-8c26-dc640a828cee</t>
  </si>
  <si>
    <t>cea0884a-16af-43f6-9133-0a2aabf22cd7</t>
  </si>
  <si>
    <t>35a811c2-ceca-4a3e-8132-7e877e8da484</t>
  </si>
  <si>
    <t>d995331a-d48d-40c9-87f5-ed983792db5e</t>
  </si>
  <si>
    <t>d4954386-49b0-4b36-beb9-8cb811749727</t>
  </si>
  <si>
    <t>cf0bfcf1-c50a-4c26-8064-15357d9c35dd</t>
  </si>
  <si>
    <t>เดอะมอล</t>
  </si>
  <si>
    <t>0ceeffce-678b-44c1-b00d-5d2c4dddf77a</t>
  </si>
  <si>
    <t>16:44</t>
  </si>
  <si>
    <t>f179901a-5d42-4240-b334-3daa2478c8cc</t>
  </si>
  <si>
    <t>84e75d56-f3bf-48fa-a23a-ed00d18a50d3</t>
  </si>
  <si>
    <t>แม่ทำฟัน</t>
  </si>
  <si>
    <t>96000f4c-6a63-41ed-adcc-7402acc96678</t>
  </si>
  <si>
    <t>f8fc5b6e-e4a1-4d20-ad5b-60da295a6671</t>
  </si>
  <si>
    <t xml:space="preserve">ตั้งแต่ 26 sep-2 oct</t>
  </si>
  <si>
    <t>c9fb0221-0b27-4a4e-ac55-653db6f3c820</t>
  </si>
  <si>
    <t>443eeac2-677b-4bec-9367-67abc444e69b</t>
  </si>
  <si>
    <t>f43df14a-8efd-4e54-bac6-6cf1c0b82a72</t>
  </si>
  <si>
    <t>06d5ad55-4c00-4837-aaae-d41858f22f1a</t>
  </si>
  <si>
    <t>f1585067-67de-49f2-96ad-a6842e6a0ba9</t>
  </si>
  <si>
    <t>ff067f91-c509-4000-8e99-8e9a8d64a11f</t>
  </si>
  <si>
    <t>4b3a245c-c544-4d12-bb74-2372e353f980</t>
  </si>
  <si>
    <t>68e22390-151f-4db6-8e64-d6bb665d539b</t>
  </si>
  <si>
    <t>internet</t>
  </si>
  <si>
    <t>6a049b5f-8aa5-443d-b014-dc4510b93248</t>
  </si>
  <si>
    <t>a43e3e19-4018-4076-be64-408adf5e2d9a</t>
  </si>
  <si>
    <t>b7984503-7b96-462b-a989-2407478fc665</t>
  </si>
  <si>
    <t>5f441ab9-2c6f-43cd-9a60-f6884f152dd7</t>
  </si>
  <si>
    <t>e2b8e04d-44f5-4932-920b-259a66e0cf19</t>
  </si>
  <si>
    <t>2021-10-01</t>
  </si>
  <si>
    <t>08:49</t>
  </si>
  <si>
    <t>ddf04dee-fdba-490f-831f-34cad5aa0863</t>
  </si>
  <si>
    <t>a5403a22-0a86-4cc4-8acb-6e8724b5a8c6</t>
  </si>
  <si>
    <t xml:space="preserve">frm hong</t>
  </si>
  <si>
    <t>fd4dc9e5-ba4a-4e73-a2af-dfcd89e44716</t>
  </si>
  <si>
    <t xml:space="preserve">ของสด tops</t>
  </si>
  <si>
    <t>c015257a-7b91-4693-80eb-11d8de9d5e35</t>
  </si>
  <si>
    <t>2021-09-30</t>
  </si>
  <si>
    <t>f9fe8e00-02d9-4fd1-b47a-9fa2c9a49bb1</t>
  </si>
  <si>
    <t>ดอกไม้ให้พี่แอน</t>
  </si>
  <si>
    <t>0dbdfd0d-098d-4ed8-b13e-a66b273355be</t>
  </si>
  <si>
    <t>2021-09-29</t>
  </si>
  <si>
    <t xml:space="preserve">ดอกเบี้ย ออก กย</t>
  </si>
  <si>
    <t>e0f23005-1eaf-4932-821f-0e903b46bac1</t>
  </si>
  <si>
    <t>2021-09-28</t>
  </si>
  <si>
    <t>กาแฟพันธุ์ไทย</t>
  </si>
  <si>
    <t>84632f2b-016d-45e3-96bb-558f481c0104</t>
  </si>
  <si>
    <t xml:space="preserve">Tokyo bowl</t>
  </si>
  <si>
    <t>0be67ab8-e55f-47a2-99c5-7cdd6861147e</t>
  </si>
  <si>
    <t>66c1bae6-6cc6-4cc8-afbd-45abba0ace7d</t>
  </si>
  <si>
    <t>2021-09-27</t>
  </si>
  <si>
    <t>d1ae1189-c07e-49f6-9680-df80937bd849</t>
  </si>
  <si>
    <t>f2b7ce9e-9427-4143-b3c5-0e3c6f3b8457</t>
  </si>
  <si>
    <t>2021-09-26</t>
  </si>
  <si>
    <t>ซั่งไห่</t>
  </si>
  <si>
    <t>4ca9f1e0-5a7c-4df6-a547-b02ba7761b57</t>
  </si>
  <si>
    <t>2b8c1649-f70d-47bb-a987-5981a82528e7</t>
  </si>
  <si>
    <t>ede6a3d6-c413-40d6-b2ea-38c10dbde672</t>
  </si>
  <si>
    <t>dacashi</t>
  </si>
  <si>
    <t>f5149142-49c9-4278-bbb6-52a13e296a3c</t>
  </si>
  <si>
    <t>20d73399-157f-4fa6-ba63-b30f4dc581ad</t>
  </si>
  <si>
    <t>7926cc6c-b296-4ba7-b403-3c21db4e1af9</t>
  </si>
  <si>
    <t>ตรอกโรงหมู</t>
  </si>
  <si>
    <t>3e9ca269-f38a-4a9f-8deb-01d42a755c39</t>
  </si>
  <si>
    <t>2021-09-25</t>
  </si>
  <si>
    <t>c2460432-2344-454d-8cf7-0c4f667c35b0</t>
  </si>
  <si>
    <t>48b10cc5-2f3c-4eb8-a7fb-1d1c70c0becc</t>
  </si>
  <si>
    <t>83bfdd2b-1c9f-4652-94c5-ca77d034cf0c</t>
  </si>
  <si>
    <t>00352396-65f4-47e4-944a-225eacf5ae0f</t>
  </si>
  <si>
    <t>81fda9dd-28d2-44a1-8fc4-624b3306659a</t>
  </si>
  <si>
    <t>d8dabc4a-7ca8-4859-b6de-d9d1cc2328d3</t>
  </si>
  <si>
    <t>280781df-58aa-44e4-91ba-e2a27dcab169</t>
  </si>
  <si>
    <t>บัวลอยปริญญา</t>
  </si>
  <si>
    <t>de86e641-6a61-45a9-84e4-86e6ccbfd409</t>
  </si>
  <si>
    <t>63fd974f-b727-4362-8527-d9e837897a8f</t>
  </si>
  <si>
    <t>ถ้วยถัง</t>
  </si>
  <si>
    <t>044694bb-b2c2-44d9-8dce-926275ac96e4</t>
  </si>
  <si>
    <t>30dfcf10-8ab8-4844-b047-9d437fbc3ab6</t>
  </si>
  <si>
    <t>2021-09-24</t>
  </si>
  <si>
    <t>b49e5334-3528-4449-be82-03f9cd3311d8</t>
  </si>
  <si>
    <t>222373ba-feea-4b0f-a0ec-a89cbb53eeea</t>
  </si>
  <si>
    <t>72c7b8c7-602c-47ee-8172-25febf37443e</t>
  </si>
  <si>
    <t>23+67+210+72</t>
  </si>
  <si>
    <t>275bac92-bf50-47e7-b7d7-130c7b2236e0</t>
  </si>
  <si>
    <t>46525ee5-84a0-4f38-ada9-5a0ee60f00d6</t>
  </si>
  <si>
    <t>76e52d84-410c-467d-bde3-26ee1520a029</t>
  </si>
  <si>
    <t>2021-09-23</t>
  </si>
  <si>
    <t>e0a434cd-d5f7-4e15-9daa-f0b3b87a0b79</t>
  </si>
  <si>
    <t>รสเด็ดคลองสาน</t>
  </si>
  <si>
    <t>1590b22c-b5be-4985-9fda-6c38874b4aec</t>
  </si>
  <si>
    <t>2021-09-22</t>
  </si>
  <si>
    <t>2fd193ee-dfcc-4dd1-b415-d396583a8e20</t>
  </si>
  <si>
    <t>2021-09-21</t>
  </si>
  <si>
    <t>เป่าชิง</t>
  </si>
  <si>
    <t>1bc50ab1-2e3c-4e14-84c7-d4f27785e0cf</t>
  </si>
  <si>
    <t>2021-09-20</t>
  </si>
  <si>
    <t>b4cc742f-e094-4bd4-af3f-d1e209efe993</t>
  </si>
  <si>
    <t xml:space="preserve">sb build in(3/4)</t>
  </si>
  <si>
    <t>bcf46c85-b6f7-4e06-ac29-6a1855d3d0a5</t>
  </si>
  <si>
    <t>ครัวคุณยาย</t>
  </si>
  <si>
    <t>06dad742-4ab2-4357-97d1-472ab963de86</t>
  </si>
  <si>
    <t>fbff4a65-bf8e-4685-b422-d8155cd52de3</t>
  </si>
  <si>
    <t>2021-09-18</t>
  </si>
  <si>
    <t>ปังเปา</t>
  </si>
  <si>
    <t>1182474b-b27b-4455-a17f-6c9077f10f1e</t>
  </si>
  <si>
    <t>279c41d3-10f4-4797-909b-f253d4cddef7</t>
  </si>
  <si>
    <t>98f17873-e333-4f63-9bea-7a154902a3fc</t>
  </si>
  <si>
    <t>5455cf94-6e33-4120-b1bb-182bad373a5c</t>
  </si>
  <si>
    <t>47902f6a-d130-4b40-83bf-a5d818a051c1</t>
  </si>
  <si>
    <t>e9f3fabc-7a35-44c4-8187-b6ffd156222d</t>
  </si>
  <si>
    <t>02db79d7-6b1d-4593-804c-1a741006a69f</t>
  </si>
  <si>
    <t>577b7a88-7f19-49bb-9b4b-e44816f34578</t>
  </si>
  <si>
    <t>เกี้ยวหมู</t>
  </si>
  <si>
    <t>e323243e-5ec4-4599-8952-90b7a59b8cf8</t>
  </si>
  <si>
    <t>ชิ้นทอด</t>
  </si>
  <si>
    <t>c4137da1-7fca-4f57-8807-f8a297113727</t>
  </si>
  <si>
    <t>51d5e804-8b76-4534-9b46-13180447b9e7</t>
  </si>
  <si>
    <t xml:space="preserve">D bake</t>
  </si>
  <si>
    <t>5fb7e040-b7c1-42fe-a523-8f3e75b0dc0a</t>
  </si>
  <si>
    <t>2021-09-17</t>
  </si>
  <si>
    <t>ราดหน้า</t>
  </si>
  <si>
    <t>5988eb5b-e217-4403-8751-f0985573a663</t>
  </si>
  <si>
    <t>ochaya</t>
  </si>
  <si>
    <t>34bd378f-0256-4f47-984e-365e8ff4e23b</t>
  </si>
  <si>
    <t>เล้งลาดหญ้า</t>
  </si>
  <si>
    <t>792aebc8-74c6-4687-ada1-e09431e06325</t>
  </si>
  <si>
    <t>2021-09-16</t>
  </si>
  <si>
    <t xml:space="preserve">yt premium</t>
  </si>
  <si>
    <t>414a6b1d-938e-469a-b168-de331bfad5cd</t>
  </si>
  <si>
    <t>711</t>
  </si>
  <si>
    <t>53c375d4-332f-49f7-bbc8-1ec30c6988b5</t>
  </si>
  <si>
    <t>d64a796c-f1d8-4383-a2aa-f3f6a836371b</t>
  </si>
  <si>
    <t>2021-09-15</t>
  </si>
  <si>
    <t>ต้มเลืดหมู</t>
  </si>
  <si>
    <t>66094025-1756-4178-9bf8-951f501576b5</t>
  </si>
  <si>
    <t xml:space="preserve">coffee journey</t>
  </si>
  <si>
    <t>89f3d78b-ef90-4a12-b6cf-600b770f8d0a</t>
  </si>
  <si>
    <t>48dcdc4e-260a-45d1-af43-aad242527611</t>
  </si>
  <si>
    <t>2021-09-14</t>
  </si>
  <si>
    <t>f20d5788-ccfd-4c43-9913-077bbfe16c76</t>
  </si>
  <si>
    <t>5617dd8c-03bc-4422-b929-658ea2042600</t>
  </si>
  <si>
    <t>senban</t>
  </si>
  <si>
    <t>2fe0281f-0bae-4576-a8ef-5e8cda0e1856</t>
  </si>
  <si>
    <t>2021-09-13</t>
  </si>
  <si>
    <t xml:space="preserve">เยนตาโฟ ชานม</t>
  </si>
  <si>
    <t>33259745-15cc-4fbb-b60b-b228c74224ba</t>
  </si>
  <si>
    <t>2021-09-12</t>
  </si>
  <si>
    <t>f7056825-607d-4a8b-bec2-d8411496bf9f</t>
  </si>
  <si>
    <t>5842ab15-d123-4385-b4d2-cbd51d0766c2</t>
  </si>
  <si>
    <t>13:52</t>
  </si>
  <si>
    <t>292942bd-756d-4efe-92b5-2a9ca36fa034</t>
  </si>
  <si>
    <t>3ef881d4-518e-479b-8d70-29e5ff30b7d5</t>
  </si>
  <si>
    <t>2021-09-11</t>
  </si>
  <si>
    <t>bellinis</t>
  </si>
  <si>
    <t>febb8edd-897c-43f5-8f64-5786ca78ad03</t>
  </si>
  <si>
    <t>acdff9f5-a12a-4d06-9816-4377e8717b6d</t>
  </si>
  <si>
    <t>02df5c45-814d-47b5-80a5-a070809c6260</t>
  </si>
  <si>
    <t xml:space="preserve">เจ้กเม้ง grab</t>
  </si>
  <si>
    <t>9e7afe45-1e44-478a-a5eb-36b6725fe8bb</t>
  </si>
  <si>
    <t>bdg</t>
  </si>
  <si>
    <t>084b0a09-1b46-40c1-b58c-f47c131a061f</t>
  </si>
  <si>
    <t>2021-09-10</t>
  </si>
  <si>
    <t>คุ้มสึ</t>
  </si>
  <si>
    <t>33846114-622b-424f-adc4-f73081d4fb19</t>
  </si>
  <si>
    <t>ดอยตุง</t>
  </si>
  <si>
    <t>d76cb404-744c-4a78-9182-e699f9536097</t>
  </si>
  <si>
    <t>eaf4e481-51c6-478c-9450-045b2e8dfe2c</t>
  </si>
  <si>
    <t xml:space="preserve">เตา teka(4/4)</t>
  </si>
  <si>
    <t>109f8485-a60a-4918-a81c-574b719f5506</t>
  </si>
  <si>
    <t xml:space="preserve">เครื่องซักผ้า LG(3/6)</t>
  </si>
  <si>
    <t>633eb125-6509-4c58-b157-155f9eec069d</t>
  </si>
  <si>
    <t xml:space="preserve">ชั้น พัดลม homepro(3/6)</t>
  </si>
  <si>
    <t>cbe5f6b3-d4e1-4c61-98da-d127fac046d9</t>
  </si>
  <si>
    <t>2021-09-09</t>
  </si>
  <si>
    <t>be939dbd-4003-471a-bbad-8562c08ed787</t>
  </si>
  <si>
    <t>3b3b15ff-b993-4cb2-8397-538c1f7d70a1</t>
  </si>
  <si>
    <t>สีมรกต</t>
  </si>
  <si>
    <t>fc5707ba-770f-4fcc-af40-72740e0340a1</t>
  </si>
  <si>
    <t>aroidee</t>
  </si>
  <si>
    <t>27a62f1a-d4f7-47ff-8ae4-a5a881eb3290</t>
  </si>
  <si>
    <t>40e6191f-c939-4350-b409-3fda060ff69e</t>
  </si>
  <si>
    <t>2095bb2d-579e-43d7-9ce4-3b36b4049b70</t>
  </si>
  <si>
    <t>1e723120-d398-49c8-9a3b-d6fb36b5b6d2</t>
  </si>
  <si>
    <t>2021-09-08</t>
  </si>
  <si>
    <t>10:40</t>
  </si>
  <si>
    <t>b9a84e2a-5fa2-4bf6-8457-03e51605523f</t>
  </si>
  <si>
    <t>เจ้กเม้ง</t>
  </si>
  <si>
    <t>8a5904f5-8c41-4f37-bb70-3184d1fd3d6f</t>
  </si>
  <si>
    <t>1721ab79-00d5-44e1-9ded-1abebf931a2e</t>
  </si>
  <si>
    <t>af17f13e-4d7a-48e0-a487-63450ad65c8e</t>
  </si>
  <si>
    <t>2021-09-07</t>
  </si>
  <si>
    <t>caf8afe8-99dd-4723-bfe1-c44a8f4b6e69</t>
  </si>
  <si>
    <t>2021-09-06</t>
  </si>
  <si>
    <t>985c50f8-7ae9-4b9f-8f88-ec8a26455cd7</t>
  </si>
  <si>
    <t>10:41</t>
  </si>
  <si>
    <t>น้ำมัน</t>
  </si>
  <si>
    <t>5a516847-6183-483d-9da6-781b480c0555</t>
  </si>
  <si>
    <t>b884fbc4-febe-4af6-bc21-63b33967b028</t>
  </si>
  <si>
    <t>df8e6d55-0ae2-4117-95a9-9de00b98b2f2</t>
  </si>
  <si>
    <t>1a1685c4-957c-45dd-8c8f-4a188e421273</t>
  </si>
  <si>
    <t>3347f361-41e4-47cd-a8c2-3cd4e08fdc07</t>
  </si>
  <si>
    <t>2021-09-05</t>
  </si>
  <si>
    <t>ข้าวมันไก่ซ่างไห่</t>
  </si>
  <si>
    <t>39c1894d-12bc-40d9-a0a4-0a904b542e1f</t>
  </si>
  <si>
    <t xml:space="preserve">tim hortons</t>
  </si>
  <si>
    <t>e33b2cd0-ec19-4dae-a686-7cf2d4f8b2d0</t>
  </si>
  <si>
    <t>9e7ee9f4-d89c-492f-86c1-320083eb5995</t>
  </si>
  <si>
    <t xml:space="preserve">mk สามย่าน</t>
  </si>
  <si>
    <t>619c88d5-c75f-4c55-983c-251236374bc7</t>
  </si>
  <si>
    <t>2021-09-04</t>
  </si>
  <si>
    <t xml:space="preserve">กาแฟข้าง รพ</t>
  </si>
  <si>
    <t>16d0a57d-a805-4ede-b46f-4793a215f9ac</t>
  </si>
  <si>
    <t xml:space="preserve">ไก่ทอด ข้าวเหนียว ข้าวสวย</t>
  </si>
  <si>
    <t>d13fad68-f700-4f27-8285-f94bc5bb9a04</t>
  </si>
  <si>
    <t>38019fd3-4715-47cb-a584-d06bebca4bcc</t>
  </si>
  <si>
    <t>ทบยอดดอกเบี้ย</t>
  </si>
  <si>
    <t>4720e8fd-1ee0-4f68-9940-0f5adfb0a689</t>
  </si>
  <si>
    <t>e7cd6cf0-eefb-4c0a-a955-ccf47b105597</t>
  </si>
  <si>
    <t>watson</t>
  </si>
  <si>
    <t>f15aa609-908d-492c-a4d2-8932c6cf96a3</t>
  </si>
  <si>
    <t>f22dafad-53cb-4bda-9291-795a9e648119</t>
  </si>
  <si>
    <t>a1f97735-ffce-4f4a-ba2c-f0bb0785b714</t>
  </si>
  <si>
    <t>2021-09-03</t>
  </si>
  <si>
    <t>กาแฟข้างรพ</t>
  </si>
  <si>
    <t>86a6feec-0f62-48f8-b556-cecb79439b1f</t>
  </si>
  <si>
    <t>7b57a149-de33-437f-8c3e-58658fcb8a86</t>
  </si>
  <si>
    <t>เอลวิสสุกี้</t>
  </si>
  <si>
    <t>66b1dd7d-476c-47aa-a49c-a0444b82594d</t>
  </si>
  <si>
    <t>เอลวิส</t>
  </si>
  <si>
    <t>c6d4cb4b-fe2b-4880-85e2-73885d4e5e70</t>
  </si>
  <si>
    <t>2021-09-02</t>
  </si>
  <si>
    <t xml:space="preserve">bellini rbh</t>
  </si>
  <si>
    <t>19df38c2-0e2f-4d2f-8414-27ed3b14e8d5</t>
  </si>
  <si>
    <t>911ceb7d-5e1d-4c65-adf0-5cf71c666206</t>
  </si>
  <si>
    <t>ca65aec8-9f2a-40a5-8fac-31fe10606ba8</t>
  </si>
  <si>
    <t>3077cd82-1bb1-472e-aedf-1440a78ca656</t>
  </si>
  <si>
    <t>yayoi</t>
  </si>
  <si>
    <t>fb57f7af-702f-42e1-9f92-741820d8c0f0</t>
  </si>
  <si>
    <t>2021-09-01</t>
  </si>
  <si>
    <t>190fc799-fc5b-4a8c-841b-0f22be51a341</t>
  </si>
  <si>
    <t>dcc8699a-1d49-4af7-9abb-398993fbf949</t>
  </si>
  <si>
    <t>2021-08-31</t>
  </si>
  <si>
    <t xml:space="preserve">kai coffee</t>
  </si>
  <si>
    <t>fefc67ad-ccdf-4ab3-9df5-fe709e74f80a</t>
  </si>
  <si>
    <t>2021-08-30</t>
  </si>
  <si>
    <t>686465dc-887e-41d4-aaba-0a4a6db575b0</t>
  </si>
  <si>
    <t xml:space="preserve">mk grab</t>
  </si>
  <si>
    <t>519f4aaf-5111-4a9e-ab9f-edd68510c1c8</t>
  </si>
  <si>
    <t>a69cfb24-8e38-4385-8557-fb05ff28a70b</t>
  </si>
  <si>
    <t>tips</t>
  </si>
  <si>
    <t>18615997-e97c-4f45-8a4c-0bbd38611cdf</t>
  </si>
  <si>
    <t>2021-08-29</t>
  </si>
  <si>
    <t>787db7b2-00a3-4105-8991-369f4289d3fe</t>
  </si>
  <si>
    <t xml:space="preserve">jade garden</t>
  </si>
  <si>
    <t>0c81d7a5-997f-46c2-95be-d20289ec4875</t>
  </si>
  <si>
    <t>c4a2319f-0d50-4cb1-a772-ba35d36adf8d</t>
  </si>
  <si>
    <t>285f8db0-26e3-4aed-b8d0-fd50c4f640e6</t>
  </si>
  <si>
    <t>2021-08-28</t>
  </si>
  <si>
    <t xml:space="preserve">ข้าว icon</t>
  </si>
  <si>
    <t>8c5daf11-1753-4168-be0d-8f4dfc26d65f</t>
  </si>
  <si>
    <t>ปลั๊กไฟ</t>
  </si>
  <si>
    <t>5bbea92d-80e6-473e-83f1-1d1829209e8b</t>
  </si>
  <si>
    <t>c416f89f-8e89-4cab-ae19-0646b1fc5467</t>
  </si>
  <si>
    <t xml:space="preserve">aftershockz openmove</t>
  </si>
  <si>
    <t>a33bda5e-e778-424f-b537-ecb3a9932b57</t>
  </si>
  <si>
    <t>fda8e879-7289-4745-be16-b93ebed1d1a1</t>
  </si>
  <si>
    <t>30acc3e4-0fb7-4bde-9e82-583f6566fce3</t>
  </si>
  <si>
    <t>2021-08-27</t>
  </si>
  <si>
    <t xml:space="preserve">กระทะลั่น แถวคอนโด</t>
  </si>
  <si>
    <t>c4f605de-b039-4c8d-9c7b-8e7df60d1bd5</t>
  </si>
  <si>
    <t xml:space="preserve">ชา manoi</t>
  </si>
  <si>
    <t>c34c9854-2e43-4269-81bc-ecedd93d1e33</t>
  </si>
  <si>
    <t>2021-08-26</t>
  </si>
  <si>
    <t>8ec8c722-201f-46c3-90ed-b24160f95347</t>
  </si>
  <si>
    <t>54273499-14e1-4346-b3e2-0c55b01aed69</t>
  </si>
  <si>
    <t>ef5e8add-6aa0-41bb-9889-c6885747867b</t>
  </si>
  <si>
    <t>54d41f40-3f54-4ec0-ba08-e26d20ebfbaa</t>
  </si>
  <si>
    <t>533a7a8c-777a-45ff-a96f-677ba682a7a7</t>
  </si>
  <si>
    <t>8f195092-1820-4f8d-b48f-278b5f9b743d</t>
  </si>
  <si>
    <t>33291b7c-6ab6-49ee-b7b2-070f6dc40ef8</t>
  </si>
  <si>
    <t>31c556bc-911c-428f-b2a6-659445d5226b</t>
  </si>
  <si>
    <t>0d2709d6-64f7-4c2c-a879-a5d382bba0ee</t>
  </si>
  <si>
    <t xml:space="preserve">katsuya grab</t>
  </si>
  <si>
    <t>5c4158c4-e508-4262-8c4c-ec4d59fa0d3b</t>
  </si>
  <si>
    <t xml:space="preserve">ครัวคุณยาย grsb</t>
  </si>
  <si>
    <t>029831bb-9011-473d-ae3e-27ba16256e54</t>
  </si>
  <si>
    <t>cd6ddc3c-a08a-4167-b512-038e0cf6a409</t>
  </si>
  <si>
    <t>2021-08-25</t>
  </si>
  <si>
    <t xml:space="preserve">annie passtries rbh</t>
  </si>
  <si>
    <t>77abc370-27d0-4c2f-b996-cd1236b3062e</t>
  </si>
  <si>
    <t xml:space="preserve">ข้าวหมูแดงวังบูรพา Grab</t>
  </si>
  <si>
    <t>047c61f7-1e4f-4d8c-9e34-f929a75cd463</t>
  </si>
  <si>
    <t>17:21</t>
  </si>
  <si>
    <t xml:space="preserve">ครัวลาดหญ้า RBH</t>
  </si>
  <si>
    <t>c0d55fa8-14ad-4cd2-8860-e54df29baa37</t>
  </si>
  <si>
    <t>2021-08-24</t>
  </si>
  <si>
    <t>hknoodle</t>
  </si>
  <si>
    <t>6a367763-71f5-4180-b64a-0e159264b43e</t>
  </si>
  <si>
    <t>หวานลิ้น</t>
  </si>
  <si>
    <t>1690ad18-47d9-4e3e-863f-85a4563ce21e</t>
  </si>
  <si>
    <t>efbce3df-e156-481c-9c90-d62751115628</t>
  </si>
  <si>
    <t>2021-08-23</t>
  </si>
  <si>
    <t xml:space="preserve">rbh ชงสุข</t>
  </si>
  <si>
    <t>21e83b5e-0750-4e51-8a28-f2db84b10979</t>
  </si>
  <si>
    <t>นายอ้วน</t>
  </si>
  <si>
    <t>d216abae-f68e-4598-a5f2-d7288cf68837</t>
  </si>
  <si>
    <t>ee891153-a2d1-4706-8bb1-235b2685cdf3</t>
  </si>
  <si>
    <t>52fb4610-f54b-4a25-82eb-a0771891626d</t>
  </si>
  <si>
    <t>summers</t>
  </si>
  <si>
    <t>90d9b8b9-1b34-43f7-8be4-fcda188b220a</t>
  </si>
  <si>
    <t>6d0406db-2077-4b80-9f6e-9a97ce6d6b92</t>
  </si>
  <si>
    <t>2021-08-22</t>
  </si>
  <si>
    <t>2d35f201-41ec-4644-ba94-47f2a069a647</t>
  </si>
  <si>
    <t xml:space="preserve">auntie ant</t>
  </si>
  <si>
    <t>20c59574-3a2d-4b1e-adb7-085e164f8518</t>
  </si>
  <si>
    <t>47d58445-a154-4e52-ad48-02951e65c6ae</t>
  </si>
  <si>
    <t>1f993b3c-c18b-4efb-ab13-94166ef33c5c</t>
  </si>
  <si>
    <t>2021-08-21</t>
  </si>
  <si>
    <t>f1454a99-c8e2-4ed7-8292-93da03d75a17</t>
  </si>
  <si>
    <t>fedfafc5-739c-46c4-a0c4-06b185ba09be</t>
  </si>
  <si>
    <t>90e0cf25-0770-4190-bfb7-32b4c0ec5751</t>
  </si>
  <si>
    <t>advpay</t>
  </si>
  <si>
    <t>459c35e1-6dd3-4941-a1e7-6df236a6b36b</t>
  </si>
  <si>
    <t xml:space="preserve">lotus 21 aug</t>
  </si>
  <si>
    <t>f9d677ef-e1c8-404a-a825-e800eefa394e</t>
  </si>
  <si>
    <t xml:space="preserve">sb build in</t>
  </si>
  <si>
    <t>ee76dc9c-7ac1-4910-a102-146d88d8bbdb</t>
  </si>
  <si>
    <t>additional</t>
  </si>
  <si>
    <t>a3187e72-26b2-41bc-91ab-cc6cdc0ee3c5</t>
  </si>
  <si>
    <t>a446d33e-6803-4d71-97af-a9cf4439ed1f</t>
  </si>
  <si>
    <t>d5d13ecd-4e56-4120-8784-fcf5f51bc90c</t>
  </si>
  <si>
    <t>b2ed2e07-128c-40dd-8788-6a5742719e5b</t>
  </si>
  <si>
    <t>5b244104-ec26-4153-8589-98edadc32049</t>
  </si>
  <si>
    <t xml:space="preserve">hong payback</t>
  </si>
  <si>
    <t>24455a2b-7b5a-431e-a10a-6f8be158b6f7</t>
  </si>
  <si>
    <t>e46cd20b-37ad-4880-9d7d-bef74cda7f05</t>
  </si>
  <si>
    <t xml:space="preserve">ค่าเนต กค</t>
  </si>
  <si>
    <t>f3fcd4d0-661f-4315-814d-ef9d8d1dad38</t>
  </si>
  <si>
    <t xml:space="preserve">ของจุกจิก shopee</t>
  </si>
  <si>
    <t>5957b326-d875-4e20-bf5d-67c63068006d</t>
  </si>
  <si>
    <t>22:17</t>
  </si>
  <si>
    <t>895ad301-16a7-4168-a5d5-533859619293</t>
  </si>
  <si>
    <t>2021-08-20</t>
  </si>
  <si>
    <t>บะหมี่ปู</t>
  </si>
  <si>
    <t>5cd82016-9376-49e8-9bfc-3306dece4695</t>
  </si>
  <si>
    <t xml:space="preserve">sb build in(2/4)</t>
  </si>
  <si>
    <t>f27e9d1e-828c-47ef-b7e1-b27484b7bb0d</t>
  </si>
  <si>
    <t>2021-08-19</t>
  </si>
  <si>
    <t xml:space="preserve">RBH bellini</t>
  </si>
  <si>
    <t>c6361a76-c68f-49f3-8a43-c05c7e21c87d</t>
  </si>
  <si>
    <t>8fc691db-da4d-4413-ad8e-413589ad4d30</t>
  </si>
  <si>
    <t xml:space="preserve">don aki</t>
  </si>
  <si>
    <t>8a7acf26-54a6-4ff0-9237-6288f2fd2b20</t>
  </si>
  <si>
    <t>5e1341fb-845b-4671-88ae-2b559d386d58</t>
  </si>
  <si>
    <t>2021-08-18</t>
  </si>
  <si>
    <t>ข้าวมันไก่เฉิงกง</t>
  </si>
  <si>
    <t>06b70bd9-8ad3-4c3f-acd3-2cad07e1b57f</t>
  </si>
  <si>
    <t>f7d1c244-74ae-405c-87fd-66f966a0ae73</t>
  </si>
  <si>
    <t>1270a42b-4b7f-45f6-abff-bf97565987f7</t>
  </si>
  <si>
    <t>เจ๊วรรณ</t>
  </si>
  <si>
    <t>fd4ec43c-9d15-4cb4-8482-e634bd845d4b</t>
  </si>
  <si>
    <t>2dbed55e-32e4-4589-b5fa-433645eedb35</t>
  </si>
  <si>
    <t>2021-08-17</t>
  </si>
  <si>
    <t>bellini</t>
  </si>
  <si>
    <t>bdbbf9ae-fc7c-48c6-8d6c-3924beb3603c</t>
  </si>
  <si>
    <t>69de7135-c19c-48bf-8fe4-f0bf40d3a44f</t>
  </si>
  <si>
    <t>0b0c88b2-1760-486a-a30d-129f0e8037e4</t>
  </si>
  <si>
    <t>ตามสั่งประตูผี</t>
  </si>
  <si>
    <t>c7204b19-880e-4234-88a1-40cdb1e25a5a</t>
  </si>
  <si>
    <t>2021-08-16</t>
  </si>
  <si>
    <t xml:space="preserve">RBH มนต์นมสด</t>
  </si>
  <si>
    <t>275e80c3-a02d-48a1-a789-26e31247e125</t>
  </si>
  <si>
    <t xml:space="preserve">RBH ครัวลาดหญ้า</t>
  </si>
  <si>
    <t>2a8a6cca-cbfc-4f15-a369-ccee02bbaad5</t>
  </si>
  <si>
    <t>a3f55fdf-d36d-438b-9b82-66f3780a5e5f</t>
  </si>
  <si>
    <t>3f5bf5a7-aa60-4084-adda-d0e2bee1c7dd</t>
  </si>
  <si>
    <t>อองตองข้าวซอย</t>
  </si>
  <si>
    <t>c43fac7a-4d1b-4da5-b39d-80a781ecb1c0</t>
  </si>
  <si>
    <t>2021-08-15</t>
  </si>
  <si>
    <t>3a4041c0-4f2f-4261-ba83-e6994b48d64a</t>
  </si>
  <si>
    <t>034c2656-9d99-4f15-8ff7-dd3f34b1caf7</t>
  </si>
  <si>
    <t>aca9ff7d-4202-4457-818a-1ba2f4a204a8</t>
  </si>
  <si>
    <t>96c2c1c3-eb56-4a4f-9613-4142d709a917</t>
  </si>
  <si>
    <t>062dc411-85ff-4c27-9a4f-fe52eb9b28be</t>
  </si>
  <si>
    <t>2021-08-14</t>
  </si>
  <si>
    <t>f13f0adc-7afe-44c5-8ce8-b006f4cf542b</t>
  </si>
  <si>
    <t>3fb1c1f6-85c5-44fb-8b6a-a301ef5b94e8</t>
  </si>
  <si>
    <t>2021-08-13</t>
  </si>
  <si>
    <t>กอดแก้วกาแฟ</t>
  </si>
  <si>
    <t>e091f13e-7f31-40f0-a2c1-601efa5690af</t>
  </si>
  <si>
    <t>20562d3a-e37f-4c0a-8fb6-0d22674e03c2</t>
  </si>
  <si>
    <t>06a8ee4c-e528-4c01-833c-8a3961fd3611</t>
  </si>
  <si>
    <t>58da90ca-fd2c-4113-8b27-2a52bd7e391a</t>
  </si>
  <si>
    <t>af261310-3913-41a3-8ae5-cab4f81b85a2</t>
  </si>
  <si>
    <t>1c382578-e9dc-461a-83f2-d9775210b5f4</t>
  </si>
  <si>
    <t>2021-08-12</t>
  </si>
  <si>
    <t>9c3853d9-6953-486d-ac4d-a4745a9091aa</t>
  </si>
  <si>
    <t>briocher</t>
  </si>
  <si>
    <t>bf944815-f193-4b3d-bf9d-3ccbe3ce57fe</t>
  </si>
  <si>
    <t>d8f93deb-f575-4456-8c38-4cae307e226c</t>
  </si>
  <si>
    <t>TOPS</t>
  </si>
  <si>
    <t>38fa7ae5-a9fd-4f63-98ce-0660442217b8</t>
  </si>
  <si>
    <t>1d83d33b-fd7d-42d9-a8fb-b47d42dc6340</t>
  </si>
  <si>
    <t>2021-08-11</t>
  </si>
  <si>
    <t>044d5aa0-8086-401a-98ee-e6d36fb92713</t>
  </si>
  <si>
    <t>834ec037-427c-4c06-b39c-453ffdad03d3</t>
  </si>
  <si>
    <t>58645a34-ec06-4e01-b3b7-f7b019924117</t>
  </si>
  <si>
    <t>a9671f9c-4634-4209-9960-0e0b9d58b70f</t>
  </si>
  <si>
    <t>c96ed933-3437-4a5d-a507-caf314f266cf</t>
  </si>
  <si>
    <t>dd86ed88-e128-4ccb-984f-8bda4c38d260</t>
  </si>
  <si>
    <t>aabfd7d2-bc61-4f53-8db9-94ad1a2c7d57</t>
  </si>
  <si>
    <t>83997364-7157-4a95-af36-1904de8cd954</t>
  </si>
  <si>
    <t>8b1fc3a6-748c-404a-9172-26216a9ac00e</t>
  </si>
  <si>
    <t>2021-08-10</t>
  </si>
  <si>
    <t>e76300df-61a4-45c6-8fee-ded9111b819c</t>
  </si>
  <si>
    <t xml:space="preserve">เตา teka(3/4)</t>
  </si>
  <si>
    <t>f1ccdf44-81f7-48e3-8781-605bd20e301c</t>
  </si>
  <si>
    <t xml:space="preserve">เครื่องซักผ้า LG(2/6)</t>
  </si>
  <si>
    <t>dc19313f-ee61-435f-877f-fdd50a90a8e3</t>
  </si>
  <si>
    <t xml:space="preserve">ชั้น พัดลม homepro(2/6)</t>
  </si>
  <si>
    <t>2693e0c6-8336-4ca3-809a-3d2bd716164c</t>
  </si>
  <si>
    <t xml:space="preserve">bkk grill</t>
  </si>
  <si>
    <t>f771dfb0-9a41-48a5-a36f-e02ee2f2dce4</t>
  </si>
  <si>
    <t>d6aa59fd-6d13-4a35-9cce-f761600fc890</t>
  </si>
  <si>
    <t>f70296d3-258f-47c0-8a5e-3d2b172fbc0e</t>
  </si>
  <si>
    <t>2595537f-f28d-478e-afde-f6757533b8a4</t>
  </si>
  <si>
    <t>2021-08-09</t>
  </si>
  <si>
    <t>54ddac50-d096-4920-a8e8-69cae6dedffa</t>
  </si>
  <si>
    <t>prajak</t>
  </si>
  <si>
    <t>60e60c79-7559-46b6-98b0-4f23bd32c24c</t>
  </si>
  <si>
    <t xml:space="preserve">triple s cafe</t>
  </si>
  <si>
    <t>34f468a9-0ab6-4fdc-9ad1-a4b0fb612900</t>
  </si>
  <si>
    <t>2021-08-08</t>
  </si>
  <si>
    <t>00:05</t>
  </si>
  <si>
    <t>6caa8d53-fb4b-42ea-a737-b5d502128fdb</t>
  </si>
  <si>
    <t>08:13</t>
  </si>
  <si>
    <t>fcf26062-5574-4ecf-8e90-5ba186f1937d</t>
  </si>
  <si>
    <t xml:space="preserve">sheriff of nottingham</t>
  </si>
  <si>
    <t>0a85f70f-1c5d-4689-a39b-3aab5fdf0f9e</t>
  </si>
  <si>
    <t>be8baa0d-ec59-4650-a148-0c3808974998</t>
  </si>
  <si>
    <t xml:space="preserve">เหรียญ shopee</t>
  </si>
  <si>
    <t>ceb832fb-2a3b-4fcd-80ec-cf0166c9ef5e</t>
  </si>
  <si>
    <t xml:space="preserve">carousel coffee</t>
  </si>
  <si>
    <t>13d5cc67-5e2a-4e93-9263-ac21f89f2821</t>
  </si>
  <si>
    <t>เตาอบ</t>
  </si>
  <si>
    <t>8d97ef97-a51c-4290-951b-f9c4a3eeb686</t>
  </si>
  <si>
    <t>2414a9d4-ce4d-4d8d-96a1-922d884ade1a</t>
  </si>
  <si>
    <t xml:space="preserve">กางเกง arrow</t>
  </si>
  <si>
    <t>e4eb9ffc-1642-45dd-81d2-27683efe216b</t>
  </si>
  <si>
    <t xml:space="preserve">แผ่นรอง bluetooth และชั้น</t>
  </si>
  <si>
    <t>7d3b2ee8-e7b3-430e-9af7-e6898491cda8</t>
  </si>
  <si>
    <t>57c5bce1-ccde-4b09-8aa1-af4d619a19c0</t>
  </si>
  <si>
    <t>89e70f2e-2f3f-42d3-8822-dc46e4e83526</t>
  </si>
  <si>
    <t>2021-08-07</t>
  </si>
  <si>
    <t xml:space="preserve">roast runner</t>
  </si>
  <si>
    <t>f0933190-8429-4696-9c0a-5e4cc522d04a</t>
  </si>
  <si>
    <t>e2aaf197-5ef5-458f-83d6-294a265be279</t>
  </si>
  <si>
    <t>2021-08-06</t>
  </si>
  <si>
    <t>0ff37046-294f-4720-8a81-666ed04e2a13</t>
  </si>
  <si>
    <t>เนื้อหอมคาเฟ่</t>
  </si>
  <si>
    <t>f70ddd91-e491-4937-9854-0f79f6585418</t>
  </si>
  <si>
    <t>2021-08-05</t>
  </si>
  <si>
    <t>07:11</t>
  </si>
  <si>
    <t>b960eb42-de8d-4ae2-827b-ae8c1f4ce9e7</t>
  </si>
  <si>
    <t>08:11</t>
  </si>
  <si>
    <t>กาแฟชงสุข</t>
  </si>
  <si>
    <t>1e4cbdee-aaf7-4cbb-93aa-fa9112cea062</t>
  </si>
  <si>
    <t>HKnoodle</t>
  </si>
  <si>
    <t>73430b0a-57c2-4475-a6d8-b2ab2ce0c5f7</t>
  </si>
  <si>
    <t>4f6d29b5-50b6-4835-bf45-a7ffa756b60a</t>
  </si>
  <si>
    <t>2021-08-04</t>
  </si>
  <si>
    <t>ขาหมูตรอกซุง</t>
  </si>
  <si>
    <t>5efc1ba1-84af-4cba-8b47-d1c9d8912ad9</t>
  </si>
  <si>
    <t>97af627f-4c47-4718-83d9-e323d76a9048</t>
  </si>
  <si>
    <t>2021-08-03</t>
  </si>
  <si>
    <t>yoshinoya</t>
  </si>
  <si>
    <t>afc55f12-edeb-42d9-a366-274e1d9df034</t>
  </si>
  <si>
    <t>akiyoshi</t>
  </si>
  <si>
    <t>2939d2bd-9dcf-4315-99bb-dd96d98bf4cf</t>
  </si>
  <si>
    <t xml:space="preserve">ค่าไฟ กค</t>
  </si>
  <si>
    <t>4c2a542e-633f-4f2b-a909-d2d0ccc6affd</t>
  </si>
  <si>
    <t>2021-08-02</t>
  </si>
  <si>
    <t xml:space="preserve">ชั้น โต๊ะ</t>
  </si>
  <si>
    <t>9d807576-0c32-466c-8ad0-a0c22d44452a</t>
  </si>
  <si>
    <t>b6655131-dce4-458e-9bd1-1c70012f986f</t>
  </si>
  <si>
    <t>ข้าวมันไก่</t>
  </si>
  <si>
    <t>3f0c1b3b-8331-46c5-b441-11326bfcfc16</t>
  </si>
  <si>
    <t>efa91dc7-f238-4fe4-9597-4e6e05bdfe22</t>
  </si>
  <si>
    <t>bigc</t>
  </si>
  <si>
    <t>8b92947e-5147-4e2c-9c86-7090e9c17b88</t>
  </si>
  <si>
    <t>ede4160f-f4fb-40c8-a300-1c7df96da203</t>
  </si>
  <si>
    <t>7177f4bc-4a78-4db7-ae30-f46e721b3858</t>
  </si>
  <si>
    <t>หมูตั่วเฮีย</t>
  </si>
  <si>
    <t>e5653ac1-4c9b-4b45-82b3-aa1e088023e0</t>
  </si>
  <si>
    <t>7f2d6e7d-a5fe-40ae-b16c-fc95232b8a26</t>
  </si>
  <si>
    <t>2021-08-01</t>
  </si>
  <si>
    <t>e42df94b-3b72-4196-9d99-2ff04820dacd</t>
  </si>
  <si>
    <t>08:06</t>
  </si>
  <si>
    <t xml:space="preserve">robinhood น้ำและวัฟเฟิล</t>
  </si>
  <si>
    <t>49baeac7-4f86-47ce-b7c4-833609a54577</t>
  </si>
  <si>
    <t>kimukatsu</t>
  </si>
  <si>
    <t>0a9076b3-af93-43d2-818f-a5414ee7e416</t>
  </si>
  <si>
    <t>superlock</t>
  </si>
  <si>
    <t>2ec87397-ac0d-4088-be80-565907ee5568</t>
  </si>
  <si>
    <t xml:space="preserve">j bakery</t>
  </si>
  <si>
    <t>36c8fdf0-9c7e-4056-893d-4960af3fa032</t>
  </si>
  <si>
    <t>e9993d29-4762-436d-9801-148917a2d922</t>
  </si>
  <si>
    <t>7b1b33f5-b7ba-4dfd-a1c2-f9386e6280e1</t>
  </si>
  <si>
    <t>2021-07-31</t>
  </si>
  <si>
    <t>80b71b4e-db4f-4d20-844b-eb385779a4b4</t>
  </si>
  <si>
    <t>91f29cdc-7d8b-4399-80ab-c4bff2dd5a25</t>
  </si>
  <si>
    <t>33da42ce-a5f0-44df-aa82-845c939ac75a</t>
  </si>
  <si>
    <t>2eb90a59-2267-4153-b668-84894b688ec7</t>
  </si>
  <si>
    <t>2021-07-28</t>
  </si>
  <si>
    <t>08030dec-eeb1-4c30-adfb-d5cf53a6c878</t>
  </si>
  <si>
    <t>2021-07-27</t>
  </si>
  <si>
    <t>28b7e648-e997-4644-9f4a-c60ef52f73a1</t>
  </si>
  <si>
    <t>2021-07-26</t>
  </si>
  <si>
    <t>e5f464da-9350-4bfa-8cd8-19e1780656ee</t>
  </si>
  <si>
    <t>finance</t>
  </si>
  <si>
    <t>52ed3bc6-ca05-421e-b422-3c9a4aa6d2c1</t>
  </si>
  <si>
    <t>2021-07-25</t>
  </si>
  <si>
    <t>9edfb151-e20b-415c-9aaf-c6206d87bd97</t>
  </si>
  <si>
    <t>7b21072e-beeb-4a03-b01e-1d9785803362</t>
  </si>
  <si>
    <t>bc72c954-e849-43b3-950c-d5fbbbec7bac</t>
  </si>
  <si>
    <t>19ba71b5-ab27-4172-bb4b-504fdcf77c12</t>
  </si>
  <si>
    <t>151ae2cc-0b42-4974-a773-8fff4f88cf3d</t>
  </si>
  <si>
    <t>d54ea5ed-e5b7-4d38-b7cd-774658e611d0</t>
  </si>
  <si>
    <t>e5b09a15-196e-490a-8763-29a3c6b07566</t>
  </si>
  <si>
    <t>บัวลอย</t>
  </si>
  <si>
    <t>59d78eda-9243-45f7-b1f0-e1526cd7604a</t>
  </si>
  <si>
    <t>auntyann</t>
  </si>
  <si>
    <t>be5e32e5-78e0-431b-848a-3edc526f3f80</t>
  </si>
  <si>
    <t>2021-07-20</t>
  </si>
  <si>
    <t xml:space="preserve">sb build in(1/4)</t>
  </si>
  <si>
    <t>814b53ff-2261-4d31-8ad2-a566f5c17285</t>
  </si>
  <si>
    <t>2021-07-18</t>
  </si>
  <si>
    <t xml:space="preserve">โซฟา15000 เก้าอี้ 10476</t>
  </si>
  <si>
    <t>b934bafb-2d2f-4a32-b2db-27020f609687</t>
  </si>
  <si>
    <t xml:space="preserve">ชั้นเพิ่ม โต๊ะ</t>
  </si>
  <si>
    <t>10d3afc9-bdc6-4138-893d-6d85a5ff8eab</t>
  </si>
  <si>
    <t>2021-07-15</t>
  </si>
  <si>
    <t>6144fd39-33ba-4614-b44c-489835ff3988</t>
  </si>
  <si>
    <t>2021-07-14</t>
  </si>
  <si>
    <t>แรกเข้าเนต</t>
  </si>
  <si>
    <t>4fe9b67f-77c1-4522-b35a-9eb842eb04ad</t>
  </si>
  <si>
    <t>2021-07-11</t>
  </si>
  <si>
    <t xml:space="preserve">ยอดจริง 13543.17</t>
  </si>
  <si>
    <t>8cf62d86-f288-4ca3-a84d-ed98c33597c5</t>
  </si>
  <si>
    <t>c8993f8b-c5fd-4f46-9628-1c32a46843ce</t>
  </si>
  <si>
    <t>2021-07-10</t>
  </si>
  <si>
    <t xml:space="preserve">เตา teka(2/4)</t>
  </si>
  <si>
    <t>a2cfd483-38fa-4585-926b-e6d84b48ca15</t>
  </si>
  <si>
    <t xml:space="preserve">เครื่องซักผ้า LG(1/6)</t>
  </si>
  <si>
    <t>e90752dd-8531-4bef-9409-520740bb939b</t>
  </si>
  <si>
    <t xml:space="preserve">ชั้น พัดลม homepro(1/6)</t>
  </si>
  <si>
    <t>072484a3-f68d-46e4-99e7-1418ac5ae797</t>
  </si>
  <si>
    <t>2021-07-06</t>
  </si>
  <si>
    <t>เตียง</t>
  </si>
  <si>
    <t>320b6333-0f09-4c3d-8095-62386b96dcfc</t>
  </si>
  <si>
    <t>2021-07-04</t>
  </si>
  <si>
    <t>ราวตากผ้า</t>
  </si>
  <si>
    <t>4c070a56-53bd-4ea2-ae96-5e5ed04dc4d2</t>
  </si>
  <si>
    <t>2021-07-01</t>
  </si>
  <si>
    <t>ติดตั้งเตา</t>
  </si>
  <si>
    <t>f77b046b-9450-49f2-a297-0133689c41ae</t>
  </si>
  <si>
    <t xml:space="preserve">เครื่องฟอก xiaomi</t>
  </si>
  <si>
    <t>8bebbdb0-fab4-4705-b6e1-1b989275c587</t>
  </si>
  <si>
    <t>2021-06-10</t>
  </si>
  <si>
    <t xml:space="preserve">เตา teka(1/4)</t>
  </si>
  <si>
    <t>name</t>
  </si>
  <si>
    <t>icon</t>
  </si>
  <si>
    <t>color</t>
  </si>
  <si>
    <t>balance</t>
  </si>
  <si>
    <t>accountType</t>
  </si>
  <si>
    <t>isSystem</t>
  </si>
  <si>
    <t>isGmailLinked</t>
  </si>
  <si>
    <t>isAdvance</t>
  </si>
  <si>
    <t>isShared</t>
  </si>
  <si>
    <t>KBank</t>
  </si>
  <si>
    <t>🏦</t>
  </si>
  <si>
    <t>#1d1d1f</t>
  </si>
  <si>
    <t>bank</t>
  </si>
  <si>
    <t>kbank_marriage</t>
  </si>
  <si>
    <t xml:space="preserve">KBank Marriage</t>
  </si>
  <si>
    <t>#48484a</t>
  </si>
  <si>
    <t xml:space="preserve">Advance Paid</t>
  </si>
  <si>
    <t>💸</t>
  </si>
  <si>
    <t>#8e8e93</t>
  </si>
  <si>
    <t>HOMEPRO</t>
  </si>
  <si>
    <t>#4d9fff</t>
  </si>
  <si>
    <t>credit</t>
  </si>
  <si>
    <t>SCB</t>
  </si>
  <si>
    <t xml:space="preserve">KTC JCB</t>
  </si>
  <si>
    <t xml:space="preserve">Netflix in Adv</t>
  </si>
  <si>
    <t>prepaid</t>
  </si>
  <si>
    <t xml:space="preserve">UOB Privilages</t>
  </si>
  <si>
    <t xml:space="preserve">Car Loan</t>
  </si>
  <si>
    <t>invest</t>
  </si>
  <si>
    <t xml:space="preserve">Home chomthong Loan</t>
  </si>
  <si>
    <t>Coop</t>
  </si>
  <si>
    <t xml:space="preserve">Provident Fund</t>
  </si>
  <si>
    <t>Shopee</t>
  </si>
  <si>
    <t xml:space="preserve">Condo Recieve</t>
  </si>
  <si>
    <t xml:space="preserve">Marriage account</t>
  </si>
  <si>
    <t>Cash</t>
  </si>
  <si>
    <t>cash</t>
  </si>
  <si>
    <t>Grabpay</t>
  </si>
  <si>
    <t xml:space="preserve">UOB world</t>
  </si>
  <si>
    <t xml:space="preserve">marriage savings</t>
  </si>
  <si>
    <t>BBL</t>
  </si>
  <si>
    <t>Starbucks</t>
  </si>
  <si>
    <t>grabvoucher</t>
  </si>
  <si>
    <t xml:space="preserve">Kbank BLUECARD</t>
  </si>
  <si>
    <t>KRUNGSRI</t>
  </si>
  <si>
    <t xml:space="preserve">Line Pay</t>
  </si>
  <si>
    <t xml:space="preserve">Krungthai Next</t>
  </si>
  <si>
    <t>Investment</t>
  </si>
  <si>
    <t xml:space="preserve">Pao tung</t>
  </si>
  <si>
    <t>Loan</t>
  </si>
  <si>
    <t xml:space="preserve">Kbank onesiam</t>
  </si>
  <si>
    <t>Truewallet</t>
  </si>
  <si>
    <t>Bluewallet</t>
  </si>
  <si>
    <t>Travelcard</t>
  </si>
  <si>
    <t xml:space="preserve">Kbank shopee</t>
  </si>
  <si>
    <t>CBDC</t>
  </si>
  <si>
    <t xml:space="preserve">krw cash</t>
  </si>
  <si>
    <t xml:space="preserve">t money</t>
  </si>
  <si>
    <t xml:space="preserve">Make Kbank</t>
  </si>
  <si>
    <t xml:space="preserve">JPY cash</t>
  </si>
  <si>
    <t xml:space="preserve">suica card</t>
  </si>
  <si>
    <t xml:space="preserve">Travelcard JPY</t>
  </si>
  <si>
    <t xml:space="preserve">Netflix in advance</t>
  </si>
  <si>
    <t>📈</t>
  </si>
  <si>
    <t>#30d158</t>
  </si>
  <si>
    <t>nameEn</t>
  </si>
  <si>
    <t>parentId</t>
  </si>
  <si>
    <t>food</t>
  </si>
  <si>
    <t>อาหาร</t>
  </si>
  <si>
    <t>Food</t>
  </si>
  <si>
    <t>🍜</t>
  </si>
  <si>
    <t>transport</t>
  </si>
  <si>
    <t>เดินทาง</t>
  </si>
  <si>
    <t>Transport</t>
  </si>
  <si>
    <t>🚗</t>
  </si>
  <si>
    <t>#636366</t>
  </si>
  <si>
    <t>bills</t>
  </si>
  <si>
    <t>บิล/สาธารณูปโภค</t>
  </si>
  <si>
    <t xml:space="preserve">Bills &amp; Utilities</t>
  </si>
  <si>
    <t>💡</t>
  </si>
  <si>
    <t>entertain</t>
  </si>
  <si>
    <t>ความบันเทิง</t>
  </si>
  <si>
    <t>Entertainment</t>
  </si>
  <si>
    <t>🎮</t>
  </si>
  <si>
    <t>shopping</t>
  </si>
  <si>
    <t>ช้อปปิ้ง</t>
  </si>
  <si>
    <t>Shopping</t>
  </si>
  <si>
    <t>🛍</t>
  </si>
  <si>
    <t>รายรับ</t>
  </si>
  <si>
    <t>Income</t>
  </si>
  <si>
    <t>💰</t>
  </si>
  <si>
    <t>#34c759</t>
  </si>
  <si>
    <t>mod_bal</t>
  </si>
  <si>
    <t>ปรับยอด</t>
  </si>
  <si>
    <t xml:space="preserve">Modified Balance</t>
  </si>
  <si>
    <t>⚖️</t>
  </si>
  <si>
    <t>📦</t>
  </si>
  <si>
    <t>rc_cat_1781955063347_5qjb</t>
  </si>
  <si>
    <t xml:space="preserve">Daily life</t>
  </si>
  <si>
    <t>rc_cat_1781955063347_04qb</t>
  </si>
  <si>
    <t>Salary</t>
  </si>
  <si>
    <t>rc_cat_1781955063347_anhy</t>
  </si>
  <si>
    <t>Others</t>
  </si>
  <si>
    <t>rc_cat_1781955063347_s4sz</t>
  </si>
  <si>
    <t>Apparel</t>
  </si>
  <si>
    <t>Dividends</t>
  </si>
  <si>
    <t>financing</t>
  </si>
  <si>
    <t>Financing</t>
  </si>
  <si>
    <t>loan_payment</t>
  </si>
  <si>
    <t xml:space="preserve">Loan Payment</t>
  </si>
  <si>
    <t>💳</t>
  </si>
  <si>
    <t>debt_payback</t>
  </si>
  <si>
    <t xml:space="preserve">Debt Payback</t>
  </si>
  <si>
    <t>🤝</t>
  </si>
  <si>
    <t>div_interest</t>
  </si>
  <si>
    <t xml:space="preserve">Dividend &amp; Interest</t>
  </si>
  <si>
    <t>#ffd60a</t>
  </si>
  <si>
    <t>category_id</t>
  </si>
  <si>
    <t>period_key</t>
  </si>
  <si>
    <t>monthly</t>
  </si>
  <si>
    <t>quarterly</t>
  </si>
  <si>
    <t>yearly</t>
  </si>
  <si>
    <t>2026-01</t>
  </si>
  <si>
    <t>1</t>
  </si>
  <si>
    <t xml:space="preserve">TH stock</t>
  </si>
  <si>
    <t>2</t>
  </si>
  <si>
    <t>Fund</t>
  </si>
  <si>
    <t>classId</t>
  </si>
  <si>
    <t>costPrice</t>
  </si>
  <si>
    <t>units</t>
  </si>
  <si>
    <t>investDate</t>
  </si>
  <si>
    <t>investValue</t>
  </si>
  <si>
    <t>currentValue</t>
  </si>
  <si>
    <t>linkedTxId</t>
  </si>
  <si>
    <t>currentPrice</t>
  </si>
  <si>
    <t>closed</t>
  </si>
  <si>
    <t>closedValue</t>
  </si>
  <si>
    <t>realisedGL</t>
  </si>
  <si>
    <t>PTT</t>
  </si>
  <si>
    <t>8802eaf0-3171-4236-aa5d-8eb138e51780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</si>
</sst>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2">
    <font>
      <sz val="12.000000"/>
      <color theme="1"/>
      <name val="Calibri"/>
      <scheme val="minor"/>
    </font>
    <font>
      <sz val="11.00000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1">
    <xf fontId="0" fillId="0" borderId="0" numFmtId="0" xfId="0"/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0" xfId="0" applyAlignment="1">
      <alignment horizontal="left"/>
    </xf>
    <xf fontId="0" fillId="0" borderId="0" numFmtId="0" xfId="0" applyAlignment="1">
      <alignment horizontal="left"/>
    </xf>
    <xf fontId="1" fillId="0" borderId="0" numFmtId="164" xfId="0" applyNumberFormat="1" applyFont="1" applyAlignment="1">
      <alignment horizontal="left"/>
    </xf>
    <xf fontId="0" fillId="0" borderId="0" numFmtId="0" xfId="0">
      <protection hidden="0" locked="1"/>
    </xf>
    <xf fontId="0" fillId="0" borderId="0" numFmtId="3" xfId="0" applyNumberFormat="1"/>
    <xf fontId="0" fillId="0" borderId="0" numFmtId="0" xfId="0">
      <protection hidden="0" locked="1"/>
    </xf>
    <xf fontId="0" fillId="0" borderId="0" numFmtId="0" xfId="0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pivotCacheDefinition" Target="pivotCache/pivotCacheDefinition1.xml"/><Relationship  Id="rId10" Type="http://schemas.openxmlformats.org/officeDocument/2006/relationships/worksheet" Target="worksheets/sheet7.xml"/><Relationship  Id="rId11" Type="http://schemas.openxmlformats.org/officeDocument/2006/relationships/worksheet" Target="worksheets/sheet8.xml"/><Relationship  Id="rId12" Type="http://schemas.openxmlformats.org/officeDocument/2006/relationships/worksheet" Target="worksheets/sheet9.xml"/><Relationship  Id="rId13" Type="http://schemas.openxmlformats.org/officeDocument/2006/relationships/worksheet" Target="worksheets/sheet10.xml"/><Relationship  Id="rId14" Type="http://schemas.openxmlformats.org/officeDocument/2006/relationships/worksheet" Target="worksheets/sheet11.xml"/><Relationship  Id="rId15" Type="http://schemas.openxmlformats.org/officeDocument/2006/relationships/worksheet" Target="worksheets/sheet12.xml"/><Relationship  Id="rId16" Type="http://schemas.openxmlformats.org/officeDocument/2006/relationships/worksheet" Target="worksheets/sheet13.xml"/><Relationship  Id="rId17" Type="http://schemas.openxmlformats.org/officeDocument/2006/relationships/worksheet" Target="worksheets/sheet14.xml"/><Relationship  Id="rId18" Type="http://schemas.openxmlformats.org/officeDocument/2006/relationships/theme" Target="theme/theme1.xml"/><Relationship  Id="rId19" Type="http://schemas.openxmlformats.org/officeDocument/2006/relationships/sharedStrings" Target="sharedStrings.xml"/><Relationship  Id="rId2" Type="http://schemas.openxmlformats.org/officeDocument/2006/relationships/pivotCacheDefinition" Target="pivotCache/pivotCacheDefinition2.xml"/><Relationship  Id="rId20" Type="http://schemas.openxmlformats.org/officeDocument/2006/relationships/styles" Target="styles.xml"/><Relationship  Id="rId3" Type="http://schemas.openxmlformats.org/officeDocument/2006/relationships/sheetMetadata" Target="metadata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worksheet" Target="worksheets/sheet5.xml"/><Relationship  Id="rId9" Type="http://schemas.openxmlformats.org/officeDocument/2006/relationships/worksheet" Target="worksheets/sheet6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4068">
  <cacheSource type="worksheet">
    <worksheetSource ref="A:T" sheet="Transactions"/>
  </cacheSource>
  <cacheFields count="14">
    <cacheField name="id">
      <sharedItems containsBlank="1"/>
    </cacheField>
    <cacheField name="date">
      <sharedItems containsBlank="1" count="1125">
        <s v="2026-07-05"/>
        <s v="2026-07-04"/>
        <s v="2026-06-02"/>
        <s v="2026-06-01"/>
        <s v="2026-05-31"/>
        <s v="2026-05-27"/>
        <s v="2026-05-25"/>
        <s v="2026-05-13"/>
        <s v="2026-05-12"/>
        <s v="2026-05-05"/>
        <s v="2026-05-04"/>
        <s v="2026-05-03"/>
        <s v="2026-05-02"/>
        <s v="2026-05-01"/>
        <s v="2026-04-30"/>
        <s v="2026-04-29"/>
        <s v="2026-04-25"/>
        <s v="2026-04-24"/>
        <s v="2026-04-23"/>
        <s v="2026-04-21"/>
        <s v="2026-04-15"/>
        <s v="2026-04-06"/>
        <s v="2026-04-04"/>
        <s v="2026-04-02"/>
        <s v="2026-04-01"/>
        <s v="2026-03-31"/>
        <s v="2026-03-29"/>
        <s v="2026-03-27"/>
        <s v="2026-03-25"/>
        <s v="2026-03-24"/>
        <s v="2026-03-21"/>
        <s v="2026-03-19"/>
        <s v="2026-03-16"/>
        <s v="2026-03-15"/>
        <s v="2026-03-13"/>
        <s v="2026-03-09"/>
        <s v="2026-03-07"/>
        <s v="2026-03-01"/>
        <s v="2026-02-28"/>
        <s v="2026-02-25"/>
        <s v="2026-02-22"/>
        <s v="2026-02-21"/>
        <s v="2026-02-05"/>
        <s v="2026-02-04"/>
        <s v="2026-02-03"/>
        <s v="2026-02-02"/>
        <s v="2026-02-01"/>
        <s v="2026-01-31"/>
        <s v="2026-01-29"/>
        <s v="2026-01-25"/>
        <s v="2026-01-24"/>
        <s v="2026-01-23"/>
        <s v="2026-01-22"/>
        <s v="2026-01-20"/>
        <s v="2026-01-13"/>
        <s v="2026-01-11"/>
        <s v="2026-01-06"/>
        <s v="2026-01-01"/>
        <s v="2025-12-31"/>
        <s v="2025-12-28"/>
        <s v="2025-12-27"/>
        <s v="2025-12-25"/>
        <s v="2025-12-23"/>
        <s v="2025-12-21"/>
        <s v="2025-12-19"/>
        <s v="2025-12-18"/>
        <s v="2025-12-14"/>
        <s v="2025-12-13"/>
        <s v="2025-12-01"/>
        <s v="2025-11-30"/>
        <s v="2025-11-25"/>
        <s v="2025-11-21"/>
        <s v="2025-11-14"/>
        <s v="2025-11-03"/>
        <s v="2025-11-01"/>
        <s v="2025-10-31"/>
        <s v="2025-10-25"/>
        <s v="2025-10-24"/>
        <s v="2025-10-22"/>
        <s v="2025-10-19"/>
        <s v="2025-10-17"/>
        <s v="2025-10-15"/>
        <s v="2025-10-14"/>
        <s v="2025-10-08"/>
        <s v="2025-10-05"/>
        <s v="2025-09-30"/>
        <s v="2025-09-25"/>
        <s v="2025-09-16"/>
        <s v="2025-09-14"/>
        <s v="2025-09-13"/>
        <s v="2025-09-12"/>
        <s v="2025-09-11"/>
        <s v="2025-09-06"/>
        <s v="2025-09-05"/>
        <s v="2025-08-31"/>
        <s v="2025-08-27"/>
        <s v="2025-08-26"/>
        <s v="2025-08-25"/>
        <s v="2025-08-24"/>
        <s v="2025-08-21"/>
        <s v="2025-08-20"/>
        <s v="2025-08-18"/>
        <s v="2025-08-14"/>
        <s v="2025-08-05"/>
        <s v="2025-08-04"/>
        <s v="2025-08-03"/>
        <s v="2025-08-02"/>
        <s v="2025-08-01"/>
        <s v="2025-07-31"/>
        <s v="2025-07-30"/>
        <s v="2025-07-26"/>
        <s v="2025-07-25"/>
        <s v="2025-07-20"/>
        <s v="2025-07-17"/>
        <s v="2025-07-12"/>
        <s v="2025-07-10"/>
        <s v="2025-07-08"/>
        <s v="2025-07-06"/>
        <s v="2025-07-05"/>
        <s v="2025-07-03"/>
        <s v="2025-06-29"/>
        <s v="2025-06-28"/>
        <s v="2025-06-26"/>
        <s v="2025-06-25"/>
        <s v="2025-06-23"/>
        <s v="2025-06-22"/>
        <s v="2025-06-20"/>
        <s v="2025-06-19"/>
        <s v="2025-06-15"/>
        <s v="2025-06-14"/>
        <s v="2025-06-10"/>
        <s v="2025-06-09"/>
        <s v="2025-06-05"/>
        <s v="2025-06-04"/>
        <s v="2025-05-28"/>
        <s v="2025-05-27"/>
        <s v="2025-05-26"/>
        <s v="2025-05-25"/>
        <s v="2025-05-24"/>
        <s v="2025-05-19"/>
        <s v="2025-05-17"/>
        <s v="2025-05-11"/>
        <s v="2025-05-10"/>
        <s v="2025-05-08"/>
        <s v="2025-05-05"/>
        <s v="2025-04-30"/>
        <s v="2025-04-29"/>
        <s v="2025-04-26"/>
        <s v="2025-04-25"/>
        <s v="2025-04-15"/>
        <s v="2025-04-12"/>
        <s v="2025-04-10"/>
        <s v="2025-04-06"/>
        <s v="2025-04-04"/>
        <s v="2025-04-01"/>
        <s v="2025-03-31"/>
        <s v="2025-03-30"/>
        <s v="2025-03-29"/>
        <s v="2025-03-27"/>
        <s v="2025-03-25"/>
        <s v="2025-03-23"/>
        <s v="2025-03-10"/>
        <s v="2025-03-09"/>
        <s v="2025-03-08"/>
        <s v="2025-03-04"/>
        <s v="2025-03-02"/>
        <s v="2025-03-01"/>
        <s v="2025-02-28"/>
        <s v="2025-02-27"/>
        <s v="2025-02-26"/>
        <s v="2025-02-25"/>
        <s v="2025-02-23"/>
        <s v="2025-02-22"/>
        <s v="2025-02-21"/>
        <s v="2025-02-19"/>
        <s v="2025-02-14"/>
        <s v="2025-02-13"/>
        <s v="2025-02-10"/>
        <s v="2025-02-09"/>
        <s v="2025-02-04"/>
        <s v="2025-02-01"/>
        <s v="2025-01-30"/>
        <s v="2025-01-28"/>
        <s v="2025-01-26"/>
        <s v="2025-01-25"/>
        <s v="2025-01-24"/>
        <s v="2025-01-23"/>
        <s v="2025-01-22"/>
        <s v="2025-01-20"/>
        <s v="2025-01-19"/>
        <s v="2025-01-16"/>
        <s v="2025-01-12"/>
        <s v="2025-01-10"/>
        <s v="2025-01-06"/>
        <s v="2024-12-31"/>
        <s v="2024-12-30"/>
        <s v="2024-12-28"/>
        <s v="2024-12-27"/>
        <s v="2024-12-26"/>
        <s v="2024-12-25"/>
        <s v="2024-12-24"/>
        <s v="2024-12-22"/>
        <s v="2024-12-21"/>
        <s v="2024-12-20"/>
        <s v="2024-12-19"/>
        <s v="2024-12-12"/>
        <s v="2024-12-10"/>
        <s v="2024-12-07"/>
        <s v="2024-12-06"/>
        <s v="2024-12-05"/>
        <s v="2024-12-02"/>
        <s v="2024-12-01"/>
        <s v="2024-11-30"/>
        <s v="2024-11-26"/>
        <s v="2024-11-25"/>
        <s v="2024-11-23"/>
        <s v="2024-11-22"/>
        <s v="2024-11-20"/>
        <s v="2024-11-17"/>
        <s v="2024-11-16"/>
        <s v="2024-11-11"/>
        <s v="2024-11-10"/>
        <s v="2024-11-07"/>
        <s v="2024-11-05"/>
        <s v="2024-11-02"/>
        <s v="2024-10-31"/>
        <s v="2024-10-27"/>
        <s v="2024-10-26"/>
        <s v="2024-10-25"/>
        <s v="2024-10-22"/>
        <s v="2024-10-20"/>
        <s v="2024-10-10"/>
        <s v="2024-10-05"/>
        <s v="2024-09-29"/>
        <s v="2024-09-28"/>
        <s v="2024-09-27"/>
        <s v="2024-09-26"/>
        <s v="2024-09-25"/>
        <s v="2024-09-21"/>
        <s v="2024-09-20"/>
        <s v="2024-09-19"/>
        <s v="2024-09-14"/>
        <s v="2024-09-11"/>
        <s v="2024-09-10"/>
        <s v="2024-09-08"/>
        <s v="2024-09-03"/>
        <s v="2024-09-02"/>
        <s v="2024-09-01"/>
        <s v="2024-08-31"/>
        <s v="2024-08-30"/>
        <s v="2024-08-29"/>
        <s v="2024-08-28"/>
        <s v="2024-08-27"/>
        <s v="2024-08-26"/>
        <s v="2024-08-25"/>
        <s v="2024-08-24"/>
        <s v="2024-08-23"/>
        <s v="2024-08-21"/>
        <s v="2024-08-20"/>
        <s v="2024-08-17"/>
        <s v="2024-08-12"/>
        <s v="2024-08-11"/>
        <s v="2024-08-03"/>
        <s v="2024-07-31"/>
        <s v="2024-07-30"/>
        <s v="2024-07-28"/>
        <s v="2024-07-27"/>
        <s v="2024-07-26"/>
        <s v="2024-07-25"/>
        <s v="2024-07-21"/>
        <s v="2024-07-20"/>
        <s v="2024-07-19"/>
        <s v="2024-07-13"/>
        <s v="2024-07-12"/>
        <s v="2024-07-11"/>
        <s v="2024-07-10"/>
        <s v="2024-07-09"/>
        <s v="2024-07-04"/>
        <s v="2024-07-01"/>
        <s v="2024-06-30"/>
        <s v="2024-06-29"/>
        <s v="2024-06-28"/>
        <s v="2024-06-26"/>
        <s v="2024-06-25"/>
        <s v="2024-06-21"/>
        <s v="2024-06-19"/>
        <s v="2024-06-18"/>
        <s v="2024-06-17"/>
        <s v="2024-06-16"/>
        <s v="2024-06-14"/>
        <s v="2024-06-11"/>
        <s v="2024-06-09"/>
        <s v="2024-06-05"/>
        <s v="2024-06-03"/>
        <s v="2024-06-02"/>
        <s v="2024-06-01"/>
        <s v="2024-05-31"/>
        <s v="2024-05-30"/>
        <s v="2024-05-28"/>
        <s v="2024-05-26"/>
        <s v="2024-05-25"/>
        <s v="2024-05-24"/>
        <s v="2024-05-23"/>
        <s v="2024-05-19"/>
        <s v="2024-05-18"/>
        <s v="2024-05-15"/>
        <s v="2024-05-12"/>
        <s v="2024-05-06"/>
        <s v="2024-05-05"/>
        <s v="2024-05-03"/>
        <s v="2024-05-02"/>
        <s v="2024-05-01"/>
        <s v="2024-04-30"/>
        <s v="2024-04-29"/>
        <s v="2024-04-28"/>
        <s v="2024-04-26"/>
        <s v="2024-04-25"/>
        <s v="2024-04-24"/>
        <s v="2024-04-21"/>
        <s v="2024-04-17"/>
        <s v="2024-04-16"/>
        <s v="2024-04-15"/>
        <s v="2024-04-12"/>
        <s v="2024-04-11"/>
        <s v="2024-04-10"/>
        <s v="2024-04-08"/>
        <s v="2024-04-07"/>
        <s v="2024-04-02"/>
        <s v="2024-04-01"/>
        <s v="2024-03-31"/>
        <s v="2024-03-30"/>
        <s v="2024-03-28"/>
        <s v="2024-03-27"/>
        <s v="2024-03-25"/>
        <s v="2024-03-24"/>
        <s v="2024-03-23"/>
        <s v="2024-03-22"/>
        <s v="2024-03-20"/>
        <s v="2024-03-17"/>
        <s v="2024-03-16"/>
        <s v="2024-03-14"/>
        <s v="2024-03-11"/>
        <s v="2024-03-10"/>
        <s v="2024-03-09"/>
        <s v="2024-03-06"/>
        <s v="2024-03-05"/>
        <s v="2024-03-04"/>
        <s v="2024-03-02"/>
        <s v="2024-02-29"/>
        <s v="2024-02-26"/>
        <s v="2024-02-25"/>
        <s v="2024-02-23"/>
        <s v="2024-02-21"/>
        <s v="2024-02-16"/>
        <s v="2024-02-15"/>
        <s v="2024-02-14"/>
        <s v="2024-02-11"/>
        <s v="2024-02-09"/>
        <s v="2024-02-05"/>
        <s v="2024-02-04"/>
        <s v="2024-02-03"/>
        <s v="2024-02-02"/>
        <s v="2024-02-01"/>
        <s v="2024-01-31"/>
        <s v="2024-01-30"/>
        <s v="2024-01-29"/>
        <s v="2024-01-28"/>
        <s v="2024-01-27"/>
        <s v="2024-01-26"/>
        <s v="2024-01-25"/>
        <s v="2024-01-24"/>
        <s v="2024-01-22"/>
        <s v="2024-01-21"/>
        <s v="2024-01-20"/>
        <s v="2024-01-16"/>
        <s v="2024-01-15"/>
        <s v="2024-01-14"/>
        <s v="2024-01-08"/>
        <s v="2024-01-05"/>
        <s v="2024-01-04"/>
        <s v="2024-01-02"/>
        <s v="2024-01-01"/>
        <s v="2023-12-31"/>
        <s v="2023-12-29"/>
        <s v="2023-12-25"/>
        <s v="2023-12-24"/>
        <s v="2023-12-23"/>
        <s v="2023-12-22"/>
        <s v="2023-12-21"/>
        <s v="2023-12-18"/>
        <s v="2023-12-17"/>
        <s v="2023-12-15"/>
        <s v="2023-12-14"/>
        <s v="2023-12-11"/>
        <s v="2023-12-10"/>
        <s v="2023-12-09"/>
        <s v="2023-12-03"/>
        <s v="2023-12-02"/>
        <s v="2023-12-01"/>
        <s v="2023-11-29"/>
        <s v="2023-11-28"/>
        <s v="2023-11-26"/>
        <s v="2023-11-25"/>
        <s v="2023-11-24"/>
        <s v="2023-11-23"/>
        <s v="2023-11-19"/>
        <s v="2023-11-18"/>
        <s v="2023-11-16"/>
        <s v="2023-11-14"/>
        <s v="2023-11-11"/>
        <s v="2023-11-09"/>
        <s v="2023-11-08"/>
        <s v="2023-11-05"/>
        <s v="2023-11-04"/>
        <s v="2023-11-03"/>
        <s v="2023-11-01"/>
        <s v="2023-10-31"/>
        <s v="2023-10-30"/>
        <s v="2023-10-29"/>
        <s v="2023-10-25"/>
        <s v="2023-10-24"/>
        <s v="2023-10-21"/>
        <s v="2023-10-20"/>
        <s v="2023-10-18"/>
        <s v="2023-10-17"/>
        <s v="2023-10-16"/>
        <s v="2023-10-15"/>
        <s v="2023-10-14"/>
        <s v="2023-10-13"/>
        <s v="2023-10-11"/>
        <s v="2023-10-10"/>
        <s v="2023-10-09"/>
        <s v="2023-10-07"/>
        <s v="2023-10-06"/>
        <s v="2023-10-05"/>
        <s v="2023-10-03"/>
        <s v="2023-10-02"/>
        <s v="2023-10-01"/>
        <s v="2023-09-30"/>
        <s v="2023-09-29"/>
        <s v="2023-09-27"/>
        <s v="2023-09-26"/>
        <s v="2023-09-25"/>
        <s v="2023-09-24"/>
        <s v="2023-09-23"/>
        <s v="2023-09-22"/>
        <s v="2023-09-15"/>
        <s v="2023-09-14"/>
        <s v="2023-09-10"/>
        <s v="2023-09-08"/>
        <s v="2023-09-07"/>
        <s v="2023-09-05"/>
        <s v="2023-09-04"/>
        <s v="2023-09-03"/>
        <s v="2023-09-02"/>
        <s v="2023-09-01"/>
        <s v="2023-08-31"/>
        <s v="2023-08-30"/>
        <s v="2023-08-29"/>
        <s v="2023-08-28"/>
        <s v="2023-08-27"/>
        <s v="2023-08-26"/>
        <s v="2023-08-25"/>
        <s v="2023-08-24"/>
        <s v="2023-08-23"/>
        <s v="2023-08-22"/>
        <s v="2023-08-21"/>
        <s v="2023-08-20"/>
        <s v="2023-08-19"/>
        <s v="2023-08-18"/>
        <s v="2023-08-17"/>
        <s v="2023-08-16"/>
        <s v="2023-08-15"/>
        <s v="2023-08-14"/>
        <s v="2023-08-13"/>
        <s v="2023-08-12"/>
        <s v="2023-08-11"/>
        <s v="2023-08-10"/>
        <s v="2023-08-09"/>
        <s v="2023-08-08"/>
        <s v="2023-08-07"/>
        <s v="2023-08-06"/>
        <s v="2023-08-04"/>
        <s v="2023-08-03"/>
        <s v="2023-08-02"/>
        <s v="2023-07-31"/>
        <s v="2023-07-30"/>
        <s v="2023-07-29"/>
        <s v="2023-07-27"/>
        <s v="2023-07-25"/>
        <s v="2023-07-24"/>
        <s v="2023-07-23"/>
        <s v="2023-07-22"/>
        <s v="2023-07-21"/>
        <s v="2023-07-20"/>
        <s v="2023-07-19"/>
        <s v="2023-07-18"/>
        <s v="2023-07-17"/>
        <s v="2023-07-16"/>
        <s v="2023-07-14"/>
        <s v="2023-07-13"/>
        <s v="2023-07-12"/>
        <s v="2023-07-11"/>
        <s v="2023-07-10"/>
        <s v="2023-07-09"/>
        <s v="2023-07-08"/>
        <s v="2023-07-07"/>
        <s v="2023-07-06"/>
        <s v="2023-07-05"/>
        <s v="2023-07-04"/>
        <s v="2023-07-03"/>
        <s v="2023-07-02"/>
        <s v="2023-07-01"/>
        <s v="2023-06-30"/>
        <s v="2023-06-29"/>
        <s v="2023-06-28"/>
        <s v="2023-06-27"/>
        <s v="2023-06-25"/>
        <s v="2023-06-24"/>
        <s v="2023-06-23"/>
        <s v="2023-06-22"/>
        <s v="2023-06-21"/>
        <s v="2023-06-20"/>
        <s v="2023-06-19"/>
        <s v="2023-06-18"/>
        <s v="2023-06-17"/>
        <s v="2023-06-16"/>
        <s v="2023-06-15"/>
        <s v="2023-06-14"/>
        <s v="2023-06-13"/>
        <s v="2023-06-12"/>
        <s v="2023-06-11"/>
        <s v="2023-06-10"/>
        <s v="2023-06-08"/>
        <s v="2023-06-07"/>
        <s v="2023-06-06"/>
        <s v="2023-06-05"/>
        <s v="2023-06-03"/>
        <s v="2023-06-02"/>
        <s v="2023-06-01"/>
        <s v="2023-05-31"/>
        <s v="2023-05-30"/>
        <s v="2023-05-25"/>
        <s v="2023-05-21"/>
        <s v="2023-05-18"/>
        <s v="2023-05-16"/>
        <s v="2023-05-15"/>
        <s v="2023-05-14"/>
        <s v="2023-05-13"/>
        <s v="2023-05-12"/>
        <s v="2023-05-11"/>
        <s v="2023-05-10"/>
        <s v="2023-05-09"/>
        <s v="2023-05-08"/>
        <s v="2023-05-07"/>
        <s v="2023-05-06"/>
        <s v="2023-05-05"/>
        <s v="2023-05-04"/>
        <s v="2023-05-03"/>
        <s v="2023-05-02"/>
        <s v="2023-05-01"/>
        <s v="2023-04-30"/>
        <s v="2023-04-29"/>
        <s v="2023-04-28"/>
        <s v="2023-04-27"/>
        <s v="2023-04-26"/>
        <s v="2023-04-25"/>
        <s v="2023-04-24"/>
        <s v="2023-04-23"/>
        <s v="2023-04-22"/>
        <s v="2023-04-20"/>
        <s v="2023-04-19"/>
        <s v="2023-04-18"/>
        <s v="2023-04-17"/>
        <s v="2023-04-16"/>
        <s v="2023-04-15"/>
        <s v="2023-04-14"/>
        <s v="2023-04-13"/>
        <s v="2023-04-12"/>
        <s v="2023-04-11"/>
        <s v="2023-04-10"/>
        <s v="2023-04-09"/>
        <s v="2023-04-08"/>
        <s v="2023-04-07"/>
        <s v="2023-04-06"/>
        <s v="2023-04-05"/>
        <s v="2023-04-04"/>
        <s v="2023-04-03"/>
        <s v="2023-04-02"/>
        <s v="2023-04-01"/>
        <s v="2023-03-31"/>
        <s v="2023-03-30"/>
        <s v="2023-03-29"/>
        <s v="2023-03-28"/>
        <s v="2023-03-27"/>
        <s v="2023-03-26"/>
        <s v="2023-03-25"/>
        <s v="2023-03-24"/>
        <s v="2023-03-22"/>
        <s v="2023-03-18"/>
        <s v="2023-03-16"/>
        <s v="2023-03-14"/>
        <s v="2023-03-12"/>
        <s v="2023-03-11"/>
        <s v="2023-03-09"/>
        <s v="2023-03-08"/>
        <s v="2023-03-07"/>
        <s v="2023-03-06"/>
        <s v="2023-03-05"/>
        <s v="2023-03-04"/>
        <s v="2023-03-03"/>
        <s v="2023-03-02"/>
        <s v="2023-03-01"/>
        <s v="2023-02-28"/>
        <s v="2023-02-27"/>
        <s v="2023-02-26"/>
        <s v="2023-02-25"/>
        <s v="2023-02-24"/>
        <s v="2023-02-23"/>
        <s v="2023-02-22"/>
        <s v="2023-02-21"/>
        <s v="2023-02-20"/>
        <s v="2023-02-19"/>
        <s v="2023-02-16"/>
        <s v="2023-02-15"/>
        <s v="2023-02-14"/>
        <s v="2023-02-13"/>
        <s v="2023-02-12"/>
        <s v="2023-02-11"/>
        <s v="2023-02-09"/>
        <s v="2023-02-08"/>
        <s v="2023-02-07"/>
        <s v="2023-02-05"/>
        <s v="2023-02-04"/>
        <s v="2023-02-03"/>
        <s v="2023-02-02"/>
        <s v="2023-02-01"/>
        <s v="2023-01-31"/>
        <s v="2023-01-30"/>
        <s v="2023-01-29"/>
        <s v="2023-01-28"/>
        <s v="2023-01-27"/>
        <s v="2023-01-26"/>
        <s v="2023-01-25"/>
        <s v="2023-01-24"/>
        <s v="2023-01-23"/>
        <s v="2023-01-22"/>
        <s v="2023-01-21"/>
        <s v="2023-01-20"/>
        <s v="2023-01-19"/>
        <s v="2023-01-18"/>
        <s v="2023-01-17"/>
        <s v="2023-01-16"/>
        <s v="2023-01-15"/>
        <s v="2023-01-14"/>
        <s v="2023-01-12"/>
        <s v="2023-01-11"/>
        <s v="2023-01-10"/>
        <s v="2023-01-09"/>
        <s v="2023-01-08"/>
        <s v="2023-01-07"/>
        <s v="2023-01-06"/>
        <s v="2023-01-05"/>
        <s v="2023-01-04"/>
        <s v="2023-01-03"/>
        <s v="2023-01-02"/>
        <s v="2023-01-01"/>
        <s v="2022-12-31"/>
        <s v="2022-12-30"/>
        <s v="2022-12-29"/>
        <s v="2022-12-28"/>
        <s v="2022-12-27"/>
        <s v="2022-12-26"/>
        <s v="2022-12-25"/>
        <s v="2022-12-24"/>
        <s v="2022-12-23"/>
        <s v="2022-12-22"/>
        <s v="2022-12-20"/>
        <s v="2022-12-19"/>
        <s v="2022-12-18"/>
        <s v="2022-12-16"/>
        <s v="2022-12-15"/>
        <s v="2022-12-14"/>
        <s v="2022-12-13"/>
        <s v="2022-12-12"/>
        <s v="2022-12-11"/>
        <s v="2022-12-10"/>
        <s v="2022-12-09"/>
        <s v="2022-12-08"/>
        <s v="2022-12-07"/>
        <s v="2022-12-06"/>
        <s v="2022-12-04"/>
        <s v="2022-12-02"/>
        <s v="2022-12-01"/>
        <s v="2022-11-30"/>
        <s v="2022-11-29"/>
        <s v="2022-11-28"/>
        <s v="2022-11-27"/>
        <s v="2022-11-26"/>
        <s v="2022-11-25"/>
        <s v="2022-11-24"/>
        <s v="2022-11-23"/>
        <s v="2022-11-22"/>
        <s v="2022-11-21"/>
        <s v="2022-11-20"/>
        <s v="2022-11-19"/>
        <s v="2022-11-18"/>
        <s v="2022-11-17"/>
        <s v="2022-11-15"/>
        <s v="2022-11-14"/>
        <s v="2022-11-13"/>
        <s v="2022-11-12"/>
        <s v="2022-11-11"/>
        <s v="2022-11-10"/>
        <s v="2022-11-09"/>
        <s v="2022-11-08"/>
        <s v="2022-11-07"/>
        <s v="2022-11-06"/>
        <s v="2022-11-05"/>
        <s v="2022-11-04"/>
        <s v="2022-11-03"/>
        <s v="2022-11-02"/>
        <s v="2022-11-01"/>
        <s v="2022-10-31"/>
        <s v="2022-10-30"/>
        <s v="2022-10-29"/>
        <s v="2022-10-28"/>
        <s v="2022-10-27"/>
        <s v="2022-10-26"/>
        <s v="2022-10-25"/>
        <s v="2022-10-24"/>
        <s v="2022-10-23"/>
        <s v="2022-10-14"/>
        <s v="2022-10-13"/>
        <s v="2022-10-12"/>
        <s v="2022-10-11"/>
        <s v="2022-10-10"/>
        <s v="2022-10-09"/>
        <s v="2022-10-08"/>
        <s v="2022-10-07"/>
        <s v="2022-10-06"/>
        <s v="2022-10-05"/>
        <s v="2022-10-04"/>
        <s v="2022-10-03"/>
        <s v="2022-10-02"/>
        <s v="2022-10-01"/>
        <s v="2022-09-30"/>
        <s v="2022-09-29"/>
        <s v="2022-09-28"/>
        <s v="2022-09-27"/>
        <s v="2022-09-26"/>
        <s v="2022-09-25"/>
        <s v="2022-09-24"/>
        <s v="2022-09-23"/>
        <s v="2022-09-20"/>
        <s v="2022-09-19"/>
        <s v="2022-09-18"/>
        <s v="2022-09-14"/>
        <s v="2022-09-13"/>
        <s v="2022-09-12"/>
        <s v="2022-09-11"/>
        <s v="2022-09-10"/>
        <s v="2022-09-09"/>
        <s v="2022-09-08"/>
        <s v="2022-09-07"/>
        <s v="2022-09-06"/>
        <s v="2022-09-05"/>
        <s v="2022-09-04"/>
        <s v="2022-09-03"/>
        <s v="2022-09-02"/>
        <s v="2022-09-01"/>
        <s v="2022-08-31"/>
        <s v="2022-08-30"/>
        <s v="2022-08-29"/>
        <s v="2022-08-28"/>
        <s v="2022-08-27"/>
        <s v="2022-08-26"/>
        <s v="2022-08-25"/>
        <s v="2022-08-24"/>
        <s v="2022-08-23"/>
        <s v="2022-08-22"/>
        <s v="2022-08-21"/>
        <s v="2022-08-20"/>
        <s v="2022-08-19"/>
        <s v="2022-08-18"/>
        <s v="2022-08-17"/>
        <s v="2022-08-16"/>
        <s v="2022-08-15"/>
        <s v="2022-08-14"/>
        <s v="2022-08-13"/>
        <s v="2022-08-12"/>
        <s v="2022-08-10"/>
        <s v="2022-08-09"/>
        <s v="2022-08-08"/>
        <s v="2022-08-07"/>
        <s v="2022-08-06"/>
        <s v="2022-08-05"/>
        <s v="2022-08-04"/>
        <s v="2022-08-03"/>
        <s v="2022-08-02"/>
        <s v="2022-08-01"/>
        <s v="2022-07-31"/>
        <s v="2022-07-29"/>
        <s v="2022-07-28"/>
        <s v="2022-07-27"/>
        <s v="2022-07-26"/>
        <s v="2022-07-25"/>
        <s v="2022-07-23"/>
        <s v="2022-07-22"/>
        <s v="2022-07-21"/>
        <s v="2022-07-20"/>
        <s v="2022-07-19"/>
        <s v="2022-07-18"/>
        <s v="2022-07-15"/>
        <s v="2022-07-14"/>
        <s v="2022-07-13"/>
        <s v="2022-07-12"/>
        <s v="2022-07-11"/>
        <s v="2022-07-10"/>
        <s v="2022-07-09"/>
        <s v="2022-07-07"/>
        <s v="2022-07-06"/>
        <s v="2022-07-05"/>
        <s v="2022-07-04"/>
        <s v="2022-07-03"/>
        <s v="2022-07-02"/>
        <s v="2022-07-01"/>
        <s v="2022-06-30"/>
        <s v="2022-06-28"/>
        <s v="2022-06-27"/>
        <s v="2022-06-26"/>
        <s v="2022-06-25"/>
        <s v="2022-06-23"/>
        <s v="2022-06-22"/>
        <s v="2022-06-21"/>
        <s v="2022-06-20"/>
        <s v="2022-06-19"/>
        <s v="2022-06-18"/>
        <s v="2022-06-17"/>
        <s v="2022-06-16"/>
        <s v="2022-06-15"/>
        <s v="2022-06-14"/>
        <s v="2022-06-12"/>
        <s v="2022-06-11"/>
        <s v="2022-06-10"/>
        <s v="2022-06-08"/>
        <s v="2022-06-07"/>
        <s v="2022-06-06"/>
        <s v="2022-06-04"/>
        <s v="2022-06-03"/>
        <s v="2022-06-02"/>
        <s v="2022-06-01"/>
        <s v="2022-05-31"/>
        <s v="2022-05-30"/>
        <s v="2022-05-28"/>
        <s v="2022-05-27"/>
        <s v="2022-05-26"/>
        <s v="2022-05-25"/>
        <s v="2022-05-21"/>
        <s v="2022-05-19"/>
        <s v="2022-05-18"/>
        <s v="2022-05-17"/>
        <s v="2022-05-16"/>
        <s v="2022-05-15"/>
        <s v="2022-05-14"/>
        <s v="2022-05-12"/>
        <s v="2022-05-11"/>
        <s v="2022-05-10"/>
        <s v="2022-05-08"/>
        <s v="2022-05-06"/>
        <s v="2022-05-05"/>
        <s v="2022-05-04"/>
        <s v="2022-05-03"/>
        <s v="2022-05-02"/>
        <s v="2022-05-01"/>
        <s v="2022-04-30"/>
        <s v="2022-04-29"/>
        <s v="2022-04-28"/>
        <s v="2022-04-26"/>
        <s v="2022-04-25"/>
        <s v="2022-04-24"/>
        <s v="2022-04-23"/>
        <s v="2022-04-22"/>
        <s v="2022-04-19"/>
        <s v="2022-04-17"/>
        <s v="2022-04-16"/>
        <s v="2022-04-15"/>
        <s v="2022-04-14"/>
        <s v="2022-04-13"/>
        <s v="2022-04-11"/>
        <s v="2022-04-10"/>
        <s v="2022-04-09"/>
        <s v="2022-04-07"/>
        <s v="2022-04-06"/>
        <s v="2022-04-05"/>
        <s v="2022-04-04"/>
        <s v="2022-04-03"/>
        <s v="2022-04-02"/>
        <s v="2022-04-01"/>
        <s v="2022-03-31"/>
        <s v="2022-03-30"/>
        <s v="2022-03-29"/>
        <s v="2022-03-28"/>
        <s v="2022-03-27"/>
        <s v="2022-03-26"/>
        <s v="2022-03-24"/>
        <s v="2022-03-20"/>
        <s v="2022-03-19"/>
        <s v="2022-03-18"/>
        <s v="2022-03-17"/>
        <s v="2022-03-16"/>
        <s v="2022-03-15"/>
        <s v="2022-03-14"/>
        <s v="2022-03-13"/>
        <s v="2022-03-12"/>
        <s v="2022-03-11"/>
        <s v="2022-03-10"/>
        <s v="2022-03-09"/>
        <s v="2022-03-08"/>
        <s v="2022-03-07"/>
        <s v="2022-03-06"/>
        <s v="2022-03-05"/>
        <s v="2022-03-04"/>
        <s v="2022-03-03"/>
        <s v="2022-03-01"/>
        <s v="2022-02-28"/>
        <s v="2022-02-27"/>
        <s v="2022-02-26"/>
        <s v="2022-02-25"/>
        <s v="2022-02-23"/>
        <s v="2022-02-22"/>
        <s v="2022-02-21"/>
        <s v="2022-02-20"/>
        <s v="2022-02-19"/>
        <s v="2022-02-16"/>
        <s v="2022-02-15"/>
        <s v="2022-02-14"/>
        <s v="2022-02-13"/>
        <s v="2022-02-12"/>
        <s v="2022-02-10"/>
        <s v="2022-02-09"/>
        <s v="2022-02-06"/>
        <s v="2022-02-04"/>
        <s v="2022-02-02"/>
        <s v="2022-02-01"/>
        <s v="2022-01-31"/>
        <s v="2022-01-30"/>
        <s v="2022-01-28"/>
        <s v="2022-01-26"/>
        <s v="2022-01-25"/>
        <s v="2022-01-23"/>
        <s v="2022-01-22"/>
        <s v="2022-01-21"/>
        <s v="2022-01-20"/>
        <s v="2022-01-19"/>
        <s v="2022-01-16"/>
        <s v="2022-01-15"/>
        <s v="2022-01-14"/>
        <s v="2022-01-12"/>
        <s v="2022-01-11"/>
        <s v="2022-01-10"/>
        <s v="2022-01-09"/>
        <s v="2022-01-08"/>
        <s v="2022-01-07"/>
        <s v="2022-01-06"/>
        <s v="2022-01-05"/>
        <s v="2022-01-04"/>
        <s v="2022-01-03"/>
        <s v="2022-01-02"/>
        <s v="2022-01-01"/>
        <s v="2021-12-31"/>
        <s v="2021-12-30"/>
        <s v="2021-12-29"/>
        <s v="2021-12-28"/>
        <s v="2021-12-27"/>
        <s v="2021-12-26"/>
        <s v="2021-12-25"/>
        <s v="2021-12-24"/>
        <s v="2021-12-23"/>
        <s v="2021-12-22"/>
        <s v="2021-12-21"/>
        <s v="2021-12-20"/>
        <s v="2021-12-19"/>
        <s v="2021-12-18"/>
        <s v="2021-12-17"/>
        <s v="2021-12-16"/>
        <s v="2021-12-15"/>
        <s v="2021-12-14"/>
        <s v="2021-12-13"/>
        <s v="2021-12-12"/>
        <s v="2021-12-11"/>
        <s v="2021-12-10"/>
        <s v="2021-12-09"/>
        <s v="2021-12-05"/>
        <s v="2021-12-04"/>
        <s v="2021-12-02"/>
        <s v="2021-12-01"/>
        <s v="2021-11-30"/>
        <s v="2021-11-29"/>
        <s v="2021-11-28"/>
        <s v="2021-11-27"/>
        <s v="2021-11-26"/>
        <s v="2021-11-25"/>
        <s v="2021-11-23"/>
        <s v="2021-11-22"/>
        <s v="2021-11-21"/>
        <s v="2021-11-20"/>
        <s v="2021-11-19"/>
        <s v="2021-11-16"/>
        <s v="2021-11-15"/>
        <s v="2021-11-14"/>
        <s v="2021-11-13"/>
        <s v="2021-11-12"/>
        <s v="2021-11-11"/>
        <s v="2021-11-10"/>
        <s v="2021-11-08"/>
        <s v="2021-11-06"/>
        <s v="2021-11-05"/>
        <s v="2021-11-04"/>
        <s v="2021-11-03"/>
        <s v="2021-11-01"/>
        <s v="2021-10-31"/>
        <s v="2021-10-30"/>
        <s v="2021-10-29"/>
        <s v="2021-10-28"/>
        <s v="2021-10-27"/>
        <s v="2021-10-26"/>
        <s v="2021-10-25"/>
        <s v="2021-10-23"/>
        <s v="2021-10-22"/>
        <s v="2021-10-21"/>
        <s v="2021-10-20"/>
        <s v="2021-10-19"/>
        <s v="2021-10-18"/>
        <s v="2021-10-17"/>
        <s v="2021-10-16"/>
        <s v="2021-10-15"/>
        <s v="2021-10-14"/>
        <s v="2021-10-13"/>
        <s v="2021-10-12"/>
        <s v="2021-10-11"/>
        <s v="2021-10-10"/>
        <s v="2021-10-09"/>
        <s v="2021-10-08"/>
        <s v="2021-10-07"/>
        <s v="2021-10-05"/>
        <s v="2021-10-03"/>
        <s v="2021-10-02"/>
        <s v="2021-10-01"/>
        <s v="2021-09-30"/>
        <s v="2021-09-29"/>
        <s v="2021-09-28"/>
        <s v="2021-09-27"/>
        <s v="2021-09-26"/>
        <s v="2021-09-25"/>
        <s v="2021-09-24"/>
        <s v="2021-09-23"/>
        <s v="2021-09-22"/>
        <s v="2021-09-21"/>
        <s v="2021-09-20"/>
        <s v="2021-09-18"/>
        <s v="2021-09-17"/>
        <s v="2021-09-16"/>
        <s v="2021-09-15"/>
        <s v="2021-09-14"/>
        <s v="2021-09-13"/>
        <s v="2021-09-12"/>
        <s v="2021-09-11"/>
        <s v="2021-09-10"/>
        <s v="2021-09-09"/>
        <s v="2021-09-08"/>
        <s v="2021-09-07"/>
        <s v="2021-09-06"/>
        <s v="2021-09-05"/>
        <s v="2021-09-04"/>
        <s v="2021-09-03"/>
        <s v="2021-09-02"/>
        <s v="2021-09-01"/>
        <s v="2021-08-31"/>
        <s v="2021-08-30"/>
        <s v="2021-08-29"/>
        <s v="2021-08-28"/>
        <s v="2021-08-27"/>
        <s v="2021-08-26"/>
        <s v="2021-08-25"/>
        <s v="2021-08-24"/>
        <s v="2021-08-23"/>
        <s v="2021-08-22"/>
        <s v="2021-08-21"/>
        <s v="2021-08-20"/>
        <s v="2021-08-19"/>
        <s v="2021-08-18"/>
        <s v="2021-08-17"/>
        <s v="2021-08-16"/>
        <s v="2021-08-15"/>
        <s v="2021-08-14"/>
        <s v="2021-08-13"/>
        <s v="2021-08-12"/>
        <s v="2021-08-11"/>
        <s v="2021-08-10"/>
        <s v="2021-08-09"/>
        <s v="2021-08-08"/>
        <s v="2021-08-07"/>
        <s v="2021-08-06"/>
        <s v="2021-08-05"/>
        <s v="2021-08-04"/>
        <s v="2021-08-03"/>
        <s v="2021-08-02"/>
        <s v="2021-08-01"/>
        <s v="2021-07-31"/>
        <s v="2021-07-28"/>
        <s v="2021-07-27"/>
        <s v="2021-07-26"/>
        <s v="2021-07-25"/>
        <s v="2021-07-20"/>
        <s v="2021-07-18"/>
        <s v="2021-07-15"/>
        <s v="2021-07-14"/>
        <s v="2021-07-11"/>
        <s v="2021-07-10"/>
        <s v="2021-07-06"/>
        <s v="2021-07-04"/>
        <s v="2021-07-01"/>
        <s v="2021-06-10"/>
        <m/>
      </sharedItems>
    </cacheField>
    <cacheField name="time">
      <sharedItems containsBlank="1"/>
    </cacheField>
    <cacheField name="amount">
      <sharedItems containsString="0" containsBlank="1" containsNumber="1" minValue="-160435" maxValue="400000" count="1608">
        <n v="50000"/>
        <n v="60000"/>
        <n v="1050"/>
        <n v="1151"/>
        <n v="19000"/>
        <n v="5000"/>
        <n v="7071"/>
        <n v="3480"/>
        <n v="10000"/>
        <n v="2717"/>
        <n v="125"/>
        <n v="878"/>
        <n v="412"/>
        <n v="529"/>
        <n v="241"/>
        <n v="272"/>
        <n v="1680"/>
        <n v="320"/>
        <n v="485"/>
        <n v="300"/>
        <n v="2108"/>
        <n v="31486.37"/>
        <n v="100"/>
        <n v="3743"/>
        <n v="3900"/>
        <n v="1085"/>
        <n v="200"/>
        <n v="45029.79"/>
        <n v="6894.8"/>
        <n v="9790"/>
        <n v="1917.52"/>
        <n v="500"/>
        <n v="3357"/>
        <n v="167890"/>
        <n v="260"/>
        <n v="20000"/>
        <n v="305000"/>
        <n v="7264"/>
        <n v="849"/>
        <n v="923"/>
        <n v="30015"/>
        <n v="15015"/>
        <n v="8000"/>
        <n v="690"/>
        <n v="4863"/>
        <n v="2618"/>
        <n v="1064"/>
        <n v="-715"/>
        <n v="541"/>
        <n v="2127.98"/>
        <n v="7127.68"/>
        <n v="3357.8"/>
        <n v="2816"/>
        <n v="590"/>
        <n v="456"/>
        <n v="3995"/>
        <n v="923.77"/>
        <n v="2355"/>
        <n v="3834"/>
        <n v="795"/>
        <n v="1820"/>
        <n v="2208"/>
        <n v="6213"/>
        <n v="7269"/>
        <n v="1599"/>
        <n v="1122"/>
        <n v="3481"/>
        <n v="719"/>
        <n v="508"/>
        <n v="1576"/>
        <n v="7560"/>
        <n v="3675"/>
        <n v="3642"/>
        <n v="3238"/>
        <n v="45"/>
        <n v="3460"/>
        <n v="5986"/>
        <n v="398"/>
        <n v="15000"/>
        <n v="6894"/>
        <n v="2134"/>
        <n v="90000"/>
        <n v="7500"/>
        <n v="210"/>
        <n v="1500"/>
        <n v="2400"/>
        <n v="129"/>
        <n v="70"/>
        <n v="7151"/>
        <n v="3258"/>
        <n v="2003"/>
        <n v="3690"/>
        <n v="47200"/>
        <n v="242016"/>
        <n v="16630"/>
        <n v="23294"/>
        <n v="1446"/>
        <n v="1359"/>
        <n v="28740"/>
        <n v="100000"/>
        <n v="7489"/>
        <n v="4646"/>
        <n v="27000"/>
        <n v="5307.25"/>
        <n v="12.15"/>
        <n v="2374"/>
        <n v="8960"/>
        <n v="4345"/>
        <n v="3025.2"/>
        <n v="151260"/>
        <n v="29"/>
        <n v="6378"/>
        <n v="12465"/>
        <n v="354"/>
        <n v="7696"/>
        <n v="8506"/>
        <n v="5979"/>
        <n v="22082.5"/>
        <n v="569"/>
        <n v="7420"/>
        <n v="1190"/>
        <n v="4656"/>
        <n v="2193"/>
        <n v="3777"/>
        <n v="28956"/>
        <n v="3306.4"/>
        <n v="3123.74"/>
        <n v="2857.94"/>
        <n v="9240"/>
        <n v="9165"/>
        <n v="170.54"/>
        <n v="1017"/>
        <n v="580"/>
        <n v="2100"/>
        <n v="640"/>
        <n v="6791"/>
        <n v="3016"/>
        <n v="2424"/>
        <n v="600"/>
        <n v="3048.87"/>
        <n v="141"/>
        <n v="2159"/>
        <n v="9750"/>
        <n v="4500.68"/>
        <n v="3025"/>
        <n v="34"/>
        <n v="150"/>
        <n v="47223.68"/>
        <n v="7153"/>
        <n v="4211"/>
        <n v="55"/>
        <n v="1257"/>
        <n v="973.7"/>
        <n v="6534"/>
        <n v="1047"/>
        <n v="240"/>
        <n v="7276"/>
        <n v="310"/>
        <n v="742"/>
        <n v="650"/>
        <n v="778"/>
        <n v="7864.81"/>
        <n v="4671"/>
        <n v="2706.08"/>
        <n v="69.45"/>
        <n v="959"/>
        <n v="3243"/>
        <n v="7452"/>
        <n v="652"/>
        <n v="80"/>
        <n v="329"/>
        <n v="3774.88"/>
        <n v="1210"/>
        <n v="2901.27"/>
        <n v="88.98"/>
        <n v="25"/>
        <n v="73"/>
        <n v="15914"/>
        <n v="1100"/>
        <n v="1075"/>
        <n v="5457"/>
        <n v="1760"/>
        <n v="1000"/>
        <n v="790"/>
        <n v="550"/>
        <n v="40"/>
        <n v="750"/>
        <n v="600.91"/>
        <n v="7300"/>
        <n v="933"/>
        <n v="842"/>
        <n v="1690"/>
        <n v="3065"/>
        <n v="477"/>
        <n v="2890"/>
        <n v="1963.32"/>
        <n v="515"/>
        <n v="97.39"/>
        <n v="2733"/>
        <n v="50"/>
        <n v="415"/>
        <n v="7.09"/>
        <n v="5.46"/>
        <n v="6309"/>
        <n v="6153"/>
        <n v="3201.86"/>
        <n v="270"/>
        <n v="7331"/>
        <n v="986"/>
        <n v="7187"/>
        <n v="6853"/>
        <n v="2000"/>
        <n v="3000"/>
        <n v="1011"/>
        <n v="5"/>
        <n v="768"/>
        <n v="2589"/>
        <n v="336"/>
        <n v="300000"/>
        <n v="985.99"/>
        <n v="62427.1"/>
        <n v="31"/>
        <n v="279"/>
        <n v="11222"/>
        <n v="50993.04"/>
        <n v="9229"/>
        <n v="40312"/>
        <n v="19910"/>
        <n v="1194"/>
        <n v="39000"/>
        <n v="34811"/>
        <n v="5189"/>
        <n v="230"/>
        <n v="147"/>
        <n v="4000"/>
        <n v="9409"/>
        <n v="3073.69"/>
        <n v="4500"/>
        <n v="139.51"/>
        <n v="95"/>
        <n v="6736"/>
        <n v="6011"/>
        <n v="9120"/>
        <n v="4737.89"/>
        <n v="118"/>
        <n v="4580.41"/>
        <n v="7442"/>
        <n v="7068"/>
        <n v="5016.79"/>
        <n v="6853.32"/>
        <n v="3247.55"/>
        <n v="904"/>
        <n v="30000"/>
        <n v="40000"/>
        <n v="1027"/>
        <n v="1245"/>
        <n v="1785"/>
        <n v="2896.05"/>
        <n v="145.37"/>
        <n v="3030"/>
        <n v="3005.43"/>
        <n v="970"/>
        <n v="1073"/>
        <n v="3933"/>
        <n v="7481"/>
        <n v="105"/>
        <n v="1515"/>
        <n v="224"/>
        <n v="7000"/>
        <n v="2945.38"/>
        <n v="161.87"/>
        <n v="21082"/>
        <n v="1755"/>
        <n v="800"/>
        <n v="9650"/>
        <n v="11872"/>
        <n v="1361.25"/>
        <n v="5628"/>
        <n v="2342"/>
        <n v="1023.75"/>
        <n v="150000"/>
        <n v="880"/>
        <n v="1384"/>
        <n v="7402"/>
        <n v="2507"/>
        <n v="633"/>
        <n v="34589.51"/>
        <n v="212185"/>
        <n v="14060"/>
        <n v="12450"/>
        <n v="19181"/>
        <n v="5759"/>
        <n v="12538.56"/>
        <n v="883"/>
        <n v="979"/>
        <n v="4649"/>
        <n v="18000"/>
        <n v="4860"/>
        <n v="13236.67"/>
        <n v="2067.3"/>
        <n v="3421"/>
        <n v="422"/>
        <n v="7967"/>
        <n v="4505"/>
        <n v="340"/>
        <n v="5500"/>
        <n v="8540"/>
        <n v="2744"/>
        <n v="267.85"/>
        <n v="137200"/>
        <n v="7698"/>
        <n v="7800"/>
        <n v="1142"/>
        <n v="875"/>
        <n v="134"/>
        <n v="400"/>
        <n v="2515"/>
        <n v="60"/>
        <n v="2716"/>
        <n v="766"/>
        <n v="335"/>
        <n v="352"/>
        <n v="38"/>
        <n v="30"/>
        <n v="11266.62"/>
        <n v="601"/>
        <n v="220.5"/>
        <n v="3197"/>
        <n v="461"/>
        <n v="402"/>
        <n v="319"/>
        <n v="1102"/>
        <n v="440"/>
        <n v="455"/>
        <n v="276.75"/>
        <n v="376.36"/>
        <n v="2152"/>
        <n v="1395"/>
        <n v="7209.5"/>
        <n v="732"/>
        <n v="27.01"/>
        <n v="7590"/>
        <n v="138401.53"/>
        <n v="131"/>
        <n v="1430"/>
        <n v="399"/>
        <n v="3044"/>
        <n v="236.28"/>
        <n v="3213.15"/>
        <n v="2320"/>
        <n v="1600"/>
        <n v="956"/>
        <n v="330"/>
        <n v="510"/>
        <n v="389"/>
        <n v="473"/>
        <n v="110"/>
        <n v="3.03"/>
        <n v="7100"/>
        <n v="89"/>
        <n v="289"/>
        <n v="2500"/>
        <n v="745"/>
        <n v="14854"/>
        <n v="6856.38"/>
        <n v="1724"/>
        <n v="1224"/>
        <n v="442"/>
        <n v="4270"/>
        <n v="1078"/>
        <n v="3674.16"/>
        <n v="286.83"/>
        <n v="135"/>
        <n v="421"/>
        <n v="4158"/>
        <n v="7382"/>
        <n v="3992"/>
        <n v="1182"/>
        <n v="3119"/>
        <n v="158.69"/>
        <n v="55177.24"/>
        <n v="1634"/>
        <n v="1295"/>
        <n v="971"/>
        <n v="6027"/>
        <n v="1206"/>
        <n v="396"/>
        <n v="419"/>
        <n v="16000"/>
        <n v="3243.4"/>
        <n v="347"/>
        <n v="1156"/>
        <n v="855"/>
        <n v="2600"/>
        <n v="903.5"/>
        <n v="7646.3"/>
        <n v="-1232"/>
        <n v="4952.28"/>
        <n v="5699"/>
        <n v="5793"/>
        <n v="887"/>
        <n v="3999"/>
        <n v="3270"/>
        <n v="319.67"/>
        <n v="4952"/>
        <n v="435"/>
        <n v="693"/>
        <n v="1270"/>
        <n v="3280"/>
        <n v="378"/>
        <n v="3707.36"/>
        <n v="322.75"/>
        <n v="806"/>
        <n v="720"/>
        <n v="7900"/>
        <n v="1291.66"/>
        <n v="895"/>
        <n v="1343"/>
        <n v="7357.13"/>
        <n v="4747"/>
        <n v="6302.99"/>
        <n v="4900"/>
        <n v="2250"/>
        <n v="819"/>
        <n v="1200"/>
        <n v="1650"/>
        <n v="2.26"/>
        <n v="1976.78"/>
        <n v="2555.2"/>
        <n v="309.74"/>
        <n v="3385.42"/>
        <n v="127760"/>
        <n v="345"/>
        <n v="93.74"/>
        <n v="1750"/>
        <n v="99"/>
        <n v="218"/>
        <n v="7166"/>
        <n v="17500"/>
        <n v="1079"/>
        <n v="2031"/>
        <n v="3522"/>
        <n v="675"/>
        <n v="1580"/>
        <n v="548"/>
        <n v="49"/>
        <n v="30680"/>
        <n v="645"/>
        <n v="710"/>
        <n v="3173"/>
        <n v="304.33"/>
        <n v="9131"/>
        <n v="2488.6"/>
        <n v="124430"/>
        <n v="101000"/>
        <n v="270.86"/>
        <n v="62215"/>
        <n v="385.43"/>
        <n v="102"/>
        <n v="13700"/>
        <n v="1054"/>
        <n v="62637"/>
        <n v="67000"/>
        <n v="7686"/>
        <n v="220"/>
        <n v="16"/>
        <n v="1966"/>
        <n v="3186"/>
        <n v="2350"/>
        <n v="2198"/>
        <n v="4258"/>
        <n v="1209.5"/>
        <n v="2752"/>
        <n v="323"/>
        <n v="8997.81"/>
        <n v="12582.66"/>
        <n v="478.32"/>
        <n v="233.33"/>
        <n v="39.89"/>
        <n v="492.79"/>
        <n v="74.86"/>
        <n v="1994.64"/>
        <n v="149.48"/>
        <n v="84.71"/>
        <n v="1572.19"/>
        <n v="376.64"/>
        <n v="3757.16"/>
        <n v="129.06"/>
        <n v="941"/>
        <n v="234.66"/>
        <n v="82.13"/>
        <n v="140.56"/>
        <n v="938.64"/>
        <n v="93.87"/>
        <n v="539.72"/>
        <n v="1626.63"/>
        <n v="116.66"/>
        <n v="93.33"/>
        <n v="1290.65"/>
        <n v="542.07"/>
        <n v="8181.53"/>
        <n v="285"/>
        <n v="193"/>
        <n v="620"/>
        <n v="9280"/>
        <n v="688"/>
        <n v="2881"/>
        <n v="744.585699"/>
        <n v="45000"/>
        <n v="37056"/>
        <n v="10212.5"/>
        <n v="287.5"/>
        <n v="2410.4"/>
        <n v="317"/>
        <n v="48600"/>
        <n v="6000"/>
        <n v="1090"/>
        <n v="617"/>
        <n v="452"/>
        <n v="338"/>
        <n v="526"/>
        <n v="7.59"/>
        <n v="669"/>
        <n v="661"/>
        <n v="1069"/>
        <n v="540"/>
        <n v="1319"/>
        <n v="3928"/>
        <n v="1046.01"/>
        <n v="7291.42"/>
        <n v="37"/>
        <n v="358.73"/>
        <n v="3430.69"/>
        <n v="1572.18"/>
        <n v="12133"/>
        <n v="269"/>
        <n v="250"/>
        <n v="247"/>
        <n v="409"/>
        <n v="558"/>
        <n v="2101"/>
        <n v="1728"/>
        <n v="576"/>
        <n v="226"/>
        <n v="319.93"/>
        <n v="20"/>
        <n v="8206.3"/>
        <n v="149"/>
        <n v="560"/>
        <n v="160"/>
        <n v="4928"/>
        <n v="649"/>
        <n v="1928"/>
        <n v="1723"/>
        <n v="1016.5"/>
        <n v="3675.5"/>
        <n v="400.06"/>
        <n v="1124"/>
        <n v="170"/>
        <n v="14282"/>
        <n v="1568"/>
        <n v="5965"/>
        <n v="660"/>
        <n v="2090"/>
        <n v="9235"/>
        <n v="3500"/>
        <n v="967"/>
        <n v="29755"/>
        <n v="430"/>
        <n v="202"/>
        <n v="192800"/>
        <n v="59"/>
        <n v="200000"/>
        <n v="29461"/>
        <n v="7735"/>
        <n v="1779.59"/>
        <n v="2793"/>
        <n v="688.86"/>
        <n v="987"/>
        <n v="354.33"/>
        <n v="517"/>
        <n v="4543"/>
        <n v="69"/>
        <n v="1420"/>
        <n v="2333"/>
        <n v="1322"/>
        <n v="21944.94"/>
        <n v="3230.15"/>
        <n v="365.29"/>
        <n v="2735"/>
        <n v="219715"/>
        <n v="1487"/>
        <n v="-2710.98"/>
        <n v="154"/>
        <n v="1800"/>
        <n v="379"/>
        <n v="822"/>
        <n v="8219.33"/>
        <n v="14775"/>
        <n v="133"/>
        <n v="679"/>
        <n v="67"/>
        <n v="900"/>
        <n v="800.62"/>
        <n v="122"/>
        <n v="8256"/>
        <n v="450"/>
        <n v="180"/>
        <n v="65"/>
        <n v="3060"/>
        <n v="556.93"/>
        <n v="433"/>
        <n v="3694"/>
        <n v="2242"/>
        <n v="112100"/>
        <n v="57"/>
        <n v="62"/>
        <n v="368.93"/>
        <n v="16604"/>
        <n v="3287"/>
        <n v="482"/>
        <n v="3303"/>
        <n v="35480"/>
        <n v="3780"/>
        <n v="5393"/>
        <n v="555"/>
        <n v="7398.43"/>
        <n v="69.7"/>
        <n v="4493.8"/>
        <n v="4540.4"/>
        <n v="1202.99"/>
        <n v="7482.41"/>
        <n v="5652.51"/>
        <n v="0.15"/>
        <n v="950"/>
        <n v="32"/>
        <n v="475"/>
        <n v="2879.45"/>
        <n v="349.75"/>
        <n v="1027.03"/>
        <n v="1173.99"/>
        <n v="176.09"/>
        <n v="952"/>
        <n v="396.2"/>
        <n v="7374"/>
        <n v="545"/>
        <n v="274.32"/>
        <n v="631"/>
        <n v="1280"/>
        <n v="2653"/>
        <n v="17000"/>
        <n v="2501"/>
        <n v="4366"/>
        <n v="3662"/>
        <n v="687"/>
        <n v="119"/>
        <n v="400000"/>
        <n v="3305"/>
        <n v="1010"/>
        <n v="599"/>
        <n v="14397"/>
        <n v="35718.58"/>
        <n v="1492"/>
        <n v="2190"/>
        <n v="5547"/>
        <n v="49000"/>
        <n v="7137"/>
        <n v="8247"/>
        <n v="5600"/>
        <n v="42520"/>
        <n v="4674.5"/>
        <n v="362"/>
        <n v="403"/>
        <n v="3111.79"/>
        <n v="2567.5"/>
        <n v="5776"/>
        <n v="26332"/>
        <n v="138"/>
        <n v="553"/>
        <n v="15268"/>
        <n v="460"/>
        <n v="1026"/>
        <n v="3880"/>
        <n v="181"/>
        <n v="13917"/>
        <n v="169"/>
        <n v="2330"/>
        <n v="7036.71"/>
        <n v="235"/>
        <n v="756"/>
        <n v="1475"/>
        <n v="315"/>
        <n v="274"/>
        <n v="206"/>
        <n v="170000"/>
        <n v="13062.85"/>
        <n v="1174.607729"/>
        <n v="2983.99"/>
        <n v="68384.01657"/>
        <n v="8417.18"/>
        <n v="80471.36"/>
        <n v="709"/>
        <n v="16632.5"/>
        <n v="117"/>
        <n v="64"/>
        <n v="91"/>
        <n v="1763.15"/>
        <n v="2963"/>
        <n v="1080"/>
        <n v="159"/>
        <n v="593"/>
        <n v="1284.82"/>
        <n v="591"/>
        <n v="511"/>
        <n v="258.57"/>
        <n v="360.45"/>
        <n v="149.97"/>
        <n v="44.99"/>
        <n v="1320.79"/>
        <n v="137.04"/>
        <n v="853.29"/>
        <n v="294.77"/>
        <n v="285.98"/>
        <n v="3232.16"/>
        <n v="155.14"/>
        <n v="193.93"/>
        <n v="43.96"/>
        <n v="51.71"/>
        <n v="1913.44"/>
        <n v="724"/>
        <n v="131.87"/>
        <n v="3020.02"/>
        <n v="404.09"/>
        <n v="820"/>
        <n v="33.61"/>
        <n v="276.67"/>
        <n v="1370.44"/>
        <n v="25.86"/>
        <n v="4433"/>
        <n v="203.76"/>
        <n v="711.08"/>
        <n v="553.35"/>
        <n v="36.2"/>
        <n v="7915"/>
        <n v="677.46"/>
        <n v="16031.52389"/>
        <n v="517.15"/>
        <n v="72.4"/>
        <n v="3948"/>
        <n v="87"/>
        <n v="445"/>
        <n v="85"/>
        <n v="7600.61"/>
        <n v="16.32"/>
        <n v="27620.25"/>
        <n v="115"/>
        <n v="659"/>
        <n v="344"/>
        <n v="126"/>
        <n v="298"/>
        <n v="189"/>
        <n v="490"/>
        <n v="3554.72"/>
        <n v="77"/>
        <n v="35"/>
        <n v="8"/>
        <n v="24"/>
        <n v="10"/>
        <n v="130"/>
        <n v="140"/>
        <n v="1305.23"/>
        <n v="72"/>
        <n v="185"/>
        <n v="1.05"/>
        <n v="6945"/>
        <n v="176"/>
        <n v="283"/>
        <n v="157"/>
        <n v="56"/>
        <n v="205"/>
        <n v="15"/>
        <n v="103"/>
        <n v="85177.5"/>
        <n v="120"/>
        <n v="2175"/>
        <n v="3190"/>
        <n v="275"/>
        <n v="1629.46"/>
        <n v="257.08"/>
        <n v="2593.29"/>
        <n v="1249"/>
        <n v="2840"/>
        <n v="368"/>
        <n v="4494"/>
        <n v="26857"/>
        <n v="1220.41"/>
        <n v="350"/>
        <n v="6689"/>
        <n v="92"/>
        <n v="52"/>
        <n v="3490"/>
        <n v="1830"/>
        <n v="1071.35"/>
        <n v="992"/>
        <n v="147000"/>
        <n v="75"/>
        <n v="219"/>
        <n v="3767.13"/>
        <n v="930"/>
        <n v="465"/>
        <n v="7837.1"/>
        <n v="2608.85"/>
        <n v="380.7"/>
        <n v="56050"/>
        <n v="1261"/>
        <n v="1015"/>
        <n v="1678"/>
        <n v="15822"/>
        <n v="113.66"/>
        <n v="294.98"/>
        <n v="1242.15"/>
        <n v="270.62"/>
        <n v="278.74"/>
        <n v="94.72"/>
        <n v="1791.52"/>
        <n v="2164.98"/>
        <n v="1282.75"/>
        <n v="378.87"/>
        <n v="909.29"/>
        <n v="27.06"/>
        <n v="311.22"/>
        <n v="67.66"/>
        <n v="135.31"/>
        <n v="54.12"/>
        <n v="1488.42"/>
        <n v="121.78"/>
        <n v="32.47"/>
        <n v="156.96"/>
        <n v="541.24"/>
        <n v="273.33"/>
        <n v="408.64"/>
        <n v="690.09"/>
        <n v="34.67"/>
        <n v="2868.59"/>
        <n v="181.32"/>
        <n v="33.83"/>
        <n v="595.37"/>
        <n v="51.42"/>
        <n v="162.37"/>
        <n v="408"/>
        <n v="108.25"/>
        <n v="1353.11"/>
        <n v="81.19"/>
        <n v="36.53"/>
        <n v="77.4"/>
        <n v="6500"/>
        <n v="798"/>
        <n v="39"/>
        <n v="8089"/>
        <n v="7911"/>
        <n v="1157"/>
        <n v="38.1"/>
        <n v="166.5"/>
        <n v="449"/>
        <n v="6608"/>
        <n v="255"/>
        <n v="207"/>
        <n v="109"/>
        <n v="2349"/>
        <n v="8269"/>
        <n v="3135"/>
        <n v="1544"/>
        <n v="2718"/>
        <n v="11145"/>
        <n v="12451.63"/>
        <n v="12451.5"/>
        <n v="290"/>
        <n v="332"/>
        <n v="764"/>
        <n v="2537.21"/>
        <n v="380.34"/>
        <n v="867.77"/>
        <n v="16538.2"/>
        <n v="1150"/>
        <n v="781"/>
        <n v="2233"/>
        <n v="700"/>
        <n v="22290"/>
        <n v="50.61"/>
        <n v="1536.25"/>
        <n v="365"/>
        <n v="171"/>
        <n v="610"/>
        <n v="128"/>
        <n v="228"/>
        <n v="6347.53"/>
        <n v="211"/>
        <n v="264"/>
        <n v="199"/>
        <n v="297"/>
        <n v="13500"/>
        <n v="4964"/>
        <n v="920"/>
        <n v="4019"/>
        <n v="1277"/>
        <n v="1215"/>
        <n v="420"/>
        <n v="231"/>
        <n v="657"/>
        <n v="1819.93"/>
        <n v="361.35"/>
        <n v="1439"/>
        <n v="599.85"/>
        <n v="552"/>
        <n v="405"/>
        <n v="635"/>
        <n v="94"/>
        <n v="353.95"/>
        <n v="2300.6"/>
        <n v="2359"/>
        <n v="3446"/>
        <n v="12"/>
        <n v="565"/>
        <n v="11957"/>
        <n v="359"/>
        <n v="325"/>
        <n v="940"/>
        <n v="1235"/>
        <n v="788"/>
        <n v="760"/>
        <n v="1122.87"/>
        <n v="155"/>
        <n v="90"/>
        <n v="858"/>
        <n v="295"/>
        <n v="112"/>
        <n v="127"/>
        <n v="497"/>
        <n v="733"/>
        <n v="582"/>
        <n v="26"/>
        <n v="770"/>
        <n v="49952"/>
        <n v="638"/>
        <n v="242"/>
        <n v="5793.36"/>
        <n v="463"/>
        <n v="2217"/>
        <n v="1980"/>
        <n v="1160"/>
        <n v="2758"/>
        <n v="4806"/>
        <n v="315.65"/>
        <n v="4103"/>
        <n v="1837"/>
        <n v="1110"/>
        <n v="3633"/>
        <n v="239"/>
        <n v="371"/>
        <n v="1317"/>
        <n v="1910"/>
        <n v="480"/>
        <n v="958"/>
        <n v="2711"/>
        <n v="410"/>
        <n v="68"/>
        <n v="499"/>
        <n v="303"/>
        <n v="1308"/>
        <n v="990"/>
        <n v="3363"/>
        <n v="894"/>
        <n v="1317.8"/>
        <n v="1555"/>
        <n v="945"/>
        <n v="175"/>
        <n v="13600"/>
        <n v="5502.53"/>
        <n v="2352"/>
        <n v="1176"/>
        <n v="508.25"/>
        <n v="432"/>
        <n v="1147"/>
        <n v="24903.26"/>
        <n v="2630.6"/>
        <n v="17146"/>
        <n v="3134"/>
        <n v="607"/>
        <n v="1839"/>
        <n v="249"/>
        <n v="2199"/>
        <n v="2417.6"/>
        <n v="1387.91"/>
        <n v="224.37"/>
        <n v="8780"/>
        <n v="22237.85"/>
        <n v="309960"/>
        <n v="2440.9"/>
        <n v="48"/>
        <n v="28224"/>
        <n v="132"/>
        <n v="680"/>
        <n v="974"/>
        <n v="1049"/>
        <n v="8900"/>
        <n v="394"/>
        <n v="395"/>
        <n v="364"/>
        <n v="165"/>
        <n v="5628.52"/>
        <n v="1192"/>
        <n v="2805"/>
        <n v="3776"/>
        <n v="478"/>
        <n v="1709"/>
        <n v="3487"/>
        <n v="2798"/>
        <n v="8.91"/>
        <n v="190"/>
        <n v="111"/>
        <n v="885"/>
        <n v="727"/>
        <n v="75810"/>
        <n v="910"/>
        <n v="1214"/>
        <n v="2066.4"/>
        <n v="1492.78"/>
        <n v="247.08"/>
        <n v="103320"/>
        <n v="201.34"/>
        <n v="1300"/>
        <n v="188"/>
        <n v="305"/>
        <n v="79"/>
        <n v="164"/>
        <n v="2465"/>
        <n v="229"/>
        <n v="1260"/>
        <n v="1932"/>
        <n v="5376"/>
        <n v="838"/>
        <n v="1921"/>
        <n v="723.13"/>
        <n v="1162.75"/>
        <n v="630"/>
        <n v="203"/>
        <n v="204"/>
        <n v="4885"/>
        <n v="3849"/>
        <n v="166"/>
        <n v="124"/>
        <n v="3341"/>
        <n v="355"/>
        <n v="5849"/>
        <n v="163"/>
        <n v="153"/>
        <n v="58"/>
        <n v="78"/>
        <n v="1890"/>
        <n v="4767"/>
        <n v="998"/>
        <n v="7"/>
        <n v="196"/>
        <n v="236"/>
        <n v="470"/>
        <n v="898"/>
        <n v="928"/>
        <n v="715"/>
        <n v="2585"/>
        <n v="699"/>
        <n v="774"/>
        <n v="653.89"/>
        <n v="110.73"/>
        <n v="505.93"/>
        <n v="1286.56"/>
        <n v="234"/>
        <n v="123"/>
        <n v="519"/>
        <n v="1535"/>
        <n v="534"/>
        <n v="926"/>
        <n v="1452"/>
        <n v="1318"/>
        <n v="1700"/>
        <n v="449.68"/>
        <n v="384"/>
        <n v="87.14"/>
        <n v="267"/>
        <n v="183"/>
        <n v="139"/>
        <n v="4323.35"/>
        <n v="375"/>
        <n v="583"/>
        <n v="2438"/>
        <n v="82"/>
        <n v="723"/>
        <n v="209"/>
        <n v="1713"/>
        <n v="186"/>
        <n v="746"/>
        <n v="549"/>
        <n v="225"/>
        <n v="57.21"/>
        <n v="3677.45"/>
        <n v="14485.49"/>
        <n v="2938"/>
        <n v="963"/>
        <n v="649.5"/>
        <n v="768.5"/>
        <n v="349"/>
        <n v="299"/>
        <n v="615.36"/>
        <n v="106.54"/>
        <n v="145"/>
        <n v="859"/>
        <n v="1795.33"/>
        <n v="682"/>
        <n v="294"/>
        <n v="730"/>
        <n v="579"/>
        <n v="2030"/>
        <n v="714"/>
        <n v="726"/>
        <n v="1814"/>
        <n v="1005"/>
        <n v="564.74"/>
        <n v="4966.32"/>
        <n v="348"/>
        <n v="546"/>
        <n v="5580.05"/>
        <n v="780"/>
        <n v="49229"/>
        <n v="10750.83"/>
        <n v="491"/>
        <n v="167"/>
        <n v="4294.54"/>
        <n v="1496"/>
        <n v="7815.42"/>
        <n v="316"/>
        <n v="31359"/>
        <n v="28989"/>
        <n v="105.64"/>
        <n v="597.12"/>
        <n v="93"/>
        <n v="261"/>
        <n v="7389.2"/>
        <n v="2142"/>
        <n v="18095"/>
        <n v="80960.23"/>
        <n v="30389.05"/>
        <n v="9327.5"/>
        <n v="12514"/>
        <n v="101"/>
        <n v="148"/>
        <n v="351"/>
        <n v="98586.53"/>
        <n v="1392"/>
        <n v="2140"/>
        <n v="1435"/>
        <n v="773"/>
        <n v="39754"/>
        <n v="448.64"/>
        <n v="178"/>
        <n v="4398.77"/>
        <n v="36000"/>
        <n v="694"/>
        <n v="88"/>
        <n v="114"/>
        <n v="661.19"/>
        <n v="7290"/>
        <n v="119.48"/>
        <n v="245"/>
        <n v="418"/>
        <n v="354.93"/>
        <n v="1380"/>
        <n v="2999"/>
        <n v="662"/>
        <n v="836"/>
        <n v="258"/>
        <n v="38775"/>
        <n v="588"/>
        <n v="3840"/>
        <n v="1370"/>
        <n v="525"/>
        <n v="174"/>
        <n v="86"/>
        <n v="1230.72"/>
        <n v="1462"/>
        <n v="2723"/>
        <n v="401"/>
        <n v="46752.76"/>
        <n v="830.27"/>
        <n v="380"/>
        <n v="1463"/>
        <n v="182"/>
        <n v="172"/>
        <n v="116"/>
        <n v="4504"/>
        <n v="84"/>
        <n v="801"/>
        <n v="785"/>
        <n v="1189"/>
        <n v="1797"/>
        <n v="570"/>
        <n v="237"/>
        <n v="246.88"/>
        <n v="2177"/>
        <n v="286"/>
        <n v="1395.89"/>
        <n v="725.69"/>
        <n v="133.87"/>
        <n v="805"/>
        <n v="2806.65"/>
        <n v="481"/>
        <n v="1071.95"/>
        <n v="74.75"/>
        <n v="705"/>
        <n v="52.35"/>
        <n v="577.01"/>
        <n v="233.93"/>
        <n v="187"/>
        <n v="1046"/>
        <n v="1381"/>
        <n v="1105.2"/>
        <n v="33"/>
        <n v="531"/>
        <n v="4593.85"/>
        <n v="24422.84"/>
        <n v="799"/>
        <n v="11853.33"/>
        <n v="4172.87"/>
        <n v="42"/>
        <n v="50225"/>
        <n v="144"/>
        <n v="520.15"/>
        <n v="97.9"/>
        <n v="505.39"/>
        <n v="2122.42"/>
        <n v="892.32"/>
        <n v="586.31"/>
        <n v="2072"/>
        <n v="29.81"/>
        <n v="28"/>
        <n v="265"/>
        <n v="14035"/>
        <n v="532.5"/>
        <n v="3134.87"/>
        <n v="16310"/>
        <n v="3635.66"/>
        <n v="678"/>
        <n v="4412.88"/>
        <n v="83"/>
        <n v="668.09"/>
        <n v="128.23"/>
        <n v="51660"/>
        <n v="4062.72"/>
        <n v="9.35"/>
        <n v="11586.41"/>
        <n v="459"/>
        <n v="854.93"/>
        <n v="810.38"/>
        <n v="1290"/>
        <n v="893.77"/>
        <n v="286.5"/>
        <n v="439.97"/>
        <n v="695.18"/>
        <n v="5250"/>
        <n v="212"/>
        <n v="14"/>
        <n v="1048"/>
        <n v="1560"/>
        <n v="5810"/>
        <n v="1570.64"/>
        <n v="5112.04"/>
        <n v="10336.7"/>
        <n v="3004.92"/>
        <n v="532"/>
        <n v="2800"/>
        <n v="4350"/>
        <n v="1480.67"/>
        <n v="7990"/>
        <n v="902.9"/>
        <n v="2171.7"/>
        <n v="3300"/>
        <n v="628.49"/>
        <n v="122.95"/>
        <n v="416.26"/>
        <n v="791"/>
        <n v="76"/>
        <n v="10529.39"/>
        <n v="6730.59"/>
        <n v="168"/>
        <n v="2879"/>
        <n v="195"/>
        <n v="691"/>
        <n v="82.5"/>
        <n v="783.46"/>
        <n v="4320.12"/>
        <n v="629"/>
        <n v="747.93"/>
        <n v="810"/>
        <n v="695"/>
        <n v="1071"/>
        <n v="108"/>
        <n v="121.49"/>
        <n v="609.63"/>
        <n v="29696.67"/>
        <n v="416"/>
        <n v="257.4"/>
        <n v="8485.16"/>
        <n v="54"/>
        <n v="1940"/>
        <n v="259"/>
        <n v="2167"/>
        <n v="3695.78"/>
        <n v="1635.54"/>
        <n v="965.5"/>
        <n v="2892"/>
        <n v="215"/>
        <n v="530"/>
        <n v="5902.75"/>
        <n v="2306.97"/>
        <n v="835"/>
        <n v="702"/>
        <n v="1108"/>
        <n v="22"/>
        <n v="256"/>
        <n v="5563"/>
        <n v="4461.2"/>
        <n v="28376"/>
        <n v="696.09"/>
        <n v="141.26"/>
        <n v="5790"/>
        <n v="136"/>
        <n v="697"/>
        <n v="535"/>
        <n v="573"/>
        <n v="358"/>
        <n v="6673.18"/>
        <n v="591.48"/>
        <n v="531.48"/>
        <n v="1243"/>
        <n v="3030.45"/>
        <n v="3400"/>
        <n v="6926.1"/>
        <n v="44"/>
        <n v="2786.55"/>
        <n v="942.58"/>
        <n v="120.2"/>
        <n v="815"/>
        <n v="382.25"/>
        <n v="151"/>
        <n v="664"/>
        <n v="2197.5"/>
        <n v="2071"/>
        <n v="4294.3"/>
        <n v="323.9"/>
        <n v="456.75"/>
        <n v="1338"/>
        <n v="611"/>
        <n v="1790"/>
        <n v="13507.6"/>
        <n v="8757"/>
        <n v="2215"/>
        <n v="592.63"/>
        <n v="122.41"/>
        <n v="22430"/>
        <n v="7588.47"/>
        <n v="163013"/>
        <n v="0.5"/>
        <n v="156"/>
        <n v="97.5"/>
        <n v="462"/>
        <n v="1509.27"/>
        <n v="1068"/>
        <n v="81"/>
        <n v="26.1"/>
        <n v="353"/>
        <n v="21814"/>
        <n v="254"/>
        <n v="2070"/>
        <n v="3635.7"/>
        <n v="4367.4"/>
        <n v="5313"/>
        <n v="8924"/>
        <n v="4307"/>
        <n v="1366"/>
        <n v="736"/>
        <n v="637.12"/>
        <n v="133.88"/>
        <n v="1917.8"/>
        <n v="95890"/>
        <n v="2550"/>
        <n v="155.96"/>
        <n v="1867"/>
        <n v="2394"/>
        <n v="135.62"/>
        <n v="311"/>
        <n v="2904"/>
        <n v="2097"/>
        <n v="184"/>
        <n v="4511.68"/>
        <n v="1798"/>
        <n v="28176.43"/>
        <n v="1502"/>
        <n v="1388"/>
        <n v="724.76"/>
        <n v="4.76"/>
        <n v="1288.16"/>
        <n v="406.11"/>
        <n v="182.54"/>
        <n v="2833"/>
        <n v="79.86"/>
        <n v="180000"/>
        <n v="424"/>
        <n v="6665"/>
        <n v="733.87"/>
        <n v="167.23"/>
        <n v="2433"/>
        <n v="884.81"/>
        <n v="12518"/>
        <n v="2080"/>
        <n v="1595"/>
        <n v="1135"/>
        <n v="3317"/>
        <n v="2115"/>
        <n v="5874.68"/>
        <n v="4683"/>
        <n v="5411"/>
        <n v="834"/>
        <n v="1218"/>
        <n v="3340.56"/>
        <n v="574"/>
        <n v="1848"/>
        <n v="401.79"/>
        <n v="4566"/>
        <n v="694.2"/>
        <n v="1105.47"/>
        <n v="2299"/>
        <n v="428"/>
        <n v="9614.12"/>
        <n v="5300"/>
        <n v="190000"/>
        <n v="1105.48"/>
        <n v="288"/>
        <n v="7974"/>
        <n v="1094"/>
        <n v="446.16"/>
        <n v="417"/>
        <n v="1513"/>
        <n v="1226"/>
        <n v="738.58"/>
        <n v="104"/>
        <n v="906"/>
        <n v="139.35"/>
        <n v="641.43"/>
        <n v="528"/>
        <n v="96"/>
        <n v="850"/>
        <n v="624"/>
        <n v="3200"/>
        <n v="1020"/>
        <n v="1321.28"/>
        <n v="11750"/>
        <n v="401.75"/>
        <n v="877.61"/>
        <n v="876.87"/>
        <n v="1776"/>
        <n v="1287"/>
        <n v="975"/>
        <n v="174.43"/>
        <n v="4634.52"/>
        <n v="505"/>
        <n v="6875"/>
        <n v="2137.46"/>
        <n v="609.7"/>
        <n v="605"/>
        <n v="804"/>
        <n v="5260.87"/>
        <n v="13336.74"/>
        <n v="743"/>
        <n v="10203.98"/>
        <n v="860"/>
        <n v="76333.6"/>
        <n v="556.65"/>
        <n v="268"/>
        <n v="246"/>
        <n v="137.35"/>
        <n v="622.14"/>
        <n v="322"/>
        <n v="217"/>
        <n v="429"/>
        <n v="904.5"/>
        <n v="98"/>
        <n v="198"/>
        <n v="509"/>
        <n v="14401.5"/>
        <n v="2815"/>
        <n v="222"/>
        <n v="194"/>
        <n v="97"/>
        <n v="1900"/>
        <n v="1385.68"/>
        <n v="825"/>
        <n v="301"/>
        <n v="1346"/>
        <n v="278"/>
        <n v="1783"/>
        <n v="899"/>
        <n v="1009"/>
        <n v="729"/>
        <n v="451"/>
        <n v="1216.01"/>
        <n v="1764.23"/>
        <n v="848.25"/>
        <n v="37800"/>
        <n v="982"/>
        <n v="1288"/>
        <n v="469.99"/>
        <n v="494.85"/>
        <n v="113.75"/>
        <n v="28803"/>
        <n v="281.4"/>
        <n v="708"/>
        <n v="7782.87"/>
        <n v="263"/>
        <n v="1180"/>
        <n v="223"/>
        <n v="154.48"/>
        <n v="688.6"/>
        <n v="372"/>
        <n v="1236.75"/>
        <n v="6300"/>
        <n v="113"/>
        <n v="2700"/>
        <n v="110.5"/>
        <n v="360"/>
        <n v="136.04"/>
        <n v="2522"/>
        <n v="238"/>
        <n v="1507"/>
        <n v="201"/>
        <n v="1590"/>
        <n v="1113"/>
        <n v="847.53"/>
        <n v="753"/>
        <n v="328"/>
        <n v="832"/>
        <n v="3943.66"/>
        <n v="623"/>
        <n v="145.24"/>
        <n v="390"/>
        <n v="189.15"/>
        <n v="1074.5"/>
        <n v="2150"/>
        <n v="10311.66"/>
        <n v="187602"/>
        <n v="796"/>
        <n v="83.8"/>
        <n v="197"/>
        <n v="243"/>
        <n v="671"/>
        <n v="1489.75"/>
        <n v="1002"/>
        <n v="547"/>
        <n v="155.36"/>
        <n v="143"/>
        <n v="178.36"/>
        <n v="248"/>
        <n v="158"/>
        <n v="2466.99"/>
        <n v="166.75"/>
        <n v="108.44"/>
        <n v="280"/>
        <n v="251"/>
        <n v="76.3"/>
        <n v="107"/>
        <n v="1208"/>
        <n v="393"/>
        <n v="603"/>
        <n v="918.9"/>
        <n v="303.5"/>
        <n v="414.1"/>
        <n v="3558"/>
        <n v="767"/>
        <n v="4058"/>
        <n v="692"/>
        <n v="228.5"/>
        <n v="213"/>
        <n v="129.6"/>
        <n v="1719.28"/>
        <n v="1236"/>
        <n v="557"/>
        <n v="118.75"/>
        <n v="-160435"/>
        <n v="-1890"/>
        <n v="84101.37"/>
        <n v="69792.79"/>
        <n v="14401"/>
        <n v="1415.17"/>
        <n v="25476"/>
        <n v="1781"/>
        <n v="890"/>
        <n v="11265.17"/>
        <n v="746.9"/>
        <n v="25000"/>
        <n v="960"/>
        <m/>
      </sharedItems>
    </cacheField>
    <cacheField name="type">
      <sharedItems containsBlank="1"/>
    </cacheField>
    <cacheField name="category">
      <sharedItems containsBlank="1"/>
    </cacheField>
    <cacheField name="account">
      <sharedItems containsBlank="1"/>
    </cacheField>
    <cacheField name="to_account">
      <sharedItems containsBlank="1" count="42">
        <s v="invest"/>
        <s v=""/>
        <s v="advance"/>
        <s v="rc_acc_1781955063357_rvam"/>
        <s v="kbank"/>
        <s v="rc_acc_1781955063347_uxz4"/>
        <s v="rc_acc_1781955063347_kjxt"/>
        <s v="rc_acc_1781955063347_6gmg"/>
        <s v="rc_acc_1781955063347_r9dz"/>
        <s v="rc_acc_1781955063348_no9r"/>
        <s v="rc_acc_1781955063349_yz2g"/>
        <s v="rc_acc_1781955063358_cs4m"/>
        <s v="rc_acc_1781955063347_e3zv"/>
        <s v="rc_acc_1781955063348_998o"/>
        <s v="rc_acc_1781955063347_hv85"/>
        <s v="rc_acc_1781955063348_obza"/>
        <s v="rc_acc_1781955063347_omhz"/>
        <s v="rc_acc_1781955063348_w3gp"/>
        <s v="rc_acc_1781955063358_d7gc"/>
        <s v="rc_acc_1781955063348_hnxg"/>
        <s v="rc_acc_1781955063347_bwow"/>
        <s v="rc_acc_1781955063347_mzbn"/>
        <s v="rc_acc_1781955063348_xd87"/>
        <s v="rc_acc_1781955063358_kqcd"/>
        <s v="rc_acc_1781955063353_k5yx"/>
        <s v="rc_acc_1781955063347_0qmn"/>
        <s v="rc_acc_1781955063350_i8ms"/>
        <s v="rc_acc_1781955063356_4xom"/>
        <s v="rc_acc_1781955063356_nq03"/>
        <s v="rc_acc_1781955063356_nmdo"/>
        <s v="rc_acc_1781955063349_mitc"/>
        <s v="rc_acc_1781955063347_sv7p"/>
        <s v="rc_acc_1781955063352_d0kz"/>
        <s v="rc_acc_1781955063347_tvnx"/>
        <s v="rc_acc_1781955063351_8khv"/>
        <s v="rc_acc_1781955063349_qn1n"/>
        <s v="rc_acc_1781955063351_9sgw"/>
        <s v="rc_acc_1781955063348_u1qk"/>
        <s v="rc_acc_1781955063347_pixu"/>
        <s v="rc_acc_1781955063348_jnjs"/>
        <s v="rc_acc_1781955063348_2vnx"/>
        <m/>
      </sharedItems>
    </cacheField>
    <cacheField name="description">
      <sharedItems containsBlank="1"/>
    </cacheField>
    <cacheField name="tags">
      <sharedItems containsNonDate="0" containsString="0" containsBlank="1"/>
    </cacheField>
    <cacheField name="source">
      <sharedItems containsBlank="1"/>
    </cacheField>
    <cacheField name="note">
      <sharedItems containsBlank="1"/>
    </cacheField>
    <cacheField name="recurring">
      <sharedItems containsBlank="1"/>
    </cacheField>
    <cacheField name="loanPaydownId">
      <sharedItems containsBlank="1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4065">
  <cacheSource type="worksheet">
    <worksheetSource ref="A1:T4066" sheet="Transactions"/>
  </cacheSource>
  <cacheFields count="20">
    <cacheField name="id">
      <sharedItems/>
    </cacheField>
    <cacheField name="date">
      <sharedItems/>
    </cacheField>
    <cacheField name="year" numFmtId="0">
      <sharedItems containsSemiMixedTypes="0" containsString="0" containsNumber="1" containsInteger="1" minValue="2021" maxValue="2026" count="6">
        <n v="2026"/>
        <n v="2025"/>
        <n v="2024"/>
        <n v="2023"/>
        <n v="2022"/>
        <n v="2021"/>
      </sharedItems>
    </cacheField>
    <cacheField name="month" numFmtId="0">
      <sharedItems containsSemiMixedTypes="0" containsString="0" containsNumber="1" containsInteger="1" minValue="1" maxValue="12" count="12">
        <n v="6"/>
        <n v="5"/>
        <n v="4"/>
        <n v="3"/>
        <n v="2"/>
        <n v="1"/>
        <n v="12"/>
        <n v="11"/>
        <n v="10"/>
        <n v="9"/>
        <n v="8"/>
        <n v="7"/>
      </sharedItems>
    </cacheField>
    <cacheField name="day" numFmtId="0">
      <sharedItems containsSemiMixedTypes="0" containsString="0" containsNumber="1" containsInteger="1" minValue="1" maxValue="31"/>
    </cacheField>
    <cacheField name="time">
      <sharedItems/>
    </cacheField>
    <cacheField name="amount">
      <sharedItems containsSemiMixedTypes="0" containsString="0" containsNumber="1" minValue="-160435" maxValue="400000"/>
    </cacheField>
    <cacheField name="type">
      <sharedItems count="3">
        <s v="expense"/>
        <s v="transfer"/>
        <s v="income"/>
      </sharedItems>
    </cacheField>
    <cacheField name="category">
      <sharedItems/>
    </cacheField>
    <cacheField name="category_map" numFmtId="0">
      <sharedItems count="34">
        <s v="Other"/>
        <s v="อื่นๆ"/>
        <s v="Hong"/>
        <s v="Condo"/>
        <s v="Family paid"/>
        <s v="Food &amp; Coff"/>
        <s v="Office Suit"/>
        <s v="Gashapon"/>
        <s v="Boardgame"/>
        <s v="Fashion"/>
        <s v="App &amp; Game"/>
        <s v="Tax"/>
        <s v="Initial Home loan"/>
        <s v="Home Chomthong Interest"/>
        <s v="Salary"/>
        <s v="Modified Bal."/>
        <s v="Team BOT"/>
        <s v="Others"/>
        <s v="Trips"/>
        <s v="Finance"/>
        <s v="City SV Interest"/>
        <s v="Intial city"/>
        <s v="Dividends"/>
        <s v="Books"/>
        <s v="Insurance"/>
        <s v="Manga"/>
        <s v="Merit and gift"/>
        <s v="Condo stuff"/>
        <s v="utility"/>
        <s v="Monthly subscription"/>
        <s v="Fuel"/>
        <s v="Condo suppliers"/>
        <s v="Laundry"/>
        <s v="Nintendo Switch"/>
      </sharedItems>
    </cacheField>
    <cacheField name="account">
      <sharedItems/>
    </cacheField>
    <cacheField name="account_map" numFmtId="0">
      <sharedItems count="39">
        <s v="KBank"/>
        <s v="KTC JCB"/>
        <s v="Advance Paid"/>
        <s v="Make Kbank"/>
        <s v="SCB"/>
        <s v="HOMEPRO"/>
        <s v="UOB world"/>
        <s v="Krungthai Next"/>
        <s v="KRUNGSRI"/>
        <s v="BBL"/>
        <s v="Travelcard JPY"/>
        <s v="JPY cash"/>
        <s v="UOB Privilages"/>
        <s v="Netflix in Adv"/>
        <s v="Starbucks"/>
        <s v="Netflix in advance"/>
        <s v="Cash"/>
        <s v="Investment"/>
        <s v="Kbank shopee"/>
        <s v="Hong"/>
        <s v="Marriage account"/>
        <s v="Bluewallet"/>
        <s v="krw cash"/>
        <s v="Pao tung"/>
        <s v="Travelcard"/>
        <s v="CBDC"/>
        <s v="Truewallet"/>
        <s v="suica card"/>
        <s v="Kbank onesiam"/>
        <s v="Shopee"/>
        <s v="t money"/>
        <s v="Loan"/>
        <s v="Line Pay"/>
        <s v="Coop"/>
        <s v="marriage savings"/>
        <s v="Kbank BLUECARD"/>
        <s v="grabvoucher"/>
        <s v="Grabpay"/>
        <s v="Condo Recieve"/>
      </sharedItems>
    </cacheField>
    <cacheField name="to_account">
      <sharedItems/>
    </cacheField>
    <cacheField name="to_account_map" numFmtId="0">
      <sharedItems containsBlank="1"/>
    </cacheField>
    <cacheField name="description">
      <sharedItems/>
    </cacheField>
    <cacheField name="tags">
      <sharedItems containsNonDate="0" containsString="0" containsBlank="1"/>
    </cacheField>
    <cacheField name="source">
      <sharedItems/>
    </cacheField>
    <cacheField name="note">
      <sharedItems/>
    </cacheField>
    <cacheField name="recurring">
      <sharedItems/>
    </cacheField>
    <cacheField name="loanPaydownId">
      <sharedItems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68">
  <r>
    <s v="8802eaf0-3171-4236-aa5d-8eb138e51780"/>
    <x v="0"/>
    <s v="00:00"/>
    <x v="0"/>
    <s v="transfer"/>
    <s v="transfer"/>
    <s v="kbank"/>
    <x v="0"/>
    <s v="-"/>
    <m/>
    <s v="manual"/>
    <s v=""/>
    <b v="0"/>
    <s v=""/>
  </r>
  <r>
    <s v="cbcfb4bb-3676-46e9-bb15-8d3f3f4e026e"/>
    <x v="1"/>
    <s v="00:00"/>
    <x v="1"/>
    <s v="expense"/>
    <s v="rc_cat_1781955063347_04qb"/>
    <s v="kbank"/>
    <x v="1"/>
    <s v="abc"/>
    <m/>
    <s v="manual"/>
    <s v=""/>
    <b v="0"/>
    <s v="1"/>
  </r>
  <r>
    <s v="656736fb-a4cc-4b3c-a5df-c1769a7d2f92"/>
    <x v="2"/>
    <s v="00:00"/>
    <x v="2"/>
    <s v="expense"/>
    <s v="other_1781955063348_27zj"/>
    <s v="kbank"/>
    <x v="1"/>
    <s v="-"/>
    <m/>
    <s v="import"/>
    <s v=""/>
    <b v="0"/>
    <s v=""/>
  </r>
  <r>
    <s v="d388c81f-20af-4afa-9b0e-c87900888aa7"/>
    <x v="2"/>
    <s v="00:00"/>
    <x v="3"/>
    <s v="transfer"/>
    <s v="transfer"/>
    <s v="rc_acc_1781955063347_kjxt"/>
    <x v="2"/>
    <s v="note"/>
    <m/>
    <s v="import"/>
    <s v=""/>
    <b v="0"/>
    <s v=""/>
  </r>
  <r>
    <s v="9c221fa6-b353-42e2-a21e-9c21fb714676"/>
    <x v="3"/>
    <s v="00:00"/>
    <x v="4"/>
    <s v="expense"/>
    <s v="rc_cat_1781955063347_anhy_1781955063350_fcpb"/>
    <s v="kbank"/>
    <x v="1"/>
    <s v="-"/>
    <m/>
    <s v="import"/>
    <s v=""/>
    <b v="0"/>
    <s v=""/>
  </r>
  <r>
    <s v="d994cf74-4956-4882-9a36-52c12f675e8f"/>
    <x v="3"/>
    <s v="00:00"/>
    <x v="5"/>
    <s v="transfer"/>
    <s v="other"/>
    <s v="kbank"/>
    <x v="3"/>
    <s v="-"/>
    <m/>
    <s v="import"/>
    <s v=""/>
    <b v="0"/>
    <s v=""/>
  </r>
  <r>
    <s v="5a8cdebc-95d1-4c36-8903-8e7d599a921d"/>
    <x v="3"/>
    <s v="00:00"/>
    <x v="6"/>
    <s v="expense"/>
    <s v="rc_cat_1781955063347_04qb_1781955063347_wt5p"/>
    <s v="kbank"/>
    <x v="1"/>
    <s v="-"/>
    <m/>
    <s v="import"/>
    <s v=""/>
    <b v="0"/>
    <s v=""/>
  </r>
  <r>
    <s v="ddcb7cdc-fa12-45ac-a029-fa25a6e2361c"/>
    <x v="3"/>
    <s v="00:00"/>
    <x v="7"/>
    <s v="expense"/>
    <s v="entertain_1781955063348_kx2f"/>
    <s v="advance"/>
    <x v="1"/>
    <s v="ss26ultra 03/10"/>
    <m/>
    <s v="import"/>
    <s v=""/>
    <b v="0"/>
    <s v=""/>
  </r>
  <r>
    <s v="20dc8885-1beb-4397-bf2c-96843349dfc9"/>
    <x v="3"/>
    <s v="00:00"/>
    <x v="8"/>
    <s v="expense"/>
    <s v="rc_cat_1781955063347_anhy_1781955063347_qnaz"/>
    <s v="kbank"/>
    <x v="1"/>
    <s v="-"/>
    <m/>
    <s v="import"/>
    <s v=""/>
    <b v="0"/>
    <s v=""/>
  </r>
  <r>
    <s v="b3f8c1ef-16d0-4a0f-adc4-e6135b16c6af"/>
    <x v="4"/>
    <s v="14:51"/>
    <x v="9"/>
    <s v="transfer"/>
    <s v="other"/>
    <s v="advance"/>
    <x v="4"/>
    <s v="-"/>
    <m/>
    <s v="import"/>
    <s v=""/>
    <b v="0"/>
    <s v=""/>
  </r>
  <r>
    <s v="f6a45dd4-3e99-40b1-bfc8-04920b126cc2"/>
    <x v="4"/>
    <s v="14:54"/>
    <x v="10"/>
    <s v="expense"/>
    <s v="rc_cat_1781955063347_5qjb_1781955063347_tezk"/>
    <s v="advance"/>
    <x v="1"/>
    <s v="-"/>
    <m/>
    <s v="import"/>
    <s v=""/>
    <b v="0"/>
    <s v=""/>
  </r>
  <r>
    <s v="ae2677b6-002d-48ce-8b16-6b6f8aa63d20"/>
    <x v="4"/>
    <s v="14:54"/>
    <x v="11"/>
    <s v="expense"/>
    <s v="rc_cat_1781955063347_s4sz_1781955063347_deos"/>
    <s v="advance"/>
    <x v="1"/>
    <s v="-"/>
    <m/>
    <s v="import"/>
    <s v=""/>
    <b v="0"/>
    <s v=""/>
  </r>
  <r>
    <s v="b19b6491-d25e-4cf0-bfd3-0978c11f7dc5"/>
    <x v="4"/>
    <s v="14:55"/>
    <x v="12"/>
    <s v="expense"/>
    <s v="entertain_1781955063359_cf7f"/>
    <s v="advance"/>
    <x v="1"/>
    <s v="-"/>
    <m/>
    <s v="import"/>
    <s v=""/>
    <b v="0"/>
    <s v=""/>
  </r>
  <r>
    <s v="16afbb20-5352-41d3-9652-449a24dffa81"/>
    <x v="4"/>
    <s v="14:55"/>
    <x v="13"/>
    <s v="expense"/>
    <s v="entertain_1781955063347_8r8e"/>
    <s v="advance"/>
    <x v="1"/>
    <s v="-"/>
    <m/>
    <s v="import"/>
    <s v=""/>
    <b v="0"/>
    <s v=""/>
  </r>
  <r>
    <s v="3c9192d1-54c1-40de-b59d-a2f6c37125eb"/>
    <x v="4"/>
    <s v="14:56"/>
    <x v="14"/>
    <s v="expense"/>
    <s v="rc_cat_1781955063347_s4sz_1781955063347_9tpp"/>
    <s v="advance"/>
    <x v="1"/>
    <s v="-"/>
    <m/>
    <s v="import"/>
    <s v=""/>
    <b v="0"/>
    <s v=""/>
  </r>
  <r>
    <s v="f2cc5004-9ce4-4290-88d8-198fe972fe0b"/>
    <x v="4"/>
    <s v="14:56"/>
    <x v="15"/>
    <s v="expense"/>
    <s v="other_1781955063348_27zj"/>
    <s v="advance"/>
    <x v="1"/>
    <s v="-"/>
    <m/>
    <s v="import"/>
    <s v=""/>
    <b v="0"/>
    <s v=""/>
  </r>
  <r>
    <s v="5de22862-3e94-4dbf-8036-178b2dc863bc"/>
    <x v="4"/>
    <s v="15:20"/>
    <x v="16"/>
    <s v="transfer"/>
    <s v="other"/>
    <s v="advance"/>
    <x v="4"/>
    <s v="คืน kiwamiya"/>
    <m/>
    <s v="import"/>
    <s v=""/>
    <b v="0"/>
    <s v=""/>
  </r>
  <r>
    <s v="048f23f8-4d8e-41a8-a1e8-244e57216091"/>
    <x v="4"/>
    <s v="15:23"/>
    <x v="17"/>
    <s v="expense"/>
    <s v="rc_cat_1781955063347_anhy_1781955063347_qnaz"/>
    <s v="advance"/>
    <x v="1"/>
    <s v="phone"/>
    <m/>
    <s v="import"/>
    <s v=""/>
    <b v="0"/>
    <s v=""/>
  </r>
  <r>
    <s v="a2f98d38-f517-43e4-af53-02672834877e"/>
    <x v="4"/>
    <s v="15:23"/>
    <x v="18"/>
    <s v="expense"/>
    <s v="entertain_1781955063352_1jgx"/>
    <s v="advance"/>
    <x v="1"/>
    <s v="-"/>
    <m/>
    <s v="import"/>
    <s v=""/>
    <b v="0"/>
    <s v=""/>
  </r>
  <r>
    <s v="daf52cb3-6b69-47ae-b5ab-4aa12d182530"/>
    <x v="4"/>
    <s v="15:24"/>
    <x v="19"/>
    <s v="expense"/>
    <s v="other_1781955063348_27zj"/>
    <s v="advance"/>
    <x v="1"/>
    <s v="cellphone"/>
    <m/>
    <s v="import"/>
    <s v=""/>
    <b v="0"/>
    <s v=""/>
  </r>
  <r>
    <s v="c5112d40-af64-4775-8a7e-ec22928c8fcc"/>
    <x v="4"/>
    <s v="15:24"/>
    <x v="20"/>
    <s v="expense"/>
    <s v="rc_cat_1781955063347_5qjb_1781955063347_tezk"/>
    <s v="advance"/>
    <x v="1"/>
    <s v="-"/>
    <m/>
    <s v="import"/>
    <s v=""/>
    <b v="0"/>
    <s v=""/>
  </r>
  <r>
    <s v="1177d4d7-71ce-4d3d-b66d-6d52c19353ea"/>
    <x v="4"/>
    <s v="15:26"/>
    <x v="21"/>
    <s v="transfer"/>
    <s v="other"/>
    <s v="advance"/>
    <x v="4"/>
    <s v="-"/>
    <m/>
    <s v="import"/>
    <s v=""/>
    <b v="0"/>
    <s v=""/>
  </r>
  <r>
    <s v="612a5adf-c0f5-439d-abc9-d483359fa7c7"/>
    <x v="4"/>
    <s v="15:57"/>
    <x v="22"/>
    <s v="transfer"/>
    <s v="other"/>
    <s v="kbank"/>
    <x v="5"/>
    <s v="-"/>
    <m/>
    <s v="import"/>
    <s v=""/>
    <b v="0"/>
    <s v=""/>
  </r>
  <r>
    <s v="d983d28c-19e7-4a2c-be96-300af78cece5"/>
    <x v="4"/>
    <s v="17:14"/>
    <x v="23"/>
    <s v="transfer"/>
    <s v="other"/>
    <s v="advance"/>
    <x v="6"/>
    <s v="คืนยอด toyoko 18030"/>
    <m/>
    <s v="import"/>
    <s v=""/>
    <b v="0"/>
    <s v=""/>
  </r>
  <r>
    <s v="e58db440-6cc7-4083-9e34-10cfa59e8d80"/>
    <x v="4"/>
    <s v="18:46"/>
    <x v="24"/>
    <s v="expense"/>
    <s v="rc_cat_1781955063347_5qjb_1781955063347_tezk"/>
    <s v="rc_acc_1781955063357_rvam"/>
    <x v="1"/>
    <s v="-"/>
    <m/>
    <s v="import"/>
    <s v=""/>
    <b v="0"/>
    <s v=""/>
  </r>
  <r>
    <s v="2c5e0494-002c-43ed-ba38-be29488a0442"/>
    <x v="4"/>
    <s v="19:49"/>
    <x v="25"/>
    <s v="expense"/>
    <s v="entertain_1781955063348_kx2f"/>
    <s v="rc_acc_1781955063347_kjxt"/>
    <x v="1"/>
    <s v="joshin gunpla"/>
    <m/>
    <s v="import"/>
    <s v=""/>
    <b v="0"/>
    <s v=""/>
  </r>
  <r>
    <s v="4b662376-35c2-41fd-a93a-582577599447"/>
    <x v="5"/>
    <s v="12:29"/>
    <x v="26"/>
    <s v="expense"/>
    <s v="other_1781955063348_27zj"/>
    <s v="kbank"/>
    <x v="1"/>
    <s v="-"/>
    <m/>
    <s v="import"/>
    <s v=""/>
    <b v="0"/>
    <s v=""/>
  </r>
  <r>
    <s v="00d796c2-67f6-426d-b96c-b049679113f7"/>
    <x v="5"/>
    <s v="14:31"/>
    <x v="27"/>
    <s v="transfer"/>
    <s v="other"/>
    <s v="kbank"/>
    <x v="2"/>
    <s v="kbank shopee+ UOB"/>
    <m/>
    <s v="import"/>
    <s v=""/>
    <b v="0"/>
    <s v=""/>
  </r>
  <r>
    <s v="3b319eb2-155c-4b7d-8e33-54dfb6991557"/>
    <x v="6"/>
    <s v="00:00"/>
    <x v="28"/>
    <s v="expense"/>
    <s v="rc_cat_1781955063347_04qb_1781955063350_acgf"/>
    <s v="kbank"/>
    <x v="1"/>
    <s v="-"/>
    <m/>
    <s v="import"/>
    <s v=""/>
    <b v="0"/>
    <s v=""/>
  </r>
  <r>
    <s v="64db2ea7-1507-42bc-991e-25881a6ab354"/>
    <x v="6"/>
    <s v="00:00"/>
    <x v="29"/>
    <s v="expense"/>
    <s v="rc_cat_1781955063347_04qb_1781955063360_ocha"/>
    <s v="kbank"/>
    <x v="1"/>
    <s v="-"/>
    <m/>
    <s v="import"/>
    <s v=""/>
    <b v="0"/>
    <s v=""/>
  </r>
  <r>
    <s v="5594158f-9f2a-413c-bd41-c8400dd2287a"/>
    <x v="6"/>
    <s v="00:00"/>
    <x v="30"/>
    <s v="expense"/>
    <s v="rc_cat_1781955063347_04qb_1781955063347_kgnn"/>
    <s v="kbank"/>
    <x v="1"/>
    <s v="-"/>
    <m/>
    <s v="import"/>
    <s v=""/>
    <b v="0"/>
    <s v=""/>
  </r>
  <r>
    <s v="39ea103d-6000-4c6d-9c10-33ef14b923a3"/>
    <x v="6"/>
    <s v="00:00"/>
    <x v="31"/>
    <s v="transfer"/>
    <s v="other"/>
    <s v="kbank"/>
    <x v="7"/>
    <s v="-"/>
    <m/>
    <s v="import"/>
    <s v=""/>
    <b v="0"/>
    <s v=""/>
  </r>
  <r>
    <s v="641d7157-dc66-493d-9689-75b258cff1f7"/>
    <x v="6"/>
    <s v="00:00"/>
    <x v="32"/>
    <s v="transfer"/>
    <s v="other"/>
    <s v="kbank"/>
    <x v="8"/>
    <s v="33"/>
    <m/>
    <s v="import"/>
    <s v=""/>
    <b v="0"/>
    <s v=""/>
  </r>
  <r>
    <s v="d361eda9-d995-4066-8eeb-5874546eaf20"/>
    <x v="6"/>
    <s v="00:00"/>
    <x v="33"/>
    <s v="income"/>
    <s v="income_1781955063347_5zxt"/>
    <s v="kbank"/>
    <x v="1"/>
    <s v="-"/>
    <m/>
    <s v="import"/>
    <s v=""/>
    <b v="0"/>
    <s v=""/>
  </r>
  <r>
    <s v="eb40710a-68ae-4745-a7b2-27dc5107b93a"/>
    <x v="7"/>
    <s v="12:29"/>
    <x v="34"/>
    <s v="expense"/>
    <s v="rc_cat_1781955063347_5qjb_1781955063347_tezk"/>
    <s v="kbank"/>
    <x v="1"/>
    <s v="-"/>
    <m/>
    <s v="import"/>
    <s v=""/>
    <b v="0"/>
    <s v=""/>
  </r>
  <r>
    <s v="5fefcd35-e2c7-4c62-bd26-bcaa3126f828"/>
    <x v="8"/>
    <s v="12:28"/>
    <x v="35"/>
    <s v="transfer"/>
    <s v="other"/>
    <s v="kbank"/>
    <x v="9"/>
    <s v="-"/>
    <m/>
    <s v="import"/>
    <s v=""/>
    <b v="0"/>
    <s v=""/>
  </r>
  <r>
    <s v="ac406d76-52eb-4c95-85af-8784245dabbb"/>
    <x v="9"/>
    <s v="12:28"/>
    <x v="36"/>
    <s v="transfer"/>
    <s v="other"/>
    <s v="kbank"/>
    <x v="10"/>
    <s v="-"/>
    <m/>
    <s v="import"/>
    <s v=""/>
    <b v="0"/>
    <s v=""/>
  </r>
  <r>
    <s v="c4c8f33a-a4c6-4d47-8ac3-10064381d3c8"/>
    <x v="10"/>
    <s v="00:00"/>
    <x v="4"/>
    <s v="expense"/>
    <s v="rc_cat_1781955063347_anhy_1781955063350_fcpb"/>
    <s v="kbank"/>
    <x v="1"/>
    <s v="-"/>
    <m/>
    <s v="import"/>
    <s v=""/>
    <b v="0"/>
    <s v=""/>
  </r>
  <r>
    <s v="573611ac-1c3e-41b8-8c7c-656b631f2dbb"/>
    <x v="10"/>
    <s v="12:38"/>
    <x v="37"/>
    <s v="expense"/>
    <s v="rc_cat_1781955063347_04qb_1781955063347_wt5p"/>
    <s v="kbank"/>
    <x v="1"/>
    <s v="-"/>
    <m/>
    <s v="import"/>
    <s v=""/>
    <b v="0"/>
    <s v=""/>
  </r>
  <r>
    <s v="dfe80027-8454-4e13-adb3-271958a3e2d3"/>
    <x v="10"/>
    <s v="12:46"/>
    <x v="7"/>
    <s v="expense"/>
    <s v="entertain_1781955063348_kx2f"/>
    <s v="kbank"/>
    <x v="1"/>
    <s v="ss 2/10"/>
    <m/>
    <s v="import"/>
    <s v=""/>
    <b v="0"/>
    <s v=""/>
  </r>
  <r>
    <s v="71b682e3-db26-48b2-851f-7d818f2cefae"/>
    <x v="10"/>
    <s v="12:47"/>
    <x v="17"/>
    <s v="expense"/>
    <s v="rc_cat_1781955063347_anhy_1781955063347_qnaz"/>
    <s v="kbank"/>
    <x v="1"/>
    <s v="-"/>
    <m/>
    <s v="import"/>
    <s v=""/>
    <b v="0"/>
    <s v=""/>
  </r>
  <r>
    <s v="75b7eaae-71c2-438f-acd6-eaf07bcb9cfd"/>
    <x v="10"/>
    <s v="12:48"/>
    <x v="38"/>
    <s v="expense"/>
    <s v="entertain_1781955063352_1jgx"/>
    <s v="kbank"/>
    <x v="1"/>
    <s v="-"/>
    <m/>
    <s v="import"/>
    <s v=""/>
    <b v="0"/>
    <s v=""/>
  </r>
  <r>
    <s v="8f9bbe79-7814-4fa6-83c3-bca3d930c5cd"/>
    <x v="10"/>
    <s v="12:49"/>
    <x v="39"/>
    <s v="transfer"/>
    <s v="other"/>
    <s v="advance"/>
    <x v="4"/>
    <s v="คืนค่าไฟ"/>
    <m/>
    <s v="import"/>
    <s v=""/>
    <b v="0"/>
    <s v=""/>
  </r>
  <r>
    <s v="2da586c8-871a-46b0-a22e-6420942549ea"/>
    <x v="10"/>
    <s v="20:27"/>
    <x v="40"/>
    <s v="transfer"/>
    <s v="other"/>
    <s v="kbank"/>
    <x v="2"/>
    <s v="แลกเงิน JPY"/>
    <m/>
    <s v="import"/>
    <s v=""/>
    <b v="0"/>
    <s v=""/>
  </r>
  <r>
    <s v="2674e201-0242-4831-8950-5baf50abb9f9"/>
    <x v="10"/>
    <s v="20:53"/>
    <x v="41"/>
    <s v="transfer"/>
    <s v="other"/>
    <s v="advance"/>
    <x v="11"/>
    <s v="-"/>
    <m/>
    <s v="import"/>
    <s v=""/>
    <b v="0"/>
    <s v=""/>
  </r>
  <r>
    <s v="da6d4487-85b3-4091-8dc9-17d92e4e4f5c"/>
    <x v="11"/>
    <s v="12:38"/>
    <x v="26"/>
    <s v="expense"/>
    <s v="rc_cat_1781955063347_anhy_1781955063347_qnaz"/>
    <s v="kbank"/>
    <x v="1"/>
    <s v="-"/>
    <m/>
    <s v="import"/>
    <s v=""/>
    <b v="0"/>
    <s v=""/>
  </r>
  <r>
    <s v="8f23d47c-478d-4829-9503-bd7f0d6789ad"/>
    <x v="11"/>
    <s v="12:38"/>
    <x v="42"/>
    <s v="expense"/>
    <s v="rc_cat_1781955063347_anhy_1781955063347_qnaz"/>
    <s v="kbank"/>
    <x v="1"/>
    <s v="-"/>
    <m/>
    <s v="import"/>
    <s v=""/>
    <b v="0"/>
    <s v=""/>
  </r>
  <r>
    <s v="5009f186-4ac0-487b-84d8-ea8b43056591"/>
    <x v="12"/>
    <s v="12:37"/>
    <x v="43"/>
    <s v="expense"/>
    <s v="rc_cat_1781955063347_anhy_1781955063347_qnaz"/>
    <s v="kbank"/>
    <x v="1"/>
    <s v="เค้ก"/>
    <m/>
    <s v="import"/>
    <s v=""/>
    <b v="0"/>
    <s v=""/>
  </r>
  <r>
    <s v="a5ea460c-a848-48a4-8246-c804f974f41b"/>
    <x v="13"/>
    <s v="12:37"/>
    <x v="5"/>
    <s v="transfer"/>
    <s v="other"/>
    <s v="kbank"/>
    <x v="3"/>
    <s v="-"/>
    <m/>
    <s v="import"/>
    <s v=""/>
    <b v="0"/>
    <s v=""/>
  </r>
  <r>
    <s v="cbed083e-90fb-4097-ba2c-235a13d87f28"/>
    <x v="14"/>
    <s v="12:55"/>
    <x v="44"/>
    <s v="expense"/>
    <s v="rc_cat_1781955063347_5qjb_1781955063347_tezk"/>
    <s v="rc_acc_1781955063357_rvam"/>
    <x v="1"/>
    <s v="-"/>
    <m/>
    <s v="import"/>
    <s v=""/>
    <b v="0"/>
    <s v=""/>
  </r>
  <r>
    <s v="910eda16-f113-4630-97ac-e2130021e4bc"/>
    <x v="14"/>
    <s v="13:06"/>
    <x v="45"/>
    <s v="transfer"/>
    <s v="other"/>
    <s v="rc_acc_1781955063347_kjxt"/>
    <x v="4"/>
    <s v="-"/>
    <m/>
    <s v="import"/>
    <s v=""/>
    <b v="0"/>
    <s v=""/>
  </r>
  <r>
    <s v="17b444f1-1309-4a0b-b439-30e08e1d9aa6"/>
    <x v="14"/>
    <s v="13:09"/>
    <x v="46"/>
    <s v="expense"/>
    <s v="rc_cat_1781955063347_5qjb_1781955063347_tezk"/>
    <s v="kbank"/>
    <x v="1"/>
    <s v="-"/>
    <m/>
    <s v="import"/>
    <s v=""/>
    <b v="0"/>
    <s v=""/>
  </r>
  <r>
    <s v="f41de673-a1ea-4462-9088-16b555aaa443"/>
    <x v="14"/>
    <s v="19:48"/>
    <x v="47"/>
    <s v="expense"/>
    <s v="other_1781955063347_5s7r"/>
    <s v="rc_acc_1781955063347_kjxt"/>
    <x v="1"/>
    <s v="Difference"/>
    <m/>
    <s v="import"/>
    <s v=""/>
    <b v="0"/>
    <s v=""/>
  </r>
  <r>
    <s v="dc8ab973-8f45-406a-8881-e3b471658c3c"/>
    <x v="15"/>
    <s v="12:27"/>
    <x v="48"/>
    <s v="expense"/>
    <s v="rc_cat_1781955063347_anhy_1781955063348_k5l1"/>
    <s v="kbank"/>
    <x v="1"/>
    <s v="เลี้ยงฝน"/>
    <m/>
    <s v="import"/>
    <s v=""/>
    <b v="0"/>
    <s v=""/>
  </r>
  <r>
    <s v="ad4ebf64-9077-4a5e-aaee-c169e1174c6c"/>
    <x v="16"/>
    <s v="00:00"/>
    <x v="31"/>
    <s v="transfer"/>
    <s v="other"/>
    <s v="kbank"/>
    <x v="7"/>
    <s v="-"/>
    <m/>
    <s v="import"/>
    <s v=""/>
    <b v="0"/>
    <s v=""/>
  </r>
  <r>
    <s v="d81f1c2c-f8b1-4566-8049-111162fbd720"/>
    <x v="16"/>
    <s v="00:00"/>
    <x v="49"/>
    <s v="expense"/>
    <s v="rc_cat_1781955063347_04qb_1781955063347_kgnn"/>
    <s v="kbank"/>
    <x v="1"/>
    <s v="-"/>
    <m/>
    <s v="import"/>
    <s v=""/>
    <b v="0"/>
    <s v=""/>
  </r>
  <r>
    <s v="f07b080b-53e6-4b19-bbc3-9ed5c8960b2d"/>
    <x v="16"/>
    <s v="00:00"/>
    <x v="29"/>
    <s v="expense"/>
    <s v="rc_cat_1781955063347_04qb_1781955063360_ocha"/>
    <s v="kbank"/>
    <x v="1"/>
    <s v="-"/>
    <m/>
    <s v="import"/>
    <s v=""/>
    <b v="0"/>
    <s v=""/>
  </r>
  <r>
    <s v="a30dd100-5433-4b03-8416-79c69c92bd23"/>
    <x v="16"/>
    <s v="00:00"/>
    <x v="50"/>
    <s v="expense"/>
    <s v="rc_cat_1781955063347_04qb_1781955063350_acgf"/>
    <s v="kbank"/>
    <x v="1"/>
    <s v="-"/>
    <m/>
    <s v="import"/>
    <s v=""/>
    <b v="0"/>
    <s v=""/>
  </r>
  <r>
    <s v="1d21d44a-5eaa-49fb-81f9-af6273f75762"/>
    <x v="16"/>
    <s v="00:00"/>
    <x v="51"/>
    <s v="transfer"/>
    <s v="other"/>
    <s v="kbank"/>
    <x v="8"/>
    <s v="-"/>
    <m/>
    <s v="import"/>
    <s v=""/>
    <b v="0"/>
    <s v=""/>
  </r>
  <r>
    <s v="69dbe281-78c8-48b5-8796-9fc7aebbb6b5"/>
    <x v="16"/>
    <s v="00:00"/>
    <x v="33"/>
    <s v="income"/>
    <s v="income_1781955063347_5zxt"/>
    <s v="kbank"/>
    <x v="1"/>
    <s v="-"/>
    <m/>
    <s v="import"/>
    <s v=""/>
    <b v="0"/>
    <s v=""/>
  </r>
  <r>
    <s v="8c01ee50-18e2-4537-94f4-d9f90695ca0c"/>
    <x v="17"/>
    <s v="12:26"/>
    <x v="52"/>
    <s v="expense"/>
    <s v="rc_cat_1781955063347_anhy_1781955063348_k5l1"/>
    <s v="kbank"/>
    <x v="1"/>
    <s v="เลี้ยงทีม น้ำและข้าว"/>
    <m/>
    <s v="import"/>
    <s v=""/>
    <b v="0"/>
    <s v=""/>
  </r>
  <r>
    <s v="4616b5d9-92d8-4495-a08d-3f1450fc6295"/>
    <x v="17"/>
    <s v="12:26"/>
    <x v="53"/>
    <s v="expense"/>
    <s v="rc_cat_1781955063347_anhy_1781955063350_fcpb"/>
    <s v="kbank"/>
    <x v="1"/>
    <s v="เคส 425degree"/>
    <m/>
    <s v="import"/>
    <s v=""/>
    <b v="0"/>
    <s v=""/>
  </r>
  <r>
    <s v="e92cdfa8-e2f9-4bc9-b011-1aada204a766"/>
    <x v="18"/>
    <s v="12:25"/>
    <x v="54"/>
    <s v="expense"/>
    <s v="rc_cat_1781955063347_anhy_1781955063348_k5l1"/>
    <s v="kbank"/>
    <x v="1"/>
    <s v="Mentoring"/>
    <m/>
    <s v="import"/>
    <s v=""/>
    <b v="0"/>
    <s v=""/>
  </r>
  <r>
    <s v="0bf0efe2-4796-4eb7-a41a-f854271c9511"/>
    <x v="19"/>
    <s v="12:24"/>
    <x v="55"/>
    <s v="income"/>
    <s v="income_1781955063347_zblt"/>
    <s v="kbank"/>
    <x v="1"/>
    <s v="-"/>
    <m/>
    <s v="import"/>
    <s v=""/>
    <b v="0"/>
    <s v=""/>
  </r>
  <r>
    <s v="0752f577-5006-46cc-9fe0-0cfa751fbb53"/>
    <x v="20"/>
    <s v="12:23"/>
    <x v="56"/>
    <s v="transfer"/>
    <s v="other"/>
    <s v="kbank"/>
    <x v="2"/>
    <s v="ค่าไฟ คืนแล้ว"/>
    <m/>
    <s v="import"/>
    <s v=""/>
    <b v="0"/>
    <s v=""/>
  </r>
  <r>
    <s v="d525fbe6-961d-4229-99d2-5d9505eafb51"/>
    <x v="20"/>
    <s v="12:24"/>
    <x v="57"/>
    <s v="expense"/>
    <s v="rc_cat_1781955063347_anhy_1781955063347_qnaz"/>
    <s v="kbank"/>
    <x v="1"/>
    <s v="-"/>
    <m/>
    <s v="import"/>
    <s v=""/>
    <b v="0"/>
    <s v=""/>
  </r>
  <r>
    <s v="6aa0d776-217d-4c7c-9691-2273e9fe7269"/>
    <x v="21"/>
    <s v="19:31"/>
    <x v="58"/>
    <s v="transfer"/>
    <s v="other"/>
    <s v="advance"/>
    <x v="6"/>
    <s v="-"/>
    <m/>
    <s v="import"/>
    <s v=""/>
    <b v="0"/>
    <s v=""/>
  </r>
  <r>
    <s v="827be5f2-dd1b-4676-857c-e94f6f1e4bd5"/>
    <x v="21"/>
    <s v="19:32"/>
    <x v="59"/>
    <s v="expense"/>
    <s v="rc_cat_1781955063347_5qjb_1781955063347_tezk"/>
    <s v="rc_acc_1781955063347_kjxt"/>
    <x v="1"/>
    <s v="-"/>
    <m/>
    <s v="import"/>
    <s v=""/>
    <b v="0"/>
    <s v=""/>
  </r>
  <r>
    <s v="3e0fa2d4-4ade-4ee9-b853-c06ec1b286b0"/>
    <x v="21"/>
    <s v="19:34"/>
    <x v="60"/>
    <s v="transfer"/>
    <s v="other"/>
    <s v="rc_acc_1781955063347_kjxt"/>
    <x v="2"/>
    <s v="กองกลางค้าง"/>
    <m/>
    <s v="import"/>
    <s v=""/>
    <b v="0"/>
    <s v=""/>
  </r>
  <r>
    <s v="92c75425-c94f-4381-b9bd-2a3a78cf0d9e"/>
    <x v="22"/>
    <s v="00:00"/>
    <x v="4"/>
    <s v="expense"/>
    <s v="rc_cat_1781955063347_anhy_1781955063350_fcpb"/>
    <s v="kbank"/>
    <x v="1"/>
    <s v="-"/>
    <m/>
    <s v="import"/>
    <s v=""/>
    <b v="0"/>
    <s v=""/>
  </r>
  <r>
    <s v="c6b03119-e780-4926-a5a4-166922027dbf"/>
    <x v="22"/>
    <s v="13:46"/>
    <x v="61"/>
    <s v="expense"/>
    <s v="entertain_1781955063352_1jgx"/>
    <s v="kbank"/>
    <x v="1"/>
    <s v="ยอด shopee เคส กาตูน กิน"/>
    <m/>
    <s v="import"/>
    <s v=""/>
    <b v="0"/>
    <s v=""/>
  </r>
  <r>
    <s v="54cd23a9-ee84-4f3d-b2ed-74bd83cb729b"/>
    <x v="22"/>
    <s v="13:48"/>
    <x v="62"/>
    <s v="transfer"/>
    <s v="other"/>
    <s v="advance"/>
    <x v="4"/>
    <s v="ค่า รร นาโกย่า ยกเลิกยอด 6378 /30760 yen ขาดทุน 165 บาท"/>
    <m/>
    <s v="import"/>
    <s v=""/>
    <b v="0"/>
    <s v=""/>
  </r>
  <r>
    <s v="b2016e7c-30d7-4c25-af55-8efd61860e52"/>
    <x v="22"/>
    <s v="13:49"/>
    <x v="63"/>
    <s v="expense"/>
    <s v="rc_cat_1781955063347_04qb_1781955063347_wt5p"/>
    <s v="kbank"/>
    <x v="1"/>
    <s v="-"/>
    <m/>
    <s v="import"/>
    <s v=""/>
    <b v="0"/>
    <s v=""/>
  </r>
  <r>
    <s v="2e6dc8cc-1160-4234-aa26-3731deb89d55"/>
    <x v="22"/>
    <s v="13:50"/>
    <x v="64"/>
    <s v="transfer"/>
    <s v="other"/>
    <s v="advance"/>
    <x v="4"/>
    <s v="คืนค่าไฟ"/>
    <m/>
    <s v="import"/>
    <s v=""/>
    <b v="0"/>
    <s v=""/>
  </r>
  <r>
    <s v="18098542-b981-4762-bcb5-905108adb17e"/>
    <x v="22"/>
    <s v="14:02"/>
    <x v="65"/>
    <s v="expense"/>
    <s v="rc_cat_1781955063347_anhy_1781955063348_k5l1"/>
    <s v="kbank"/>
    <x v="1"/>
    <s v="เลี้ยงฝน"/>
    <m/>
    <s v="import"/>
    <s v=""/>
    <b v="0"/>
    <s v=""/>
  </r>
  <r>
    <s v="00c8a123-310f-40e3-ac3e-56c489ea7988"/>
    <x v="22"/>
    <s v="14:02"/>
    <x v="66"/>
    <s v="expense"/>
    <s v="entertain_1781955063348_kx2f"/>
    <s v="kbank"/>
    <x v="1"/>
    <s v="-"/>
    <m/>
    <s v="import"/>
    <s v=""/>
    <b v="0"/>
    <s v=""/>
  </r>
  <r>
    <s v="5df0fbd4-e207-45cb-9fd6-5d7470da9e3f"/>
    <x v="22"/>
    <s v="14:03"/>
    <x v="67"/>
    <s v="expense"/>
    <s v="entertain_1781955063352_1jgx"/>
    <s v="kbank"/>
    <x v="1"/>
    <s v="-"/>
    <m/>
    <s v="import"/>
    <s v=""/>
    <b v="0"/>
    <s v=""/>
  </r>
  <r>
    <s v="aed3f5fe-d2a7-477b-9688-aadfacd7bfaf"/>
    <x v="22"/>
    <s v="14:03"/>
    <x v="68"/>
    <s v="expense"/>
    <s v="rc_cat_1781955063347_anhy_1781955063348_k5l1"/>
    <s v="kbank"/>
    <x v="1"/>
    <s v="timbits"/>
    <m/>
    <s v="import"/>
    <s v=""/>
    <b v="0"/>
    <s v=""/>
  </r>
  <r>
    <s v="98d31883-a399-4092-8710-7a9831828853"/>
    <x v="22"/>
    <s v="14:04"/>
    <x v="69"/>
    <s v="expense"/>
    <s v="other_1781955063348_27zj"/>
    <s v="kbank"/>
    <x v="1"/>
    <s v="-"/>
    <m/>
    <s v="import"/>
    <s v=""/>
    <b v="0"/>
    <s v=""/>
  </r>
  <r>
    <s v="9ef62a2b-4e80-4ff7-817d-b8c0c0c28f03"/>
    <x v="22"/>
    <s v="14:11"/>
    <x v="70"/>
    <s v="transfer"/>
    <s v="other"/>
    <s v="kbank"/>
    <x v="2"/>
    <s v="ยอดค้างจากเดือน กพ ทยอยจ่ายคืน"/>
    <m/>
    <s v="import"/>
    <s v=""/>
    <b v="0"/>
    <s v=""/>
  </r>
  <r>
    <s v="bd85a977-8b89-4d0d-ad93-1d73c17190ff"/>
    <x v="22"/>
    <s v="18:07"/>
    <x v="71"/>
    <s v="transfer"/>
    <s v="other"/>
    <s v="kbank"/>
    <x v="2"/>
    <s v="ที่พัก kanayama 18030 คืนแล้ว"/>
    <m/>
    <s v="import"/>
    <s v=""/>
    <b v="0"/>
    <s v=""/>
  </r>
  <r>
    <s v="4769b7b1-2845-4b0c-b62b-ca5c4f490004"/>
    <x v="22"/>
    <s v="18:07"/>
    <x v="72"/>
    <s v="transfer"/>
    <s v="other"/>
    <s v="kbank"/>
    <x v="2"/>
    <s v="ที่พัก toyama 17868 ไปรวมกับ travelcard"/>
    <m/>
    <s v="import"/>
    <s v=""/>
    <b v="0"/>
    <s v=""/>
  </r>
  <r>
    <s v="d424331c-55ff-4120-ae59-7c097fb5b3b8"/>
    <x v="23"/>
    <s v="13:38"/>
    <x v="73"/>
    <s v="income"/>
    <s v="income_1781955063347_zblt"/>
    <s v="kbank"/>
    <x v="1"/>
    <s v="-"/>
    <m/>
    <s v="import"/>
    <s v=""/>
    <b v="0"/>
    <s v=""/>
  </r>
  <r>
    <s v="899f10ad-3ee1-4203-896d-476f6b180a61"/>
    <x v="24"/>
    <s v="13:39"/>
    <x v="5"/>
    <s v="transfer"/>
    <s v="other"/>
    <s v="kbank"/>
    <x v="3"/>
    <s v="-"/>
    <m/>
    <s v="import"/>
    <s v=""/>
    <b v="0"/>
    <s v=""/>
  </r>
  <r>
    <s v="11086ccc-7485-42f0-9308-d9cb4b273b95"/>
    <x v="25"/>
    <s v="13:35"/>
    <x v="74"/>
    <s v="expense"/>
    <s v="rc_cat_1781955063347_5qjb_1781955063347_tezk"/>
    <s v="kbank"/>
    <x v="1"/>
    <s v="-"/>
    <m/>
    <s v="import"/>
    <s v=""/>
    <b v="0"/>
    <s v=""/>
  </r>
  <r>
    <s v="985f360c-02a5-471f-b7fe-b04f98d2b74b"/>
    <x v="25"/>
    <s v="18:47"/>
    <x v="75"/>
    <s v="expense"/>
    <s v="rc_cat_1781955063347_5qjb_1781955063347_tezk"/>
    <s v="rc_acc_1781955063357_rvam"/>
    <x v="1"/>
    <s v="-"/>
    <m/>
    <s v="import"/>
    <s v=""/>
    <b v="0"/>
    <s v=""/>
  </r>
  <r>
    <s v="7193d857-54c1-42ad-9da9-ade8f51444fd"/>
    <x v="26"/>
    <s v="13:33"/>
    <x v="76"/>
    <s v="expense"/>
    <s v="entertain_1781955063349_gok1"/>
    <s v="kbank"/>
    <x v="1"/>
    <s v="ทริปพัทยา"/>
    <m/>
    <s v="import"/>
    <s v=""/>
    <b v="0"/>
    <s v=""/>
  </r>
  <r>
    <s v="0c3b8c56-2685-4f45-acd2-bb253bdfdbab"/>
    <x v="26"/>
    <s v="13:34"/>
    <x v="77"/>
    <s v="expense"/>
    <s v="entertain_1781955063359_cf7f"/>
    <s v="kbank"/>
    <x v="1"/>
    <s v="WCF onepiece"/>
    <m/>
    <s v="import"/>
    <s v=""/>
    <b v="0"/>
    <s v=""/>
  </r>
  <r>
    <s v="dd6c34a3-055a-4d40-9c4d-05e654d8e774"/>
    <x v="27"/>
    <s v="13:31"/>
    <x v="78"/>
    <s v="expense"/>
    <s v="rc_cat_1781955063347_anhy_1781955063347_qnaz"/>
    <s v="kbank"/>
    <x v="1"/>
    <s v="-"/>
    <m/>
    <s v="import"/>
    <s v=""/>
    <b v="0"/>
    <s v=""/>
  </r>
  <r>
    <s v="34ff7a41-6d38-4f8a-bbbb-86d30c214104"/>
    <x v="28"/>
    <s v="00:00"/>
    <x v="32"/>
    <s v="transfer"/>
    <s v="other"/>
    <s v="kbank"/>
    <x v="8"/>
    <s v="-"/>
    <m/>
    <s v="import"/>
    <s v=""/>
    <b v="0"/>
    <s v=""/>
  </r>
  <r>
    <s v="be0b821e-9b1e-4a2b-b460-0a5b89cddba6"/>
    <x v="28"/>
    <s v="00:00"/>
    <x v="79"/>
    <s v="expense"/>
    <s v="rc_cat_1781955063347_04qb_1781955063350_acgf"/>
    <s v="kbank"/>
    <x v="1"/>
    <s v="-"/>
    <m/>
    <s v="import"/>
    <s v=""/>
    <b v="0"/>
    <s v=""/>
  </r>
  <r>
    <s v="a1c05d0d-6a3c-4f18-8f61-f14714b11b10"/>
    <x v="28"/>
    <s v="00:00"/>
    <x v="80"/>
    <s v="expense"/>
    <s v="rc_cat_1781955063347_04qb_1781955063347_kgnn"/>
    <s v="kbank"/>
    <x v="1"/>
    <s v="-"/>
    <m/>
    <s v="import"/>
    <s v=""/>
    <b v="0"/>
    <s v=""/>
  </r>
  <r>
    <s v="ad98b55b-58cd-484d-9034-19e63a929703"/>
    <x v="28"/>
    <s v="00:00"/>
    <x v="29"/>
    <s v="expense"/>
    <s v="rc_cat_1781955063347_04qb_1781955063360_ocha"/>
    <s v="kbank"/>
    <x v="1"/>
    <s v="-"/>
    <m/>
    <s v="import"/>
    <s v=""/>
    <b v="0"/>
    <s v=""/>
  </r>
  <r>
    <s v="f8f4f68f-f817-4244-985a-7ec298f9c444"/>
    <x v="28"/>
    <s v="00:00"/>
    <x v="33"/>
    <s v="income"/>
    <s v="income_1781955063347_5zxt"/>
    <s v="kbank"/>
    <x v="1"/>
    <s v="-"/>
    <m/>
    <s v="import"/>
    <s v=""/>
    <b v="0"/>
    <s v=""/>
  </r>
  <r>
    <s v="67b0d882-1f5d-4bdf-9956-40f521586e82"/>
    <x v="28"/>
    <s v="00:00"/>
    <x v="31"/>
    <s v="transfer"/>
    <s v="other"/>
    <s v="kbank"/>
    <x v="7"/>
    <s v="-"/>
    <m/>
    <s v="import"/>
    <s v=""/>
    <b v="0"/>
    <s v=""/>
  </r>
  <r>
    <s v="7a6de6f2-cba4-464e-88bf-519dc2338b70"/>
    <x v="29"/>
    <s v="13:28"/>
    <x v="19"/>
    <s v="expense"/>
    <s v="rc_cat_1781955063347_5qjb_1781955063347_tezk"/>
    <s v="kbank"/>
    <x v="1"/>
    <s v="-"/>
    <m/>
    <s v="import"/>
    <s v=""/>
    <b v="0"/>
    <s v=""/>
  </r>
  <r>
    <s v="3cf61470-3472-4907-9067-395a6a5ceb94"/>
    <x v="30"/>
    <s v="13:28"/>
    <x v="35"/>
    <s v="transfer"/>
    <s v="other"/>
    <s v="kbank"/>
    <x v="2"/>
    <s v="ค่าตั๋ว sendai"/>
    <m/>
    <s v="import"/>
    <s v=""/>
    <b v="0"/>
    <s v=""/>
  </r>
  <r>
    <s v="96372b09-5ec7-4372-a60a-f4b9f2f4bbcd"/>
    <x v="31"/>
    <s v="13:19"/>
    <x v="81"/>
    <s v="transfer"/>
    <s v="other"/>
    <s v="kbank"/>
    <x v="11"/>
    <s v="rate 0.207"/>
    <m/>
    <s v="import"/>
    <s v=""/>
    <b v="0"/>
    <s v=""/>
  </r>
  <r>
    <s v="10732acc-2398-4a86-8f8b-fd689e0b11b5"/>
    <x v="31"/>
    <s v="14:36"/>
    <x v="82"/>
    <s v="transfer"/>
    <s v="other"/>
    <s v="rc_acc_1781955063347_uxz4"/>
    <x v="2"/>
    <s v="ค่าตั๋ว sendai"/>
    <m/>
    <s v="import"/>
    <s v=""/>
    <b v="0"/>
    <s v=""/>
  </r>
  <r>
    <s v="aaef82fe-e7c2-415b-b60b-8edace00da92"/>
    <x v="32"/>
    <s v="13:18"/>
    <x v="83"/>
    <s v="expense"/>
    <s v="rc_cat_1781955063347_5qjb_1781955063347_tezk"/>
    <s v="kbank"/>
    <x v="1"/>
    <s v="-"/>
    <m/>
    <s v="import"/>
    <s v=""/>
    <b v="0"/>
    <s v=""/>
  </r>
  <r>
    <s v="a5b90719-78d3-40fe-b82d-f0ac81d8f6b0"/>
    <x v="33"/>
    <s v="13:36"/>
    <x v="64"/>
    <s v="transfer"/>
    <s v="other"/>
    <s v="kbank"/>
    <x v="2"/>
    <s v="ค่าไฟ คืนแล้ว"/>
    <m/>
    <s v="import"/>
    <s v=""/>
    <b v="0"/>
    <s v=""/>
  </r>
  <r>
    <s v="ab400646-03c9-435e-86a6-fe57ebea75f0"/>
    <x v="34"/>
    <s v="13:16"/>
    <x v="19"/>
    <s v="expense"/>
    <s v="rc_cat_1781955063347_anhy_1781955063348_k5l1"/>
    <s v="kbank"/>
    <x v="1"/>
    <s v="ของฝากชุมพร"/>
    <m/>
    <s v="import"/>
    <s v=""/>
    <b v="0"/>
    <s v=""/>
  </r>
  <r>
    <s v="51939385-ddde-454b-ba6b-7e1db5d921cd"/>
    <x v="34"/>
    <s v="13:17"/>
    <x v="19"/>
    <s v="expense"/>
    <s v="rc_cat_1781955063347_s4sz_1781955063347_9tpp"/>
    <s v="kbank"/>
    <x v="1"/>
    <s v="ตัดผม"/>
    <m/>
    <s v="import"/>
    <s v=""/>
    <b v="0"/>
    <s v=""/>
  </r>
  <r>
    <s v="52a8bcd8-2d13-44f8-b780-1f0da88e948b"/>
    <x v="35"/>
    <s v="13:15"/>
    <x v="84"/>
    <s v="expense"/>
    <s v="rc_cat_1781955063347_anhy_1781955063348_k5l1"/>
    <s v="kbank"/>
    <x v="1"/>
    <s v="-"/>
    <m/>
    <s v="import"/>
    <s v=""/>
    <b v="0"/>
    <s v=""/>
  </r>
  <r>
    <s v="2e4eb55e-56e4-4a27-985f-8e70c30c56c3"/>
    <x v="36"/>
    <s v="13:13"/>
    <x v="85"/>
    <s v="expense"/>
    <s v="entertain_1781955063348_kx2f"/>
    <s v="kbank"/>
    <x v="1"/>
    <s v="trade in  lost"/>
    <m/>
    <s v="import"/>
    <s v=""/>
    <b v="0"/>
    <s v=""/>
  </r>
  <r>
    <s v="be4ad88d-8a1c-4fa0-87c1-b540a68add76"/>
    <x v="36"/>
    <s v="13:14"/>
    <x v="86"/>
    <s v="expense"/>
    <s v="rc_cat_1781955063347_5qjb_1781955063347_tezk"/>
    <s v="kbank"/>
    <x v="1"/>
    <s v="-"/>
    <m/>
    <s v="import"/>
    <s v=""/>
    <b v="0"/>
    <s v=""/>
  </r>
  <r>
    <s v="a6d5096e-d603-46ca-aa84-b2d56f50de15"/>
    <x v="37"/>
    <s v="13:10"/>
    <x v="5"/>
    <s v="transfer"/>
    <s v="other"/>
    <s v="kbank"/>
    <x v="3"/>
    <s v="-"/>
    <m/>
    <s v="import"/>
    <s v=""/>
    <b v="0"/>
    <s v=""/>
  </r>
  <r>
    <s v="14e7b6aa-2e7f-45f8-b496-b09c778a0124"/>
    <x v="38"/>
    <s v="13:09"/>
    <x v="87"/>
    <s v="expense"/>
    <s v="rc_cat_1781955063347_5qjb_1781955063347_tezk"/>
    <s v="kbank"/>
    <x v="1"/>
    <s v="-"/>
    <m/>
    <s v="import"/>
    <s v=""/>
    <b v="0"/>
    <s v=""/>
  </r>
  <r>
    <s v="c4f71300-b915-429d-9cf9-891b1eef92c9"/>
    <x v="38"/>
    <s v="13:10"/>
    <x v="88"/>
    <s v="expense"/>
    <s v="rc_cat_1781955063347_04qb_1781955063347_wt5p"/>
    <s v="kbank"/>
    <x v="1"/>
    <s v="-"/>
    <m/>
    <s v="import"/>
    <s v=""/>
    <b v="0"/>
    <s v=""/>
  </r>
  <r>
    <s v="d62305e8-1389-4cd8-ab49-0333731ce6e1"/>
    <x v="38"/>
    <s v="18:48"/>
    <x v="89"/>
    <s v="expense"/>
    <s v="rc_cat_1781955063347_5qjb_1781955063347_tezk"/>
    <s v="rc_acc_1781955063357_rvam"/>
    <x v="1"/>
    <s v="-"/>
    <m/>
    <s v="import"/>
    <s v=""/>
    <b v="0"/>
    <s v=""/>
  </r>
  <r>
    <s v="f6e62f2d-f837-4549-8617-4878caca4d17"/>
    <x v="39"/>
    <s v="00:00"/>
    <x v="29"/>
    <s v="expense"/>
    <s v="rc_cat_1781955063347_04qb_1781955063360_ocha"/>
    <s v="kbank"/>
    <x v="1"/>
    <s v="-"/>
    <m/>
    <s v="import"/>
    <s v=""/>
    <b v="0"/>
    <s v=""/>
  </r>
  <r>
    <s v="1cd5ea28-1bcb-4033-9c80-7b99c6277178"/>
    <x v="39"/>
    <s v="00:00"/>
    <x v="90"/>
    <s v="expense"/>
    <s v="rc_cat_1781955063347_04qb_1781955063347_kgnn"/>
    <s v="kbank"/>
    <x v="1"/>
    <s v="-"/>
    <m/>
    <s v="import"/>
    <s v=""/>
    <b v="0"/>
    <s v=""/>
  </r>
  <r>
    <s v="f2eb459e-5a8d-44c6-9a44-cdda104192b3"/>
    <x v="39"/>
    <s v="00:00"/>
    <x v="91"/>
    <s v="transfer"/>
    <s v="other"/>
    <s v="kbank"/>
    <x v="8"/>
    <s v="-"/>
    <m/>
    <s v="import"/>
    <s v=""/>
    <b v="0"/>
    <s v=""/>
  </r>
  <r>
    <s v="9c6cf25f-930f-4333-bedc-90c2def4a092"/>
    <x v="39"/>
    <s v="00:00"/>
    <x v="92"/>
    <s v="expense"/>
    <s v="rc_cat_1781955063347_04qb_1781955063350_acgf"/>
    <s v="kbank"/>
    <x v="1"/>
    <s v="-"/>
    <m/>
    <s v="import"/>
    <s v=""/>
    <b v="0"/>
    <s v=""/>
  </r>
  <r>
    <s v="7f6eb2e7-7ddb-49a3-b0f6-c0485fe55077"/>
    <x v="39"/>
    <s v="00:00"/>
    <x v="33"/>
    <s v="income"/>
    <s v="income_1781955063347_5zxt"/>
    <s v="kbank"/>
    <x v="1"/>
    <s v="-"/>
    <m/>
    <s v="import"/>
    <s v=""/>
    <b v="0"/>
    <s v=""/>
  </r>
  <r>
    <s v="73c158ed-aef4-451c-be22-6092d0d994f0"/>
    <x v="39"/>
    <s v="00:00"/>
    <x v="31"/>
    <s v="transfer"/>
    <s v="other"/>
    <s v="kbank"/>
    <x v="7"/>
    <s v="-"/>
    <m/>
    <s v="import"/>
    <s v=""/>
    <b v="0"/>
    <s v=""/>
  </r>
  <r>
    <s v="78995ba8-dcff-4b9b-922c-d6437866b0d3"/>
    <x v="39"/>
    <s v="16:56"/>
    <x v="93"/>
    <s v="income"/>
    <s v="income_1781955063347_zblt"/>
    <s v="kbank"/>
    <x v="1"/>
    <s v="-"/>
    <m/>
    <s v="import"/>
    <s v=""/>
    <b v="0"/>
    <s v=""/>
  </r>
  <r>
    <s v="66933848-da24-4152-87bd-4d9664f3d80c"/>
    <x v="39"/>
    <s v="16:56"/>
    <x v="94"/>
    <s v="income"/>
    <s v="income_1781955063347_5zxt"/>
    <s v="kbank"/>
    <x v="1"/>
    <s v="-"/>
    <m/>
    <s v="import"/>
    <s v=""/>
    <b v="0"/>
    <s v=""/>
  </r>
  <r>
    <s v="c9f786db-095c-476f-9d81-468e05734dd6"/>
    <x v="40"/>
    <s v="16:54"/>
    <x v="95"/>
    <s v="expense"/>
    <s v="rc_cat_1781955063347_04qb_1781955063363_voa0"/>
    <s v="kbank"/>
    <x v="1"/>
    <s v="AIA"/>
    <m/>
    <s v="import"/>
    <s v=""/>
    <b v="0"/>
    <s v=""/>
  </r>
  <r>
    <s v="ff0f85e5-8092-4cb9-8ab5-328dc661a64f"/>
    <x v="40"/>
    <s v="17:06"/>
    <x v="96"/>
    <s v="expense"/>
    <s v="entertain_1781955063352_1jgx"/>
    <s v="kbank"/>
    <x v="1"/>
    <s v="octopath"/>
    <m/>
    <s v="import"/>
    <s v=""/>
    <b v="0"/>
    <s v=""/>
  </r>
  <r>
    <s v="b639fc99-544d-4d90-be36-46bf6f6afec7"/>
    <x v="40"/>
    <s v="17:06"/>
    <x v="97"/>
    <s v="expense"/>
    <s v="rc_cat_1781955063347_anhy_1781955063348_k5l1"/>
    <s v="kbank"/>
    <x v="1"/>
    <s v="เปลี่ยนตั๋วขากลับ EDP"/>
    <m/>
    <s v="import"/>
    <s v=""/>
    <b v="0"/>
    <s v=""/>
  </r>
  <r>
    <s v="752abf3d-9df3-4e52-a6a5-8e3c0afda301"/>
    <x v="41"/>
    <s v="16:53"/>
    <x v="31"/>
    <s v="expense"/>
    <s v="rc_cat_1781955063347_anhy_1781955063348_k5l1"/>
    <s v="kbank"/>
    <x v="1"/>
    <s v="เงินรุ่น edp"/>
    <m/>
    <s v="import"/>
    <s v=""/>
    <b v="0"/>
    <s v=""/>
  </r>
  <r>
    <s v="8c919855-06f0-46d7-9047-421536309401"/>
    <x v="42"/>
    <s v="16:53"/>
    <x v="98"/>
    <s v="transfer"/>
    <s v="other"/>
    <s v="kbank"/>
    <x v="2"/>
    <s v="ค่าตั๋ว trip.com nagoya"/>
    <m/>
    <s v="import"/>
    <s v=""/>
    <b v="0"/>
    <s v=""/>
  </r>
  <r>
    <s v="f0293e31-577a-475f-a662-6e053c68e478"/>
    <x v="43"/>
    <s v="16:52"/>
    <x v="99"/>
    <s v="transfer"/>
    <s v="other"/>
    <s v="kbank"/>
    <x v="12"/>
    <s v="-"/>
    <m/>
    <s v="import"/>
    <s v=""/>
    <b v="0"/>
    <s v=""/>
  </r>
  <r>
    <s v="341970a0-907d-435f-bb6d-e5dd80f03a35"/>
    <x v="44"/>
    <s v="00:00"/>
    <x v="4"/>
    <s v="expense"/>
    <s v="rc_cat_1781955063347_anhy_1781955063350_fcpb"/>
    <s v="kbank"/>
    <x v="1"/>
    <s v="-"/>
    <m/>
    <s v="import"/>
    <s v=""/>
    <b v="0"/>
    <s v=""/>
  </r>
  <r>
    <s v="5c5de9f1-14f9-43a7-9d61-5555e5bfcc99"/>
    <x v="44"/>
    <s v="16:52"/>
    <x v="100"/>
    <s v="expense"/>
    <s v="rc_cat_1781955063347_04qb_1781955063347_wt5p"/>
    <s v="kbank"/>
    <x v="1"/>
    <s v="-"/>
    <m/>
    <s v="import"/>
    <s v=""/>
    <b v="0"/>
    <s v=""/>
  </r>
  <r>
    <s v="0328f646-2ec5-45d7-8dcb-15ff2c916ac0"/>
    <x v="45"/>
    <s v="16:51"/>
    <x v="101"/>
    <s v="expense"/>
    <s v="rc_cat_1781955063347_5qjb_1781955063347_tezk"/>
    <s v="kbank"/>
    <x v="1"/>
    <s v="shopee ยังไม่ได้เช็ค"/>
    <m/>
    <s v="import"/>
    <s v=""/>
    <b v="0"/>
    <s v=""/>
  </r>
  <r>
    <s v="8e52708c-8c66-4ca5-8bf2-fdee4404e076"/>
    <x v="46"/>
    <s v="16:51"/>
    <x v="5"/>
    <s v="transfer"/>
    <s v="other"/>
    <s v="kbank"/>
    <x v="3"/>
    <s v="-"/>
    <m/>
    <s v="import"/>
    <s v=""/>
    <b v="0"/>
    <s v=""/>
  </r>
  <r>
    <s v="d41a171b-d8a1-499e-a681-0afb01c2a7e4"/>
    <x v="47"/>
    <s v="16:50"/>
    <x v="102"/>
    <s v="transfer"/>
    <s v="other"/>
    <s v="kbank"/>
    <x v="12"/>
    <s v="-"/>
    <m/>
    <s v="import"/>
    <s v=""/>
    <b v="0"/>
    <s v=""/>
  </r>
  <r>
    <s v="f2525921-5859-44f2-b6ad-9b34e8318763"/>
    <x v="47"/>
    <s v="18:48"/>
    <x v="103"/>
    <s v="expense"/>
    <s v="rc_cat_1781955063347_5qjb_1781955063347_tezk"/>
    <s v="rc_acc_1781955063357_rvam"/>
    <x v="1"/>
    <s v="-"/>
    <m/>
    <s v="import"/>
    <s v=""/>
    <b v="0"/>
    <s v=""/>
  </r>
  <r>
    <s v="c621fefa-632b-4d21-86f7-9ba363d425ee"/>
    <x v="48"/>
    <s v="16:49"/>
    <x v="5"/>
    <s v="transfer"/>
    <s v="other"/>
    <s v="kbank"/>
    <x v="10"/>
    <s v="-"/>
    <m/>
    <s v="import"/>
    <s v=""/>
    <b v="0"/>
    <s v=""/>
  </r>
  <r>
    <s v="626368ab-0fc4-41a2-904c-5b69ac1f44fd"/>
    <x v="49"/>
    <s v="00:00"/>
    <x v="104"/>
    <s v="expense"/>
    <s v="rc_cat_1781955063347_04qb_1781955063347_lu9b"/>
    <s v="kbank"/>
    <x v="1"/>
    <s v="-"/>
    <m/>
    <s v="import"/>
    <s v=""/>
    <b v="0"/>
    <s v=""/>
  </r>
  <r>
    <s v="19c82a20-936e-4ae6-bf2a-d4e0424cb027"/>
    <x v="49"/>
    <s v="00:00"/>
    <x v="105"/>
    <s v="expense"/>
    <s v="rc_cat_1781955063347_04qb_1781955063347_kgnn"/>
    <s v="kbank"/>
    <x v="1"/>
    <s v="-"/>
    <m/>
    <s v="import"/>
    <s v=""/>
    <b v="0"/>
    <s v=""/>
  </r>
  <r>
    <s v="93dd5382-795b-466f-bc8d-b923386ba398"/>
    <x v="49"/>
    <s v="00:00"/>
    <x v="106"/>
    <s v="expense"/>
    <s v="rc_cat_1781955063347_04qb_1781955063360_g684"/>
    <s v="kbank"/>
    <x v="1"/>
    <s v="-"/>
    <m/>
    <s v="import"/>
    <s v=""/>
    <b v="0"/>
    <s v=""/>
  </r>
  <r>
    <s v="7508d425-6418-4275-9f92-aa219e69786e"/>
    <x v="49"/>
    <s v="00:00"/>
    <x v="107"/>
    <s v="expense"/>
    <s v="rc_cat_1781955063347_04qb_1781955063350_acgf"/>
    <s v="kbank"/>
    <x v="1"/>
    <s v="-"/>
    <m/>
    <s v="import"/>
    <s v=""/>
    <b v="0"/>
    <s v=""/>
  </r>
  <r>
    <s v="73cb7c82-4d2b-4742-902a-ed265bef916a"/>
    <x v="49"/>
    <s v="00:00"/>
    <x v="29"/>
    <s v="expense"/>
    <s v="rc_cat_1781955063347_04qb_1781955063360_ocha"/>
    <s v="kbank"/>
    <x v="1"/>
    <s v="-"/>
    <m/>
    <s v="import"/>
    <s v=""/>
    <b v="0"/>
    <s v=""/>
  </r>
  <r>
    <s v="0560a9a7-fda8-4d03-ac45-998b6ee84934"/>
    <x v="49"/>
    <s v="00:00"/>
    <x v="108"/>
    <s v="transfer"/>
    <s v="other"/>
    <s v="kbank"/>
    <x v="8"/>
    <s v="-"/>
    <m/>
    <s v="import"/>
    <s v=""/>
    <b v="0"/>
    <s v=""/>
  </r>
  <r>
    <s v="8c6c65b0-b15c-491f-b49c-9d2cea89a9b4"/>
    <x v="49"/>
    <s v="00:00"/>
    <x v="31"/>
    <s v="transfer"/>
    <s v="other"/>
    <s v="kbank"/>
    <x v="7"/>
    <s v="-"/>
    <m/>
    <s v="import"/>
    <s v=""/>
    <b v="0"/>
    <s v=""/>
  </r>
  <r>
    <s v="dc09af4c-e29c-4b16-8cd1-fb2a166fd8bd"/>
    <x v="49"/>
    <s v="00:00"/>
    <x v="109"/>
    <s v="income"/>
    <s v="income_1781955063347_5zxt"/>
    <s v="kbank"/>
    <x v="1"/>
    <s v="-"/>
    <m/>
    <s v="import"/>
    <s v=""/>
    <b v="0"/>
    <s v=""/>
  </r>
  <r>
    <s v="9b3d1c56-1730-4c32-a1cd-9bc3fd9de604"/>
    <x v="50"/>
    <s v="00:00"/>
    <x v="110"/>
    <s v="expense"/>
    <s v="rc_cat_1781955063347_5qjb_1781955063347_tezk"/>
    <s v="kbank"/>
    <x v="1"/>
    <s v="-"/>
    <m/>
    <s v="import"/>
    <s v=""/>
    <b v="0"/>
    <s v=""/>
  </r>
  <r>
    <s v="a0eef9a0-97e0-48e7-8915-7bca6e344316"/>
    <x v="50"/>
    <s v="18:08"/>
    <x v="58"/>
    <s v="transfer"/>
    <s v="other"/>
    <s v="rc_acc_1781955063347_kjxt"/>
    <x v="2"/>
    <s v="เช่ารถ ngo26 คืนแล้ว"/>
    <m/>
    <s v="import"/>
    <s v=""/>
    <b v="0"/>
    <s v=""/>
  </r>
  <r>
    <s v="474fceff-fe45-4529-badf-098adecbc944"/>
    <x v="50"/>
    <s v="18:09"/>
    <x v="111"/>
    <s v="transfer"/>
    <s v="other"/>
    <s v="rc_acc_1781955063347_kjxt"/>
    <x v="2"/>
    <s v="ngo26 toyoko คืนแล้ว"/>
    <m/>
    <s v="import"/>
    <s v=""/>
    <b v="0"/>
    <s v=""/>
  </r>
  <r>
    <s v="e3b1b43f-dc69-4c07-ac78-44bf212e338b"/>
    <x v="50"/>
    <s v="18:13"/>
    <x v="112"/>
    <s v="transfer"/>
    <s v="other"/>
    <s v="advance"/>
    <x v="6"/>
    <s v="คืน toyoko"/>
    <m/>
    <s v="import"/>
    <s v=""/>
    <b v="0"/>
    <s v=""/>
  </r>
  <r>
    <s v="f81a55d2-3853-477a-a4f5-70dc86b9f81e"/>
    <x v="50"/>
    <s v="18:13"/>
    <x v="113"/>
    <s v="expense"/>
    <s v="other_1781955063348_27zj"/>
    <s v="rc_acc_1781955063347_kjxt"/>
    <x v="1"/>
    <s v="-"/>
    <m/>
    <s v="import"/>
    <s v=""/>
    <b v="0"/>
    <s v=""/>
  </r>
  <r>
    <s v="e1ec8746-4d0c-493d-9e00-0815c028401b"/>
    <x v="50"/>
    <s v="18:30"/>
    <x v="114"/>
    <s v="transfer"/>
    <s v="other"/>
    <s v="advance"/>
    <x v="4"/>
    <s v="-"/>
    <m/>
    <s v="import"/>
    <s v=""/>
    <b v="0"/>
    <s v=""/>
  </r>
  <r>
    <s v="6f64c04f-51bd-4469-9ae1-a219325e668a"/>
    <x v="51"/>
    <s v="18:22"/>
    <x v="115"/>
    <s v="expense"/>
    <s v="rc_cat_1781955063347_anhy_1781955063350_fcpb"/>
    <s v="kbank"/>
    <x v="1"/>
    <s v="-"/>
    <m/>
    <s v="import"/>
    <s v=""/>
    <b v="0"/>
    <s v=""/>
  </r>
  <r>
    <s v="30a9bff2-5d75-476c-87f8-3a6381ad4139"/>
    <x v="51"/>
    <s v="18:24"/>
    <x v="116"/>
    <s v="transfer"/>
    <s v="other"/>
    <s v="kbank"/>
    <x v="2"/>
    <s v="คืนแล้ว"/>
    <m/>
    <s v="import"/>
    <s v=""/>
    <b v="0"/>
    <s v=""/>
  </r>
  <r>
    <s v="d371ffcc-5ca6-4352-8f0f-74b55b6ef8a3"/>
    <x v="51"/>
    <s v="18:24"/>
    <x v="117"/>
    <s v="transfer"/>
    <s v="other"/>
    <s v="kbank"/>
    <x v="2"/>
    <s v="ngo26 flightviet"/>
    <m/>
    <s v="import"/>
    <s v=""/>
    <b v="0"/>
    <s v=""/>
  </r>
  <r>
    <s v="6f525b65-7ce2-4140-a8b3-54ce848b8288"/>
    <x v="52"/>
    <s v="18:00"/>
    <x v="116"/>
    <s v="transfer"/>
    <s v="other"/>
    <s v="advance"/>
    <x v="4"/>
    <s v="-"/>
    <m/>
    <s v="import"/>
    <s v=""/>
    <b v="0"/>
    <s v=""/>
  </r>
  <r>
    <s v="a6cf3e73-540d-45a3-ae6e-cc4c9de50315"/>
    <x v="53"/>
    <s v="17:59"/>
    <x v="114"/>
    <s v="transfer"/>
    <s v="other"/>
    <s v="kbank"/>
    <x v="2"/>
    <s v="คืนแล้ว"/>
    <m/>
    <s v="import"/>
    <s v=""/>
    <b v="0"/>
    <s v=""/>
  </r>
  <r>
    <s v="f2c30507-85e8-454e-8563-08a4cb66fe05"/>
    <x v="54"/>
    <s v="17:54"/>
    <x v="22"/>
    <s v="expense"/>
    <s v="rc_cat_1781955063347_5qjb_1781955063347_tezk"/>
    <s v="kbank"/>
    <x v="1"/>
    <s v="-"/>
    <m/>
    <s v="import"/>
    <s v=""/>
    <b v="0"/>
    <s v=""/>
  </r>
  <r>
    <s v="2702b317-bf9f-4dd2-a76c-ca6aae91ef40"/>
    <x v="55"/>
    <s v="17:53"/>
    <x v="118"/>
    <s v="expense"/>
    <s v="rc_cat_1781955063347_anhy_1781955063347_qnaz"/>
    <s v="kbank"/>
    <x v="1"/>
    <s v="หนึ่งนมนัว"/>
    <m/>
    <s v="import"/>
    <s v=""/>
    <b v="0"/>
    <s v=""/>
  </r>
  <r>
    <s v="754897be-ced4-4c04-b575-e00ce4391266"/>
    <x v="56"/>
    <s v="17:52"/>
    <x v="119"/>
    <s v="expense"/>
    <s v="rc_cat_1781955063347_04qb_1781955063347_wt5p"/>
    <s v="kbank"/>
    <x v="1"/>
    <s v="-"/>
    <m/>
    <s v="import"/>
    <s v=""/>
    <b v="0"/>
    <s v=""/>
  </r>
  <r>
    <s v="6c813798-a426-4a81-93ff-10f640d5be71"/>
    <x v="56"/>
    <s v="17:53"/>
    <x v="120"/>
    <s v="expense"/>
    <s v="rc_cat_1781955063347_anhy_1781955063350_fcpb"/>
    <s v="kbank"/>
    <x v="1"/>
    <s v="-"/>
    <m/>
    <s v="import"/>
    <s v=""/>
    <b v="0"/>
    <s v=""/>
  </r>
  <r>
    <s v="3202dbfa-b98d-4ea9-af1e-a26c4f744957"/>
    <x v="57"/>
    <s v="00:00"/>
    <x v="4"/>
    <s v="expense"/>
    <s v="rc_cat_1781955063347_anhy_1781955063350_fcpb"/>
    <s v="kbank"/>
    <x v="1"/>
    <s v="-"/>
    <m/>
    <s v="import"/>
    <s v=""/>
    <b v="0"/>
    <s v=""/>
  </r>
  <r>
    <s v="6b7f659d-f73d-4ed6-a7c1-f12e08632255"/>
    <x v="57"/>
    <s v="17:52"/>
    <x v="5"/>
    <s v="transfer"/>
    <s v="other"/>
    <s v="kbank"/>
    <x v="3"/>
    <s v="-"/>
    <m/>
    <s v="import"/>
    <s v=""/>
    <b v="0"/>
    <s v=""/>
  </r>
  <r>
    <s v="b66c97ea-6a99-40e6-b126-f0f1ebc4aec8"/>
    <x v="58"/>
    <s v="10:02"/>
    <x v="121"/>
    <s v="expense"/>
    <s v="rc_cat_1781955063347_5qjb_1781955063347_tezk"/>
    <s v="rc_acc_1781955063357_rvam"/>
    <x v="1"/>
    <s v="-"/>
    <m/>
    <s v="import"/>
    <s v=""/>
    <b v="0"/>
    <s v=""/>
  </r>
  <r>
    <s v="f410a2cd-18a9-44c4-8d9c-6a2cdbe6bde3"/>
    <x v="59"/>
    <s v="17:50"/>
    <x v="42"/>
    <s v="expense"/>
    <s v="rc_cat_1781955063347_anhy_1781955063347_qnaz"/>
    <s v="kbank"/>
    <x v="1"/>
    <s v="-"/>
    <m/>
    <s v="import"/>
    <s v=""/>
    <b v="0"/>
    <s v=""/>
  </r>
  <r>
    <s v="17cdcdb1-e7a0-4927-9290-f4a5fdcc2763"/>
    <x v="59"/>
    <s v="17:50"/>
    <x v="122"/>
    <s v="expense"/>
    <s v="entertain_1781955063348_kx2f"/>
    <s v="kbank"/>
    <x v="1"/>
    <s v="gunpla"/>
    <m/>
    <s v="import"/>
    <s v=""/>
    <b v="0"/>
    <s v=""/>
  </r>
  <r>
    <s v="34081f50-d68b-4a3c-bee6-372bf933bd63"/>
    <x v="60"/>
    <s v="15:40"/>
    <x v="123"/>
    <s v="transfer"/>
    <s v="other"/>
    <s v="kbank"/>
    <x v="2"/>
    <s v="เช่ารถเชียงใหม่ ยังไม่คืน"/>
    <m/>
    <s v="import"/>
    <s v=""/>
    <b v="0"/>
    <s v=""/>
  </r>
  <r>
    <s v="c5200465-c58a-4dee-a42f-b910d5ebe305"/>
    <x v="60"/>
    <s v="17:45"/>
    <x v="112"/>
    <s v="transfer"/>
    <s v="other"/>
    <s v="kbank"/>
    <x v="2"/>
    <s v="toyoko คืนแล้ว"/>
    <m/>
    <s v="import"/>
    <s v=""/>
    <b v="0"/>
    <s v=""/>
  </r>
  <r>
    <s v="8caf188d-301a-4cb9-8cdf-bd2f3f52b3a5"/>
    <x v="60"/>
    <s v="17:47"/>
    <x v="124"/>
    <s v="transfer"/>
    <s v="other"/>
    <s v="advance"/>
    <x v="4"/>
    <s v="-"/>
    <m/>
    <s v="import"/>
    <s v=""/>
    <b v="0"/>
    <s v=""/>
  </r>
  <r>
    <s v="414388c9-376f-4d07-a65a-6241591c2e96"/>
    <x v="61"/>
    <s v="00:00"/>
    <x v="31"/>
    <s v="transfer"/>
    <s v="other"/>
    <s v="kbank"/>
    <x v="7"/>
    <s v="-"/>
    <m/>
    <s v="import"/>
    <s v=""/>
    <b v="0"/>
    <s v=""/>
  </r>
  <r>
    <s v="0c7d5182-3ae0-4ec6-9048-dc9d4dd033c1"/>
    <x v="61"/>
    <s v="00:00"/>
    <x v="125"/>
    <s v="transfer"/>
    <s v="other"/>
    <s v="kbank"/>
    <x v="8"/>
    <s v="-"/>
    <m/>
    <s v="import"/>
    <s v=""/>
    <b v="0"/>
    <s v=""/>
  </r>
  <r>
    <s v="bc38332b-b0c7-49a7-83b7-83fa3dd4943d"/>
    <x v="61"/>
    <s v="00:00"/>
    <x v="126"/>
    <s v="expense"/>
    <s v="rc_cat_1781955063347_04qb_1781955063350_acgf"/>
    <s v="kbank"/>
    <x v="1"/>
    <s v="-"/>
    <m/>
    <s v="import"/>
    <s v=""/>
    <b v="0"/>
    <s v=""/>
  </r>
  <r>
    <s v="7c9b4daa-d1d5-4069-8ac8-2502db81a403"/>
    <x v="61"/>
    <s v="00:00"/>
    <x v="127"/>
    <s v="expense"/>
    <s v="rc_cat_1781955063347_04qb_1781955063347_kgnn"/>
    <s v="kbank"/>
    <x v="1"/>
    <s v="-"/>
    <m/>
    <s v="import"/>
    <s v=""/>
    <b v="0"/>
    <s v=""/>
  </r>
  <r>
    <s v="57294f2a-523f-4350-9036-1d18a808fb2f"/>
    <x v="61"/>
    <s v="00:00"/>
    <x v="128"/>
    <s v="expense"/>
    <s v="rc_cat_1781955063347_04qb_1781955063360_g684"/>
    <s v="kbank"/>
    <x v="1"/>
    <s v="-"/>
    <m/>
    <s v="import"/>
    <s v=""/>
    <b v="0"/>
    <s v=""/>
  </r>
  <r>
    <s v="8c4a427b-9e7c-40bc-9c43-1620aec072b2"/>
    <x v="61"/>
    <s v="00:00"/>
    <x v="129"/>
    <s v="expense"/>
    <s v="rc_cat_1781955063347_04qb_1781955063360_ocha"/>
    <s v="kbank"/>
    <x v="1"/>
    <s v="-"/>
    <m/>
    <s v="import"/>
    <s v=""/>
    <b v="0"/>
    <s v=""/>
  </r>
  <r>
    <s v="aade6f1a-c7a7-4eb9-a9ac-8738c17d0b43"/>
    <x v="61"/>
    <s v="00:00"/>
    <x v="130"/>
    <s v="expense"/>
    <s v="rc_cat_1781955063347_04qb_1781955063347_lu9b"/>
    <s v="kbank"/>
    <x v="1"/>
    <s v="-"/>
    <m/>
    <s v="import"/>
    <s v=""/>
    <b v="0"/>
    <s v=""/>
  </r>
  <r>
    <s v="7353de5b-d89d-4e72-a5e0-9cb54e58e33a"/>
    <x v="61"/>
    <s v="00:00"/>
    <x v="109"/>
    <s v="income"/>
    <s v="income_1781955063347_5zxt"/>
    <s v="kbank"/>
    <x v="1"/>
    <s v="-"/>
    <m/>
    <s v="import"/>
    <s v=""/>
    <b v="0"/>
    <s v=""/>
  </r>
  <r>
    <s v="c116b15a-8ff9-4e9d-a404-baa60f9aa584"/>
    <x v="61"/>
    <s v="15:36"/>
    <x v="131"/>
    <s v="expense"/>
    <s v="other_1781955063348_27zj"/>
    <s v="kbank"/>
    <x v="1"/>
    <s v="-"/>
    <m/>
    <s v="import"/>
    <s v=""/>
    <b v="0"/>
    <s v=""/>
  </r>
  <r>
    <s v="d1a06f41-e18a-430a-a929-b39943d14278"/>
    <x v="62"/>
    <s v="15:35"/>
    <x v="78"/>
    <s v="expense"/>
    <s v="rc_cat_1781955063347_anhy_1781955063350_fcpb"/>
    <s v="kbank"/>
    <x v="1"/>
    <s v="-"/>
    <m/>
    <s v="import"/>
    <s v=""/>
    <b v="0"/>
    <s v=""/>
  </r>
  <r>
    <s v="c0e7b13b-e147-47b3-a197-c963246bdd64"/>
    <x v="63"/>
    <s v="15:34"/>
    <x v="132"/>
    <s v="expense"/>
    <s v="entertain_1781955063349_gok1"/>
    <s v="kbank"/>
    <x v="1"/>
    <s v="เชียงใหม่"/>
    <m/>
    <s v="import"/>
    <s v=""/>
    <b v="0"/>
    <s v=""/>
  </r>
  <r>
    <s v="3bd02485-9a94-486b-9769-0f0413d6c14e"/>
    <x v="64"/>
    <s v="15:34"/>
    <x v="133"/>
    <s v="income"/>
    <s v="income_1781955063351_3ab8"/>
    <s v="kbank"/>
    <x v="1"/>
    <s v="-"/>
    <m/>
    <s v="import"/>
    <s v=""/>
    <b v="0"/>
    <s v=""/>
  </r>
  <r>
    <s v="237cd5e2-b48e-442c-98d1-cdae512ed6ff"/>
    <x v="64"/>
    <s v="17:46"/>
    <x v="124"/>
    <s v="transfer"/>
    <s v="other"/>
    <s v="kbank"/>
    <x v="2"/>
    <s v="ค่าส่วนกลาง"/>
    <m/>
    <s v="import"/>
    <s v=""/>
    <b v="0"/>
    <s v=""/>
  </r>
  <r>
    <s v="008e5b39-8c41-4218-acc4-af263580d0ec"/>
    <x v="65"/>
    <s v="17:48"/>
    <x v="134"/>
    <s v="expense"/>
    <s v="rc_cat_1781955063347_anhy_1781955063348_k5l1"/>
    <s v="kbank"/>
    <x v="1"/>
    <s v="-"/>
    <m/>
    <s v="import"/>
    <s v=""/>
    <b v="0"/>
    <s v=""/>
  </r>
  <r>
    <s v="ac947dc4-8f0e-4450-8177-11210c8afc8c"/>
    <x v="66"/>
    <s v="15:32"/>
    <x v="42"/>
    <s v="expense"/>
    <s v="rc_cat_1781955063347_anhy_1781955063347_qnaz"/>
    <s v="kbank"/>
    <x v="1"/>
    <s v="-"/>
    <m/>
    <s v="import"/>
    <s v=""/>
    <b v="0"/>
    <s v=""/>
  </r>
  <r>
    <s v="9bf8027d-99cf-45c8-adb4-165ca721b2e6"/>
    <x v="67"/>
    <s v="15:32"/>
    <x v="135"/>
    <s v="expense"/>
    <s v="rc_cat_1781955063347_04qb_1781955063347_wt5p"/>
    <s v="kbank"/>
    <x v="1"/>
    <s v="-"/>
    <m/>
    <s v="import"/>
    <s v=""/>
    <b v="0"/>
    <s v=""/>
  </r>
  <r>
    <s v="28033301-9ae2-4362-8e64-a037232a60b2"/>
    <x v="68"/>
    <s v="15:32"/>
    <x v="5"/>
    <s v="transfer"/>
    <s v="other"/>
    <s v="kbank"/>
    <x v="3"/>
    <s v="-"/>
    <m/>
    <s v="import"/>
    <s v=""/>
    <b v="0"/>
    <s v=""/>
  </r>
  <r>
    <s v="5dddf291-4e70-4805-8091-097ec6e84bcb"/>
    <x v="69"/>
    <s v="17:04"/>
    <x v="84"/>
    <s v="expense"/>
    <s v="rc_cat_1781955063347_s4sz_1781955063347_deos"/>
    <s v="kbank"/>
    <x v="1"/>
    <s v="-"/>
    <m/>
    <s v="import"/>
    <s v=""/>
    <b v="0"/>
    <s v=""/>
  </r>
  <r>
    <s v="a79d65d7-7ae7-4bf3-b78d-5527d893132d"/>
    <x v="69"/>
    <s v="17:04"/>
    <x v="136"/>
    <s v="expense"/>
    <s v="rc_cat_1781955063347_5qjb_1781955063347_tezk"/>
    <s v="kbank"/>
    <x v="1"/>
    <s v="-"/>
    <m/>
    <s v="import"/>
    <s v=""/>
    <b v="0"/>
    <s v=""/>
  </r>
  <r>
    <s v="64c9024a-dcad-48ed-985c-4ef5f1d0a999"/>
    <x v="69"/>
    <s v="17:04"/>
    <x v="137"/>
    <s v="expense"/>
    <s v="rc_cat_1781955063347_5qjb_1781955063347_tezk"/>
    <s v="kbank"/>
    <x v="1"/>
    <s v="-"/>
    <m/>
    <s v="import"/>
    <s v=""/>
    <b v="0"/>
    <s v=""/>
  </r>
  <r>
    <s v="766bd864-e51b-436d-8d2d-d7a39563d24c"/>
    <x v="69"/>
    <s v="17:05"/>
    <x v="138"/>
    <s v="expense"/>
    <s v="other_1781955063348_27zj"/>
    <s v="kbank"/>
    <x v="1"/>
    <s v="ค่าโทรศัพท์"/>
    <m/>
    <s v="import"/>
    <s v=""/>
    <b v="0"/>
    <s v=""/>
  </r>
  <r>
    <s v="9bf63871-f467-45f8-adda-3abf45360b47"/>
    <x v="69"/>
    <s v="17:10"/>
    <x v="4"/>
    <s v="expense"/>
    <s v="rc_cat_1781955063347_anhy_1781955063350_fcpb"/>
    <s v="kbank"/>
    <x v="1"/>
    <s v="-"/>
    <m/>
    <s v="import"/>
    <s v=""/>
    <b v="0"/>
    <s v=""/>
  </r>
  <r>
    <s v="fb3ca6e6-f51b-46ce-9bc6-87c71faad691"/>
    <x v="69"/>
    <s v="18:51"/>
    <x v="139"/>
    <s v="expense"/>
    <s v="rc_cat_1781955063347_5qjb_1781955063347_tezk"/>
    <s v="rc_acc_1781955063357_rvam"/>
    <x v="1"/>
    <s v="Difference"/>
    <m/>
    <s v="import"/>
    <s v=""/>
    <b v="0"/>
    <s v=""/>
  </r>
  <r>
    <s v="7e56f4ac-d277-41ff-a371-334b6bbd73aa"/>
    <x v="69"/>
    <s v="23:31"/>
    <x v="140"/>
    <s v="expense"/>
    <s v="rc_cat_1781955063347_5qjb_1781955063347_tezk"/>
    <s v="kbank"/>
    <x v="1"/>
    <s v="-"/>
    <m/>
    <s v="import"/>
    <s v=""/>
    <b v="0"/>
    <s v=""/>
  </r>
  <r>
    <s v="097fb1d7-59a3-4cf6-955b-e3cf5d7f7164"/>
    <x v="70"/>
    <s v="00:00"/>
    <x v="141"/>
    <s v="expense"/>
    <s v="rc_cat_1781955063347_04qb_1781955063347_kgnn"/>
    <s v="kbank"/>
    <x v="1"/>
    <s v="-"/>
    <m/>
    <s v="import"/>
    <s v=""/>
    <b v="0"/>
    <s v=""/>
  </r>
  <r>
    <s v="9cf2ea6f-361a-4258-a45c-14413bc16a9d"/>
    <x v="70"/>
    <s v="00:00"/>
    <x v="142"/>
    <s v="expense"/>
    <s v="rc_cat_1781955063347_04qb_1781955063360_ocha"/>
    <s v="kbank"/>
    <x v="1"/>
    <s v="-"/>
    <m/>
    <s v="import"/>
    <s v=""/>
    <b v="0"/>
    <s v=""/>
  </r>
  <r>
    <s v="f0606972-8685-4a45-a90f-d51ba69ad508"/>
    <x v="70"/>
    <s v="00:00"/>
    <x v="143"/>
    <s v="expense"/>
    <s v="rc_cat_1781955063347_04qb_1781955063350_acgf"/>
    <s v="kbank"/>
    <x v="1"/>
    <s v="-"/>
    <m/>
    <s v="import"/>
    <s v=""/>
    <b v="0"/>
    <s v=""/>
  </r>
  <r>
    <s v="f1eaad32-dd94-435b-b0ef-a165675a43ee"/>
    <x v="70"/>
    <s v="00:00"/>
    <x v="144"/>
    <s v="transfer"/>
    <s v="other"/>
    <s v="kbank"/>
    <x v="8"/>
    <s v="-"/>
    <m/>
    <s v="import"/>
    <s v=""/>
    <b v="0"/>
    <s v=""/>
  </r>
  <r>
    <s v="579023c4-0695-4310-a598-cae377eb663c"/>
    <x v="70"/>
    <s v="00:00"/>
    <x v="145"/>
    <s v="expense"/>
    <s v="rc_cat_1781955063347_04qb_1781955063347_lu9b"/>
    <s v="kbank"/>
    <x v="1"/>
    <s v="-"/>
    <m/>
    <s v="import"/>
    <s v=""/>
    <b v="0"/>
    <s v=""/>
  </r>
  <r>
    <s v="64d8d01b-3b09-40a4-b5ac-b3c97358432c"/>
    <x v="70"/>
    <s v="00:00"/>
    <x v="31"/>
    <s v="transfer"/>
    <s v="other"/>
    <s v="kbank"/>
    <x v="7"/>
    <s v="-"/>
    <m/>
    <s v="import"/>
    <s v=""/>
    <b v="0"/>
    <s v=""/>
  </r>
  <r>
    <s v="5094cfce-e36b-4425-9a29-4f7577206aa2"/>
    <x v="70"/>
    <s v="00:00"/>
    <x v="128"/>
    <s v="expense"/>
    <s v="rc_cat_1781955063347_04qb_1781955063360_g684"/>
    <s v="kbank"/>
    <x v="1"/>
    <s v="-"/>
    <m/>
    <s v="import"/>
    <s v=""/>
    <b v="0"/>
    <s v=""/>
  </r>
  <r>
    <s v="f4350fb8-63f1-4078-9254-24dfe6495679"/>
    <x v="70"/>
    <s v="00:00"/>
    <x v="109"/>
    <s v="income"/>
    <s v="income_1781955063347_5zxt"/>
    <s v="kbank"/>
    <x v="1"/>
    <s v="-"/>
    <m/>
    <s v="import"/>
    <s v=""/>
    <b v="0"/>
    <s v=""/>
  </r>
  <r>
    <s v="1bad03c5-4d03-4736-88ed-e5880f193eed"/>
    <x v="71"/>
    <s v="17:08"/>
    <x v="146"/>
    <s v="expense"/>
    <s v="other_1781955063348_27zj"/>
    <s v="kbank"/>
    <x v="1"/>
    <s v="-"/>
    <m/>
    <s v="import"/>
    <s v=""/>
    <b v="0"/>
    <s v=""/>
  </r>
  <r>
    <s v="39bdbc1a-4883-4196-afe3-cefdde9d65b6"/>
    <x v="72"/>
    <s v="17:07"/>
    <x v="147"/>
    <s v="expense"/>
    <s v="rc_cat_1781955063347_04qb_1781955063350_acgf"/>
    <s v="kbank"/>
    <x v="1"/>
    <s v="-"/>
    <m/>
    <s v="import"/>
    <s v=""/>
    <b v="0"/>
    <s v=""/>
  </r>
  <r>
    <s v="aff65383-ea92-4c67-a8bb-c0db5fbc709d"/>
    <x v="73"/>
    <s v="17:07"/>
    <x v="148"/>
    <s v="expense"/>
    <s v="rc_cat_1781955063347_04qb_1781955063347_wt5p"/>
    <s v="kbank"/>
    <x v="1"/>
    <s v="-"/>
    <m/>
    <s v="import"/>
    <s v=""/>
    <b v="0"/>
    <s v=""/>
  </r>
  <r>
    <s v="19b2c29f-eecd-402e-9e9f-7f9f75d62d5a"/>
    <x v="73"/>
    <s v="17:08"/>
    <x v="99"/>
    <s v="transfer"/>
    <s v="other"/>
    <s v="kbank"/>
    <x v="10"/>
    <s v="-"/>
    <m/>
    <s v="import"/>
    <s v=""/>
    <b v="0"/>
    <s v=""/>
  </r>
  <r>
    <s v="6f9cf0d7-de21-4d94-b098-c350582ecba9"/>
    <x v="74"/>
    <s v="00:00"/>
    <x v="4"/>
    <s v="expense"/>
    <s v="rc_cat_1781955063347_anhy_1781955063350_fcpb"/>
    <s v="kbank"/>
    <x v="1"/>
    <s v="-"/>
    <m/>
    <s v="import"/>
    <s v=""/>
    <b v="0"/>
    <s v=""/>
  </r>
  <r>
    <s v="0875fd6f-92b3-4dd6-b618-2f64615c4821"/>
    <x v="74"/>
    <s v="13:51"/>
    <x v="5"/>
    <s v="transfer"/>
    <s v="other"/>
    <s v="kbank"/>
    <x v="3"/>
    <s v="-"/>
    <m/>
    <s v="import"/>
    <s v=""/>
    <b v="0"/>
    <s v=""/>
  </r>
  <r>
    <s v="15ca7cff-e0ff-48a6-b7d9-888f2c05e8fd"/>
    <x v="75"/>
    <s v="13:53"/>
    <x v="149"/>
    <s v="expense"/>
    <s v="rc_cat_1781955063347_5qjb_1781955063347_tezk"/>
    <s v="rc_acc_1781955063357_rvam"/>
    <x v="1"/>
    <s v="-"/>
    <m/>
    <s v="import"/>
    <s v=""/>
    <b v="0"/>
    <s v=""/>
  </r>
  <r>
    <s v="78209c17-10a7-4fc6-ac6b-fcb6bcb1846f"/>
    <x v="76"/>
    <s v="00:00"/>
    <x v="150"/>
    <s v="expense"/>
    <s v="rc_cat_1781955063347_04qb_1781955063347_lu9b"/>
    <s v="kbank"/>
    <x v="1"/>
    <s v="-"/>
    <m/>
    <s v="import"/>
    <s v=""/>
    <b v="0"/>
    <s v=""/>
  </r>
  <r>
    <s v="3e53b8ed-980b-448d-b330-d725dd875985"/>
    <x v="76"/>
    <s v="00:00"/>
    <x v="141"/>
    <s v="expense"/>
    <s v="rc_cat_1781955063347_04qb_1781955063347_kgnn"/>
    <s v="kbank"/>
    <x v="1"/>
    <s v="-"/>
    <m/>
    <s v="import"/>
    <s v=""/>
    <b v="0"/>
    <s v=""/>
  </r>
  <r>
    <s v="f3cc0892-64cc-4ba2-a352-fe63f2697634"/>
    <x v="76"/>
    <s v="00:00"/>
    <x v="108"/>
    <s v="transfer"/>
    <s v="other"/>
    <s v="kbank"/>
    <x v="8"/>
    <s v="-"/>
    <m/>
    <s v="import"/>
    <s v=""/>
    <b v="0"/>
    <s v=""/>
  </r>
  <r>
    <s v="3a66157f-0e88-4e40-b31d-a4c79e26722c"/>
    <x v="76"/>
    <s v="00:00"/>
    <x v="143"/>
    <s v="expense"/>
    <s v="rc_cat_1781955063347_04qb_1781955063350_acgf"/>
    <s v="kbank"/>
    <x v="1"/>
    <s v="-"/>
    <m/>
    <s v="import"/>
    <s v=""/>
    <b v="0"/>
    <s v=""/>
  </r>
  <r>
    <s v="b12faa69-4190-4d8b-a97f-c6cbf4e08c35"/>
    <x v="76"/>
    <s v="00:00"/>
    <x v="29"/>
    <s v="expense"/>
    <s v="rc_cat_1781955063347_04qb_1781955063360_ocha"/>
    <s v="kbank"/>
    <x v="1"/>
    <s v="-"/>
    <m/>
    <s v="import"/>
    <s v=""/>
    <b v="0"/>
    <s v=""/>
  </r>
  <r>
    <s v="c0aace87-ad08-4764-82d6-8626e1069f6a"/>
    <x v="76"/>
    <s v="00:00"/>
    <x v="31"/>
    <s v="transfer"/>
    <s v="other"/>
    <s v="kbank"/>
    <x v="7"/>
    <s v="-"/>
    <m/>
    <s v="import"/>
    <s v=""/>
    <b v="0"/>
    <s v=""/>
  </r>
  <r>
    <s v="224084ea-c64b-441f-ad3d-0dfb06464666"/>
    <x v="76"/>
    <s v="00:00"/>
    <x v="128"/>
    <s v="expense"/>
    <s v="rc_cat_1781955063347_04qb_1781955063360_g684"/>
    <s v="kbank"/>
    <x v="1"/>
    <s v="-"/>
    <m/>
    <s v="import"/>
    <s v=""/>
    <b v="0"/>
    <s v=""/>
  </r>
  <r>
    <s v="920e11f7-19b5-4f7d-b43d-b1e89b6147bc"/>
    <x v="76"/>
    <s v="00:00"/>
    <x v="109"/>
    <s v="income"/>
    <s v="income_1781955063347_5zxt"/>
    <s v="kbank"/>
    <x v="1"/>
    <s v="-"/>
    <m/>
    <s v="import"/>
    <s v=""/>
    <b v="0"/>
    <s v=""/>
  </r>
  <r>
    <s v="e09719a5-f3d2-4fa8-98a5-d8a9f0de0de8"/>
    <x v="76"/>
    <s v="17:06"/>
    <x v="77"/>
    <s v="expense"/>
    <s v="other_1781955063348_27zj"/>
    <s v="kbank"/>
    <x v="1"/>
    <s v="-"/>
    <m/>
    <s v="import"/>
    <s v=""/>
    <b v="0"/>
    <s v=""/>
  </r>
  <r>
    <s v="a3120228-1981-462c-aeb2-76410c0d44d4"/>
    <x v="77"/>
    <s v="12:20"/>
    <x v="151"/>
    <s v="expense"/>
    <s v="rc_cat_1781955063347_anhy_1781955063348_k5l1"/>
    <s v="kbank"/>
    <x v="1"/>
    <s v="-"/>
    <m/>
    <s v="import"/>
    <s v=""/>
    <b v="0"/>
    <s v=""/>
  </r>
  <r>
    <s v="131cb5eb-b2a0-413a-8264-3094935f7664"/>
    <x v="77"/>
    <s v="12:22"/>
    <x v="152"/>
    <s v="income"/>
    <s v="income_1781955063347_zblt"/>
    <s v="kbank"/>
    <x v="1"/>
    <s v="-"/>
    <m/>
    <s v="import"/>
    <s v=""/>
    <b v="0"/>
    <s v=""/>
  </r>
  <r>
    <s v="84c62caa-0690-4b6e-b386-47bd4dccfbf9"/>
    <x v="77"/>
    <s v="13:05"/>
    <x v="153"/>
    <s v="expense"/>
    <s v="entertain_1781955063349_gok1"/>
    <s v="kbank"/>
    <x v="1"/>
    <s v="เชียงใหม่"/>
    <m/>
    <s v="import"/>
    <s v=""/>
    <b v="0"/>
    <s v=""/>
  </r>
  <r>
    <s v="5cb8e07c-c013-4ba2-ac40-3054ac78eea8"/>
    <x v="77"/>
    <s v="13:06"/>
    <x v="154"/>
    <s v="expense"/>
    <s v="rc_cat_1781955063347_5qjb_1781955063347_tezk"/>
    <s v="kbank"/>
    <x v="1"/>
    <s v="-"/>
    <m/>
    <s v="import"/>
    <s v=""/>
    <b v="0"/>
    <s v=""/>
  </r>
  <r>
    <s v="89425dc5-3d57-4a3f-9b74-6cf85797b149"/>
    <x v="78"/>
    <s v="12:19"/>
    <x v="155"/>
    <s v="expense"/>
    <s v="rc_cat_1781955063347_anhy_1781955063350_fcpb"/>
    <s v="kbank"/>
    <x v="1"/>
    <s v="-"/>
    <m/>
    <s v="import"/>
    <s v=""/>
    <b v="0"/>
    <s v=""/>
  </r>
  <r>
    <s v="38ad215f-6d9d-46bf-b653-34795ab9551c"/>
    <x v="79"/>
    <s v="12:15"/>
    <x v="156"/>
    <s v="expense"/>
    <s v="rc_cat_1781955063347_04qb_1781955063347_wt5p"/>
    <s v="kbank"/>
    <x v="1"/>
    <s v="-"/>
    <m/>
    <s v="import"/>
    <s v=""/>
    <b v="0"/>
    <s v=""/>
  </r>
  <r>
    <s v="26f079de-9432-4089-98c4-4ac85781e74c"/>
    <x v="79"/>
    <s v="12:16"/>
    <x v="5"/>
    <s v="transfer"/>
    <s v="other"/>
    <s v="kbank"/>
    <x v="3"/>
    <s v="-"/>
    <m/>
    <s v="import"/>
    <s v=""/>
    <b v="0"/>
    <s v=""/>
  </r>
  <r>
    <s v="5d1bdf02-d38d-4b60-b47e-7888c7e28fe0"/>
    <x v="80"/>
    <s v="12:15"/>
    <x v="157"/>
    <s v="expense"/>
    <s v="rc_cat_1781955063347_anhy_1781955063348_k5l1"/>
    <s v="kbank"/>
    <x v="1"/>
    <s v="-"/>
    <m/>
    <s v="import"/>
    <s v=""/>
    <b v="0"/>
    <s v=""/>
  </r>
  <r>
    <s v="b4827b8e-9697-48b7-91e4-698b2fc7225e"/>
    <x v="81"/>
    <s v="12:14"/>
    <x v="158"/>
    <s v="expense"/>
    <s v="entertain_1781955063348_32wr"/>
    <s v="kbank"/>
    <x v="1"/>
    <s v="-"/>
    <m/>
    <s v="import"/>
    <s v=""/>
    <b v="0"/>
    <s v=""/>
  </r>
  <r>
    <s v="1c315547-2d8d-41d7-8a44-fb9a1c8719c1"/>
    <x v="82"/>
    <s v="12:14"/>
    <x v="159"/>
    <s v="expense"/>
    <s v="entertain_1781955063359_cf7f"/>
    <s v="kbank"/>
    <x v="1"/>
    <s v="-"/>
    <m/>
    <s v="import"/>
    <s v=""/>
    <b v="0"/>
    <s v=""/>
  </r>
  <r>
    <s v="1695765e-522b-4fb0-b30d-be2205c4266c"/>
    <x v="83"/>
    <s v="00:00"/>
    <x v="4"/>
    <s v="expense"/>
    <s v="rc_cat_1781955063347_anhy_1781955063350_fcpb"/>
    <s v="kbank"/>
    <x v="1"/>
    <s v="-"/>
    <m/>
    <s v="import"/>
    <s v=""/>
    <b v="0"/>
    <s v=""/>
  </r>
  <r>
    <s v="81af73b9-cd17-4f91-ac68-876a25a0ade0"/>
    <x v="83"/>
    <s v="10:47"/>
    <x v="160"/>
    <s v="transfer"/>
    <s v="other"/>
    <s v="kbank"/>
    <x v="2"/>
    <s v="สมุดหงฝากแลก"/>
    <m/>
    <s v="import"/>
    <s v=""/>
    <b v="0"/>
    <s v=""/>
  </r>
  <r>
    <s v="85f25ac2-8cb8-4d7a-b40d-23e2bf0f64aa"/>
    <x v="83"/>
    <s v="12:20"/>
    <x v="161"/>
    <s v="expense"/>
    <s v="rc_cat_1781955063347_5qjb_1781955063347_tezk"/>
    <s v="kbank"/>
    <x v="1"/>
    <s v="-"/>
    <m/>
    <s v="import"/>
    <s v=""/>
    <b v="0"/>
    <s v=""/>
  </r>
  <r>
    <s v="25df11d1-bb6e-4b76-afb4-4ca141ccc8cf"/>
    <x v="84"/>
    <s v="10:46"/>
    <x v="42"/>
    <s v="expense"/>
    <s v="rc_cat_1781955063347_anhy_1781955063347_qnaz"/>
    <s v="kbank"/>
    <x v="1"/>
    <s v="-"/>
    <m/>
    <s v="import"/>
    <s v=""/>
    <b v="0"/>
    <s v=""/>
  </r>
  <r>
    <s v="dae45749-f66e-4123-831f-b97d21303d47"/>
    <x v="85"/>
    <s v="12:28"/>
    <x v="162"/>
    <s v="expense"/>
    <s v="rc_cat_1781955063347_5qjb_1781955063347_tezk"/>
    <s v="rc_acc_1781955063357_rvam"/>
    <x v="1"/>
    <s v="-"/>
    <m/>
    <s v="import"/>
    <s v=""/>
    <b v="0"/>
    <s v=""/>
  </r>
  <r>
    <s v="5b428d03-127d-4ef1-8af3-2ecabbe90bad"/>
    <x v="86"/>
    <s v="00:00"/>
    <x v="163"/>
    <s v="expense"/>
    <s v="rc_cat_1781955063347_04qb_1781955063347_kgnn"/>
    <s v="kbank"/>
    <x v="1"/>
    <s v="-"/>
    <m/>
    <s v="import"/>
    <s v=""/>
    <b v="0"/>
    <s v=""/>
  </r>
  <r>
    <s v="cef42bff-d68a-40c4-bd34-4b83a91d0f1a"/>
    <x v="86"/>
    <s v="00:00"/>
    <x v="143"/>
    <s v="expense"/>
    <s v="rc_cat_1781955063347_04qb_1781955063350_acgf"/>
    <s v="kbank"/>
    <x v="1"/>
    <s v="-"/>
    <m/>
    <s v="import"/>
    <s v=""/>
    <b v="0"/>
    <s v=""/>
  </r>
  <r>
    <s v="a2ee70c7-3e7d-4524-9f8b-ee27ff526927"/>
    <x v="86"/>
    <s v="00:00"/>
    <x v="108"/>
    <s v="transfer"/>
    <s v="other"/>
    <s v="kbank"/>
    <x v="8"/>
    <s v="-"/>
    <m/>
    <s v="import"/>
    <s v=""/>
    <b v="0"/>
    <s v=""/>
  </r>
  <r>
    <s v="b4cd7df7-0dbb-4812-8b49-e70153574a9c"/>
    <x v="86"/>
    <s v="00:00"/>
    <x v="164"/>
    <s v="expense"/>
    <s v="rc_cat_1781955063347_04qb_1781955063347_lu9b"/>
    <s v="kbank"/>
    <x v="1"/>
    <s v="-"/>
    <m/>
    <s v="import"/>
    <s v=""/>
    <b v="0"/>
    <s v=""/>
  </r>
  <r>
    <s v="615efec5-66a1-4022-9de8-02a53396b603"/>
    <x v="86"/>
    <s v="00:00"/>
    <x v="31"/>
    <s v="transfer"/>
    <s v="other"/>
    <s v="kbank"/>
    <x v="7"/>
    <s v="-"/>
    <m/>
    <s v="import"/>
    <s v=""/>
    <b v="0"/>
    <s v=""/>
  </r>
  <r>
    <s v="ef539ce6-ac97-4491-bd7c-ab4f8bcabb36"/>
    <x v="86"/>
    <s v="00:00"/>
    <x v="128"/>
    <s v="expense"/>
    <s v="rc_cat_1781955063347_04qb_1781955063360_g684"/>
    <s v="kbank"/>
    <x v="1"/>
    <s v="-"/>
    <m/>
    <s v="import"/>
    <s v=""/>
    <b v="0"/>
    <s v=""/>
  </r>
  <r>
    <s v="9a8eb216-07c2-4621-bb18-f69fac7cd3f5"/>
    <x v="86"/>
    <s v="00:00"/>
    <x v="129"/>
    <s v="expense"/>
    <s v="rc_cat_1781955063347_04qb_1781955063360_ocha"/>
    <s v="kbank"/>
    <x v="1"/>
    <s v="-"/>
    <m/>
    <s v="import"/>
    <s v=""/>
    <b v="0"/>
    <s v=""/>
  </r>
  <r>
    <s v="b0732c36-0334-4638-b4f4-919a1af9c75a"/>
    <x v="86"/>
    <s v="00:00"/>
    <x v="109"/>
    <s v="income"/>
    <s v="income_1781955063347_5zxt"/>
    <s v="kbank"/>
    <x v="1"/>
    <s v="-"/>
    <m/>
    <s v="import"/>
    <s v=""/>
    <b v="0"/>
    <s v=""/>
  </r>
  <r>
    <s v="8e9d43ed-ec0c-4330-a3e1-3b86ba8d9337"/>
    <x v="87"/>
    <s v="10:29"/>
    <x v="138"/>
    <s v="income"/>
    <s v="income_1781955063351_3ab8"/>
    <s v="kbank"/>
    <x v="1"/>
    <s v="-"/>
    <m/>
    <s v="import"/>
    <s v=""/>
    <b v="0"/>
    <s v=""/>
  </r>
  <r>
    <s v="fc802a92-113d-4cb6-9095-5aee77ee3b2f"/>
    <x v="88"/>
    <s v="00:00"/>
    <x v="4"/>
    <s v="expense"/>
    <s v="rc_cat_1781955063347_anhy_1781955063350_fcpb"/>
    <s v="kbank"/>
    <x v="1"/>
    <s v="-"/>
    <m/>
    <s v="import"/>
    <s v=""/>
    <b v="0"/>
    <s v=""/>
  </r>
  <r>
    <s v="2aa237f5-0666-4ee4-bad2-2a4279049340"/>
    <x v="88"/>
    <s v="19:18"/>
    <x v="165"/>
    <s v="expense"/>
    <s v="rc_cat_1781955063347_5qjb_1781955063347_tezk"/>
    <s v="kbank"/>
    <x v="1"/>
    <s v="-"/>
    <m/>
    <s v="import"/>
    <s v=""/>
    <b v="0"/>
    <s v=""/>
  </r>
  <r>
    <s v="6f76b709-3fb0-4b42-af53-49cd0739048c"/>
    <x v="88"/>
    <s v="19:31"/>
    <x v="166"/>
    <s v="transfer"/>
    <s v="other"/>
    <s v="advance"/>
    <x v="4"/>
    <s v="-"/>
    <m/>
    <s v="import"/>
    <s v=""/>
    <b v="0"/>
    <s v=""/>
  </r>
  <r>
    <s v="51f5a6c6-f12a-4764-9f02-e1fbf14db5d7"/>
    <x v="89"/>
    <s v="19:17"/>
    <x v="167"/>
    <s v="expense"/>
    <s v="rc_cat_1781955063347_04qb_1781955063347_wt5p"/>
    <s v="kbank"/>
    <x v="1"/>
    <s v="-"/>
    <m/>
    <s v="import"/>
    <s v=""/>
    <b v="0"/>
    <s v=""/>
  </r>
  <r>
    <s v="942b35f5-b3dc-4c17-b6c2-3e0d02c57b2c"/>
    <x v="90"/>
    <s v="19:15"/>
    <x v="99"/>
    <s v="transfer"/>
    <s v="other"/>
    <s v="kbank"/>
    <x v="10"/>
    <s v="-"/>
    <m/>
    <s v="import"/>
    <s v=""/>
    <b v="0"/>
    <s v=""/>
  </r>
  <r>
    <s v="a7d667fc-b675-4ebd-a89d-a8d88f34201b"/>
    <x v="90"/>
    <s v="19:16"/>
    <x v="168"/>
    <s v="expense"/>
    <s v="rc_cat_1781955063347_anhy_1781955063348_k5l1"/>
    <s v="kbank"/>
    <x v="1"/>
    <s v="เลี้ยงเชน"/>
    <m/>
    <s v="import"/>
    <s v=""/>
    <b v="0"/>
    <s v=""/>
  </r>
  <r>
    <s v="d9b3d12d-0e69-4192-aee0-cac743644eaa"/>
    <x v="90"/>
    <s v="19:17"/>
    <x v="169"/>
    <s v="expense"/>
    <s v="entertain_1781955063348_32wr"/>
    <s v="kbank"/>
    <x v="1"/>
    <s v="-"/>
    <m/>
    <s v="import"/>
    <s v=""/>
    <b v="0"/>
    <s v=""/>
  </r>
  <r>
    <s v="f2ee7794-c5dc-4554-a2a3-c97d8269dc0b"/>
    <x v="91"/>
    <s v="19:15"/>
    <x v="8"/>
    <s v="transfer"/>
    <s v="other"/>
    <s v="kbank"/>
    <x v="3"/>
    <s v="-"/>
    <m/>
    <s v="import"/>
    <s v=""/>
    <b v="0"/>
    <s v=""/>
  </r>
  <r>
    <s v="5841c408-f30b-489a-887c-04b2f03dd2b3"/>
    <x v="92"/>
    <s v="19:14"/>
    <x v="170"/>
    <s v="expense"/>
    <s v="other_1781955063348_27zj"/>
    <s v="kbank"/>
    <x v="1"/>
    <s v="-"/>
    <m/>
    <s v="import"/>
    <s v=""/>
    <b v="0"/>
    <s v=""/>
  </r>
  <r>
    <s v="7bc99059-31c1-4f43-a3e9-91178af9957a"/>
    <x v="92"/>
    <s v="19:14"/>
    <x v="10"/>
    <s v="expense"/>
    <s v="rc_cat_1781955063347_5qjb_1781955063347_tezk"/>
    <s v="kbank"/>
    <x v="1"/>
    <s v="-"/>
    <m/>
    <s v="import"/>
    <s v=""/>
    <b v="0"/>
    <s v=""/>
  </r>
  <r>
    <s v="3431aba6-5287-4c10-b78f-528ea58390f4"/>
    <x v="93"/>
    <s v="19:13"/>
    <x v="166"/>
    <s v="transfer"/>
    <s v="other"/>
    <s v="kbank"/>
    <x v="2"/>
    <s v="kbank shopee"/>
    <m/>
    <s v="import"/>
    <s v=""/>
    <b v="0"/>
    <s v=""/>
  </r>
  <r>
    <s v="849e4e02-52fe-43c1-892f-af7eaf556c9d"/>
    <x v="94"/>
    <s v="12:24"/>
    <x v="8"/>
    <s v="expense"/>
    <s v="rc_cat_1781955063347_anhy_1781955063347_qnaz"/>
    <s v="rc_acc_1781955063347_uxz4"/>
    <x v="1"/>
    <s v="-"/>
    <m/>
    <s v="import"/>
    <s v=""/>
    <b v="0"/>
    <s v=""/>
  </r>
  <r>
    <s v="15f26d4d-c60d-4c01-b742-f2e9dfb7e322"/>
    <x v="94"/>
    <s v="12:27"/>
    <x v="171"/>
    <s v="expense"/>
    <s v="rc_cat_1781955063347_5qjb_1781955063347_tezk"/>
    <s v="rc_acc_1781955063357_rvam"/>
    <x v="1"/>
    <s v="-"/>
    <m/>
    <s v="import"/>
    <s v=""/>
    <b v="0"/>
    <s v=""/>
  </r>
  <r>
    <s v="d0bbf936-162f-47de-b406-93419b042e71"/>
    <x v="94"/>
    <s v="19:12"/>
    <x v="8"/>
    <s v="transfer"/>
    <s v="other"/>
    <s v="kbank"/>
    <x v="5"/>
    <s v="-"/>
    <m/>
    <s v="import"/>
    <s v=""/>
    <b v="0"/>
    <s v=""/>
  </r>
  <r>
    <s v="0f883b2c-2c14-45dc-8ee7-5bc92d705686"/>
    <x v="95"/>
    <s v="19:11"/>
    <x v="172"/>
    <s v="expense"/>
    <s v="rc_cat_1781955063347_anhy_1781955063348_k5l1"/>
    <s v="kbank"/>
    <x v="1"/>
    <s v="เลี้ยงสำนัก"/>
    <m/>
    <s v="import"/>
    <s v=""/>
    <b v="0"/>
    <s v=""/>
  </r>
  <r>
    <s v="e8284a39-d8b9-4374-a86e-40920e671497"/>
    <x v="96"/>
    <s v="19:22"/>
    <x v="87"/>
    <s v="expense"/>
    <s v="rc_cat_1781955063347_5qjb_1781955063347_tezk"/>
    <s v="kbank"/>
    <x v="1"/>
    <s v="-"/>
    <m/>
    <s v="import"/>
    <s v=""/>
    <b v="0"/>
    <s v=""/>
  </r>
  <r>
    <s v="d45f8cd3-033f-40f6-b010-034670206919"/>
    <x v="97"/>
    <s v="00:00"/>
    <x v="143"/>
    <s v="expense"/>
    <s v="rc_cat_1781955063347_04qb_1781955063350_acgf"/>
    <s v="kbank"/>
    <x v="1"/>
    <s v="-"/>
    <m/>
    <s v="import"/>
    <s v=""/>
    <b v="0"/>
    <s v=""/>
  </r>
  <r>
    <s v="c6b7b8bd-9bb0-41a1-bf9a-f18b8e7a64dd"/>
    <x v="97"/>
    <s v="00:00"/>
    <x v="144"/>
    <s v="transfer"/>
    <s v="other"/>
    <s v="kbank"/>
    <x v="8"/>
    <s v="-"/>
    <m/>
    <s v="import"/>
    <s v=""/>
    <b v="0"/>
    <s v=""/>
  </r>
  <r>
    <s v="f5c43a69-258e-41b3-af88-8d4dd75744e7"/>
    <x v="97"/>
    <s v="00:00"/>
    <x v="173"/>
    <s v="expense"/>
    <s v="rc_cat_1781955063347_04qb_1781955063347_kgnn"/>
    <s v="kbank"/>
    <x v="1"/>
    <s v="-"/>
    <m/>
    <s v="import"/>
    <s v=""/>
    <b v="0"/>
    <s v=""/>
  </r>
  <r>
    <s v="c1554ede-3e7f-4bbd-b7ce-ec8680d01587"/>
    <x v="97"/>
    <s v="00:00"/>
    <x v="174"/>
    <s v="expense"/>
    <s v="rc_cat_1781955063347_04qb_1781955063347_lu9b"/>
    <s v="kbank"/>
    <x v="1"/>
    <s v="-"/>
    <m/>
    <s v="import"/>
    <s v=""/>
    <b v="0"/>
    <s v=""/>
  </r>
  <r>
    <s v="4c5cde8b-3830-455d-935c-3cba3375adea"/>
    <x v="97"/>
    <s v="00:00"/>
    <x v="31"/>
    <s v="transfer"/>
    <s v="other"/>
    <s v="kbank"/>
    <x v="7"/>
    <s v="-"/>
    <m/>
    <s v="import"/>
    <s v=""/>
    <b v="0"/>
    <s v=""/>
  </r>
  <r>
    <s v="3f8db9ae-a363-4231-b6b8-9e0cc8d93dd8"/>
    <x v="97"/>
    <s v="00:00"/>
    <x v="128"/>
    <s v="expense"/>
    <s v="rc_cat_1781955063347_04qb_1781955063360_g684"/>
    <s v="kbank"/>
    <x v="1"/>
    <s v="-"/>
    <m/>
    <s v="import"/>
    <s v=""/>
    <b v="0"/>
    <s v=""/>
  </r>
  <r>
    <s v="a6976a05-2637-4b06-911a-6737794f7ab3"/>
    <x v="97"/>
    <s v="00:00"/>
    <x v="129"/>
    <s v="expense"/>
    <s v="rc_cat_1781955063347_04qb_1781955063360_ocha"/>
    <s v="kbank"/>
    <x v="1"/>
    <s v="-"/>
    <m/>
    <s v="import"/>
    <s v=""/>
    <b v="0"/>
    <s v=""/>
  </r>
  <r>
    <s v="8e8a1395-4819-466b-9752-fc9d20a60dbf"/>
    <x v="97"/>
    <s v="00:00"/>
    <x v="109"/>
    <s v="income"/>
    <s v="income_1781955063347_5zxt"/>
    <s v="kbank"/>
    <x v="1"/>
    <s v="-"/>
    <m/>
    <s v="import"/>
    <s v=""/>
    <b v="0"/>
    <s v=""/>
  </r>
  <r>
    <s v="15adea08-421e-457d-a7eb-be6f25510045"/>
    <x v="97"/>
    <s v="19:07"/>
    <x v="175"/>
    <s v="expense"/>
    <s v="other_1781955063348_27zj"/>
    <s v="kbank"/>
    <x v="1"/>
    <s v="-"/>
    <m/>
    <s v="import"/>
    <s v=""/>
    <b v="0"/>
    <s v=""/>
  </r>
  <r>
    <s v="c681822a-d5ab-41da-96c3-8cb9d2aff3f8"/>
    <x v="98"/>
    <s v="10:20"/>
    <x v="176"/>
    <s v="expense"/>
    <s v="rc_cat_1781955063347_5qjb_1781955063347_tezk"/>
    <s v="kbank"/>
    <x v="1"/>
    <s v="-"/>
    <m/>
    <s v="import"/>
    <s v=""/>
    <b v="0"/>
    <s v=""/>
  </r>
  <r>
    <s v="16e13041-b9a9-428c-b8f0-b65e21876aed"/>
    <x v="98"/>
    <s v="10:23"/>
    <x v="177"/>
    <s v="transfer"/>
    <s v="other"/>
    <s v="kbank"/>
    <x v="2"/>
    <s v="-"/>
    <m/>
    <s v="import"/>
    <s v=""/>
    <b v="0"/>
    <s v=""/>
  </r>
  <r>
    <s v="c7b714fc-46ba-42d4-b75b-e6d723e87aec"/>
    <x v="98"/>
    <s v="11:18"/>
    <x v="178"/>
    <s v="expense"/>
    <s v="rc_cat_1781955063347_5qjb_1781955063347_tezk"/>
    <s v="kbank"/>
    <x v="1"/>
    <s v="เค้ก จจ"/>
    <m/>
    <s v="import"/>
    <s v=""/>
    <b v="0"/>
    <s v=""/>
  </r>
  <r>
    <s v="6d2b06eb-ba6f-4caf-ae5a-3d29ebd29969"/>
    <x v="98"/>
    <s v="11:21"/>
    <x v="179"/>
    <s v="transfer"/>
    <s v="other"/>
    <s v="advance"/>
    <x v="4"/>
    <s v="-"/>
    <m/>
    <s v="import"/>
    <s v=""/>
    <b v="0"/>
    <s v=""/>
  </r>
  <r>
    <s v="59993fad-dc75-4d32-8fdf-649ef74cd0d3"/>
    <x v="98"/>
    <s v="19:03"/>
    <x v="180"/>
    <s v="transfer"/>
    <s v="other"/>
    <s v="kbank"/>
    <x v="2"/>
    <s v="บัตร uob"/>
    <m/>
    <s v="import"/>
    <s v=""/>
    <b v="0"/>
    <s v=""/>
  </r>
  <r>
    <s v="7f719e4c-ce10-47a4-876d-ceb1e5d1f79f"/>
    <x v="98"/>
    <s v="19:04"/>
    <x v="181"/>
    <s v="transfer"/>
    <s v="other"/>
    <s v="kbank"/>
    <x v="2"/>
    <s v="ข้าวต้มเพ่งเพง"/>
    <m/>
    <s v="import"/>
    <s v=""/>
    <b v="0"/>
    <s v=""/>
  </r>
  <r>
    <s v="0b76f45a-bcdf-4e1a-add8-7721e0073348"/>
    <x v="99"/>
    <s v="11:17"/>
    <x v="182"/>
    <s v="income"/>
    <s v="income_1781955063347_zblt"/>
    <s v="kbank"/>
    <x v="1"/>
    <s v="-"/>
    <m/>
    <s v="import"/>
    <s v=""/>
    <b v="0"/>
    <s v=""/>
  </r>
  <r>
    <s v="798b7ce1-5e8f-445a-9ca5-dd01ace649c8"/>
    <x v="99"/>
    <s v="11:18"/>
    <x v="183"/>
    <s v="expense"/>
    <s v="rc_cat_1781955063347_5qjb_1781955063347_tezk"/>
    <s v="kbank"/>
    <x v="1"/>
    <s v="เลี้ยงเจ้"/>
    <m/>
    <s v="import"/>
    <s v=""/>
    <b v="0"/>
    <s v=""/>
  </r>
  <r>
    <s v="47e12c1e-18ce-40f4-aefd-4b8017b5268e"/>
    <x v="100"/>
    <s v="11:17"/>
    <x v="19"/>
    <s v="transfer"/>
    <s v="other"/>
    <s v="kbank"/>
    <x v="13"/>
    <s v="-"/>
    <m/>
    <s v="import"/>
    <s v=""/>
    <b v="0"/>
    <s v=""/>
  </r>
  <r>
    <s v="53f36baf-f1b2-4efc-83df-877c1aa06e3b"/>
    <x v="101"/>
    <s v="11:16"/>
    <x v="184"/>
    <s v="expense"/>
    <s v="rc_cat_1781955063347_5qjb_1781955063347_tezk"/>
    <s v="kbank"/>
    <x v="1"/>
    <s v="เลี้ยงปาล์ม"/>
    <m/>
    <s v="import"/>
    <s v=""/>
    <b v="0"/>
    <s v=""/>
  </r>
  <r>
    <s v="5c06795f-b7e7-4de4-8999-d150ce8e12c9"/>
    <x v="101"/>
    <s v="11:17"/>
    <x v="185"/>
    <s v="expense"/>
    <s v="rc_cat_1781955063347_5qjb_1781955063347_tezk"/>
    <s v="kbank"/>
    <x v="1"/>
    <s v="-"/>
    <m/>
    <s v="import"/>
    <s v=""/>
    <b v="0"/>
    <s v=""/>
  </r>
  <r>
    <s v="b28a9a2a-0935-4402-86e5-ae369a3f8de3"/>
    <x v="102"/>
    <s v="11:21"/>
    <x v="186"/>
    <s v="expense"/>
    <s v="rc_cat_1781955063347_s4sz_1781955063347_deos"/>
    <s v="kbank"/>
    <x v="1"/>
    <s v="-"/>
    <m/>
    <s v="import"/>
    <s v=""/>
    <b v="0"/>
    <s v=""/>
  </r>
  <r>
    <s v="7f057e6c-9ac4-49ea-9cbb-74cb344d18ce"/>
    <x v="103"/>
    <s v="10:20"/>
    <x v="187"/>
    <s v="income"/>
    <s v="income_1781955063351_3ab8"/>
    <s v="kbank"/>
    <x v="1"/>
    <s v="-"/>
    <m/>
    <s v="import"/>
    <s v=""/>
    <b v="0"/>
    <s v=""/>
  </r>
  <r>
    <s v="161e374c-dc59-43f9-962d-c36544563351"/>
    <x v="104"/>
    <s v="10:25"/>
    <x v="179"/>
    <s v="transfer"/>
    <s v="other"/>
    <s v="kbank"/>
    <x v="2"/>
    <s v="-"/>
    <m/>
    <s v="import"/>
    <s v=""/>
    <b v="0"/>
    <s v=""/>
  </r>
  <r>
    <s v="20aa3ba7-a35e-482d-88fc-d83435200354"/>
    <x v="105"/>
    <s v="10:20"/>
    <x v="42"/>
    <s v="expense"/>
    <s v="rc_cat_1781955063347_anhy_1781955063347_qnaz"/>
    <s v="kbank"/>
    <x v="1"/>
    <s v="-"/>
    <m/>
    <s v="import"/>
    <s v=""/>
    <b v="0"/>
    <s v=""/>
  </r>
  <r>
    <s v="e4404fa1-3f0c-4228-a3a7-6f1024109db4"/>
    <x v="106"/>
    <s v="12:26"/>
    <x v="188"/>
    <s v="expense"/>
    <s v="rc_cat_1781955063347_04qb_1781955063347_wt5p"/>
    <s v="kbank"/>
    <x v="1"/>
    <s v="-"/>
    <m/>
    <s v="import"/>
    <s v=""/>
    <b v="0"/>
    <s v=""/>
  </r>
  <r>
    <s v="caeb1b11-8a0b-4d1b-b832-6be9accef08b"/>
    <x v="107"/>
    <s v="00:00"/>
    <x v="4"/>
    <s v="expense"/>
    <s v="rc_cat_1781955063347_anhy_1781955063350_fcpb"/>
    <s v="kbank"/>
    <x v="1"/>
    <s v="-"/>
    <m/>
    <s v="import"/>
    <s v=""/>
    <b v="0"/>
    <s v=""/>
  </r>
  <r>
    <s v="ec791584-bf3b-4a42-8b65-aa4ed66f6e44"/>
    <x v="107"/>
    <s v="12:26"/>
    <x v="189"/>
    <s v="expense"/>
    <s v="other_1781955063348_27zj"/>
    <s v="kbank"/>
    <x v="1"/>
    <s v="เลี้ยงชา"/>
    <m/>
    <s v="import"/>
    <s v=""/>
    <b v="0"/>
    <s v=""/>
  </r>
  <r>
    <s v="08930f20-cd01-4759-b5d2-62766fcd5f9b"/>
    <x v="108"/>
    <s v="12:27"/>
    <x v="138"/>
    <s v="expense"/>
    <s v="rc_cat_1781955063347_5qjb_1781955063347_tezk"/>
    <s v="kbank"/>
    <x v="1"/>
    <s v="-"/>
    <m/>
    <s v="import"/>
    <s v=""/>
    <b v="0"/>
    <s v=""/>
  </r>
  <r>
    <s v="630e077a-d2dd-42bb-aa8e-146f2a38e395"/>
    <x v="109"/>
    <s v="12:28"/>
    <x v="190"/>
    <s v="expense"/>
    <s v="rc_cat_1781955063347_5qjb_1781955063347_tezk"/>
    <s v="kbank"/>
    <x v="1"/>
    <s v="-"/>
    <m/>
    <s v="import"/>
    <s v=""/>
    <b v="0"/>
    <s v=""/>
  </r>
  <r>
    <s v="90a72bb0-5f36-487a-b036-e242581dee9f"/>
    <x v="110"/>
    <s v="20:20"/>
    <x v="191"/>
    <s v="expense"/>
    <s v="entertain_1781955063352_1jgx"/>
    <s v="kbank"/>
    <x v="1"/>
    <s v="-"/>
    <m/>
    <s v="import"/>
    <s v=""/>
    <b v="0"/>
    <s v=""/>
  </r>
  <r>
    <s v="9d61e519-e23c-48ab-86ab-fcf35d43786e"/>
    <x v="110"/>
    <s v="20:20"/>
    <x v="192"/>
    <s v="expense"/>
    <s v="rc_cat_1781955063347_s4sz_1781955063347_deos"/>
    <s v="kbank"/>
    <x v="1"/>
    <s v="-"/>
    <m/>
    <s v="import"/>
    <s v=""/>
    <b v="0"/>
    <s v=""/>
  </r>
  <r>
    <s v="932e9541-00bd-407f-b790-08d1d93e256a"/>
    <x v="110"/>
    <s v="20:21"/>
    <x v="193"/>
    <s v="expense"/>
    <s v="rc_cat_1781955063347_5qjb_1781955063347_tezk"/>
    <s v="kbank"/>
    <x v="1"/>
    <s v="-"/>
    <m/>
    <s v="import"/>
    <s v=""/>
    <b v="0"/>
    <s v=""/>
  </r>
  <r>
    <s v="9bdc799b-81ef-419c-bfe1-a57faf40188c"/>
    <x v="110"/>
    <s v="20:22"/>
    <x v="194"/>
    <s v="transfer"/>
    <s v="other"/>
    <s v="kbank"/>
    <x v="14"/>
    <s v="-"/>
    <m/>
    <s v="import"/>
    <s v=""/>
    <b v="0"/>
    <s v=""/>
  </r>
  <r>
    <s v="021d3969-b849-407f-97f3-e697347e080d"/>
    <x v="110"/>
    <s v="20:22"/>
    <x v="195"/>
    <s v="expense"/>
    <s v="other_1781955063347_5s7r"/>
    <s v="rc_acc_1781955063347_hv85"/>
    <x v="1"/>
    <s v="Difference"/>
    <m/>
    <s v="import"/>
    <s v=""/>
    <b v="0"/>
    <s v=""/>
  </r>
  <r>
    <s v="c24f65d7-9e60-4312-ba46-04631a30f34d"/>
    <x v="110"/>
    <s v="20:25"/>
    <x v="196"/>
    <s v="expense"/>
    <s v="other_1781955063347_5s7r"/>
    <s v="rc_acc_1781955063348_w3gp"/>
    <x v="1"/>
    <s v="Difference"/>
    <m/>
    <s v="import"/>
    <s v=""/>
    <b v="0"/>
    <s v=""/>
  </r>
  <r>
    <s v="aedcf558-7eed-4986-a6aa-50933b352b88"/>
    <x v="111"/>
    <s v="00:00"/>
    <x v="197"/>
    <s v="expense"/>
    <s v="rc_cat_1781955063347_04qb_1781955063347_lu9b"/>
    <s v="kbank"/>
    <x v="1"/>
    <s v="-"/>
    <m/>
    <s v="import"/>
    <s v=""/>
    <b v="0"/>
    <s v=""/>
  </r>
  <r>
    <s v="2dfe32fe-6072-4f29-8ccf-2e7a785dfa5a"/>
    <x v="111"/>
    <s v="00:00"/>
    <x v="108"/>
    <s v="transfer"/>
    <s v="other"/>
    <s v="kbank"/>
    <x v="8"/>
    <s v="-"/>
    <m/>
    <s v="import"/>
    <s v=""/>
    <b v="0"/>
    <s v=""/>
  </r>
  <r>
    <s v="a38ce2bb-b8e1-4659-89e2-0a5547b3db1d"/>
    <x v="111"/>
    <s v="00:00"/>
    <x v="143"/>
    <s v="expense"/>
    <s v="rc_cat_1781955063347_04qb_1781955063350_acgf"/>
    <s v="kbank"/>
    <x v="1"/>
    <s v="-"/>
    <m/>
    <s v="import"/>
    <s v=""/>
    <b v="0"/>
    <s v=""/>
  </r>
  <r>
    <s v="db03aa6f-a984-4cde-b792-9e50545058ca"/>
    <x v="111"/>
    <s v="00:00"/>
    <x v="198"/>
    <s v="expense"/>
    <s v="rc_cat_1781955063347_04qb_1781955063347_kgnn"/>
    <s v="kbank"/>
    <x v="1"/>
    <s v="-"/>
    <m/>
    <s v="import"/>
    <s v=""/>
    <b v="0"/>
    <s v=""/>
  </r>
  <r>
    <s v="ea22a9ed-d209-484f-84a0-3d5fabbd8786"/>
    <x v="111"/>
    <s v="00:00"/>
    <x v="31"/>
    <s v="transfer"/>
    <s v="other"/>
    <s v="kbank"/>
    <x v="7"/>
    <s v="-"/>
    <m/>
    <s v="import"/>
    <s v=""/>
    <b v="0"/>
    <s v=""/>
  </r>
  <r>
    <s v="5c54e58c-b32c-4947-b40f-3f4a0a7764a2"/>
    <x v="111"/>
    <s v="00:00"/>
    <x v="128"/>
    <s v="expense"/>
    <s v="rc_cat_1781955063347_04qb_1781955063360_g684"/>
    <s v="kbank"/>
    <x v="1"/>
    <s v="-"/>
    <m/>
    <s v="import"/>
    <s v=""/>
    <b v="0"/>
    <s v=""/>
  </r>
  <r>
    <s v="1b04cd3d-f262-4b98-b9aa-6dce418307d8"/>
    <x v="111"/>
    <s v="00:00"/>
    <x v="129"/>
    <s v="expense"/>
    <s v="rc_cat_1781955063347_04qb_1781955063360_ocha"/>
    <s v="kbank"/>
    <x v="1"/>
    <s v="-"/>
    <m/>
    <s v="import"/>
    <s v=""/>
    <b v="0"/>
    <s v=""/>
  </r>
  <r>
    <s v="dc94dfc7-022c-4f18-b706-d32029acac60"/>
    <x v="111"/>
    <s v="00:00"/>
    <x v="109"/>
    <s v="income"/>
    <s v="income_1781955063347_5zxt"/>
    <s v="kbank"/>
    <x v="1"/>
    <s v="-"/>
    <m/>
    <s v="import"/>
    <s v=""/>
    <b v="0"/>
    <s v=""/>
  </r>
  <r>
    <s v="f651b07b-332c-4175-8bee-fec2d6deb79c"/>
    <x v="111"/>
    <s v="10:16"/>
    <x v="199"/>
    <s v="expense"/>
    <s v="rc_cat_1781955063347_5qjb_1781955063347_tezk"/>
    <s v="kbank"/>
    <x v="1"/>
    <s v="-"/>
    <m/>
    <s v="import"/>
    <s v=""/>
    <b v="0"/>
    <s v=""/>
  </r>
  <r>
    <s v="16768bf1-14df-49ba-b0a2-7c0954dfdc88"/>
    <x v="112"/>
    <s v="16:24"/>
    <x v="200"/>
    <s v="expense"/>
    <s v="rc_cat_1781955063347_5qjb_1781955063347_tezk"/>
    <s v="kbank"/>
    <x v="1"/>
    <s v="-"/>
    <m/>
    <s v="import"/>
    <s v=""/>
    <b v="0"/>
    <s v=""/>
  </r>
  <r>
    <s v="e4b14a02-fc16-42ba-bd55-f3dc8e6d1f0c"/>
    <x v="112"/>
    <s v="16:28"/>
    <x v="201"/>
    <s v="income"/>
    <s v="other_1781955063347_5s7r"/>
    <s v="rc_acc_1781955063348_no9r"/>
    <x v="1"/>
    <s v="Difference"/>
    <m/>
    <s v="import"/>
    <s v=""/>
    <b v="0"/>
    <s v=""/>
  </r>
  <r>
    <s v="16f1ea76-992d-4c03-8f32-e3953de92ac6"/>
    <x v="112"/>
    <s v="16:29"/>
    <x v="202"/>
    <s v="income"/>
    <s v="other_1781955063347_5s7r"/>
    <s v="rc_acc_1781955063348_obza"/>
    <x v="1"/>
    <s v="Difference"/>
    <m/>
    <s v="import"/>
    <s v=""/>
    <b v="0"/>
    <s v=""/>
  </r>
  <r>
    <s v="9cc67b43-f571-4b49-ad46-753eb75d5a8b"/>
    <x v="112"/>
    <s v="16:36"/>
    <x v="203"/>
    <s v="transfer"/>
    <s v="other"/>
    <s v="kbank"/>
    <x v="9"/>
    <s v="-"/>
    <m/>
    <s v="import"/>
    <s v=""/>
    <b v="0"/>
    <s v=""/>
  </r>
  <r>
    <s v="66e71667-63de-44fb-b3bb-d135165b4783"/>
    <x v="112"/>
    <s v="16:37"/>
    <x v="204"/>
    <s v="transfer"/>
    <s v="other"/>
    <s v="kbank"/>
    <x v="15"/>
    <s v="-"/>
    <m/>
    <s v="import"/>
    <s v=""/>
    <b v="0"/>
    <s v=""/>
  </r>
  <r>
    <s v="bfb1198a-8046-4ff2-ab1e-f1ed54cf3542"/>
    <x v="113"/>
    <s v="16:23"/>
    <x v="5"/>
    <s v="expense"/>
    <s v="rc_cat_1781955063347_5qjb_1781955063347_tezk"/>
    <s v="kbank"/>
    <x v="1"/>
    <s v="-"/>
    <m/>
    <s v="import"/>
    <s v=""/>
    <b v="0"/>
    <s v=""/>
  </r>
  <r>
    <s v="8a675a3c-e271-4134-92f8-01f8bec5216f"/>
    <x v="114"/>
    <s v="22:05"/>
    <x v="205"/>
    <s v="income"/>
    <s v="other_1781955063347_5s7r"/>
    <s v="rc_acc_1781955063347_uxz4"/>
    <x v="1"/>
    <s v="Difference"/>
    <m/>
    <s v="import"/>
    <s v=""/>
    <b v="0"/>
    <s v=""/>
  </r>
  <r>
    <s v="a43687ae-ada1-4aaf-8e9e-c2bee0edaa06"/>
    <x v="114"/>
    <s v="22:11"/>
    <x v="26"/>
    <s v="expense"/>
    <s v="rc_cat_1781955063347_5qjb_1781955063347_tezk"/>
    <s v="kbank"/>
    <x v="1"/>
    <s v="-"/>
    <m/>
    <s v="import"/>
    <s v=""/>
    <b v="0"/>
    <s v=""/>
  </r>
  <r>
    <s v="5d91e099-03df-4218-a7cb-b464203aaaa8"/>
    <x v="115"/>
    <s v="20:53"/>
    <x v="194"/>
    <s v="expense"/>
    <s v="entertain_1781955063348_kx2f"/>
    <s v="rc_acc_1781955063347_hv85"/>
    <x v="1"/>
    <s v="tablet(10/10)"/>
    <m/>
    <s v="import"/>
    <s v=""/>
    <b v="0"/>
    <s v=""/>
  </r>
  <r>
    <s v="97fe836a-fd12-4982-bd33-5096367e82e2"/>
    <x v="115"/>
    <s v="22:10"/>
    <x v="206"/>
    <s v="expense"/>
    <s v="rc_cat_1781955063347_5qjb_1781955063347_tezk"/>
    <s v="kbank"/>
    <x v="1"/>
    <s v="ภคกร"/>
    <m/>
    <s v="import"/>
    <s v=""/>
    <b v="0"/>
    <s v=""/>
  </r>
  <r>
    <s v="91da82f7-eb59-41d5-ada0-3786f859decc"/>
    <x v="116"/>
    <s v="22:09"/>
    <x v="2"/>
    <s v="expense"/>
    <s v="entertain_1781955063359_cf7f"/>
    <s v="kbank"/>
    <x v="1"/>
    <s v="-"/>
    <m/>
    <s v="import"/>
    <s v=""/>
    <b v="0"/>
    <s v=""/>
  </r>
  <r>
    <s v="d7cb1986-281d-4d2c-a5b3-8f2dbeaeb4ac"/>
    <x v="116"/>
    <s v="22:10"/>
    <x v="42"/>
    <s v="expense"/>
    <s v="rc_cat_1781955063347_anhy_1781955063347_qnaz"/>
    <s v="kbank"/>
    <x v="1"/>
    <s v="-"/>
    <m/>
    <s v="import"/>
    <s v=""/>
    <b v="0"/>
    <s v=""/>
  </r>
  <r>
    <s v="06be7fd4-137f-4846-92ac-d8a147fd4dd0"/>
    <x v="117"/>
    <s v="17:09"/>
    <x v="4"/>
    <s v="expense"/>
    <s v="rc_cat_1781955063347_anhy_1781955063350_fcpb"/>
    <s v="kbank"/>
    <x v="1"/>
    <s v="-"/>
    <m/>
    <s v="import"/>
    <s v=""/>
    <b v="0"/>
    <s v=""/>
  </r>
  <r>
    <s v="b8abb7dd-28b5-4b89-92f6-e88fd094fbf2"/>
    <x v="117"/>
    <s v="17:09"/>
    <x v="207"/>
    <s v="expense"/>
    <s v="rc_cat_1781955063347_04qb_1781955063347_wt5p"/>
    <s v="kbank"/>
    <x v="1"/>
    <s v="-"/>
    <m/>
    <s v="import"/>
    <s v=""/>
    <b v="0"/>
    <s v=""/>
  </r>
  <r>
    <s v="d985fb32-31a5-46fe-8535-c5400b36ff41"/>
    <x v="117"/>
    <s v="17:38"/>
    <x v="208"/>
    <s v="transfer"/>
    <s v="other"/>
    <s v="advance"/>
    <x v="4"/>
    <s v="-"/>
    <m/>
    <s v="import"/>
    <s v=""/>
    <b v="0"/>
    <s v=""/>
  </r>
  <r>
    <s v="e92b99d8-dc4c-48f1-88b2-1890b0f9b31a"/>
    <x v="117"/>
    <s v="17:47"/>
    <x v="209"/>
    <s v="transfer"/>
    <s v="other"/>
    <s v="kbank"/>
    <x v="2"/>
    <s v="รอเคลียร์"/>
    <m/>
    <s v="import"/>
    <s v=""/>
    <b v="0"/>
    <s v=""/>
  </r>
  <r>
    <s v="a731198b-3915-4de1-a751-baab9d282021"/>
    <x v="117"/>
    <s v="17:55"/>
    <x v="210"/>
    <s v="transfer"/>
    <s v="other"/>
    <s v="advance"/>
    <x v="4"/>
    <s v="คืนยอดเซี่ยงไฮ้"/>
    <m/>
    <s v="import"/>
    <s v=""/>
    <b v="0"/>
    <s v=""/>
  </r>
  <r>
    <s v="79af8583-af74-41d0-896e-523a13e3f9c2"/>
    <x v="118"/>
    <s v="16:48"/>
    <x v="138"/>
    <s v="transfer"/>
    <s v="other"/>
    <s v="kbank"/>
    <x v="13"/>
    <s v="-"/>
    <m/>
    <s v="import"/>
    <s v=""/>
    <b v="0"/>
    <s v=""/>
  </r>
  <r>
    <s v="7c463f84-ab9f-4a6c-97ab-5a7a12909570"/>
    <x v="118"/>
    <s v="17:28"/>
    <x v="211"/>
    <s v="transfer"/>
    <s v="other"/>
    <s v="advance"/>
    <x v="4"/>
    <s v="ยอด shopee เดือน พค 6011"/>
    <m/>
    <s v="import"/>
    <s v=""/>
    <b v="0"/>
    <s v=""/>
  </r>
  <r>
    <s v="f3be3714-aae9-4399-83e5-2ab3f8dc4543"/>
    <x v="118"/>
    <s v="17:29"/>
    <x v="212"/>
    <s v="expense"/>
    <s v="rc_cat_1781955063347_5qjb_1781955063347_tezk"/>
    <s v="advance"/>
    <x v="1"/>
    <s v="6011"/>
    <m/>
    <s v="import"/>
    <s v=""/>
    <b v="0"/>
    <s v=""/>
  </r>
  <r>
    <s v="839df49d-c539-42da-86ee-2b7671d22c71"/>
    <x v="118"/>
    <s v="17:29"/>
    <x v="213"/>
    <s v="expense"/>
    <s v="entertain_1781955063347_8r8e"/>
    <s v="advance"/>
    <x v="1"/>
    <s v="-"/>
    <m/>
    <s v="import"/>
    <s v=""/>
    <b v="0"/>
    <s v=""/>
  </r>
  <r>
    <s v="f99ce2cc-f4e7-45ea-a1ee-71b2e8fd71e7"/>
    <x v="119"/>
    <s v="16:50"/>
    <x v="32"/>
    <s v="transfer"/>
    <s v="other"/>
    <s v="kbank"/>
    <x v="2"/>
    <s v="shopee เดือนก่อน"/>
    <m/>
    <s v="import"/>
    <s v=""/>
    <b v="0"/>
    <s v=""/>
  </r>
  <r>
    <s v="a0722c07-d30f-46be-b424-05d3fa2a274b"/>
    <x v="119"/>
    <s v="16:50"/>
    <x v="214"/>
    <s v="expense"/>
    <s v="rc_cat_1781955063347_5qjb_1781955063347_tezk"/>
    <s v="kbank"/>
    <x v="1"/>
    <s v="-"/>
    <m/>
    <s v="import"/>
    <s v=""/>
    <b v="0"/>
    <s v=""/>
  </r>
  <r>
    <s v="9212bde3-96f3-4cfd-ab8c-8c1a4d79a847"/>
    <x v="119"/>
    <s v="17:13"/>
    <x v="215"/>
    <s v="transfer"/>
    <s v="other"/>
    <s v="advance"/>
    <x v="4"/>
    <s v="-"/>
    <m/>
    <s v="import"/>
    <s v=""/>
    <b v="0"/>
    <s v=""/>
  </r>
  <r>
    <s v="50ec563d-1317-46a7-a9e4-52229590290b"/>
    <x v="119"/>
    <s v="17:13"/>
    <x v="216"/>
    <s v="expense"/>
    <s v="rc_cat_1781955063347_5qjb_1781955063347_tezk"/>
    <s v="advance"/>
    <x v="1"/>
    <s v="-"/>
    <m/>
    <s v="import"/>
    <s v=""/>
    <b v="0"/>
    <s v=""/>
  </r>
  <r>
    <s v="56cf2169-be84-4e8b-92cd-0a5e81e2eed0"/>
    <x v="120"/>
    <s v="16:49"/>
    <x v="26"/>
    <s v="expense"/>
    <s v="entertain_1781955063348_kx2f"/>
    <s v="kbank"/>
    <x v="1"/>
    <s v="-"/>
    <m/>
    <s v="import"/>
    <s v=""/>
    <b v="0"/>
    <s v=""/>
  </r>
  <r>
    <s v="45ad555f-08d6-4819-a74a-a204e7223a48"/>
    <x v="120"/>
    <s v="16:55"/>
    <x v="182"/>
    <s v="transfer"/>
    <s v="other"/>
    <s v="rc_acc_1781955063348_w3gp"/>
    <x v="5"/>
    <s v="จากเฟิน"/>
    <m/>
    <s v="import"/>
    <s v=""/>
    <b v="0"/>
    <s v=""/>
  </r>
  <r>
    <s v="eb60e6cc-c6a7-438b-b5a8-5a21bf228e0b"/>
    <x v="121"/>
    <s v="16:49"/>
    <x v="19"/>
    <s v="expense"/>
    <s v="rc_cat_1781955063347_s4sz_1781955063360_d7jr"/>
    <s v="kbank"/>
    <x v="1"/>
    <s v="ตัดผม"/>
    <m/>
    <s v="import"/>
    <s v=""/>
    <b v="0"/>
    <s v=""/>
  </r>
  <r>
    <s v="c609771f-37cd-4352-90ce-843e6c9b1763"/>
    <x v="121"/>
    <s v="16:54"/>
    <x v="217"/>
    <s v="income"/>
    <s v="income_1781955063347_zblt"/>
    <s v="rc_acc_1781955063347_uxz4"/>
    <x v="1"/>
    <s v="-"/>
    <m/>
    <s v="import"/>
    <s v=""/>
    <b v="0"/>
    <s v=""/>
  </r>
  <r>
    <s v="d304f99e-e79b-4409-ad55-8414cb5d91c9"/>
    <x v="122"/>
    <s v="16:45"/>
    <x v="218"/>
    <s v="transfer"/>
    <s v="other"/>
    <s v="kbank"/>
    <x v="10"/>
    <s v="-"/>
    <m/>
    <s v="import"/>
    <s v=""/>
    <b v="0"/>
    <s v=""/>
  </r>
  <r>
    <s v="83612570-f51e-40ec-94cd-5131ddb7ace7"/>
    <x v="122"/>
    <s v="16:47"/>
    <x v="219"/>
    <s v="transfer"/>
    <s v="other"/>
    <s v="kbank"/>
    <x v="2"/>
    <s v="-"/>
    <m/>
    <s v="import"/>
    <s v=""/>
    <b v="0"/>
    <s v=""/>
  </r>
  <r>
    <s v="326f3f20-6ff7-464a-bb9b-cc0fe89b7a58"/>
    <x v="123"/>
    <s v="00:00"/>
    <x v="31"/>
    <s v="transfer"/>
    <s v="other"/>
    <s v="kbank"/>
    <x v="7"/>
    <s v="-"/>
    <m/>
    <s v="import"/>
    <s v=""/>
    <b v="0"/>
    <s v=""/>
  </r>
  <r>
    <s v="2790a462-3d1c-4629-9ba1-31543678565e"/>
    <x v="123"/>
    <s v="00:00"/>
    <x v="125"/>
    <s v="transfer"/>
    <s v="other"/>
    <s v="kbank"/>
    <x v="8"/>
    <s v="-"/>
    <m/>
    <s v="import"/>
    <s v=""/>
    <b v="0"/>
    <s v=""/>
  </r>
  <r>
    <s v="a793e180-39d4-4b07-92cd-82372b839c19"/>
    <x v="123"/>
    <s v="00:00"/>
    <x v="126"/>
    <s v="expense"/>
    <s v="rc_cat_1781955063347_04qb_1781955063350_acgf"/>
    <s v="kbank"/>
    <x v="1"/>
    <s v="-"/>
    <m/>
    <s v="import"/>
    <s v=""/>
    <b v="0"/>
    <s v=""/>
  </r>
  <r>
    <s v="6016d42b-8cbf-4307-9cca-8f31c9839dbc"/>
    <x v="123"/>
    <s v="00:00"/>
    <x v="127"/>
    <s v="expense"/>
    <s v="rc_cat_1781955063347_04qb_1781955063347_kgnn"/>
    <s v="kbank"/>
    <x v="1"/>
    <s v="-"/>
    <m/>
    <s v="import"/>
    <s v=""/>
    <b v="0"/>
    <s v=""/>
  </r>
  <r>
    <s v="0163f4b6-0ee2-415c-aebc-0a6fbdf0e5ae"/>
    <x v="123"/>
    <s v="00:00"/>
    <x v="128"/>
    <s v="expense"/>
    <s v="rc_cat_1781955063347_04qb_1781955063360_g684"/>
    <s v="kbank"/>
    <x v="1"/>
    <s v="-"/>
    <m/>
    <s v="import"/>
    <s v=""/>
    <b v="0"/>
    <s v=""/>
  </r>
  <r>
    <s v="3a99f5f9-532e-4989-8df8-26fe1fa1e976"/>
    <x v="123"/>
    <s v="00:00"/>
    <x v="129"/>
    <s v="expense"/>
    <s v="rc_cat_1781955063347_04qb_1781955063360_ocha"/>
    <s v="kbank"/>
    <x v="1"/>
    <s v="-"/>
    <m/>
    <s v="import"/>
    <s v=""/>
    <b v="0"/>
    <s v=""/>
  </r>
  <r>
    <s v="64233533-8694-42ae-a94e-8383eef4e0e8"/>
    <x v="123"/>
    <s v="00:00"/>
    <x v="130"/>
    <s v="expense"/>
    <s v="rc_cat_1781955063347_04qb_1781955063347_lu9b"/>
    <s v="kbank"/>
    <x v="1"/>
    <s v="-"/>
    <m/>
    <s v="import"/>
    <s v=""/>
    <b v="0"/>
    <s v=""/>
  </r>
  <r>
    <s v="df1ab9fe-a469-468c-b52c-6d36b1d7e827"/>
    <x v="123"/>
    <s v="00:00"/>
    <x v="109"/>
    <s v="income"/>
    <s v="income_1781955063347_5zxt"/>
    <s v="kbank"/>
    <x v="1"/>
    <s v="-"/>
    <m/>
    <s v="import"/>
    <s v=""/>
    <b v="0"/>
    <s v=""/>
  </r>
  <r>
    <s v="6463c318-5087-4276-9ed1-cea432ef7bf7"/>
    <x v="123"/>
    <s v="16:43"/>
    <x v="220"/>
    <s v="income"/>
    <s v="income_1781955063347_zblt"/>
    <s v="kbank"/>
    <x v="1"/>
    <s v="-"/>
    <m/>
    <s v="import"/>
    <s v=""/>
    <b v="0"/>
    <s v=""/>
  </r>
  <r>
    <s v="c2cca90a-98a9-4067-8e9c-f061036990c3"/>
    <x v="123"/>
    <s v="16:45"/>
    <x v="199"/>
    <s v="expense"/>
    <s v="rc_cat_1781955063347_5qjb_1781955063347_tezk"/>
    <s v="kbank"/>
    <x v="1"/>
    <s v="-"/>
    <m/>
    <s v="import"/>
    <s v=""/>
    <b v="0"/>
    <s v=""/>
  </r>
  <r>
    <s v="a709f001-4ee0-410b-9fe2-b48461813b6e"/>
    <x v="123"/>
    <s v="19:44"/>
    <x v="221"/>
    <s v="income"/>
    <s v="income_1781955063351_3ab8"/>
    <s v="rc_acc_1781955063348_hnxg"/>
    <x v="1"/>
    <s v="-"/>
    <m/>
    <s v="import"/>
    <s v=""/>
    <b v="0"/>
    <s v=""/>
  </r>
  <r>
    <s v="71860c39-a021-4c1b-8374-91d8651e0fd8"/>
    <x v="124"/>
    <s v="16:41"/>
    <x v="26"/>
    <s v="expense"/>
    <s v="rc_cat_1781955063347_5qjb_1781955063347_tezk"/>
    <s v="kbank"/>
    <x v="1"/>
    <s v="-"/>
    <m/>
    <s v="import"/>
    <s v=""/>
    <b v="0"/>
    <s v=""/>
  </r>
  <r>
    <s v="c1a77d5a-4092-4dfd-a223-4f86903065ee"/>
    <x v="124"/>
    <s v="16:54"/>
    <x v="222"/>
    <s v="expense"/>
    <s v="rc_cat_1781955063347_5qjb_1781955063347_tezk"/>
    <s v="rc_acc_1781955063347_uxz4"/>
    <x v="1"/>
    <s v="-"/>
    <m/>
    <s v="import"/>
    <s v=""/>
    <b v="0"/>
    <s v=""/>
  </r>
  <r>
    <s v="e057f425-59c7-48f3-98c0-4de4ae837e4d"/>
    <x v="125"/>
    <s v="16:40"/>
    <x v="194"/>
    <s v="transfer"/>
    <s v="other"/>
    <s v="kbank"/>
    <x v="14"/>
    <s v="-"/>
    <m/>
    <s v="import"/>
    <s v=""/>
    <b v="0"/>
    <s v=""/>
  </r>
  <r>
    <s v="c0905649-bcb5-4b03-b36b-4996fe0ea162"/>
    <x v="125"/>
    <s v="16:41"/>
    <x v="223"/>
    <s v="transfer"/>
    <s v="other"/>
    <s v="kbank"/>
    <x v="6"/>
    <s v="-"/>
    <m/>
    <s v="import"/>
    <s v=""/>
    <b v="0"/>
    <s v=""/>
  </r>
  <r>
    <s v="3a73a8f9-5f1b-4aa1-8cb3-e093187d5d45"/>
    <x v="125"/>
    <s v="17:15"/>
    <x v="224"/>
    <s v="transfer"/>
    <s v="other"/>
    <s v="rc_acc_1781955063358_d7gc"/>
    <x v="2"/>
    <s v="-"/>
    <m/>
    <s v="import"/>
    <s v=""/>
    <b v="0"/>
    <s v=""/>
  </r>
  <r>
    <s v="da5363ef-e8ae-4938-aa09-66eee7485c46"/>
    <x v="125"/>
    <s v="17:35"/>
    <x v="225"/>
    <s v="transfer"/>
    <s v="other"/>
    <s v="rc_acc_1781955063347_kjxt"/>
    <x v="2"/>
    <s v="-"/>
    <m/>
    <s v="import"/>
    <s v=""/>
    <b v="0"/>
    <s v=""/>
  </r>
  <r>
    <s v="34503005-d0bd-4dcc-902f-35e3687650b5"/>
    <x v="125"/>
    <s v="21:39"/>
    <x v="226"/>
    <s v="transfer"/>
    <s v="other"/>
    <s v="advance"/>
    <x v="4"/>
    <s v="ยอด ญป"/>
    <m/>
    <s v="import"/>
    <s v=""/>
    <b v="0"/>
    <s v=""/>
  </r>
  <r>
    <s v="264b93d1-7628-4658-a82a-422ed74cfc18"/>
    <x v="125"/>
    <s v="21:53"/>
    <x v="227"/>
    <s v="expense"/>
    <s v="entertain_1781955063349_gok1"/>
    <s v="advance"/>
    <x v="1"/>
    <s v="TK2025"/>
    <m/>
    <s v="import"/>
    <s v=""/>
    <b v="0"/>
    <s v=""/>
  </r>
  <r>
    <s v="78a2e09b-0c92-40f1-b960-54e12dda1a1a"/>
    <x v="126"/>
    <s v="16:36"/>
    <x v="26"/>
    <s v="expense"/>
    <s v="rc_cat_1781955063347_5qjb_1781955063347_tezk"/>
    <s v="kbank"/>
    <x v="1"/>
    <s v="-"/>
    <m/>
    <s v="import"/>
    <s v=""/>
    <b v="0"/>
    <s v=""/>
  </r>
  <r>
    <s v="44bf757b-9099-43ad-b0cb-b6813b086f30"/>
    <x v="126"/>
    <s v="16:37"/>
    <x v="228"/>
    <s v="income"/>
    <s v="income_1781955063351_3ab8"/>
    <s v="kbank"/>
    <x v="1"/>
    <s v="-"/>
    <m/>
    <s v="import"/>
    <s v=""/>
    <b v="0"/>
    <s v=""/>
  </r>
  <r>
    <s v="7a92ca8a-01b8-4959-9469-e6c9aedf8375"/>
    <x v="127"/>
    <s v="16:01"/>
    <x v="211"/>
    <s v="transfer"/>
    <s v="other"/>
    <s v="kbank"/>
    <x v="2"/>
    <s v="-"/>
    <m/>
    <s v="import"/>
    <s v=""/>
    <b v="0"/>
    <s v=""/>
  </r>
  <r>
    <s v="ef14b276-07e4-41df-b2f5-dc15ebdca297"/>
    <x v="127"/>
    <s v="17:18"/>
    <x v="211"/>
    <s v="expense"/>
    <s v="rc_cat_1781955063347_5qjb_1781955063347_tezk"/>
    <s v="rc_acc_1781955063347_kjxt"/>
    <x v="1"/>
    <s v="-"/>
    <m/>
    <s v="import"/>
    <s v=""/>
    <b v="0"/>
    <s v=""/>
  </r>
  <r>
    <s v="3956f90e-f400-4844-8845-ab483066f470"/>
    <x v="127"/>
    <s v="17:39"/>
    <x v="211"/>
    <s v="transfer"/>
    <s v="other"/>
    <s v="advance"/>
    <x v="4"/>
    <s v="-"/>
    <m/>
    <s v="import"/>
    <s v=""/>
    <b v="0"/>
    <s v=""/>
  </r>
  <r>
    <s v="007f3027-7213-45b2-9612-410508b5110c"/>
    <x v="128"/>
    <s v="16:00"/>
    <x v="42"/>
    <s v="expense"/>
    <s v="rc_cat_1781955063347_anhy_1781955063347_qnaz"/>
    <s v="kbank"/>
    <x v="1"/>
    <s v="-"/>
    <m/>
    <s v="import"/>
    <s v=""/>
    <b v="0"/>
    <s v=""/>
  </r>
  <r>
    <s v="39cacfa5-0ba2-43d6-8d7b-c03433bca36f"/>
    <x v="129"/>
    <s v="15:58"/>
    <x v="8"/>
    <s v="transfer"/>
    <s v="other"/>
    <s v="rc_acc_1781955063348_no9r"/>
    <x v="4"/>
    <s v="-"/>
    <m/>
    <s v="import"/>
    <s v=""/>
    <b v="0"/>
    <s v=""/>
  </r>
  <r>
    <s v="47dc323a-2ef0-4953-a6d1-4ff908dab696"/>
    <x v="129"/>
    <s v="15:58"/>
    <x v="229"/>
    <s v="transfer"/>
    <s v="other"/>
    <s v="rc_acc_1781955063348_hnxg"/>
    <x v="4"/>
    <s v="-"/>
    <m/>
    <s v="import"/>
    <s v=""/>
    <b v="0"/>
    <s v=""/>
  </r>
  <r>
    <s v="2bed1b6b-e709-4a63-8e8c-52d6c559f967"/>
    <x v="129"/>
    <s v="15:59"/>
    <x v="230"/>
    <s v="transfer"/>
    <s v="other"/>
    <s v="advance"/>
    <x v="4"/>
    <s v="youtrip"/>
    <m/>
    <s v="import"/>
    <s v=""/>
    <b v="0"/>
    <s v=""/>
  </r>
  <r>
    <s v="7669ea91-7486-4d50-872c-6e48fce9edce"/>
    <x v="129"/>
    <s v="17:20"/>
    <x v="231"/>
    <s v="expense"/>
    <s v="entertain_1781955063349_gok1"/>
    <s v="advance"/>
    <x v="1"/>
    <s v="TK2025"/>
    <m/>
    <s v="import"/>
    <s v=""/>
    <b v="0"/>
    <s v=""/>
  </r>
  <r>
    <s v="2974be33-4570-473d-af96-73a7f269ce93"/>
    <x v="130"/>
    <s v="15:56"/>
    <x v="232"/>
    <s v="expense"/>
    <s v="rc_cat_1781955063347_5qjb_1781955063347_tezk"/>
    <s v="kbank"/>
    <x v="1"/>
    <s v="-"/>
    <m/>
    <s v="import"/>
    <s v=""/>
    <b v="0"/>
    <s v=""/>
  </r>
  <r>
    <s v="e34c99f2-a678-4677-9944-b3cebb5126bd"/>
    <x v="130"/>
    <s v="20:53"/>
    <x v="194"/>
    <s v="expense"/>
    <s v="entertain_1781955063348_kx2f"/>
    <s v="rc_acc_1781955063347_hv85"/>
    <x v="1"/>
    <s v="tablet(9/10)"/>
    <m/>
    <s v="import"/>
    <s v=""/>
    <b v="0"/>
    <s v=""/>
  </r>
  <r>
    <s v="3c317644-79a8-4889-b4fc-33b920504a63"/>
    <x v="131"/>
    <s v="16:53"/>
    <x v="138"/>
    <s v="transfer"/>
    <s v="other"/>
    <s v="rc_acc_1781955063347_uxz4"/>
    <x v="16"/>
    <s v="shopee pay"/>
    <m/>
    <s v="import"/>
    <s v=""/>
    <b v="0"/>
    <s v=""/>
  </r>
  <r>
    <s v="8578c6ea-2767-4bb8-971d-0e611ab89471"/>
    <x v="132"/>
    <s v="15:45"/>
    <x v="233"/>
    <s v="expense"/>
    <s v="rc_cat_1781955063347_5qjb_1781955063347_tezk"/>
    <s v="kbank"/>
    <x v="1"/>
    <s v="-"/>
    <m/>
    <s v="import"/>
    <s v=""/>
    <b v="0"/>
    <s v=""/>
  </r>
  <r>
    <s v="65bf9469-0865-4b2c-bd0f-d17d90558ebd"/>
    <x v="132"/>
    <s v="15:53"/>
    <x v="5"/>
    <s v="expense"/>
    <s v="rc_cat_1781955063347_5qjb_1781955063347_tezk"/>
    <s v="kbank"/>
    <x v="1"/>
    <s v="-"/>
    <m/>
    <s v="import"/>
    <s v=""/>
    <b v="0"/>
    <s v=""/>
  </r>
  <r>
    <s v="e5db8138-d048-4a52-925a-c0ba96e78afe"/>
    <x v="132"/>
    <s v="15:53"/>
    <x v="83"/>
    <s v="expense"/>
    <s v="rc_cat_1781955063347_5qjb_1781955063347_tezk"/>
    <s v="kbank"/>
    <x v="1"/>
    <s v="-"/>
    <m/>
    <s v="import"/>
    <s v=""/>
    <b v="0"/>
    <s v=""/>
  </r>
  <r>
    <s v="c712f45b-fdff-4f34-aa95-8aa6bd167c9f"/>
    <x v="133"/>
    <s v="15:48"/>
    <x v="234"/>
    <s v="expense"/>
    <s v="other_1781955063348_27zj"/>
    <s v="kbank"/>
    <x v="1"/>
    <s v="-"/>
    <m/>
    <s v="import"/>
    <s v=""/>
    <b v="0"/>
    <s v=""/>
  </r>
  <r>
    <s v="f18f4eae-c679-4c44-9821-75a377b1e4fb"/>
    <x v="133"/>
    <s v="19:41"/>
    <x v="235"/>
    <s v="income"/>
    <s v="income_1781955063351_3ab8"/>
    <s v="rc_acc_1781955063348_hnxg"/>
    <x v="1"/>
    <s v="-"/>
    <m/>
    <s v="import"/>
    <s v=""/>
    <b v="0"/>
    <s v=""/>
  </r>
  <r>
    <s v="c910a38c-76a5-4cbc-ae93-67e2c2a44211"/>
    <x v="134"/>
    <s v="15:48"/>
    <x v="19"/>
    <s v="transfer"/>
    <s v="other"/>
    <s v="kbank"/>
    <x v="13"/>
    <s v="-"/>
    <m/>
    <s v="import"/>
    <s v=""/>
    <b v="0"/>
    <s v=""/>
  </r>
  <r>
    <s v="53ef8ac2-324f-46c8-b34d-b40b397d09a8"/>
    <x v="135"/>
    <s v="00:00"/>
    <x v="236"/>
    <s v="expense"/>
    <s v="rc_cat_1781955063347_04qb_1781955063347_kgnn"/>
    <s v="kbank"/>
    <x v="1"/>
    <s v="-"/>
    <m/>
    <s v="import"/>
    <s v=""/>
    <b v="0"/>
    <s v=""/>
  </r>
  <r>
    <s v="f4ced80a-47bf-45fe-9374-958fccc0bc26"/>
    <x v="135"/>
    <s v="00:00"/>
    <x v="237"/>
    <s v="expense"/>
    <s v="rc_cat_1781955063347_04qb_1781955063350_acgf"/>
    <s v="kbank"/>
    <x v="1"/>
    <s v="-"/>
    <m/>
    <s v="import"/>
    <s v=""/>
    <b v="0"/>
    <s v=""/>
  </r>
  <r>
    <s v="84f16c2a-deb1-4532-831e-a26a8aeeedea"/>
    <x v="135"/>
    <s v="00:00"/>
    <x v="108"/>
    <s v="transfer"/>
    <s v="other"/>
    <s v="kbank"/>
    <x v="8"/>
    <s v="-"/>
    <m/>
    <s v="import"/>
    <s v=""/>
    <b v="0"/>
    <s v=""/>
  </r>
  <r>
    <s v="37f38d1f-f509-482a-a632-f96585813e74"/>
    <x v="135"/>
    <s v="00:00"/>
    <x v="238"/>
    <s v="expense"/>
    <s v="rc_cat_1781955063347_04qb_1781955063347_lu9b"/>
    <s v="kbank"/>
    <x v="1"/>
    <s v="-"/>
    <m/>
    <s v="import"/>
    <s v=""/>
    <b v="0"/>
    <s v=""/>
  </r>
  <r>
    <s v="d4521d48-ff18-41c7-8c59-1e9bf086f027"/>
    <x v="135"/>
    <s v="00:00"/>
    <x v="31"/>
    <s v="transfer"/>
    <s v="other"/>
    <s v="kbank"/>
    <x v="7"/>
    <s v="-"/>
    <m/>
    <s v="import"/>
    <s v=""/>
    <b v="0"/>
    <s v=""/>
  </r>
  <r>
    <s v="77e90ed7-707a-4393-892c-cf2c5cc1de7a"/>
    <x v="135"/>
    <s v="00:00"/>
    <x v="128"/>
    <s v="expense"/>
    <s v="rc_cat_1781955063347_04qb_1781955063360_g684"/>
    <s v="kbank"/>
    <x v="1"/>
    <s v="-"/>
    <m/>
    <s v="import"/>
    <s v=""/>
    <b v="0"/>
    <s v=""/>
  </r>
  <r>
    <s v="94683b50-d6d4-4e17-914a-f798bdebbb63"/>
    <x v="135"/>
    <s v="00:00"/>
    <x v="129"/>
    <s v="expense"/>
    <s v="rc_cat_1781955063347_04qb_1781955063360_ocha"/>
    <s v="kbank"/>
    <x v="1"/>
    <s v="-"/>
    <m/>
    <s v="import"/>
    <s v=""/>
    <b v="0"/>
    <s v=""/>
  </r>
  <r>
    <s v="2f18ecf6-abd3-4136-b2a4-b7ed268b480e"/>
    <x v="135"/>
    <s v="00:00"/>
    <x v="109"/>
    <s v="income"/>
    <s v="income_1781955063347_5zxt"/>
    <s v="kbank"/>
    <x v="1"/>
    <s v="-"/>
    <m/>
    <s v="import"/>
    <s v=""/>
    <b v="0"/>
    <s v=""/>
  </r>
  <r>
    <s v="c4443064-e77f-4ffe-afd8-452a29ecbb3e"/>
    <x v="136"/>
    <s v="15:45"/>
    <x v="239"/>
    <s v="expense"/>
    <s v="rc_cat_1781955063347_5qjb_1781955063347_tezk"/>
    <s v="kbank"/>
    <x v="1"/>
    <s v="-"/>
    <m/>
    <s v="import"/>
    <s v=""/>
    <b v="0"/>
    <s v=""/>
  </r>
  <r>
    <s v="45f570c9-0af6-4b7d-b947-4577f5695f34"/>
    <x v="136"/>
    <s v="19:41"/>
    <x v="240"/>
    <s v="income"/>
    <s v="income_1781955063351_3ab8"/>
    <s v="rc_acc_1781955063348_hnxg"/>
    <x v="1"/>
    <s v="-"/>
    <m/>
    <s v="import"/>
    <s v=""/>
    <b v="0"/>
    <s v=""/>
  </r>
  <r>
    <s v="38ec453f-a6cc-4762-9bc3-a86fbc3d952e"/>
    <x v="137"/>
    <s v="15:43"/>
    <x v="19"/>
    <s v="transfer"/>
    <s v="other"/>
    <s v="kbank"/>
    <x v="13"/>
    <s v="-"/>
    <m/>
    <s v="import"/>
    <s v=""/>
    <b v="0"/>
    <s v=""/>
  </r>
  <r>
    <s v="88070e2f-7217-4c26-ad75-ba189781617f"/>
    <x v="137"/>
    <s v="15:46"/>
    <x v="241"/>
    <s v="transfer"/>
    <s v="other"/>
    <s v="kbank"/>
    <x v="2"/>
    <s v="kbank card 4282"/>
    <m/>
    <s v="import"/>
    <s v=""/>
    <b v="0"/>
    <s v=""/>
  </r>
  <r>
    <s v="e7009f4e-672e-4cdc-98ca-14fa603db1a5"/>
    <x v="138"/>
    <s v="18:27"/>
    <x v="242"/>
    <s v="transfer"/>
    <s v="other"/>
    <s v="kbank"/>
    <x v="11"/>
    <s v="-"/>
    <m/>
    <s v="import"/>
    <s v=""/>
    <b v="0"/>
    <s v=""/>
  </r>
  <r>
    <s v="8b9c7c13-6a4d-4f00-9f14-0201a2ea706e"/>
    <x v="138"/>
    <s v="18:38"/>
    <x v="243"/>
    <s v="transfer"/>
    <s v="other"/>
    <s v="rc_acc_1781955063348_obza"/>
    <x v="14"/>
    <s v="-"/>
    <m/>
    <s v="import"/>
    <s v=""/>
    <b v="0"/>
    <s v=""/>
  </r>
  <r>
    <s v="673f4adb-a664-4e2d-9fe2-b4d29c559024"/>
    <x v="139"/>
    <s v="18:11"/>
    <x v="244"/>
    <s v="expense"/>
    <s v="rc_cat_1781955063347_5qjb_1781955063347_tezk"/>
    <s v="kbank"/>
    <x v="1"/>
    <s v="-"/>
    <m/>
    <s v="import"/>
    <s v=""/>
    <b v="0"/>
    <s v=""/>
  </r>
  <r>
    <s v="c6de4575-fbdd-49ef-97c6-5e5c2438c12c"/>
    <x v="140"/>
    <s v="00:00"/>
    <x v="4"/>
    <s v="expense"/>
    <s v="rc_cat_1781955063347_anhy_1781955063350_fcpb"/>
    <s v="kbank"/>
    <x v="1"/>
    <s v="-"/>
    <m/>
    <s v="import"/>
    <s v=""/>
    <b v="0"/>
    <s v=""/>
  </r>
  <r>
    <s v="4fe3e474-52ef-4286-b69a-3253eff04f1d"/>
    <x v="140"/>
    <s v="18:09"/>
    <x v="245"/>
    <s v="transfer"/>
    <s v="other"/>
    <s v="kbank"/>
    <x v="11"/>
    <s v="-"/>
    <m/>
    <s v="import"/>
    <s v=""/>
    <b v="0"/>
    <s v=""/>
  </r>
  <r>
    <s v="1c94cc7c-281d-4ba9-8961-bdff26acfc2e"/>
    <x v="141"/>
    <s v="18:01"/>
    <x v="42"/>
    <s v="expense"/>
    <s v="rc_cat_1781955063347_anhy_1781955063347_qnaz"/>
    <s v="rc_acc_1781955063348_no9r"/>
    <x v="1"/>
    <s v="-"/>
    <m/>
    <s v="import"/>
    <s v=""/>
    <b v="0"/>
    <s v=""/>
  </r>
  <r>
    <s v="ef345c48-97bf-4b70-a90f-4e588bec80c5"/>
    <x v="141"/>
    <s v="18:07"/>
    <x v="246"/>
    <s v="expense"/>
    <s v="rc_cat_1781955063347_04qb_1781955063347_wt5p"/>
    <s v="kbank"/>
    <x v="1"/>
    <s v="-"/>
    <m/>
    <s v="import"/>
    <s v=""/>
    <b v="0"/>
    <s v=""/>
  </r>
  <r>
    <s v="9adbdd67-6558-4f79-bbe1-66ca2d04c694"/>
    <x v="141"/>
    <s v="18:29"/>
    <x v="247"/>
    <s v="transfer"/>
    <s v="other"/>
    <s v="rc_acc_1781955063348_no9r"/>
    <x v="5"/>
    <s v="-"/>
    <m/>
    <s v="import"/>
    <s v=""/>
    <b v="0"/>
    <s v=""/>
  </r>
  <r>
    <s v="8a8f822e-c751-4027-82f8-7ec855418a6e"/>
    <x v="142"/>
    <s v="20:53"/>
    <x v="194"/>
    <s v="expense"/>
    <s v="entertain_1781955063348_kx2f"/>
    <s v="rc_acc_1781955063347_hv85"/>
    <x v="1"/>
    <s v="tablet(8/10)"/>
    <m/>
    <s v="import"/>
    <s v=""/>
    <b v="0"/>
    <s v=""/>
  </r>
  <r>
    <s v="395bef3f-5136-433b-b89d-0674dd28d175"/>
    <x v="143"/>
    <s v="18:29"/>
    <x v="248"/>
    <s v="income"/>
    <s v="income_1781955063351_3ab8"/>
    <s v="rc_acc_1781955063347_uxz4"/>
    <x v="1"/>
    <s v="-"/>
    <m/>
    <s v="import"/>
    <s v=""/>
    <b v="0"/>
    <s v=""/>
  </r>
  <r>
    <s v="55515609-ff4d-421b-a65f-c2e3848d7435"/>
    <x v="144"/>
    <s v="18:11"/>
    <x v="249"/>
    <s v="transfer"/>
    <s v="other"/>
    <s v="kbank"/>
    <x v="2"/>
    <s v="รอเคลียร์"/>
    <m/>
    <s v="import"/>
    <s v=""/>
    <b v="0"/>
    <s v=""/>
  </r>
  <r>
    <s v="74ee456b-8609-4e8d-ad8d-75b8cd28b6cb"/>
    <x v="144"/>
    <s v="21:35"/>
    <x v="250"/>
    <s v="expense"/>
    <s v="entertain_1781955063349_gok1"/>
    <s v="rc_acc_1781955063348_no9r"/>
    <x v="1"/>
    <s v="shanghai trip"/>
    <m/>
    <s v="import"/>
    <s v=""/>
    <b v="0"/>
    <s v=""/>
  </r>
  <r>
    <s v="d8c77897-d02a-4485-9a74-3666f1b6077f"/>
    <x v="145"/>
    <s v="18:03"/>
    <x v="251"/>
    <s v="income"/>
    <s v="income_1781955063347_zblt"/>
    <s v="kbank"/>
    <x v="1"/>
    <s v="left in youtrip"/>
    <m/>
    <s v="import"/>
    <s v=""/>
    <b v="0"/>
    <s v=""/>
  </r>
  <r>
    <s v="8f5e7117-f61e-4ffa-a67f-827b74c5c196"/>
    <x v="145"/>
    <s v="18:04"/>
    <x v="252"/>
    <s v="transfer"/>
    <s v="other"/>
    <s v="kbank"/>
    <x v="9"/>
    <s v="-"/>
    <m/>
    <s v="import"/>
    <s v=""/>
    <b v="0"/>
    <s v=""/>
  </r>
  <r>
    <s v="e61e214b-03bc-4f89-baf2-6b1cee7268f1"/>
    <x v="145"/>
    <s v="18:04"/>
    <x v="253"/>
    <s v="transfer"/>
    <s v="other"/>
    <s v="kbank"/>
    <x v="2"/>
    <s v="youtrip"/>
    <m/>
    <s v="import"/>
    <s v=""/>
    <b v="0"/>
    <s v=""/>
  </r>
  <r>
    <s v="570ebda8-ddbc-40a1-bfd6-b3f8cd6cc69f"/>
    <x v="146"/>
    <s v="19:42"/>
    <x v="211"/>
    <s v="transfer"/>
    <s v="other"/>
    <s v="rc_acc_1781955063348_hnxg"/>
    <x v="12"/>
    <s v="-"/>
    <m/>
    <s v="import"/>
    <s v=""/>
    <b v="0"/>
    <s v=""/>
  </r>
  <r>
    <s v="3dbc10ef-414a-4506-aa78-0cf0c163b6cd"/>
    <x v="146"/>
    <s v="19:43"/>
    <x v="254"/>
    <s v="income"/>
    <s v="income_1781955063351_3ab8"/>
    <s v="rc_acc_1781955063348_hnxg"/>
    <x v="1"/>
    <s v="-"/>
    <m/>
    <s v="import"/>
    <s v=""/>
    <b v="0"/>
    <s v=""/>
  </r>
  <r>
    <s v="2ad5d141-3f0a-4850-971e-a78c60966a38"/>
    <x v="147"/>
    <s v="18:01"/>
    <x v="255"/>
    <s v="transfer"/>
    <s v="other"/>
    <s v="advance"/>
    <x v="4"/>
    <s v="-"/>
    <m/>
    <s v="import"/>
    <s v=""/>
    <b v="0"/>
    <s v=""/>
  </r>
  <r>
    <s v="4d06a5a0-7c85-46e8-b613-079c41762c28"/>
    <x v="147"/>
    <s v="18:02"/>
    <x v="256"/>
    <s v="expense"/>
    <s v="other_1781955063348_27zj"/>
    <s v="advance"/>
    <x v="1"/>
    <s v="-"/>
    <m/>
    <s v="import"/>
    <s v=""/>
    <b v="0"/>
    <s v=""/>
  </r>
  <r>
    <s v="9b7feb77-f961-45cc-9c41-4d2dc3da6aac"/>
    <x v="148"/>
    <s v="00:00"/>
    <x v="257"/>
    <s v="expense"/>
    <s v="rc_cat_1781955063347_04qb_1781955063347_kgnn"/>
    <s v="kbank"/>
    <x v="1"/>
    <s v="-"/>
    <m/>
    <s v="import"/>
    <s v=""/>
    <b v="0"/>
    <s v=""/>
  </r>
  <r>
    <s v="72af7fcb-99bd-4899-be64-08455502e76a"/>
    <x v="148"/>
    <s v="00:00"/>
    <x v="143"/>
    <s v="expense"/>
    <s v="rc_cat_1781955063347_04qb_1781955063350_acgf"/>
    <s v="kbank"/>
    <x v="1"/>
    <s v="-"/>
    <m/>
    <s v="import"/>
    <s v=""/>
    <b v="0"/>
    <s v=""/>
  </r>
  <r>
    <s v="d7754a39-8779-4e63-a59c-455a0f34c179"/>
    <x v="148"/>
    <s v="00:00"/>
    <x v="108"/>
    <s v="transfer"/>
    <s v="other"/>
    <s v="kbank"/>
    <x v="8"/>
    <s v="-"/>
    <m/>
    <s v="import"/>
    <s v=""/>
    <b v="0"/>
    <s v=""/>
  </r>
  <r>
    <s v="a9df26d0-6ed9-42d0-8a69-63771c1ba2e9"/>
    <x v="148"/>
    <s v="00:00"/>
    <x v="258"/>
    <s v="expense"/>
    <s v="rc_cat_1781955063347_04qb_1781955063347_lu9b"/>
    <s v="kbank"/>
    <x v="1"/>
    <s v="-"/>
    <m/>
    <s v="import"/>
    <s v=""/>
    <b v="0"/>
    <s v=""/>
  </r>
  <r>
    <s v="d1264085-91df-4f3d-b591-c96b13c0785b"/>
    <x v="148"/>
    <s v="00:00"/>
    <x v="31"/>
    <s v="transfer"/>
    <s v="other"/>
    <s v="kbank"/>
    <x v="7"/>
    <s v="-"/>
    <m/>
    <s v="import"/>
    <s v=""/>
    <b v="0"/>
    <s v=""/>
  </r>
  <r>
    <s v="2e37db8d-3500-4868-a3aa-3f1701973d71"/>
    <x v="148"/>
    <s v="00:00"/>
    <x v="128"/>
    <s v="expense"/>
    <s v="rc_cat_1781955063347_04qb_1781955063360_g684"/>
    <s v="kbank"/>
    <x v="1"/>
    <s v="-"/>
    <m/>
    <s v="import"/>
    <s v=""/>
    <b v="0"/>
    <s v=""/>
  </r>
  <r>
    <s v="f51eb4ee-45e6-4459-8361-078562fa28d6"/>
    <x v="148"/>
    <s v="00:00"/>
    <x v="129"/>
    <s v="expense"/>
    <s v="rc_cat_1781955063347_04qb_1781955063360_ocha"/>
    <s v="kbank"/>
    <x v="1"/>
    <s v="-"/>
    <m/>
    <s v="import"/>
    <s v=""/>
    <b v="0"/>
    <s v=""/>
  </r>
  <r>
    <s v="d1820212-ca91-4c0f-914b-f446c6bb69af"/>
    <x v="148"/>
    <s v="00:00"/>
    <x v="109"/>
    <s v="income"/>
    <s v="income_1781955063347_5zxt"/>
    <s v="kbank"/>
    <x v="1"/>
    <s v="-"/>
    <m/>
    <s v="import"/>
    <s v=""/>
    <b v="0"/>
    <s v=""/>
  </r>
  <r>
    <s v="eb1dae7b-b16c-4947-a0d0-aac151514b58"/>
    <x v="148"/>
    <s v="18:21"/>
    <x v="232"/>
    <s v="expense"/>
    <s v="other_1781955063348_27zj"/>
    <s v="kbank"/>
    <x v="1"/>
    <s v="-"/>
    <m/>
    <s v="import"/>
    <s v=""/>
    <b v="0"/>
    <s v=""/>
  </r>
  <r>
    <s v="0c0d3583-22c9-46d9-9b8c-479ebda6a305"/>
    <x v="149"/>
    <s v="12:25"/>
    <x v="259"/>
    <s v="transfer"/>
    <s v="other"/>
    <s v="kbank"/>
    <x v="2"/>
    <s v="-"/>
    <m/>
    <s v="import"/>
    <s v=""/>
    <b v="0"/>
    <s v=""/>
  </r>
  <r>
    <s v="af71b38a-0aef-4bc0-996f-bd3bcdfea01c"/>
    <x v="150"/>
    <s v="18:39"/>
    <x v="260"/>
    <s v="transfer"/>
    <s v="other"/>
    <s v="rc_acc_1781955063348_obza"/>
    <x v="14"/>
    <s v="-"/>
    <m/>
    <s v="import"/>
    <s v=""/>
    <b v="0"/>
    <s v=""/>
  </r>
  <r>
    <s v="e742db44-3a23-4187-9594-be57ecd13ea2"/>
    <x v="151"/>
    <s v="20:53"/>
    <x v="194"/>
    <s v="expense"/>
    <s v="entertain_1781955063348_kx2f"/>
    <s v="rc_acc_1781955063347_hv85"/>
    <x v="1"/>
    <s v="tablet(7/10)"/>
    <m/>
    <s v="import"/>
    <s v=""/>
    <b v="0"/>
    <s v=""/>
  </r>
  <r>
    <s v="3bda6296-74a9-45bc-9fb8-d6542cda9309"/>
    <x v="152"/>
    <s v="12:25"/>
    <x v="19"/>
    <s v="expense"/>
    <s v="rc_cat_1781955063347_s4sz_1781955063360_d7jr"/>
    <s v="kbank"/>
    <x v="1"/>
    <s v="ตัดผม"/>
    <m/>
    <s v="import"/>
    <s v=""/>
    <b v="0"/>
    <s v=""/>
  </r>
  <r>
    <s v="62de0c8b-ab34-4b66-aef6-1ca1af8b5e21"/>
    <x v="153"/>
    <s v="12:17"/>
    <x v="261"/>
    <s v="transfer"/>
    <s v="other"/>
    <s v="advance"/>
    <x v="4"/>
    <s v="-"/>
    <m/>
    <s v="import"/>
    <s v=""/>
    <b v="0"/>
    <s v=""/>
  </r>
  <r>
    <s v="55c57f50-398a-424a-acc1-2e1f3bdd9062"/>
    <x v="153"/>
    <s v="12:18"/>
    <x v="262"/>
    <s v="transfer"/>
    <s v="other"/>
    <s v="advance"/>
    <x v="4"/>
    <s v="-"/>
    <m/>
    <s v="import"/>
    <s v=""/>
    <b v="0"/>
    <s v=""/>
  </r>
  <r>
    <s v="56ed0e91-91b3-4ea1-b899-64100a1064bd"/>
    <x v="154"/>
    <s v="00:00"/>
    <x v="4"/>
    <s v="expense"/>
    <s v="rc_cat_1781955063347_anhy_1781955063350_fcpb"/>
    <s v="kbank"/>
    <x v="1"/>
    <s v="-"/>
    <m/>
    <s v="import"/>
    <s v=""/>
    <b v="0"/>
    <s v=""/>
  </r>
  <r>
    <s v="f1b43b58-d3a1-4c3a-88fe-541db4ca0a26"/>
    <x v="155"/>
    <s v="09:07"/>
    <x v="263"/>
    <s v="expense"/>
    <s v="rc_cat_1781955063347_5qjb_1781955063347_tezk"/>
    <s v="kbank"/>
    <x v="1"/>
    <s v="-"/>
    <m/>
    <s v="import"/>
    <s v=""/>
    <b v="0"/>
    <s v=""/>
  </r>
  <r>
    <s v="faa98b8e-f9fe-44e2-83bc-41c1b581e706"/>
    <x v="156"/>
    <s v="09:08"/>
    <x v="264"/>
    <s v="expense"/>
    <s v="rc_cat_1781955063347_04qb_1781955063347_wt5p"/>
    <s v="kbank"/>
    <x v="1"/>
    <s v="-"/>
    <m/>
    <s v="import"/>
    <s v=""/>
    <b v="0"/>
    <s v=""/>
  </r>
  <r>
    <s v="207faf00-466a-4ce1-8f53-5a585d68c886"/>
    <x v="156"/>
    <s v="09:10"/>
    <x v="265"/>
    <s v="expense"/>
    <s v="rc_cat_1781955063347_5qjb_1781955063347_tezk"/>
    <s v="kbank"/>
    <x v="1"/>
    <s v="-"/>
    <m/>
    <s v="import"/>
    <s v=""/>
    <b v="0"/>
    <s v=""/>
  </r>
  <r>
    <s v="65862726-ead2-43b8-972c-889f5af99f6f"/>
    <x v="156"/>
    <s v="12:18"/>
    <x v="262"/>
    <s v="transfer"/>
    <s v="other"/>
    <s v="kbank"/>
    <x v="2"/>
    <s v="-"/>
    <m/>
    <s v="import"/>
    <s v=""/>
    <b v="0"/>
    <s v=""/>
  </r>
  <r>
    <s v="8dc7ec33-e02f-40cf-b31c-dd858c2e6c39"/>
    <x v="156"/>
    <s v="13:28"/>
    <x v="266"/>
    <s v="transfer"/>
    <s v="other"/>
    <s v="kbank"/>
    <x v="2"/>
    <s v="-"/>
    <m/>
    <s v="import"/>
    <s v=""/>
    <b v="0"/>
    <s v=""/>
  </r>
  <r>
    <s v="9e0e01d4-ec04-4bcd-aaf7-1632be74a52e"/>
    <x v="157"/>
    <s v="13:25"/>
    <x v="267"/>
    <s v="expense"/>
    <s v="rc_cat_1781955063347_anhy_1781955063347_qnaz"/>
    <s v="kbank"/>
    <x v="1"/>
    <s v="ซาลาเปาไหว้เชงเม้ง"/>
    <m/>
    <s v="import"/>
    <s v=""/>
    <b v="0"/>
    <s v=""/>
  </r>
  <r>
    <s v="c5aff016-696d-44cd-8cae-a9d4aa35a3a8"/>
    <x v="157"/>
    <s v="13:27"/>
    <x v="268"/>
    <s v="expense"/>
    <s v="rc_cat_1781955063347_anhy_1781955063347_qnaz"/>
    <s v="kbank"/>
    <x v="1"/>
    <s v="-"/>
    <m/>
    <s v="import"/>
    <s v=""/>
    <b v="0"/>
    <s v=""/>
  </r>
  <r>
    <s v="05425e62-c9d9-4b96-8f71-a3051f3c8604"/>
    <x v="158"/>
    <s v="12:17"/>
    <x v="261"/>
    <s v="transfer"/>
    <s v="other"/>
    <s v="kbank"/>
    <x v="2"/>
    <s v="-"/>
    <m/>
    <s v="import"/>
    <s v=""/>
    <b v="0"/>
    <s v=""/>
  </r>
  <r>
    <s v="2d23142b-3460-4f3c-bd11-5bb8716b7b46"/>
    <x v="159"/>
    <s v="00:00"/>
    <x v="144"/>
    <s v="transfer"/>
    <s v="other"/>
    <s v="kbank"/>
    <x v="8"/>
    <s v="-"/>
    <m/>
    <s v="import"/>
    <s v=""/>
    <b v="0"/>
    <s v=""/>
  </r>
  <r>
    <s v="aa573499-5146-4690-a039-078345b641af"/>
    <x v="159"/>
    <s v="00:00"/>
    <x v="269"/>
    <s v="expense"/>
    <s v="rc_cat_1781955063347_04qb_1781955063347_kgnn"/>
    <s v="kbank"/>
    <x v="1"/>
    <s v="-"/>
    <m/>
    <s v="import"/>
    <s v=""/>
    <b v="0"/>
    <s v=""/>
  </r>
  <r>
    <s v="5c1136c9-600b-4a73-a961-64b4078728fc"/>
    <x v="159"/>
    <s v="00:00"/>
    <x v="143"/>
    <s v="expense"/>
    <s v="rc_cat_1781955063347_04qb_1781955063350_acgf"/>
    <s v="kbank"/>
    <x v="1"/>
    <s v="-"/>
    <m/>
    <s v="import"/>
    <s v=""/>
    <b v="0"/>
    <s v=""/>
  </r>
  <r>
    <s v="3651cdeb-5a3d-4079-8990-ccc80aa74940"/>
    <x v="159"/>
    <s v="00:00"/>
    <x v="270"/>
    <s v="expense"/>
    <s v="rc_cat_1781955063347_04qb_1781955063347_lu9b"/>
    <s v="kbank"/>
    <x v="1"/>
    <s v="-"/>
    <m/>
    <s v="import"/>
    <s v=""/>
    <b v="0"/>
    <s v=""/>
  </r>
  <r>
    <s v="84aaa1ac-2d18-4c66-bb20-0db1e36f30e7"/>
    <x v="159"/>
    <s v="00:00"/>
    <x v="129"/>
    <s v="expense"/>
    <s v="rc_cat_1781955063347_04qb_1781955063360_ocha"/>
    <s v="kbank"/>
    <x v="1"/>
    <s v="-"/>
    <m/>
    <s v="import"/>
    <s v=""/>
    <b v="0"/>
    <s v=""/>
  </r>
  <r>
    <s v="7b34b131-ff70-4f1f-922e-7ea88954796a"/>
    <x v="159"/>
    <s v="00:00"/>
    <x v="109"/>
    <s v="income"/>
    <s v="income_1781955063347_5zxt"/>
    <s v="kbank"/>
    <x v="1"/>
    <s v="-"/>
    <m/>
    <s v="import"/>
    <s v=""/>
    <b v="0"/>
    <s v=""/>
  </r>
  <r>
    <s v="8c4aa026-c947-4307-a58d-5adfb55bc793"/>
    <x v="159"/>
    <s v="00:00"/>
    <x v="31"/>
    <s v="transfer"/>
    <s v="other"/>
    <s v="kbank"/>
    <x v="7"/>
    <s v="-"/>
    <m/>
    <s v="import"/>
    <s v=""/>
    <b v="0"/>
    <s v=""/>
  </r>
  <r>
    <s v="0c5826cb-bd78-48bc-aed3-d7fe58e7ea46"/>
    <x v="159"/>
    <s v="00:00"/>
    <x v="128"/>
    <s v="expense"/>
    <s v="rc_cat_1781955063347_04qb_1781955063360_g684"/>
    <s v="kbank"/>
    <x v="1"/>
    <s v="-"/>
    <m/>
    <s v="import"/>
    <s v=""/>
    <b v="0"/>
    <s v=""/>
  </r>
  <r>
    <s v="2098f84b-d61f-43a7-81cc-c5022aae19f2"/>
    <x v="160"/>
    <s v="11:50"/>
    <x v="271"/>
    <s v="expense"/>
    <s v="rc_cat_1781955063347_04qb_1781955063350_acgf"/>
    <s v="kbank"/>
    <x v="1"/>
    <s v="-"/>
    <m/>
    <s v="import"/>
    <s v=""/>
    <b v="0"/>
    <s v=""/>
  </r>
  <r>
    <s v="cb2bff7e-4eec-4c44-9d94-ea9912089ea5"/>
    <x v="160"/>
    <s v="11:52"/>
    <x v="266"/>
    <s v="transfer"/>
    <s v="other"/>
    <s v="kbank"/>
    <x v="17"/>
    <s v="-"/>
    <m/>
    <s v="import"/>
    <s v=""/>
    <b v="0"/>
    <s v=""/>
  </r>
  <r>
    <s v="ac7f5b25-0baf-4cef-97d7-cea76463e2dd"/>
    <x v="160"/>
    <s v="14:09"/>
    <x v="194"/>
    <s v="transfer"/>
    <s v="other"/>
    <s v="rc_acc_1781955063348_obza"/>
    <x v="14"/>
    <s v="-"/>
    <m/>
    <s v="import"/>
    <s v=""/>
    <b v="0"/>
    <s v=""/>
  </r>
  <r>
    <s v="2420df06-dd2f-4030-a3d0-fd44eced35a9"/>
    <x v="160"/>
    <s v="14:26"/>
    <x v="272"/>
    <s v="expense"/>
    <s v="entertain_1781955063349_gok1"/>
    <s v="kbank"/>
    <x v="1"/>
    <s v="Tokyo 2025"/>
    <m/>
    <s v="import"/>
    <s v=""/>
    <b v="0"/>
    <s v=""/>
  </r>
  <r>
    <s v="9247c390-53e8-409c-a0e5-265fa4481cc8"/>
    <x v="160"/>
    <s v="14:27"/>
    <x v="273"/>
    <s v="expense"/>
    <s v="rc_cat_1781955063347_s4sz_1781955063347_deos"/>
    <s v="kbank"/>
    <x v="1"/>
    <s v="H&amp;M"/>
    <m/>
    <s v="import"/>
    <s v=""/>
    <b v="0"/>
    <s v=""/>
  </r>
  <r>
    <s v="db1acb03-519f-46d9-9936-990511e73bea"/>
    <x v="160"/>
    <s v="14:30"/>
    <x v="274"/>
    <s v="transfer"/>
    <s v="other"/>
    <s v="kbank"/>
    <x v="15"/>
    <s v="-"/>
    <m/>
    <s v="import"/>
    <s v=""/>
    <b v="0"/>
    <s v=""/>
  </r>
  <r>
    <s v="a792390b-5598-46b6-97b5-964a92b1ca03"/>
    <x v="160"/>
    <s v="14:30"/>
    <x v="275"/>
    <s v="expense"/>
    <s v="rc_cat_1781955063347_04qb_1781955063361_s1n1"/>
    <s v="kbank"/>
    <x v="1"/>
    <s v="เบี้ยจริง 23294 บวกหัก 1800 หักคอย 1361.25 บวกจุกจิก 2344"/>
    <m/>
    <s v="import"/>
    <s v=""/>
    <b v="0"/>
    <s v=""/>
  </r>
  <r>
    <s v="65740a53-e09f-4a82-a8e5-2f065fd72237"/>
    <x v="160"/>
    <s v="14:36"/>
    <x v="276"/>
    <s v="transfer"/>
    <s v="other"/>
    <s v="rc_acc_1781955063348_w3gp"/>
    <x v="4"/>
    <s v="คืนยอด 9 มีค"/>
    <m/>
    <s v="import"/>
    <s v=""/>
    <b v="0"/>
    <s v=""/>
  </r>
  <r>
    <s v="957e8204-9261-429b-bbd0-46be0d1cd5dc"/>
    <x v="160"/>
    <s v="14:41"/>
    <x v="277"/>
    <s v="transfer"/>
    <s v="other"/>
    <s v="advance"/>
    <x v="4"/>
    <s v="-"/>
    <m/>
    <s v="import"/>
    <s v=""/>
    <b v="0"/>
    <s v=""/>
  </r>
  <r>
    <s v="ea108092-1c66-4be4-958f-c90a7c3cde7d"/>
    <x v="160"/>
    <s v="14:45"/>
    <x v="278"/>
    <s v="transfer"/>
    <s v="other"/>
    <s v="advance"/>
    <x v="4"/>
    <s v="-"/>
    <m/>
    <s v="import"/>
    <s v=""/>
    <b v="0"/>
    <s v=""/>
  </r>
  <r>
    <s v="6f758c79-7b16-421d-ba70-aeac7ff74d47"/>
    <x v="161"/>
    <s v="20:53"/>
    <x v="194"/>
    <s v="expense"/>
    <s v="entertain_1781955063348_kx2f"/>
    <s v="rc_acc_1781955063347_hv85"/>
    <x v="1"/>
    <s v="tablet(6/10)"/>
    <m/>
    <s v="import"/>
    <s v=""/>
    <b v="0"/>
    <s v=""/>
  </r>
  <r>
    <s v="094e8bdd-e2a1-4c06-b535-706cc5ea1020"/>
    <x v="162"/>
    <s v="10:53"/>
    <x v="0"/>
    <s v="transfer"/>
    <s v="other"/>
    <s v="kbank"/>
    <x v="10"/>
    <s v="-"/>
    <m/>
    <s v="import"/>
    <s v=""/>
    <b v="0"/>
    <s v=""/>
  </r>
  <r>
    <s v="52cba671-8f9d-48e9-9cbb-7603b85b52ff"/>
    <x v="162"/>
    <s v="11:50"/>
    <x v="276"/>
    <s v="transfer"/>
    <s v="other"/>
    <s v="kbank"/>
    <x v="17"/>
    <s v="-"/>
    <m/>
    <s v="import"/>
    <s v=""/>
    <b v="0"/>
    <s v=""/>
  </r>
  <r>
    <s v="e0564ff9-e263-4d17-bcf0-f1c01ae30ee2"/>
    <x v="163"/>
    <s v="10:47"/>
    <x v="279"/>
    <s v="transfer"/>
    <s v="other"/>
    <s v="kbank"/>
    <x v="2"/>
    <s v="-"/>
    <m/>
    <s v="import"/>
    <s v=""/>
    <b v="0"/>
    <s v=""/>
  </r>
  <r>
    <s v="139fef94-848e-444e-8fd6-78b1cbcabcdf"/>
    <x v="164"/>
    <s v="10:48"/>
    <x v="280"/>
    <s v="transfer"/>
    <s v="other"/>
    <s v="kbank"/>
    <x v="10"/>
    <s v="kkp"/>
    <m/>
    <s v="import"/>
    <s v=""/>
    <b v="0"/>
    <s v=""/>
  </r>
  <r>
    <s v="43c6c31e-9577-42d3-8150-23708fbaa74d"/>
    <x v="164"/>
    <s v="10:51"/>
    <x v="281"/>
    <s v="expense"/>
    <s v="rc_cat_1781955063347_anhy_1781955063348_k5l1"/>
    <s v="kbank"/>
    <x v="1"/>
    <s v="ของพลีส"/>
    <m/>
    <s v="import"/>
    <s v=""/>
    <b v="0"/>
    <s v=""/>
  </r>
  <r>
    <s v="f0357cc1-9e99-4ae3-9707-7e359807b7fb"/>
    <x v="165"/>
    <s v="10:49"/>
    <x v="268"/>
    <s v="expense"/>
    <s v="rc_cat_1781955063347_anhy_1781955063347_qnaz"/>
    <s v="kbank"/>
    <x v="1"/>
    <s v="-"/>
    <m/>
    <s v="import"/>
    <s v=""/>
    <b v="0"/>
    <s v=""/>
  </r>
  <r>
    <s v="ea12945d-75a0-492a-982a-b60b4b671b6d"/>
    <x v="165"/>
    <s v="13:40"/>
    <x v="276"/>
    <s v="transfer"/>
    <s v="other"/>
    <s v="kbank"/>
    <x v="2"/>
    <s v="shopee pay"/>
    <m/>
    <s v="import"/>
    <s v=""/>
    <b v="0"/>
    <s v=""/>
  </r>
  <r>
    <s v="da35e1ea-e0f3-4b58-b3b1-c62d282d0a94"/>
    <x v="165"/>
    <s v="13:42"/>
    <x v="282"/>
    <s v="transfer"/>
    <s v="other"/>
    <s v="advance"/>
    <x v="4"/>
    <s v="tonshin ramen ยอดรวม 1730"/>
    <m/>
    <s v="import"/>
    <s v=""/>
    <b v="0"/>
    <s v=""/>
  </r>
  <r>
    <s v="94d82c34-609f-453b-91f7-428e8175e264"/>
    <x v="166"/>
    <s v="00:00"/>
    <x v="4"/>
    <s v="expense"/>
    <s v="rc_cat_1781955063347_anhy_1781955063350_fcpb"/>
    <s v="kbank"/>
    <x v="1"/>
    <s v="-"/>
    <m/>
    <s v="import"/>
    <s v=""/>
    <b v="0"/>
    <s v=""/>
  </r>
  <r>
    <s v="5d642115-18e3-458f-80b7-5838ee70c5eb"/>
    <x v="166"/>
    <s v="13:46"/>
    <x v="283"/>
    <s v="expense"/>
    <s v="rc_cat_1781955063347_04qb_1781955063347_wt5p"/>
    <s v="kbank"/>
    <x v="1"/>
    <s v="-"/>
    <m/>
    <s v="import"/>
    <s v=""/>
    <b v="0"/>
    <s v=""/>
  </r>
  <r>
    <s v="48c6f056-adb6-4193-8a80-469af253036d"/>
    <x v="167"/>
    <s v="13:39"/>
    <x v="284"/>
    <s v="expense"/>
    <s v="rc_cat_1781955063347_5qjb_1781955063347_tezk"/>
    <s v="kbank"/>
    <x v="1"/>
    <s v="-"/>
    <m/>
    <s v="import"/>
    <s v=""/>
    <b v="0"/>
    <s v=""/>
  </r>
  <r>
    <s v="a62daf58-5fa4-40c7-86a1-90475ffa0953"/>
    <x v="168"/>
    <s v="13:47"/>
    <x v="0"/>
    <s v="transfer"/>
    <s v="other"/>
    <s v="kbank"/>
    <x v="10"/>
    <s v="-"/>
    <m/>
    <s v="import"/>
    <s v=""/>
    <b v="0"/>
    <s v=""/>
  </r>
  <r>
    <s v="6872335c-f083-4005-85c2-46433ad213f6"/>
    <x v="169"/>
    <s v="10:30"/>
    <x v="285"/>
    <s v="transfer"/>
    <s v="other"/>
    <s v="kbank"/>
    <x v="2"/>
    <s v="จ่ายค่าไฟ"/>
    <m/>
    <s v="import"/>
    <s v=""/>
    <b v="0"/>
    <s v=""/>
  </r>
  <r>
    <s v="b3d9d314-0bf0-45b3-bc82-717c2b1ba5a2"/>
    <x v="170"/>
    <s v="00:00"/>
    <x v="109"/>
    <s v="income"/>
    <s v="income_1781955063347_5zxt"/>
    <s v="kbank"/>
    <x v="1"/>
    <s v="-"/>
    <m/>
    <s v="import"/>
    <s v=""/>
    <b v="0"/>
    <s v=""/>
  </r>
  <r>
    <s v="33e09a17-e5a5-416b-bf2f-9e5d40801788"/>
    <x v="170"/>
    <s v="00:00"/>
    <x v="130"/>
    <s v="expense"/>
    <s v="rc_cat_1781955063347_04qb_1781955063347_lu9b"/>
    <s v="kbank"/>
    <x v="1"/>
    <s v="-"/>
    <m/>
    <s v="import"/>
    <s v=""/>
    <b v="0"/>
    <s v=""/>
  </r>
  <r>
    <s v="8939cbc7-5989-4b60-8ce0-cbf105600b3d"/>
    <x v="170"/>
    <s v="00:00"/>
    <x v="129"/>
    <s v="expense"/>
    <s v="rc_cat_1781955063347_04qb_1781955063360_ocha"/>
    <s v="kbank"/>
    <x v="1"/>
    <s v="-"/>
    <m/>
    <s v="import"/>
    <s v=""/>
    <b v="0"/>
    <s v=""/>
  </r>
  <r>
    <s v="ab510b13-bbdc-4885-bfef-85ba38299116"/>
    <x v="170"/>
    <s v="00:00"/>
    <x v="127"/>
    <s v="expense"/>
    <s v="rc_cat_1781955063347_04qb_1781955063347_kgnn"/>
    <s v="kbank"/>
    <x v="1"/>
    <s v="-"/>
    <m/>
    <s v="import"/>
    <s v=""/>
    <b v="0"/>
    <s v=""/>
  </r>
  <r>
    <s v="121fdcad-10d8-44b9-be68-b4143563aac8"/>
    <x v="170"/>
    <s v="00:00"/>
    <x v="286"/>
    <s v="expense"/>
    <s v="rc_cat_1781955063347_04qb_1781955063350_acgf"/>
    <s v="kbank"/>
    <x v="1"/>
    <s v="-"/>
    <m/>
    <s v="import"/>
    <s v=""/>
    <b v="0"/>
    <s v=""/>
  </r>
  <r>
    <s v="fb86c2c4-05de-4b70-9f5e-58d93d05f434"/>
    <x v="170"/>
    <s v="00:00"/>
    <x v="125"/>
    <s v="transfer"/>
    <s v="other"/>
    <s v="kbank"/>
    <x v="8"/>
    <s v="-"/>
    <m/>
    <s v="import"/>
    <s v=""/>
    <b v="0"/>
    <s v=""/>
  </r>
  <r>
    <s v="cfdfbd8a-62c2-4f29-86e5-e732af825283"/>
    <x v="170"/>
    <s v="00:00"/>
    <x v="31"/>
    <s v="transfer"/>
    <s v="other"/>
    <s v="kbank"/>
    <x v="7"/>
    <s v="-"/>
    <m/>
    <s v="import"/>
    <s v=""/>
    <b v="0"/>
    <s v=""/>
  </r>
  <r>
    <s v="f209c040-72ac-4a24-85b3-c0b2a12b0da7"/>
    <x v="170"/>
    <s v="00:00"/>
    <x v="128"/>
    <s v="expense"/>
    <s v="rc_cat_1781955063347_04qb_1781955063360_g684"/>
    <s v="kbank"/>
    <x v="1"/>
    <s v="-"/>
    <m/>
    <s v="import"/>
    <s v=""/>
    <b v="0"/>
    <s v=""/>
  </r>
  <r>
    <s v="196fa781-ab34-428f-8c20-213d4c8ea5ef"/>
    <x v="170"/>
    <s v="10:29"/>
    <x v="287"/>
    <s v="income"/>
    <s v="income_1781955063347_zblt"/>
    <s v="kbank"/>
    <x v="1"/>
    <s v="-"/>
    <m/>
    <s v="import"/>
    <s v=""/>
    <b v="0"/>
    <s v=""/>
  </r>
  <r>
    <s v="8da6c892-d4ab-4fed-8583-cf397a89e4fc"/>
    <x v="170"/>
    <s v="10:29"/>
    <x v="288"/>
    <s v="income"/>
    <s v="income_1781955063347_5zxt"/>
    <s v="kbank"/>
    <x v="1"/>
    <s v="-"/>
    <m/>
    <s v="import"/>
    <s v=""/>
    <b v="0"/>
    <s v=""/>
  </r>
  <r>
    <s v="da05655f-b023-4056-8cc7-71ed1263e611"/>
    <x v="171"/>
    <s v="11:49"/>
    <x v="289"/>
    <s v="expense"/>
    <s v="entertain_1781955063352_1jgx"/>
    <s v="kbank"/>
    <x v="1"/>
    <s v="การ์ดจอ"/>
    <m/>
    <s v="import"/>
    <s v=""/>
    <b v="0"/>
    <s v=""/>
  </r>
  <r>
    <s v="7993bf36-d325-46cc-98cf-9903e4b7ddcb"/>
    <x v="171"/>
    <s v="12:00"/>
    <x v="194"/>
    <s v="income"/>
    <s v="other_1781955063347_5s7r"/>
    <s v="rc_acc_1781955063347_hv85"/>
    <x v="1"/>
    <s v="Difference"/>
    <m/>
    <s v="import"/>
    <s v=""/>
    <b v="0"/>
    <s v=""/>
  </r>
  <r>
    <s v="e0a8d95e-125e-438e-8391-1fd73c35392d"/>
    <x v="171"/>
    <s v="13:53"/>
    <x v="4"/>
    <s v="expense"/>
    <s v="rc_cat_1781955063347_anhy_1781955063350_fcpb"/>
    <s v="kbank"/>
    <x v="1"/>
    <s v="-"/>
    <m/>
    <s v="import"/>
    <s v=""/>
    <b v="0"/>
    <s v=""/>
  </r>
  <r>
    <s v="fcefd130-8970-49b9-a77c-faddfac91f4b"/>
    <x v="171"/>
    <s v="13:54"/>
    <x v="290"/>
    <s v="transfer"/>
    <s v="other"/>
    <s v="kbank"/>
    <x v="2"/>
    <s v="-"/>
    <m/>
    <s v="import"/>
    <s v=""/>
    <b v="0"/>
    <s v=""/>
  </r>
  <r>
    <s v="80569601-4f6b-42a1-8a6e-15b595a31acb"/>
    <x v="171"/>
    <s v="15:02"/>
    <x v="291"/>
    <s v="expense"/>
    <s v="entertain_1781955063349_gok1"/>
    <s v="advance"/>
    <x v="1"/>
    <s v="JP25 Tokyo ตั๋วบินกลับโตเกียว 6913 ได้ส่วนต่าง 1154 หักยอด 19181"/>
    <m/>
    <s v="import"/>
    <s v=""/>
    <b v="0"/>
    <s v=""/>
  </r>
  <r>
    <s v="e55fed45-7d73-4831-abed-c17bb52f6a8b"/>
    <x v="171"/>
    <s v="15:03"/>
    <x v="292"/>
    <s v="transfer"/>
    <s v="other"/>
    <s v="advance"/>
    <x v="18"/>
    <s v="ยอดกองกลางเงินเยน หักยอด 19181"/>
    <m/>
    <s v="import"/>
    <s v=""/>
    <b v="0"/>
    <s v=""/>
  </r>
  <r>
    <s v="8f9dbdef-da15-46ea-8281-2eca0c059bbc"/>
    <x v="171"/>
    <s v="15:11"/>
    <x v="293"/>
    <s v="transfer"/>
    <s v="other"/>
    <s v="advance"/>
    <x v="4"/>
    <s v="คืนยอด"/>
    <m/>
    <s v="import"/>
    <s v=""/>
    <b v="0"/>
    <s v=""/>
  </r>
  <r>
    <s v="c3b48f9d-ee88-4768-9b1d-3ff55b23fdb2"/>
    <x v="171"/>
    <s v="15:18"/>
    <x v="294"/>
    <s v="expense"/>
    <s v="rc_cat_1781955063347_5qjb_1781955063347_tezk"/>
    <s v="advance"/>
    <x v="1"/>
    <s v="daily food janfeb"/>
    <m/>
    <s v="import"/>
    <s v=""/>
    <b v="0"/>
    <s v=""/>
  </r>
  <r>
    <s v="862f1288-d18a-44bb-af62-f479044bdd28"/>
    <x v="171"/>
    <s v="15:22"/>
    <x v="295"/>
    <s v="expense"/>
    <s v="entertain_1781955063352_1jgx"/>
    <s v="advance"/>
    <x v="1"/>
    <s v="shoping youtube"/>
    <m/>
    <s v="import"/>
    <s v=""/>
    <b v="0"/>
    <s v=""/>
  </r>
  <r>
    <s v="c811914a-aec7-4597-87c1-fa06298eaa6b"/>
    <x v="171"/>
    <s v="15:22"/>
    <x v="296"/>
    <s v="expense"/>
    <s v="entertain_1781955063349_gok1"/>
    <s v="advance"/>
    <x v="1"/>
    <s v="-"/>
    <m/>
    <s v="import"/>
    <s v=""/>
    <b v="0"/>
    <s v=""/>
  </r>
  <r>
    <s v="f25a7a93-535b-48b7-9f15-563318e06ec4"/>
    <x v="171"/>
    <s v="15:23"/>
    <x v="297"/>
    <s v="expense"/>
    <s v="entertain_1781955063352_1jgx"/>
    <s v="advance"/>
    <x v="1"/>
    <s v="shoping youtube"/>
    <m/>
    <s v="import"/>
    <s v=""/>
    <b v="0"/>
    <s v=""/>
  </r>
  <r>
    <s v="29e3c58b-b660-425f-897c-723edd6dca96"/>
    <x v="171"/>
    <s v="15:27"/>
    <x v="298"/>
    <s v="expense"/>
    <s v="entertain_1781955063349_gok1"/>
    <s v="rc_acc_1781955063358_cs4m"/>
    <x v="1"/>
    <s v="Difference"/>
    <m/>
    <s v="import"/>
    <s v=""/>
    <b v="0"/>
    <s v=""/>
  </r>
  <r>
    <s v="2906d9bd-e193-4bff-958c-edac7f19006e"/>
    <x v="172"/>
    <s v="15:17"/>
    <x v="297"/>
    <s v="transfer"/>
    <s v="other"/>
    <s v="kbank"/>
    <x v="2"/>
    <s v="1515 915 1515 915"/>
    <m/>
    <s v="import"/>
    <s v=""/>
    <b v="0"/>
    <s v=""/>
  </r>
  <r>
    <s v="95689aaf-69ba-4a64-ba26-549ed360d22d"/>
    <x v="172"/>
    <s v="15:38"/>
    <x v="299"/>
    <s v="expense"/>
    <s v="other_1781955063347_5s7r"/>
    <s v="rc_acc_1781955063348_obza"/>
    <x v="1"/>
    <s v="Difference"/>
    <m/>
    <s v="import"/>
    <s v=""/>
    <b v="0"/>
    <s v=""/>
  </r>
  <r>
    <s v="201a1cbd-d3f1-428f-8631-f50dcc4930e3"/>
    <x v="173"/>
    <s v="15:27"/>
    <x v="300"/>
    <s v="income"/>
    <s v="income_1781955063351_3ab8"/>
    <s v="rc_acc_1781955063347_uxz4"/>
    <x v="1"/>
    <s v="-"/>
    <m/>
    <s v="import"/>
    <s v=""/>
    <b v="0"/>
    <s v=""/>
  </r>
  <r>
    <s v="bb2739ed-00b2-46c8-82c2-fe02cea4dbb3"/>
    <x v="174"/>
    <s v="15:18"/>
    <x v="22"/>
    <s v="transfer"/>
    <s v="other"/>
    <s v="kbank"/>
    <x v="19"/>
    <s v="-"/>
    <m/>
    <s v="import"/>
    <s v=""/>
    <b v="0"/>
    <s v=""/>
  </r>
  <r>
    <s v="61ad7358-108d-4bd6-975a-dfbe49330863"/>
    <x v="175"/>
    <s v="15:15"/>
    <x v="301"/>
    <s v="expense"/>
    <s v="rc_cat_1781955063347_anhy_1781955063348_k5l1"/>
    <s v="kbank"/>
    <x v="1"/>
    <s v="cake p surach"/>
    <m/>
    <s v="import"/>
    <s v=""/>
    <b v="0"/>
    <s v=""/>
  </r>
  <r>
    <s v="d10fac0f-824f-4281-a19d-499a42712631"/>
    <x v="176"/>
    <s v="15:15"/>
    <x v="302"/>
    <s v="expense"/>
    <s v="rc_cat_1781955063347_04qb_1781955063347_wt5p"/>
    <s v="kbank"/>
    <x v="1"/>
    <s v="-"/>
    <m/>
    <s v="import"/>
    <s v=""/>
    <b v="0"/>
    <s v=""/>
  </r>
  <r>
    <s v="93038872-027f-49f9-97b6-1f443d37c01e"/>
    <x v="176"/>
    <s v="15:16"/>
    <x v="178"/>
    <s v="expense"/>
    <s v="rc_cat_1781955063347_anhy_1781955063348_k5l1"/>
    <s v="kbank"/>
    <x v="1"/>
    <s v="-"/>
    <m/>
    <s v="import"/>
    <s v=""/>
    <b v="0"/>
    <s v=""/>
  </r>
  <r>
    <s v="65748fb2-ab3f-469c-8b1e-0d4b0bfe681a"/>
    <x v="177"/>
    <s v="20:53"/>
    <x v="194"/>
    <s v="expense"/>
    <s v="entertain_1781955063348_kx2f"/>
    <s v="rc_acc_1781955063347_hv85"/>
    <x v="1"/>
    <s v="tablet(5/10)"/>
    <m/>
    <s v="import"/>
    <s v=""/>
    <b v="0"/>
    <s v=""/>
  </r>
  <r>
    <s v="c02d49d4-5283-41eb-a552-27e086984656"/>
    <x v="178"/>
    <s v="15:13"/>
    <x v="296"/>
    <s v="transfer"/>
    <s v="other"/>
    <s v="kbank"/>
    <x v="2"/>
    <s v="youtrip"/>
    <m/>
    <s v="import"/>
    <s v=""/>
    <b v="0"/>
    <s v=""/>
  </r>
  <r>
    <s v="894935d3-721c-46ba-90f6-6fbd2261c4b3"/>
    <x v="179"/>
    <s v="15:12"/>
    <x v="182"/>
    <s v="expense"/>
    <s v="other_1781955063348_27zj"/>
    <s v="kbank"/>
    <x v="1"/>
    <s v="-"/>
    <m/>
    <s v="import"/>
    <s v=""/>
    <b v="0"/>
    <s v=""/>
  </r>
  <r>
    <s v="d2120bd9-877e-4a4b-8b6f-c80d5cc61f89"/>
    <x v="180"/>
    <s v="15:13"/>
    <x v="277"/>
    <s v="transfer"/>
    <s v="other"/>
    <s v="kbank"/>
    <x v="2"/>
    <s v="ชำระยอด shopee มค"/>
    <m/>
    <s v="import"/>
    <s v=""/>
    <b v="0"/>
    <s v=""/>
  </r>
  <r>
    <s v="8a08e641-282e-4198-b156-30559318b246"/>
    <x v="181"/>
    <s v="15:14"/>
    <x v="303"/>
    <s v="expense"/>
    <s v="rc_cat_1781955063347_5qjb_1781955063347_tezk"/>
    <s v="kbank"/>
    <x v="1"/>
    <s v="ค่ากินเดือน มค"/>
    <m/>
    <s v="import"/>
    <s v=""/>
    <b v="0"/>
    <s v=""/>
  </r>
  <r>
    <s v="8dc82f05-de23-4d92-bfba-4d2ca2aa45c8"/>
    <x v="182"/>
    <s v="15:11"/>
    <x v="304"/>
    <s v="expense"/>
    <s v="other_1781955063348_27zj"/>
    <s v="kbank"/>
    <x v="1"/>
    <s v="-"/>
    <m/>
    <s v="import"/>
    <s v=""/>
    <b v="0"/>
    <s v=""/>
  </r>
  <r>
    <s v="0edff1f8-0b42-4cf3-abfc-64e109573b54"/>
    <x v="183"/>
    <s v="15:33"/>
    <x v="305"/>
    <s v="expense"/>
    <s v="rc_cat_1781955063347_anhy_1781955063347_qnaz"/>
    <s v="rc_acc_1781955063348_hnxg"/>
    <x v="1"/>
    <s v="-"/>
    <m/>
    <s v="import"/>
    <s v=""/>
    <b v="0"/>
    <s v=""/>
  </r>
  <r>
    <s v="9c227e9b-bd9f-4614-ab8c-225fa8880314"/>
    <x v="184"/>
    <s v="00:00"/>
    <x v="128"/>
    <s v="expense"/>
    <s v="rc_cat_1781955063347_04qb_1781955063360_g684"/>
    <s v="kbank"/>
    <x v="1"/>
    <s v="-"/>
    <m/>
    <s v="import"/>
    <s v=""/>
    <b v="0"/>
    <s v=""/>
  </r>
  <r>
    <s v="5ec36940-36fb-4080-aa12-fd5a020639b6"/>
    <x v="184"/>
    <s v="00:00"/>
    <x v="306"/>
    <s v="expense"/>
    <s v="rc_cat_1781955063347_04qb_1781955063360_ocha"/>
    <s v="kbank"/>
    <x v="1"/>
    <s v="-"/>
    <m/>
    <s v="import"/>
    <s v=""/>
    <b v="0"/>
    <s v=""/>
  </r>
  <r>
    <s v="98194085-51d3-4832-a8ce-2df198bc5924"/>
    <x v="184"/>
    <s v="00:00"/>
    <x v="31"/>
    <s v="transfer"/>
    <s v="other"/>
    <s v="kbank"/>
    <x v="7"/>
    <s v="-"/>
    <m/>
    <s v="import"/>
    <s v=""/>
    <b v="0"/>
    <s v=""/>
  </r>
  <r>
    <s v="aabfc854-68d4-42cf-ba8f-3f6eaaf09176"/>
    <x v="184"/>
    <s v="00:00"/>
    <x v="307"/>
    <s v="transfer"/>
    <s v="other"/>
    <s v="kbank"/>
    <x v="8"/>
    <s v="-"/>
    <m/>
    <s v="import"/>
    <s v=""/>
    <b v="0"/>
    <s v=""/>
  </r>
  <r>
    <s v="b8055fcb-c101-4e28-a4b6-dc3a40d77ecf"/>
    <x v="184"/>
    <s v="00:00"/>
    <x v="126"/>
    <s v="expense"/>
    <s v="rc_cat_1781955063347_04qb_1781955063350_acgf"/>
    <s v="kbank"/>
    <x v="1"/>
    <s v="-"/>
    <m/>
    <s v="import"/>
    <s v=""/>
    <b v="0"/>
    <s v=""/>
  </r>
  <r>
    <s v="1dff4b7e-f303-4043-951c-9bd1592a70f4"/>
    <x v="184"/>
    <s v="00:00"/>
    <x v="166"/>
    <s v="expense"/>
    <s v="rc_cat_1781955063347_04qb_1781955063347_kgnn"/>
    <s v="kbank"/>
    <x v="1"/>
    <s v="-"/>
    <m/>
    <s v="import"/>
    <s v=""/>
    <b v="0"/>
    <s v=""/>
  </r>
  <r>
    <s v="9ebe5773-cda6-45d6-904f-b5e2554380de"/>
    <x v="184"/>
    <s v="00:00"/>
    <x v="308"/>
    <s v="expense"/>
    <s v="rc_cat_1781955063347_04qb_1781955063347_lu9b"/>
    <s v="kbank"/>
    <x v="1"/>
    <s v="-"/>
    <m/>
    <s v="import"/>
    <s v=""/>
    <b v="0"/>
    <s v=""/>
  </r>
  <r>
    <s v="35150266-08ac-4528-a7dd-0e7abe374647"/>
    <x v="184"/>
    <s v="00:00"/>
    <x v="309"/>
    <s v="income"/>
    <s v="income_1781955063347_5zxt"/>
    <s v="kbank"/>
    <x v="1"/>
    <s v="-"/>
    <m/>
    <s v="import"/>
    <s v=""/>
    <b v="0"/>
    <s v=""/>
  </r>
  <r>
    <s v="60cf8719-4596-4e66-98e3-557395953fcb"/>
    <x v="185"/>
    <s v="23:13"/>
    <x v="310"/>
    <s v="expense"/>
    <s v="rc_cat_1781955063347_04qb_1781955063347_wt5p"/>
    <s v="kbank"/>
    <x v="1"/>
    <s v="-"/>
    <m/>
    <s v="import"/>
    <s v=""/>
    <b v="0"/>
    <s v=""/>
  </r>
  <r>
    <s v="cb83fe01-ebbb-46d4-afbd-f48aa117358c"/>
    <x v="185"/>
    <s v="23:14"/>
    <x v="311"/>
    <s v="expense"/>
    <s v="rc_cat_1781955063347_anhy_1781955063347_qnaz"/>
    <s v="kbank"/>
    <x v="1"/>
    <s v="แต๊ะเอีย"/>
    <m/>
    <s v="import"/>
    <s v=""/>
    <b v="0"/>
    <s v=""/>
  </r>
  <r>
    <s v="caf8577e-2a03-4ca8-9506-db332fc29318"/>
    <x v="185"/>
    <s v="23:15"/>
    <x v="312"/>
    <s v="expense"/>
    <s v="rc_cat_1781955063347_anhy_1781955063347_qnaz"/>
    <s v="kbank"/>
    <x v="1"/>
    <s v="xing fu tang"/>
    <m/>
    <s v="import"/>
    <s v=""/>
    <b v="0"/>
    <s v=""/>
  </r>
  <r>
    <s v="93b71c6f-b9ed-46c3-a3f7-8135c750f721"/>
    <x v="185"/>
    <s v="23:56"/>
    <x v="313"/>
    <s v="transfer"/>
    <s v="other"/>
    <s v="advance"/>
    <x v="4"/>
    <s v="-"/>
    <m/>
    <s v="import"/>
    <s v=""/>
    <b v="0"/>
    <s v=""/>
  </r>
  <r>
    <s v="62684e39-88f3-4dc1-b6e3-cefa3cf966d7"/>
    <x v="186"/>
    <s v="23:12"/>
    <x v="22"/>
    <s v="expense"/>
    <s v="other_1781955063348_27zj"/>
    <s v="kbank"/>
    <x v="1"/>
    <s v="-"/>
    <m/>
    <s v="import"/>
    <s v=""/>
    <b v="0"/>
    <s v=""/>
  </r>
  <r>
    <s v="0f3b2c8b-7894-4049-986d-504b69c9cee9"/>
    <x v="187"/>
    <s v="23:12"/>
    <x v="211"/>
    <s v="expense"/>
    <s v="rc_cat_1781955063347_anhy_1781955063348_k5l1"/>
    <s v="kbank"/>
    <x v="1"/>
    <s v="สลากงานปีใหม่"/>
    <m/>
    <s v="import"/>
    <s v=""/>
    <b v="0"/>
    <s v=""/>
  </r>
  <r>
    <s v="35a8bb75-05e2-457e-90d7-a69498883cf5"/>
    <x v="188"/>
    <s v="23:11"/>
    <x v="314"/>
    <s v="expense"/>
    <s v="rc_cat_1781955063347_5qjb_1781955063347_tezk"/>
    <s v="kbank"/>
    <x v="1"/>
    <s v="-"/>
    <m/>
    <s v="import"/>
    <s v=""/>
    <b v="0"/>
    <s v=""/>
  </r>
  <r>
    <s v="6c3ba4f2-856d-4944-b7d4-f411eb9e01ac"/>
    <x v="189"/>
    <s v="20:23"/>
    <x v="4"/>
    <s v="expense"/>
    <s v="rc_cat_1781955063347_anhy_1781955063350_fcpb"/>
    <s v="kbank"/>
    <x v="1"/>
    <s v="-"/>
    <m/>
    <s v="import"/>
    <s v=""/>
    <b v="0"/>
    <s v=""/>
  </r>
  <r>
    <s v="c9d6abac-d9f4-4687-9cdf-bdd71983ebbe"/>
    <x v="189"/>
    <s v="20:23"/>
    <x v="146"/>
    <s v="expense"/>
    <s v="rc_cat_1781955063347_s4sz_1781955063360_d7jr"/>
    <s v="kbank"/>
    <x v="1"/>
    <s v="ตัดผม"/>
    <m/>
    <s v="import"/>
    <s v=""/>
    <b v="0"/>
    <s v=""/>
  </r>
  <r>
    <s v="9862a96d-6d79-4608-9e8b-69cdf3894da8"/>
    <x v="189"/>
    <s v="20:24"/>
    <x v="315"/>
    <s v="expense"/>
    <s v="entertain_1781955063359_cf7f"/>
    <s v="kbank"/>
    <x v="1"/>
    <s v="-"/>
    <m/>
    <s v="import"/>
    <s v=""/>
    <b v="0"/>
    <s v=""/>
  </r>
  <r>
    <s v="7d2a3640-66e1-4ad3-b434-6e44c10f37ad"/>
    <x v="189"/>
    <s v="20:25"/>
    <x v="248"/>
    <s v="expense"/>
    <s v="entertain_1781955063349_gok1"/>
    <s v="kbank"/>
    <x v="1"/>
    <s v="JP25 Tokyo ตั๋วบินโอซาก้า"/>
    <m/>
    <s v="import"/>
    <s v=""/>
    <b v="0"/>
    <s v=""/>
  </r>
  <r>
    <s v="b5b1a2da-0b8b-4aa1-bbad-ac697e9c48f2"/>
    <x v="190"/>
    <s v="20:21"/>
    <x v="316"/>
    <s v="expense"/>
    <s v="rc_cat_1781955063347_s4sz_1781955063347_9tpp"/>
    <s v="kbank"/>
    <x v="1"/>
    <s v="Columbia snow shoes"/>
    <m/>
    <s v="import"/>
    <s v=""/>
    <b v="0"/>
    <s v=""/>
  </r>
  <r>
    <s v="4b5292e5-2df8-49d7-8b76-5a6d0e6efe04"/>
    <x v="191"/>
    <s v="20:20"/>
    <x v="133"/>
    <s v="expense"/>
    <s v="rc_cat_1781955063347_anhy_1781955063348_k5l1"/>
    <s v="kbank"/>
    <x v="1"/>
    <s v="Monday bruce"/>
    <m/>
    <s v="import"/>
    <s v=""/>
    <b v="0"/>
    <s v=""/>
  </r>
  <r>
    <s v="adc8d9bf-18e0-4a71-bd5c-4d18354f5719"/>
    <x v="192"/>
    <s v="15:08"/>
    <x v="317"/>
    <s v="expense"/>
    <s v="rc_cat_1781955063347_5qjb_1781955063347_tezk"/>
    <s v="kbank"/>
    <x v="1"/>
    <s v="-"/>
    <m/>
    <s v="import"/>
    <s v=""/>
    <b v="0"/>
    <s v=""/>
  </r>
  <r>
    <s v="6655bc4b-b733-47db-aee0-810481be780a"/>
    <x v="192"/>
    <s v="20:06"/>
    <x v="194"/>
    <s v="transfer"/>
    <s v="other"/>
    <s v="kbank"/>
    <x v="14"/>
    <s v="-"/>
    <m/>
    <s v="import"/>
    <s v=""/>
    <b v="0"/>
    <s v=""/>
  </r>
  <r>
    <s v="7854b15c-fea5-4d3b-8e5c-0bf5005a461d"/>
    <x v="192"/>
    <s v="20:53"/>
    <x v="194"/>
    <s v="expense"/>
    <s v="entertain_1781955063348_kx2f"/>
    <s v="rc_acc_1781955063347_hv85"/>
    <x v="1"/>
    <s v="tablet(4/10)"/>
    <m/>
    <s v="import"/>
    <s v=""/>
    <b v="0"/>
    <s v=""/>
  </r>
  <r>
    <s v="98ddf453-860b-4647-bc9f-e64bc6eae908"/>
    <x v="193"/>
    <s v="15:28"/>
    <x v="31"/>
    <s v="expense"/>
    <s v="other_1781955063348_27zj"/>
    <s v="rc_acc_1781955063347_uxz4"/>
    <x v="1"/>
    <s v="-"/>
    <m/>
    <s v="import"/>
    <s v=""/>
    <b v="0"/>
    <s v=""/>
  </r>
  <r>
    <s v="00084c57-b1f8-4bbd-b7fa-5c8ae9001dfe"/>
    <x v="194"/>
    <s v="20:07"/>
    <x v="318"/>
    <s v="expense"/>
    <s v="rc_cat_1781955063347_5qjb_1781955063347_tezk"/>
    <s v="kbank"/>
    <x v="1"/>
    <s v="-"/>
    <m/>
    <s v="import"/>
    <s v=""/>
    <b v="0"/>
    <s v=""/>
  </r>
  <r>
    <s v="4f8d7f14-e025-477b-9842-b6750302e926"/>
    <x v="194"/>
    <s v="20:15"/>
    <x v="319"/>
    <s v="expense"/>
    <s v="entertain_1781955063348_32wr"/>
    <s v="kbank"/>
    <x v="1"/>
    <s v="-"/>
    <m/>
    <s v="import"/>
    <s v=""/>
    <b v="0"/>
    <s v=""/>
  </r>
  <r>
    <s v="a547009f-0acf-4535-bd12-158587084439"/>
    <x v="194"/>
    <s v="20:17"/>
    <x v="320"/>
    <s v="expense"/>
    <s v="rc_cat_1781955063347_s4sz_1781955063360_d7jr"/>
    <s v="kbank"/>
    <x v="1"/>
    <s v="แปรงไฟฟ้า"/>
    <m/>
    <s v="import"/>
    <s v=""/>
    <b v="0"/>
    <s v=""/>
  </r>
  <r>
    <s v="40c36f89-d2a4-4290-ad33-c269e1a8e186"/>
    <x v="194"/>
    <s v="20:18"/>
    <x v="321"/>
    <s v="expense"/>
    <s v="rc_cat_1781955063347_s4sz_1781955063347_9tpp"/>
    <s v="kbank"/>
    <x v="1"/>
    <s v="เสื้อ h&amp;m"/>
    <m/>
    <s v="import"/>
    <s v=""/>
    <b v="0"/>
    <s v=""/>
  </r>
  <r>
    <s v="98e4dabc-53ae-4873-9d9f-9dc1b68298cd"/>
    <x v="195"/>
    <s v="20:05"/>
    <x v="322"/>
    <s v="expense"/>
    <s v="entertain_1781955063348_kx2f"/>
    <s v="kbank"/>
    <x v="1"/>
    <s v="-"/>
    <m/>
    <s v="import"/>
    <s v=""/>
    <b v="0"/>
    <s v=""/>
  </r>
  <r>
    <s v="fbc3c514-e4ff-4d0c-8e83-adbd8ac4cd8a"/>
    <x v="196"/>
    <s v="20:04"/>
    <x v="323"/>
    <s v="expense"/>
    <s v="rc_cat_1781955063347_5qjb_1781955063347_tezk"/>
    <s v="kbank"/>
    <x v="1"/>
    <s v="-"/>
    <m/>
    <s v="import"/>
    <s v=""/>
    <b v="0"/>
    <s v=""/>
  </r>
  <r>
    <s v="d37e4e3c-bce1-45f6-88dd-29f86f9144a4"/>
    <x v="197"/>
    <s v="10:18"/>
    <x v="324"/>
    <s v="income"/>
    <s v="income_1781955063351_3ab8"/>
    <s v="rc_acc_1781955063348_hnxg"/>
    <x v="1"/>
    <s v="-"/>
    <m/>
    <s v="import"/>
    <s v=""/>
    <b v="0"/>
    <s v=""/>
  </r>
  <r>
    <s v="ce6190b0-7e60-486a-aca6-ecddd5bd266a"/>
    <x v="197"/>
    <s v="15:30"/>
    <x v="325"/>
    <s v="transfer"/>
    <s v="other"/>
    <s v="rc_acc_1781955063348_no9r"/>
    <x v="5"/>
    <s v="-"/>
    <m/>
    <s v="import"/>
    <s v=""/>
    <b v="0"/>
    <s v=""/>
  </r>
  <r>
    <s v="529b66be-4b4f-4333-88ed-e1317a690a0d"/>
    <x v="197"/>
    <s v="20:03"/>
    <x v="26"/>
    <s v="expense"/>
    <s v="entertain_1781955063348_kx2f"/>
    <s v="kbank"/>
    <x v="1"/>
    <s v="-"/>
    <m/>
    <s v="import"/>
    <s v=""/>
    <b v="0"/>
    <s v=""/>
  </r>
  <r>
    <s v="45fec448-5f63-4ec1-97fd-40abf408e961"/>
    <x v="198"/>
    <s v="10:12"/>
    <x v="8"/>
    <s v="transfer"/>
    <s v="other"/>
    <s v="kbank"/>
    <x v="11"/>
    <s v="เงินสด JPY"/>
    <m/>
    <s v="import"/>
    <s v=""/>
    <b v="0"/>
    <s v=""/>
  </r>
  <r>
    <s v="35880683-6ba2-483c-9480-505121b9fb7f"/>
    <x v="199"/>
    <s v="00:00"/>
    <x v="326"/>
    <s v="expense"/>
    <s v="rc_cat_1781955063347_04qb_1781955063347_lu9b"/>
    <s v="kbank"/>
    <x v="1"/>
    <s v="-"/>
    <m/>
    <s v="import"/>
    <s v=""/>
    <b v="0"/>
    <s v=""/>
  </r>
  <r>
    <s v="c27e2fbc-8168-49c4-ad70-6d7d89889dbc"/>
    <x v="199"/>
    <s v="00:00"/>
    <x v="327"/>
    <s v="expense"/>
    <s v="rc_cat_1781955063347_04qb_1781955063347_kgnn"/>
    <s v="kbank"/>
    <x v="1"/>
    <s v="-"/>
    <m/>
    <s v="import"/>
    <s v=""/>
    <b v="0"/>
    <s v=""/>
  </r>
  <r>
    <s v="cbfa0b83-c11e-4b98-85d4-3c47c510f4a7"/>
    <x v="199"/>
    <s v="00:00"/>
    <x v="129"/>
    <s v="transfer"/>
    <s v="other"/>
    <s v="kbank"/>
    <x v="20"/>
    <s v="-"/>
    <m/>
    <s v="import"/>
    <s v=""/>
    <b v="0"/>
    <s v=""/>
  </r>
  <r>
    <s v="83cef1e5-dadb-43fa-aefa-b9ec7757805f"/>
    <x v="199"/>
    <s v="00:00"/>
    <x v="128"/>
    <s v="transfer"/>
    <s v="other"/>
    <s v="kbank"/>
    <x v="21"/>
    <s v="-"/>
    <m/>
    <s v="import"/>
    <s v=""/>
    <b v="0"/>
    <s v=""/>
  </r>
  <r>
    <s v="6b05405e-7abe-4bf8-ad12-2f8d3b07f647"/>
    <x v="199"/>
    <s v="00:00"/>
    <x v="31"/>
    <s v="transfer"/>
    <s v="other"/>
    <s v="kbank"/>
    <x v="7"/>
    <s v="-"/>
    <m/>
    <s v="import"/>
    <s v=""/>
    <b v="0"/>
    <s v=""/>
  </r>
  <r>
    <s v="5e5b2c2f-d62e-48c3-8234-2da9abbd2d86"/>
    <x v="199"/>
    <s v="00:00"/>
    <x v="307"/>
    <s v="transfer"/>
    <s v="other"/>
    <s v="kbank"/>
    <x v="8"/>
    <s v="-"/>
    <m/>
    <s v="import"/>
    <s v=""/>
    <b v="0"/>
    <s v=""/>
  </r>
  <r>
    <s v="d46bef21-5711-4a7d-85e4-bac87813e653"/>
    <x v="199"/>
    <s v="00:00"/>
    <x v="126"/>
    <s v="expense"/>
    <s v="rc_cat_1781955063347_04qb_1781955063350_acgf"/>
    <s v="kbank"/>
    <x v="1"/>
    <s v="-"/>
    <m/>
    <s v="import"/>
    <s v=""/>
    <b v="0"/>
    <s v=""/>
  </r>
  <r>
    <s v="fa37be05-6738-4d7c-9e38-4082431f0685"/>
    <x v="199"/>
    <s v="00:00"/>
    <x v="309"/>
    <s v="income"/>
    <s v="income_1781955063347_5zxt"/>
    <s v="kbank"/>
    <x v="1"/>
    <s v="-"/>
    <m/>
    <s v="import"/>
    <s v=""/>
    <b v="0"/>
    <s v=""/>
  </r>
  <r>
    <s v="5545c807-c013-4378-82c4-a824f976203d"/>
    <x v="200"/>
    <s v="10:11"/>
    <x v="252"/>
    <s v="transfer"/>
    <s v="other"/>
    <s v="kbank"/>
    <x v="10"/>
    <s v="-"/>
    <m/>
    <s v="import"/>
    <s v=""/>
    <b v="0"/>
    <s v=""/>
  </r>
  <r>
    <s v="297e1c8c-c6c0-41e1-8926-7c5772ccb541"/>
    <x v="200"/>
    <s v="10:47"/>
    <x v="328"/>
    <s v="expense"/>
    <s v="entertain_1781955063352_1jgx"/>
    <s v="kbank"/>
    <x v="1"/>
    <s v="trine aeonend playpass"/>
    <m/>
    <s v="import"/>
    <s v=""/>
    <b v="0"/>
    <s v=""/>
  </r>
  <r>
    <s v="1d1a52fc-3146-4c09-b4d9-f7380977607f"/>
    <x v="200"/>
    <s v="10:49"/>
    <x v="329"/>
    <s v="expense"/>
    <s v="rc_cat_1781955063347_5qjb_1781955063347_tezk"/>
    <s v="kbank"/>
    <x v="1"/>
    <s v="-"/>
    <m/>
    <s v="import"/>
    <s v=""/>
    <b v="0"/>
    <s v=""/>
  </r>
  <r>
    <s v="b781d4c4-f738-4b0b-b1a3-fb2a3f408263"/>
    <x v="200"/>
    <s v="10:49"/>
    <x v="330"/>
    <s v="expense"/>
    <s v="rc_cat_1781955063347_anhy_1781955063347_qnaz"/>
    <s v="kbank"/>
    <x v="1"/>
    <s v="-"/>
    <m/>
    <s v="import"/>
    <s v=""/>
    <b v="0"/>
    <s v=""/>
  </r>
  <r>
    <s v="af6e0b81-bfee-429c-936f-13ae374d1634"/>
    <x v="200"/>
    <s v="10:51"/>
    <x v="331"/>
    <s v="expense"/>
    <s v="rc_cat_1781955063347_s4sz_1781955063347_9tpp"/>
    <s v="kbank"/>
    <x v="1"/>
    <s v="H&amp;M"/>
    <m/>
    <s v="import"/>
    <s v=""/>
    <b v="0"/>
    <s v=""/>
  </r>
  <r>
    <s v="89660da6-1cc2-43cb-baf4-0ebc79428605"/>
    <x v="200"/>
    <s v="10:57"/>
    <x v="332"/>
    <s v="expense"/>
    <s v="rc_cat_1781955063347_anhy_1781955063348_k5l1"/>
    <s v="kbank"/>
    <x v="1"/>
    <s v="จับของขวัญ กล่องสุ่ม"/>
    <m/>
    <s v="import"/>
    <s v=""/>
    <b v="0"/>
    <s v=""/>
  </r>
  <r>
    <s v="d50db02d-909b-4aef-a723-56e8dc368f93"/>
    <x v="201"/>
    <s v="10:49"/>
    <x v="8"/>
    <s v="expense"/>
    <s v="rc_cat_1781955063347_anhy_1781955063347_qnaz"/>
    <s v="rc_acc_1781955063347_uxz4"/>
    <x v="1"/>
    <s v="เงินเดือน ธค มค"/>
    <m/>
    <s v="import"/>
    <s v=""/>
    <b v="0"/>
    <s v=""/>
  </r>
  <r>
    <s v="6e16a11f-44f2-40b2-a9d6-f87bbd91523b"/>
    <x v="201"/>
    <s v="10:50"/>
    <x v="5"/>
    <s v="expense"/>
    <s v="rc_cat_1781955063347_anhy_1781955063347_qnaz"/>
    <s v="rc_acc_1781955063347_uxz4"/>
    <x v="1"/>
    <s v="ทำบุญบ้าน"/>
    <m/>
    <s v="import"/>
    <s v=""/>
    <b v="0"/>
    <s v=""/>
  </r>
  <r>
    <s v="e8cd53fd-b446-43fd-a8c4-a5a4f6f1b436"/>
    <x v="202"/>
    <s v="11:00"/>
    <x v="333"/>
    <s v="expense"/>
    <s v="rc_cat_1781955063347_5qjb_1781955063347_tezk"/>
    <s v="kbank"/>
    <x v="1"/>
    <s v="-"/>
    <m/>
    <s v="import"/>
    <s v=""/>
    <b v="0"/>
    <s v=""/>
  </r>
  <r>
    <s v="47354885-3d1f-4df3-bfcd-295e199d0c4d"/>
    <x v="202"/>
    <s v="11:04"/>
    <x v="334"/>
    <s v="expense"/>
    <s v="rc_cat_1781955063347_5qjb_1781955063347_tezk"/>
    <s v="kbank"/>
    <x v="1"/>
    <s v="swensens"/>
    <m/>
    <s v="import"/>
    <s v=""/>
    <b v="0"/>
    <s v=""/>
  </r>
  <r>
    <s v="183e3ac3-7334-4f68-b86e-e58e4380c71d"/>
    <x v="203"/>
    <s v="10:58"/>
    <x v="335"/>
    <s v="income"/>
    <s v="income_1781955063351_3ab8"/>
    <s v="kbank"/>
    <x v="1"/>
    <s v="-"/>
    <m/>
    <s v="import"/>
    <s v=""/>
    <b v="0"/>
    <s v=""/>
  </r>
  <r>
    <s v="1a45b3d9-777e-4c75-b0b8-3eed433a8d6a"/>
    <x v="204"/>
    <s v="11:01"/>
    <x v="336"/>
    <s v="expense"/>
    <s v="rc_cat_1781955063347_anhy_1781955063348_k5l1"/>
    <s v="kbank"/>
    <x v="1"/>
    <s v="-"/>
    <m/>
    <s v="import"/>
    <s v=""/>
    <b v="0"/>
    <s v=""/>
  </r>
  <r>
    <s v="bdf94563-ef13-4b66-8752-bd63dfbf2ae4"/>
    <x v="205"/>
    <s v="11:05"/>
    <x v="26"/>
    <s v="expense"/>
    <s v="rc_cat_1781955063347_5qjb_1781955063347_tezk"/>
    <s v="kbank"/>
    <x v="1"/>
    <s v="-"/>
    <m/>
    <s v="import"/>
    <s v=""/>
    <b v="0"/>
    <s v=""/>
  </r>
  <r>
    <s v="caadd911-2159-40f0-9c35-c561b2aa4a58"/>
    <x v="206"/>
    <s v="11:01"/>
    <x v="194"/>
    <s v="transfer"/>
    <s v="other"/>
    <s v="kbank"/>
    <x v="14"/>
    <s v="-"/>
    <m/>
    <s v="import"/>
    <s v=""/>
    <b v="0"/>
    <s v=""/>
  </r>
  <r>
    <s v="15fda78d-533c-45e2-964a-291b5ebaaa59"/>
    <x v="206"/>
    <s v="20:53"/>
    <x v="194"/>
    <s v="expense"/>
    <s v="entertain_1781955063348_kx2f"/>
    <s v="rc_acc_1781955063347_hv85"/>
    <x v="1"/>
    <s v="tablet(3/10)"/>
    <m/>
    <s v="import"/>
    <s v=""/>
    <b v="0"/>
    <s v=""/>
  </r>
  <r>
    <s v="c6e77d2b-1773-44ca-af54-4be0aa2dca45"/>
    <x v="207"/>
    <s v="11:03"/>
    <x v="337"/>
    <s v="expense"/>
    <s v="entertain_1781955063349_gok1"/>
    <s v="kbank"/>
    <x v="1"/>
    <s v="เขาใหญ่ ชาหน้าผา 695 คูปอง 600"/>
    <m/>
    <s v="import"/>
    <s v=""/>
    <b v="0"/>
    <s v=""/>
  </r>
  <r>
    <s v="7c471856-a2ed-48fa-b1f0-33c834118ad4"/>
    <x v="208"/>
    <s v="11:05"/>
    <x v="317"/>
    <s v="expense"/>
    <s v="rc_cat_1781955063347_5qjb_1781955063347_tezk"/>
    <s v="kbank"/>
    <x v="1"/>
    <s v="-"/>
    <m/>
    <s v="import"/>
    <s v=""/>
    <b v="0"/>
    <s v=""/>
  </r>
  <r>
    <s v="947f4d2a-63e9-426e-b34b-85f20acdac08"/>
    <x v="209"/>
    <s v="20:36"/>
    <x v="338"/>
    <s v="expense"/>
    <s v="rc_cat_1781955063347_04qb_1781955063347_wt5p"/>
    <s v="kbank"/>
    <x v="1"/>
    <s v="-"/>
    <m/>
    <s v="import"/>
    <s v=""/>
    <b v="0"/>
    <s v=""/>
  </r>
  <r>
    <s v="b0e57b00-0c5f-453e-914a-80671355a2ee"/>
    <x v="209"/>
    <s v="20:36"/>
    <x v="4"/>
    <s v="expense"/>
    <s v="rc_cat_1781955063347_anhy_1781955063350_fcpb"/>
    <s v="kbank"/>
    <x v="1"/>
    <s v="-"/>
    <m/>
    <s v="import"/>
    <s v=""/>
    <b v="0"/>
    <s v=""/>
  </r>
  <r>
    <s v="b7d61610-a855-4827-b180-3f75b85fdec5"/>
    <x v="209"/>
    <s v="20:36"/>
    <x v="78"/>
    <s v="expense"/>
    <s v="rc_cat_1781955063347_anhy_1781955063350_fcpb"/>
    <s v="kbank"/>
    <x v="1"/>
    <s v="ส่วนกลางคอนโด"/>
    <m/>
    <s v="import"/>
    <s v=""/>
    <b v="0"/>
    <s v=""/>
  </r>
  <r>
    <s v="f7b487b6-7e0a-4fd2-9e2d-d383ca54e594"/>
    <x v="209"/>
    <s v="20:37"/>
    <x v="339"/>
    <s v="transfer"/>
    <s v="other"/>
    <s v="advance"/>
    <x v="5"/>
    <s v="-"/>
    <m/>
    <s v="import"/>
    <s v=""/>
    <b v="0"/>
    <s v=""/>
  </r>
  <r>
    <s v="745f824e-e178-451f-8fd0-3131bc7fa320"/>
    <x v="210"/>
    <s v="20:39"/>
    <x v="252"/>
    <s v="transfer"/>
    <s v="other"/>
    <s v="kbank"/>
    <x v="10"/>
    <s v="-"/>
    <m/>
    <s v="import"/>
    <s v=""/>
    <b v="0"/>
    <s v=""/>
  </r>
  <r>
    <s v="79cc2cda-0cfb-438b-8552-e32a9c09d5a5"/>
    <x v="211"/>
    <s v="14:54"/>
    <x v="340"/>
    <s v="expense"/>
    <s v="other_1781955063347_5s7r"/>
    <s v="rc_acc_1781955063348_obza"/>
    <x v="1"/>
    <s v="Difference"/>
    <m/>
    <s v="import"/>
    <s v=""/>
    <b v="0"/>
    <s v=""/>
  </r>
  <r>
    <s v="82ff6ff7-e541-4f3d-a247-f4f2c6a78b66"/>
    <x v="211"/>
    <s v="14:56"/>
    <x v="341"/>
    <s v="transfer"/>
    <s v="other"/>
    <s v="advance"/>
    <x v="4"/>
    <s v="-"/>
    <m/>
    <s v="import"/>
    <s v=""/>
    <b v="0"/>
    <s v=""/>
  </r>
  <r>
    <s v="e27241ca-8008-4643-baa9-5a546ca16127"/>
    <x v="211"/>
    <s v="15:25"/>
    <x v="342"/>
    <s v="expense"/>
    <s v="other_1781955063347_5s7r"/>
    <s v="rc_acc_1781955063358_d7gc"/>
    <x v="1"/>
    <s v="Difference"/>
    <m/>
    <s v="import"/>
    <s v=""/>
    <b v="0"/>
    <s v=""/>
  </r>
  <r>
    <s v="9c609c4c-9757-4a69-a49c-08c7822c3e47"/>
    <x v="211"/>
    <s v="16:01"/>
    <x v="343"/>
    <s v="income"/>
    <s v="other_1781955063347_5s7r"/>
    <s v="rc_acc_1781955063347_sv7p"/>
    <x v="1"/>
    <s v="Difference"/>
    <m/>
    <s v="import"/>
    <s v=""/>
    <b v="0"/>
    <s v=""/>
  </r>
  <r>
    <s v="568f0538-58be-4aa5-bb50-6e343acc2141"/>
    <x v="211"/>
    <s v="16:02"/>
    <x v="344"/>
    <s v="income"/>
    <s v="other_1781955063347_5s7r"/>
    <s v="rc_acc_1781955063347_tvnx"/>
    <x v="1"/>
    <s v="Difference"/>
    <m/>
    <s v="import"/>
    <s v=""/>
    <b v="0"/>
    <s v=""/>
  </r>
  <r>
    <s v="2866f551-e51c-48e7-9265-b48fadb50a03"/>
    <x v="211"/>
    <s v="16:02"/>
    <x v="22"/>
    <s v="income"/>
    <s v="other_1781955063347_5s7r"/>
    <s v="rc_acc_1781955063348_bs00"/>
    <x v="1"/>
    <s v="Difference"/>
    <m/>
    <s v="import"/>
    <s v=""/>
    <b v="0"/>
    <s v=""/>
  </r>
  <r>
    <s v="174b530d-3567-4004-a65e-ed59a8728c21"/>
    <x v="211"/>
    <s v="16:02"/>
    <x v="344"/>
    <s v="income"/>
    <s v="other_1781955063347_5s7r"/>
    <s v="rc_acc_1781955063358_dohc"/>
    <x v="1"/>
    <s v="Difference"/>
    <m/>
    <s v="import"/>
    <s v=""/>
    <b v="0"/>
    <s v=""/>
  </r>
  <r>
    <s v="96f41cbe-b87f-49c5-b8ef-e959d8f0a959"/>
    <x v="212"/>
    <s v="14:43"/>
    <x v="345"/>
    <s v="expense"/>
    <s v="entertain_1781955063359_cf7f"/>
    <s v="kbank"/>
    <x v="1"/>
    <s v="-"/>
    <m/>
    <s v="import"/>
    <s v=""/>
    <b v="0"/>
    <s v=""/>
  </r>
  <r>
    <s v="55ba30c9-750c-456e-ac8f-95fc180fe4df"/>
    <x v="212"/>
    <s v="15:59"/>
    <x v="346"/>
    <s v="expense"/>
    <s v="rc_cat_1781955063347_5qjb_1781955063347_tezk"/>
    <s v="kbank"/>
    <x v="1"/>
    <s v="-"/>
    <m/>
    <s v="import"/>
    <s v=""/>
    <b v="0"/>
    <s v=""/>
  </r>
  <r>
    <s v="569ce67b-38ae-4bd9-975f-2a48deef19e3"/>
    <x v="213"/>
    <s v="00:00"/>
    <x v="252"/>
    <s v="transfer"/>
    <s v="other"/>
    <s v="kbank"/>
    <x v="10"/>
    <s v="-"/>
    <m/>
    <s v="import"/>
    <s v=""/>
    <b v="0"/>
    <s v=""/>
  </r>
  <r>
    <s v="5a0157aa-c35b-4004-b75c-186210e93fea"/>
    <x v="214"/>
    <s v="00:00"/>
    <x v="347"/>
    <s v="expense"/>
    <s v="rc_cat_1781955063347_04qb_1781955063347_lu9b"/>
    <s v="kbank"/>
    <x v="1"/>
    <s v="-"/>
    <m/>
    <s v="import"/>
    <s v=""/>
    <b v="0"/>
    <s v=""/>
  </r>
  <r>
    <s v="188c69a1-aac0-4bce-b740-9f1d7a05cbc0"/>
    <x v="214"/>
    <s v="00:00"/>
    <x v="348"/>
    <s v="expense"/>
    <s v="rc_cat_1781955063347_04qb_1781955063347_kgnn"/>
    <s v="kbank"/>
    <x v="1"/>
    <s v="-"/>
    <m/>
    <s v="import"/>
    <s v=""/>
    <b v="0"/>
    <s v=""/>
  </r>
  <r>
    <s v="9d7265bb-f4f4-4c6a-9131-5f7ff0c18aa4"/>
    <x v="214"/>
    <s v="00:00"/>
    <x v="129"/>
    <s v="transfer"/>
    <s v="other"/>
    <s v="kbank"/>
    <x v="20"/>
    <s v="-"/>
    <m/>
    <s v="import"/>
    <s v=""/>
    <b v="0"/>
    <s v=""/>
  </r>
  <r>
    <s v="bcdf91e6-af28-4f5e-8877-35f1f3b814bb"/>
    <x v="214"/>
    <s v="00:00"/>
    <x v="128"/>
    <s v="transfer"/>
    <s v="other"/>
    <s v="kbank"/>
    <x v="21"/>
    <s v="-"/>
    <m/>
    <s v="import"/>
    <s v=""/>
    <b v="0"/>
    <s v=""/>
  </r>
  <r>
    <s v="5f52a83e-e00c-443d-8d07-bd6f5f09638f"/>
    <x v="214"/>
    <s v="00:00"/>
    <x v="31"/>
    <s v="transfer"/>
    <s v="other"/>
    <s v="kbank"/>
    <x v="7"/>
    <s v="-"/>
    <m/>
    <s v="import"/>
    <s v=""/>
    <b v="0"/>
    <s v=""/>
  </r>
  <r>
    <s v="32391760-4089-4db9-ab56-9619bbd292e0"/>
    <x v="214"/>
    <s v="00:00"/>
    <x v="307"/>
    <s v="transfer"/>
    <s v="other"/>
    <s v="kbank"/>
    <x v="8"/>
    <s v="-"/>
    <m/>
    <s v="import"/>
    <s v=""/>
    <b v="0"/>
    <s v=""/>
  </r>
  <r>
    <s v="6a011040-352f-4eb5-990e-158b4d38bb15"/>
    <x v="214"/>
    <s v="00:00"/>
    <x v="126"/>
    <s v="expense"/>
    <s v="rc_cat_1781955063347_04qb_1781955063350_acgf"/>
    <s v="kbank"/>
    <x v="1"/>
    <s v="-"/>
    <m/>
    <s v="import"/>
    <s v=""/>
    <b v="0"/>
    <s v=""/>
  </r>
  <r>
    <s v="258dd5f8-6f30-4e3f-9607-e1d7da8e8ad5"/>
    <x v="214"/>
    <s v="00:00"/>
    <x v="309"/>
    <s v="income"/>
    <s v="income_1781955063347_5zxt"/>
    <s v="kbank"/>
    <x v="1"/>
    <s v="-"/>
    <m/>
    <s v="import"/>
    <s v=""/>
    <b v="0"/>
    <s v=""/>
  </r>
  <r>
    <s v="7b221ef2-4d97-4434-9e80-074be1ad1cbb"/>
    <x v="215"/>
    <s v="09:59"/>
    <x v="349"/>
    <s v="transfer"/>
    <s v="other"/>
    <s v="kbank"/>
    <x v="2"/>
    <s v="-"/>
    <m/>
    <s v="import"/>
    <s v=""/>
    <b v="0"/>
    <s v=""/>
  </r>
  <r>
    <s v="5ed74143-617f-49c5-a24b-9267fa97be33"/>
    <x v="215"/>
    <s v="09:59"/>
    <x v="350"/>
    <s v="expense"/>
    <s v="rc_cat_1781955063347_anhy_1781955063348_k5l1"/>
    <s v="kbank"/>
    <x v="1"/>
    <s v="-"/>
    <m/>
    <s v="import"/>
    <s v=""/>
    <b v="0"/>
    <s v=""/>
  </r>
  <r>
    <s v="a263838a-2e65-440e-a036-5e008444c1d8"/>
    <x v="215"/>
    <s v="10:00"/>
    <x v="138"/>
    <s v="expense"/>
    <s v="rc_cat_1781955063347_5qjb_1781955063347_tezk"/>
    <s v="kbank"/>
    <x v="1"/>
    <s v="-"/>
    <m/>
    <s v="import"/>
    <s v=""/>
    <b v="0"/>
    <s v=""/>
  </r>
  <r>
    <s v="b8fcd497-c8ad-490e-bb0d-f935ea154c17"/>
    <x v="215"/>
    <s v="10:17"/>
    <x v="351"/>
    <s v="expense"/>
    <s v="rc_cat_1781955063347_5qjb_1781955063347_tezk"/>
    <s v="kbank"/>
    <x v="1"/>
    <s v="-"/>
    <m/>
    <s v="import"/>
    <s v=""/>
    <b v="0"/>
    <s v=""/>
  </r>
  <r>
    <s v="62d58583-155d-4f1d-91d1-d2eeed2c7527"/>
    <x v="215"/>
    <s v="10:17"/>
    <x v="352"/>
    <s v="expense"/>
    <s v="entertain_1781955063348_gj0i"/>
    <s v="kbank"/>
    <x v="1"/>
    <s v="-"/>
    <m/>
    <s v="import"/>
    <s v=""/>
    <b v="0"/>
    <s v=""/>
  </r>
  <r>
    <s v="b69d31a9-a1a1-4b17-8684-ab19e2ab9110"/>
    <x v="215"/>
    <s v="10:18"/>
    <x v="353"/>
    <s v="expense"/>
    <s v="entertain_1781955063348_32wr"/>
    <s v="kbank"/>
    <x v="1"/>
    <s v="-"/>
    <m/>
    <s v="import"/>
    <s v=""/>
    <b v="0"/>
    <s v=""/>
  </r>
  <r>
    <s v="ef450157-7955-4ca9-90a1-424fa02574e5"/>
    <x v="215"/>
    <s v="10:19"/>
    <x v="354"/>
    <s v="expense"/>
    <s v="rc_cat_1781955063347_s4sz_1781955063347_9tpp"/>
    <s v="kbank"/>
    <x v="1"/>
    <s v="-"/>
    <m/>
    <s v="import"/>
    <s v=""/>
    <b v="0"/>
    <s v=""/>
  </r>
  <r>
    <s v="7edca61a-5354-4e3a-afb8-17e32beb5309"/>
    <x v="215"/>
    <s v="10:19"/>
    <x v="355"/>
    <s v="expense"/>
    <s v="entertain_1781955063359_cf7f"/>
    <s v="kbank"/>
    <x v="1"/>
    <s v="-"/>
    <m/>
    <s v="import"/>
    <s v=""/>
    <b v="0"/>
    <s v=""/>
  </r>
  <r>
    <s v="17094dab-4b7e-404c-9003-a337faf3a900"/>
    <x v="215"/>
    <s v="10:20"/>
    <x v="26"/>
    <s v="expense"/>
    <s v="other_1781955063348_27zj"/>
    <s v="kbank"/>
    <x v="1"/>
    <s v="-"/>
    <m/>
    <s v="import"/>
    <s v=""/>
    <b v="0"/>
    <s v=""/>
  </r>
  <r>
    <s v="e68e1ced-99c0-4a2c-a577-85a4fff81288"/>
    <x v="215"/>
    <s v="10:22"/>
    <x v="356"/>
    <s v="transfer"/>
    <s v="other"/>
    <s v="kbank"/>
    <x v="5"/>
    <s v="-"/>
    <m/>
    <s v="import"/>
    <s v=""/>
    <b v="0"/>
    <s v=""/>
  </r>
  <r>
    <s v="928da231-6a1d-48e1-9374-5c9cdcb0a0ce"/>
    <x v="215"/>
    <s v="10:23"/>
    <x v="146"/>
    <s v="expense"/>
    <s v="rc_cat_1781955063347_5qjb_1781955063347_tezk"/>
    <s v="kbank"/>
    <x v="1"/>
    <s v="-"/>
    <m/>
    <s v="import"/>
    <s v=""/>
    <b v="0"/>
    <s v=""/>
  </r>
  <r>
    <s v="2dd68a8e-fa12-4384-8f74-351bc27cd956"/>
    <x v="215"/>
    <s v="10:24"/>
    <x v="357"/>
    <s v="expense"/>
    <s v="other_1781955063347_5s7r"/>
    <s v="kbank"/>
    <x v="1"/>
    <s v="Difference"/>
    <m/>
    <s v="import"/>
    <s v=""/>
    <b v="0"/>
    <s v=""/>
  </r>
  <r>
    <s v="30f01f48-c8e9-4762-accb-2370d76299ca"/>
    <x v="215"/>
    <s v="10:24"/>
    <x v="358"/>
    <s v="transfer"/>
    <s v="other"/>
    <s v="rc_acc_1781955063347_e3zv"/>
    <x v="5"/>
    <s v="-"/>
    <m/>
    <s v="import"/>
    <s v=""/>
    <b v="0"/>
    <s v=""/>
  </r>
  <r>
    <s v="e14dc89d-6038-4c04-98f2-caa5a0cd7458"/>
    <x v="216"/>
    <s v="10:21"/>
    <x v="359"/>
    <s v="expense"/>
    <s v="rc_cat_1781955063347_5qjb_1781955063347_tezk"/>
    <s v="kbank"/>
    <x v="1"/>
    <s v="-"/>
    <m/>
    <s v="import"/>
    <s v=""/>
    <b v="0"/>
    <s v=""/>
  </r>
  <r>
    <s v="0ffa797b-c4fb-4b71-8b59-55121563683b"/>
    <x v="217"/>
    <s v="10:22"/>
    <x v="146"/>
    <s v="expense"/>
    <s v="rc_cat_1781955063347_anhy_1781955063348_k5l1"/>
    <s v="kbank"/>
    <x v="1"/>
    <s v="-"/>
    <m/>
    <s v="import"/>
    <s v=""/>
    <b v="0"/>
    <s v=""/>
  </r>
  <r>
    <s v="88556133-e51c-45e4-89e0-75cf27ccfada"/>
    <x v="218"/>
    <s v="17:44"/>
    <x v="356"/>
    <s v="expense"/>
    <s v="rc_cat_1781955063347_anhy_1781955063348_k5l1"/>
    <s v="kbank"/>
    <x v="1"/>
    <s v="-"/>
    <m/>
    <s v="import"/>
    <s v=""/>
    <b v="0"/>
    <s v=""/>
  </r>
  <r>
    <s v="d2fc5916-ef22-4ee7-955a-0d828727e1a7"/>
    <x v="218"/>
    <s v="20:41"/>
    <x v="194"/>
    <s v="transfer"/>
    <s v="other"/>
    <s v="kbank"/>
    <x v="14"/>
    <s v="samsung"/>
    <m/>
    <s v="import"/>
    <s v=""/>
    <b v="0"/>
    <s v=""/>
  </r>
  <r>
    <s v="2eed2785-43bf-460c-906b-9527b73f83f9"/>
    <x v="218"/>
    <s v="20:42"/>
    <x v="360"/>
    <s v="transfer"/>
    <s v="other"/>
    <s v="kbank"/>
    <x v="2"/>
    <s v="youtube app"/>
    <m/>
    <s v="import"/>
    <s v=""/>
    <b v="0"/>
    <s v=""/>
  </r>
  <r>
    <s v="5cf74426-8a1f-483c-96f4-612db5976db8"/>
    <x v="219"/>
    <s v="10:00"/>
    <x v="361"/>
    <s v="expense"/>
    <s v="entertain_1781955063359_cf7f"/>
    <s v="kbank"/>
    <x v="1"/>
    <s v="-"/>
    <m/>
    <s v="import"/>
    <s v=""/>
    <b v="0"/>
    <s v=""/>
  </r>
  <r>
    <s v="ae048535-ee12-47ed-9221-43c309300138"/>
    <x v="220"/>
    <s v="16:15"/>
    <x v="362"/>
    <s v="expense"/>
    <s v="entertain_1781955063349_gok1"/>
    <s v="kbank"/>
    <x v="1"/>
    <s v="-"/>
    <m/>
    <s v="import"/>
    <s v=""/>
    <b v="0"/>
    <s v=""/>
  </r>
  <r>
    <s v="4d6bc44a-c636-4042-9b32-10e6dd7a2fb1"/>
    <x v="221"/>
    <s v="13:34"/>
    <x v="31"/>
    <s v="transfer"/>
    <s v="other"/>
    <s v="rc_acc_1781955063347_e3zv"/>
    <x v="5"/>
    <s v="-"/>
    <m/>
    <s v="import"/>
    <s v=""/>
    <b v="0"/>
    <s v=""/>
  </r>
  <r>
    <s v="4652eb3b-b5d8-4b65-98af-d6028d88d578"/>
    <x v="221"/>
    <s v="20:53"/>
    <x v="194"/>
    <s v="expense"/>
    <s v="entertain_1781955063348_kx2f"/>
    <s v="rc_acc_1781955063347_hv85"/>
    <x v="1"/>
    <s v="tablet(2/10)"/>
    <m/>
    <s v="import"/>
    <s v=""/>
    <b v="0"/>
    <s v=""/>
  </r>
  <r>
    <s v="edbbb1e3-3b96-4ca9-a0aa-95e7fac14385"/>
    <x v="222"/>
    <s v="13:30"/>
    <x v="363"/>
    <s v="expense"/>
    <s v="rc_cat_1781955063347_04qb_1781955063347_wt5p"/>
    <s v="kbank"/>
    <x v="1"/>
    <s v="-"/>
    <m/>
    <s v="import"/>
    <s v=""/>
    <b v="0"/>
    <s v=""/>
  </r>
  <r>
    <s v="45015d7f-1f47-41e0-9124-62632838aa60"/>
    <x v="222"/>
    <s v="13:30"/>
    <x v="4"/>
    <s v="expense"/>
    <s v="rc_cat_1781955063347_anhy_1781955063350_fcpb"/>
    <s v="kbank"/>
    <x v="1"/>
    <s v="-"/>
    <m/>
    <s v="import"/>
    <s v=""/>
    <b v="0"/>
    <s v=""/>
  </r>
  <r>
    <s v="754d0d57-fa28-407d-9ef8-1f4917638f37"/>
    <x v="223"/>
    <s v="13:36"/>
    <x v="349"/>
    <s v="transfer"/>
    <s v="other"/>
    <s v="advance"/>
    <x v="5"/>
    <s v="arno's"/>
    <m/>
    <s v="import"/>
    <s v=""/>
    <b v="0"/>
    <s v=""/>
  </r>
  <r>
    <s v="96f4d6e3-c0b5-4b8f-a1a4-255bf45c6887"/>
    <x v="224"/>
    <s v="13:28"/>
    <x v="364"/>
    <s v="expense"/>
    <s v="entertain_1781955063349_gok1"/>
    <s v="kbank"/>
    <x v="1"/>
    <s v="-"/>
    <m/>
    <s v="import"/>
    <s v=""/>
    <b v="0"/>
    <s v=""/>
  </r>
  <r>
    <s v="2e4821c7-390a-482a-9730-0982c991683e"/>
    <x v="224"/>
    <s v="13:35"/>
    <x v="365"/>
    <s v="transfer"/>
    <s v="other"/>
    <s v="advance"/>
    <x v="5"/>
    <s v="บาบิก้อน เสวนเซน 2 พย"/>
    <m/>
    <s v="import"/>
    <s v=""/>
    <b v="0"/>
    <s v=""/>
  </r>
  <r>
    <s v="87f3c049-a411-477b-829a-c49cdcbf1023"/>
    <x v="224"/>
    <s v="13:38"/>
    <x v="169"/>
    <s v="income"/>
    <s v="income_1781955063347_zblt"/>
    <s v="rc_acc_1781955063347_uxz4"/>
    <x v="1"/>
    <s v="-"/>
    <m/>
    <s v="import"/>
    <s v=""/>
    <b v="0"/>
    <s v=""/>
  </r>
  <r>
    <s v="c69fc693-d090-4a82-9447-048c964a0c16"/>
    <x v="224"/>
    <s v="13:41"/>
    <x v="366"/>
    <s v="transfer"/>
    <s v="other"/>
    <s v="kbank"/>
    <x v="2"/>
    <s v="บาบิก้อน"/>
    <m/>
    <s v="import"/>
    <s v=""/>
    <b v="0"/>
    <s v=""/>
  </r>
  <r>
    <s v="1977680b-7fdd-498d-b8e0-12003939d31d"/>
    <x v="225"/>
    <s v="13:31"/>
    <x v="4"/>
    <s v="expense"/>
    <s v="rc_cat_1781955063347_anhy_1781955063350_fcpb"/>
    <s v="kbank"/>
    <x v="1"/>
    <s v="-"/>
    <m/>
    <s v="import"/>
    <s v=""/>
    <b v="0"/>
    <s v=""/>
  </r>
  <r>
    <s v="7a249d55-8e85-4ea7-991e-333a035694e1"/>
    <x v="225"/>
    <s v="16:17"/>
    <x v="341"/>
    <s v="transfer"/>
    <s v="other"/>
    <s v="kbank"/>
    <x v="2"/>
    <s v="-"/>
    <m/>
    <s v="import"/>
    <s v=""/>
    <b v="0"/>
    <s v=""/>
  </r>
  <r>
    <s v="be6fac51-7cca-4800-b9a6-18e465641b58"/>
    <x v="225"/>
    <s v="16:20"/>
    <x v="367"/>
    <s v="transfer"/>
    <s v="other"/>
    <s v="rc_acc_1781955063349_yz2g"/>
    <x v="4"/>
    <s v="-"/>
    <m/>
    <s v="import"/>
    <s v=""/>
    <b v="0"/>
    <s v=""/>
  </r>
  <r>
    <s v="6197a5f3-0b53-4a34-a98f-a975a9d4d479"/>
    <x v="225"/>
    <s v="20:45"/>
    <x v="368"/>
    <s v="expense"/>
    <s v="rc_cat_1781955063347_5qjb_1781955063347_tezk"/>
    <s v="kbank"/>
    <x v="1"/>
    <s v="-"/>
    <m/>
    <s v="import"/>
    <s v=""/>
    <b v="0"/>
    <s v=""/>
  </r>
  <r>
    <s v="888d84bf-ace0-4695-b1f4-3e20db25f6cf"/>
    <x v="226"/>
    <s v="20:46"/>
    <x v="5"/>
    <s v="expense"/>
    <s v="rc_cat_1781955063347_anhy_1781955063347_qnaz"/>
    <s v="kbank"/>
    <x v="1"/>
    <s v="-"/>
    <m/>
    <s v="import"/>
    <s v=""/>
    <b v="0"/>
    <s v=""/>
  </r>
  <r>
    <s v="894c857e-8a4d-4166-ba3a-3657c6a6c1e2"/>
    <x v="226"/>
    <s v="20:46"/>
    <x v="369"/>
    <s v="expense"/>
    <s v="rc_cat_1781955063347_anhy_1781955063347_qnaz"/>
    <s v="kbank"/>
    <x v="1"/>
    <s v="เสน่ห์ชาย"/>
    <m/>
    <s v="import"/>
    <s v=""/>
    <b v="0"/>
    <s v=""/>
  </r>
  <r>
    <s v="e2848739-7184-480d-9dcd-9a38d1d5a15b"/>
    <x v="227"/>
    <s v="00:00"/>
    <x v="252"/>
    <s v="transfer"/>
    <s v="other"/>
    <s v="kbank"/>
    <x v="10"/>
    <s v="-"/>
    <m/>
    <s v="import"/>
    <s v=""/>
    <b v="0"/>
    <s v=""/>
  </r>
  <r>
    <s v="50f3e567-1029-4c6d-8106-9889680eacb4"/>
    <x v="228"/>
    <s v="00:00"/>
    <x v="370"/>
    <s v="expense"/>
    <s v="rc_cat_1781955063347_04qb_1781955063347_kgnn"/>
    <s v="kbank"/>
    <x v="1"/>
    <s v="-"/>
    <m/>
    <s v="import"/>
    <s v=""/>
    <b v="0"/>
    <s v=""/>
  </r>
  <r>
    <s v="0c1a09d6-4f9a-493c-bfa0-426874044c8e"/>
    <x v="228"/>
    <s v="00:00"/>
    <x v="371"/>
    <s v="expense"/>
    <s v="rc_cat_1781955063347_04qb_1781955063347_lu9b"/>
    <s v="kbank"/>
    <x v="1"/>
    <s v="-"/>
    <m/>
    <s v="import"/>
    <s v=""/>
    <b v="0"/>
    <s v=""/>
  </r>
  <r>
    <s v="c8a23c26-d0f0-451d-94d0-950097881c08"/>
    <x v="228"/>
    <s v="00:00"/>
    <x v="129"/>
    <s v="transfer"/>
    <s v="other"/>
    <s v="kbank"/>
    <x v="20"/>
    <s v="-"/>
    <m/>
    <s v="import"/>
    <s v=""/>
    <b v="0"/>
    <s v=""/>
  </r>
  <r>
    <s v="f7aba151-bd41-4f09-b006-daed94b4f67f"/>
    <x v="228"/>
    <s v="00:00"/>
    <x v="307"/>
    <s v="transfer"/>
    <s v="other"/>
    <s v="kbank"/>
    <x v="8"/>
    <s v="-"/>
    <m/>
    <s v="import"/>
    <s v=""/>
    <b v="0"/>
    <s v=""/>
  </r>
  <r>
    <s v="3ebf10ce-f1a6-45c1-88a1-99b1c8ee6e96"/>
    <x v="228"/>
    <s v="00:00"/>
    <x v="126"/>
    <s v="expense"/>
    <s v="rc_cat_1781955063347_04qb_1781955063350_acgf"/>
    <s v="kbank"/>
    <x v="1"/>
    <s v="-"/>
    <m/>
    <s v="import"/>
    <s v=""/>
    <b v="0"/>
    <s v=""/>
  </r>
  <r>
    <s v="360a11f4-e403-4a79-a6c5-558f4c05f493"/>
    <x v="228"/>
    <s v="00:00"/>
    <x v="309"/>
    <s v="income"/>
    <s v="income_1781955063347_5zxt"/>
    <s v="kbank"/>
    <x v="1"/>
    <s v="-"/>
    <m/>
    <s v="import"/>
    <s v=""/>
    <b v="0"/>
    <s v=""/>
  </r>
  <r>
    <s v="f8a44938-1b27-4110-a580-51f9538a4cb1"/>
    <x v="228"/>
    <s v="00:00"/>
    <x v="128"/>
    <s v="transfer"/>
    <s v="other"/>
    <s v="kbank"/>
    <x v="21"/>
    <s v="-"/>
    <m/>
    <s v="import"/>
    <s v=""/>
    <b v="0"/>
    <s v=""/>
  </r>
  <r>
    <s v="1bd8ff4f-55b5-4a1e-9068-8680fe43d35d"/>
    <x v="228"/>
    <s v="00:00"/>
    <x v="31"/>
    <s v="transfer"/>
    <s v="other"/>
    <s v="kbank"/>
    <x v="7"/>
    <s v="-"/>
    <m/>
    <s v="import"/>
    <s v=""/>
    <b v="0"/>
    <s v=""/>
  </r>
  <r>
    <s v="02e78fd8-51ed-4bbf-9102-b10a8f0d2c8f"/>
    <x v="228"/>
    <s v="21:39"/>
    <x v="372"/>
    <s v="expense"/>
    <s v="rc_cat_1781955063347_anhy_1781955063347_qnaz"/>
    <s v="kbank"/>
    <x v="1"/>
    <s v="รักษาเกินสิทธิ"/>
    <m/>
    <s v="import"/>
    <s v=""/>
    <b v="0"/>
    <s v=""/>
  </r>
  <r>
    <s v="fec14d94-b174-4bbe-84d7-bff16b4e3f93"/>
    <x v="229"/>
    <s v="16:10"/>
    <x v="373"/>
    <s v="transfer"/>
    <s v="other"/>
    <s v="kbank"/>
    <x v="2"/>
    <s v="-"/>
    <m/>
    <s v="import"/>
    <s v=""/>
    <b v="0"/>
    <s v=""/>
  </r>
  <r>
    <s v="02db2fb5-5ef1-4d2f-a3e2-8b44ab4c46d4"/>
    <x v="229"/>
    <s v="20:47"/>
    <x v="194"/>
    <s v="transfer"/>
    <s v="other"/>
    <s v="kbank"/>
    <x v="14"/>
    <s v="-"/>
    <m/>
    <s v="import"/>
    <s v=""/>
    <b v="0"/>
    <s v=""/>
  </r>
  <r>
    <s v="1eb901eb-8a72-475e-ba3c-2ba5e06a6bbc"/>
    <x v="229"/>
    <s v="20:51"/>
    <x v="374"/>
    <s v="transfer"/>
    <s v="other"/>
    <s v="kbank"/>
    <x v="22"/>
    <s v="-"/>
    <m/>
    <s v="import"/>
    <s v=""/>
    <b v="0"/>
    <s v=""/>
  </r>
  <r>
    <s v="94870a51-53be-4b83-a4b0-f0a479d54f95"/>
    <x v="230"/>
    <s v="18:54"/>
    <x v="19"/>
    <s v="expense"/>
    <s v="rc_cat_1781955063347_s4sz_1781955063360_d7jr"/>
    <s v="kbank"/>
    <x v="1"/>
    <s v="ตัดผม"/>
    <m/>
    <s v="import"/>
    <s v=""/>
    <b v="0"/>
    <s v=""/>
  </r>
  <r>
    <s v="cd49c021-d6b7-48c1-bf2c-679e68daf02f"/>
    <x v="231"/>
    <s v="20:53"/>
    <x v="194"/>
    <s v="expense"/>
    <s v="entertain_1781955063348_kx2f"/>
    <s v="rc_acc_1781955063347_hv85"/>
    <x v="1"/>
    <s v="tablet(1/10)"/>
    <m/>
    <s v="import"/>
    <s v=""/>
    <b v="0"/>
    <s v=""/>
  </r>
  <r>
    <s v="a83dce9e-4dd7-4d71-940f-04ca33b5856d"/>
    <x v="232"/>
    <s v="17:46"/>
    <x v="375"/>
    <s v="expense"/>
    <s v="entertain_1781955063348_kx2f"/>
    <s v="kbank"/>
    <x v="1"/>
    <s v="monitor hub charger"/>
    <m/>
    <s v="import"/>
    <s v=""/>
    <b v="0"/>
    <s v=""/>
  </r>
  <r>
    <s v="f24a501d-2a82-435d-a0ca-25a1a9d45cbc"/>
    <x v="232"/>
    <s v="17:49"/>
    <x v="376"/>
    <s v="expense"/>
    <s v="rc_cat_1781955063347_5qjb_1781955063347_tezk"/>
    <s v="kbank"/>
    <x v="1"/>
    <s v="-"/>
    <m/>
    <s v="import"/>
    <s v=""/>
    <b v="0"/>
    <s v=""/>
  </r>
  <r>
    <s v="965398b0-e795-465a-8086-f22371741630"/>
    <x v="232"/>
    <s v="17:50"/>
    <x v="377"/>
    <s v="transfer"/>
    <s v="other"/>
    <s v="rc_acc_1781955063348_no9r"/>
    <x v="4"/>
    <s v="-"/>
    <m/>
    <s v="import"/>
    <s v=""/>
    <b v="0"/>
    <s v=""/>
  </r>
  <r>
    <s v="e41faa21-9313-4281-a55f-da6e574153ed"/>
    <x v="232"/>
    <s v="17:54"/>
    <x v="378"/>
    <s v="income"/>
    <s v="other_1781955063347_5s7r"/>
    <s v="rc_acc_1781955063348_no9r"/>
    <x v="1"/>
    <s v="Difference"/>
    <m/>
    <s v="import"/>
    <s v=""/>
    <b v="0"/>
    <s v=""/>
  </r>
  <r>
    <s v="a5e4d908-04ca-4a40-a90d-331778bae53a"/>
    <x v="232"/>
    <s v="18:57"/>
    <x v="379"/>
    <s v="expense"/>
    <s v="other_1781955063347_5s7r"/>
    <s v="rc_acc_1781955063348_obza"/>
    <x v="1"/>
    <s v="Difference"/>
    <m/>
    <s v="import"/>
    <s v=""/>
    <b v="0"/>
    <s v=""/>
  </r>
  <r>
    <s v="46565a88-6419-4657-ae99-df9dc0259f07"/>
    <x v="232"/>
    <s v="18:59"/>
    <x v="380"/>
    <s v="income"/>
    <s v="other_1781955063347_5s7r"/>
    <s v="rc_acc_1781955063348_hnxg"/>
    <x v="1"/>
    <s v="Difference"/>
    <m/>
    <s v="import"/>
    <s v=""/>
    <b v="0"/>
    <s v=""/>
  </r>
  <r>
    <s v="a42bb03a-f8bb-4c27-a4bc-73a54d6c08dc"/>
    <x v="232"/>
    <s v="23:31"/>
    <x v="381"/>
    <s v="expense"/>
    <s v="rc_cat_1781955063347_anhy_1781955063350_fcpb"/>
    <s v="kbank"/>
    <x v="1"/>
    <s v="-"/>
    <m/>
    <s v="import"/>
    <s v=""/>
    <b v="0"/>
    <s v=""/>
  </r>
  <r>
    <s v="4a078ff8-94f1-4e21-a9b9-fe4e134a2278"/>
    <x v="233"/>
    <s v="17:28"/>
    <x v="5"/>
    <s v="expense"/>
    <s v="rc_cat_1781955063347_anhy_1781955063347_qnaz"/>
    <s v="kbank"/>
    <x v="1"/>
    <s v="-"/>
    <m/>
    <s v="import"/>
    <s v=""/>
    <b v="0"/>
    <s v=""/>
  </r>
  <r>
    <s v="3a21deb2-5ea9-43c4-b045-555de614ec4b"/>
    <x v="234"/>
    <s v="16:56"/>
    <x v="382"/>
    <s v="transfer"/>
    <s v="other"/>
    <s v="advance"/>
    <x v="5"/>
    <s v="-"/>
    <m/>
    <s v="import"/>
    <s v=""/>
    <b v="0"/>
    <s v=""/>
  </r>
  <r>
    <s v="4e7ad3b9-c30e-4930-bd1f-1f1792ac41c4"/>
    <x v="234"/>
    <s v="17:18"/>
    <x v="383"/>
    <s v="transfer"/>
    <s v="other"/>
    <s v="advance"/>
    <x v="4"/>
    <s v="-"/>
    <m/>
    <s v="import"/>
    <s v=""/>
    <b v="0"/>
    <s v=""/>
  </r>
  <r>
    <s v="43b1e6d3-50c1-4c6d-971c-17b2f45e96a4"/>
    <x v="234"/>
    <s v="17:23"/>
    <x v="384"/>
    <s v="expense"/>
    <s v="rc_cat_1781955063347_anhy_1781955063348_k5l1"/>
    <s v="kbank"/>
    <x v="1"/>
    <s v="เลี้ยงทีมคลัง"/>
    <m/>
    <s v="import"/>
    <s v=""/>
    <b v="0"/>
    <s v=""/>
  </r>
  <r>
    <s v="6599b44f-3970-468a-915d-f472d1ec2beb"/>
    <x v="234"/>
    <s v="17:24"/>
    <x v="385"/>
    <s v="expense"/>
    <s v="rc_cat_1781955063347_anhy_1781955063350_fcpb"/>
    <s v="kbank"/>
    <x v="1"/>
    <s v="ซูกิชิ วันรเกิด"/>
    <m/>
    <s v="import"/>
    <s v=""/>
    <b v="0"/>
    <s v=""/>
  </r>
  <r>
    <s v="737f500b-c421-4389-b8de-c527a46533b0"/>
    <x v="234"/>
    <s v="17:25"/>
    <x v="386"/>
    <s v="expense"/>
    <s v="rc_cat_1781955063347_anhy_1781955063347_qnaz"/>
    <s v="kbank"/>
    <x v="1"/>
    <s v="ค่าโทรศัพท์แม่"/>
    <m/>
    <s v="import"/>
    <s v=""/>
    <b v="0"/>
    <s v=""/>
  </r>
  <r>
    <s v="b07e15ce-066f-469c-beb3-8d0833f3762f"/>
    <x v="234"/>
    <s v="17:25"/>
    <x v="182"/>
    <s v="expense"/>
    <s v="other_1781955063348_yjhe"/>
    <s v="kbank"/>
    <x v="1"/>
    <s v="LAMY"/>
    <m/>
    <s v="import"/>
    <s v=""/>
    <b v="0"/>
    <s v=""/>
  </r>
  <r>
    <s v="9c0019f6-f0cb-4dd8-a171-e733c624ced0"/>
    <x v="234"/>
    <s v="17:26"/>
    <x v="212"/>
    <s v="transfer"/>
    <s v="other"/>
    <s v="kbank"/>
    <x v="17"/>
    <s v="-"/>
    <m/>
    <s v="import"/>
    <s v=""/>
    <b v="0"/>
    <s v=""/>
  </r>
  <r>
    <s v="46622072-4e2a-49d4-ac84-0040c4b0a6d0"/>
    <x v="235"/>
    <s v="17:19"/>
    <x v="387"/>
    <s v="expense"/>
    <s v="rc_cat_1781955063347_anhy_1781955063348_k5l1"/>
    <s v="kbank"/>
    <x v="1"/>
    <s v="-"/>
    <m/>
    <s v="import"/>
    <s v=""/>
    <b v="0"/>
    <s v=""/>
  </r>
  <r>
    <s v="a5651c2d-fbaf-445a-ada4-c945db97aa86"/>
    <x v="236"/>
    <s v="00:00"/>
    <x v="8"/>
    <s v="transfer"/>
    <s v="other"/>
    <s v="kbank"/>
    <x v="10"/>
    <s v="-"/>
    <m/>
    <s v="import"/>
    <s v=""/>
    <b v="0"/>
    <s v=""/>
  </r>
  <r>
    <s v="3413ff84-eec8-4ebb-ba9d-461c35b0317a"/>
    <x v="236"/>
    <s v="17:01"/>
    <x v="388"/>
    <s v="transfer"/>
    <s v="other"/>
    <s v="kbank"/>
    <x v="10"/>
    <s v="-"/>
    <m/>
    <s v="import"/>
    <s v=""/>
    <b v="0"/>
    <s v=""/>
  </r>
  <r>
    <s v="87d1ca75-1af3-489d-b322-75c6d5ab27e1"/>
    <x v="237"/>
    <s v="00:00"/>
    <x v="308"/>
    <s v="expense"/>
    <s v="rc_cat_1781955063347_04qb_1781955063347_lu9b"/>
    <s v="kbank"/>
    <x v="1"/>
    <s v="-"/>
    <m/>
    <s v="import"/>
    <s v=""/>
    <b v="0"/>
    <s v=""/>
  </r>
  <r>
    <s v="244663cc-6767-4153-8284-9733eb6407d4"/>
    <x v="237"/>
    <s v="00:00"/>
    <x v="389"/>
    <s v="expense"/>
    <s v="rc_cat_1781955063347_04qb_1781955063347_kgnn"/>
    <s v="kbank"/>
    <x v="1"/>
    <s v="-"/>
    <m/>
    <s v="import"/>
    <s v=""/>
    <b v="0"/>
    <s v=""/>
  </r>
  <r>
    <s v="a7ebb58a-76be-445d-8a0d-eb589e736bd8"/>
    <x v="237"/>
    <s v="00:00"/>
    <x v="126"/>
    <s v="expense"/>
    <s v="rc_cat_1781955063347_04qb_1781955063350_acgf"/>
    <s v="kbank"/>
    <x v="1"/>
    <s v="-"/>
    <m/>
    <s v="import"/>
    <s v=""/>
    <b v="0"/>
    <s v=""/>
  </r>
  <r>
    <s v="2ee17013-30b5-4476-a3de-7df0423f4747"/>
    <x v="237"/>
    <s v="00:00"/>
    <x v="307"/>
    <s v="transfer"/>
    <s v="other"/>
    <s v="kbank"/>
    <x v="8"/>
    <s v="-"/>
    <m/>
    <s v="import"/>
    <s v=""/>
    <b v="0"/>
    <s v=""/>
  </r>
  <r>
    <s v="3784a6aa-bb67-4687-93b4-215794141911"/>
    <x v="237"/>
    <s v="00:00"/>
    <x v="309"/>
    <s v="income"/>
    <s v="income_1781955063347_5zxt"/>
    <s v="kbank"/>
    <x v="1"/>
    <s v="-"/>
    <m/>
    <s v="import"/>
    <s v=""/>
    <b v="0"/>
    <s v=""/>
  </r>
  <r>
    <s v="aa2dc003-0bdb-444e-833b-b294ea6922e5"/>
    <x v="237"/>
    <s v="00:00"/>
    <x v="128"/>
    <s v="transfer"/>
    <s v="other"/>
    <s v="kbank"/>
    <x v="21"/>
    <s v="-"/>
    <m/>
    <s v="import"/>
    <s v=""/>
    <b v="0"/>
    <s v=""/>
  </r>
  <r>
    <s v="5581ae53-5542-4b23-827e-fab790145401"/>
    <x v="237"/>
    <s v="00:00"/>
    <x v="306"/>
    <s v="transfer"/>
    <s v="other"/>
    <s v="kbank"/>
    <x v="20"/>
    <s v="-"/>
    <m/>
    <s v="import"/>
    <s v=""/>
    <b v="0"/>
    <s v=""/>
  </r>
  <r>
    <s v="1f859261-a936-47e9-8005-a03d7df87a94"/>
    <x v="237"/>
    <s v="00:00"/>
    <x v="31"/>
    <s v="transfer"/>
    <s v="other"/>
    <s v="kbank"/>
    <x v="7"/>
    <s v="-"/>
    <m/>
    <s v="import"/>
    <s v=""/>
    <b v="0"/>
    <s v=""/>
  </r>
  <r>
    <s v="5cf9cbd7-0b4d-43ed-a8d9-e15f6bf6ee0c"/>
    <x v="238"/>
    <s v="17:17"/>
    <x v="383"/>
    <s v="transfer"/>
    <s v="other"/>
    <s v="kbank"/>
    <x v="2"/>
    <s v="-"/>
    <m/>
    <s v="import"/>
    <s v=""/>
    <b v="0"/>
    <s v=""/>
  </r>
  <r>
    <s v="4b4bf799-c5c5-4dd3-85de-352d641ccf4d"/>
    <x v="238"/>
    <s v="17:18"/>
    <x v="390"/>
    <s v="income"/>
    <s v="income_1781955063347_zblt"/>
    <s v="kbank"/>
    <x v="1"/>
    <s v="-"/>
    <m/>
    <s v="import"/>
    <s v=""/>
    <b v="0"/>
    <s v=""/>
  </r>
  <r>
    <s v="c41d9d91-9c91-4943-92ba-ff5c900825e4"/>
    <x v="239"/>
    <s v="08:39"/>
    <x v="391"/>
    <s v="expense"/>
    <s v="rc_cat_1781955063347_anhy_1781955063348_k5l1"/>
    <s v="kbank"/>
    <x v="1"/>
    <s v="ekkamai macchiato"/>
    <m/>
    <s v="import"/>
    <s v=""/>
    <b v="0"/>
    <s v=""/>
  </r>
  <r>
    <s v="bbae8569-20ab-49ba-9eda-73d4925bdc5a"/>
    <x v="240"/>
    <s v="08:39"/>
    <x v="392"/>
    <s v="expense"/>
    <s v="rc_cat_1781955063347_anhy_1781955063348_k5l1"/>
    <s v="kbank"/>
    <x v="1"/>
    <s v="kansai fu"/>
    <m/>
    <s v="import"/>
    <s v=""/>
    <b v="0"/>
    <s v=""/>
  </r>
  <r>
    <s v="171681e4-172d-45aa-81ce-cb05e645d484"/>
    <x v="241"/>
    <s v="08:38"/>
    <x v="19"/>
    <s v="expense"/>
    <s v="rc_cat_1781955063347_5qjb_1781955063347_tezk"/>
    <s v="kbank"/>
    <x v="1"/>
    <s v="starbucks"/>
    <m/>
    <s v="import"/>
    <s v=""/>
    <b v="0"/>
    <s v=""/>
  </r>
  <r>
    <s v="458e03ea-6d5c-4223-977c-024659d6ad18"/>
    <x v="242"/>
    <s v="08:35"/>
    <x v="393"/>
    <s v="expense"/>
    <s v="rc_cat_1781955063347_anhy_1781955063348_k5l1"/>
    <s v="kbank"/>
    <x v="1"/>
    <s v="เยี่ยหนาน+ekamai"/>
    <m/>
    <s v="import"/>
    <s v=""/>
    <b v="0"/>
    <s v=""/>
  </r>
  <r>
    <s v="63b4408e-9c4d-43d6-aa5a-c661f8658cca"/>
    <x v="243"/>
    <s v="08:34"/>
    <x v="394"/>
    <s v="transfer"/>
    <s v="other"/>
    <s v="kbank"/>
    <x v="2"/>
    <s v="สมุดหงฝากแลก"/>
    <m/>
    <s v="import"/>
    <s v=""/>
    <b v="0"/>
    <s v=""/>
  </r>
  <r>
    <s v="fd0b5c8e-0cf4-46e3-8af2-3d46e1e14351"/>
    <x v="244"/>
    <s v="08:33"/>
    <x v="395"/>
    <s v="expense"/>
    <s v="rc_cat_1781955063347_04qb_1781955063347_wt5p"/>
    <s v="kbank"/>
    <x v="1"/>
    <s v="-"/>
    <m/>
    <s v="import"/>
    <s v=""/>
    <b v="0"/>
    <s v=""/>
  </r>
  <r>
    <s v="1ffe4a8f-2a46-4695-9964-d74c584d404b"/>
    <x v="244"/>
    <s v="08:47"/>
    <x v="212"/>
    <s v="transfer"/>
    <s v="other"/>
    <s v="rc_acc_1781955063348_w3gp"/>
    <x v="5"/>
    <s v="-"/>
    <m/>
    <s v="import"/>
    <s v=""/>
    <b v="0"/>
    <s v=""/>
  </r>
  <r>
    <s v="a1829113-29ee-435a-80c1-4bb9cc7e3331"/>
    <x v="244"/>
    <s v="08:48"/>
    <x v="4"/>
    <s v="expense"/>
    <s v="rc_cat_1781955063347_anhy_1781955063350_fcpb"/>
    <s v="rc_acc_1781955063347_uxz4"/>
    <x v="1"/>
    <s v="-"/>
    <m/>
    <s v="import"/>
    <s v=""/>
    <b v="0"/>
    <s v=""/>
  </r>
  <r>
    <s v="3b22e73f-acea-44d7-90c8-e1fe563bf071"/>
    <x v="244"/>
    <s v="16:54"/>
    <x v="35"/>
    <s v="transfer"/>
    <s v="other"/>
    <s v="rc_acc_1781955063348_hnxg"/>
    <x v="5"/>
    <s v="-"/>
    <m/>
    <s v="import"/>
    <s v=""/>
    <b v="0"/>
    <s v=""/>
  </r>
  <r>
    <s v="b8c33e18-a348-48c2-8bf3-f50045ab5b0a"/>
    <x v="245"/>
    <s v="09:39"/>
    <x v="19"/>
    <s v="expense"/>
    <s v="rc_cat_1781955063347_5qjb_1781955063347_tezk"/>
    <s v="kbank"/>
    <x v="1"/>
    <s v="-"/>
    <m/>
    <s v="import"/>
    <s v=""/>
    <b v="0"/>
    <s v=""/>
  </r>
  <r>
    <s v="f329913c-49a3-4424-9b36-0a45fb5acbd3"/>
    <x v="245"/>
    <s v="09:39"/>
    <x v="169"/>
    <s v="expense"/>
    <s v="rc_cat_1781955063347_5qjb_1781955063347_irl1"/>
    <s v="rc_acc_1781955063347_e3zv"/>
    <x v="1"/>
    <s v="-"/>
    <m/>
    <s v="import"/>
    <s v=""/>
    <b v="0"/>
    <s v=""/>
  </r>
  <r>
    <s v="7510359e-7b57-47ef-91d8-b4e3229ab0c7"/>
    <x v="245"/>
    <s v="09:44"/>
    <x v="396"/>
    <s v="expense"/>
    <s v="other_1781955063347_5s7r"/>
    <s v="rc_acc_1781955063357_rvam"/>
    <x v="1"/>
    <s v="Difference"/>
    <m/>
    <s v="import"/>
    <s v=""/>
    <b v="0"/>
    <s v=""/>
  </r>
  <r>
    <s v="49d6e3a1-423f-4758-a08f-f9bab5d7fa7d"/>
    <x v="246"/>
    <s v="12:50"/>
    <x v="397"/>
    <s v="transfer"/>
    <s v="other"/>
    <s v="kbank"/>
    <x v="3"/>
    <s v="-"/>
    <m/>
    <s v="import"/>
    <s v=""/>
    <b v="0"/>
    <s v=""/>
  </r>
  <r>
    <s v="9fddec62-c822-4e83-a6ca-f6e85c04617a"/>
    <x v="247"/>
    <s v="12:00"/>
    <x v="5"/>
    <s v="expense"/>
    <s v="rc_cat_1781955063347_anhy_1781955063347_qnaz"/>
    <s v="kbank"/>
    <x v="1"/>
    <s v="-"/>
    <m/>
    <s v="import"/>
    <s v=""/>
    <b v="0"/>
    <s v=""/>
  </r>
  <r>
    <s v="46d07cdf-f7aa-4c4e-8c99-635a783ce174"/>
    <x v="248"/>
    <s v="08:03"/>
    <x v="398"/>
    <s v="expense"/>
    <s v="rc_cat_1781955063347_anhy_1781955063350_fcpb"/>
    <s v="kbank"/>
    <x v="1"/>
    <s v="akiyoshi บ้านหง"/>
    <m/>
    <s v="import"/>
    <s v=""/>
    <b v="0"/>
    <s v=""/>
  </r>
  <r>
    <s v="b933daf2-f0fe-4190-be76-dd69e9f8cc6e"/>
    <x v="248"/>
    <s v="08:04"/>
    <x v="399"/>
    <s v="expense"/>
    <s v="entertain_1781955063348_kx2f"/>
    <s v="kbank"/>
    <x v="1"/>
    <s v="-"/>
    <m/>
    <s v="import"/>
    <s v=""/>
    <b v="0"/>
    <s v=""/>
  </r>
  <r>
    <s v="ca3c2061-e84e-4fc6-ac2e-37b96cfce04e"/>
    <x v="248"/>
    <s v="08:05"/>
    <x v="400"/>
    <s v="expense"/>
    <s v="entertain_1781955063348_kx2f"/>
    <s v="kbank"/>
    <x v="1"/>
    <s v="-"/>
    <m/>
    <s v="import"/>
    <s v=""/>
    <b v="0"/>
    <s v=""/>
  </r>
  <r>
    <s v="49aceb9d-ce3c-4a76-a8eb-e87fd05ae42f"/>
    <x v="248"/>
    <s v="08:07"/>
    <x v="401"/>
    <s v="expense"/>
    <s v="rc_cat_1781955063347_anhy_1781955063348_k5l1"/>
    <s v="kbank"/>
    <x v="1"/>
    <s v="hai ti lao"/>
    <m/>
    <s v="import"/>
    <s v=""/>
    <b v="0"/>
    <s v=""/>
  </r>
  <r>
    <s v="d430182a-0288-4448-9273-c29b4b060fa3"/>
    <x v="248"/>
    <s v="08:07"/>
    <x v="402"/>
    <s v="expense"/>
    <s v="rc_cat_1781955063347_anhy_1781955063347_qnaz"/>
    <s v="kbank"/>
    <x v="1"/>
    <s v="mk saladaeng"/>
    <m/>
    <s v="import"/>
    <s v=""/>
    <b v="0"/>
    <s v=""/>
  </r>
  <r>
    <s v="398214e9-fbf5-4bda-a27c-42ee298c1188"/>
    <x v="248"/>
    <s v="09:42"/>
    <x v="403"/>
    <s v="expense"/>
    <s v="rc_cat_1781955063347_anhy_1781955063347_qnaz"/>
    <s v="kbank"/>
    <x v="1"/>
    <s v="-"/>
    <m/>
    <s v="import"/>
    <s v=""/>
    <b v="0"/>
    <s v=""/>
  </r>
  <r>
    <s v="4b315252-5f75-42f8-8a28-5ea9e16f5e61"/>
    <x v="248"/>
    <s v="09:43"/>
    <x v="404"/>
    <s v="expense"/>
    <s v="rc_cat_1781955063347_5qjb_1781955063347_tezk"/>
    <s v="rc_acc_1781955063357_rvam"/>
    <x v="1"/>
    <s v="-"/>
    <m/>
    <s v="import"/>
    <s v=""/>
    <b v="0"/>
    <s v=""/>
  </r>
  <r>
    <s v="b2c52ddf-cb62-4bba-9e83-0e3a6d22d8f5"/>
    <x v="248"/>
    <s v="11:30"/>
    <x v="405"/>
    <s v="expense"/>
    <s v="rc_cat_1781955063347_anhy_1781955063347_qnaz"/>
    <s v="kbank"/>
    <x v="1"/>
    <s v="เค้กแม่"/>
    <m/>
    <s v="import"/>
    <s v=""/>
    <b v="0"/>
    <s v=""/>
  </r>
  <r>
    <s v="7542e19e-d362-455b-84d8-1b4b3a54a38e"/>
    <x v="248"/>
    <s v="14:37"/>
    <x v="84"/>
    <s v="expense"/>
    <s v="rc_cat_1781955063347_5qjb_1781955063347_tezk"/>
    <s v="kbank"/>
    <x v="1"/>
    <s v="-"/>
    <m/>
    <s v="import"/>
    <s v=""/>
    <b v="0"/>
    <s v=""/>
  </r>
  <r>
    <s v="4c1e378e-92a6-47d1-bb21-c62ba11613c7"/>
    <x v="248"/>
    <s v="14:37"/>
    <x v="19"/>
    <s v="expense"/>
    <s v="entertain_1781955063348_gj0i"/>
    <s v="kbank"/>
    <x v="1"/>
    <s v="-"/>
    <m/>
    <s v="import"/>
    <s v=""/>
    <b v="0"/>
    <s v=""/>
  </r>
  <r>
    <s v="5dbd65da-6ffc-4129-b708-0c80bd44ddf8"/>
    <x v="248"/>
    <s v="14:38"/>
    <x v="406"/>
    <s v="expense"/>
    <s v="rc_cat_1781955063347_5qjb_1781955063347_tezk"/>
    <s v="kbank"/>
    <x v="1"/>
    <s v="-"/>
    <m/>
    <s v="import"/>
    <s v=""/>
    <b v="0"/>
    <s v=""/>
  </r>
  <r>
    <s v="2b086b13-34f3-4d2e-884e-15c2e17df090"/>
    <x v="248"/>
    <s v="16:50"/>
    <x v="206"/>
    <s v="expense"/>
    <s v="rc_cat_1781955063347_5qjb_1781955063347_tezk"/>
    <s v="kbank"/>
    <x v="1"/>
    <s v="-"/>
    <m/>
    <s v="import"/>
    <s v=""/>
    <b v="0"/>
    <s v=""/>
  </r>
  <r>
    <s v="20057416-8c95-497c-9df8-22f91f49dfa8"/>
    <x v="248"/>
    <s v="20:37"/>
    <x v="407"/>
    <s v="expense"/>
    <s v="rc_cat_1781955063347_5qjb_1781955063347_tezk"/>
    <s v="kbank"/>
    <x v="1"/>
    <s v="-"/>
    <m/>
    <s v="import"/>
    <s v=""/>
    <b v="0"/>
    <s v=""/>
  </r>
  <r>
    <s v="fa36db77-651e-4869-a2ea-a647925b2762"/>
    <x v="249"/>
    <s v="20:23"/>
    <x v="206"/>
    <s v="expense"/>
    <s v="rc_cat_1781955063347_anhy_1781955063350_fcpb"/>
    <s v="kbank"/>
    <x v="1"/>
    <s v="เค้กหงส์"/>
    <m/>
    <s v="import"/>
    <s v=""/>
    <b v="0"/>
    <s v=""/>
  </r>
  <r>
    <s v="7de5f1d2-f0cd-4a63-8267-d8fb1750ff67"/>
    <x v="250"/>
    <s v="18:22"/>
    <x v="182"/>
    <s v="expense"/>
    <s v="rc_cat_1781955063347_anhy_1781955063348_k5l1"/>
    <s v="kbank"/>
    <x v="1"/>
    <s v="เบียร์ outing"/>
    <m/>
    <s v="import"/>
    <s v=""/>
    <b v="0"/>
    <s v=""/>
  </r>
  <r>
    <s v="8bc6d177-d589-4304-a2fc-9a881dcdcb50"/>
    <x v="251"/>
    <s v="12:55"/>
    <x v="408"/>
    <s v="expense"/>
    <s v="rc_cat_1781955063347_anhy_1781955063348_k5l1"/>
    <s v="kbank"/>
    <x v="1"/>
    <s v="-"/>
    <m/>
    <s v="import"/>
    <s v=""/>
    <b v="0"/>
    <s v=""/>
  </r>
  <r>
    <s v="5b7943a3-45c1-4bf5-91bd-63e66d89cb73"/>
    <x v="252"/>
    <s v="21:31"/>
    <x v="0"/>
    <s v="transfer"/>
    <s v="other"/>
    <s v="kbank"/>
    <x v="10"/>
    <s v="-"/>
    <m/>
    <s v="import"/>
    <s v=""/>
    <b v="0"/>
    <s v=""/>
  </r>
  <r>
    <s v="8c116d81-b432-4470-8613-72e37e8056a3"/>
    <x v="253"/>
    <s v="00:00"/>
    <x v="388"/>
    <s v="transfer"/>
    <s v="other"/>
    <s v="kbank"/>
    <x v="10"/>
    <s v="-"/>
    <m/>
    <s v="import"/>
    <s v=""/>
    <b v="0"/>
    <s v=""/>
  </r>
  <r>
    <s v="b010b926-283f-4c45-8925-dbc09159500c"/>
    <x v="253"/>
    <s v="12:20"/>
    <x v="409"/>
    <s v="expense"/>
    <s v="rc_cat_1781955063347_anhy_1781955063348_k5l1"/>
    <s v="kbank"/>
    <x v="1"/>
    <s v="เลี้ยงปิ่น"/>
    <m/>
    <s v="import"/>
    <s v=""/>
    <b v="0"/>
    <s v=""/>
  </r>
  <r>
    <s v="e5796a6a-cf7b-40be-9407-cb1f985ad230"/>
    <x v="254"/>
    <s v="00:00"/>
    <x v="126"/>
    <s v="expense"/>
    <s v="rc_cat_1781955063347_04qb_1781955063350_acgf"/>
    <s v="kbank"/>
    <x v="1"/>
    <s v="-"/>
    <m/>
    <s v="import"/>
    <s v=""/>
    <b v="0"/>
    <s v=""/>
  </r>
  <r>
    <s v="4fe81eaa-f2d0-4802-872d-99a6a6a02d81"/>
    <x v="254"/>
    <s v="00:00"/>
    <x v="410"/>
    <s v="expense"/>
    <s v="rc_cat_1781955063347_04qb_1781955063347_kgnn"/>
    <s v="kbank"/>
    <x v="1"/>
    <s v="-"/>
    <m/>
    <s v="import"/>
    <s v=""/>
    <b v="0"/>
    <s v=""/>
  </r>
  <r>
    <s v="ff816e92-daf4-435c-b980-ce82c7ee69b6"/>
    <x v="254"/>
    <s v="00:00"/>
    <x v="307"/>
    <s v="transfer"/>
    <s v="other"/>
    <s v="kbank"/>
    <x v="8"/>
    <s v="-"/>
    <m/>
    <s v="import"/>
    <s v=""/>
    <b v="0"/>
    <s v=""/>
  </r>
  <r>
    <s v="a280c725-5137-42bd-80b1-2094b7b12394"/>
    <x v="254"/>
    <s v="00:00"/>
    <x v="309"/>
    <s v="income"/>
    <s v="income_1781955063347_5zxt"/>
    <s v="kbank"/>
    <x v="1"/>
    <s v="-"/>
    <m/>
    <s v="import"/>
    <s v=""/>
    <b v="0"/>
    <s v=""/>
  </r>
  <r>
    <s v="8ac2333b-0a33-4a85-bc15-698abb45bb22"/>
    <x v="254"/>
    <s v="00:00"/>
    <x v="411"/>
    <s v="expense"/>
    <s v="rc_cat_1781955063347_04qb_1781955063347_lu9b"/>
    <s v="kbank"/>
    <x v="1"/>
    <s v="-"/>
    <m/>
    <s v="import"/>
    <s v=""/>
    <b v="0"/>
    <s v=""/>
  </r>
  <r>
    <s v="6b18d1ad-45bf-4711-8d67-81ff33639fb5"/>
    <x v="254"/>
    <s v="00:00"/>
    <x v="374"/>
    <s v="transfer"/>
    <s v="other"/>
    <s v="kbank"/>
    <x v="22"/>
    <s v="-"/>
    <m/>
    <s v="import"/>
    <s v=""/>
    <b v="0"/>
    <s v=""/>
  </r>
  <r>
    <s v="dbc8d6be-7994-405a-a4e3-14d45f6a2ff5"/>
    <x v="254"/>
    <s v="00:00"/>
    <x v="306"/>
    <s v="transfer"/>
    <s v="other"/>
    <s v="kbank"/>
    <x v="20"/>
    <s v="-"/>
    <m/>
    <s v="import"/>
    <s v=""/>
    <b v="0"/>
    <s v=""/>
  </r>
  <r>
    <s v="b1b4c1d3-cf5f-489b-b5ac-9768d383f00c"/>
    <x v="254"/>
    <s v="00:00"/>
    <x v="128"/>
    <s v="transfer"/>
    <s v="other"/>
    <s v="kbank"/>
    <x v="21"/>
    <s v="-"/>
    <m/>
    <s v="import"/>
    <s v=""/>
    <b v="0"/>
    <s v=""/>
  </r>
  <r>
    <s v="81dcb340-3cc1-4578-badd-c52ab4152967"/>
    <x v="254"/>
    <s v="00:00"/>
    <x v="31"/>
    <s v="transfer"/>
    <s v="other"/>
    <s v="kbank"/>
    <x v="7"/>
    <s v="-"/>
    <m/>
    <s v="import"/>
    <s v=""/>
    <b v="0"/>
    <s v=""/>
  </r>
  <r>
    <s v="43b1953e-3b36-4828-aea4-302a15b95511"/>
    <x v="254"/>
    <s v="00:00"/>
    <x v="412"/>
    <s v="expense"/>
    <s v="rc_cat_1781955063347_anhy_1781955063347_qnaz"/>
    <s v="kbank"/>
    <x v="1"/>
    <s v="-"/>
    <m/>
    <s v="import"/>
    <s v=""/>
    <b v="0"/>
    <s v=""/>
  </r>
  <r>
    <s v="c41e6ba1-6c87-47f6-86c5-9d783983a49a"/>
    <x v="255"/>
    <s v="22:15"/>
    <x v="8"/>
    <s v="transfer"/>
    <s v="other"/>
    <s v="rc_acc_1781955063347_uxz4"/>
    <x v="4"/>
    <s v="-"/>
    <m/>
    <s v="import"/>
    <s v=""/>
    <b v="0"/>
    <s v=""/>
  </r>
  <r>
    <s v="9daff6ed-8f03-4b11-9703-56be076a3599"/>
    <x v="256"/>
    <s v="21:31"/>
    <x v="1"/>
    <s v="transfer"/>
    <s v="other"/>
    <s v="rc_acc_1781955063347_uxz4"/>
    <x v="4"/>
    <s v="-"/>
    <m/>
    <s v="import"/>
    <s v=""/>
    <b v="0"/>
    <s v=""/>
  </r>
  <r>
    <s v="5c41b30d-8c06-4eff-b951-ec20a14d5e11"/>
    <x v="256"/>
    <s v="21:31"/>
    <x v="99"/>
    <s v="transfer"/>
    <s v="other"/>
    <s v="kbank"/>
    <x v="10"/>
    <s v="-"/>
    <m/>
    <s v="import"/>
    <s v=""/>
    <b v="0"/>
    <s v=""/>
  </r>
  <r>
    <s v="b74b5f4d-b9a1-45d4-b2f4-32c992700f6f"/>
    <x v="257"/>
    <s v="16:34"/>
    <x v="211"/>
    <s v="expense"/>
    <s v="rc_cat_1781955063347_anhy_1781955063348_k5l1"/>
    <s v="kbank"/>
    <x v="1"/>
    <s v="เงินฝ่าย"/>
    <m/>
    <s v="import"/>
    <s v=""/>
    <b v="0"/>
    <s v=""/>
  </r>
  <r>
    <s v="e095a5f2-da08-4bb1-ac9f-eee49bc021de"/>
    <x v="257"/>
    <s v="18:11"/>
    <x v="413"/>
    <s v="expense"/>
    <s v="entertain_1781955063359_cf7f"/>
    <s v="kbank"/>
    <x v="1"/>
    <s v="-"/>
    <m/>
    <s v="import"/>
    <s v=""/>
    <b v="0"/>
    <s v=""/>
  </r>
  <r>
    <s v="555c6ab0-1c30-4008-b994-3345f2a98dbf"/>
    <x v="258"/>
    <s v="07:25"/>
    <x v="146"/>
    <s v="expense"/>
    <s v="entertain_1781955063359_cf7f"/>
    <s v="kbank"/>
    <x v="1"/>
    <s v="กาชา แชงส์"/>
    <m/>
    <s v="import"/>
    <s v=""/>
    <b v="0"/>
    <s v=""/>
  </r>
  <r>
    <s v="0be1397b-5f5a-4b81-8d70-c66efc0e7219"/>
    <x v="259"/>
    <s v="10:59"/>
    <x v="17"/>
    <s v="expense"/>
    <s v="rc_cat_1781955063347_anhy_1781955063347_qnaz"/>
    <s v="kbank"/>
    <x v="1"/>
    <s v="-"/>
    <m/>
    <s v="import"/>
    <s v=""/>
    <b v="0"/>
    <s v=""/>
  </r>
  <r>
    <s v="9d9d9453-93ce-48ca-86f6-adc4a3677d94"/>
    <x v="259"/>
    <s v="11:31"/>
    <x v="414"/>
    <s v="expense"/>
    <s v="rc_cat_1781955063347_anhy_1781955063347_qnaz"/>
    <s v="advance"/>
    <x v="1"/>
    <s v="โอนให้แม่"/>
    <m/>
    <s v="import"/>
    <s v=""/>
    <b v="0"/>
    <s v=""/>
  </r>
  <r>
    <s v="6f2764d9-e0d0-4ff2-a607-03fd30267e75"/>
    <x v="259"/>
    <s v="11:33"/>
    <x v="415"/>
    <s v="transfer"/>
    <s v="other"/>
    <s v="advance"/>
    <x v="4"/>
    <s v="ค่าไฟ"/>
    <m/>
    <s v="import"/>
    <s v=""/>
    <b v="0"/>
    <s v=""/>
  </r>
  <r>
    <s v="fa84ba5c-51df-44c3-8cad-f1ba6553d779"/>
    <x v="259"/>
    <s v="12:34"/>
    <x v="8"/>
    <s v="expense"/>
    <s v="rc_cat_1781955063347_anhy_1781955063347_qnaz"/>
    <s v="advance"/>
    <x v="1"/>
    <s v="แบงก์ให้แม่"/>
    <m/>
    <s v="import"/>
    <s v=""/>
    <b v="0"/>
    <s v=""/>
  </r>
  <r>
    <s v="b51f73c2-70d8-44d7-a48b-51d50a220c2f"/>
    <x v="259"/>
    <s v="12:35"/>
    <x v="416"/>
    <s v="transfer"/>
    <s v="other"/>
    <s v="advance"/>
    <x v="4"/>
    <s v="-"/>
    <m/>
    <s v="import"/>
    <s v=""/>
    <b v="0"/>
    <s v=""/>
  </r>
  <r>
    <s v="c5c92467-0129-4b32-836e-2a94db478fc0"/>
    <x v="259"/>
    <s v="21:33"/>
    <x v="182"/>
    <s v="expense"/>
    <s v="other_1781955063348_yjhe"/>
    <s v="kbank"/>
    <x v="1"/>
    <s v="-"/>
    <m/>
    <s v="import"/>
    <s v=""/>
    <b v="0"/>
    <s v=""/>
  </r>
  <r>
    <s v="22424473-6cd1-4d2a-beec-c616b606621c"/>
    <x v="260"/>
    <s v="10:58"/>
    <x v="417"/>
    <s v="transfer"/>
    <s v="other"/>
    <s v="kbank"/>
    <x v="2"/>
    <s v="-"/>
    <m/>
    <s v="import"/>
    <s v=""/>
    <b v="0"/>
    <s v=""/>
  </r>
  <r>
    <s v="4d884fb6-a5f2-40d5-a10c-ebb312ab5baa"/>
    <x v="261"/>
    <s v="10:05"/>
    <x v="234"/>
    <s v="transfer"/>
    <s v="other"/>
    <s v="rc_acc_1781955063347_e3zv"/>
    <x v="5"/>
    <s v="-"/>
    <m/>
    <s v="import"/>
    <s v=""/>
    <b v="0"/>
    <s v=""/>
  </r>
  <r>
    <s v="9b1bdb7b-57dc-498e-9744-e6db4f4320d5"/>
    <x v="262"/>
    <s v="10:56"/>
    <x v="4"/>
    <s v="expense"/>
    <s v="rc_cat_1781955063347_anhy_1781955063350_fcpb"/>
    <s v="kbank"/>
    <x v="1"/>
    <s v="-"/>
    <m/>
    <s v="import"/>
    <s v=""/>
    <b v="0"/>
    <s v=""/>
  </r>
  <r>
    <s v="775f1d92-4b6a-4ae8-a511-d84b911c505a"/>
    <x v="263"/>
    <s v="10:04"/>
    <x v="178"/>
    <s v="transfer"/>
    <s v="other"/>
    <s v="advance"/>
    <x v="5"/>
    <s v="-"/>
    <m/>
    <s v="import"/>
    <s v=""/>
    <b v="0"/>
    <s v=""/>
  </r>
  <r>
    <s v="72b3b545-a9b7-4dcf-95db-d90f106ee706"/>
    <x v="263"/>
    <s v="10:56"/>
    <x v="415"/>
    <s v="transfer"/>
    <s v="other"/>
    <s v="kbank"/>
    <x v="2"/>
    <s v="-"/>
    <m/>
    <s v="import"/>
    <s v=""/>
    <b v="0"/>
    <s v=""/>
  </r>
  <r>
    <s v="34d030d2-c90d-43d4-9283-35c290ad1ec4"/>
    <x v="263"/>
    <s v="10:57"/>
    <x v="418"/>
    <s v="expense"/>
    <s v="rc_cat_1781955063347_04qb_1781955063347_wt5p"/>
    <s v="kbank"/>
    <x v="1"/>
    <s v="-"/>
    <m/>
    <s v="import"/>
    <s v=""/>
    <b v="0"/>
    <s v=""/>
  </r>
  <r>
    <s v="63c4c945-9500-42ca-a96d-e14fc8f54522"/>
    <x v="263"/>
    <s v="11:06"/>
    <x v="419"/>
    <s v="expense"/>
    <s v="rc_cat_1781955063347_5qjb_1781955063347_tezk"/>
    <s v="rc_acc_1781955063357_rvam"/>
    <x v="1"/>
    <s v="-"/>
    <m/>
    <s v="import"/>
    <s v=""/>
    <b v="0"/>
    <s v=""/>
  </r>
  <r>
    <s v="82264fbd-c34f-48c7-b759-bf6574d757bf"/>
    <x v="263"/>
    <s v="11:10"/>
    <x v="420"/>
    <s v="expense"/>
    <s v="other_1781955063347_5s7r"/>
    <s v="rc_acc_1781955063357_rvam"/>
    <x v="1"/>
    <s v="Difference"/>
    <m/>
    <s v="import"/>
    <s v=""/>
    <b v="0"/>
    <s v=""/>
  </r>
  <r>
    <s v="de3cc10d-6b52-41d5-bc14-cd399a1d6c08"/>
    <x v="264"/>
    <s v="17:31"/>
    <x v="421"/>
    <s v="transfer"/>
    <s v="other"/>
    <s v="advance"/>
    <x v="5"/>
    <s v="-"/>
    <m/>
    <s v="import"/>
    <s v=""/>
    <b v="0"/>
    <s v=""/>
  </r>
  <r>
    <s v="d570d6ad-3329-4210-833e-a2cf8f5ac850"/>
    <x v="265"/>
    <s v="18:13"/>
    <x v="422"/>
    <s v="expense"/>
    <s v="entertain_1781955063359_cf7f"/>
    <s v="kbank"/>
    <x v="1"/>
    <s v="-"/>
    <m/>
    <s v="import"/>
    <s v=""/>
    <b v="0"/>
    <s v=""/>
  </r>
  <r>
    <s v="e3eefbaf-38a7-4517-9b30-dabffc1053ad"/>
    <x v="265"/>
    <s v="18:13"/>
    <x v="423"/>
    <s v="expense"/>
    <s v="rc_cat_1781955063347_5qjb_1781955063347_tezk"/>
    <s v="kbank"/>
    <x v="1"/>
    <s v="-"/>
    <m/>
    <s v="import"/>
    <s v=""/>
    <b v="0"/>
    <s v=""/>
  </r>
  <r>
    <s v="526fb387-59f7-4691-a5e1-7a4c373df7b2"/>
    <x v="265"/>
    <s v="18:19"/>
    <x v="424"/>
    <s v="transfer"/>
    <s v="other"/>
    <s v="advance"/>
    <x v="5"/>
    <s v="หง 12 ใบ"/>
    <m/>
    <s v="import"/>
    <s v=""/>
    <b v="0"/>
    <s v=""/>
  </r>
  <r>
    <s v="8a8acf1f-fcee-4341-8678-9e5f3a294426"/>
    <x v="265"/>
    <s v="18:20"/>
    <x v="178"/>
    <s v="transfer"/>
    <s v="other"/>
    <s v="advance"/>
    <x v="5"/>
    <s v="-"/>
    <m/>
    <s v="import"/>
    <s v=""/>
    <b v="0"/>
    <s v=""/>
  </r>
  <r>
    <s v="2608094f-310c-409f-a49c-b7c0f5860a0f"/>
    <x v="265"/>
    <s v="18:20"/>
    <x v="425"/>
    <s v="transfer"/>
    <s v="other"/>
    <s v="advance"/>
    <x v="5"/>
    <s v="-"/>
    <m/>
    <s v="import"/>
    <s v=""/>
    <b v="0"/>
    <s v=""/>
  </r>
  <r>
    <s v="50bfb512-1f9d-4fba-9c24-4df5da229d41"/>
    <x v="265"/>
    <s v="18:21"/>
    <x v="87"/>
    <s v="expense"/>
    <s v="rc_cat_1781955063347_5qjb_1781955063347_tezk"/>
    <s v="rc_acc_1781955063347_uxz4"/>
    <x v="1"/>
    <s v="-"/>
    <m/>
    <s v="import"/>
    <s v=""/>
    <b v="0"/>
    <s v=""/>
  </r>
  <r>
    <s v="f975cdfd-1eb6-4745-95c3-43e36b5430dc"/>
    <x v="265"/>
    <s v="18:21"/>
    <x v="426"/>
    <s v="expense"/>
    <s v="other_1781955063347_5s7r"/>
    <s v="rc_acc_1781955063347_uxz4"/>
    <x v="1"/>
    <s v="Difference"/>
    <m/>
    <s v="import"/>
    <s v=""/>
    <b v="0"/>
    <s v=""/>
  </r>
  <r>
    <s v="15fa7bc3-044b-4f45-b1bb-0d88459ac7b1"/>
    <x v="266"/>
    <s v="18:00"/>
    <x v="5"/>
    <s v="expense"/>
    <s v="rc_cat_1781955063347_anhy_1781955063347_qnaz"/>
    <s v="kbank"/>
    <x v="1"/>
    <s v="-"/>
    <m/>
    <s v="import"/>
    <s v=""/>
    <b v="0"/>
    <s v=""/>
  </r>
  <r>
    <s v="6c9704c3-a859-471b-b0dc-a58dd6857b37"/>
    <x v="267"/>
    <s v="18:00"/>
    <x v="388"/>
    <s v="transfer"/>
    <s v="other"/>
    <s v="kbank"/>
    <x v="10"/>
    <s v="-"/>
    <m/>
    <s v="import"/>
    <s v=""/>
    <b v="0"/>
    <s v=""/>
  </r>
  <r>
    <s v="f39780af-54fb-4bb8-ba48-adae927bf444"/>
    <x v="268"/>
    <s v="00:00"/>
    <x v="374"/>
    <s v="transfer"/>
    <s v="other"/>
    <s v="kbank"/>
    <x v="22"/>
    <s v="-"/>
    <m/>
    <s v="import"/>
    <s v=""/>
    <b v="0"/>
    <s v=""/>
  </r>
  <r>
    <s v="042c6d93-2fc9-4ca9-b60c-bf669988b972"/>
    <x v="268"/>
    <s v="00:00"/>
    <x v="427"/>
    <s v="expense"/>
    <s v="rc_cat_1781955063347_04qb_1781955063350_acgf"/>
    <s v="kbank"/>
    <x v="1"/>
    <s v="-"/>
    <m/>
    <s v="import"/>
    <s v=""/>
    <b v="0"/>
    <s v=""/>
  </r>
  <r>
    <s v="104c5089-a91a-49f4-b7eb-bb27e2a26407"/>
    <x v="268"/>
    <s v="00:00"/>
    <x v="428"/>
    <s v="transfer"/>
    <s v="other"/>
    <s v="kbank"/>
    <x v="8"/>
    <s v="-"/>
    <m/>
    <s v="import"/>
    <s v=""/>
    <b v="0"/>
    <s v=""/>
  </r>
  <r>
    <s v="7b83357f-6757-405d-ae8e-fd3f1c7db8f2"/>
    <x v="268"/>
    <s v="00:00"/>
    <x v="429"/>
    <s v="expense"/>
    <s v="rc_cat_1781955063347_04qb_1781955063347_lu9b"/>
    <s v="kbank"/>
    <x v="1"/>
    <s v="-"/>
    <m/>
    <s v="import"/>
    <s v=""/>
    <b v="0"/>
    <s v=""/>
  </r>
  <r>
    <s v="12bebdea-a420-4c8e-afc6-857917d6a488"/>
    <x v="268"/>
    <s v="00:00"/>
    <x v="430"/>
    <s v="expense"/>
    <s v="rc_cat_1781955063347_04qb_1781955063347_kgnn"/>
    <s v="kbank"/>
    <x v="1"/>
    <s v="-"/>
    <m/>
    <s v="import"/>
    <s v=""/>
    <b v="0"/>
    <s v=""/>
  </r>
  <r>
    <s v="76f467bb-0fc0-47ee-b88d-91a08f440041"/>
    <x v="268"/>
    <s v="00:00"/>
    <x v="431"/>
    <s v="income"/>
    <s v="income_1781955063347_5zxt"/>
    <s v="kbank"/>
    <x v="1"/>
    <s v="-"/>
    <m/>
    <s v="import"/>
    <s v=""/>
    <b v="0"/>
    <s v=""/>
  </r>
  <r>
    <s v="a67850fe-17da-48e3-8c2f-ff6f47e49040"/>
    <x v="268"/>
    <s v="00:00"/>
    <x v="306"/>
    <s v="transfer"/>
    <s v="other"/>
    <s v="kbank"/>
    <x v="20"/>
    <s v="-"/>
    <m/>
    <s v="import"/>
    <s v=""/>
    <b v="0"/>
    <s v=""/>
  </r>
  <r>
    <s v="aba559ac-7f62-42b6-a18a-0366fe26a964"/>
    <x v="268"/>
    <s v="00:00"/>
    <x v="31"/>
    <s v="transfer"/>
    <s v="other"/>
    <s v="kbank"/>
    <x v="7"/>
    <s v="-"/>
    <m/>
    <s v="import"/>
    <s v=""/>
    <b v="0"/>
    <s v=""/>
  </r>
  <r>
    <s v="5b20323b-2b91-45de-a74e-280071d33ec0"/>
    <x v="268"/>
    <s v="00:00"/>
    <x v="128"/>
    <s v="transfer"/>
    <s v="other"/>
    <s v="kbank"/>
    <x v="21"/>
    <s v="-"/>
    <m/>
    <s v="import"/>
    <s v=""/>
    <b v="0"/>
    <s v=""/>
  </r>
  <r>
    <s v="48aba4dd-0818-4bb5-805a-897fc8a97b3f"/>
    <x v="269"/>
    <s v="17:48"/>
    <x v="432"/>
    <s v="expense"/>
    <s v="rc_cat_1781955063347_anhy_1781955063347_qnaz"/>
    <s v="kbank"/>
    <x v="1"/>
    <s v="-"/>
    <m/>
    <s v="import"/>
    <s v=""/>
    <b v="0"/>
    <s v=""/>
  </r>
  <r>
    <s v="bb7644c7-5f11-4694-8557-52f5cbe611bb"/>
    <x v="270"/>
    <s v="11:46"/>
    <x v="34"/>
    <s v="transfer"/>
    <s v="other"/>
    <s v="advance"/>
    <x v="4"/>
    <s v="-"/>
    <m/>
    <s v="import"/>
    <s v=""/>
    <b v="0"/>
    <s v=""/>
  </r>
  <r>
    <s v="db3f080d-f017-4ce2-8db5-2528d017578c"/>
    <x v="270"/>
    <s v="11:48"/>
    <x v="433"/>
    <s v="expense"/>
    <s v="other_1781955063347_5s7r"/>
    <s v="kbank"/>
    <x v="1"/>
    <s v="Difference"/>
    <m/>
    <s v="import"/>
    <s v=""/>
    <b v="0"/>
    <s v=""/>
  </r>
  <r>
    <s v="f6fdddc2-8718-42e1-b397-810848542f34"/>
    <x v="270"/>
    <s v="17:59"/>
    <x v="434"/>
    <s v="expense"/>
    <s v="entertain_1781955063348_kx2f"/>
    <s v="kbank"/>
    <x v="1"/>
    <s v="-"/>
    <m/>
    <s v="import"/>
    <s v=""/>
    <b v="0"/>
    <s v=""/>
  </r>
  <r>
    <s v="01c356df-9f87-4a82-86ab-c222d5fe925c"/>
    <x v="271"/>
    <s v="11:39"/>
    <x v="435"/>
    <s v="expense"/>
    <s v="rc_cat_1781955063347_5qjb_1781955063347_tezk"/>
    <s v="kbank"/>
    <x v="1"/>
    <s v="-"/>
    <m/>
    <s v="import"/>
    <s v=""/>
    <b v="0"/>
    <s v=""/>
  </r>
  <r>
    <s v="40886c33-e055-4a0f-b85c-3cf1cbe8fdcc"/>
    <x v="272"/>
    <s v="11:40"/>
    <x v="19"/>
    <s v="expense"/>
    <s v="rc_cat_1781955063347_s4sz_1781955063347_deos"/>
    <s v="kbank"/>
    <x v="1"/>
    <s v="ตัดผม"/>
    <m/>
    <s v="import"/>
    <s v=""/>
    <b v="0"/>
    <s v=""/>
  </r>
  <r>
    <s v="eb46b6d5-979c-4717-9f33-cc235f4dec07"/>
    <x v="272"/>
    <s v="22:34"/>
    <x v="315"/>
    <s v="transfer"/>
    <s v="other"/>
    <s v="rc_acc_1781955063348_obza"/>
    <x v="12"/>
    <s v="-"/>
    <m/>
    <s v="import"/>
    <s v=""/>
    <b v="0"/>
    <s v=""/>
  </r>
  <r>
    <s v="38ae80af-16b6-4525-86fd-ed73c8f1c7f9"/>
    <x v="273"/>
    <s v="11:38"/>
    <x v="19"/>
    <s v="expense"/>
    <s v="entertain_1781955063359_cf7f"/>
    <s v="kbank"/>
    <x v="1"/>
    <s v="-"/>
    <m/>
    <s v="import"/>
    <s v=""/>
    <b v="0"/>
    <s v=""/>
  </r>
  <r>
    <s v="b06cf9e1-e53c-4484-9ba0-6caa1db0456f"/>
    <x v="274"/>
    <s v="11:56"/>
    <x v="315"/>
    <s v="expense"/>
    <s v="rc_cat_1781955063347_5qjb_1781955063347_tezk"/>
    <s v="rc_acc_1781955063347_uxz4"/>
    <x v="1"/>
    <s v="-"/>
    <m/>
    <s v="import"/>
    <s v=""/>
    <b v="0"/>
    <s v=""/>
  </r>
  <r>
    <s v="42dbbc09-4a85-44ff-b878-6200cd204b4b"/>
    <x v="275"/>
    <s v="11:38"/>
    <x v="5"/>
    <s v="expense"/>
    <s v="rc_cat_1781955063347_anhy_1781955063347_qnaz"/>
    <s v="kbank"/>
    <x v="1"/>
    <s v="-"/>
    <m/>
    <s v="import"/>
    <s v=""/>
    <b v="0"/>
    <s v=""/>
  </r>
  <r>
    <s v="5cf2856a-dcae-4bac-8121-32b396f9c2f9"/>
    <x v="276"/>
    <s v="11:37"/>
    <x v="436"/>
    <s v="expense"/>
    <s v="rc_cat_1781955063347_5qjb_1781955063347_tezk"/>
    <s v="kbank"/>
    <x v="1"/>
    <s v="-"/>
    <m/>
    <s v="import"/>
    <s v=""/>
    <b v="0"/>
    <s v=""/>
  </r>
  <r>
    <s v="c977aa4b-0393-4d0e-a4cf-d6cdda6f2c22"/>
    <x v="277"/>
    <s v="11:51"/>
    <x v="159"/>
    <s v="transfer"/>
    <s v="other"/>
    <s v="advance"/>
    <x v="5"/>
    <s v="-"/>
    <m/>
    <s v="import"/>
    <s v=""/>
    <b v="0"/>
    <s v=""/>
  </r>
  <r>
    <s v="ca960d4f-6587-474c-b1aa-8fedb741972c"/>
    <x v="278"/>
    <s v="11:36"/>
    <x v="5"/>
    <s v="transfer"/>
    <s v="other"/>
    <s v="kbank"/>
    <x v="3"/>
    <s v="-"/>
    <m/>
    <s v="import"/>
    <s v=""/>
    <b v="0"/>
    <s v=""/>
  </r>
  <r>
    <s v="ae874dc8-f886-4bd1-97a1-114709fa2019"/>
    <x v="278"/>
    <s v="11:37"/>
    <x v="437"/>
    <s v="expense"/>
    <s v="rc_cat_1781955063347_04qb_1781955063347_wt5p"/>
    <s v="kbank"/>
    <x v="1"/>
    <s v="-"/>
    <m/>
    <s v="import"/>
    <s v=""/>
    <b v="0"/>
    <s v=""/>
  </r>
  <r>
    <s v="c9469073-7105-496e-beef-6a3fcc50089e"/>
    <x v="278"/>
    <s v="11:50"/>
    <x v="438"/>
    <s v="expense"/>
    <s v="rc_cat_1781955063347_anhy_1781955063350_fcpb"/>
    <s v="rc_acc_1781955063347_uxz4"/>
    <x v="1"/>
    <s v="-"/>
    <m/>
    <s v="import"/>
    <s v=""/>
    <b v="0"/>
    <s v=""/>
  </r>
  <r>
    <s v="b2efbc19-b248-4d2a-9733-14210009a976"/>
    <x v="279"/>
    <s v="09:59"/>
    <x v="439"/>
    <s v="expense"/>
    <s v="rc_cat_1781955063347_5qjb_1781955063347_tezk"/>
    <s v="kbank"/>
    <x v="1"/>
    <s v="-"/>
    <m/>
    <s v="import"/>
    <s v=""/>
    <b v="0"/>
    <s v=""/>
  </r>
  <r>
    <s v="2f9e0cef-f00b-4006-8ed3-0d211b3e20aa"/>
    <x v="279"/>
    <s v="09:59"/>
    <x v="440"/>
    <s v="expense"/>
    <s v="rc_cat_1781955063347_5qjb_1781955063348_wpky"/>
    <s v="kbank"/>
    <x v="1"/>
    <s v="โต๊ะ"/>
    <m/>
    <s v="import"/>
    <s v=""/>
    <b v="0"/>
    <s v=""/>
  </r>
  <r>
    <s v="8ca03cfd-1a9d-4e80-8612-f376e5c32d14"/>
    <x v="279"/>
    <s v="09:59"/>
    <x v="441"/>
    <s v="expense"/>
    <s v="entertain_1781955063359_cf7f"/>
    <s v="kbank"/>
    <x v="1"/>
    <s v="-"/>
    <m/>
    <s v="import"/>
    <s v=""/>
    <b v="0"/>
    <s v=""/>
  </r>
  <r>
    <s v="a2cf9a2f-ab7c-4ac2-9e2a-035eef9d5145"/>
    <x v="279"/>
    <s v="10:26"/>
    <x v="17"/>
    <s v="expense"/>
    <s v="rc_cat_1781955063347_anhy_1781955063347_qnaz"/>
    <s v="kbank"/>
    <x v="1"/>
    <s v="-"/>
    <m/>
    <s v="import"/>
    <s v=""/>
    <b v="0"/>
    <s v=""/>
  </r>
  <r>
    <s v="67be2302-a5ae-4a7e-8280-0e69de303e07"/>
    <x v="279"/>
    <s v="11:41"/>
    <x v="439"/>
    <s v="transfer"/>
    <s v="other"/>
    <s v="rc_acc_1781955063357_rvam"/>
    <x v="4"/>
    <s v="-"/>
    <m/>
    <s v="import"/>
    <s v=""/>
    <b v="0"/>
    <s v=""/>
  </r>
  <r>
    <s v="5aa9d283-519c-42fb-8932-b0ccd6b9732a"/>
    <x v="279"/>
    <s v="11:45"/>
    <x v="442"/>
    <s v="transfer"/>
    <s v="other"/>
    <s v="kbank"/>
    <x v="2"/>
    <s v="-"/>
    <m/>
    <s v="import"/>
    <s v=""/>
    <b v="0"/>
    <s v=""/>
  </r>
  <r>
    <s v="6edfe022-4109-40e8-8836-89ce74a95d74"/>
    <x v="279"/>
    <s v="11:47"/>
    <x v="443"/>
    <s v="transfer"/>
    <s v="other"/>
    <s v="kbank"/>
    <x v="2"/>
    <s v="-"/>
    <m/>
    <s v="import"/>
    <s v=""/>
    <b v="0"/>
    <s v=""/>
  </r>
  <r>
    <s v="171699e0-a812-4007-a5a4-c68b7e89e075"/>
    <x v="279"/>
    <s v="11:49"/>
    <x v="444"/>
    <s v="transfer"/>
    <s v="other"/>
    <s v="advance"/>
    <x v="5"/>
    <s v="-"/>
    <m/>
    <s v="import"/>
    <s v=""/>
    <b v="0"/>
    <s v=""/>
  </r>
  <r>
    <s v="83682154-cc25-46c3-9ca6-ec0bca1e6543"/>
    <x v="279"/>
    <s v="11:50"/>
    <x v="343"/>
    <s v="transfer"/>
    <s v="other"/>
    <s v="rc_acc_1781955063347_sv7p"/>
    <x v="2"/>
    <s v="-"/>
    <m/>
    <s v="import"/>
    <s v=""/>
    <b v="0"/>
    <s v=""/>
  </r>
  <r>
    <s v="10f5c781-3931-44b7-a02a-92954d01b578"/>
    <x v="280"/>
    <s v="16:04"/>
    <x v="445"/>
    <s v="expense"/>
    <s v="rc_cat_1781955063347_5qjb_1781955063347_tezk"/>
    <s v="kbank"/>
    <x v="1"/>
    <s v="-"/>
    <m/>
    <s v="import"/>
    <s v=""/>
    <b v="0"/>
    <s v=""/>
  </r>
  <r>
    <s v="3fd6a29a-2937-4e76-8229-5ef9801eeab1"/>
    <x v="281"/>
    <s v="10:05"/>
    <x v="446"/>
    <s v="transfer"/>
    <s v="other"/>
    <s v="rc_acc_1781955063347_uxz4"/>
    <x v="2"/>
    <s v="ค่าแบงก์"/>
    <m/>
    <s v="import"/>
    <s v=""/>
    <b v="0"/>
    <s v=""/>
  </r>
  <r>
    <s v="ddc6b727-954b-4379-9edd-c1156a3a0921"/>
    <x v="281"/>
    <s v="10:06"/>
    <x v="447"/>
    <s v="expense"/>
    <s v="rc_cat_1781955063347_anhy_1781955063348_k5l1"/>
    <s v="rc_acc_1781955063347_uxz4"/>
    <x v="1"/>
    <s v="-"/>
    <m/>
    <s v="import"/>
    <s v=""/>
    <b v="0"/>
    <s v=""/>
  </r>
  <r>
    <s v="55796973-ef4b-4bd6-9e06-1d9401418e13"/>
    <x v="282"/>
    <s v="10:01"/>
    <x v="388"/>
    <s v="transfer"/>
    <s v="other"/>
    <s v="kbank"/>
    <x v="10"/>
    <s v="-"/>
    <m/>
    <s v="import"/>
    <s v=""/>
    <b v="0"/>
    <s v=""/>
  </r>
  <r>
    <s v="e44c1b40-737a-4d68-ad37-67c552b42530"/>
    <x v="282"/>
    <s v="12:07"/>
    <x v="448"/>
    <s v="expense"/>
    <s v="rc_cat_1781955063347_5qjb_1781955063347_tezk"/>
    <s v="rc_acc_1781955063347_uxz4"/>
    <x v="1"/>
    <s v="-"/>
    <m/>
    <s v="import"/>
    <s v=""/>
    <b v="0"/>
    <s v=""/>
  </r>
  <r>
    <s v="5b7a3526-a6fc-47a0-96ae-a0f1d1f9d17a"/>
    <x v="283"/>
    <s v="00:00"/>
    <x v="374"/>
    <s v="transfer"/>
    <s v="other"/>
    <s v="kbank"/>
    <x v="22"/>
    <s v="-"/>
    <m/>
    <s v="import"/>
    <s v=""/>
    <b v="0"/>
    <s v=""/>
  </r>
  <r>
    <s v="ad5c0b96-bcc9-4943-bc89-919b978114a0"/>
    <x v="283"/>
    <s v="00:00"/>
    <x v="449"/>
    <s v="expense"/>
    <s v="rc_cat_1781955063347_04qb_1781955063347_kgnn"/>
    <s v="rc_acc_1781955063347_uxz4"/>
    <x v="1"/>
    <s v="-"/>
    <m/>
    <s v="import"/>
    <s v=""/>
    <b v="0"/>
    <s v=""/>
  </r>
  <r>
    <s v="0e820443-1b45-4237-a442-e55800e6b4a3"/>
    <x v="283"/>
    <s v="00:00"/>
    <x v="450"/>
    <s v="expense"/>
    <s v="rc_cat_1781955063347_04qb_1781955063347_lu9b"/>
    <s v="rc_acc_1781955063347_uxz4"/>
    <x v="1"/>
    <s v="-"/>
    <m/>
    <s v="import"/>
    <s v=""/>
    <b v="0"/>
    <s v=""/>
  </r>
  <r>
    <s v="b55c1dba-01cc-4ab4-b8b3-ccce4fcd7566"/>
    <x v="283"/>
    <s v="00:00"/>
    <x v="451"/>
    <s v="expense"/>
    <s v="rc_cat_1781955063347_04qb_1781955063350_acgf"/>
    <s v="rc_acc_1781955063347_uxz4"/>
    <x v="1"/>
    <s v="-"/>
    <m/>
    <s v="import"/>
    <s v=""/>
    <b v="0"/>
    <s v=""/>
  </r>
  <r>
    <s v="685165f6-d49f-469d-9446-b36910f0ec05"/>
    <x v="283"/>
    <s v="00:00"/>
    <x v="452"/>
    <s v="transfer"/>
    <s v="other"/>
    <s v="rc_acc_1781955063347_uxz4"/>
    <x v="8"/>
    <s v="-"/>
    <m/>
    <s v="import"/>
    <s v=""/>
    <b v="0"/>
    <s v=""/>
  </r>
  <r>
    <s v="26da62c6-3186-48ed-b8aa-410caa379db7"/>
    <x v="283"/>
    <s v="00:00"/>
    <x v="128"/>
    <s v="transfer"/>
    <s v="other"/>
    <s v="rc_acc_1781955063347_uxz4"/>
    <x v="21"/>
    <s v="-"/>
    <m/>
    <s v="import"/>
    <s v=""/>
    <b v="0"/>
    <s v=""/>
  </r>
  <r>
    <s v="5b861730-c0d3-4568-b3c2-05f37cd87348"/>
    <x v="283"/>
    <s v="00:00"/>
    <x v="31"/>
    <s v="transfer"/>
    <s v="other"/>
    <s v="rc_acc_1781955063347_uxz4"/>
    <x v="7"/>
    <s v="-"/>
    <m/>
    <s v="import"/>
    <s v=""/>
    <b v="0"/>
    <s v=""/>
  </r>
  <r>
    <s v="f667c3a7-d01d-4c7b-a136-5db77ee3c375"/>
    <x v="283"/>
    <s v="00:00"/>
    <x v="306"/>
    <s v="transfer"/>
    <s v="other"/>
    <s v="rc_acc_1781955063347_uxz4"/>
    <x v="20"/>
    <s v="-"/>
    <m/>
    <s v="import"/>
    <s v=""/>
    <b v="0"/>
    <s v=""/>
  </r>
  <r>
    <s v="391b1b65-0c8b-4f8d-8584-4c09eccaed70"/>
    <x v="283"/>
    <s v="00:00"/>
    <x v="453"/>
    <s v="income"/>
    <s v="income_1781955063347_5zxt"/>
    <s v="rc_acc_1781955063347_uxz4"/>
    <x v="1"/>
    <s v="-"/>
    <m/>
    <s v="import"/>
    <s v=""/>
    <b v="0"/>
    <s v=""/>
  </r>
  <r>
    <s v="98c8af0e-b4ff-443f-b818-3672d934c1ee"/>
    <x v="283"/>
    <s v="10:03"/>
    <x v="454"/>
    <s v="transfer"/>
    <s v="other"/>
    <s v="kbank"/>
    <x v="10"/>
    <s v="-"/>
    <m/>
    <s v="import"/>
    <s v=""/>
    <b v="0"/>
    <s v=""/>
  </r>
  <r>
    <s v="f58d7f7f-0478-430d-916c-7f9c407ab362"/>
    <x v="283"/>
    <s v="10:04"/>
    <x v="99"/>
    <s v="transfer"/>
    <s v="other"/>
    <s v="rc_acc_1781955063347_uxz4"/>
    <x v="4"/>
    <s v="-"/>
    <m/>
    <s v="import"/>
    <s v=""/>
    <b v="0"/>
    <s v=""/>
  </r>
  <r>
    <s v="c268ecf0-fffa-4a7d-a634-400f65fb1052"/>
    <x v="283"/>
    <s v="10:06"/>
    <x v="455"/>
    <s v="income"/>
    <s v="income_1781955063351_3ab8"/>
    <s v="rc_acc_1781955063347_uxz4"/>
    <x v="1"/>
    <s v="-"/>
    <m/>
    <s v="import"/>
    <s v=""/>
    <b v="0"/>
    <s v=""/>
  </r>
  <r>
    <s v="0035e357-2709-4def-85ae-fc429725e0ce"/>
    <x v="283"/>
    <s v="11:19"/>
    <x v="456"/>
    <s v="income"/>
    <s v="income_1781955063347_zblt"/>
    <s v="rc_acc_1781955063347_uxz4"/>
    <x v="1"/>
    <s v="vp"/>
    <m/>
    <s v="import"/>
    <s v=""/>
    <b v="0"/>
    <s v=""/>
  </r>
  <r>
    <s v="6949a0f1-775c-4c48-a35e-1dd7602ff6ae"/>
    <x v="284"/>
    <s v="10:02"/>
    <x v="457"/>
    <s v="income"/>
    <s v="income_1781955063351_3ab8"/>
    <s v="kbank"/>
    <x v="1"/>
    <s v="-"/>
    <m/>
    <s v="import"/>
    <s v=""/>
    <b v="0"/>
    <s v=""/>
  </r>
  <r>
    <s v="a93f3a98-c8a9-460f-b5a4-a5b7b899645d"/>
    <x v="285"/>
    <s v="12:49"/>
    <x v="458"/>
    <s v="income"/>
    <s v="other_1781955063348_27zj"/>
    <s v="kbank"/>
    <x v="1"/>
    <s v="-"/>
    <m/>
    <s v="import"/>
    <s v=""/>
    <b v="0"/>
    <s v=""/>
  </r>
  <r>
    <s v="f41861cd-c727-4ed1-b2ca-ba74bfe60cbf"/>
    <x v="286"/>
    <s v="12:23"/>
    <x v="0"/>
    <s v="transfer"/>
    <s v="other"/>
    <s v="rc_acc_1781955063347_uxz4"/>
    <x v="12"/>
    <s v="-"/>
    <m/>
    <s v="import"/>
    <s v=""/>
    <b v="0"/>
    <s v=""/>
  </r>
  <r>
    <s v="f0942586-0872-4c71-a39d-c13f0ab32ca4"/>
    <x v="286"/>
    <s v="12:23"/>
    <x v="35"/>
    <s v="transfer"/>
    <s v="other"/>
    <s v="rc_acc_1781955063347_uxz4"/>
    <x v="15"/>
    <s v="-"/>
    <m/>
    <s v="import"/>
    <s v=""/>
    <b v="0"/>
    <s v=""/>
  </r>
  <r>
    <s v="8180820a-23fc-4450-bfc5-66b083910107"/>
    <x v="286"/>
    <s v="12:26"/>
    <x v="459"/>
    <s v="transfer"/>
    <s v="other"/>
    <s v="rc_acc_1781955063348_obza"/>
    <x v="12"/>
    <s v="-"/>
    <m/>
    <s v="import"/>
    <s v=""/>
    <b v="0"/>
    <s v=""/>
  </r>
  <r>
    <s v="55df5d46-516e-499e-8fff-8243668ec400"/>
    <x v="286"/>
    <s v="12:49"/>
    <x v="460"/>
    <s v="expense"/>
    <s v="entertain_1781955063359_cf7f"/>
    <s v="kbank"/>
    <x v="1"/>
    <s v="-"/>
    <m/>
    <s v="import"/>
    <s v=""/>
    <b v="0"/>
    <s v=""/>
  </r>
  <r>
    <s v="4e606a7c-03d9-431e-9536-471d81f2b84c"/>
    <x v="286"/>
    <s v="14:12"/>
    <x v="461"/>
    <s v="expense"/>
    <s v="rc_cat_1781955063347_04qb_1781955063350_acgf"/>
    <s v="rc_acc_1781955063347_e3zv"/>
    <x v="1"/>
    <s v="-"/>
    <m/>
    <s v="import"/>
    <s v=""/>
    <b v="0"/>
    <s v=""/>
  </r>
  <r>
    <s v="24823a4d-e2b7-4bba-8133-c753f4902b21"/>
    <x v="287"/>
    <s v="12:48"/>
    <x v="5"/>
    <s v="transfer"/>
    <s v="other"/>
    <s v="kbank"/>
    <x v="10"/>
    <s v="-"/>
    <m/>
    <s v="import"/>
    <s v=""/>
    <b v="0"/>
    <s v=""/>
  </r>
  <r>
    <s v="aa96f401-354b-4b0f-87d1-cf486c339ca6"/>
    <x v="288"/>
    <s v="12:48"/>
    <x v="19"/>
    <s v="expense"/>
    <s v="entertain_1781955063359_cf7f"/>
    <s v="kbank"/>
    <x v="1"/>
    <s v="-"/>
    <m/>
    <s v="import"/>
    <s v=""/>
    <b v="0"/>
    <s v=""/>
  </r>
  <r>
    <s v="d6c6f5ab-8d30-48e4-b6a6-d2df16515d9e"/>
    <x v="289"/>
    <s v="12:47"/>
    <x v="462"/>
    <s v="transfer"/>
    <s v="other"/>
    <s v="rc_acc_1781955063348_hnxg"/>
    <x v="4"/>
    <s v="-"/>
    <m/>
    <s v="import"/>
    <s v=""/>
    <b v="0"/>
    <s v=""/>
  </r>
  <r>
    <s v="ecdff75a-faa0-4525-b9be-df2bb254d235"/>
    <x v="289"/>
    <s v="16:23"/>
    <x v="463"/>
    <s v="expense"/>
    <s v="rc_cat_1781955063347_04qb_1781955063347_wt5p"/>
    <s v="rc_acc_1781955063347_uxz4"/>
    <x v="1"/>
    <s v="-"/>
    <m/>
    <s v="import"/>
    <s v=""/>
    <b v="0"/>
    <s v=""/>
  </r>
  <r>
    <s v="0fcc3fcb-3220-41e7-8887-253b9fa8ce87"/>
    <x v="289"/>
    <s v="16:23"/>
    <x v="438"/>
    <s v="expense"/>
    <s v="rc_cat_1781955063347_anhy_1781955063350_fcpb"/>
    <s v="rc_acc_1781955063347_uxz4"/>
    <x v="1"/>
    <s v="-"/>
    <m/>
    <s v="import"/>
    <s v=""/>
    <b v="0"/>
    <s v=""/>
  </r>
  <r>
    <s v="2e44f2ce-b2db-4718-a903-99375d5cae31"/>
    <x v="290"/>
    <s v="16:17"/>
    <x v="412"/>
    <s v="income"/>
    <s v="income_1781955063351_3ab8"/>
    <s v="kbank"/>
    <x v="1"/>
    <s v="-"/>
    <m/>
    <s v="import"/>
    <s v=""/>
    <b v="0"/>
    <s v=""/>
  </r>
  <r>
    <s v="a4145064-ad88-4eed-8f39-7c2a1b3f150b"/>
    <x v="290"/>
    <s v="16:18"/>
    <x v="464"/>
    <s v="expense"/>
    <s v="entertain_1781955063359_cf7f"/>
    <s v="kbank"/>
    <x v="1"/>
    <s v="-"/>
    <m/>
    <s v="import"/>
    <s v=""/>
    <b v="0"/>
    <s v=""/>
  </r>
  <r>
    <s v="fe2b4a87-3374-45f2-9360-1a9e84d2f217"/>
    <x v="291"/>
    <s v="16:15"/>
    <x v="159"/>
    <s v="expense"/>
    <s v="entertain_1781955063359_cf7f"/>
    <s v="kbank"/>
    <x v="1"/>
    <s v="-"/>
    <m/>
    <s v="import"/>
    <s v=""/>
    <b v="0"/>
    <s v=""/>
  </r>
  <r>
    <s v="c1d08df5-f2fb-409d-aa19-f77a6e408b9e"/>
    <x v="292"/>
    <s v="16:17"/>
    <x v="465"/>
    <s v="expense"/>
    <s v="rc_cat_1781955063347_anhy_1781955063348_k5l1"/>
    <s v="kbank"/>
    <x v="1"/>
    <s v="เลี้ยงจจ"/>
    <m/>
    <s v="import"/>
    <s v=""/>
    <b v="0"/>
    <s v=""/>
  </r>
  <r>
    <s v="209252a8-e082-4d1e-95c7-c18c0d0351c2"/>
    <x v="292"/>
    <s v="16:20"/>
    <x v="315"/>
    <s v="transfer"/>
    <s v="other"/>
    <s v="kbank"/>
    <x v="5"/>
    <s v="-"/>
    <m/>
    <s v="import"/>
    <s v=""/>
    <b v="0"/>
    <s v=""/>
  </r>
  <r>
    <s v="1d07b270-c3a7-4420-aca6-65826277e74b"/>
    <x v="293"/>
    <s v="19:48"/>
    <x v="466"/>
    <s v="expense"/>
    <s v="rc_cat_1781955063347_5qjb_1781955063347_tezk"/>
    <s v="kbank"/>
    <x v="1"/>
    <s v="-"/>
    <m/>
    <s v="import"/>
    <s v=""/>
    <b v="0"/>
    <s v=""/>
  </r>
  <r>
    <s v="6621ccad-9f1e-40c7-95ec-0f6f2ccd08a6"/>
    <x v="294"/>
    <s v="10:44"/>
    <x v="75"/>
    <s v="transfer"/>
    <s v="other"/>
    <s v="rc_acc_1781955063347_tvnx"/>
    <x v="5"/>
    <s v="-"/>
    <m/>
    <s v="import"/>
    <s v=""/>
    <b v="0"/>
    <s v=""/>
  </r>
  <r>
    <s v="fb1aa178-0f61-45f4-b555-32be74b1c62e"/>
    <x v="294"/>
    <s v="10:49"/>
    <x v="467"/>
    <s v="income"/>
    <s v="other_1781955063347_5s7r"/>
    <s v="rc_acc_1781955063347_tvnx"/>
    <x v="1"/>
    <s v="Difference"/>
    <m/>
    <s v="import"/>
    <s v=""/>
    <b v="0"/>
    <s v=""/>
  </r>
  <r>
    <s v="dc08ecb8-0fd7-477b-92ed-de6d51364ca0"/>
    <x v="294"/>
    <s v="10:50"/>
    <x v="468"/>
    <s v="income"/>
    <s v="other_1781955063347_5s7r"/>
    <s v="rc_acc_1781955063358_dohc"/>
    <x v="1"/>
    <s v="Difference"/>
    <m/>
    <s v="import"/>
    <s v=""/>
    <b v="0"/>
    <s v=""/>
  </r>
  <r>
    <s v="a762d1cb-4842-4d86-ad4e-38e048c4bff7"/>
    <x v="294"/>
    <s v="20:37"/>
    <x v="155"/>
    <s v="expense"/>
    <s v="entertain_1781955063359_cf7f"/>
    <s v="kbank"/>
    <x v="1"/>
    <s v="-"/>
    <m/>
    <s v="import"/>
    <s v=""/>
    <b v="0"/>
    <s v=""/>
  </r>
  <r>
    <s v="4475008e-3a89-42bc-b22f-bb0ef711f124"/>
    <x v="295"/>
    <s v="19:18"/>
    <x v="469"/>
    <s v="income"/>
    <s v="other_1781955063347_5s7r"/>
    <s v="rc_acc_1781955063348_w3gp"/>
    <x v="1"/>
    <s v="Difference"/>
    <m/>
    <s v="import"/>
    <s v=""/>
    <b v="0"/>
    <s v=""/>
  </r>
  <r>
    <s v="6fd431ba-b14c-42d9-a366-8f3a44c2725c"/>
    <x v="295"/>
    <s v="19:19"/>
    <x v="470"/>
    <s v="income"/>
    <s v="other_1781955063347_5s7r"/>
    <s v="rc_acc_1781955063353_k5yx"/>
    <x v="1"/>
    <s v="Difference"/>
    <m/>
    <s v="import"/>
    <s v=""/>
    <b v="0"/>
    <s v=""/>
  </r>
  <r>
    <s v="7b1e6068-95f8-4f30-9cb7-e6e0e84293a5"/>
    <x v="295"/>
    <s v="19:19"/>
    <x v="387"/>
    <s v="income"/>
    <s v="other_1781955063347_5s7r"/>
    <s v="rc_acc_1781955063347_sv7p"/>
    <x v="1"/>
    <s v="Difference"/>
    <m/>
    <s v="import"/>
    <s v=""/>
    <b v="0"/>
    <s v=""/>
  </r>
  <r>
    <s v="95f1bf86-6ce5-4e92-974c-ecc023b9dc97"/>
    <x v="296"/>
    <s v="16:19"/>
    <x v="5"/>
    <s v="expense"/>
    <s v="rc_cat_1781955063347_anhy_1781955063347_qnaz"/>
    <s v="rc_acc_1781955063347_uxz4"/>
    <x v="1"/>
    <s v="-"/>
    <m/>
    <s v="import"/>
    <s v=""/>
    <b v="0"/>
    <s v=""/>
  </r>
  <r>
    <s v="cf08ded1-f743-4b30-8514-99703b9843ed"/>
    <x v="296"/>
    <s v="18:34"/>
    <x v="471"/>
    <s v="expense"/>
    <s v="rc_cat_1781955063347_5qjb_1781955063347_tezk"/>
    <s v="kbank"/>
    <x v="1"/>
    <s v="-"/>
    <m/>
    <s v="import"/>
    <s v=""/>
    <b v="0"/>
    <s v=""/>
  </r>
  <r>
    <s v="d1d3bf9a-7577-4026-948e-ea65a351c834"/>
    <x v="296"/>
    <s v="18:41"/>
    <x v="472"/>
    <s v="expense"/>
    <s v="rc_cat_1781955063347_5qjb_1781955063347_tezk"/>
    <s v="kbank"/>
    <x v="1"/>
    <s v="-"/>
    <m/>
    <s v="import"/>
    <s v=""/>
    <b v="0"/>
    <s v=""/>
  </r>
  <r>
    <s v="31ea2a2a-9808-4619-9e6d-6ccd7b6ab815"/>
    <x v="296"/>
    <s v="18:41"/>
    <x v="473"/>
    <s v="expense"/>
    <s v="rc_cat_1781955063347_anhy_1781955063350_fcpb"/>
    <s v="kbank"/>
    <x v="1"/>
    <s v="-"/>
    <m/>
    <s v="import"/>
    <s v=""/>
    <b v="0"/>
    <s v=""/>
  </r>
  <r>
    <s v="e2ddfa23-7513-45ec-8f0b-382b2ae66129"/>
    <x v="296"/>
    <s v="19:00"/>
    <x v="474"/>
    <s v="expense"/>
    <s v="entertain_1781955063349_gok1"/>
    <s v="rc_acc_1781955063358_d7gc"/>
    <x v="1"/>
    <s v="-"/>
    <m/>
    <s v="import"/>
    <s v=""/>
    <b v="0"/>
    <s v=""/>
  </r>
  <r>
    <s v="094ab12f-57bd-43b4-8973-2275f153c964"/>
    <x v="296"/>
    <s v="19:10"/>
    <x v="475"/>
    <s v="transfer"/>
    <s v="other"/>
    <s v="rc_acc_1781955063358_d7gc"/>
    <x v="22"/>
    <s v="คงเหลือ 112062"/>
    <m/>
    <s v="import"/>
    <s v=""/>
    <b v="0"/>
    <s v=""/>
  </r>
  <r>
    <s v="ac970223-6fb2-4d94-bd7b-51c7bc7f473b"/>
    <x v="297"/>
    <s v="18:34"/>
    <x v="432"/>
    <s v="expense"/>
    <s v="rc_cat_1781955063347_5qjb_1781955063347_tezk"/>
    <s v="kbank"/>
    <x v="1"/>
    <s v="-"/>
    <m/>
    <s v="import"/>
    <s v=""/>
    <b v="0"/>
    <s v=""/>
  </r>
  <r>
    <s v="b649aab5-1e1e-4719-a07f-0fc00c609e00"/>
    <x v="297"/>
    <s v="18:35"/>
    <x v="432"/>
    <s v="transfer"/>
    <s v="other"/>
    <s v="kbank"/>
    <x v="5"/>
    <s v="-"/>
    <m/>
    <s v="import"/>
    <s v=""/>
    <b v="0"/>
    <s v=""/>
  </r>
  <r>
    <s v="81ac0455-8b62-470d-8831-47bb50d5aa3e"/>
    <x v="298"/>
    <s v="18:58"/>
    <x v="217"/>
    <s v="expense"/>
    <s v="entertain_1781955063349_gok1"/>
    <s v="rc_acc_1781955063358_cs4m"/>
    <x v="1"/>
    <s v="-"/>
    <m/>
    <s v="import"/>
    <s v=""/>
    <b v="0"/>
    <s v=""/>
  </r>
  <r>
    <s v="ff2a9f44-5d54-422e-ae80-917faa83156b"/>
    <x v="299"/>
    <s v="18:55"/>
    <x v="476"/>
    <s v="expense"/>
    <s v="entertain_1781955063349_gok1"/>
    <s v="rc_acc_1781955063358_cs4m"/>
    <x v="1"/>
    <s v="2shark gaimon mandarake"/>
    <m/>
    <s v="import"/>
    <s v=""/>
    <b v="0"/>
    <s v=""/>
  </r>
  <r>
    <s v="b46a72d4-3e39-402e-9fc0-b49606643063"/>
    <x v="299"/>
    <s v="18:57"/>
    <x v="477"/>
    <s v="expense"/>
    <s v="entertain_1781955063349_gok1"/>
    <s v="rc_acc_1781955063358_cs4m"/>
    <x v="1"/>
    <s v="kiyomizu"/>
    <m/>
    <s v="import"/>
    <s v=""/>
    <b v="0"/>
    <s v=""/>
  </r>
  <r>
    <s v="fc183ac1-fe80-4ed8-9cdf-3fe7078a2ee5"/>
    <x v="300"/>
    <s v="09:26"/>
    <x v="478"/>
    <s v="expense"/>
    <s v="rc_cat_1781955063347_5qjb_1781955063347_tezk"/>
    <s v="rc_acc_1781955063358_cs4m"/>
    <x v="1"/>
    <s v="ชาไม่หวาน"/>
    <m/>
    <s v="import"/>
    <s v=""/>
    <b v="0"/>
    <s v=""/>
  </r>
  <r>
    <s v="6e798975-8485-4159-a507-b4da9ae32679"/>
    <x v="300"/>
    <s v="09:26"/>
    <x v="479"/>
    <s v="expense"/>
    <s v="entertain_1781955063349_gok1"/>
    <s v="rc_acc_1781955063358_d7gc"/>
    <x v="1"/>
    <s v="ค่าเข้าปราสาท"/>
    <m/>
    <s v="import"/>
    <s v=""/>
    <b v="0"/>
    <s v=""/>
  </r>
  <r>
    <s v="bcc6a996-096c-4d86-83a5-0292c8e74c27"/>
    <x v="300"/>
    <s v="12:19"/>
    <x v="480"/>
    <s v="expense"/>
    <s v="rc_cat_1781955063347_5qjb_1781955063347_tezk"/>
    <s v="rc_acc_1781955063358_d7gc"/>
    <x v="1"/>
    <s v="seven หารสอง ของเรา 168"/>
    <m/>
    <s v="import"/>
    <s v=""/>
    <b v="0"/>
    <s v=""/>
  </r>
  <r>
    <s v="17dc77fd-6ddc-42a7-a18d-a72764f8a4f1"/>
    <x v="300"/>
    <s v="12:30"/>
    <x v="481"/>
    <s v="expense"/>
    <s v="rc_cat_1781955063347_5qjb_1781955063347_tezk"/>
    <s v="rc_acc_1781955063358_d7gc"/>
    <x v="1"/>
    <s v="steakland"/>
    <m/>
    <s v="import"/>
    <s v=""/>
    <b v="0"/>
    <s v=""/>
  </r>
  <r>
    <s v="986db98c-cf93-475b-8260-cd97550ef562"/>
    <x v="300"/>
    <s v="13:00"/>
    <x v="482"/>
    <s v="expense"/>
    <s v="rc_cat_1781955063347_5qjb_1781955063347_tezk"/>
    <s v="rc_acc_1781955063358_d7gc"/>
    <x v="1"/>
    <s v="soft serve"/>
    <m/>
    <s v="import"/>
    <s v=""/>
    <b v="0"/>
    <s v=""/>
  </r>
  <r>
    <s v="3cd07f75-571a-4253-883b-b99db2e248e1"/>
    <x v="300"/>
    <s v="19:56"/>
    <x v="483"/>
    <s v="expense"/>
    <s v="rc_cat_1781955063347_5qjb_1781955063347_tezk"/>
    <s v="rc_acc_1781955063358_d7gc"/>
    <x v="1"/>
    <s v="pudding"/>
    <m/>
    <s v="import"/>
    <s v=""/>
    <b v="0"/>
    <s v=""/>
  </r>
  <r>
    <s v="1b9a71bf-e2a6-4271-84c7-59ac8e91c2ca"/>
    <x v="300"/>
    <s v="22:00"/>
    <x v="374"/>
    <s v="transfer"/>
    <s v="other"/>
    <s v="kbank"/>
    <x v="22"/>
    <s v="-"/>
    <m/>
    <s v="import"/>
    <s v=""/>
    <b v="0"/>
    <s v=""/>
  </r>
  <r>
    <s v="6a413b45-0c34-4816-8191-b1c80c41f5cb"/>
    <x v="300"/>
    <s v="22:00"/>
    <x v="452"/>
    <s v="transfer"/>
    <s v="other"/>
    <s v="rc_acc_1781955063347_uxz4"/>
    <x v="8"/>
    <s v="-"/>
    <m/>
    <s v="import"/>
    <s v=""/>
    <b v="0"/>
    <s v=""/>
  </r>
  <r>
    <s v="d5d6120c-7869-4061-b273-5e70f2a80df5"/>
    <x v="300"/>
    <s v="22:00"/>
    <x v="484"/>
    <s v="expense"/>
    <s v="rc_cat_1781955063347_04qb_1781955063350_acgf"/>
    <s v="rc_acc_1781955063347_uxz4"/>
    <x v="1"/>
    <s v="-"/>
    <m/>
    <s v="import"/>
    <s v=""/>
    <b v="0"/>
    <s v=""/>
  </r>
  <r>
    <s v="f97db286-075e-4a8b-9fc5-4f859cd9b1fa"/>
    <x v="300"/>
    <s v="22:00"/>
    <x v="485"/>
    <s v="expense"/>
    <s v="rc_cat_1781955063347_04qb_1781955063347_lu9b"/>
    <s v="rc_acc_1781955063347_uxz4"/>
    <x v="1"/>
    <s v="-"/>
    <m/>
    <s v="import"/>
    <s v=""/>
    <b v="0"/>
    <s v=""/>
  </r>
  <r>
    <s v="7b422710-a6b6-486b-836d-d2ca3b6644da"/>
    <x v="300"/>
    <s v="22:00"/>
    <x v="486"/>
    <s v="expense"/>
    <s v="rc_cat_1781955063347_04qb_1781955063347_kgnn"/>
    <s v="rc_acc_1781955063347_uxz4"/>
    <x v="1"/>
    <s v="-"/>
    <m/>
    <s v="import"/>
    <s v=""/>
    <b v="0"/>
    <s v=""/>
  </r>
  <r>
    <s v="5c5a558c-875c-432e-99a8-f5fa28fa3876"/>
    <x v="301"/>
    <s v="09:08"/>
    <x v="487"/>
    <s v="expense"/>
    <s v="rc_cat_1781955063347_5qjb_1781955063347_tezk"/>
    <s v="rc_acc_1781955063358_cs4m"/>
    <x v="1"/>
    <s v="takoyaki"/>
    <m/>
    <s v="import"/>
    <s v=""/>
    <b v="0"/>
    <s v=""/>
  </r>
  <r>
    <s v="fa1b16a5-26a2-429d-ac3d-d754e9adf8b4"/>
    <x v="301"/>
    <s v="10:13"/>
    <x v="488"/>
    <s v="expense"/>
    <s v="rc_cat_1781955063347_5qjb_1781955063347_tezk"/>
    <s v="rc_acc_1781955063358_d7gc"/>
    <x v="1"/>
    <s v="mizuno"/>
    <m/>
    <s v="import"/>
    <s v=""/>
    <b v="0"/>
    <s v=""/>
  </r>
  <r>
    <s v="f98bdc00-9a51-432d-a837-43b5bc8c2029"/>
    <x v="301"/>
    <s v="11:31"/>
    <x v="489"/>
    <s v="expense"/>
    <s v="entertain_1781955063348_kx2f"/>
    <s v="rc_acc_1781955063358_cs4m"/>
    <x v="1"/>
    <s v="โง่"/>
    <m/>
    <s v="import"/>
    <s v=""/>
    <b v="0"/>
    <s v=""/>
  </r>
  <r>
    <s v="d2d8d18c-6cdf-4761-8e3a-71dfb317c065"/>
    <x v="301"/>
    <s v="11:31"/>
    <x v="490"/>
    <s v="expense"/>
    <s v="rc_cat_1781955063347_5qjb_1781955063347_tezk"/>
    <s v="rc_acc_1781955063358_cs4m"/>
    <x v="1"/>
    <s v="mattari pudding"/>
    <m/>
    <s v="import"/>
    <s v=""/>
    <b v="0"/>
    <s v=""/>
  </r>
  <r>
    <s v="73ea8b7d-8182-4891-8985-ec0d0dd7da86"/>
    <x v="301"/>
    <s v="12:32"/>
    <x v="491"/>
    <s v="expense"/>
    <s v="rc_cat_1781955063347_5qjb_1781955063347_tezk"/>
    <s v="rc_acc_1781955063358_d7gc"/>
    <x v="1"/>
    <s v="starbucks"/>
    <m/>
    <s v="import"/>
    <s v=""/>
    <b v="0"/>
    <s v=""/>
  </r>
  <r>
    <s v="843d8ba9-42a9-42f4-8945-7603cdf145f4"/>
    <x v="301"/>
    <s v="14:54"/>
    <x v="492"/>
    <s v="transfer"/>
    <s v="other"/>
    <s v="rc_acc_1781955063358_cs4m"/>
    <x v="23"/>
    <s v="-"/>
    <m/>
    <s v="import"/>
    <s v=""/>
    <b v="0"/>
    <s v=""/>
  </r>
  <r>
    <s v="0edd1622-674a-4823-9bde-d6e51406e7f8"/>
    <x v="301"/>
    <s v="16:23"/>
    <x v="493"/>
    <s v="expense"/>
    <s v="entertain_1781955063359_cf7f"/>
    <s v="rc_acc_1781955063358_cs4m"/>
    <x v="1"/>
    <s v="musashi"/>
    <m/>
    <s v="import"/>
    <s v=""/>
    <b v="0"/>
    <s v=""/>
  </r>
  <r>
    <s v="16589f26-48d0-43d9-b0d4-2b60acf16cd8"/>
    <x v="301"/>
    <s v="16:24"/>
    <x v="494"/>
    <s v="expense"/>
    <s v="entertain_1781955063359_cf7f"/>
    <s v="rc_acc_1781955063358_cs4m"/>
    <x v="1"/>
    <s v="wcf luffy sanji reyligh"/>
    <m/>
    <s v="import"/>
    <s v=""/>
    <b v="0"/>
    <s v=""/>
  </r>
  <r>
    <s v="f3cfd9c6-7204-49c1-8fe0-b4529a2b8100"/>
    <x v="301"/>
    <s v="16:24"/>
    <x v="489"/>
    <s v="expense"/>
    <s v="rc_cat_1781955063347_5qjb_1781955063347_tezk"/>
    <s v="rc_acc_1781955063358_cs4m"/>
    <x v="1"/>
    <s v="joto curry"/>
    <m/>
    <s v="import"/>
    <s v=""/>
    <b v="0"/>
    <s v=""/>
  </r>
  <r>
    <s v="436e3894-a339-4ee2-bdfb-7a54b8c831b9"/>
    <x v="301"/>
    <s v="18:33"/>
    <x v="495"/>
    <s v="income"/>
    <s v="income_1781955063351_3ab8"/>
    <s v="kbank"/>
    <x v="1"/>
    <s v="-"/>
    <m/>
    <s v="import"/>
    <s v=""/>
    <b v="0"/>
    <s v=""/>
  </r>
  <r>
    <s v="fccc43db-c96c-443c-bb7a-44f53d856c59"/>
    <x v="301"/>
    <s v="18:52"/>
    <x v="496"/>
    <s v="expense"/>
    <s v="entertain_1781955063349_gok1"/>
    <s v="rc_acc_1781955063358_cs4m"/>
    <x v="1"/>
    <s v="เครื่องราง"/>
    <m/>
    <s v="import"/>
    <s v=""/>
    <b v="0"/>
    <s v=""/>
  </r>
  <r>
    <s v="7876ae0b-15b4-41ab-986e-db9d37b22cfd"/>
    <x v="301"/>
    <s v="18:53"/>
    <x v="497"/>
    <s v="expense"/>
    <s v="entertain_1781955063349_gok1"/>
    <s v="rc_acc_1781955063358_cs4m"/>
    <x v="1"/>
    <s v="gashapon yukio"/>
    <m/>
    <s v="import"/>
    <s v=""/>
    <b v="0"/>
    <s v=""/>
  </r>
  <r>
    <s v="64856005-b096-4e2e-8296-6fb7a072aa13"/>
    <x v="301"/>
    <s v="20:09"/>
    <x v="498"/>
    <s v="expense"/>
    <s v="entertain_1781955063359_cf7f"/>
    <s v="rc_acc_1781955063358_cs4m"/>
    <x v="1"/>
    <s v="yellow 5 purple 6 brown 1"/>
    <m/>
    <s v="import"/>
    <s v=""/>
    <b v="0"/>
    <s v=""/>
  </r>
  <r>
    <s v="26a89e15-0305-40c7-a0d0-30ca9f413cc8"/>
    <x v="301"/>
    <s v="20:10"/>
    <x v="499"/>
    <s v="expense"/>
    <s v="entertain_1781955063359_cf7f"/>
    <s v="rc_acc_1781955063358_d7gc"/>
    <x v="1"/>
    <s v="wcf kaido bigmum pageone"/>
    <m/>
    <s v="import"/>
    <s v=""/>
    <b v="0"/>
    <s v=""/>
  </r>
  <r>
    <s v="2adff5ca-9e64-44ac-9066-0ea166e79637"/>
    <x v="301"/>
    <s v="20:12"/>
    <x v="500"/>
    <s v="expense"/>
    <s v="entertain_1781955063349_gok1"/>
    <s v="rc_acc_1781955063358_d7gc"/>
    <x v="1"/>
    <s v="toyoko inn"/>
    <m/>
    <s v="import"/>
    <s v=""/>
    <b v="0"/>
    <s v=""/>
  </r>
  <r>
    <s v="97fd929b-a2f0-49b9-8953-1e07c02addcd"/>
    <x v="301"/>
    <s v="22:00"/>
    <x v="128"/>
    <s v="transfer"/>
    <s v="other"/>
    <s v="rc_acc_1781955063347_uxz4"/>
    <x v="21"/>
    <s v="-"/>
    <m/>
    <s v="import"/>
    <s v=""/>
    <b v="0"/>
    <s v=""/>
  </r>
  <r>
    <s v="c7867eb4-9efa-42b4-b66b-88dd6ca294e3"/>
    <x v="301"/>
    <s v="22:00"/>
    <x v="31"/>
    <s v="transfer"/>
    <s v="other"/>
    <s v="rc_acc_1781955063347_uxz4"/>
    <x v="7"/>
    <s v="-"/>
    <m/>
    <s v="import"/>
    <s v=""/>
    <b v="0"/>
    <s v=""/>
  </r>
  <r>
    <s v="cf2451f4-f19c-4612-baeb-3ab93d0ade59"/>
    <x v="301"/>
    <s v="22:00"/>
    <x v="306"/>
    <s v="transfer"/>
    <s v="other"/>
    <s v="rc_acc_1781955063347_uxz4"/>
    <x v="20"/>
    <s v="-"/>
    <m/>
    <s v="import"/>
    <s v=""/>
    <b v="0"/>
    <s v=""/>
  </r>
  <r>
    <s v="629b7423-87a9-4ae0-99f5-9eef9968e7b0"/>
    <x v="301"/>
    <s v="22:00"/>
    <x v="453"/>
    <s v="income"/>
    <s v="income_1781955063347_5zxt"/>
    <s v="rc_acc_1781955063347_uxz4"/>
    <x v="1"/>
    <s v="-"/>
    <m/>
    <s v="import"/>
    <s v=""/>
    <b v="0"/>
    <s v=""/>
  </r>
  <r>
    <s v="d8b22c3d-f9d0-404a-a39a-7be2b245510e"/>
    <x v="302"/>
    <s v="18:39"/>
    <x v="501"/>
    <s v="transfer"/>
    <s v="other"/>
    <s v="kbank"/>
    <x v="5"/>
    <s v="-"/>
    <m/>
    <s v="import"/>
    <s v=""/>
    <b v="0"/>
    <s v=""/>
  </r>
  <r>
    <s v="3c29d3c6-af4f-4085-89bc-2ad681585bc1"/>
    <x v="302"/>
    <s v="18:39"/>
    <x v="464"/>
    <s v="expense"/>
    <s v="rc_cat_1781955063347_5qjb_1781955063347_tezk"/>
    <s v="kbank"/>
    <x v="1"/>
    <s v="-"/>
    <m/>
    <s v="import"/>
    <s v=""/>
    <b v="0"/>
    <s v=""/>
  </r>
  <r>
    <s v="a9faebbe-084e-43b8-8250-371d8f964749"/>
    <x v="302"/>
    <s v="18:45"/>
    <x v="502"/>
    <s v="income"/>
    <s v="income_1781955063347_zblt"/>
    <s v="rc_acc_1781955063347_uxz4"/>
    <x v="1"/>
    <s v="-"/>
    <m/>
    <s v="import"/>
    <s v=""/>
    <b v="0"/>
    <s v=""/>
  </r>
  <r>
    <s v="04c1af4a-719b-4de5-8bc7-9c8d2dbe0a15"/>
    <x v="303"/>
    <s v="18:37"/>
    <x v="503"/>
    <s v="expense"/>
    <s v="rc_cat_1781955063347_anhy_1781955063347_qnaz"/>
    <s v="kbank"/>
    <x v="1"/>
    <s v="harudot บ้านหง"/>
    <m/>
    <s v="import"/>
    <s v=""/>
    <b v="0"/>
    <s v=""/>
  </r>
  <r>
    <s v="4d9c21b1-6b35-4e8b-8f07-c5f498c3fb07"/>
    <x v="303"/>
    <s v="18:43"/>
    <x v="504"/>
    <s v="transfer"/>
    <s v="other"/>
    <s v="rc_acc_1781955063348_xd87"/>
    <x v="5"/>
    <s v="-"/>
    <m/>
    <s v="import"/>
    <s v=""/>
    <b v="0"/>
    <s v=""/>
  </r>
  <r>
    <s v="b59dd6db-059b-46bc-8156-46d5f7c7a477"/>
    <x v="304"/>
    <s v="20:26"/>
    <x v="505"/>
    <s v="income"/>
    <s v="other_1781955063347_5s7r"/>
    <s v="kbank"/>
    <x v="1"/>
    <s v="Difference"/>
    <m/>
    <s v="import"/>
    <s v=""/>
    <b v="0"/>
    <s v=""/>
  </r>
  <r>
    <s v="a3df20ae-81ca-423d-9c82-fdbe0b219246"/>
    <x v="304"/>
    <s v="20:34"/>
    <x v="506"/>
    <s v="transfer"/>
    <s v="other"/>
    <s v="kbank"/>
    <x v="22"/>
    <s v="-"/>
    <m/>
    <s v="import"/>
    <s v=""/>
    <b v="0"/>
    <s v=""/>
  </r>
  <r>
    <s v="f2040b93-6e15-4877-bae2-947ab5077894"/>
    <x v="304"/>
    <s v="20:41"/>
    <x v="507"/>
    <s v="income"/>
    <s v="other_1781955063347_5s7r"/>
    <s v="rc_acc_1781955063358_cs4m"/>
    <x v="1"/>
    <s v="Difference"/>
    <m/>
    <s v="import"/>
    <s v=""/>
    <b v="0"/>
    <s v=""/>
  </r>
  <r>
    <s v="192cf04d-e904-44fa-b5a1-229c2c37085f"/>
    <x v="304"/>
    <s v="21:21"/>
    <x v="508"/>
    <s v="transfer"/>
    <s v="other"/>
    <s v="rc_acc_1781955063347_uxz4"/>
    <x v="9"/>
    <s v="-"/>
    <m/>
    <s v="import"/>
    <s v=""/>
    <b v="0"/>
    <s v=""/>
  </r>
  <r>
    <s v="10de2278-9f67-42fe-9d13-4e74a1846237"/>
    <x v="305"/>
    <s v="18:47"/>
    <x v="504"/>
    <s v="transfer"/>
    <s v="other"/>
    <s v="rc_acc_1781955063348_no9r"/>
    <x v="18"/>
    <s v="พ่อหงฝากแลก"/>
    <m/>
    <s v="import"/>
    <s v=""/>
    <b v="0"/>
    <s v=""/>
  </r>
  <r>
    <s v="b5d965e4-db6e-4635-8bc0-b52aeaeab988"/>
    <x v="305"/>
    <s v="18:50"/>
    <x v="509"/>
    <s v="transfer"/>
    <s v="other"/>
    <s v="rc_acc_1781955063348_no9r"/>
    <x v="18"/>
    <s v="-"/>
    <m/>
    <s v="import"/>
    <s v=""/>
    <b v="0"/>
    <s v=""/>
  </r>
  <r>
    <s v="b1974129-a650-436d-ad6d-926ae3483919"/>
    <x v="306"/>
    <s v="14:51"/>
    <x v="510"/>
    <s v="transfer"/>
    <s v="other"/>
    <s v="rc_acc_1781955063347_uxz4"/>
    <x v="11"/>
    <s v="-"/>
    <m/>
    <s v="import"/>
    <s v=""/>
    <b v="0"/>
    <s v=""/>
  </r>
  <r>
    <s v="6ea7c4d5-8ab3-4a52-979b-5dc8c2191de8"/>
    <x v="306"/>
    <s v="14:53"/>
    <x v="511"/>
    <s v="transfer"/>
    <s v="other"/>
    <s v="rc_acc_1781955063347_uxz4"/>
    <x v="12"/>
    <s v="-"/>
    <m/>
    <s v="import"/>
    <s v=""/>
    <b v="0"/>
    <s v=""/>
  </r>
  <r>
    <s v="bab48c7e-d60a-41f2-a45d-0f44a3e1b139"/>
    <x v="306"/>
    <s v="15:01"/>
    <x v="512"/>
    <s v="expense"/>
    <s v="rc_cat_1781955063347_5qjb_1781955063348_hrbf"/>
    <s v="kbank"/>
    <x v="1"/>
    <s v="-"/>
    <m/>
    <s v="import"/>
    <s v=""/>
    <b v="0"/>
    <s v=""/>
  </r>
  <r>
    <s v="95b51be2-d67b-43bb-8152-b8ca0ad2f33d"/>
    <x v="307"/>
    <s v="19:47"/>
    <x v="26"/>
    <s v="expense"/>
    <s v="rc_cat_1781955063347_anhy_1781955063350_fcpb"/>
    <s v="kbank"/>
    <x v="1"/>
    <s v="bet"/>
    <m/>
    <s v="import"/>
    <s v=""/>
    <b v="0"/>
    <s v=""/>
  </r>
  <r>
    <s v="f89fafe9-9b9c-4133-812f-7cb9995d6b1d"/>
    <x v="308"/>
    <s v="19:51"/>
    <x v="513"/>
    <s v="transfer"/>
    <s v="other"/>
    <s v="kbank"/>
    <x v="16"/>
    <s v="-"/>
    <m/>
    <s v="import"/>
    <s v=""/>
    <b v="0"/>
    <s v=""/>
  </r>
  <r>
    <s v="fb520080-0e6d-4f89-88bc-3ce6676b87d9"/>
    <x v="309"/>
    <s v="09:12"/>
    <x v="438"/>
    <s v="expense"/>
    <s v="rc_cat_1781955063347_anhy_1781955063350_fcpb"/>
    <s v="rc_acc_1781955063347_uxz4"/>
    <x v="1"/>
    <s v="-"/>
    <m/>
    <s v="import"/>
    <s v=""/>
    <b v="0"/>
    <s v=""/>
  </r>
  <r>
    <s v="cc947e0e-e7fd-4f4c-a426-0929aba0fb6b"/>
    <x v="310"/>
    <s v="16:11"/>
    <x v="514"/>
    <s v="expense"/>
    <s v="rc_cat_1781955063347_anhy_1781955063347_qnaz"/>
    <s v="rc_acc_1781955063347_uxz4"/>
    <x v="1"/>
    <s v="-"/>
    <m/>
    <s v="import"/>
    <s v=""/>
    <b v="0"/>
    <s v=""/>
  </r>
  <r>
    <s v="aa4a717a-8006-4db3-bef5-cf17dcccbfb7"/>
    <x v="311"/>
    <s v="20:01"/>
    <x v="515"/>
    <s v="transfer"/>
    <s v="other"/>
    <s v="kbank"/>
    <x v="3"/>
    <s v="-"/>
    <m/>
    <s v="import"/>
    <s v=""/>
    <b v="0"/>
    <s v=""/>
  </r>
  <r>
    <s v="7c4ebf2b-0d0e-4b42-aa9e-707720efac8c"/>
    <x v="311"/>
    <s v="20:03"/>
    <x v="516"/>
    <s v="transfer"/>
    <s v="other"/>
    <s v="advance"/>
    <x v="4"/>
    <s v="-"/>
    <m/>
    <s v="import"/>
    <s v=""/>
    <b v="0"/>
    <s v=""/>
  </r>
  <r>
    <s v="1bdf1c65-49d3-477c-93b7-c9f2c22b60ab"/>
    <x v="312"/>
    <s v="20:19"/>
    <x v="517"/>
    <s v="expense"/>
    <s v="rc_cat_1781955063347_5qjb_1781955063348_laj8"/>
    <s v="rc_acc_1781955063347_uxz4"/>
    <x v="1"/>
    <s v="-"/>
    <m/>
    <s v="import"/>
    <s v=""/>
    <b v="0"/>
    <s v=""/>
  </r>
  <r>
    <s v="f2b1477b-ab1a-46c6-bef5-dfda006ba572"/>
    <x v="312"/>
    <s v="20:20"/>
    <x v="518"/>
    <s v="transfer"/>
    <s v="other"/>
    <s v="rc_acc_1781955063347_uxz4"/>
    <x v="2"/>
    <s v="-"/>
    <m/>
    <s v="import"/>
    <s v=""/>
    <b v="0"/>
    <s v=""/>
  </r>
  <r>
    <s v="a4f0082b-f090-418e-ba15-2e5df553602a"/>
    <x v="312"/>
    <s v="20:21"/>
    <x v="519"/>
    <s v="expense"/>
    <s v="entertain_1781955063352_1jgx"/>
    <s v="rc_acc_1781955063347_uxz4"/>
    <x v="1"/>
    <s v="-"/>
    <m/>
    <s v="import"/>
    <s v=""/>
    <b v="0"/>
    <s v=""/>
  </r>
  <r>
    <s v="5692b696-519e-4332-b14a-5f84154c91bd"/>
    <x v="312"/>
    <s v="20:25"/>
    <x v="19"/>
    <s v="expense"/>
    <s v="rc_cat_1781955063347_5qjb_1781955063348_laj8"/>
    <s v="rc_acc_1781955063347_uxz4"/>
    <x v="1"/>
    <s v="-"/>
    <m/>
    <s v="import"/>
    <s v=""/>
    <b v="0"/>
    <s v=""/>
  </r>
  <r>
    <s v="5c63aa91-2b67-4105-afb5-358a8431e71d"/>
    <x v="312"/>
    <s v="20:27"/>
    <x v="520"/>
    <s v="expense"/>
    <s v="rc_cat_1781955063347_5qjb_1781955063347_tezk"/>
    <s v="rc_acc_1781955063347_uxz4"/>
    <x v="1"/>
    <s v="-"/>
    <m/>
    <s v="import"/>
    <s v=""/>
    <b v="0"/>
    <s v=""/>
  </r>
  <r>
    <s v="27f875df-9bb9-441e-a61b-1177fbf4c6d3"/>
    <x v="312"/>
    <s v="20:27"/>
    <x v="521"/>
    <s v="income"/>
    <s v="other_1781955063347_5s7r"/>
    <s v="kbank"/>
    <x v="1"/>
    <s v="Difference"/>
    <m/>
    <s v="import"/>
    <s v=""/>
    <b v="0"/>
    <s v=""/>
  </r>
  <r>
    <s v="cf45bad8-ef54-447b-894f-6814ff36b946"/>
    <x v="312"/>
    <s v="20:33"/>
    <x v="522"/>
    <s v="expense"/>
    <s v="entertain_1781955063348_kx2f"/>
    <s v="rc_acc_1781955063353_k5yx"/>
    <x v="1"/>
    <s v="gashapon onepiece"/>
    <m/>
    <s v="import"/>
    <s v=""/>
    <b v="0"/>
    <s v=""/>
  </r>
  <r>
    <s v="cf5d75d4-bf95-43cb-9512-b53e1564abfe"/>
    <x v="312"/>
    <s v="20:35"/>
    <x v="523"/>
    <s v="expense"/>
    <s v="rc_cat_1781955063347_s4sz_1781955063347_9tpp"/>
    <s v="rc_acc_1781955063353_k5yx"/>
    <x v="1"/>
    <s v="-"/>
    <m/>
    <s v="import"/>
    <s v=""/>
    <b v="0"/>
    <s v=""/>
  </r>
  <r>
    <s v="09ceb1bb-bfac-4056-a0a5-05325f1e5e51"/>
    <x v="312"/>
    <s v="20:36"/>
    <x v="524"/>
    <s v="expense"/>
    <s v="entertain_1781955063348_32wr"/>
    <s v="rc_acc_1781955063353_k5yx"/>
    <x v="1"/>
    <s v="-"/>
    <m/>
    <s v="import"/>
    <s v=""/>
    <b v="0"/>
    <s v=""/>
  </r>
  <r>
    <s v="c8da0ca3-838d-4e2a-be51-526946fc0d5b"/>
    <x v="312"/>
    <s v="20:37"/>
    <x v="525"/>
    <s v="expense"/>
    <s v="rc_cat_1781955063347_s4sz_1781955063347_deos"/>
    <s v="rc_acc_1781955063353_k5yx"/>
    <x v="1"/>
    <s v="โต๊ะ คีบอด ฐานกันดัม"/>
    <m/>
    <s v="import"/>
    <s v=""/>
    <b v="0"/>
    <s v=""/>
  </r>
  <r>
    <s v="07e0fa2a-42bf-4db7-9cf6-bb8c868353b7"/>
    <x v="312"/>
    <s v="20:51"/>
    <x v="526"/>
    <s v="expense"/>
    <s v="rc_cat_1781955063347_5qjb_1781955063347_tezk"/>
    <s v="rc_acc_1781955063353_k5yx"/>
    <x v="1"/>
    <s v="-"/>
    <m/>
    <s v="import"/>
    <s v=""/>
    <b v="0"/>
    <s v=""/>
  </r>
  <r>
    <s v="dee29d81-846b-4164-a8c2-1b80a5feeefe"/>
    <x v="312"/>
    <s v="20:53"/>
    <x v="35"/>
    <s v="transfer"/>
    <s v="other"/>
    <s v="rc_acc_1781955063347_uxz4"/>
    <x v="4"/>
    <s v="-"/>
    <m/>
    <s v="import"/>
    <s v=""/>
    <b v="0"/>
    <s v=""/>
  </r>
  <r>
    <s v="1f6f9816-9b36-46f3-b842-17a0e416168b"/>
    <x v="312"/>
    <s v="20:57"/>
    <x v="527"/>
    <s v="expense"/>
    <s v="rc_cat_1781955063347_5qjb_1781955063347_tezk"/>
    <s v="rc_acc_1781955063357_rvam"/>
    <x v="1"/>
    <s v="-"/>
    <m/>
    <s v="import"/>
    <s v=""/>
    <b v="0"/>
    <s v=""/>
  </r>
  <r>
    <s v="609bc8ce-b64b-4aa7-9d6a-82150e3b3511"/>
    <x v="312"/>
    <s v="20:58"/>
    <x v="528"/>
    <s v="income"/>
    <s v="other_1781955063347_5s7r"/>
    <s v="rc_acc_1781955063357_rvam"/>
    <x v="1"/>
    <s v="Difference"/>
    <m/>
    <s v="import"/>
    <s v=""/>
    <b v="0"/>
    <s v=""/>
  </r>
  <r>
    <s v="b73e5600-8000-4bfb-a721-54b8005c57e7"/>
    <x v="313"/>
    <s v="19:35"/>
    <x v="529"/>
    <s v="expense"/>
    <s v="rc_cat_1781955063347_04qb_1781955063347_wt5p"/>
    <s v="kbank"/>
    <x v="1"/>
    <s v="-"/>
    <m/>
    <s v="import"/>
    <s v=""/>
    <b v="0"/>
    <s v=""/>
  </r>
  <r>
    <s v="48197745-d315-4f66-b636-04d167718ba9"/>
    <x v="313"/>
    <s v="19:48"/>
    <x v="19"/>
    <s v="expense"/>
    <s v="rc_cat_1781955063347_s4sz_1781955063347_9tpp"/>
    <s v="kbank"/>
    <x v="1"/>
    <s v="-"/>
    <m/>
    <s v="import"/>
    <s v=""/>
    <b v="0"/>
    <s v=""/>
  </r>
  <r>
    <s v="7d5b7bc0-3f1d-4dfe-b07c-2d36a43fdeb7"/>
    <x v="314"/>
    <s v="19:54"/>
    <x v="530"/>
    <s v="transfer"/>
    <s v="other"/>
    <s v="rc_acc_1781955063347_e3zv"/>
    <x v="5"/>
    <s v="-"/>
    <m/>
    <s v="import"/>
    <s v=""/>
    <b v="0"/>
    <s v=""/>
  </r>
  <r>
    <s v="348ed1b1-872f-473c-bbee-288f9156d0d4"/>
    <x v="314"/>
    <s v="19:57"/>
    <x v="516"/>
    <s v="transfer"/>
    <s v="other"/>
    <s v="kbank"/>
    <x v="2"/>
    <s v="บ้านป้าหนู"/>
    <m/>
    <s v="import"/>
    <s v=""/>
    <b v="0"/>
    <s v=""/>
  </r>
  <r>
    <s v="19c61f46-b308-4bc1-a594-5100136662f6"/>
    <x v="315"/>
    <s v="19:46"/>
    <x v="320"/>
    <s v="expense"/>
    <s v="rc_cat_1781955063347_anhy_1781955063348_k5l1"/>
    <s v="kbank"/>
    <x v="1"/>
    <s v="-"/>
    <m/>
    <s v="import"/>
    <s v=""/>
    <b v="0"/>
    <s v=""/>
  </r>
  <r>
    <s v="2704738d-8463-4b26-ac3e-35fd3e2f6adb"/>
    <x v="316"/>
    <s v="00:00"/>
    <x v="531"/>
    <s v="expense"/>
    <s v="rc_cat_1781955063347_04qb_1781955063347_lu9b"/>
    <s v="rc_acc_1781955063347_uxz4"/>
    <x v="1"/>
    <s v="-"/>
    <m/>
    <s v="import"/>
    <s v=""/>
    <b v="0"/>
    <s v=""/>
  </r>
  <r>
    <s v="4fa95bec-36a2-4228-a32d-580fc9670bc7"/>
    <x v="316"/>
    <s v="00:00"/>
    <x v="532"/>
    <s v="expense"/>
    <s v="rc_cat_1781955063347_04qb_1781955063347_kgnn"/>
    <s v="rc_acc_1781955063347_uxz4"/>
    <x v="1"/>
    <s v="-"/>
    <m/>
    <s v="import"/>
    <s v=""/>
    <b v="0"/>
    <s v=""/>
  </r>
  <r>
    <s v="c2904aec-eb03-4cbe-bd5b-e7e955a4ca19"/>
    <x v="316"/>
    <s v="00:00"/>
    <x v="533"/>
    <s v="expense"/>
    <s v="rc_cat_1781955063347_04qb_1781955063350_acgf"/>
    <s v="rc_acc_1781955063347_uxz4"/>
    <x v="1"/>
    <s v="-"/>
    <m/>
    <s v="import"/>
    <s v=""/>
    <b v="0"/>
    <s v=""/>
  </r>
  <r>
    <s v="1b3c45cd-f324-436b-a492-17dc55352c48"/>
    <x v="316"/>
    <s v="00:00"/>
    <x v="452"/>
    <s v="transfer"/>
    <s v="other"/>
    <s v="rc_acc_1781955063347_uxz4"/>
    <x v="8"/>
    <s v="-"/>
    <m/>
    <s v="import"/>
    <s v=""/>
    <b v="0"/>
    <s v=""/>
  </r>
  <r>
    <s v="150f681b-f5bb-4ba5-9dca-16861d87596b"/>
    <x v="316"/>
    <s v="00:00"/>
    <x v="128"/>
    <s v="transfer"/>
    <s v="other"/>
    <s v="rc_acc_1781955063347_uxz4"/>
    <x v="21"/>
    <s v="-"/>
    <m/>
    <s v="import"/>
    <s v=""/>
    <b v="0"/>
    <s v=""/>
  </r>
  <r>
    <s v="d16311a6-9815-47d3-91ba-8507428212f2"/>
    <x v="316"/>
    <s v="00:00"/>
    <x v="31"/>
    <s v="transfer"/>
    <s v="other"/>
    <s v="rc_acc_1781955063347_uxz4"/>
    <x v="7"/>
    <s v="-"/>
    <m/>
    <s v="import"/>
    <s v=""/>
    <b v="0"/>
    <s v=""/>
  </r>
  <r>
    <s v="89dd621a-de40-40aa-9a4b-cefd64b13d24"/>
    <x v="316"/>
    <s v="00:00"/>
    <x v="306"/>
    <s v="transfer"/>
    <s v="other"/>
    <s v="rc_acc_1781955063347_uxz4"/>
    <x v="20"/>
    <s v="-"/>
    <m/>
    <s v="import"/>
    <s v=""/>
    <b v="0"/>
    <s v=""/>
  </r>
  <r>
    <s v="223255cb-377f-41af-a938-a86a3dc696bf"/>
    <x v="316"/>
    <s v="00:00"/>
    <x v="453"/>
    <s v="income"/>
    <s v="income_1781955063347_5zxt"/>
    <s v="rc_acc_1781955063347_uxz4"/>
    <x v="1"/>
    <s v="-"/>
    <m/>
    <s v="import"/>
    <s v=""/>
    <b v="0"/>
    <s v=""/>
  </r>
  <r>
    <s v="1449c76c-7682-4aa3-be0c-04b1528d0747"/>
    <x v="316"/>
    <s v="15:56"/>
    <x v="534"/>
    <s v="expense"/>
    <s v="rc_cat_1781955063347_anhy_1781955063347_qnaz"/>
    <s v="rc_acc_1781955063347_uxz4"/>
    <x v="1"/>
    <s v="-"/>
    <m/>
    <s v="import"/>
    <s v=""/>
    <b v="0"/>
    <s v=""/>
  </r>
  <r>
    <s v="2ae557e4-54cc-4ac5-9433-bea1988a0dbe"/>
    <x v="316"/>
    <s v="19:40"/>
    <x v="374"/>
    <s v="transfer"/>
    <s v="other"/>
    <s v="kbank"/>
    <x v="22"/>
    <s v="-"/>
    <m/>
    <s v="import"/>
    <s v=""/>
    <b v="0"/>
    <s v=""/>
  </r>
  <r>
    <s v="99ddae4d-7d49-4038-addf-d8dea88d1443"/>
    <x v="316"/>
    <s v="19:54"/>
    <x v="535"/>
    <s v="expense"/>
    <s v="rc_cat_1781955063347_5qjb_1781955063347_tezk"/>
    <s v="rc_acc_1781955063347_uxz4"/>
    <x v="1"/>
    <s v="-"/>
    <m/>
    <s v="import"/>
    <s v=""/>
    <b v="0"/>
    <s v=""/>
  </r>
  <r>
    <s v="3b809885-5468-4b42-9270-8cf5495df5de"/>
    <x v="317"/>
    <s v="13:49"/>
    <x v="536"/>
    <s v="expense"/>
    <s v="rc_cat_1781955063347_5qjb_1781955063347_tezk"/>
    <s v="kbank"/>
    <x v="1"/>
    <s v="-"/>
    <m/>
    <s v="import"/>
    <s v=""/>
    <b v="0"/>
    <s v=""/>
  </r>
  <r>
    <s v="21320b4a-1927-45eb-9706-1471a9d358f6"/>
    <x v="318"/>
    <s v="18:13"/>
    <x v="537"/>
    <s v="transfer"/>
    <s v="other"/>
    <s v="advance"/>
    <x v="5"/>
    <s v="-"/>
    <m/>
    <s v="import"/>
    <s v=""/>
    <b v="0"/>
    <s v=""/>
  </r>
  <r>
    <s v="cf38bb96-7c67-48b5-b446-cc356ff77b1b"/>
    <x v="318"/>
    <s v="18:13"/>
    <x v="538"/>
    <s v="expense"/>
    <s v="entertain_1781955063352_1jgx"/>
    <s v="advance"/>
    <x v="1"/>
    <s v="-"/>
    <m/>
    <s v="import"/>
    <s v=""/>
    <b v="0"/>
    <s v=""/>
  </r>
  <r>
    <s v="a9fab438-0a24-41d6-8771-1c14b7956cbd"/>
    <x v="318"/>
    <s v="18:26"/>
    <x v="374"/>
    <s v="transfer"/>
    <s v="other"/>
    <s v="rc_acc_1781955063347_uxz4"/>
    <x v="22"/>
    <s v="-"/>
    <m/>
    <s v="import"/>
    <s v=""/>
    <b v="0"/>
    <s v=""/>
  </r>
  <r>
    <s v="14da8285-050a-4ad1-a582-932b86d73fbd"/>
    <x v="318"/>
    <s v="18:28"/>
    <x v="539"/>
    <s v="expense"/>
    <s v="entertain_1781955063352_1jgx"/>
    <s v="rc_acc_1781955063347_uxz4"/>
    <x v="1"/>
    <s v="-"/>
    <m/>
    <s v="import"/>
    <s v=""/>
    <b v="0"/>
    <s v=""/>
  </r>
  <r>
    <s v="a00f22e3-d4f0-4aad-bf5f-0290d6f5afdc"/>
    <x v="319"/>
    <s v="20:18"/>
    <x v="540"/>
    <s v="expense"/>
    <s v="rc_cat_1781955063347_anhy_1781955063347_qnaz"/>
    <s v="rc_acc_1781955063347_uxz4"/>
    <x v="1"/>
    <s v="la meaw mala"/>
    <m/>
    <s v="import"/>
    <s v=""/>
    <b v="0"/>
    <s v=""/>
  </r>
  <r>
    <s v="5ccf0f73-f399-4520-8c2a-f8c9d0760013"/>
    <x v="320"/>
    <s v="17:42"/>
    <x v="138"/>
    <s v="transfer"/>
    <s v="other"/>
    <s v="rc_acc_1781955063347_uxz4"/>
    <x v="2"/>
    <s v="shopee"/>
    <m/>
    <s v="import"/>
    <s v=""/>
    <b v="0"/>
    <s v=""/>
  </r>
  <r>
    <s v="9ede6a02-16e7-41b5-a90a-65b2f200d03d"/>
    <x v="320"/>
    <s v="17:44"/>
    <x v="541"/>
    <s v="transfer"/>
    <s v="other"/>
    <s v="kbank"/>
    <x v="5"/>
    <s v="-"/>
    <m/>
    <s v="import"/>
    <s v=""/>
    <b v="0"/>
    <s v=""/>
  </r>
  <r>
    <s v="720c4a62-9b45-444a-903d-77f9f0b64801"/>
    <x v="320"/>
    <s v="17:46"/>
    <x v="542"/>
    <s v="expense"/>
    <s v="rc_cat_1781955063347_5qjb_1781955063347_tezk"/>
    <s v="kbank"/>
    <x v="1"/>
    <s v="-"/>
    <m/>
    <s v="import"/>
    <s v=""/>
    <b v="0"/>
    <s v=""/>
  </r>
  <r>
    <s v="003bbb9b-810c-4fba-8042-3e3222509c54"/>
    <x v="320"/>
    <s v="17:51"/>
    <x v="543"/>
    <s v="transfer"/>
    <s v="other"/>
    <s v="advance"/>
    <x v="5"/>
    <s v="เบอเกอ วัด"/>
    <m/>
    <s v="import"/>
    <s v=""/>
    <b v="0"/>
    <s v=""/>
  </r>
  <r>
    <s v="9a242828-9d23-4c5e-aa56-57b55dc03140"/>
    <x v="321"/>
    <s v="17:36"/>
    <x v="544"/>
    <s v="expense"/>
    <s v="rc_cat_1781955063347_anhy_1781955063350_fcpb"/>
    <s v="kbank"/>
    <x v="1"/>
    <s v="-"/>
    <m/>
    <s v="import"/>
    <s v=""/>
    <b v="0"/>
    <s v=""/>
  </r>
  <r>
    <s v="dc9e8a3a-8ea3-43d7-85d1-62672a07d243"/>
    <x v="321"/>
    <s v="18:36"/>
    <x v="74"/>
    <s v="expense"/>
    <s v="rc_cat_1781955063347_5qjb_1781955063347_tezk"/>
    <s v="kbank"/>
    <x v="1"/>
    <s v="-"/>
    <m/>
    <s v="import"/>
    <s v=""/>
    <b v="0"/>
    <s v=""/>
  </r>
  <r>
    <s v="2af6f983-4888-4497-9b89-a4a939b3e3e6"/>
    <x v="322"/>
    <s v="21:35"/>
    <x v="536"/>
    <s v="expense"/>
    <s v="entertain_1781955063348_kx2f"/>
    <s v="kbank"/>
    <x v="1"/>
    <s v="gasha onepiece"/>
    <m/>
    <s v="import"/>
    <s v=""/>
    <b v="0"/>
    <s v=""/>
  </r>
  <r>
    <s v="e5b4cbaa-db7f-4f94-82f7-b7b3e37571f6"/>
    <x v="323"/>
    <s v="17:42"/>
    <x v="545"/>
    <s v="income"/>
    <s v="income_1781955063347_zblt"/>
    <s v="rc_acc_1781955063347_uxz4"/>
    <x v="1"/>
    <s v="-"/>
    <m/>
    <s v="import"/>
    <s v=""/>
    <b v="0"/>
    <s v=""/>
  </r>
  <r>
    <s v="529318d5-19f9-4576-bcd7-87b9c4470afc"/>
    <x v="324"/>
    <s v="17:34"/>
    <x v="150"/>
    <s v="income"/>
    <s v="income_1781955063347_zblt"/>
    <s v="kbank"/>
    <x v="1"/>
    <s v="-"/>
    <m/>
    <s v="import"/>
    <s v=""/>
    <b v="0"/>
    <s v=""/>
  </r>
  <r>
    <s v="9a4caca9-ec75-4a01-8201-6d640e1b729c"/>
    <x v="325"/>
    <s v="19:05"/>
    <x v="87"/>
    <s v="expense"/>
    <s v="rc_cat_1781955063347_anhy_1781955063348_k5l1"/>
    <s v="kbank"/>
    <x v="1"/>
    <s v="-"/>
    <m/>
    <s v="import"/>
    <s v=""/>
    <b v="0"/>
    <s v=""/>
  </r>
  <r>
    <s v="ea4261b8-1680-47ca-bc19-d1997905e7c6"/>
    <x v="326"/>
    <s v="11:20"/>
    <x v="438"/>
    <s v="expense"/>
    <s v="rc_cat_1781955063347_anhy_1781955063350_fcpb"/>
    <s v="rc_acc_1781955063347_uxz4"/>
    <x v="1"/>
    <s v="-"/>
    <m/>
    <s v="import"/>
    <s v=""/>
    <b v="0"/>
    <s v=""/>
  </r>
  <r>
    <s v="7aa75f28-35f6-4557-b1d8-89b0274659cf"/>
    <x v="326"/>
    <s v="11:21"/>
    <x v="546"/>
    <s v="expense"/>
    <s v="rc_cat_1781955063347_04qb_1781955063347_wt5p"/>
    <s v="kbank"/>
    <x v="1"/>
    <s v="-"/>
    <m/>
    <s v="import"/>
    <s v=""/>
    <b v="0"/>
    <s v=""/>
  </r>
  <r>
    <s v="4292ca8d-b8ee-435d-99aa-5801c78d7fbe"/>
    <x v="327"/>
    <s v="11:28"/>
    <x v="315"/>
    <s v="transfer"/>
    <s v="other"/>
    <s v="kbank"/>
    <x v="12"/>
    <s v="-"/>
    <m/>
    <s v="import"/>
    <s v=""/>
    <b v="0"/>
    <s v=""/>
  </r>
  <r>
    <s v="a9c4d4d9-54be-4599-a9fd-1b2e9a6d498c"/>
    <x v="327"/>
    <s v="11:28"/>
    <x v="547"/>
    <s v="expense"/>
    <s v="rc_cat_1781955063347_anhy_1781955063348_k5l1"/>
    <s v="kbank"/>
    <x v="1"/>
    <s v="-"/>
    <m/>
    <s v="import"/>
    <s v=""/>
    <b v="0"/>
    <s v=""/>
  </r>
  <r>
    <s v="970cc8ca-f384-4274-9a56-0b076ba3eb1c"/>
    <x v="328"/>
    <s v="11:28"/>
    <x v="5"/>
    <s v="expense"/>
    <s v="rc_cat_1781955063347_anhy_1781955063347_qnaz"/>
    <s v="kbank"/>
    <x v="1"/>
    <s v="-"/>
    <m/>
    <s v="import"/>
    <s v=""/>
    <b v="0"/>
    <s v=""/>
  </r>
  <r>
    <s v="1f253a37-4a4a-453e-bbc2-80626e977ebc"/>
    <x v="329"/>
    <s v="11:34"/>
    <x v="548"/>
    <s v="expense"/>
    <s v="rc_cat_1781955063347_anhy_1781955063347_qnaz"/>
    <s v="kbank"/>
    <x v="1"/>
    <s v="เชงเม้ง ข้าว กาแฟ"/>
    <m/>
    <s v="import"/>
    <s v=""/>
    <b v="0"/>
    <s v=""/>
  </r>
  <r>
    <s v="8f0bd711-efd0-4f6b-8530-07547b834513"/>
    <x v="329"/>
    <s v="11:36"/>
    <x v="31"/>
    <s v="expense"/>
    <s v="rc_cat_1781955063347_anhy_1781955063350_fcpb"/>
    <s v="kbank"/>
    <x v="1"/>
    <s v="-"/>
    <m/>
    <s v="import"/>
    <s v=""/>
    <b v="0"/>
    <s v=""/>
  </r>
  <r>
    <s v="2b1fb9a4-941a-48ef-8e4b-8e840d9ea35e"/>
    <x v="329"/>
    <s v="18:59"/>
    <x v="5"/>
    <s v="expense"/>
    <s v="rc_cat_1781955063347_anhy_1781955063347_qnaz"/>
    <s v="rc_acc_1781955063347_uxz4"/>
    <x v="1"/>
    <s v="-"/>
    <m/>
    <s v="import"/>
    <s v=""/>
    <b v="0"/>
    <s v=""/>
  </r>
  <r>
    <s v="3464fc4e-81e0-46bd-b879-c3f7a9d08c92"/>
    <x v="329"/>
    <s v="19:11"/>
    <x v="517"/>
    <s v="expense"/>
    <s v="rc_cat_1781955063347_5qjb_1781955063348_laj8"/>
    <s v="rc_acc_1781955063347_uxz4"/>
    <x v="1"/>
    <s v="-"/>
    <m/>
    <s v="import"/>
    <s v=""/>
    <b v="0"/>
    <s v=""/>
  </r>
  <r>
    <s v="27573a88-6b41-4171-a7a2-88ff31cbf810"/>
    <x v="329"/>
    <s v="19:36"/>
    <x v="549"/>
    <s v="transfer"/>
    <s v="other"/>
    <s v="advance"/>
    <x v="4"/>
    <s v="-"/>
    <m/>
    <s v="import"/>
    <s v=""/>
    <b v="0"/>
    <s v=""/>
  </r>
  <r>
    <s v="25e31b20-449e-4f13-8363-301d20ae262b"/>
    <x v="329"/>
    <s v="20:24"/>
    <x v="550"/>
    <s v="expense"/>
    <s v="rc_cat_1781955063347_5qjb_1781955063347_tezk"/>
    <s v="rc_acc_1781955063357_rvam"/>
    <x v="1"/>
    <s v="-"/>
    <m/>
    <s v="import"/>
    <s v=""/>
    <b v="0"/>
    <s v=""/>
  </r>
  <r>
    <s v="9e149a9b-acd3-41cf-8eb2-c7676d885126"/>
    <x v="330"/>
    <s v="19:11"/>
    <x v="551"/>
    <s v="expense"/>
    <s v="rc_cat_1781955063347_5qjb_1781955063347_tezk"/>
    <s v="rc_acc_1781955063347_uxz4"/>
    <x v="1"/>
    <s v="-"/>
    <m/>
    <s v="import"/>
    <s v=""/>
    <b v="0"/>
    <s v=""/>
  </r>
  <r>
    <s v="dda523d2-533c-42da-ab45-e55d3ddbc32d"/>
    <x v="330"/>
    <s v="19:47"/>
    <x v="552"/>
    <s v="expense"/>
    <s v="rc_cat_1781955063347_s4sz_1781955063347_deos"/>
    <s v="kbank"/>
    <x v="1"/>
    <s v="-"/>
    <m/>
    <s v="import"/>
    <s v=""/>
    <b v="0"/>
    <s v=""/>
  </r>
  <r>
    <s v="dde56ba9-e40f-4bdc-b18a-410f838581f9"/>
    <x v="330"/>
    <s v="19:48"/>
    <x v="464"/>
    <s v="expense"/>
    <s v="entertain_1781955063352_1jgx"/>
    <s v="kbank"/>
    <x v="1"/>
    <s v="-"/>
    <m/>
    <s v="import"/>
    <s v=""/>
    <b v="0"/>
    <s v=""/>
  </r>
  <r>
    <s v="e73587cb-2f2e-4ea6-955f-25d128a3599b"/>
    <x v="330"/>
    <s v="19:48"/>
    <x v="553"/>
    <s v="expense"/>
    <s v="rc_cat_1781955063347_5qjb_1781955063347_tezk"/>
    <s v="kbank"/>
    <x v="1"/>
    <s v="-"/>
    <m/>
    <s v="import"/>
    <s v=""/>
    <b v="0"/>
    <s v=""/>
  </r>
  <r>
    <s v="ce3b7021-6c27-4444-b543-d66fabd284a1"/>
    <x v="330"/>
    <s v="19:48"/>
    <x v="5"/>
    <s v="transfer"/>
    <s v="other"/>
    <s v="kbank"/>
    <x v="12"/>
    <s v="-"/>
    <m/>
    <s v="import"/>
    <s v=""/>
    <b v="0"/>
    <s v=""/>
  </r>
  <r>
    <s v="10e80e34-cd3e-4e02-b4b0-b57c193fdc3d"/>
    <x v="331"/>
    <s v="19:08"/>
    <x v="10"/>
    <s v="transfer"/>
    <s v="other"/>
    <s v="kbank"/>
    <x v="5"/>
    <s v="-"/>
    <m/>
    <s v="import"/>
    <s v=""/>
    <b v="0"/>
    <s v=""/>
  </r>
  <r>
    <s v="237813bd-a119-4905-9894-e53e07105630"/>
    <x v="331"/>
    <s v="19:47"/>
    <x v="200"/>
    <s v="expense"/>
    <s v="rc_cat_1781955063347_anhy_1781955063348_k5l1"/>
    <s v="kbank"/>
    <x v="1"/>
    <s v="-"/>
    <m/>
    <s v="import"/>
    <s v=""/>
    <b v="0"/>
    <s v=""/>
  </r>
  <r>
    <s v="97126948-38a1-4757-a9d0-fd6dbe15e913"/>
    <x v="332"/>
    <s v="19:46"/>
    <x v="554"/>
    <s v="expense"/>
    <s v="rc_cat_1781955063347_5qjb_1781955063348_hrbf"/>
    <s v="kbank"/>
    <x v="1"/>
    <s v="-"/>
    <m/>
    <s v="import"/>
    <s v=""/>
    <b v="0"/>
    <s v=""/>
  </r>
  <r>
    <s v="933cb674-c062-455a-8fc1-47afcdebe67a"/>
    <x v="333"/>
    <s v="00:00"/>
    <x v="555"/>
    <s v="expense"/>
    <s v="rc_cat_1781955063347_04qb_1781955063347_kgnn"/>
    <s v="rc_acc_1781955063347_uxz4"/>
    <x v="1"/>
    <s v="-"/>
    <m/>
    <s v="import"/>
    <s v=""/>
    <b v="0"/>
    <s v=""/>
  </r>
  <r>
    <s v="cecb05de-58e3-4f19-8448-e26f12f75344"/>
    <x v="333"/>
    <s v="00:00"/>
    <x v="484"/>
    <s v="expense"/>
    <s v="rc_cat_1781955063347_04qb_1781955063350_acgf"/>
    <s v="rc_acc_1781955063347_uxz4"/>
    <x v="1"/>
    <s v="-"/>
    <m/>
    <s v="import"/>
    <s v=""/>
    <b v="0"/>
    <s v=""/>
  </r>
  <r>
    <s v="ba22465f-b51c-4ecf-b66b-ab1e04880b1b"/>
    <x v="333"/>
    <s v="00:00"/>
    <x v="452"/>
    <s v="transfer"/>
    <s v="other"/>
    <s v="rc_acc_1781955063347_uxz4"/>
    <x v="8"/>
    <s v="-"/>
    <m/>
    <s v="import"/>
    <s v=""/>
    <b v="0"/>
    <s v=""/>
  </r>
  <r>
    <s v="fd4bf80f-2d2f-4c2c-9c8a-8ea4125bd2f1"/>
    <x v="333"/>
    <s v="00:00"/>
    <x v="556"/>
    <s v="expense"/>
    <s v="rc_cat_1781955063347_04qb_1781955063347_lu9b"/>
    <s v="rc_acc_1781955063347_uxz4"/>
    <x v="1"/>
    <s v="-"/>
    <m/>
    <s v="import"/>
    <s v=""/>
    <b v="0"/>
    <s v=""/>
  </r>
  <r>
    <s v="217a2b06-2e3c-4bbe-a8d8-2925857cce9a"/>
    <x v="333"/>
    <s v="00:00"/>
    <x v="374"/>
    <s v="transfer"/>
    <s v="other"/>
    <s v="kbank"/>
    <x v="22"/>
    <s v="-"/>
    <m/>
    <s v="import"/>
    <s v=""/>
    <b v="0"/>
    <s v=""/>
  </r>
  <r>
    <s v="baff2df3-87c6-4b56-995e-5249ec706037"/>
    <x v="333"/>
    <s v="00:00"/>
    <x v="306"/>
    <s v="transfer"/>
    <s v="other"/>
    <s v="rc_acc_1781955063347_uxz4"/>
    <x v="20"/>
    <s v="-"/>
    <m/>
    <s v="import"/>
    <s v=""/>
    <b v="0"/>
    <s v=""/>
  </r>
  <r>
    <s v="f0e1071c-263c-4cf4-8e29-42513bd359ff"/>
    <x v="333"/>
    <s v="00:00"/>
    <x v="453"/>
    <s v="income"/>
    <s v="income_1781955063347_5zxt"/>
    <s v="rc_acc_1781955063347_uxz4"/>
    <x v="1"/>
    <s v="-"/>
    <m/>
    <s v="import"/>
    <s v=""/>
    <b v="0"/>
    <s v=""/>
  </r>
  <r>
    <s v="8040bc2d-42f4-4228-8ac1-3419e5d1778e"/>
    <x v="333"/>
    <s v="00:00"/>
    <x v="128"/>
    <s v="transfer"/>
    <s v="other"/>
    <s v="rc_acc_1781955063347_uxz4"/>
    <x v="21"/>
    <s v="-"/>
    <m/>
    <s v="import"/>
    <s v=""/>
    <b v="0"/>
    <s v=""/>
  </r>
  <r>
    <s v="b15490c3-d196-41f8-b767-d45d94bb3f9e"/>
    <x v="333"/>
    <s v="00:00"/>
    <x v="31"/>
    <s v="transfer"/>
    <s v="other"/>
    <s v="rc_acc_1781955063347_uxz4"/>
    <x v="7"/>
    <s v="-"/>
    <m/>
    <s v="import"/>
    <s v=""/>
    <b v="0"/>
    <s v=""/>
  </r>
  <r>
    <s v="d40f59a3-6f54-4f2c-a136-ed177ad64678"/>
    <x v="334"/>
    <s v="13:16"/>
    <x v="557"/>
    <s v="transfer"/>
    <s v="other"/>
    <s v="kbank"/>
    <x v="2"/>
    <s v="-"/>
    <m/>
    <s v="import"/>
    <s v=""/>
    <b v="0"/>
    <s v=""/>
  </r>
  <r>
    <s v="5dd6dcd8-40a0-4aa8-a16c-ab29cb50fca4"/>
    <x v="334"/>
    <s v="14:19"/>
    <x v="558"/>
    <s v="expense"/>
    <s v="rc_cat_1781955063347_5qjb_1781955063347_tezk"/>
    <s v="kbank"/>
    <x v="1"/>
    <s v="-"/>
    <m/>
    <s v="import"/>
    <s v=""/>
    <b v="0"/>
    <s v=""/>
  </r>
  <r>
    <s v="4124abfc-61dd-4f9c-a6f1-e3c02dede0eb"/>
    <x v="334"/>
    <s v="17:09"/>
    <x v="559"/>
    <s v="transfer"/>
    <s v="other"/>
    <s v="advance"/>
    <x v="4"/>
    <s v="ค่าที่พัก 5965*2 784*3"/>
    <m/>
    <s v="import"/>
    <s v=""/>
    <b v="0"/>
    <s v=""/>
  </r>
  <r>
    <s v="341a41c3-54e8-427f-8ce4-77fa4965c57a"/>
    <x v="334"/>
    <s v="19:14"/>
    <x v="560"/>
    <s v="transfer"/>
    <s v="other"/>
    <s v="advance"/>
    <x v="4"/>
    <s v="จากกองกลาง 784*2"/>
    <m/>
    <s v="import"/>
    <s v=""/>
    <b v="0"/>
    <s v=""/>
  </r>
  <r>
    <s v="da8bdeba-bc13-4866-865e-f9afe46b1352"/>
    <x v="334"/>
    <s v="20:23"/>
    <x v="561"/>
    <s v="expense"/>
    <s v="entertain_1781955063349_gok1"/>
    <s v="advance"/>
    <x v="1"/>
    <s v="-"/>
    <m/>
    <s v="import"/>
    <s v=""/>
    <b v="0"/>
    <s v=""/>
  </r>
  <r>
    <s v="de8002c1-55dc-412d-90f0-743c3c82c339"/>
    <x v="334"/>
    <s v="21:11"/>
    <x v="562"/>
    <s v="transfer"/>
    <s v="other"/>
    <s v="advance"/>
    <x v="4"/>
    <s v="-"/>
    <m/>
    <s v="import"/>
    <s v=""/>
    <b v="0"/>
    <s v=""/>
  </r>
  <r>
    <s v="9fd2d2db-6b78-4c79-9f6f-07818601c28b"/>
    <x v="334"/>
    <s v="21:12"/>
    <x v="563"/>
    <s v="transfer"/>
    <s v="other"/>
    <s v="kbank"/>
    <x v="2"/>
    <s v="-"/>
    <m/>
    <s v="import"/>
    <s v=""/>
    <b v="0"/>
    <s v=""/>
  </r>
  <r>
    <s v="60e9d1c6-ba6b-4ae6-8dd2-c6149a9bb420"/>
    <x v="334"/>
    <s v="21:15"/>
    <x v="169"/>
    <s v="transfer"/>
    <s v="other"/>
    <s v="advance"/>
    <x v="4"/>
    <s v="-"/>
    <m/>
    <s v="import"/>
    <s v=""/>
    <b v="0"/>
    <s v=""/>
  </r>
  <r>
    <s v="dcf0decc-34ac-4b23-b249-8ec9e6006ddc"/>
    <x v="334"/>
    <s v="21:15"/>
    <x v="390"/>
    <s v="income"/>
    <s v="other_1781955063348_27zj"/>
    <s v="kbank"/>
    <x v="1"/>
    <s v="-"/>
    <m/>
    <s v="import"/>
    <s v=""/>
    <b v="0"/>
    <s v=""/>
  </r>
  <r>
    <s v="a8ed514f-9354-40f2-8157-d6b81cb6c79c"/>
    <x v="334"/>
    <s v="23:55"/>
    <x v="564"/>
    <s v="expense"/>
    <s v="entertain_1781955063349_gok1"/>
    <s v="kbank"/>
    <x v="1"/>
    <s v="taipei24"/>
    <m/>
    <s v="import"/>
    <s v=""/>
    <b v="0"/>
    <s v=""/>
  </r>
  <r>
    <s v="d8bfeab7-a7db-47e3-be4d-34f78cf9066b"/>
    <x v="335"/>
    <s v="10:50"/>
    <x v="549"/>
    <s v="transfer"/>
    <s v="other"/>
    <s v="kbank"/>
    <x v="2"/>
    <s v="-"/>
    <m/>
    <s v="import"/>
    <s v=""/>
    <b v="0"/>
    <s v=""/>
  </r>
  <r>
    <s v="44467f86-78cd-4029-8b62-b0284851f9cb"/>
    <x v="335"/>
    <s v="19:36"/>
    <x v="157"/>
    <s v="transfer"/>
    <s v="other"/>
    <s v="kbank"/>
    <x v="2"/>
    <s v="-"/>
    <m/>
    <s v="import"/>
    <s v=""/>
    <b v="0"/>
    <s v=""/>
  </r>
  <r>
    <s v="14285e90-a6f9-451d-89ee-704e8956bbd3"/>
    <x v="336"/>
    <s v="20:49"/>
    <x v="562"/>
    <s v="transfer"/>
    <s v="other"/>
    <s v="kbank"/>
    <x v="2"/>
    <s v="-"/>
    <m/>
    <s v="import"/>
    <s v=""/>
    <b v="0"/>
    <s v=""/>
  </r>
  <r>
    <s v="b8755b43-3af8-47c3-9211-12b36d790240"/>
    <x v="336"/>
    <s v="21:55"/>
    <x v="565"/>
    <s v="transfer"/>
    <s v="other"/>
    <s v="kbank"/>
    <x v="2"/>
    <s v="-"/>
    <m/>
    <s v="import"/>
    <s v=""/>
    <b v="0"/>
    <s v=""/>
  </r>
  <r>
    <s v="720453c4-d7ca-4b77-b23e-77cffae78278"/>
    <x v="337"/>
    <s v="19:07"/>
    <x v="566"/>
    <s v="expense"/>
    <s v="rc_cat_1781955063347_anhy_1781955063348_k5l1"/>
    <s v="rc_acc_1781955063347_uxz4"/>
    <x v="1"/>
    <s v="-"/>
    <m/>
    <s v="import"/>
    <s v=""/>
    <b v="0"/>
    <s v=""/>
  </r>
  <r>
    <s v="8d28d70a-460f-4b13-b203-8093f44e910e"/>
    <x v="338"/>
    <s v="11:21"/>
    <x v="0"/>
    <s v="transfer"/>
    <s v="other"/>
    <s v="kbank"/>
    <x v="10"/>
    <s v="TESG"/>
    <m/>
    <s v="import"/>
    <s v=""/>
    <b v="0"/>
    <s v=""/>
  </r>
  <r>
    <s v="75382109-19c7-42cd-bbb7-603efcc45e49"/>
    <x v="338"/>
    <s v="11:28"/>
    <x v="567"/>
    <s v="expense"/>
    <s v="entertain_1781955063349_gok1"/>
    <s v="rc_acc_1781955063347_uxz4"/>
    <x v="1"/>
    <s v="JP25 sap"/>
    <m/>
    <s v="import"/>
    <s v=""/>
    <b v="0"/>
    <s v=""/>
  </r>
  <r>
    <s v="f5a5d83f-12fe-4adb-a322-121b32614499"/>
    <x v="339"/>
    <s v="11:23"/>
    <x v="568"/>
    <s v="expense"/>
    <s v="rc_cat_1781955063347_5qjb_1781955063347_tezk"/>
    <s v="kbank"/>
    <x v="1"/>
    <s v="เลี้ยงขนม"/>
    <m/>
    <s v="import"/>
    <s v=""/>
    <b v="0"/>
    <s v=""/>
  </r>
  <r>
    <s v="e3b368fc-97aa-4577-95b4-17121cda3a0f"/>
    <x v="340"/>
    <s v="11:37"/>
    <x v="569"/>
    <s v="expense"/>
    <s v="rc_cat_1781955063347_5qjb_1781955063347_tezk"/>
    <s v="rc_acc_1781955063347_uxz4"/>
    <x v="1"/>
    <s v="-"/>
    <m/>
    <s v="import"/>
    <s v=""/>
    <b v="0"/>
    <s v=""/>
  </r>
  <r>
    <s v="f88d084d-1b5f-4f00-b6ae-abc84de35139"/>
    <x v="341"/>
    <s v="11:36"/>
    <x v="570"/>
    <s v="transfer"/>
    <s v="other"/>
    <s v="rc_acc_1781955063347_uxz4"/>
    <x v="18"/>
    <s v="-"/>
    <m/>
    <s v="import"/>
    <s v=""/>
    <b v="0"/>
    <s v=""/>
  </r>
  <r>
    <s v="4f9f3730-12db-4fab-80f6-442eeaa54500"/>
    <x v="341"/>
    <s v="19:07"/>
    <x v="252"/>
    <s v="transfer"/>
    <s v="other"/>
    <s v="rc_acc_1781955063348_xd87"/>
    <x v="18"/>
    <s v="ฝากแลกสามหมื่นบาท เรท 0.2417"/>
    <m/>
    <s v="import"/>
    <s v=""/>
    <b v="0"/>
    <s v=""/>
  </r>
  <r>
    <s v="00767adf-21e1-4d3d-845f-567878b27d2f"/>
    <x v="342"/>
    <s v="11:21"/>
    <x v="571"/>
    <s v="expense"/>
    <s v="rc_cat_1781955063347_5qjb_1781955063347_tezk"/>
    <s v="kbank"/>
    <x v="1"/>
    <s v="-"/>
    <m/>
    <s v="import"/>
    <s v=""/>
    <b v="0"/>
    <s v=""/>
  </r>
  <r>
    <s v="26850a24-1a04-4b06-9454-dfbb5f062db6"/>
    <x v="343"/>
    <s v="11:26"/>
    <x v="572"/>
    <s v="expense"/>
    <s v="rc_cat_1781955063347_04qb_1781955063347_wt5p"/>
    <s v="rc_acc_1781955063347_uxz4"/>
    <x v="1"/>
    <s v="-"/>
    <m/>
    <s v="import"/>
    <s v=""/>
    <b v="0"/>
    <s v=""/>
  </r>
  <r>
    <s v="90fa99c0-be0f-40fc-910d-e066fab78f3d"/>
    <x v="343"/>
    <s v="11:37"/>
    <x v="5"/>
    <s v="expense"/>
    <s v="rc_cat_1781955063347_anhy_1781955063347_qnaz"/>
    <s v="rc_acc_1781955063347_uxz4"/>
    <x v="1"/>
    <s v="-"/>
    <m/>
    <s v="import"/>
    <s v=""/>
    <b v="0"/>
    <s v=""/>
  </r>
  <r>
    <s v="3e8cc797-e0b4-4d62-b9c7-6d90f9d76354"/>
    <x v="344"/>
    <s v="11:20"/>
    <x v="31"/>
    <s v="expense"/>
    <s v="rc_cat_1781955063347_anhy_1781955063348_k5l1"/>
    <s v="kbank"/>
    <x v="1"/>
    <s v="งาน สนง"/>
    <m/>
    <s v="import"/>
    <s v=""/>
    <b v="0"/>
    <s v=""/>
  </r>
  <r>
    <s v="34360a9f-8e0d-442f-a70d-6775c4832887"/>
    <x v="345"/>
    <s v="11:07"/>
    <x v="573"/>
    <s v="expense"/>
    <s v="rc_cat_1781955063347_04qb_1781955063350_acgf"/>
    <s v="kbank"/>
    <x v="1"/>
    <s v="-"/>
    <m/>
    <s v="import"/>
    <s v=""/>
    <b v="0"/>
    <s v=""/>
  </r>
  <r>
    <s v="5b59f65a-91db-4830-b65e-32f0f7335f12"/>
    <x v="346"/>
    <s v="10:57"/>
    <x v="574"/>
    <s v="expense"/>
    <s v="rc_cat_1781955063347_04qb_1781955063347_wt5p"/>
    <s v="kbank"/>
    <x v="1"/>
    <s v="-"/>
    <m/>
    <s v="import"/>
    <s v=""/>
    <b v="0"/>
    <s v=""/>
  </r>
  <r>
    <s v="8e3217c7-a42b-466d-a6d0-1d09d5af4ab9"/>
    <x v="347"/>
    <s v="20:14"/>
    <x v="5"/>
    <s v="transfer"/>
    <s v="other"/>
    <s v="kbank"/>
    <x v="3"/>
    <s v="-"/>
    <m/>
    <s v="import"/>
    <s v=""/>
    <b v="0"/>
    <s v=""/>
  </r>
  <r>
    <s v="7602a5e9-39c2-4e85-8802-6e0d843e6051"/>
    <x v="347"/>
    <s v="20:24"/>
    <x v="575"/>
    <s v="income"/>
    <s v="other_1781955063347_5s7r"/>
    <s v="kbank"/>
    <x v="1"/>
    <s v="Difference"/>
    <m/>
    <s v="import"/>
    <s v=""/>
    <b v="0"/>
    <s v=""/>
  </r>
  <r>
    <s v="1c9fd6f0-e610-4d2d-944e-b352842cc889"/>
    <x v="347"/>
    <s v="20:51"/>
    <x v="438"/>
    <s v="expense"/>
    <s v="rc_cat_1781955063347_anhy_1781955063350_fcpb"/>
    <s v="kbank"/>
    <x v="1"/>
    <s v="-"/>
    <m/>
    <s v="import"/>
    <s v=""/>
    <b v="0"/>
    <s v=""/>
  </r>
  <r>
    <s v="4ffb224b-01ef-4b6d-b723-872901779583"/>
    <x v="347"/>
    <s v="20:59"/>
    <x v="576"/>
    <s v="expense"/>
    <s v="rc_cat_1781955063347_s4sz_1781955063347_deos"/>
    <s v="kbank"/>
    <x v="1"/>
    <s v="-"/>
    <m/>
    <s v="import"/>
    <s v=""/>
    <b v="0"/>
    <s v=""/>
  </r>
  <r>
    <s v="d2d5d189-8c40-46f0-b9f3-b2e0108925ba"/>
    <x v="347"/>
    <s v="21:04"/>
    <x v="577"/>
    <s v="expense"/>
    <s v="rc_cat_1781955063347_anhy_1781955063347_qnaz"/>
    <s v="kbank"/>
    <x v="1"/>
    <s v="-"/>
    <m/>
    <s v="import"/>
    <s v=""/>
    <b v="0"/>
    <s v=""/>
  </r>
  <r>
    <s v="a6faee72-6b57-4cbb-92d1-e5770616aa1f"/>
    <x v="347"/>
    <s v="21:12"/>
    <x v="578"/>
    <s v="transfer"/>
    <s v="other"/>
    <s v="rc_acc_1781955063347_uxz4"/>
    <x v="2"/>
    <s v="พี่จุ๊บจ่าย grab"/>
    <m/>
    <s v="import"/>
    <s v=""/>
    <b v="0"/>
    <s v=""/>
  </r>
  <r>
    <s v="d8b367cf-72bf-4a5e-ae06-8db0d0bd9667"/>
    <x v="347"/>
    <s v="21:13"/>
    <x v="387"/>
    <s v="expense"/>
    <s v="rc_cat_1781955063347_5qjb_1781955063348_laj8"/>
    <s v="rc_acc_1781955063347_uxz4"/>
    <x v="1"/>
    <s v="-"/>
    <m/>
    <s v="import"/>
    <s v=""/>
    <b v="0"/>
    <s v=""/>
  </r>
  <r>
    <s v="2e6890a0-7892-41a2-b654-12931961ae3d"/>
    <x v="347"/>
    <s v="21:13"/>
    <x v="579"/>
    <s v="expense"/>
    <s v="rc_cat_1781955063347_5qjb_1781955063348_laj8"/>
    <s v="rc_acc_1781955063347_uxz4"/>
    <x v="1"/>
    <s v="-"/>
    <m/>
    <s v="import"/>
    <s v=""/>
    <b v="0"/>
    <s v=""/>
  </r>
  <r>
    <s v="3587ccf7-e029-4d31-838d-619c3fd1cb6a"/>
    <x v="347"/>
    <s v="21:18"/>
    <x v="580"/>
    <s v="expense"/>
    <s v="rc_cat_1781955063347_5qjb_1781955063347_tezk"/>
    <s v="rc_acc_1781955063347_uxz4"/>
    <x v="1"/>
    <s v="-"/>
    <m/>
    <s v="import"/>
    <s v=""/>
    <b v="0"/>
    <s v=""/>
  </r>
  <r>
    <s v="f2bde707-0a92-4446-8eed-7c819e48a8ba"/>
    <x v="347"/>
    <s v="21:18"/>
    <x v="31"/>
    <s v="expense"/>
    <s v="rc_cat_1781955063347_anhy_1781955063347_qnaz"/>
    <s v="rc_acc_1781955063347_uxz4"/>
    <x v="1"/>
    <s v="-"/>
    <m/>
    <s v="import"/>
    <s v=""/>
    <b v="0"/>
    <s v=""/>
  </r>
  <r>
    <s v="6b412dd3-8ca1-4d04-bfd1-9b128d637dc2"/>
    <x v="348"/>
    <s v="23:55"/>
    <x v="581"/>
    <s v="expense"/>
    <s v="rc_cat_1781955063347_5qjb_1781955063347_tezk"/>
    <s v="rc_acc_1781955063357_rvam"/>
    <x v="1"/>
    <s v="-"/>
    <m/>
    <s v="import"/>
    <s v=""/>
    <b v="0"/>
    <s v=""/>
  </r>
  <r>
    <s v="90a67a8b-c4a0-44ba-b953-fefc5f747c17"/>
    <x v="349"/>
    <s v="16:17"/>
    <x v="582"/>
    <s v="expense"/>
    <s v="entertain_1781955063348_kx2f"/>
    <s v="kbank"/>
    <x v="1"/>
    <s v="-"/>
    <m/>
    <s v="import"/>
    <s v=""/>
    <b v="0"/>
    <s v=""/>
  </r>
  <r>
    <s v="ae555d47-06be-470e-944f-7ba35e5f29d0"/>
    <x v="349"/>
    <s v="19:45"/>
    <x v="31"/>
    <s v="expense"/>
    <s v="entertain_1781955063348_kx2f"/>
    <s v="kbank"/>
    <x v="1"/>
    <s v="เคสมือถือ"/>
    <m/>
    <s v="import"/>
    <s v=""/>
    <b v="0"/>
    <s v=""/>
  </r>
  <r>
    <s v="125c4f4d-760f-4338-987b-b7901b248358"/>
    <x v="349"/>
    <s v="19:45"/>
    <x v="254"/>
    <s v="expense"/>
    <s v="entertain_1781955063348_32wr"/>
    <s v="kbank"/>
    <x v="1"/>
    <s v="-"/>
    <m/>
    <s v="import"/>
    <s v=""/>
    <b v="0"/>
    <s v=""/>
  </r>
  <r>
    <s v="f158cf19-f8eb-411b-aa10-bed5d71bd437"/>
    <x v="349"/>
    <s v="19:46"/>
    <x v="583"/>
    <s v="expense"/>
    <s v="entertain_1781955063348_32wr"/>
    <s v="kbank"/>
    <x v="1"/>
    <s v="-"/>
    <m/>
    <s v="import"/>
    <s v=""/>
    <b v="0"/>
    <s v=""/>
  </r>
  <r>
    <s v="5a8fe3e6-9f76-471f-acbe-095f802f84a2"/>
    <x v="349"/>
    <s v="19:46"/>
    <x v="584"/>
    <s v="expense"/>
    <s v="entertain_1781955063347_8r8e"/>
    <s v="kbank"/>
    <x v="1"/>
    <s v="-"/>
    <m/>
    <s v="import"/>
    <s v=""/>
    <b v="0"/>
    <s v=""/>
  </r>
  <r>
    <s v="98bce8c3-96e3-4ca9-85ba-7fbd81e8733f"/>
    <x v="349"/>
    <s v="19:47"/>
    <x v="585"/>
    <s v="expense"/>
    <s v="rc_cat_1781955063347_s4sz_1781955063347_deos"/>
    <s v="kbank"/>
    <x v="1"/>
    <s v="-"/>
    <m/>
    <s v="import"/>
    <s v=""/>
    <b v="0"/>
    <s v=""/>
  </r>
  <r>
    <s v="13f121a0-09ba-423f-8b4a-a00c67918256"/>
    <x v="350"/>
    <s v="00:00"/>
    <x v="374"/>
    <s v="transfer"/>
    <s v="other"/>
    <s v="kbank"/>
    <x v="22"/>
    <s v="-"/>
    <m/>
    <s v="import"/>
    <s v=""/>
    <b v="0"/>
    <s v=""/>
  </r>
  <r>
    <s v="7a58fbac-1f66-45fa-91ad-44573d4cc977"/>
    <x v="350"/>
    <s v="00:00"/>
    <x v="586"/>
    <s v="expense"/>
    <s v="rc_cat_1781955063347_04qb_1781955063350_acgf"/>
    <s v="rc_acc_1781955063347_uxz4"/>
    <x v="1"/>
    <s v="-"/>
    <m/>
    <s v="import"/>
    <s v=""/>
    <b v="0"/>
    <s v=""/>
  </r>
  <r>
    <s v="79c1ed76-4770-483b-a082-b6b65674e1d2"/>
    <x v="350"/>
    <s v="00:00"/>
    <x v="587"/>
    <s v="expense"/>
    <s v="rc_cat_1781955063347_04qb_1781955063347_kgnn"/>
    <s v="rc_acc_1781955063347_uxz4"/>
    <x v="1"/>
    <s v="-"/>
    <m/>
    <s v="import"/>
    <s v=""/>
    <b v="0"/>
    <s v=""/>
  </r>
  <r>
    <s v="12a994a2-1ffa-40ca-8eb5-074f2e4a37cc"/>
    <x v="350"/>
    <s v="00:00"/>
    <x v="588"/>
    <s v="expense"/>
    <s v="rc_cat_1781955063347_04qb_1781955063347_lu9b"/>
    <s v="rc_acc_1781955063347_uxz4"/>
    <x v="1"/>
    <s v="-"/>
    <m/>
    <s v="import"/>
    <s v=""/>
    <b v="0"/>
    <s v=""/>
  </r>
  <r>
    <s v="41d91d48-11c3-403f-94bc-55b81412e71f"/>
    <x v="350"/>
    <s v="00:00"/>
    <x v="589"/>
    <s v="transfer"/>
    <s v="other"/>
    <s v="rc_acc_1781955063347_uxz4"/>
    <x v="8"/>
    <s v="-"/>
    <m/>
    <s v="import"/>
    <s v=""/>
    <b v="0"/>
    <s v=""/>
  </r>
  <r>
    <s v="f53cda84-d559-4ea7-acd3-d75e35bf06ea"/>
    <x v="350"/>
    <s v="00:00"/>
    <x v="306"/>
    <s v="transfer"/>
    <s v="other"/>
    <s v="rc_acc_1781955063347_uxz4"/>
    <x v="20"/>
    <s v="-"/>
    <m/>
    <s v="import"/>
    <s v=""/>
    <b v="0"/>
    <s v=""/>
  </r>
  <r>
    <s v="fb2b4713-af0f-4ba6-bd9b-f3e13a9d119a"/>
    <x v="350"/>
    <s v="00:00"/>
    <x v="453"/>
    <s v="income"/>
    <s v="income_1781955063347_5zxt"/>
    <s v="rc_acc_1781955063347_uxz4"/>
    <x v="1"/>
    <s v="-"/>
    <m/>
    <s v="import"/>
    <s v=""/>
    <b v="0"/>
    <s v=""/>
  </r>
  <r>
    <s v="66649fee-b6f3-4667-917b-c53338012f47"/>
    <x v="350"/>
    <s v="00:00"/>
    <x v="128"/>
    <s v="transfer"/>
    <s v="other"/>
    <s v="rc_acc_1781955063347_uxz4"/>
    <x v="21"/>
    <s v="-"/>
    <m/>
    <s v="import"/>
    <s v=""/>
    <b v="0"/>
    <s v=""/>
  </r>
  <r>
    <s v="d99a4c2b-47cf-4ff7-94d9-411ff339ec9a"/>
    <x v="350"/>
    <s v="00:00"/>
    <x v="31"/>
    <s v="transfer"/>
    <s v="other"/>
    <s v="rc_acc_1781955063347_uxz4"/>
    <x v="7"/>
    <s v="-"/>
    <m/>
    <s v="import"/>
    <s v=""/>
    <b v="0"/>
    <s v=""/>
  </r>
  <r>
    <s v="928a2164-be63-4a70-8441-e1f64701f1c9"/>
    <x v="350"/>
    <s v="00:00"/>
    <x v="590"/>
    <s v="income"/>
    <s v="income_1781955063347_zblt"/>
    <s v="rc_acc_1781955063347_uxz4"/>
    <x v="1"/>
    <s v="-"/>
    <m/>
    <s v="import"/>
    <s v=""/>
    <b v="0"/>
    <s v=""/>
  </r>
  <r>
    <s v="47bff2e6-2a02-41e7-8706-43244e8bf63a"/>
    <x v="350"/>
    <s v="00:00"/>
    <x v="591"/>
    <s v="expense"/>
    <s v="rc_cat_1781955063347_anhy_1781955063347_qnaz"/>
    <s v="rc_acc_1781955063347_uxz4"/>
    <x v="1"/>
    <s v="-"/>
    <m/>
    <s v="import"/>
    <s v=""/>
    <b v="0"/>
    <s v=""/>
  </r>
  <r>
    <s v="eaefda35-017d-4290-90a8-3a594f8c82ed"/>
    <x v="351"/>
    <s v="20:34"/>
    <x v="592"/>
    <s v="expense"/>
    <s v="rc_cat_1781955063347_anhy_1781955063347_qnaz"/>
    <s v="rc_acc_1781955063347_uxz4"/>
    <x v="1"/>
    <s v="-"/>
    <m/>
    <s v="import"/>
    <s v=""/>
    <b v="0"/>
    <s v=""/>
  </r>
  <r>
    <s v="e17f7e6d-dc53-4d77-b5fe-0221a4eaa190"/>
    <x v="352"/>
    <s v="12:34"/>
    <x v="424"/>
    <s v="expense"/>
    <s v="rc_cat_1781955063347_anhy_1781955063347_qnaz"/>
    <s v="kbank"/>
    <x v="1"/>
    <s v="-"/>
    <m/>
    <s v="import"/>
    <s v=""/>
    <b v="0"/>
    <s v=""/>
  </r>
  <r>
    <s v="705f2d39-1e14-499f-a29c-245f2202db24"/>
    <x v="353"/>
    <s v="11:25"/>
    <x v="199"/>
    <s v="expense"/>
    <s v="rc_cat_1781955063347_5qjb_1781955063347_tezk"/>
    <s v="kbank"/>
    <x v="1"/>
    <s v="-"/>
    <m/>
    <s v="import"/>
    <s v=""/>
    <b v="0"/>
    <s v=""/>
  </r>
  <r>
    <s v="e8f474b7-8df6-44b0-908c-ed17dc7cb1c9"/>
    <x v="354"/>
    <s v="12:41"/>
    <x v="31"/>
    <s v="expense"/>
    <s v="rc_cat_1781955063347_anhy_1781955063348_k5l1"/>
    <s v="rc_acc_1781955063347_uxz4"/>
    <x v="1"/>
    <s v="-"/>
    <m/>
    <s v="import"/>
    <s v=""/>
    <b v="0"/>
    <s v=""/>
  </r>
  <r>
    <s v="c168b93b-fc04-48ba-9f92-d9025feefa2e"/>
    <x v="355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d441883f-a9af-4f39-b564-1ed313d9d643"/>
    <x v="356"/>
    <s v="19:29"/>
    <x v="19"/>
    <s v="expense"/>
    <s v="other_1781955063348_27zj"/>
    <s v="kbank"/>
    <x v="1"/>
    <s v="ตัดผม"/>
    <m/>
    <s v="import"/>
    <s v=""/>
    <b v="0"/>
    <s v=""/>
  </r>
  <r>
    <s v="fca6321e-7609-4852-b75a-fb538199a641"/>
    <x v="357"/>
    <s v="12:41"/>
    <x v="593"/>
    <s v="income"/>
    <s v="income_1781955063347_zblt"/>
    <s v="rc_acc_1781955063347_uxz4"/>
    <x v="1"/>
    <s v="-"/>
    <m/>
    <s v="import"/>
    <s v=""/>
    <b v="0"/>
    <s v=""/>
  </r>
  <r>
    <s v="91c9e147-abc6-4505-b834-0a9b1162a047"/>
    <x v="357"/>
    <s v="12:42"/>
    <x v="594"/>
    <s v="expense"/>
    <s v="rc_cat_1781955063347_anhy_1781955063348_k5l1"/>
    <s v="rc_acc_1781955063347_uxz4"/>
    <x v="1"/>
    <s v="-"/>
    <m/>
    <s v="import"/>
    <s v=""/>
    <b v="0"/>
    <s v=""/>
  </r>
  <r>
    <s v="1e3454e4-5bd3-4a29-9932-2123c8c506bd"/>
    <x v="358"/>
    <s v="12:47"/>
    <x v="578"/>
    <s v="transfer"/>
    <s v="other"/>
    <s v="advance"/>
    <x v="5"/>
    <s v="พี่จุ๊บจ่าย grab"/>
    <m/>
    <s v="import"/>
    <s v=""/>
    <b v="0"/>
    <s v=""/>
  </r>
  <r>
    <s v="07b7c56c-92f3-41bd-8ac2-bef60ff0e98e"/>
    <x v="359"/>
    <s v="11:24"/>
    <x v="595"/>
    <s v="expense"/>
    <s v="rc_cat_1781955063347_anhy_1781955063347_qnaz"/>
    <s v="kbank"/>
    <x v="1"/>
    <s v="-"/>
    <m/>
    <s v="import"/>
    <s v=""/>
    <b v="0"/>
    <s v=""/>
  </r>
  <r>
    <s v="27edd048-9f66-4e9a-b9c7-3e0a7bca5b4e"/>
    <x v="359"/>
    <s v="12:40"/>
    <x v="5"/>
    <s v="expense"/>
    <s v="rc_cat_1781955063347_anhy_1781955063347_qnaz"/>
    <s v="rc_acc_1781955063347_uxz4"/>
    <x v="1"/>
    <s v="-"/>
    <m/>
    <s v="import"/>
    <s v=""/>
    <b v="0"/>
    <s v=""/>
  </r>
  <r>
    <s v="f0ae0af0-5b11-4e31-ba7f-ed01a7bc19d1"/>
    <x v="359"/>
    <s v="13:01"/>
    <x v="8"/>
    <s v="expense"/>
    <s v="rc_cat_1781955063347_anhy_1781955063347_qnaz"/>
    <s v="rc_acc_1781955063347_uxz4"/>
    <x v="1"/>
    <s v="-"/>
    <m/>
    <s v="import"/>
    <s v=""/>
    <b v="0"/>
    <s v=""/>
  </r>
  <r>
    <s v="d0275c37-9f21-4ce3-9f8f-1fae31ad957d"/>
    <x v="360"/>
    <s v="11:01"/>
    <x v="31"/>
    <s v="expense"/>
    <s v="rc_cat_1781955063347_anhy_1781955063350_fcpb"/>
    <s v="kbank"/>
    <x v="1"/>
    <s v="-"/>
    <m/>
    <s v="import"/>
    <s v=""/>
    <b v="0"/>
    <s v=""/>
  </r>
  <r>
    <s v="ff4ddc25-e66e-4c44-a4ab-f9b6c07853d4"/>
    <x v="361"/>
    <s v="12:27"/>
    <x v="596"/>
    <s v="expense"/>
    <s v="other_1781955063348_27zj"/>
    <s v="rc_acc_1781955063348_obza"/>
    <x v="1"/>
    <s v="-"/>
    <m/>
    <s v="import"/>
    <s v=""/>
    <b v="0"/>
    <s v=""/>
  </r>
  <r>
    <s v="87e15cd8-d3e8-4654-8596-50b44d32812f"/>
    <x v="362"/>
    <s v="11:00"/>
    <x v="438"/>
    <s v="expense"/>
    <s v="rc_cat_1781955063347_anhy_1781955063350_fcpb"/>
    <s v="kbank"/>
    <x v="1"/>
    <s v="-"/>
    <m/>
    <s v="import"/>
    <s v=""/>
    <b v="0"/>
    <s v=""/>
  </r>
  <r>
    <s v="0de71ed2-dcd9-4160-81c2-581203ba1188"/>
    <x v="362"/>
    <s v="11:23"/>
    <x v="597"/>
    <s v="expense"/>
    <s v="rc_cat_1781955063347_04qb_1781955063347_wt5p"/>
    <s v="kbank"/>
    <x v="1"/>
    <s v="-"/>
    <m/>
    <s v="import"/>
    <s v=""/>
    <b v="0"/>
    <s v=""/>
  </r>
  <r>
    <s v="04c492a9-6bcc-4af5-8982-752579c0875f"/>
    <x v="362"/>
    <s v="12:40"/>
    <x v="598"/>
    <s v="income"/>
    <s v="income_1781955063347_zblt"/>
    <s v="rc_acc_1781955063347_uxz4"/>
    <x v="1"/>
    <s v="-"/>
    <m/>
    <s v="import"/>
    <s v=""/>
    <b v="0"/>
    <s v=""/>
  </r>
  <r>
    <s v="0e9a2f11-7b91-46ec-b2af-1317061b352d"/>
    <x v="363"/>
    <s v="11:24"/>
    <x v="599"/>
    <s v="expense"/>
    <s v="rc_cat_1781955063347_5qjb_1781955063347_tezk"/>
    <s v="kbank"/>
    <x v="1"/>
    <s v="-"/>
    <m/>
    <s v="import"/>
    <s v=""/>
    <b v="0"/>
    <s v=""/>
  </r>
  <r>
    <s v="ba5af48e-1418-4700-9b3c-e9a09ee8b8b1"/>
    <x v="363"/>
    <s v="19:15"/>
    <x v="600"/>
    <s v="transfer"/>
    <s v="other"/>
    <s v="advance"/>
    <x v="5"/>
    <s v="รสดีเด็ดของอุ้ย"/>
    <m/>
    <s v="import"/>
    <s v=""/>
    <b v="0"/>
    <s v=""/>
  </r>
  <r>
    <s v="88f792f3-80b3-4533-b783-28a69aa91a18"/>
    <x v="363"/>
    <s v="19:37"/>
    <x v="601"/>
    <s v="income"/>
    <s v="income_1781955063347_zblt"/>
    <s v="rc_acc_1781955063347_uxz4"/>
    <x v="1"/>
    <s v="-"/>
    <m/>
    <s v="import"/>
    <s v=""/>
    <b v="0"/>
    <s v=""/>
  </r>
  <r>
    <s v="2c6c28a6-ead0-4203-a0fc-6555e99cc2ed"/>
    <x v="364"/>
    <s v="13:27"/>
    <x v="374"/>
    <s v="transfer"/>
    <s v="other"/>
    <s v="kbank"/>
    <x v="22"/>
    <s v="-"/>
    <m/>
    <s v="import"/>
    <s v=""/>
    <b v="0"/>
    <s v=""/>
  </r>
  <r>
    <s v="6b7ab54a-5d9a-4a43-ac3f-c0c0acd13739"/>
    <x v="364"/>
    <s v="14:25"/>
    <x v="602"/>
    <s v="transfer"/>
    <s v="other"/>
    <s v="advance"/>
    <x v="4"/>
    <s v="-"/>
    <m/>
    <s v="import"/>
    <s v=""/>
    <b v="0"/>
    <s v=""/>
  </r>
  <r>
    <s v="dbc10cec-81cc-469f-b858-e6cfff838afe"/>
    <x v="364"/>
    <s v="14:27"/>
    <x v="603"/>
    <s v="expense"/>
    <s v="rc_cat_1781955063347_5qjb_1781955063347_irl1"/>
    <s v="kbank"/>
    <x v="1"/>
    <s v="ค่าประกันหักแคช"/>
    <m/>
    <s v="import"/>
    <s v=""/>
    <b v="0"/>
    <s v=""/>
  </r>
  <r>
    <s v="73648b9d-02a5-46a8-979f-0a456cfb15e9"/>
    <x v="364"/>
    <s v="14:28"/>
    <x v="604"/>
    <s v="transfer"/>
    <s v="other"/>
    <s v="advance"/>
    <x v="4"/>
    <s v="-"/>
    <m/>
    <s v="import"/>
    <s v=""/>
    <b v="0"/>
    <s v=""/>
  </r>
  <r>
    <s v="b349c7d4-8cbe-409c-b456-22628db6884d"/>
    <x v="364"/>
    <s v="20:14"/>
    <x v="572"/>
    <s v="transfer"/>
    <s v="other"/>
    <s v="rc_acc_1781955063347_uxz4"/>
    <x v="4"/>
    <s v="-"/>
    <m/>
    <s v="import"/>
    <s v=""/>
    <b v="0"/>
    <s v=""/>
  </r>
  <r>
    <s v="8aab6c97-28a6-45d7-83c2-ed93d8641887"/>
    <x v="364"/>
    <s v="20:25"/>
    <x v="317"/>
    <s v="income"/>
    <s v="income_1781955063347_zblt"/>
    <s v="rc_acc_1781955063347_uxz4"/>
    <x v="1"/>
    <s v="-"/>
    <m/>
    <s v="import"/>
    <s v=""/>
    <b v="0"/>
    <s v=""/>
  </r>
  <r>
    <s v="1c3ab84a-5615-485c-948e-dd711ec5e9d0"/>
    <x v="365"/>
    <s v="12:10"/>
    <x v="605"/>
    <s v="expense"/>
    <s v="entertain_1781955063348_kx2f"/>
    <s v="kbank"/>
    <x v="1"/>
    <s v="-"/>
    <m/>
    <s v="import"/>
    <s v=""/>
    <b v="0"/>
    <s v=""/>
  </r>
  <r>
    <s v="d1f85024-d365-4223-9b8d-86fb51093780"/>
    <x v="365"/>
    <s v="12:31"/>
    <x v="605"/>
    <s v="transfer"/>
    <s v="other"/>
    <s v="advance"/>
    <x v="5"/>
    <s v="-"/>
    <m/>
    <s v="import"/>
    <s v=""/>
    <b v="0"/>
    <s v=""/>
  </r>
  <r>
    <s v="dcf7bc77-55c6-4dc8-8739-f8f42d97d50c"/>
    <x v="365"/>
    <s v="14:11"/>
    <x v="602"/>
    <s v="transfer"/>
    <s v="other"/>
    <s v="advance"/>
    <x v="4"/>
    <s v="-"/>
    <m/>
    <s v="import"/>
    <s v=""/>
    <b v="0"/>
    <s v=""/>
  </r>
  <r>
    <s v="862c54a7-d569-4192-8189-44bd2219aeda"/>
    <x v="365"/>
    <s v="14:13"/>
    <x v="525"/>
    <s v="transfer"/>
    <s v="other"/>
    <s v="advance"/>
    <x v="4"/>
    <s v="ของนนท์"/>
    <m/>
    <s v="import"/>
    <s v=""/>
    <b v="0"/>
    <s v=""/>
  </r>
  <r>
    <s v="b9064379-322a-4890-8235-e8777fc978c0"/>
    <x v="365"/>
    <s v="14:19"/>
    <x v="606"/>
    <s v="transfer"/>
    <s v="other"/>
    <s v="advance"/>
    <x v="4"/>
    <s v="-"/>
    <m/>
    <s v="import"/>
    <s v=""/>
    <b v="0"/>
    <s v=""/>
  </r>
  <r>
    <s v="d1935dfa-7dac-4458-b056-7cadc0afa2f4"/>
    <x v="365"/>
    <s v="14:22"/>
    <x v="273"/>
    <s v="transfer"/>
    <s v="other"/>
    <s v="advance"/>
    <x v="4"/>
    <s v="-"/>
    <m/>
    <s v="import"/>
    <s v=""/>
    <b v="0"/>
    <s v=""/>
  </r>
  <r>
    <s v="3f8654c0-af80-4a4f-931f-ac56aff77a8c"/>
    <x v="365"/>
    <s v="14:24"/>
    <x v="239"/>
    <s v="expense"/>
    <s v="rc_cat_1781955063347_5qjb_1781955063347_tezk"/>
    <s v="advance"/>
    <x v="1"/>
    <s v="-"/>
    <m/>
    <s v="import"/>
    <s v=""/>
    <b v="0"/>
    <s v=""/>
  </r>
  <r>
    <s v="12263a08-f9a8-418d-805e-79c2df5262c8"/>
    <x v="365"/>
    <s v="14:26"/>
    <x v="607"/>
    <s v="transfer"/>
    <s v="other"/>
    <s v="advance"/>
    <x v="4"/>
    <s v="-"/>
    <m/>
    <s v="import"/>
    <s v=""/>
    <b v="0"/>
    <s v=""/>
  </r>
  <r>
    <s v="4cd3e7dd-3cbf-4f98-b242-c2a1d5ed18d1"/>
    <x v="365"/>
    <s v="14:30"/>
    <x v="608"/>
    <s v="transfer"/>
    <s v="other"/>
    <s v="advance"/>
    <x v="4"/>
    <s v="-"/>
    <m/>
    <s v="import"/>
    <s v=""/>
    <b v="0"/>
    <s v=""/>
  </r>
  <r>
    <s v="2b8c6981-97ef-453a-99a3-d823d9ad87d1"/>
    <x v="366"/>
    <s v="13:37"/>
    <x v="372"/>
    <s v="transfer"/>
    <s v="other"/>
    <s v="kbank"/>
    <x v="2"/>
    <s v="-"/>
    <m/>
    <s v="import"/>
    <s v=""/>
    <b v="0"/>
    <s v=""/>
  </r>
  <r>
    <s v="66be69f2-1ace-4dd0-9c8f-37058d8c3653"/>
    <x v="367"/>
    <s v="13:59"/>
    <x v="609"/>
    <s v="transfer"/>
    <s v="other"/>
    <s v="kbank"/>
    <x v="2"/>
    <s v="-"/>
    <m/>
    <s v="import"/>
    <s v=""/>
    <b v="0"/>
    <s v=""/>
  </r>
  <r>
    <s v="30ed64fc-e36b-4bde-902f-034eeb63d968"/>
    <x v="367"/>
    <s v="14:11"/>
    <x v="416"/>
    <s v="transfer"/>
    <s v="other"/>
    <s v="kbank"/>
    <x v="2"/>
    <s v="ค่าเค้ก"/>
    <m/>
    <s v="import"/>
    <s v=""/>
    <b v="0"/>
    <s v=""/>
  </r>
  <r>
    <s v="862a9302-0da4-41af-8ca9-4ab252b3e4b7"/>
    <x v="368"/>
    <s v="12:21"/>
    <x v="317"/>
    <s v="expense"/>
    <s v="rc_cat_1781955063347_5qjb_1781955063347_tezk"/>
    <s v="rc_acc_1781955063347_uxz4"/>
    <x v="1"/>
    <s v="-"/>
    <m/>
    <s v="import"/>
    <s v=""/>
    <b v="0"/>
    <s v=""/>
  </r>
  <r>
    <s v="77311bd2-dcd7-4011-b8f6-73626e30cdc6"/>
    <x v="369"/>
    <s v="00:00"/>
    <x v="610"/>
    <s v="expense"/>
    <s v="rc_cat_1781955063347_04qb_1781955063350_acgf"/>
    <s v="rc_acc_1781955063347_uxz4"/>
    <x v="1"/>
    <s v="-"/>
    <m/>
    <s v="import"/>
    <s v=""/>
    <b v="0"/>
    <s v=""/>
  </r>
  <r>
    <s v="181a1bd2-6d7a-4e4d-8bb6-b672442ede29"/>
    <x v="369"/>
    <s v="00:00"/>
    <x v="611"/>
    <s v="expense"/>
    <s v="rc_cat_1781955063347_04qb_1781955063347_lu9b"/>
    <s v="rc_acc_1781955063347_uxz4"/>
    <x v="1"/>
    <s v="-"/>
    <m/>
    <s v="import"/>
    <s v=""/>
    <b v="0"/>
    <s v=""/>
  </r>
  <r>
    <s v="6f354770-a533-4c1e-96da-0641dbeff764"/>
    <x v="369"/>
    <s v="00:00"/>
    <x v="612"/>
    <s v="expense"/>
    <s v="rc_cat_1781955063347_04qb_1781955063347_kgnn"/>
    <s v="rc_acc_1781955063347_uxz4"/>
    <x v="1"/>
    <s v="-"/>
    <m/>
    <s v="import"/>
    <s v=""/>
    <b v="0"/>
    <s v=""/>
  </r>
  <r>
    <s v="62074914-bc38-4b80-9f78-efdcf3ba5477"/>
    <x v="369"/>
    <s v="00:00"/>
    <x v="306"/>
    <s v="transfer"/>
    <s v="other"/>
    <s v="rc_acc_1781955063347_uxz4"/>
    <x v="20"/>
    <s v="-"/>
    <m/>
    <s v="import"/>
    <s v=""/>
    <b v="0"/>
    <s v=""/>
  </r>
  <r>
    <s v="0dee3698-e651-413e-8a9b-80182a4cabe0"/>
    <x v="369"/>
    <s v="00:00"/>
    <x v="128"/>
    <s v="transfer"/>
    <s v="other"/>
    <s v="rc_acc_1781955063347_uxz4"/>
    <x v="21"/>
    <s v="-"/>
    <m/>
    <s v="import"/>
    <s v=""/>
    <b v="0"/>
    <s v=""/>
  </r>
  <r>
    <s v="0d603a81-ebb5-4922-8d9b-71f5f05da72f"/>
    <x v="369"/>
    <s v="00:00"/>
    <x v="31"/>
    <s v="transfer"/>
    <s v="other"/>
    <s v="rc_acc_1781955063347_uxz4"/>
    <x v="7"/>
    <s v="-"/>
    <m/>
    <s v="import"/>
    <s v=""/>
    <b v="0"/>
    <s v=""/>
  </r>
  <r>
    <s v="2222e72d-a5a6-4687-9781-292bf5be15c8"/>
    <x v="369"/>
    <s v="00:00"/>
    <x v="613"/>
    <s v="transfer"/>
    <s v="other"/>
    <s v="rc_acc_1781955063347_uxz4"/>
    <x v="8"/>
    <s v="-"/>
    <m/>
    <s v="import"/>
    <s v=""/>
    <b v="0"/>
    <s v=""/>
  </r>
  <r>
    <s v="1617abb3-b8c9-4ab7-a9f3-da4ce4384f5e"/>
    <x v="369"/>
    <s v="00:00"/>
    <x v="614"/>
    <s v="income"/>
    <s v="income_1781955063347_5zxt"/>
    <s v="rc_acc_1781955063347_uxz4"/>
    <x v="1"/>
    <s v="-"/>
    <m/>
    <s v="import"/>
    <s v=""/>
    <b v="0"/>
    <s v=""/>
  </r>
  <r>
    <s v="6bd14174-3d53-461d-9307-06ac6443c8f0"/>
    <x v="369"/>
    <s v="12:28"/>
    <x v="615"/>
    <s v="expense"/>
    <s v="rc_cat_1781955063347_5qjb_1781955063347_tezk"/>
    <s v="rc_acc_1781955063347_uxz4"/>
    <x v="1"/>
    <s v="-"/>
    <m/>
    <s v="import"/>
    <s v=""/>
    <b v="0"/>
    <s v=""/>
  </r>
  <r>
    <s v="bc2dd880-c039-4b6e-bb7a-8012f53a5cb9"/>
    <x v="370"/>
    <s v="11:51"/>
    <x v="616"/>
    <s v="expense"/>
    <s v="rc_cat_1781955063347_5qjb_1781955063347_tezk"/>
    <s v="kbank"/>
    <x v="1"/>
    <s v="-"/>
    <m/>
    <s v="import"/>
    <s v=""/>
    <b v="0"/>
    <s v=""/>
  </r>
  <r>
    <s v="329d2c14-d48a-4412-8328-07fa46830cb2"/>
    <x v="371"/>
    <s v="11:49"/>
    <x v="157"/>
    <s v="expense"/>
    <s v="entertain_1781955063348_kx2f"/>
    <s v="kbank"/>
    <x v="1"/>
    <s v="เพิ่มส่วนต่าง advice"/>
    <m/>
    <s v="import"/>
    <s v=""/>
    <b v="0"/>
    <s v=""/>
  </r>
  <r>
    <s v="6cbd4d99-9029-4e53-8446-8d7ce9f5625d"/>
    <x v="372"/>
    <s v="11:36"/>
    <x v="617"/>
    <s v="expense"/>
    <s v="rc_cat_1781955063347_anhy_1781955063347_qnaz"/>
    <s v="kbank"/>
    <x v="1"/>
    <s v="-"/>
    <m/>
    <s v="import"/>
    <s v=""/>
    <b v="0"/>
    <s v=""/>
  </r>
  <r>
    <s v="2a6c0649-abed-4b26-9818-0212ba8ab526"/>
    <x v="372"/>
    <s v="11:43"/>
    <x v="618"/>
    <s v="expense"/>
    <s v="entertain_1781955063348_kx2f"/>
    <s v="kbank"/>
    <x v="1"/>
    <s v="windows 3436_x000D__x000A_advice 5238+7930"/>
    <m/>
    <s v="import"/>
    <s v=""/>
    <b v="0"/>
    <s v=""/>
  </r>
  <r>
    <s v="ec762521-dfa6-44b2-bea1-7b729ec4d638"/>
    <x v="372"/>
    <s v="11:46"/>
    <x v="619"/>
    <s v="expense"/>
    <s v="entertain_1781955063347_8r8e"/>
    <s v="kbank"/>
    <x v="1"/>
    <s v="dice throne"/>
    <m/>
    <s v="import"/>
    <s v=""/>
    <b v="0"/>
    <s v=""/>
  </r>
  <r>
    <s v="c588d247-c118-431f-bbab-c4d4a5aefac5"/>
    <x v="372"/>
    <s v="11:47"/>
    <x v="620"/>
    <s v="expense"/>
    <s v="entertain_1781955063348_32wr"/>
    <s v="kbank"/>
    <x v="1"/>
    <s v="-"/>
    <m/>
    <s v="import"/>
    <s v=""/>
    <b v="0"/>
    <s v=""/>
  </r>
  <r>
    <s v="407649db-3f8f-4763-b54e-1b2f32c2583b"/>
    <x v="372"/>
    <s v="13:07"/>
    <x v="621"/>
    <s v="expense"/>
    <s v="entertain_1781955063352_1jgx"/>
    <s v="kbank"/>
    <x v="1"/>
    <s v="switch"/>
    <m/>
    <s v="import"/>
    <s v=""/>
    <b v="0"/>
    <s v=""/>
  </r>
  <r>
    <s v="bfd1dfa9-8afa-4a66-b9b8-16cbee3db8da"/>
    <x v="372"/>
    <s v="13:37"/>
    <x v="22"/>
    <s v="transfer"/>
    <s v="other"/>
    <s v="kbank"/>
    <x v="2"/>
    <s v="-"/>
    <m/>
    <s v="import"/>
    <s v=""/>
    <b v="0"/>
    <s v=""/>
  </r>
  <r>
    <s v="b07d27b5-1eb0-4777-9259-b6c884f98da8"/>
    <x v="373"/>
    <s v="12:20"/>
    <x v="622"/>
    <s v="transfer"/>
    <s v="other"/>
    <s v="rc_acc_1781955063348_xd87"/>
    <x v="5"/>
    <s v="-"/>
    <m/>
    <s v="import"/>
    <s v=""/>
    <b v="0"/>
    <s v=""/>
  </r>
  <r>
    <s v="dd30c131-0883-459b-8325-7d0b8447c896"/>
    <x v="373"/>
    <s v="13:27"/>
    <x v="252"/>
    <s v="transfer"/>
    <s v="other"/>
    <s v="rc_acc_1781955063347_uxz4"/>
    <x v="4"/>
    <s v="-"/>
    <m/>
    <s v="import"/>
    <s v=""/>
    <b v="0"/>
    <s v=""/>
  </r>
  <r>
    <s v="2f4eea3f-eaac-4921-a704-2aee472d3c68"/>
    <x v="374"/>
    <s v="12:18"/>
    <x v="623"/>
    <s v="transfer"/>
    <s v="other"/>
    <s v="rc_acc_1781955063358_dohc"/>
    <x v="5"/>
    <s v="-"/>
    <m/>
    <s v="import"/>
    <s v=""/>
    <b v="0"/>
    <s v=""/>
  </r>
  <r>
    <s v="28421e00-7061-43da-a1b0-23426aa570e8"/>
    <x v="375"/>
    <s v="12:30"/>
    <x v="605"/>
    <s v="transfer"/>
    <s v="other"/>
    <s v="rc_acc_1781955063347_uxz4"/>
    <x v="2"/>
    <s v="paided"/>
    <m/>
    <s v="import"/>
    <s v=""/>
    <b v="0"/>
    <s v=""/>
  </r>
  <r>
    <s v="73f41b7d-a945-4f53-8c63-a8dd6b6f7ce6"/>
    <x v="376"/>
    <s v="00:00"/>
    <x v="387"/>
    <s v="expense"/>
    <s v="rc_cat_1781955063347_5qjb_1781955063348_laj8"/>
    <s v="rc_acc_1781955063347_sv7p"/>
    <x v="1"/>
    <s v="-"/>
    <m/>
    <s v="import"/>
    <s v=""/>
    <b v="0"/>
    <s v=""/>
  </r>
  <r>
    <s v="4eff64d1-2198-4948-ad6d-036a014a25e9"/>
    <x v="377"/>
    <s v="12:18"/>
    <x v="604"/>
    <s v="income"/>
    <s v="income_1781955063347_zblt"/>
    <s v="rc_acc_1781955063347_uxz4"/>
    <x v="1"/>
    <s v="-"/>
    <m/>
    <s v="import"/>
    <s v=""/>
    <b v="0"/>
    <s v=""/>
  </r>
  <r>
    <s v="b04687f7-9294-4da3-b3ca-99317ac13b10"/>
    <x v="378"/>
    <s v="16:10"/>
    <x v="624"/>
    <s v="expense"/>
    <s v="rc_cat_1781955063347_anhy_1781955063347_qnaz"/>
    <s v="rc_acc_1781955063347_uxz4"/>
    <x v="1"/>
    <s v="-"/>
    <m/>
    <s v="import"/>
    <s v=""/>
    <b v="0"/>
    <s v=""/>
  </r>
  <r>
    <s v="beb92095-6627-4461-bc5b-8f26ba3643e1"/>
    <x v="379"/>
    <s v="16:12"/>
    <x v="99"/>
    <s v="transfer"/>
    <s v="other"/>
    <s v="rc_acc_1781955063347_uxz4"/>
    <x v="10"/>
    <s v="set"/>
    <m/>
    <s v="import"/>
    <s v=""/>
    <b v="0"/>
    <s v=""/>
  </r>
  <r>
    <s v="0ee12cb1-5ae3-4a08-b87b-5850a00ded66"/>
    <x v="380"/>
    <s v="18:21"/>
    <x v="625"/>
    <s v="expense"/>
    <s v="entertain_1781955063352_1jgx"/>
    <s v="rc_acc_1781955063348_obza"/>
    <x v="1"/>
    <s v="-"/>
    <m/>
    <s v="import"/>
    <s v=""/>
    <b v="0"/>
    <s v=""/>
  </r>
  <r>
    <s v="6d989400-171e-4c74-82af-37c20e527910"/>
    <x v="381"/>
    <s v="17:42"/>
    <x v="626"/>
    <s v="expense"/>
    <s v="rc_cat_1781955063347_04qb_1781955063347_wt5p"/>
    <s v="rc_acc_1781955063347_uxz4"/>
    <x v="1"/>
    <s v="-"/>
    <m/>
    <s v="import"/>
    <s v=""/>
    <b v="0"/>
    <s v=""/>
  </r>
  <r>
    <s v="b261e815-fe80-4941-8949-efb7a2e70662"/>
    <x v="381"/>
    <s v="17:43"/>
    <x v="438"/>
    <s v="expense"/>
    <s v="rc_cat_1781955063347_anhy_1781955063350_fcpb"/>
    <s v="rc_acc_1781955063347_uxz4"/>
    <x v="1"/>
    <s v="-"/>
    <m/>
    <s v="import"/>
    <s v=""/>
    <b v="0"/>
    <s v=""/>
  </r>
  <r>
    <s v="3298f7d6-ed8a-49cc-a0ff-8bbfcbcc272f"/>
    <x v="381"/>
    <s v="17:47"/>
    <x v="627"/>
    <s v="expense"/>
    <s v="other_1781955063347_5s7r"/>
    <s v="rc_acc_1781955063347_uxz4"/>
    <x v="1"/>
    <s v="Difference"/>
    <m/>
    <s v="import"/>
    <s v=""/>
    <b v="0"/>
    <s v=""/>
  </r>
  <r>
    <s v="fd658d47-cdec-4c58-abb1-555442270c16"/>
    <x v="381"/>
    <s v="17:48"/>
    <x v="169"/>
    <s v="transfer"/>
    <s v="other"/>
    <s v="kbank"/>
    <x v="2"/>
    <s v="โจ๊กอุ้ย"/>
    <m/>
    <s v="import"/>
    <s v=""/>
    <b v="0"/>
    <s v=""/>
  </r>
  <r>
    <s v="6600e757-ec75-4710-8c75-2597dad8143c"/>
    <x v="381"/>
    <s v="17:59"/>
    <x v="628"/>
    <s v="expense"/>
    <s v="rc_cat_1781955063347_5qjb_1781955063347_tezk"/>
    <s v="rc_acc_1781955063357_rvam"/>
    <x v="1"/>
    <s v="-"/>
    <m/>
    <s v="import"/>
    <s v=""/>
    <b v="0"/>
    <s v=""/>
  </r>
  <r>
    <s v="1c6ad105-73d2-4453-a10d-d8ec0c954941"/>
    <x v="381"/>
    <s v="18:08"/>
    <x v="629"/>
    <s v="expense"/>
    <s v="other_1781955063347_5s7r"/>
    <s v="rc_acc_1781955063348_hnxg"/>
    <x v="1"/>
    <s v="Difference"/>
    <m/>
    <s v="import"/>
    <s v=""/>
    <b v="0"/>
    <s v=""/>
  </r>
  <r>
    <s v="f104a00f-c17f-46c5-8a7f-860df6296487"/>
    <x v="381"/>
    <s v="20:17"/>
    <x v="630"/>
    <s v="transfer"/>
    <s v="other"/>
    <s v="rc_acc_1781955063348_no9r"/>
    <x v="5"/>
    <s v="-"/>
    <m/>
    <s v="import"/>
    <s v=""/>
    <b v="0"/>
    <s v=""/>
  </r>
  <r>
    <s v="0af1b3d8-79d6-4c01-988f-571c2c70b392"/>
    <x v="381"/>
    <s v="20:19"/>
    <x v="631"/>
    <s v="transfer"/>
    <s v="other"/>
    <s v="rc_acc_1781955063348_hnxg"/>
    <x v="5"/>
    <s v="-"/>
    <m/>
    <s v="import"/>
    <s v=""/>
    <b v="0"/>
    <s v=""/>
  </r>
  <r>
    <s v="471685f1-70e2-4c3f-97c3-b152e6c85dd6"/>
    <x v="381"/>
    <s v="20:20"/>
    <x v="632"/>
    <s v="transfer"/>
    <s v="other"/>
    <s v="rc_acc_1781955063348_obza"/>
    <x v="5"/>
    <s v="-"/>
    <m/>
    <s v="import"/>
    <s v=""/>
    <b v="0"/>
    <s v=""/>
  </r>
  <r>
    <s v="6f3000a2-04b0-461e-b21d-1091cc95d40a"/>
    <x v="381"/>
    <s v="20:21"/>
    <x v="633"/>
    <s v="income"/>
    <s v="other_1781955063347_5s7r"/>
    <s v="rc_acc_1781955063348_obza"/>
    <x v="1"/>
    <s v="Difference"/>
    <m/>
    <s v="import"/>
    <s v=""/>
    <b v="0"/>
    <s v=""/>
  </r>
  <r>
    <s v="4dff4397-0601-4efc-8391-f5f19a2533bd"/>
    <x v="382"/>
    <s v="17:51"/>
    <x v="634"/>
    <s v="transfer"/>
    <s v="other"/>
    <s v="kbank"/>
    <x v="2"/>
    <s v="udomsuk walk new year party"/>
    <m/>
    <s v="import"/>
    <s v=""/>
    <b v="0"/>
    <s v=""/>
  </r>
  <r>
    <s v="d9bdb6ee-79f9-4e71-b3a8-108a77f71ffd"/>
    <x v="382"/>
    <s v="18:17"/>
    <x v="635"/>
    <s v="income"/>
    <s v="income_1781955063351_3ab8"/>
    <s v="rc_acc_1781955063348_no9r"/>
    <x v="1"/>
    <s v="-"/>
    <m/>
    <s v="import"/>
    <s v=""/>
    <b v="0"/>
    <s v=""/>
  </r>
  <r>
    <s v="1a31cffc-2ed6-41ed-920b-8b8e68a561ca"/>
    <x v="383"/>
    <s v="17:43"/>
    <x v="636"/>
    <s v="expense"/>
    <s v="rc_cat_1781955063347_anhy_1781955063347_qnaz"/>
    <s v="rc_acc_1781955063347_uxz4"/>
    <x v="1"/>
    <s v="song hong"/>
    <m/>
    <s v="import"/>
    <s v=""/>
    <b v="0"/>
    <s v=""/>
  </r>
  <r>
    <s v="8c170f4b-3540-4475-81f0-48d9d322e0fb"/>
    <x v="383"/>
    <s v="17:44"/>
    <x v="5"/>
    <s v="expense"/>
    <s v="rc_cat_1781955063347_anhy_1781955063347_qnaz"/>
    <s v="rc_acc_1781955063347_uxz4"/>
    <x v="1"/>
    <s v="-"/>
    <m/>
    <s v="import"/>
    <s v=""/>
    <b v="0"/>
    <s v=""/>
  </r>
  <r>
    <s v="e98a0b34-6eb4-46d3-9e9c-922527780964"/>
    <x v="384"/>
    <s v="00:00"/>
    <x v="306"/>
    <s v="transfer"/>
    <s v="other"/>
    <s v="rc_acc_1781955063347_uxz4"/>
    <x v="20"/>
    <s v="-"/>
    <m/>
    <s v="import"/>
    <s v=""/>
    <b v="0"/>
    <s v=""/>
  </r>
  <r>
    <s v="7b16edce-7fb3-4fbf-bf71-c06c408fdd12"/>
    <x v="384"/>
    <s v="00:00"/>
    <x v="637"/>
    <s v="expense"/>
    <s v="rc_cat_1781955063347_04qb_1781955063347_kgnn"/>
    <s v="rc_acc_1781955063347_uxz4"/>
    <x v="1"/>
    <s v="-"/>
    <m/>
    <s v="import"/>
    <s v=""/>
    <b v="0"/>
    <s v=""/>
  </r>
  <r>
    <s v="9cd12bc6-7d9b-4ddb-8123-9b15cfcaf108"/>
    <x v="384"/>
    <s v="00:00"/>
    <x v="638"/>
    <s v="expense"/>
    <s v="rc_cat_1781955063347_04qb_1781955063347_lu9b"/>
    <s v="rc_acc_1781955063347_uxz4"/>
    <x v="1"/>
    <s v="-"/>
    <m/>
    <s v="import"/>
    <s v=""/>
    <b v="0"/>
    <s v=""/>
  </r>
  <r>
    <s v="b6f253a9-2c25-4c4d-9d08-a0570b8bdd6f"/>
    <x v="384"/>
    <s v="00:00"/>
    <x v="128"/>
    <s v="transfer"/>
    <s v="other"/>
    <s v="rc_acc_1781955063347_uxz4"/>
    <x v="21"/>
    <s v="-"/>
    <m/>
    <s v="import"/>
    <s v=""/>
    <b v="0"/>
    <s v=""/>
  </r>
  <r>
    <s v="ae6f1d38-3f9f-45d4-ab67-0cbc958c80fe"/>
    <x v="384"/>
    <s v="00:00"/>
    <x v="31"/>
    <s v="transfer"/>
    <s v="other"/>
    <s v="rc_acc_1781955063347_uxz4"/>
    <x v="7"/>
    <s v="-"/>
    <m/>
    <s v="import"/>
    <s v=""/>
    <b v="0"/>
    <s v=""/>
  </r>
  <r>
    <s v="83230ffd-d3ea-4ce7-9186-51f9e59db3bd"/>
    <x v="384"/>
    <s v="00:00"/>
    <x v="613"/>
    <s v="transfer"/>
    <s v="other"/>
    <s v="rc_acc_1781955063347_uxz4"/>
    <x v="8"/>
    <s v="-"/>
    <m/>
    <s v="import"/>
    <s v=""/>
    <b v="0"/>
    <s v=""/>
  </r>
  <r>
    <s v="039d17ab-3b28-4d7d-9906-958d49261014"/>
    <x v="384"/>
    <s v="00:00"/>
    <x v="639"/>
    <s v="expense"/>
    <s v="rc_cat_1781955063347_04qb_1781955063350_acgf"/>
    <s v="rc_acc_1781955063347_uxz4"/>
    <x v="1"/>
    <s v="-"/>
    <m/>
    <s v="import"/>
    <s v=""/>
    <b v="0"/>
    <s v=""/>
  </r>
  <r>
    <s v="6c2652c5-b2ef-4af2-bfeb-bcd72a8f7e5e"/>
    <x v="384"/>
    <s v="00:00"/>
    <x v="614"/>
    <s v="income"/>
    <s v="income_1781955063347_5zxt"/>
    <s v="rc_acc_1781955063347_uxz4"/>
    <x v="1"/>
    <s v="-"/>
    <m/>
    <s v="import"/>
    <s v=""/>
    <b v="0"/>
    <s v=""/>
  </r>
  <r>
    <s v="cb591dc2-9604-42f4-af5b-e63c843d0958"/>
    <x v="384"/>
    <s v="17:44"/>
    <x v="640"/>
    <s v="income"/>
    <s v="income_1781955063347_zblt"/>
    <s v="rc_acc_1781955063347_uxz4"/>
    <x v="1"/>
    <s v="-"/>
    <m/>
    <s v="import"/>
    <s v=""/>
    <b v="0"/>
    <s v=""/>
  </r>
  <r>
    <s v="a4404849-d437-4ebf-bc5b-29536e43906a"/>
    <x v="384"/>
    <s v="17:45"/>
    <x v="19"/>
    <s v="transfer"/>
    <s v="other"/>
    <s v="rc_acc_1781955063347_uxz4"/>
    <x v="16"/>
    <s v="-"/>
    <m/>
    <s v="import"/>
    <s v=""/>
    <b v="0"/>
    <s v=""/>
  </r>
  <r>
    <s v="72e3a2c3-6896-4610-96ad-8d70bd143b97"/>
    <x v="384"/>
    <s v="18:04"/>
    <x v="641"/>
    <s v="income"/>
    <s v="income_1781955063347_zblt"/>
    <s v="rc_acc_1781955063348_hnxg"/>
    <x v="1"/>
    <s v="-"/>
    <m/>
    <s v="import"/>
    <s v=""/>
    <b v="0"/>
    <s v=""/>
  </r>
  <r>
    <s v="2a22fcd5-1d26-496e-a648-f4baa1952306"/>
    <x v="385"/>
    <s v="18:45"/>
    <x v="642"/>
    <s v="expense"/>
    <s v="rc_cat_1781955063347_5qjb_1781955063347_tezk"/>
    <s v="kbank"/>
    <x v="1"/>
    <s v="stark food"/>
    <m/>
    <s v="import"/>
    <s v=""/>
    <b v="0"/>
    <s v=""/>
  </r>
  <r>
    <s v="e50ec40e-4e84-4a18-88d2-1aea15ba544f"/>
    <x v="386"/>
    <s v="18:55"/>
    <x v="525"/>
    <s v="expense"/>
    <s v="entertain_1781955063348_kx2f"/>
    <s v="kbank"/>
    <x v="1"/>
    <s v="gashapon onepiece"/>
    <m/>
    <s v="import"/>
    <s v=""/>
    <b v="0"/>
    <s v=""/>
  </r>
  <r>
    <s v="143999eb-0c90-44a7-b7c0-ef012d2ffce3"/>
    <x v="387"/>
    <s v="18:39"/>
    <x v="643"/>
    <s v="expense"/>
    <s v="rc_cat_1781955063347_anhy_1781955063347_qnaz"/>
    <s v="kbank"/>
    <x v="1"/>
    <s v="-"/>
    <m/>
    <s v="import"/>
    <s v=""/>
    <b v="0"/>
    <s v=""/>
  </r>
  <r>
    <s v="6406a13f-c45b-4028-90a6-ef0b6f818782"/>
    <x v="388"/>
    <s v="19:17"/>
    <x v="317"/>
    <s v="expense"/>
    <s v="rc_cat_1781955063347_5qjb_1781955063347_tezk"/>
    <s v="rc_acc_1781955063347_uxz4"/>
    <x v="1"/>
    <s v="-"/>
    <m/>
    <s v="import"/>
    <s v=""/>
    <b v="0"/>
    <s v=""/>
  </r>
  <r>
    <s v="ffae1963-61e9-4f9a-a1f8-acf769cc7e9f"/>
    <x v="389"/>
    <s v="18:38"/>
    <x v="99"/>
    <s v="transfer"/>
    <s v="other"/>
    <s v="rc_acc_1781955063347_uxz4"/>
    <x v="10"/>
    <s v="TESG"/>
    <m/>
    <s v="import"/>
    <s v=""/>
    <b v="0"/>
    <s v=""/>
  </r>
  <r>
    <s v="18141a89-72d4-469f-98ce-5e7c5f096489"/>
    <x v="390"/>
    <s v="19:16"/>
    <x v="644"/>
    <s v="expense"/>
    <s v="rc_cat_1781955063347_04qb_1781955063347_wt5p"/>
    <s v="rc_acc_1781955063347_uxz4"/>
    <x v="1"/>
    <s v="-"/>
    <m/>
    <s v="import"/>
    <s v=""/>
    <b v="0"/>
    <s v=""/>
  </r>
  <r>
    <s v="d39bdc6d-3545-4a7f-93a8-a54b255785ab"/>
    <x v="390"/>
    <s v="19:17"/>
    <x v="645"/>
    <s v="expense"/>
    <s v="entertain_1781955063348_32wr"/>
    <s v="rc_acc_1781955063347_uxz4"/>
    <x v="1"/>
    <s v="-"/>
    <m/>
    <s v="import"/>
    <s v=""/>
    <b v="0"/>
    <s v=""/>
  </r>
  <r>
    <s v="199f8ed4-95ff-4623-bc6d-522ab3a6fbc6"/>
    <x v="391"/>
    <s v="18:39"/>
    <x v="315"/>
    <s v="transfer"/>
    <s v="other"/>
    <s v="kbank"/>
    <x v="12"/>
    <s v="-"/>
    <m/>
    <s v="import"/>
    <s v=""/>
    <b v="0"/>
    <s v=""/>
  </r>
  <r>
    <s v="c82506ab-5d91-4e28-ba7b-193c5c093903"/>
    <x v="391"/>
    <s v="18:39"/>
    <x v="646"/>
    <s v="income"/>
    <s v="income_1781955063347_zblt"/>
    <s v="kbank"/>
    <x v="1"/>
    <s v="-"/>
    <m/>
    <s v="import"/>
    <s v=""/>
    <b v="0"/>
    <s v=""/>
  </r>
  <r>
    <s v="00511adc-b3b1-4a35-a9fa-81d477995fcf"/>
    <x v="392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3d5df815-d5f3-4174-8908-cee2e9c72120"/>
    <x v="393"/>
    <s v="19:16"/>
    <x v="647"/>
    <s v="transfer"/>
    <s v="other"/>
    <s v="rc_acc_1781955063347_uxz4"/>
    <x v="13"/>
    <s v="-"/>
    <m/>
    <s v="import"/>
    <s v=""/>
    <b v="0"/>
    <s v=""/>
  </r>
  <r>
    <s v="db751f83-01ea-441a-bc8a-fe4f820945a9"/>
    <x v="394"/>
    <s v="13:28"/>
    <x v="648"/>
    <s v="expense"/>
    <s v="rc_cat_1781955063347_anhy_1781955063347_qnaz"/>
    <s v="kbank"/>
    <x v="1"/>
    <s v="-"/>
    <m/>
    <s v="import"/>
    <s v=""/>
    <b v="0"/>
    <s v=""/>
  </r>
  <r>
    <s v="ab86f496-65a4-49d5-a524-4b51bfc43c3d"/>
    <x v="394"/>
    <s v="19:09"/>
    <x v="5"/>
    <s v="expense"/>
    <s v="rc_cat_1781955063347_anhy_1781955063347_qnaz"/>
    <s v="rc_acc_1781955063347_uxz4"/>
    <x v="1"/>
    <s v="-"/>
    <m/>
    <s v="import"/>
    <s v=""/>
    <b v="0"/>
    <s v=""/>
  </r>
  <r>
    <s v="13f88806-dd34-43a9-a66c-79e53e425295"/>
    <x v="395"/>
    <s v="12:26"/>
    <x v="8"/>
    <s v="transfer"/>
    <s v="other"/>
    <s v="rc_acc_1781955063347_uxz4"/>
    <x v="4"/>
    <s v="-"/>
    <m/>
    <s v="import"/>
    <s v=""/>
    <b v="0"/>
    <s v=""/>
  </r>
  <r>
    <s v="aec42971-5ca7-4b0f-9c3a-cdb166972c24"/>
    <x v="395"/>
    <s v="18:27"/>
    <x v="649"/>
    <s v="expense"/>
    <s v="rc_cat_1781955063347_s4sz_1781955063347_9tpp"/>
    <s v="kbank"/>
    <x v="1"/>
    <s v="-"/>
    <m/>
    <s v="import"/>
    <s v=""/>
    <b v="0"/>
    <s v=""/>
  </r>
  <r>
    <s v="7a670bad-a780-4159-857f-041b63692db5"/>
    <x v="396"/>
    <s v="17:26"/>
    <x v="211"/>
    <s v="transfer"/>
    <s v="other"/>
    <s v="kbank"/>
    <x v="2"/>
    <s v="จองสิทเชี่ยวหลาน"/>
    <m/>
    <s v="import"/>
    <s v=""/>
    <b v="0"/>
    <s v=""/>
  </r>
  <r>
    <s v="40f1d641-1360-4d2f-b333-5476a6cb2ff2"/>
    <x v="396"/>
    <s v="19:07"/>
    <x v="650"/>
    <s v="expense"/>
    <s v="rc_cat_1781955063347_anhy_1781955063347_qnaz"/>
    <s v="rc_acc_1781955063347_uxz4"/>
    <x v="1"/>
    <s v="-"/>
    <m/>
    <s v="import"/>
    <s v=""/>
    <b v="0"/>
    <s v=""/>
  </r>
  <r>
    <s v="88e32352-c44e-40ba-ac61-ae5c505905d6"/>
    <x v="397"/>
    <s v="14:04"/>
    <x v="651"/>
    <s v="transfer"/>
    <s v="other"/>
    <s v="rc_acc_1781955063347_0qmn"/>
    <x v="4"/>
    <s v="-"/>
    <m/>
    <s v="import"/>
    <s v=""/>
    <b v="0"/>
    <s v=""/>
  </r>
  <r>
    <s v="10b02180-8ee1-42f9-a64a-ebae0bec7996"/>
    <x v="397"/>
    <s v="14:05"/>
    <x v="652"/>
    <s v="expense"/>
    <s v="rc_cat_1781955063347_5qjb_1781955063347_tezk"/>
    <s v="rc_acc_1781955063357_rvam"/>
    <x v="1"/>
    <s v="ยอดเดือน พย"/>
    <m/>
    <s v="import"/>
    <s v=""/>
    <b v="0"/>
    <s v=""/>
  </r>
  <r>
    <s v="0d2d1585-1925-44f1-9e99-7baee6ce1d8b"/>
    <x v="398"/>
    <s v="13:59"/>
    <x v="653"/>
    <s v="expense"/>
    <s v="rc_cat_1781955063347_anhy_1781955063348_k5l1"/>
    <s v="rc_acc_1781955063347_uxz4"/>
    <x v="1"/>
    <s v="datacamp"/>
    <m/>
    <s v="import"/>
    <s v=""/>
    <b v="0"/>
    <s v=""/>
  </r>
  <r>
    <s v="8103defa-1d71-447e-868a-b8dad5260609"/>
    <x v="398"/>
    <s v="19:07"/>
    <x v="654"/>
    <s v="expense"/>
    <s v="entertain_1781955063348_kx2f"/>
    <s v="rc_acc_1781955063347_uxz4"/>
    <x v="1"/>
    <s v="-"/>
    <m/>
    <s v="import"/>
    <s v=""/>
    <b v="0"/>
    <s v=""/>
  </r>
  <r>
    <s v="3ed05e98-ed2e-486e-8a30-35ce654ddf86"/>
    <x v="399"/>
    <s v="13:37"/>
    <x v="655"/>
    <s v="expense"/>
    <s v="rc_cat_1781955063347_5qjb_1781955063347_tezk"/>
    <s v="rc_acc_1781955063347_uxz4"/>
    <x v="1"/>
    <s v="-"/>
    <m/>
    <s v="import"/>
    <s v=""/>
    <b v="0"/>
    <s v=""/>
  </r>
  <r>
    <s v="a665cc68-0ce7-4d76-96db-d46c4b8a928b"/>
    <x v="400"/>
    <s v="13:36"/>
    <x v="656"/>
    <s v="transfer"/>
    <s v="other"/>
    <s v="rc_acc_1781955063347_uxz4"/>
    <x v="10"/>
    <s v="CPFP"/>
    <m/>
    <s v="import"/>
    <s v=""/>
    <b v="0"/>
    <s v=""/>
  </r>
  <r>
    <s v="17722577-18ce-451b-8227-03d9f25beb09"/>
    <x v="400"/>
    <s v="18:15"/>
    <x v="35"/>
    <s v="transfer"/>
    <s v="other"/>
    <s v="rc_acc_1781955063348_no9r"/>
    <x v="10"/>
    <s v="siri bond"/>
    <m/>
    <s v="import"/>
    <s v=""/>
    <b v="0"/>
    <s v=""/>
  </r>
  <r>
    <s v="d4538fc2-6390-4b03-a32c-ec5d53f077dd"/>
    <x v="401"/>
    <s v="13:45"/>
    <x v="185"/>
    <s v="expense"/>
    <s v="rc_cat_1781955063347_5qjb_1781955063347_tezk"/>
    <s v="kbank"/>
    <x v="1"/>
    <s v="-"/>
    <m/>
    <s v="import"/>
    <s v=""/>
    <b v="0"/>
    <s v=""/>
  </r>
  <r>
    <s v="f7a9d930-b11c-49aa-b1bb-c50114aabe77"/>
    <x v="402"/>
    <s v="00:00"/>
    <x v="200"/>
    <s v="expense"/>
    <s v="rc_cat_1781955063347_04qb_1781955063347_lu9b"/>
    <s v="rc_acc_1781955063347_uxz4"/>
    <x v="1"/>
    <s v="-"/>
    <m/>
    <s v="import"/>
    <s v=""/>
    <b v="0"/>
    <s v=""/>
  </r>
  <r>
    <s v="5644b433-3aa0-4cb3-8bd8-f7a03e9bac0c"/>
    <x v="402"/>
    <s v="00:00"/>
    <x v="657"/>
    <s v="expense"/>
    <s v="rc_cat_1781955063347_04qb_1781955063347_kgnn"/>
    <s v="rc_acc_1781955063347_uxz4"/>
    <x v="1"/>
    <s v="-"/>
    <m/>
    <s v="import"/>
    <s v=""/>
    <b v="0"/>
    <s v=""/>
  </r>
  <r>
    <s v="9b7e694b-24b0-4e03-81c7-97a0e7be727b"/>
    <x v="402"/>
    <s v="00:00"/>
    <x v="306"/>
    <s v="transfer"/>
    <s v="other"/>
    <s v="rc_acc_1781955063347_uxz4"/>
    <x v="20"/>
    <s v="-"/>
    <m/>
    <s v="import"/>
    <s v=""/>
    <b v="0"/>
    <s v=""/>
  </r>
  <r>
    <s v="266c58c8-54fa-4180-b663-d8d0e1a3eaa1"/>
    <x v="402"/>
    <s v="00:00"/>
    <x v="128"/>
    <s v="transfer"/>
    <s v="other"/>
    <s v="rc_acc_1781955063347_uxz4"/>
    <x v="21"/>
    <s v="-"/>
    <m/>
    <s v="import"/>
    <s v=""/>
    <b v="0"/>
    <s v=""/>
  </r>
  <r>
    <s v="df6727ee-32c9-41fb-8cbd-af6fc5c80f17"/>
    <x v="402"/>
    <s v="00:00"/>
    <x v="31"/>
    <s v="transfer"/>
    <s v="other"/>
    <s v="rc_acc_1781955063347_uxz4"/>
    <x v="7"/>
    <s v="-"/>
    <m/>
    <s v="import"/>
    <s v=""/>
    <b v="0"/>
    <s v=""/>
  </r>
  <r>
    <s v="deb6bbfb-23cb-489b-86e0-c2911fd7aab7"/>
    <x v="402"/>
    <s v="00:00"/>
    <x v="613"/>
    <s v="transfer"/>
    <s v="other"/>
    <s v="rc_acc_1781955063347_uxz4"/>
    <x v="8"/>
    <s v="-"/>
    <m/>
    <s v="import"/>
    <s v=""/>
    <b v="0"/>
    <s v=""/>
  </r>
  <r>
    <s v="f9d9caa4-4305-4054-bf9e-fddd33980125"/>
    <x v="402"/>
    <s v="00:00"/>
    <x v="639"/>
    <s v="expense"/>
    <s v="rc_cat_1781955063347_04qb_1781955063350_acgf"/>
    <s v="rc_acc_1781955063347_uxz4"/>
    <x v="1"/>
    <s v="-"/>
    <m/>
    <s v="import"/>
    <s v=""/>
    <b v="0"/>
    <s v=""/>
  </r>
  <r>
    <s v="d737fa92-8064-4737-8664-6dadc8e573e4"/>
    <x v="402"/>
    <s v="00:00"/>
    <x v="614"/>
    <s v="income"/>
    <s v="income_1781955063347_5zxt"/>
    <s v="rc_acc_1781955063347_uxz4"/>
    <x v="1"/>
    <s v="-"/>
    <m/>
    <s v="import"/>
    <s v=""/>
    <b v="0"/>
    <s v=""/>
  </r>
  <r>
    <s v="dd8c8c66-fbb9-4a32-abc4-75d513b400f3"/>
    <x v="402"/>
    <s v="00:00"/>
    <x v="658"/>
    <s v="expense"/>
    <s v="rc_cat_1781955063347_anhy_1781955063347_qnaz"/>
    <s v="rc_acc_1781955063347_uxz4"/>
    <x v="1"/>
    <s v="รักษาเกินสิทธิ"/>
    <m/>
    <s v="import"/>
    <s v=""/>
    <b v="0"/>
    <s v=""/>
  </r>
  <r>
    <s v="75fe4a34-9a13-4689-bd9f-7072d5a448c1"/>
    <x v="403"/>
    <s v="13:45"/>
    <x v="356"/>
    <s v="expense"/>
    <s v="rc_cat_1781955063347_5qjb_1781955063347_tezk"/>
    <s v="kbank"/>
    <x v="1"/>
    <s v="-"/>
    <m/>
    <s v="import"/>
    <s v=""/>
    <b v="0"/>
    <s v=""/>
  </r>
  <r>
    <s v="7ce2b0fd-3486-44c1-b58f-635860ab9930"/>
    <x v="404"/>
    <s v="13:48"/>
    <x v="31"/>
    <s v="transfer"/>
    <s v="other"/>
    <s v="rc_acc_1781955063351_8khv"/>
    <x v="4"/>
    <s v="-"/>
    <m/>
    <s v="import"/>
    <s v=""/>
    <b v="0"/>
    <s v=""/>
  </r>
  <r>
    <s v="0afadde3-88d6-4d1c-ba37-c13fa489dccb"/>
    <x v="405"/>
    <s v="13:46"/>
    <x v="659"/>
    <s v="transfer"/>
    <s v="other"/>
    <s v="kbank"/>
    <x v="2"/>
    <s v="รสดีเด็ด ของอุ้ย"/>
    <m/>
    <s v="import"/>
    <s v=""/>
    <b v="0"/>
    <s v=""/>
  </r>
  <r>
    <s v="56bcfd28-1f71-40f2-a104-6a6395e569a8"/>
    <x v="406"/>
    <s v="18:03"/>
    <x v="5"/>
    <s v="transfer"/>
    <s v="other"/>
    <s v="rc_acc_1781955063348_hnxg"/>
    <x v="12"/>
    <s v="-"/>
    <m/>
    <s v="import"/>
    <s v=""/>
    <b v="0"/>
    <s v=""/>
  </r>
  <r>
    <s v="329c967c-de41-4196-8bd2-57437d6aadf5"/>
    <x v="407"/>
    <s v="16:10"/>
    <x v="315"/>
    <s v="expense"/>
    <s v="rc_cat_1781955063347_5qjb_1781955063347_irl1"/>
    <s v="rc_acc_1781955063347_e3zv"/>
    <x v="1"/>
    <s v="-"/>
    <m/>
    <s v="import"/>
    <s v=""/>
    <b v="0"/>
    <s v=""/>
  </r>
  <r>
    <s v="fc8f9b1d-e2ad-463b-84fd-c32ca1d5381e"/>
    <x v="408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d7955805-eed2-445a-b874-a68fa01c8497"/>
    <x v="408"/>
    <s v="16:09"/>
    <x v="315"/>
    <s v="transfer"/>
    <s v="other"/>
    <s v="kbank"/>
    <x v="12"/>
    <s v="-"/>
    <m/>
    <s v="import"/>
    <s v=""/>
    <b v="0"/>
    <s v=""/>
  </r>
  <r>
    <s v="0a61a668-f243-4992-8b0b-d7e75e072b2f"/>
    <x v="409"/>
    <s v="16:09"/>
    <x v="660"/>
    <s v="transfer"/>
    <s v="other"/>
    <s v="kbank"/>
    <x v="2"/>
    <s v="lineshop"/>
    <m/>
    <s v="import"/>
    <s v=""/>
    <b v="0"/>
    <s v=""/>
  </r>
  <r>
    <s v="307e0202-adec-4f38-9442-9ba1454cd49a"/>
    <x v="410"/>
    <s v="10:03"/>
    <x v="182"/>
    <s v="transfer"/>
    <s v="other"/>
    <s v="rc_acc_1781955063347_uxz4"/>
    <x v="12"/>
    <s v="-"/>
    <m/>
    <s v="import"/>
    <s v=""/>
    <b v="0"/>
    <s v=""/>
  </r>
  <r>
    <s v="e0b2ee1a-c133-454a-bf75-fc108da2bbf6"/>
    <x v="410"/>
    <s v="18:17"/>
    <x v="315"/>
    <s v="transfer"/>
    <s v="other"/>
    <s v="rc_acc_1781955063348_no9r"/>
    <x v="12"/>
    <s v="-"/>
    <m/>
    <s v="import"/>
    <s v=""/>
    <b v="0"/>
    <s v=""/>
  </r>
  <r>
    <s v="a17bef37-1ee4-4cd4-9ef1-bfd2b408b75b"/>
    <x v="411"/>
    <s v="16:08"/>
    <x v="602"/>
    <s v="expense"/>
    <s v="rc_cat_1781955063347_anhy_1781955063348_k5l1"/>
    <s v="kbank"/>
    <x v="1"/>
    <s v="-"/>
    <m/>
    <s v="import"/>
    <s v=""/>
    <b v="0"/>
    <s v=""/>
  </r>
  <r>
    <s v="ed3b9006-23ed-4817-9ffb-cc91ec9906fe"/>
    <x v="412"/>
    <s v="11:19"/>
    <x v="661"/>
    <s v="expense"/>
    <s v="other_1781955063347_5s7r"/>
    <s v="rc_acc_1781955063347_0qmn"/>
    <x v="1"/>
    <s v="Difference"/>
    <m/>
    <s v="import"/>
    <s v=""/>
    <b v="0"/>
    <s v=""/>
  </r>
  <r>
    <s v="b1e35b77-6f82-4d82-bd57-7dfd7a23dd84"/>
    <x v="412"/>
    <s v="12:35"/>
    <x v="565"/>
    <s v="transfer"/>
    <s v="other"/>
    <s v="rc_acc_1781955063347_kjxt"/>
    <x v="2"/>
    <s v="ยอดของฝา"/>
    <m/>
    <s v="import"/>
    <s v=""/>
    <b v="0"/>
    <s v=""/>
  </r>
  <r>
    <s v="97dd5dc1-df4b-47cf-9552-1233e57308b0"/>
    <x v="412"/>
    <s v="13:29"/>
    <x v="662"/>
    <s v="transfer"/>
    <s v="other"/>
    <s v="rc_acc_1781955063347_uxz4"/>
    <x v="2"/>
    <s v="klook zipair"/>
    <m/>
    <s v="import"/>
    <s v=""/>
    <b v="0"/>
    <s v=""/>
  </r>
  <r>
    <s v="73809a2a-00cb-4ca4-8ae8-43754fb3915e"/>
    <x v="412"/>
    <s v="13:30"/>
    <x v="387"/>
    <s v="expense"/>
    <s v="rc_cat_1781955063347_5qjb_1781955063348_laj8"/>
    <s v="rc_acc_1781955063347_uxz4"/>
    <x v="1"/>
    <s v="-"/>
    <m/>
    <s v="import"/>
    <s v=""/>
    <b v="0"/>
    <s v=""/>
  </r>
  <r>
    <s v="fd917de8-a206-4484-a3e8-64c1d7fda8aa"/>
    <x v="412"/>
    <s v="13:30"/>
    <x v="663"/>
    <s v="expense"/>
    <s v="rc_cat_1781955063347_anhy_1781955063347_qnaz"/>
    <s v="rc_acc_1781955063347_uxz4"/>
    <x v="1"/>
    <s v="ชดเชยเงินสดให้หงค่า ทา"/>
    <m/>
    <s v="import"/>
    <s v=""/>
    <b v="0"/>
    <s v=""/>
  </r>
  <r>
    <s v="736abe2a-5ecf-415f-9bdf-da9c63f6c1b9"/>
    <x v="412"/>
    <s v="13:37"/>
    <x v="617"/>
    <s v="expense"/>
    <s v="rc_cat_1781955063347_anhy_1781955063347_qnaz"/>
    <s v="rc_acc_1781955063347_uxz4"/>
    <x v="1"/>
    <s v="ค่าโทรศัพท์แม่"/>
    <m/>
    <s v="import"/>
    <s v=""/>
    <b v="0"/>
    <s v=""/>
  </r>
  <r>
    <s v="cd3e3900-4abf-419b-aef4-1832b275f1b5"/>
    <x v="412"/>
    <s v="18:59"/>
    <x v="305"/>
    <s v="expense"/>
    <s v="rc_cat_1781955063347_anhy_1781955063347_qnaz"/>
    <s v="rc_acc_1781955063347_e3zv"/>
    <x v="1"/>
    <s v="-"/>
    <m/>
    <s v="import"/>
    <s v=""/>
    <b v="0"/>
    <s v=""/>
  </r>
  <r>
    <s v="a461f961-d789-4b85-88a8-d36645676195"/>
    <x v="413"/>
    <s v="08:51"/>
    <x v="664"/>
    <s v="transfer"/>
    <s v="other"/>
    <s v="kbank"/>
    <x v="24"/>
    <s v="-"/>
    <m/>
    <s v="import"/>
    <s v=""/>
    <b v="0"/>
    <s v=""/>
  </r>
  <r>
    <s v="ea7d5956-96ba-484d-b2ed-a7bd4b4268c3"/>
    <x v="413"/>
    <s v="11:10"/>
    <x v="665"/>
    <s v="transfer"/>
    <s v="other"/>
    <s v="rc_acc_1781955063347_uxz4"/>
    <x v="19"/>
    <s v="-"/>
    <m/>
    <s v="import"/>
    <s v=""/>
    <b v="0"/>
    <s v=""/>
  </r>
  <r>
    <s v="babeab35-8248-4ec6-9a2a-a079155b0fe3"/>
    <x v="413"/>
    <s v="11:11"/>
    <x v="666"/>
    <s v="expense"/>
    <s v="rc_cat_1781955063347_04qb_1781955063347_wt5p"/>
    <s v="rc_acc_1781955063347_uxz4"/>
    <x v="1"/>
    <s v="-"/>
    <m/>
    <s v="import"/>
    <s v=""/>
    <b v="0"/>
    <s v=""/>
  </r>
  <r>
    <s v="94e62a6c-7791-41e0-86aa-8e6c36639e18"/>
    <x v="413"/>
    <s v="11:11"/>
    <x v="650"/>
    <s v="transfer"/>
    <s v="other"/>
    <s v="rc_acc_1781955063347_uxz4"/>
    <x v="25"/>
    <s v="-"/>
    <m/>
    <s v="import"/>
    <s v=""/>
    <b v="0"/>
    <s v=""/>
  </r>
  <r>
    <s v="3ec8015d-ae23-42ae-b343-43c7e6c2cd45"/>
    <x v="413"/>
    <s v="11:11"/>
    <x v="667"/>
    <s v="expense"/>
    <s v="entertain_1781955063347_8r8e"/>
    <s v="rc_acc_1781955063347_uxz4"/>
    <x v="1"/>
    <s v="งาน CMON"/>
    <m/>
    <s v="import"/>
    <s v=""/>
    <b v="0"/>
    <s v=""/>
  </r>
  <r>
    <s v="5be6ca10-fbe6-4b52-8124-d5124fe1b326"/>
    <x v="413"/>
    <s v="16:00"/>
    <x v="35"/>
    <s v="transfer"/>
    <s v="other"/>
    <s v="rc_acc_1781955063347_uxz4"/>
    <x v="4"/>
    <s v="-"/>
    <m/>
    <s v="import"/>
    <s v=""/>
    <b v="0"/>
    <s v=""/>
  </r>
  <r>
    <s v="60701231-4a94-4fc4-ad2f-94c1fbc25125"/>
    <x v="413"/>
    <s v="16:00"/>
    <x v="668"/>
    <s v="transfer"/>
    <s v="other"/>
    <s v="kbank"/>
    <x v="12"/>
    <s v="-"/>
    <m/>
    <s v="import"/>
    <s v=""/>
    <b v="0"/>
    <s v=""/>
  </r>
  <r>
    <s v="23b836af-2e1a-4b9c-8ce5-2de1c229cb55"/>
    <x v="414"/>
    <s v="11:00"/>
    <x v="356"/>
    <s v="expense"/>
    <s v="rc_cat_1781955063347_5qjb_1781955063347_tezk"/>
    <s v="kbank"/>
    <x v="1"/>
    <s v="-"/>
    <m/>
    <s v="import"/>
    <s v=""/>
    <b v="0"/>
    <s v=""/>
  </r>
  <r>
    <s v="a73778e3-369d-4136-a07d-791f52ad53eb"/>
    <x v="415"/>
    <s v="11:10"/>
    <x v="669"/>
    <s v="expense"/>
    <s v="rc_cat_1781955063347_anhy_1781955063347_qnaz"/>
    <s v="rc_acc_1781955063347_uxz4"/>
    <x v="1"/>
    <s v="ค่ารักษาป๊า"/>
    <m/>
    <s v="import"/>
    <s v=""/>
    <b v="0"/>
    <s v=""/>
  </r>
  <r>
    <s v="6d40d621-1736-49a1-a1a7-b5562f65736c"/>
    <x v="416"/>
    <s v="10:57"/>
    <x v="234"/>
    <s v="transfer"/>
    <s v="other"/>
    <s v="kbank"/>
    <x v="6"/>
    <s v="-"/>
    <m/>
    <s v="import"/>
    <s v=""/>
    <b v="0"/>
    <s v=""/>
  </r>
  <r>
    <s v="96d31f50-2ba0-4c7d-b0bb-7732468487dd"/>
    <x v="416"/>
    <s v="11:31"/>
    <x v="670"/>
    <s v="expense"/>
    <s v="rc_cat_1781955063347_5qjb_1781955063347_tezk"/>
    <s v="rc_acc_1781955063357_rvam"/>
    <x v="1"/>
    <s v="-"/>
    <m/>
    <s v="import"/>
    <s v=""/>
    <b v="0"/>
    <s v=""/>
  </r>
  <r>
    <s v="51f81828-6747-4a65-a1ed-ed46cdde8463"/>
    <x v="417"/>
    <s v="11:09"/>
    <x v="671"/>
    <s v="transfer"/>
    <s v="other"/>
    <s v="advance"/>
    <x v="5"/>
    <s v="ชาบูจากริด"/>
    <m/>
    <s v="import"/>
    <s v=""/>
    <b v="0"/>
    <s v=""/>
  </r>
  <r>
    <s v="a1a89056-90a8-4c41-b662-5af3874f8996"/>
    <x v="418"/>
    <s v="10:57"/>
    <x v="542"/>
    <s v="expense"/>
    <s v="rc_cat_1781955063347_5qjb_1781955063347_tezk"/>
    <s v="kbank"/>
    <x v="1"/>
    <s v="-"/>
    <m/>
    <s v="import"/>
    <s v=""/>
    <b v="0"/>
    <s v=""/>
  </r>
  <r>
    <s v="5ea40c08-6e82-40d9-9d99-9eea9c7af23e"/>
    <x v="419"/>
    <s v="00:00"/>
    <x v="672"/>
    <s v="expense"/>
    <s v="rc_cat_1781955063347_04qb_1781955063347_lu9b"/>
    <s v="rc_acc_1781955063347_uxz4"/>
    <x v="1"/>
    <s v="-"/>
    <m/>
    <s v="import"/>
    <s v=""/>
    <b v="0"/>
    <s v=""/>
  </r>
  <r>
    <s v="758fb997-c425-4f7d-a3c0-6f32ba524464"/>
    <x v="419"/>
    <s v="00:00"/>
    <x v="673"/>
    <s v="expense"/>
    <s v="rc_cat_1781955063347_04qb_1781955063347_kgnn"/>
    <s v="rc_acc_1781955063347_uxz4"/>
    <x v="1"/>
    <s v="-"/>
    <m/>
    <s v="import"/>
    <s v=""/>
    <b v="0"/>
    <s v=""/>
  </r>
  <r>
    <s v="408bd2b6-eba3-47d2-92b5-fd340b8e3a4a"/>
    <x v="419"/>
    <s v="00:00"/>
    <x v="306"/>
    <s v="transfer"/>
    <s v="other"/>
    <s v="rc_acc_1781955063347_uxz4"/>
    <x v="20"/>
    <s v="-"/>
    <m/>
    <s v="import"/>
    <s v=""/>
    <b v="0"/>
    <s v=""/>
  </r>
  <r>
    <s v="0c7613d4-7561-4fd8-bfe0-11c84b1f0fd4"/>
    <x v="419"/>
    <s v="00:00"/>
    <x v="128"/>
    <s v="transfer"/>
    <s v="other"/>
    <s v="rc_acc_1781955063347_uxz4"/>
    <x v="21"/>
    <s v="-"/>
    <m/>
    <s v="import"/>
    <s v=""/>
    <b v="0"/>
    <s v=""/>
  </r>
  <r>
    <s v="9a490082-148b-418a-a95e-7cb9587f3b50"/>
    <x v="419"/>
    <s v="00:00"/>
    <x v="31"/>
    <s v="transfer"/>
    <s v="other"/>
    <s v="rc_acc_1781955063347_uxz4"/>
    <x v="7"/>
    <s v="-"/>
    <m/>
    <s v="import"/>
    <s v=""/>
    <b v="0"/>
    <s v=""/>
  </r>
  <r>
    <s v="ff456924-bbaa-430e-8007-83216e3bffb1"/>
    <x v="419"/>
    <s v="00:00"/>
    <x v="613"/>
    <s v="transfer"/>
    <s v="other"/>
    <s v="rc_acc_1781955063347_uxz4"/>
    <x v="8"/>
    <s v="-"/>
    <m/>
    <s v="import"/>
    <s v=""/>
    <b v="0"/>
    <s v=""/>
  </r>
  <r>
    <s v="276cc8c9-99ae-4c02-a5c5-e5fbf2449303"/>
    <x v="419"/>
    <s v="00:00"/>
    <x v="639"/>
    <s v="expense"/>
    <s v="rc_cat_1781955063347_04qb_1781955063350_acgf"/>
    <s v="rc_acc_1781955063347_uxz4"/>
    <x v="1"/>
    <s v="-"/>
    <m/>
    <s v="import"/>
    <s v=""/>
    <b v="0"/>
    <s v=""/>
  </r>
  <r>
    <s v="bff6d8c7-f306-4a7c-b64a-6f8b339a26e8"/>
    <x v="419"/>
    <s v="00:00"/>
    <x v="614"/>
    <s v="income"/>
    <s v="income_1781955063347_5zxt"/>
    <s v="rc_acc_1781955063347_uxz4"/>
    <x v="1"/>
    <s v="-"/>
    <m/>
    <s v="import"/>
    <s v=""/>
    <b v="0"/>
    <s v=""/>
  </r>
  <r>
    <s v="9d7836f2-6c52-482d-b164-c37f48d4483c"/>
    <x v="419"/>
    <s v="00:00"/>
    <x v="674"/>
    <s v="expense"/>
    <s v="rc_cat_1781955063347_anhy_1781955063347_qnaz"/>
    <s v="rc_acc_1781955063347_uxz4"/>
    <x v="1"/>
    <s v="รักษาเกินสิทธิ"/>
    <m/>
    <s v="import"/>
    <s v=""/>
    <b v="0"/>
    <s v=""/>
  </r>
  <r>
    <s v="d6fe2d6b-2a2e-4efd-86c0-f3d983f08dd8"/>
    <x v="419"/>
    <s v="18:06"/>
    <x v="99"/>
    <s v="transfer"/>
    <s v="other"/>
    <s v="rc_acc_1781955063348_hnxg"/>
    <x v="10"/>
    <s v="-"/>
    <m/>
    <s v="import"/>
    <s v=""/>
    <b v="0"/>
    <s v=""/>
  </r>
  <r>
    <s v="41e95da3-b97e-4fc7-b785-ea3f9d3cce57"/>
    <x v="420"/>
    <s v="10:47"/>
    <x v="634"/>
    <s v="expense"/>
    <s v="entertain_1781955063347_8r8e"/>
    <s v="kbank"/>
    <x v="1"/>
    <s v="monolith arena"/>
    <m/>
    <s v="import"/>
    <s v=""/>
    <b v="0"/>
    <s v=""/>
  </r>
  <r>
    <s v="b5f73914-bbef-4d19-bfea-22c8b8a9e931"/>
    <x v="420"/>
    <s v="11:07"/>
    <x v="675"/>
    <s v="transfer"/>
    <s v="other"/>
    <s v="advance"/>
    <x v="5"/>
    <s v="อุ้ยโอนให้"/>
    <m/>
    <s v="import"/>
    <s v=""/>
    <b v="0"/>
    <s v=""/>
  </r>
  <r>
    <s v="ad537b63-3f39-41d5-b30e-2e09147382a6"/>
    <x v="420"/>
    <s v="11:07"/>
    <x v="19"/>
    <s v="transfer"/>
    <s v="other"/>
    <s v="rc_acc_1781955063347_uxz4"/>
    <x v="16"/>
    <s v="-"/>
    <m/>
    <s v="import"/>
    <s v=""/>
    <b v="0"/>
    <s v=""/>
  </r>
  <r>
    <s v="57eabd09-972c-421f-a613-1c9bb1f0e452"/>
    <x v="421"/>
    <s v="21:14"/>
    <x v="387"/>
    <s v="transfer"/>
    <s v="other"/>
    <s v="rc_acc_1781955063347_uxz4"/>
    <x v="17"/>
    <s v="-"/>
    <m/>
    <s v="import"/>
    <s v=""/>
    <b v="0"/>
    <s v=""/>
  </r>
  <r>
    <s v="507199c1-3712-4b20-ad72-16e031423bfa"/>
    <x v="421"/>
    <s v="21:18"/>
    <x v="676"/>
    <s v="transfer"/>
    <s v="other"/>
    <s v="advance"/>
    <x v="5"/>
    <s v="หง ส่วนทริป ญป"/>
    <m/>
    <s v="import"/>
    <s v=""/>
    <b v="0"/>
    <s v=""/>
  </r>
  <r>
    <s v="d808781a-83f1-4ca2-b5bd-9811d454eb14"/>
    <x v="421"/>
    <s v="21:35"/>
    <x v="67"/>
    <s v="expense"/>
    <s v="entertain_1781955063352_1jgx"/>
    <s v="kbank"/>
    <x v="1"/>
    <s v="google play pass"/>
    <m/>
    <s v="import"/>
    <s v=""/>
    <b v="0"/>
    <s v=""/>
  </r>
  <r>
    <s v="87d922a9-ebef-4de4-a136-e621c648f544"/>
    <x v="422"/>
    <s v="12:46"/>
    <x v="677"/>
    <s v="expense"/>
    <s v="rc_cat_1781955063347_5qjb_1781955063347_tezk"/>
    <s v="kbank"/>
    <x v="1"/>
    <s v="-"/>
    <m/>
    <s v="import"/>
    <s v=""/>
    <b v="0"/>
    <s v=""/>
  </r>
  <r>
    <s v="1fe2c4a6-dc77-4ad4-befa-4d3f0d9ed46f"/>
    <x v="422"/>
    <s v="18:07"/>
    <x v="678"/>
    <s v="income"/>
    <s v="income_1781955063347_zblt"/>
    <s v="rc_acc_1781955063348_hnxg"/>
    <x v="1"/>
    <s v="-"/>
    <m/>
    <s v="import"/>
    <s v=""/>
    <b v="0"/>
    <s v=""/>
  </r>
  <r>
    <s v="9f8ea7a1-bd77-4753-b3e8-96b0cee389df"/>
    <x v="423"/>
    <s v="21:19"/>
    <x v="35"/>
    <s v="income"/>
    <s v="income_1781955063347_zblt"/>
    <s v="rc_acc_1781955063347_uxz4"/>
    <x v="1"/>
    <s v="เจ๊กุลช่วย"/>
    <m/>
    <s v="import"/>
    <s v=""/>
    <b v="0"/>
    <s v=""/>
  </r>
  <r>
    <s v="067c43f9-ba4f-4085-aa8f-3e06cbaa47f9"/>
    <x v="424"/>
    <s v="12:47"/>
    <x v="169"/>
    <s v="expense"/>
    <s v="rc_cat_1781955063347_5qjb_1781955063347_tezk"/>
    <s v="kbank"/>
    <x v="1"/>
    <s v="-"/>
    <m/>
    <s v="import"/>
    <s v=""/>
    <b v="0"/>
    <s v=""/>
  </r>
  <r>
    <s v="527887bd-4cdc-456a-a432-e8bd752c25b9"/>
    <x v="425"/>
    <s v="21:22"/>
    <x v="679"/>
    <s v="transfer"/>
    <s v="other"/>
    <s v="rc_acc_1781955063357_rvam"/>
    <x v="5"/>
    <s v="-"/>
    <m/>
    <s v="import"/>
    <s v=""/>
    <b v="0"/>
    <s v=""/>
  </r>
  <r>
    <s v="8a75b21e-6bdc-46d0-bed1-db05e7e22204"/>
    <x v="426"/>
    <s v="12:03"/>
    <x v="680"/>
    <s v="expense"/>
    <s v="rc_cat_1781955063347_5qjb_1781955063347_tezk"/>
    <s v="rc_acc_1781955063353_k5yx"/>
    <x v="1"/>
    <s v="-"/>
    <m/>
    <s v="import"/>
    <s v=""/>
    <b v="0"/>
    <s v=""/>
  </r>
  <r>
    <s v="8bc3204e-8359-4adb-9b0b-207f385a78d6"/>
    <x v="426"/>
    <s v="12:12"/>
    <x v="681"/>
    <s v="expense"/>
    <s v="entertain_1781955063348_32wr"/>
    <s v="rc_acc_1781955063353_k5yx"/>
    <x v="1"/>
    <s v="-"/>
    <m/>
    <s v="import"/>
    <s v=""/>
    <b v="0"/>
    <s v=""/>
  </r>
  <r>
    <s v="5399d3a9-82cd-43a7-9e87-bf0d1fc90e76"/>
    <x v="426"/>
    <s v="12:13"/>
    <x v="682"/>
    <s v="expense"/>
    <s v="entertain_1781955063348_kx2f"/>
    <s v="rc_acc_1781955063353_k5yx"/>
    <x v="1"/>
    <s v="กาชา"/>
    <m/>
    <s v="import"/>
    <s v=""/>
    <b v="0"/>
    <s v=""/>
  </r>
  <r>
    <s v="a80e782c-4d6f-45a5-a58e-7ca45fd45750"/>
    <x v="426"/>
    <s v="12:15"/>
    <x v="683"/>
    <s v="expense"/>
    <s v="entertain_1781955063348_kx2f"/>
    <s v="rc_acc_1781955063353_k5yx"/>
    <x v="1"/>
    <s v="-"/>
    <m/>
    <s v="import"/>
    <s v=""/>
    <b v="0"/>
    <s v=""/>
  </r>
  <r>
    <s v="a1158c56-cf93-43f0-9c39-19d219f14fc2"/>
    <x v="426"/>
    <s v="21:14"/>
    <x v="684"/>
    <s v="transfer"/>
    <s v="other"/>
    <s v="advance"/>
    <x v="5"/>
    <s v="ทริปหัวหิน ส่วน mariage"/>
    <m/>
    <s v="import"/>
    <s v=""/>
    <b v="0"/>
    <s v=""/>
  </r>
  <r>
    <s v="48dbae30-9bd1-4ab5-82b0-a18caa2ae964"/>
    <x v="426"/>
    <s v="21:15"/>
    <x v="8"/>
    <s v="transfer"/>
    <s v="other"/>
    <s v="advance"/>
    <x v="5"/>
    <s v="ทริปหัวหิน ส่วนเฟิน"/>
    <m/>
    <s v="import"/>
    <s v=""/>
    <b v="0"/>
    <s v=""/>
  </r>
  <r>
    <s v="42129213-7d4a-42a1-a336-c4ae6911cd74"/>
    <x v="427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444e667b-b756-437c-8b6a-8d0427ccd0d0"/>
    <x v="428"/>
    <s v="12:37"/>
    <x v="685"/>
    <s v="expense"/>
    <s v="rc_cat_1781955063347_5qjb_1781955063347_irl1"/>
    <s v="rc_acc_1781955063347_kjxt"/>
    <x v="1"/>
    <s v="-"/>
    <m/>
    <s v="import"/>
    <s v=""/>
    <b v="0"/>
    <s v=""/>
  </r>
  <r>
    <s v="13e4d2ad-0428-4672-adb1-ec408f9b1bb5"/>
    <x v="428"/>
    <s v="20:29"/>
    <x v="31"/>
    <s v="expense"/>
    <s v="rc_cat_1781955063347_5qjb_1781955063347_tezk"/>
    <s v="kbank"/>
    <x v="1"/>
    <s v="-"/>
    <m/>
    <s v="import"/>
    <s v=""/>
    <b v="0"/>
    <s v=""/>
  </r>
  <r>
    <s v="b039194d-65f8-4874-af40-4b4a7ed91ca9"/>
    <x v="429"/>
    <s v="18:06"/>
    <x v="602"/>
    <s v="transfer"/>
    <s v="other"/>
    <s v="rc_acc_1781955063348_hnxg"/>
    <x v="12"/>
    <s v="-"/>
    <m/>
    <s v="import"/>
    <s v=""/>
    <b v="0"/>
    <s v=""/>
  </r>
  <r>
    <s v="0a1bfd1f-8476-45f4-aee2-50c32c203158"/>
    <x v="430"/>
    <s v="11:19"/>
    <x v="19"/>
    <s v="expense"/>
    <s v="rc_cat_1781955063347_anhy_1781955063348_k5l1"/>
    <s v="rc_acc_1781955063348_no9r"/>
    <x v="1"/>
    <s v="-"/>
    <m/>
    <s v="import"/>
    <s v=""/>
    <b v="0"/>
    <s v=""/>
  </r>
  <r>
    <s v="a5f5fe6a-45cf-4f05-864f-c335ae0bcfb6"/>
    <x v="431"/>
    <s v="12:55"/>
    <x v="686"/>
    <s v="transfer"/>
    <s v="other"/>
    <s v="kbank"/>
    <x v="2"/>
    <s v="เจ๊นง 1720 ยอดอื่น"/>
    <m/>
    <s v="import"/>
    <s v=""/>
    <b v="0"/>
    <s v=""/>
  </r>
  <r>
    <s v="91a28db4-c77f-43d0-b5d9-0c24d1b25175"/>
    <x v="431"/>
    <s v="15:54"/>
    <x v="169"/>
    <s v="expense"/>
    <s v="rc_cat_1781955063347_5qjb_1781955063347_tezk"/>
    <s v="kbank"/>
    <x v="1"/>
    <s v="-"/>
    <m/>
    <s v="import"/>
    <s v=""/>
    <b v="0"/>
    <s v=""/>
  </r>
  <r>
    <s v="0d8c9729-279b-420c-818a-4564d7e35ef2"/>
    <x v="431"/>
    <s v="20:48"/>
    <x v="438"/>
    <s v="transfer"/>
    <s v="other"/>
    <s v="kbank"/>
    <x v="25"/>
    <s v="-"/>
    <m/>
    <s v="import"/>
    <s v=""/>
    <b v="0"/>
    <s v=""/>
  </r>
  <r>
    <s v="6f276aa9-b1d4-4b7f-9b3e-34f092fe703c"/>
    <x v="431"/>
    <s v="20:49"/>
    <x v="687"/>
    <s v="expense"/>
    <s v="rc_cat_1781955063347_04qb_1781955063347_wt5p"/>
    <s v="kbank"/>
    <x v="1"/>
    <s v="-"/>
    <m/>
    <s v="import"/>
    <s v=""/>
    <b v="0"/>
    <s v=""/>
  </r>
  <r>
    <s v="885c18e6-5fc8-41b5-81c2-fa3febc1f7ec"/>
    <x v="431"/>
    <s v="20:53"/>
    <x v="688"/>
    <s v="transfer"/>
    <s v="other"/>
    <s v="rc_acc_1781955063347_e3zv"/>
    <x v="4"/>
    <s v="ของฝากหัวหิน"/>
    <m/>
    <s v="import"/>
    <s v=""/>
    <b v="0"/>
    <s v=""/>
  </r>
  <r>
    <s v="2de5854e-1c84-4430-aeec-156eb7a808bd"/>
    <x v="432"/>
    <s v="09:56"/>
    <x v="689"/>
    <s v="transfer"/>
    <s v="other"/>
    <s v="kbank"/>
    <x v="2"/>
    <s v="โกปีเฮียะไท่กี่"/>
    <m/>
    <s v="import"/>
    <s v=""/>
    <b v="0"/>
    <s v=""/>
  </r>
  <r>
    <s v="5d4742ad-166a-4dbd-993a-633bb2d1cd44"/>
    <x v="432"/>
    <s v="21:10"/>
    <x v="690"/>
    <s v="transfer"/>
    <s v="other"/>
    <s v="kbank"/>
    <x v="2"/>
    <s v="มื้อเย็นวันแรก ทริปหัวหิน"/>
    <m/>
    <s v="import"/>
    <s v=""/>
    <b v="0"/>
    <s v=""/>
  </r>
  <r>
    <s v="10240464-16bb-4c14-b70f-19b3f07f4299"/>
    <x v="433"/>
    <s v="20:58"/>
    <x v="691"/>
    <s v="transfer"/>
    <s v="other"/>
    <s v="kbank"/>
    <x v="2"/>
    <s v="TP tea"/>
    <m/>
    <s v="import"/>
    <s v=""/>
    <b v="0"/>
    <s v=""/>
  </r>
  <r>
    <s v="b0a9e5c2-f511-47a7-9a20-9b1dc7c240c3"/>
    <x v="433"/>
    <s v="20:58"/>
    <x v="692"/>
    <s v="transfer"/>
    <s v="other"/>
    <s v="kbank"/>
    <x v="2"/>
    <s v="ค่าเค้ก"/>
    <m/>
    <s v="import"/>
    <s v=""/>
    <b v="0"/>
    <s v=""/>
  </r>
  <r>
    <s v="92269e9b-b32e-4832-a8a4-63b11906e15c"/>
    <x v="434"/>
    <s v="13:09"/>
    <x v="604"/>
    <s v="expense"/>
    <s v="rc_cat_1781955063347_5qjb_1781955063347_tezk"/>
    <s v="kbank"/>
    <x v="1"/>
    <s v="-"/>
    <m/>
    <s v="import"/>
    <s v=""/>
    <b v="0"/>
    <s v=""/>
  </r>
  <r>
    <s v="93c22333-1ba8-419d-a8d5-d9e2b4b8c4a9"/>
    <x v="434"/>
    <s v="21:16"/>
    <x v="280"/>
    <s v="transfer"/>
    <s v="other"/>
    <s v="kbank"/>
    <x v="10"/>
    <s v="ssf"/>
    <m/>
    <s v="import"/>
    <s v=""/>
    <b v="0"/>
    <s v=""/>
  </r>
  <r>
    <s v="88c2b5f7-d70e-4d03-984e-8322d3bafe24"/>
    <x v="435"/>
    <s v="09:30"/>
    <x v="537"/>
    <s v="transfer"/>
    <s v="other"/>
    <s v="rc_acc_1781955063347_0qmn"/>
    <x v="4"/>
    <s v="-"/>
    <m/>
    <s v="import"/>
    <s v=""/>
    <b v="0"/>
    <s v=""/>
  </r>
  <r>
    <s v="47cf3dc1-4a95-422c-93bd-70763a93fbd5"/>
    <x v="435"/>
    <s v="12:36"/>
    <x v="244"/>
    <s v="expense"/>
    <s v="rc_cat_1781955063347_5qjb_1781955063347_tezk"/>
    <s v="rc_acc_1781955063347_kjxt"/>
    <x v="1"/>
    <s v="-"/>
    <m/>
    <s v="import"/>
    <s v=""/>
    <b v="0"/>
    <s v=""/>
  </r>
  <r>
    <s v="59f2551c-49b7-4f28-93e4-cbdf0516687d"/>
    <x v="436"/>
    <s v="12:05"/>
    <x v="317"/>
    <s v="expense"/>
    <s v="rc_cat_1781955063347_5qjb_1781955063347_tezk"/>
    <s v="kbank"/>
    <x v="1"/>
    <s v="-"/>
    <m/>
    <s v="import"/>
    <s v=""/>
    <b v="0"/>
    <s v=""/>
  </r>
  <r>
    <s v="624bdd51-d866-43fc-a774-e69029aa0b3f"/>
    <x v="436"/>
    <s v="12:37"/>
    <x v="693"/>
    <s v="expense"/>
    <s v="entertain_1781955063348_32wr"/>
    <s v="rc_acc_1781955063347_kjxt"/>
    <x v="1"/>
    <s v="-"/>
    <m/>
    <s v="import"/>
    <s v=""/>
    <b v="0"/>
    <s v=""/>
  </r>
  <r>
    <s v="ed006950-7944-447a-858c-f83969cdf469"/>
    <x v="436"/>
    <s v="18:24"/>
    <x v="694"/>
    <s v="transfer"/>
    <s v="other"/>
    <s v="rc_acc_1781955063347_uxz4"/>
    <x v="4"/>
    <s v="-"/>
    <m/>
    <s v="import"/>
    <s v=""/>
    <b v="0"/>
    <s v=""/>
  </r>
  <r>
    <s v="269288ac-4d02-4d62-b032-ca69c6329d09"/>
    <x v="436"/>
    <s v="18:24"/>
    <x v="22"/>
    <s v="transfer"/>
    <s v="other"/>
    <s v="kbank"/>
    <x v="5"/>
    <s v="-"/>
    <m/>
    <s v="import"/>
    <s v=""/>
    <b v="0"/>
    <s v=""/>
  </r>
  <r>
    <s v="b0ea7924-5b31-4baa-87a5-36f52e9bd321"/>
    <x v="436"/>
    <s v="21:15"/>
    <x v="695"/>
    <s v="expense"/>
    <s v="other_1781955063347_5s7r"/>
    <s v="rc_acc_1781955063348_no9r"/>
    <x v="1"/>
    <s v="Difference"/>
    <m/>
    <s v="import"/>
    <s v=""/>
    <b v="0"/>
    <s v=""/>
  </r>
  <r>
    <s v="fada83b9-9644-4819-8358-5c597a3dc5d6"/>
    <x v="436"/>
    <s v="21:16"/>
    <x v="696"/>
    <s v="expense"/>
    <s v="other_1781955063347_5s7r"/>
    <s v="rc_acc_1781955063356_nq03"/>
    <x v="1"/>
    <s v="Difference"/>
    <m/>
    <s v="import"/>
    <s v=""/>
    <b v="0"/>
    <s v=""/>
  </r>
  <r>
    <s v="d08a4df2-54d3-4893-a038-7f48e8c94264"/>
    <x v="436"/>
    <s v="21:21"/>
    <x v="78"/>
    <s v="expense"/>
    <s v="other_1781955063347_5s7r"/>
    <s v="rc_acc_1781955063347_e3zv"/>
    <x v="1"/>
    <s v="Difference as jpy use"/>
    <m/>
    <s v="import"/>
    <s v=""/>
    <b v="0"/>
    <s v=""/>
  </r>
  <r>
    <s v="694f7130-b0b8-4b74-b57c-6803c5944284"/>
    <x v="436"/>
    <s v="22:13"/>
    <x v="697"/>
    <s v="expense"/>
    <s v="other_1781955063347_5s7r"/>
    <s v="rc_acc_1781955063348_obza"/>
    <x v="1"/>
    <s v="Difference"/>
    <m/>
    <s v="import"/>
    <s v=""/>
    <b v="0"/>
    <s v=""/>
  </r>
  <r>
    <s v="55c8b0e9-9dcb-400a-8d3a-b53a7e55e8df"/>
    <x v="436"/>
    <s v="22:21"/>
    <x v="698"/>
    <s v="income"/>
    <s v="other_1781955063347_5s7r"/>
    <s v="rc_acc_1781955063358_d7gc"/>
    <x v="1"/>
    <s v="Difference"/>
    <m/>
    <s v="import"/>
    <s v=""/>
    <b v="0"/>
    <s v=""/>
  </r>
  <r>
    <s v="731a41c4-d83f-4041-851d-2f90a95be387"/>
    <x v="436"/>
    <s v="22:23"/>
    <x v="699"/>
    <s v="expense"/>
    <s v="other_1781955063347_5s7r"/>
    <s v="rc_acc_1781955063349_mitc"/>
    <x v="1"/>
    <s v="Difference"/>
    <m/>
    <s v="import"/>
    <s v=""/>
    <b v="0"/>
    <s v=""/>
  </r>
  <r>
    <s v="caa753de-44e0-4fd6-8062-01692a7d9094"/>
    <x v="436"/>
    <s v="22:25"/>
    <x v="700"/>
    <s v="expense"/>
    <s v="other_1781955063347_5s7r"/>
    <s v="rc_acc_1781955063352_d0kz"/>
    <x v="1"/>
    <s v="Difference"/>
    <m/>
    <s v="import"/>
    <s v=""/>
    <b v="0"/>
    <s v=""/>
  </r>
  <r>
    <s v="da7aa29d-e660-4d1c-b9ce-62f42b1b72df"/>
    <x v="436"/>
    <s v="22:25"/>
    <x v="31"/>
    <s v="expense"/>
    <s v="other_1781955063347_5s7r"/>
    <s v="rc_acc_1781955063356_nmdo"/>
    <x v="1"/>
    <s v="Difference"/>
    <m/>
    <s v="import"/>
    <s v=""/>
    <b v="0"/>
    <s v=""/>
  </r>
  <r>
    <s v="6f77f222-8174-4739-a60f-19ff75f16648"/>
    <x v="436"/>
    <s v="22:25"/>
    <x v="701"/>
    <s v="expense"/>
    <s v="other_1781955063347_5s7r"/>
    <s v="rc_acc_1781955063351_9sgw"/>
    <x v="1"/>
    <s v="Difference"/>
    <m/>
    <s v="import"/>
    <s v=""/>
    <b v="0"/>
    <s v=""/>
  </r>
  <r>
    <s v="3d5b901b-0ff7-4208-9afe-001e84c50b0b"/>
    <x v="437"/>
    <s v="18:05"/>
    <x v="702"/>
    <s v="expense"/>
    <s v="rc_cat_1781955063347_anhy_1781955063347_qnaz"/>
    <s v="rc_acc_1781955063347_uxz4"/>
    <x v="1"/>
    <s v="ส่วนต่างศิริราช รอบสอง"/>
    <m/>
    <s v="import"/>
    <s v=""/>
    <b v="0"/>
    <s v=""/>
  </r>
  <r>
    <s v="0ee715ec-f87d-4319-a065-e8b7ffe5c4db"/>
    <x v="437"/>
    <s v="19:56"/>
    <x v="361"/>
    <s v="expense"/>
    <s v="rc_cat_1781955063347_anhy_1781955063347_qnaz"/>
    <s v="rc_acc_1781955063347_e3zv"/>
    <x v="1"/>
    <s v="-"/>
    <m/>
    <s v="import"/>
    <s v=""/>
    <b v="0"/>
    <s v=""/>
  </r>
  <r>
    <s v="ea580659-4882-45cb-8d23-db0040d30ddc"/>
    <x v="437"/>
    <s v="20:46"/>
    <x v="703"/>
    <s v="expense"/>
    <s v="entertain_1781955063348_32wr"/>
    <s v="kbank"/>
    <x v="1"/>
    <s v="dont feed monkey"/>
    <m/>
    <s v="import"/>
    <s v=""/>
    <b v="0"/>
    <s v=""/>
  </r>
  <r>
    <s v="907f02b8-dc13-4b2c-9812-16999dc190a8"/>
    <x v="437"/>
    <s v="20:48"/>
    <x v="704"/>
    <s v="expense"/>
    <s v="entertain_1781955063348_gj0i"/>
    <s v="kbank"/>
    <x v="1"/>
    <s v="qed 18"/>
    <m/>
    <s v="import"/>
    <s v=""/>
    <b v="0"/>
    <s v=""/>
  </r>
  <r>
    <s v="20ae2dbf-caaa-44c0-b0fb-118296377335"/>
    <x v="437"/>
    <s v="20:48"/>
    <x v="390"/>
    <s v="expense"/>
    <s v="rc_cat_1781955063347_s4sz_1781955063347_deos"/>
    <s v="kbank"/>
    <x v="1"/>
    <s v="trouser"/>
    <m/>
    <s v="import"/>
    <s v=""/>
    <b v="0"/>
    <s v=""/>
  </r>
  <r>
    <s v="c7a96c18-a76d-4600-8f62-bcdd826f8ad4"/>
    <x v="437"/>
    <s v="20:49"/>
    <x v="705"/>
    <s v="expense"/>
    <s v="rc_cat_1781955063347_5qjb_1781955063347_tezk"/>
    <s v="kbank"/>
    <x v="1"/>
    <s v="-"/>
    <m/>
    <s v="import"/>
    <s v=""/>
    <b v="0"/>
    <s v=""/>
  </r>
  <r>
    <s v="5e2fb256-ef3d-4c9a-a22d-10aa9e53beb9"/>
    <x v="437"/>
    <s v="20:55"/>
    <x v="706"/>
    <s v="expense"/>
    <s v="rc_cat_1781955063347_anhy_1781955063350_fcpb"/>
    <s v="kbank"/>
    <x v="1"/>
    <s v="kagonoya วันเกิด"/>
    <m/>
    <s v="import"/>
    <s v=""/>
    <b v="0"/>
    <s v=""/>
  </r>
  <r>
    <s v="57e81637-1cba-4d4b-8b6a-01a6ee12c298"/>
    <x v="437"/>
    <s v="20:57"/>
    <x v="707"/>
    <s v="transfer"/>
    <s v="other"/>
    <s v="kbank"/>
    <x v="2"/>
    <s v="แกงค์แหลกๆ เอี่ยวไถ่"/>
    <m/>
    <s v="import"/>
    <s v=""/>
    <b v="0"/>
    <s v=""/>
  </r>
  <r>
    <s v="d016e79b-77c4-48f2-ad4e-41cba2eb05ae"/>
    <x v="437"/>
    <s v="21:09"/>
    <x v="708"/>
    <s v="expense"/>
    <s v="other_1781955063348_yjhe"/>
    <s v="kbank"/>
    <x v="1"/>
    <s v="ของขวัญฟรัง teddy"/>
    <m/>
    <s v="import"/>
    <s v=""/>
    <b v="0"/>
    <s v=""/>
  </r>
  <r>
    <s v="50d38ebf-2ceb-463f-8899-d88c329377e6"/>
    <x v="437"/>
    <s v="21:19"/>
    <x v="709"/>
    <s v="expense"/>
    <s v="entertain_1781955063348_kx2f"/>
    <s v="rc_acc_1781955063348_obza"/>
    <x v="1"/>
    <s v="-"/>
    <m/>
    <s v="import"/>
    <s v=""/>
    <b v="0"/>
    <s v=""/>
  </r>
  <r>
    <s v="8c576aca-acba-4230-832f-58825ab6f0ae"/>
    <x v="437"/>
    <s v="21:38"/>
    <x v="710"/>
    <s v="expense"/>
    <s v="rc_cat_1781955063347_anhy_1781955063347_qnaz"/>
    <s v="kbank"/>
    <x v="1"/>
    <s v="-"/>
    <m/>
    <s v="import"/>
    <s v=""/>
    <b v="0"/>
    <s v=""/>
  </r>
  <r>
    <s v="9629bda3-71de-44a4-a7d2-4376dd7cb584"/>
    <x v="437"/>
    <s v="21:38"/>
    <x v="711"/>
    <s v="expense"/>
    <s v="rc_cat_1781955063347_5qjb_1781955063347_tezk"/>
    <s v="kbank"/>
    <x v="1"/>
    <s v="-"/>
    <m/>
    <s v="import"/>
    <s v=""/>
    <b v="0"/>
    <s v=""/>
  </r>
  <r>
    <s v="0750f1c3-5075-4367-8888-ba506a1af013"/>
    <x v="437"/>
    <s v="21:40"/>
    <x v="252"/>
    <s v="transfer"/>
    <s v="other"/>
    <s v="rc_acc_1781955063347_uxz4"/>
    <x v="4"/>
    <s v="-"/>
    <m/>
    <s v="import"/>
    <s v=""/>
    <b v="0"/>
    <s v=""/>
  </r>
  <r>
    <s v="97faf338-58fb-4f2d-97ac-00bec78e6fe7"/>
    <x v="437"/>
    <s v="22:01"/>
    <x v="182"/>
    <s v="expense"/>
    <s v="rc_cat_1781955063347_5qjb_1781955063347_tezk"/>
    <s v="kbank"/>
    <x v="1"/>
    <s v="-"/>
    <m/>
    <s v="import"/>
    <s v=""/>
    <b v="0"/>
    <s v=""/>
  </r>
  <r>
    <s v="c123bd6b-3228-4d7b-812c-82177f216548"/>
    <x v="437"/>
    <s v="22:01"/>
    <x v="712"/>
    <s v="expense"/>
    <s v="rc_cat_1781955063347_5qjb_1781955063348_wpky"/>
    <s v="kbank"/>
    <x v="1"/>
    <s v="-"/>
    <m/>
    <s v="import"/>
    <s v=""/>
    <b v="0"/>
    <s v=""/>
  </r>
  <r>
    <s v="54ab4834-4c84-4405-ac47-ab83836ca72b"/>
    <x v="437"/>
    <s v="22:01"/>
    <x v="713"/>
    <s v="transfer"/>
    <s v="other"/>
    <s v="kbank"/>
    <x v="2"/>
    <s v="sim"/>
    <m/>
    <s v="import"/>
    <s v=""/>
    <b v="0"/>
    <s v=""/>
  </r>
  <r>
    <s v="8250968a-6193-4430-9cec-9797a9eb0f1e"/>
    <x v="438"/>
    <s v="09:11"/>
    <x v="714"/>
    <s v="expense"/>
    <s v="rc_cat_1781955063347_5qjb_1781955063347_tezk"/>
    <s v="rc_acc_1781955063358_cs4m"/>
    <x v="1"/>
    <s v="ออกเองบางส่วน"/>
    <m/>
    <s v="import"/>
    <s v=""/>
    <b v="0"/>
    <s v=""/>
  </r>
  <r>
    <s v="52e8f077-6c20-4645-9f88-14662ae45a77"/>
    <x v="438"/>
    <s v="11:17"/>
    <x v="715"/>
    <s v="expense"/>
    <s v="entertain_1781955063348_kx2f"/>
    <s v="rc_acc_1781955063358_cs4m"/>
    <x v="1"/>
    <s v="fammary h 128"/>
    <m/>
    <s v="import"/>
    <s v=""/>
    <b v="0"/>
    <s v=""/>
  </r>
  <r>
    <s v="5894a79d-ea32-43a8-ad82-35e99a475245"/>
    <x v="438"/>
    <s v="11:17"/>
    <x v="716"/>
    <s v="expense"/>
    <s v="rc_cat_1781955063347_5qjb_1781955063347_tezk"/>
    <s v="rc_acc_1781955063358_cs4m"/>
    <x v="1"/>
    <s v="br"/>
    <m/>
    <s v="import"/>
    <s v=""/>
    <b v="0"/>
    <s v=""/>
  </r>
  <r>
    <s v="8794d251-93c1-4b8d-a7db-3263f4792336"/>
    <x v="438"/>
    <s v="12:26"/>
    <x v="717"/>
    <s v="expense"/>
    <s v="rc_cat_1781955063347_5qjb_1781955063347_tezk"/>
    <s v="rc_acc_1781955063358_cs4m"/>
    <x v="1"/>
    <s v="ชานม"/>
    <m/>
    <s v="import"/>
    <s v=""/>
    <b v="0"/>
    <s v=""/>
  </r>
  <r>
    <s v="242c767d-b69d-4a07-88a4-f610885cd38b"/>
    <x v="438"/>
    <s v="23:55"/>
    <x v="718"/>
    <s v="expense"/>
    <s v="other_1781955063347_5s7r"/>
    <s v="rc_acc_1781955063358_cs4m"/>
    <x v="1"/>
    <s v="Difference at trip end"/>
    <m/>
    <s v="import"/>
    <s v=""/>
    <b v="0"/>
    <s v=""/>
  </r>
  <r>
    <s v="a6dcae0f-918a-4f78-9769-d7a0f12f3c00"/>
    <x v="438"/>
    <s v="23:55"/>
    <x v="719"/>
    <s v="expense"/>
    <s v="other_1781955063347_5s7r"/>
    <s v="rc_acc_1781955063358_kqcd"/>
    <x v="1"/>
    <s v="Difference at trip end"/>
    <m/>
    <s v="import"/>
    <s v=""/>
    <b v="0"/>
    <s v=""/>
  </r>
  <r>
    <s v="32404ca9-eeb2-49cc-9b3e-e42bc6587283"/>
    <x v="439"/>
    <s v="15:12"/>
    <x v="720"/>
    <s v="expense"/>
    <s v="entertain_1781955063348_kx2f"/>
    <s v="rc_acc_1781955063358_cs4m"/>
    <x v="1"/>
    <s v="กาชา โคนัน hero gundam sasuke"/>
    <m/>
    <s v="import"/>
    <s v=""/>
    <b v="0"/>
    <s v=""/>
  </r>
  <r>
    <s v="69aaa754-fa68-494b-b03d-70a327b94306"/>
    <x v="439"/>
    <s v="18:46"/>
    <x v="721"/>
    <s v="expense"/>
    <s v="rc_cat_1781955063347_5qjb_1781955063347_tezk"/>
    <s v="rc_acc_1781955063358_cs4m"/>
    <x v="1"/>
    <s v="-"/>
    <m/>
    <s v="import"/>
    <s v=""/>
    <b v="0"/>
    <s v=""/>
  </r>
  <r>
    <s v="d49f381d-8e29-475e-bdb7-01e827bc95c2"/>
    <x v="439"/>
    <s v="20:29"/>
    <x v="722"/>
    <s v="expense"/>
    <s v="rc_cat_1781955063347_5qjb_1781955063347_tezk"/>
    <s v="rc_acc_1781955063358_cs4m"/>
    <x v="1"/>
    <s v="gindaco กองกลาง"/>
    <m/>
    <s v="import"/>
    <s v=""/>
    <b v="0"/>
    <s v=""/>
  </r>
  <r>
    <s v="bd52aa3c-54ac-4472-8ab5-e1154334d2d5"/>
    <x v="439"/>
    <s v="20:30"/>
    <x v="723"/>
    <s v="expense"/>
    <s v="entertain_1781955063348_kx2f"/>
    <s v="rc_acc_1781955063358_cs4m"/>
    <x v="1"/>
    <s v="figure"/>
    <m/>
    <s v="import"/>
    <s v=""/>
    <b v="0"/>
    <s v=""/>
  </r>
  <r>
    <s v="dfa8ae7d-2569-471a-82ee-23322734d401"/>
    <x v="440"/>
    <s v="09:30"/>
    <x v="724"/>
    <s v="expense"/>
    <s v="entertain_1781955063348_kx2f"/>
    <s v="rc_acc_1781955063358_cs4m"/>
    <x v="1"/>
    <s v="กองกลาง พระใหญ่"/>
    <m/>
    <s v="import"/>
    <s v=""/>
    <b v="0"/>
    <s v=""/>
  </r>
  <r>
    <s v="99853ae5-fc4d-419e-9d2d-df37d2a7bcb5"/>
    <x v="440"/>
    <s v="10:53"/>
    <x v="725"/>
    <s v="expense"/>
    <s v="rc_cat_1781955063347_5qjb_1781955063347_tezk"/>
    <s v="rc_acc_1781955063358_cs4m"/>
    <x v="1"/>
    <s v="เนื้อทอด ปังแกง"/>
    <m/>
    <s v="import"/>
    <s v=""/>
    <b v="0"/>
    <s v=""/>
  </r>
  <r>
    <s v="c92ab3b8-9975-4091-8123-722be9d6a722"/>
    <x v="441"/>
    <s v="07:16"/>
    <x v="726"/>
    <s v="expense"/>
    <s v="rc_cat_1781955063347_5qjb_1781955063347_tezk"/>
    <s v="rc_acc_1781955063358_kqcd"/>
    <x v="1"/>
    <s v="กาแฟ สถานี higashi nihombashi"/>
    <m/>
    <s v="import"/>
    <s v=""/>
    <b v="0"/>
    <s v=""/>
  </r>
  <r>
    <s v="1dcdb6d3-0ca3-45e9-8513-7c167cd4eea9"/>
    <x v="441"/>
    <s v="09:40"/>
    <x v="726"/>
    <s v="expense"/>
    <s v="rc_cat_1781955063347_5qjb_1781955063347_tezk"/>
    <s v="rc_acc_1781955063358_cs4m"/>
    <x v="1"/>
    <s v="กองกลาง ขนมปังกันตาย"/>
    <m/>
    <s v="import"/>
    <s v=""/>
    <b v="0"/>
    <s v=""/>
  </r>
  <r>
    <s v="bd1c7a8c-5d28-4e36-bf01-8d4a0f073713"/>
    <x v="441"/>
    <s v="11:13"/>
    <x v="727"/>
    <s v="expense"/>
    <s v="entertain_1781955063348_kx2f"/>
    <s v="rc_acc_1781955063358_cs4m"/>
    <x v="1"/>
    <s v="เหรียญ pkcenter"/>
    <m/>
    <s v="import"/>
    <s v=""/>
    <b v="0"/>
    <s v=""/>
  </r>
  <r>
    <s v="705a2e10-433b-490e-b48a-42311d786881"/>
    <x v="441"/>
    <s v="13:18"/>
    <x v="728"/>
    <s v="expense"/>
    <s v="entertain_1781955063348_kx2f"/>
    <s v="rc_acc_1781955063358_cs4m"/>
    <x v="1"/>
    <s v="pokemon"/>
    <m/>
    <s v="import"/>
    <s v=""/>
    <b v="0"/>
    <s v=""/>
  </r>
  <r>
    <s v="e4147088-213d-4b3d-8f59-9b7e0256aa20"/>
    <x v="441"/>
    <s v="15:10"/>
    <x v="729"/>
    <s v="expense"/>
    <s v="entertain_1781955063348_kx2f"/>
    <s v="rc_acc_1781955063358_cs4m"/>
    <x v="1"/>
    <s v="กาชา ueno บิ๊กมัม คาตาคุริ ช็อปเปอร์ จินเบ คิง โมโมะ"/>
    <m/>
    <s v="import"/>
    <s v=""/>
    <b v="0"/>
    <s v=""/>
  </r>
  <r>
    <s v="f0e8c462-b31a-4410-a0b8-d87537ca4fa7"/>
    <x v="441"/>
    <s v="20:18"/>
    <x v="730"/>
    <s v="expense"/>
    <s v="rc_cat_1781955063347_5qjb_1781955063347_irl1"/>
    <s v="rc_acc_1781955063358_kqcd"/>
    <x v="1"/>
    <s v="รถไฟจาก yogohama มา shibuya"/>
    <m/>
    <s v="import"/>
    <s v=""/>
    <b v="0"/>
    <s v=""/>
  </r>
  <r>
    <s v="d4825924-042d-4bc7-97ee-2dbba2dc08ae"/>
    <x v="442"/>
    <s v="00:00"/>
    <x v="731"/>
    <s v="expense"/>
    <s v="rc_cat_1781955063347_04qb_1781955063347_kgnn"/>
    <s v="rc_acc_1781955063347_uxz4"/>
    <x v="1"/>
    <s v="-"/>
    <m/>
    <s v="import"/>
    <s v=""/>
    <b v="0"/>
    <s v=""/>
  </r>
  <r>
    <s v="a9be3427-ff8c-4f3b-99b0-8847d6848a11"/>
    <x v="442"/>
    <s v="00:00"/>
    <x v="732"/>
    <s v="expense"/>
    <s v="rc_cat_1781955063347_04qb_1781955063347_lu9b"/>
    <s v="rc_acc_1781955063347_uxz4"/>
    <x v="1"/>
    <s v="-"/>
    <m/>
    <s v="import"/>
    <s v=""/>
    <b v="0"/>
    <s v=""/>
  </r>
  <r>
    <s v="968d8062-bd9f-49c0-a859-d9f1d9d8721b"/>
    <x v="442"/>
    <s v="00:01"/>
    <x v="733"/>
    <s v="expense"/>
    <s v="rc_cat_1781955063347_anhy_1781955063347_qnaz"/>
    <s v="rc_acc_1781955063347_uxz4"/>
    <x v="1"/>
    <s v="รักษาเกินสิทธิ"/>
    <m/>
    <s v="import"/>
    <s v=""/>
    <b v="0"/>
    <s v=""/>
  </r>
  <r>
    <s v="2a21fcee-f812-447c-b092-1d472d3facf0"/>
    <x v="442"/>
    <s v="07:17"/>
    <x v="734"/>
    <s v="expense"/>
    <s v="rc_cat_1781955063347_5qjb_1781955063347_tezk"/>
    <s v="rc_acc_1781955063358_cs4m"/>
    <x v="1"/>
    <s v="กดน้ำ miyashita park"/>
    <m/>
    <s v="import"/>
    <s v=""/>
    <b v="0"/>
    <s v=""/>
  </r>
  <r>
    <s v="5f9f2450-c351-4708-ae78-0846d2a7db9c"/>
    <x v="442"/>
    <s v="11:16"/>
    <x v="735"/>
    <s v="expense"/>
    <s v="rc_cat_1781955063347_5qjb_1781955063347_tezk"/>
    <s v="rc_acc_1781955063358_cs4m"/>
    <x v="1"/>
    <s v="กองกลาง เกี้ยวซ่า"/>
    <m/>
    <s v="import"/>
    <s v=""/>
    <b v="0"/>
    <s v=""/>
  </r>
  <r>
    <s v="f3e3773e-3918-4b00-81ee-f0050e36df1b"/>
    <x v="442"/>
    <s v="12:10"/>
    <x v="724"/>
    <s v="expense"/>
    <s v="entertain_1781955063348_kx2f"/>
    <s v="rc_acc_1781955063358_cs4m"/>
    <x v="1"/>
    <s v="สมุด cup noodle"/>
    <m/>
    <s v="import"/>
    <s v=""/>
    <b v="0"/>
    <s v=""/>
  </r>
  <r>
    <s v="e2ac7035-0b22-49c5-9fda-a558096ed960"/>
    <x v="442"/>
    <s v="13:30"/>
    <x v="736"/>
    <s v="expense"/>
    <s v="entertain_1781955063348_kx2f"/>
    <s v="rc_acc_1781955063358_cs4m"/>
    <x v="1"/>
    <s v="gashapon พลเอก*3 นามิบรูคลูฟี่ ซาโบ้ ไคโด กันดัม ยามาโตะ"/>
    <m/>
    <s v="import"/>
    <s v=""/>
    <b v="0"/>
    <s v=""/>
  </r>
  <r>
    <s v="de9e475a-474b-4a15-9c2a-3593dcd95c63"/>
    <x v="442"/>
    <s v="13:40"/>
    <x v="737"/>
    <s v="expense"/>
    <s v="entertain_1781955063352_1jgx"/>
    <s v="rc_acc_1781955063358_cs4m"/>
    <x v="1"/>
    <s v="crane game"/>
    <m/>
    <s v="import"/>
    <s v=""/>
    <b v="0"/>
    <s v=""/>
  </r>
  <r>
    <s v="de9ec2c0-0e58-40c6-815d-9231be3b4bec"/>
    <x v="442"/>
    <s v="13:45"/>
    <x v="738"/>
    <s v="expense"/>
    <s v="entertain_1781955063348_kx2f"/>
    <s v="rc_acc_1781955063352_d0kz"/>
    <x v="1"/>
    <s v="-"/>
    <m/>
    <s v="import"/>
    <s v=""/>
    <b v="0"/>
    <s v=""/>
  </r>
  <r>
    <s v="11cd6836-42b5-4765-ae3d-a011d342af51"/>
    <x v="442"/>
    <s v="14:28"/>
    <x v="739"/>
    <s v="expense"/>
    <s v="rc_cat_1781955063347_5qjb_1781955063347_tezk"/>
    <s v="rc_acc_1781955063358_cs4m"/>
    <x v="1"/>
    <s v="กองกลาง fmmart"/>
    <m/>
    <s v="import"/>
    <s v=""/>
    <b v="0"/>
    <s v=""/>
  </r>
  <r>
    <s v="446c8082-731a-44ce-a9cc-cef28b5873e3"/>
    <x v="442"/>
    <s v="14:40"/>
    <x v="727"/>
    <s v="expense"/>
    <s v="rc_cat_1781955063347_5qjb_1781955063347_irl1"/>
    <s v="rc_acc_1781955063358_kqcd"/>
    <x v="1"/>
    <s v="รถเมล์ไป gundam fac"/>
    <m/>
    <s v="import"/>
    <s v=""/>
    <b v="0"/>
    <s v=""/>
  </r>
  <r>
    <s v="3b3a2883-e4ba-4a7e-a917-0cf47a09208a"/>
    <x v="442"/>
    <s v="15:00"/>
    <x v="720"/>
    <s v="expense"/>
    <s v="entertain_1781955063348_kx2f"/>
    <s v="rc_acc_1781955063352_d0kz"/>
    <x v="1"/>
    <s v="ค่าเข้ากันดัม"/>
    <m/>
    <s v="import"/>
    <s v=""/>
    <b v="0"/>
    <s v=""/>
  </r>
  <r>
    <s v="0403f7d2-9c6c-4d75-b8d3-4c90a3baf2a6"/>
    <x v="442"/>
    <s v="16:50"/>
    <x v="740"/>
    <s v="expense"/>
    <s v="entertain_1781955063348_kx2f"/>
    <s v="rc_acc_1781955063358_cs4m"/>
    <x v="1"/>
    <s v="yogohama gundam"/>
    <m/>
    <s v="import"/>
    <s v=""/>
    <b v="0"/>
    <s v=""/>
  </r>
  <r>
    <s v="1ecbb8ec-1063-46ff-9773-b95327bc724b"/>
    <x v="442"/>
    <s v="17:03"/>
    <x v="725"/>
    <s v="expense"/>
    <s v="rc_cat_1781955063347_5qjb_1781955063347_tezk"/>
    <s v="rc_acc_1781955063358_cs4m"/>
    <x v="1"/>
    <s v="กองกลาง เสี่ยวหลงเปา"/>
    <m/>
    <s v="import"/>
    <s v=""/>
    <b v="0"/>
    <s v=""/>
  </r>
  <r>
    <s v="87e4da00-f1a3-4204-97eb-2165925cb422"/>
    <x v="442"/>
    <s v="18:02"/>
    <x v="741"/>
    <s v="expense"/>
    <s v="rc_cat_1781955063347_5qjb_1781955063347_tezk"/>
    <s v="rc_acc_1781955063358_cs4m"/>
    <x v="1"/>
    <s v="กองกลาง yogohama chinatown"/>
    <m/>
    <s v="import"/>
    <s v=""/>
    <b v="0"/>
    <s v=""/>
  </r>
  <r>
    <s v="adfded1f-3d65-46c9-9400-4d7e2df1d8f8"/>
    <x v="442"/>
    <s v="18:03"/>
    <x v="737"/>
    <s v="expense"/>
    <s v="rc_cat_1781955063347_5qjb_1781955063347_tezk"/>
    <s v="rc_acc_1781955063358_cs4m"/>
    <x v="1"/>
    <s v="กองกลาง ไก่ทอด"/>
    <m/>
    <s v="import"/>
    <s v=""/>
    <b v="0"/>
    <s v=""/>
  </r>
  <r>
    <s v="1f6744f1-aace-4363-8318-fccf3943d2e9"/>
    <x v="442"/>
    <s v="18:51"/>
    <x v="742"/>
    <s v="expense"/>
    <s v="rc_cat_1781955063347_5qjb_1781955063347_tezk"/>
    <s v="rc_acc_1781955063358_kqcd"/>
    <x v="1"/>
    <s v="ชานม"/>
    <m/>
    <s v="import"/>
    <s v=""/>
    <b v="0"/>
    <s v=""/>
  </r>
  <r>
    <s v="e2eac186-cf36-48f5-9476-8cdcec0cbe31"/>
    <x v="443"/>
    <s v="09:33"/>
    <x v="726"/>
    <s v="expense"/>
    <s v="rc_cat_1781955063347_5qjb_1781955063347_tezk"/>
    <s v="rc_acc_1781955063358_kqcd"/>
    <x v="1"/>
    <s v="กดน้ำระหว่างไป nikko"/>
    <m/>
    <s v="import"/>
    <s v=""/>
    <b v="0"/>
    <s v=""/>
  </r>
  <r>
    <s v="2a069cce-4f88-4062-8d45-f4100ce9e416"/>
    <x v="443"/>
    <s v="10:50"/>
    <x v="734"/>
    <s v="expense"/>
    <s v="rc_cat_1781955063347_5qjb_1781955063347_tezk"/>
    <s v="rc_acc_1781955063358_cs4m"/>
    <x v="1"/>
    <s v="น้ำเปล่า"/>
    <m/>
    <s v="import"/>
    <s v=""/>
    <b v="0"/>
    <s v=""/>
  </r>
  <r>
    <s v="e11721cb-4a80-4fd2-a464-04e7afac4581"/>
    <x v="443"/>
    <s v="14:00"/>
    <x v="724"/>
    <s v="expense"/>
    <s v="entertain_1781955063348_kx2f"/>
    <s v="rc_acc_1781955063358_cs4m"/>
    <x v="1"/>
    <s v="กองกลาง เข้าโซนหลังวัด"/>
    <m/>
    <s v="import"/>
    <s v=""/>
    <b v="0"/>
    <s v=""/>
  </r>
  <r>
    <s v="f832939b-273a-4367-8462-68bffa6b1ecb"/>
    <x v="443"/>
    <s v="15:00"/>
    <x v="683"/>
    <s v="expense"/>
    <s v="rc_cat_1781955063347_5qjb_1781955063347_tezk"/>
    <s v="rc_acc_1781955063358_cs4m"/>
    <x v="1"/>
    <s v="กองกลาง ฟองเต้าหู้ทอด"/>
    <m/>
    <s v="import"/>
    <s v=""/>
    <b v="0"/>
    <s v=""/>
  </r>
  <r>
    <s v="c578244a-f61a-4fc9-97c6-1f927d4e1435"/>
    <x v="443"/>
    <s v="22:00"/>
    <x v="128"/>
    <s v="transfer"/>
    <s v="other"/>
    <s v="rc_acc_1781955063347_uxz4"/>
    <x v="21"/>
    <s v="-"/>
    <m/>
    <s v="import"/>
    <s v=""/>
    <b v="0"/>
    <s v=""/>
  </r>
  <r>
    <s v="75c68e5a-bd0e-4575-b2ad-365eaaf3a672"/>
    <x v="443"/>
    <s v="22:00"/>
    <x v="31"/>
    <s v="transfer"/>
    <s v="other"/>
    <s v="rc_acc_1781955063347_uxz4"/>
    <x v="7"/>
    <s v="-"/>
    <m/>
    <s v="import"/>
    <s v=""/>
    <b v="0"/>
    <s v=""/>
  </r>
  <r>
    <s v="e2d8d72d-c96c-4762-93da-89810a6ef5ac"/>
    <x v="443"/>
    <s v="22:00"/>
    <x v="743"/>
    <s v="transfer"/>
    <s v="other"/>
    <s v="rc_acc_1781955063347_uxz4"/>
    <x v="20"/>
    <s v="-"/>
    <m/>
    <s v="import"/>
    <s v=""/>
    <b v="0"/>
    <s v=""/>
  </r>
  <r>
    <s v="7a430388-51f4-4471-ba74-72127896528a"/>
    <x v="443"/>
    <s v="22:00"/>
    <x v="613"/>
    <s v="transfer"/>
    <s v="other"/>
    <s v="rc_acc_1781955063347_uxz4"/>
    <x v="8"/>
    <s v="-"/>
    <m/>
    <s v="import"/>
    <s v=""/>
    <b v="0"/>
    <s v=""/>
  </r>
  <r>
    <s v="de1fbd96-d48e-4a43-858b-d4ea15a5d3c1"/>
    <x v="443"/>
    <s v="22:00"/>
    <x v="639"/>
    <s v="expense"/>
    <s v="rc_cat_1781955063347_04qb_1781955063350_acgf"/>
    <s v="rc_acc_1781955063347_uxz4"/>
    <x v="1"/>
    <s v="-"/>
    <m/>
    <s v="import"/>
    <s v=""/>
    <b v="0"/>
    <s v=""/>
  </r>
  <r>
    <s v="ddc81080-1f11-494b-aa33-6c8fa142a7ec"/>
    <x v="443"/>
    <s v="22:00"/>
    <x v="614"/>
    <s v="income"/>
    <s v="income_1781955063347_5zxt"/>
    <s v="rc_acc_1781955063347_uxz4"/>
    <x v="1"/>
    <s v="-"/>
    <m/>
    <s v="import"/>
    <s v=""/>
    <b v="0"/>
    <s v=""/>
  </r>
  <r>
    <s v="2c5c1d64-85bd-4068-90b0-8c9a3506665c"/>
    <x v="444"/>
    <s v="06:40"/>
    <x v="744"/>
    <s v="expense"/>
    <s v="rc_cat_1781955063347_5qjb_1781955063347_irl1"/>
    <s v="rc_acc_1781955063358_cs4m"/>
    <x v="1"/>
    <s v="กองกลาง access express"/>
    <m/>
    <s v="import"/>
    <s v=""/>
    <b v="0"/>
    <s v=""/>
  </r>
  <r>
    <s v="01cad715-d334-4197-9e61-001e12203c71"/>
    <x v="444"/>
    <s v="06:40"/>
    <x v="745"/>
    <s v="income"/>
    <s v="other_1781955063347_5s7r"/>
    <s v="rc_acc_1781955063358_cs4m"/>
    <x v="1"/>
    <s v="Difference"/>
    <m/>
    <s v="import"/>
    <s v=""/>
    <b v="0"/>
    <s v=""/>
  </r>
  <r>
    <s v="16fd454c-e380-46ba-a007-ce147a212a76"/>
    <x v="444"/>
    <s v="06:41"/>
    <x v="746"/>
    <s v="transfer"/>
    <s v="other"/>
    <s v="rc_acc_1781955063358_cs4m"/>
    <x v="23"/>
    <s v="-"/>
    <m/>
    <s v="import"/>
    <s v=""/>
    <b v="0"/>
    <s v=""/>
  </r>
  <r>
    <s v="15a1b96e-8ca2-4c28-acb3-a3dd51787fea"/>
    <x v="444"/>
    <s v="09:32"/>
    <x v="747"/>
    <s v="expense"/>
    <s v="rc_cat_1781955063347_5qjb_1781955063347_irl1"/>
    <s v="rc_acc_1781955063358_kqcd"/>
    <x v="1"/>
    <s v="จากที่พักไป ueno"/>
    <m/>
    <s v="import"/>
    <s v=""/>
    <b v="0"/>
    <s v=""/>
  </r>
  <r>
    <s v="b837a912-7f33-4dca-96cc-8df50bb04914"/>
    <x v="444"/>
    <s v="14:33"/>
    <x v="714"/>
    <s v="expense"/>
    <s v="rc_cat_1781955063347_5qjb_1781955063347_tezk"/>
    <s v="rc_acc_1781955063358_cs4m"/>
    <x v="1"/>
    <s v="เมล่อนปัง กับโครอกเขะ"/>
    <m/>
    <s v="import"/>
    <s v=""/>
    <b v="0"/>
    <s v=""/>
  </r>
  <r>
    <s v="08f9c270-2264-4041-8ef6-88c87381eee1"/>
    <x v="444"/>
    <s v="15:34"/>
    <x v="714"/>
    <s v="expense"/>
    <s v="entertain_1781955063348_kx2f"/>
    <s v="rc_acc_1781955063358_cs4m"/>
    <x v="1"/>
    <s v="กาชา ไคโดสองตัว"/>
    <m/>
    <s v="import"/>
    <s v=""/>
    <b v="0"/>
    <s v=""/>
  </r>
  <r>
    <s v="c490b356-2172-45b4-b526-5ce20335d66a"/>
    <x v="444"/>
    <s v="20:12"/>
    <x v="746"/>
    <s v="expense"/>
    <s v="other_1781955063347_5s7r"/>
    <s v="rc_acc_1781955063358_cs4m"/>
    <x v="1"/>
    <s v="Difference at 1st date"/>
    <m/>
    <s v="import"/>
    <s v=""/>
    <b v="0"/>
    <s v=""/>
  </r>
  <r>
    <s v="d2b36a28-72a0-4e88-a241-1ebdcb39a3b2"/>
    <x v="445"/>
    <s v="11:29"/>
    <x v="748"/>
    <s v="expense"/>
    <s v="rc_cat_1781955063347_5qjb_1781955063347_tezk"/>
    <s v="rc_acc_1781955063357_rvam"/>
    <x v="1"/>
    <s v="-"/>
    <m/>
    <s v="import"/>
    <s v=""/>
    <b v="0"/>
    <s v=""/>
  </r>
  <r>
    <s v="bb4e8102-5480-4950-8847-800fe40edc14"/>
    <x v="446"/>
    <s v="09:01"/>
    <x v="359"/>
    <s v="expense"/>
    <s v="rc_cat_1781955063347_5qjb_1781955063347_tezk"/>
    <s v="kbank"/>
    <x v="1"/>
    <s v="-"/>
    <m/>
    <s v="import"/>
    <s v=""/>
    <b v="0"/>
    <s v=""/>
  </r>
  <r>
    <s v="33407308-2c5c-416c-8776-7eb83a01e3a0"/>
    <x v="447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f1209253-464b-4477-be06-07bfb1c4b7d8"/>
    <x v="447"/>
    <s v="11:31"/>
    <x v="387"/>
    <s v="expense"/>
    <s v="rc_cat_1781955063347_5qjb_1781955063348_laj8"/>
    <s v="rc_acc_1781955063347_uxz4"/>
    <x v="1"/>
    <s v="-"/>
    <m/>
    <s v="import"/>
    <s v=""/>
    <b v="0"/>
    <s v=""/>
  </r>
  <r>
    <s v="6ab01ff2-944f-42d7-864e-dab9c3edc4ac"/>
    <x v="448"/>
    <s v="11:25"/>
    <x v="78"/>
    <s v="transfer"/>
    <s v="other"/>
    <s v="rc_acc_1781955063347_uxz4"/>
    <x v="12"/>
    <s v="แลกเงิน JPY"/>
    <m/>
    <s v="import"/>
    <s v=""/>
    <b v="0"/>
    <s v=""/>
  </r>
  <r>
    <s v="cc9fa5de-ea72-4ba2-8277-4db53ccba2e6"/>
    <x v="448"/>
    <s v="11:27"/>
    <x v="253"/>
    <s v="transfer"/>
    <s v="other"/>
    <s v="rc_acc_1781955063347_uxz4"/>
    <x v="3"/>
    <s v="-"/>
    <m/>
    <s v="import"/>
    <s v=""/>
    <b v="0"/>
    <s v=""/>
  </r>
  <r>
    <s v="64075f57-e946-43e8-b37a-253cc70cee4c"/>
    <x v="449"/>
    <s v="20:01"/>
    <x v="749"/>
    <s v="expense"/>
    <s v="rc_cat_1781955063347_5qjb_1781955063347_tezk"/>
    <s v="kbank"/>
    <x v="1"/>
    <s v="-"/>
    <m/>
    <s v="import"/>
    <s v=""/>
    <b v="0"/>
    <s v=""/>
  </r>
  <r>
    <s v="4428fa1e-8b6f-4f45-93cf-ab729a9ccaa2"/>
    <x v="450"/>
    <s v="11:28"/>
    <x v="26"/>
    <s v="transfer"/>
    <s v="other"/>
    <s v="rc_acc_1781955063347_uxz4"/>
    <x v="12"/>
    <s v="-"/>
    <m/>
    <s v="import"/>
    <s v=""/>
    <b v="0"/>
    <s v=""/>
  </r>
  <r>
    <s v="285ff510-962e-4db0-bbbf-3af78718ca47"/>
    <x v="450"/>
    <s v="11:28"/>
    <x v="19"/>
    <s v="expense"/>
    <s v="rc_cat_1781955063347_anhy_1781955063348_k5l1"/>
    <s v="rc_acc_1781955063347_uxz4"/>
    <x v="1"/>
    <s v="เงินฝ่าย"/>
    <m/>
    <s v="import"/>
    <s v=""/>
    <b v="0"/>
    <s v=""/>
  </r>
  <r>
    <s v="211f48b3-6d29-4a50-81e5-a6446ed0c61c"/>
    <x v="451"/>
    <s v="11:31"/>
    <x v="750"/>
    <s v="income"/>
    <s v="income_1781955063347_5zxt"/>
    <s v="rc_acc_1781955063347_uxz4"/>
    <x v="1"/>
    <s v="-"/>
    <m/>
    <s v="import"/>
    <s v=""/>
    <b v="0"/>
    <s v=""/>
  </r>
  <r>
    <s v="9dcbe448-3a74-4442-9f40-348aba291258"/>
    <x v="452"/>
    <s v="09:02"/>
    <x v="252"/>
    <s v="expense"/>
    <s v="rc_cat_1781955063347_anhy_1781955063347_qnaz"/>
    <s v="kbank"/>
    <x v="1"/>
    <s v="รักษาป๊า สำรองที่เอิน"/>
    <m/>
    <s v="import"/>
    <s v=""/>
    <b v="0"/>
    <s v=""/>
  </r>
  <r>
    <s v="c23e1c9e-0614-47e9-aa5b-f171286217d3"/>
    <x v="453"/>
    <s v="20:01"/>
    <x v="751"/>
    <s v="expense"/>
    <s v="rc_cat_1781955063347_5qjb_1781955063347_tezk"/>
    <s v="kbank"/>
    <x v="1"/>
    <s v="-"/>
    <m/>
    <s v="import"/>
    <s v=""/>
    <b v="0"/>
    <s v=""/>
  </r>
  <r>
    <s v="003e01f4-b03b-4407-981b-3750ab0f35de"/>
    <x v="453"/>
    <s v="20:04"/>
    <x v="237"/>
    <s v="transfer"/>
    <s v="other"/>
    <s v="rc_acc_1781955063347_uxz4"/>
    <x v="2"/>
    <s v="-"/>
    <m/>
    <s v="import"/>
    <s v=""/>
    <b v="0"/>
    <s v=""/>
  </r>
  <r>
    <s v="2fcd9f93-0e4c-42f3-b78b-3ed88fb2f6ca"/>
    <x v="454"/>
    <s v="09:03"/>
    <x v="438"/>
    <s v="transfer"/>
    <s v="other"/>
    <s v="rc_acc_1781955063347_uxz4"/>
    <x v="25"/>
    <s v="-"/>
    <m/>
    <s v="import"/>
    <s v=""/>
    <b v="0"/>
    <s v=""/>
  </r>
  <r>
    <s v="be371d93-3a3c-4df2-a26d-b69213813ca2"/>
    <x v="454"/>
    <s v="09:57"/>
    <x v="752"/>
    <s v="expense"/>
    <s v="rc_cat_1781955063347_04qb_1781955063347_wt5p"/>
    <s v="kbank"/>
    <x v="1"/>
    <s v="-"/>
    <m/>
    <s v="import"/>
    <s v=""/>
    <b v="0"/>
    <s v=""/>
  </r>
  <r>
    <s v="e42b4a66-b877-4230-8201-c4513ab6fe57"/>
    <x v="455"/>
    <s v="09:00"/>
    <x v="5"/>
    <s v="transfer"/>
    <s v="other"/>
    <s v="kbank"/>
    <x v="3"/>
    <s v="-"/>
    <m/>
    <s v="import"/>
    <s v=""/>
    <b v="0"/>
    <s v=""/>
  </r>
  <r>
    <s v="b8070dfd-5178-401c-bea0-fcdcd7f6a86f"/>
    <x v="455"/>
    <s v="12:02"/>
    <x v="356"/>
    <s v="expense"/>
    <s v="rc_cat_1781955063347_5qjb_1781955063347_tezk"/>
    <s v="kbank"/>
    <x v="1"/>
    <s v="-"/>
    <m/>
    <s v="import"/>
    <s v=""/>
    <b v="0"/>
    <s v=""/>
  </r>
  <r>
    <s v="b5f7734d-2c47-4df4-9474-4ef5384f2b4d"/>
    <x v="455"/>
    <s v="20:02"/>
    <x v="608"/>
    <s v="expense"/>
    <s v="rc_cat_1781955063347_5qjb_1781955063347_tezk"/>
    <s v="kbank"/>
    <x v="1"/>
    <s v="-"/>
    <m/>
    <s v="import"/>
    <s v=""/>
    <b v="0"/>
    <s v=""/>
  </r>
  <r>
    <s v="8d35149e-a506-4613-a5a4-17d94435830f"/>
    <x v="455"/>
    <s v="20:16"/>
    <x v="753"/>
    <s v="income"/>
    <s v="income_1781955063347_zblt"/>
    <s v="rc_acc_1781955063347_uxz4"/>
    <x v="1"/>
    <s v="-"/>
    <m/>
    <s v="import"/>
    <s v=""/>
    <b v="0"/>
    <s v=""/>
  </r>
  <r>
    <s v="0d8f89e8-913f-4558-9aec-0dea4b8ce97d"/>
    <x v="456"/>
    <s v="09:03"/>
    <x v="239"/>
    <s v="expense"/>
    <s v="rc_cat_1781955063347_5qjb_1781955063347_tezk"/>
    <s v="kbank"/>
    <x v="1"/>
    <s v="-"/>
    <m/>
    <s v="import"/>
    <s v=""/>
    <b v="0"/>
    <s v=""/>
  </r>
  <r>
    <s v="cbfdaea1-ec85-4889-a690-68b7c41379cd"/>
    <x v="456"/>
    <s v="12:45"/>
    <x v="754"/>
    <s v="expense"/>
    <s v="rc_cat_1781955063347_anhy_1781955063347_qnaz"/>
    <s v="rc_acc_1781955063347_uxz4"/>
    <x v="1"/>
    <s v="รักษาป๊า"/>
    <m/>
    <s v="import"/>
    <s v=""/>
    <b v="0"/>
    <s v=""/>
  </r>
  <r>
    <s v="aa33acfa-a73d-458e-ba7b-8b564b10dccc"/>
    <x v="457"/>
    <s v="19:36"/>
    <x v="317"/>
    <s v="expense"/>
    <s v="rc_cat_1781955063347_5qjb_1781955063347_tezk"/>
    <s v="kbank"/>
    <x v="1"/>
    <s v="-"/>
    <m/>
    <s v="import"/>
    <s v=""/>
    <b v="0"/>
    <s v=""/>
  </r>
  <r>
    <s v="780c7339-de7e-43f7-a71a-eca1f708765d"/>
    <x v="457"/>
    <s v="19:36"/>
    <x v="199"/>
    <s v="expense"/>
    <s v="rc_cat_1781955063347_5qjb_1781955063347_tezk"/>
    <s v="kbank"/>
    <x v="1"/>
    <s v="-"/>
    <m/>
    <s v="import"/>
    <s v=""/>
    <b v="0"/>
    <s v=""/>
  </r>
  <r>
    <s v="8a1a4a52-f5f9-47d8-96d7-5d0b97b576a2"/>
    <x v="458"/>
    <s v="09:37"/>
    <x v="8"/>
    <s v="expense"/>
    <s v="rc_cat_1781955063347_anhy_1781955063347_qnaz"/>
    <s v="kbank"/>
    <x v="1"/>
    <s v="-"/>
    <m/>
    <s v="import"/>
    <s v=""/>
    <b v="0"/>
    <s v=""/>
  </r>
  <r>
    <s v="b5874284-3b1d-4c0d-99d4-c85498546fea"/>
    <x v="458"/>
    <s v="09:37"/>
    <x v="755"/>
    <s v="expense"/>
    <s v="rc_cat_1781955063347_5qjb_1781955063347_tezk"/>
    <s v="kbank"/>
    <x v="1"/>
    <s v="-"/>
    <m/>
    <s v="import"/>
    <s v=""/>
    <b v="0"/>
    <s v=""/>
  </r>
  <r>
    <s v="e1a5ff68-53d8-4340-9205-2e40e9a70b54"/>
    <x v="458"/>
    <s v="20:23"/>
    <x v="547"/>
    <s v="income"/>
    <s v="income_1781955063347_zblt"/>
    <s v="rc_acc_1781955063347_uxz4"/>
    <x v="1"/>
    <s v="-"/>
    <m/>
    <s v="import"/>
    <s v=""/>
    <b v="0"/>
    <s v=""/>
  </r>
  <r>
    <s v="d9da3efd-d065-451a-8826-75ac7d4ffee4"/>
    <x v="459"/>
    <s v="09:42"/>
    <x v="199"/>
    <s v="expense"/>
    <s v="rc_cat_1781955063347_5qjb_1781955063347_tezk"/>
    <s v="kbank"/>
    <x v="1"/>
    <s v="-"/>
    <m/>
    <s v="import"/>
    <s v=""/>
    <b v="0"/>
    <s v=""/>
  </r>
  <r>
    <s v="00008635-df6c-4865-b88a-76b83d8ab755"/>
    <x v="459"/>
    <s v="12:42"/>
    <x v="616"/>
    <s v="expense"/>
    <s v="rc_cat_1781955063347_5qjb_1781955063347_tezk"/>
    <s v="kbank"/>
    <x v="1"/>
    <s v="-"/>
    <m/>
    <s v="import"/>
    <s v=""/>
    <b v="0"/>
    <s v=""/>
  </r>
  <r>
    <s v="49b6e500-08cf-471e-9ca3-a795ce783fcf"/>
    <x v="459"/>
    <s v="19:37"/>
    <x v="317"/>
    <s v="expense"/>
    <s v="rc_cat_1781955063347_5qjb_1781955063347_tezk"/>
    <s v="kbank"/>
    <x v="1"/>
    <s v="-"/>
    <m/>
    <s v="import"/>
    <s v=""/>
    <b v="0"/>
    <s v=""/>
  </r>
  <r>
    <s v="29b72dc4-315c-4fc1-ad88-c95cb876513b"/>
    <x v="460"/>
    <s v="11:17"/>
    <x v="756"/>
    <s v="transfer"/>
    <s v="other"/>
    <s v="rc_acc_1781955063347_uxz4"/>
    <x v="6"/>
    <s v="-"/>
    <m/>
    <s v="import"/>
    <s v=""/>
    <b v="0"/>
    <s v=""/>
  </r>
  <r>
    <s v="a124abad-7495-4087-a026-31a5e97c175c"/>
    <x v="460"/>
    <s v="11:20"/>
    <x v="757"/>
    <s v="transfer"/>
    <s v="other"/>
    <s v="kbank"/>
    <x v="6"/>
    <s v="-"/>
    <m/>
    <s v="import"/>
    <s v=""/>
    <b v="0"/>
    <s v=""/>
  </r>
  <r>
    <s v="c2410f89-b3d3-4210-b741-1e6e50a2f112"/>
    <x v="460"/>
    <s v="11:30"/>
    <x v="329"/>
    <s v="expense"/>
    <s v="rc_cat_1781955063347_s4sz_1781955063347_9tpp"/>
    <s v="rc_acc_1781955063347_uxz4"/>
    <x v="1"/>
    <s v="AIIZ"/>
    <m/>
    <s v="import"/>
    <s v=""/>
    <b v="0"/>
    <s v=""/>
  </r>
  <r>
    <s v="f530d11a-18e5-4258-95a2-275c4e51ef7c"/>
    <x v="460"/>
    <s v="11:39"/>
    <x v="138"/>
    <s v="expense"/>
    <s v="rc_cat_1781955063347_5qjb_1781955063348_laj8"/>
    <s v="rc_acc_1781955063347_uxz4"/>
    <x v="1"/>
    <s v="-"/>
    <m/>
    <s v="import"/>
    <s v=""/>
    <b v="0"/>
    <s v=""/>
  </r>
  <r>
    <s v="9ba91e12-2699-4a3c-a2ec-0cf78baeb729"/>
    <x v="460"/>
    <s v="11:42"/>
    <x v="199"/>
    <s v="income"/>
    <s v="income_1781955063347_zblt"/>
    <s v="rc_acc_1781955063347_uxz4"/>
    <x v="1"/>
    <s v="-"/>
    <m/>
    <s v="import"/>
    <s v=""/>
    <b v="0"/>
    <s v=""/>
  </r>
  <r>
    <s v="44962dc9-2d2f-4694-9d34-7592082da3ab"/>
    <x v="460"/>
    <s v="12:02"/>
    <x v="620"/>
    <s v="expense"/>
    <s v="entertain_1781955063348_kx2f"/>
    <s v="kbank"/>
    <x v="1"/>
    <s v="-"/>
    <m/>
    <s v="import"/>
    <s v=""/>
    <b v="0"/>
    <s v=""/>
  </r>
  <r>
    <s v="fdc9f9f1-cfc6-4fac-8e3b-ea92f8e510a1"/>
    <x v="460"/>
    <s v="12:03"/>
    <x v="758"/>
    <s v="expense"/>
    <s v="entertain_1781955063348_32wr"/>
    <s v="kbank"/>
    <x v="1"/>
    <s v="-"/>
    <m/>
    <s v="import"/>
    <s v=""/>
    <b v="0"/>
    <s v=""/>
  </r>
  <r>
    <s v="e8818516-3692-476c-a450-67f3ddeb4fb8"/>
    <x v="460"/>
    <s v="12:03"/>
    <x v="759"/>
    <s v="expense"/>
    <s v="entertain_1781955063348_kx2f"/>
    <s v="kbank"/>
    <x v="1"/>
    <s v="-"/>
    <m/>
    <s v="import"/>
    <s v=""/>
    <b v="0"/>
    <s v=""/>
  </r>
  <r>
    <s v="e4f505a3-36c3-46c2-b197-473c508eb32b"/>
    <x v="461"/>
    <s v="22:19"/>
    <x v="760"/>
    <s v="expense"/>
    <s v="rc_cat_1781955063347_5qjb_1781955063347_tezk"/>
    <s v="kbank"/>
    <x v="1"/>
    <s v="-"/>
    <m/>
    <s v="import"/>
    <s v=""/>
    <b v="0"/>
    <s v=""/>
  </r>
  <r>
    <s v="f4d7f877-76ec-47f4-8235-c78c8e4985f9"/>
    <x v="461"/>
    <s v="22:19"/>
    <x v="169"/>
    <s v="expense"/>
    <s v="rc_cat_1781955063347_5qjb_1781955063347_tezk"/>
    <s v="kbank"/>
    <x v="1"/>
    <s v="-"/>
    <m/>
    <s v="import"/>
    <s v=""/>
    <b v="0"/>
    <s v=""/>
  </r>
  <r>
    <s v="b0ca1b99-6291-421e-8a7b-8a6630e268a2"/>
    <x v="462"/>
    <s v="00:00"/>
    <x v="761"/>
    <s v="expense"/>
    <s v="rc_cat_1781955063347_04qb_1781955063347_lu9b"/>
    <s v="rc_acc_1781955063347_uxz4"/>
    <x v="1"/>
    <s v="-"/>
    <m/>
    <s v="import"/>
    <s v=""/>
    <b v="0"/>
    <s v=""/>
  </r>
  <r>
    <s v="a16fc1ce-dda5-4ca1-8b28-42d151dd8b62"/>
    <x v="462"/>
    <s v="00:00"/>
    <x v="762"/>
    <s v="expense"/>
    <s v="rc_cat_1781955063347_04qb_1781955063347_kgnn"/>
    <s v="rc_acc_1781955063347_uxz4"/>
    <x v="1"/>
    <s v="-"/>
    <m/>
    <s v="import"/>
    <s v=""/>
    <b v="0"/>
    <s v=""/>
  </r>
  <r>
    <s v="9b301eb3-4c8d-4c50-a5c9-d137e0bc1796"/>
    <x v="462"/>
    <s v="00:00"/>
    <x v="128"/>
    <s v="transfer"/>
    <s v="other"/>
    <s v="rc_acc_1781955063347_uxz4"/>
    <x v="21"/>
    <s v="-"/>
    <m/>
    <s v="import"/>
    <s v=""/>
    <b v="0"/>
    <s v=""/>
  </r>
  <r>
    <s v="9d37fc56-4dad-46a8-af64-5b51046f1ffa"/>
    <x v="462"/>
    <s v="00:00"/>
    <x v="31"/>
    <s v="transfer"/>
    <s v="other"/>
    <s v="rc_acc_1781955063347_uxz4"/>
    <x v="7"/>
    <s v="-"/>
    <m/>
    <s v="import"/>
    <s v=""/>
    <b v="0"/>
    <s v=""/>
  </r>
  <r>
    <s v="7fccd421-083f-4f96-b964-7e5498f2416f"/>
    <x v="462"/>
    <s v="00:00"/>
    <x v="743"/>
    <s v="transfer"/>
    <s v="other"/>
    <s v="rc_acc_1781955063347_uxz4"/>
    <x v="20"/>
    <s v="-"/>
    <m/>
    <s v="import"/>
    <s v=""/>
    <b v="0"/>
    <s v=""/>
  </r>
  <r>
    <s v="49248fc0-9865-44f1-96c9-72cfdf971fca"/>
    <x v="462"/>
    <s v="00:00"/>
    <x v="613"/>
    <s v="transfer"/>
    <s v="other"/>
    <s v="rc_acc_1781955063347_uxz4"/>
    <x v="8"/>
    <s v="-"/>
    <m/>
    <s v="import"/>
    <s v=""/>
    <b v="0"/>
    <s v=""/>
  </r>
  <r>
    <s v="3a62572d-26a5-4c9d-a547-5f03fd5df7b4"/>
    <x v="462"/>
    <s v="00:00"/>
    <x v="639"/>
    <s v="expense"/>
    <s v="rc_cat_1781955063347_04qb_1781955063350_acgf"/>
    <s v="rc_acc_1781955063347_uxz4"/>
    <x v="1"/>
    <s v="-"/>
    <m/>
    <s v="import"/>
    <s v=""/>
    <b v="0"/>
    <s v=""/>
  </r>
  <r>
    <s v="80c9c328-4f64-4435-9143-0a4d21b1ae34"/>
    <x v="462"/>
    <s v="00:00"/>
    <x v="614"/>
    <s v="income"/>
    <s v="income_1781955063347_5zxt"/>
    <s v="rc_acc_1781955063347_uxz4"/>
    <x v="1"/>
    <s v="-"/>
    <m/>
    <s v="import"/>
    <s v=""/>
    <b v="0"/>
    <s v=""/>
  </r>
  <r>
    <s v="a061381f-50af-4493-99ec-0320775c387a"/>
    <x v="462"/>
    <s v="12:18"/>
    <x v="763"/>
    <s v="expense"/>
    <s v="rc_cat_1781955063347_5qjb_1781955063347_tezk"/>
    <s v="kbank"/>
    <x v="1"/>
    <s v="-"/>
    <m/>
    <s v="import"/>
    <s v=""/>
    <b v="0"/>
    <s v=""/>
  </r>
  <r>
    <s v="094a287e-dc88-4dde-b9eb-bfa234f025db"/>
    <x v="462"/>
    <s v="12:18"/>
    <x v="608"/>
    <s v="expense"/>
    <s v="rc_cat_1781955063347_5qjb_1781955063347_tezk"/>
    <s v="kbank"/>
    <x v="1"/>
    <s v="-"/>
    <m/>
    <s v="import"/>
    <s v=""/>
    <b v="0"/>
    <s v=""/>
  </r>
  <r>
    <s v="71e80719-38fe-4d50-af97-209ef2b18c50"/>
    <x v="462"/>
    <s v="21:19"/>
    <x v="764"/>
    <s v="expense"/>
    <s v="rc_cat_1781955063347_5qjb_1781955063347_tezk"/>
    <s v="kbank"/>
    <x v="1"/>
    <s v="-"/>
    <m/>
    <s v="import"/>
    <s v=""/>
    <b v="0"/>
    <s v=""/>
  </r>
  <r>
    <s v="e815540f-278d-4e05-9d20-3f7ec4992858"/>
    <x v="463"/>
    <s v="09:17"/>
    <x v="214"/>
    <s v="expense"/>
    <s v="rc_cat_1781955063347_5qjb_1781955063347_tezk"/>
    <s v="kbank"/>
    <x v="1"/>
    <s v="-"/>
    <m/>
    <s v="import"/>
    <s v=""/>
    <b v="0"/>
    <s v=""/>
  </r>
  <r>
    <s v="b7beff26-b4e0-4546-aaab-f29259ab6db2"/>
    <x v="463"/>
    <s v="12:17"/>
    <x v="601"/>
    <s v="expense"/>
    <s v="rc_cat_1781955063347_5qjb_1781955063347_tezk"/>
    <s v="kbank"/>
    <x v="1"/>
    <s v="-"/>
    <m/>
    <s v="import"/>
    <s v=""/>
    <b v="0"/>
    <s v=""/>
  </r>
  <r>
    <s v="d9d3b840-15a8-4e05-8b51-3eeef1c759e0"/>
    <x v="463"/>
    <s v="12:18"/>
    <x v="150"/>
    <s v="expense"/>
    <s v="rc_cat_1781955063347_5qjb_1781955063347_tezk"/>
    <s v="kbank"/>
    <x v="1"/>
    <s v="-"/>
    <m/>
    <s v="import"/>
    <s v=""/>
    <b v="0"/>
    <s v=""/>
  </r>
  <r>
    <s v="4602c978-3cf6-41b4-b420-ddde877d8c67"/>
    <x v="464"/>
    <s v="12:16"/>
    <x v="199"/>
    <s v="expense"/>
    <s v="rc_cat_1781955063347_5qjb_1781955063347_tezk"/>
    <s v="kbank"/>
    <x v="1"/>
    <s v="-"/>
    <m/>
    <s v="import"/>
    <s v=""/>
    <b v="0"/>
    <s v=""/>
  </r>
  <r>
    <s v="d47e1937-fe9f-4b39-a8a3-89414a823954"/>
    <x v="464"/>
    <s v="19:16"/>
    <x v="547"/>
    <s v="expense"/>
    <s v="rc_cat_1781955063347_5qjb_1781955063347_tezk"/>
    <s v="kbank"/>
    <x v="1"/>
    <s v="-"/>
    <m/>
    <s v="import"/>
    <s v=""/>
    <b v="0"/>
    <s v=""/>
  </r>
  <r>
    <s v="43c6f5db-0549-4f96-b975-a1ac4ce2bba0"/>
    <x v="464"/>
    <s v="20:17"/>
    <x v="445"/>
    <s v="expense"/>
    <s v="rc_cat_1781955063347_5qjb_1781955063347_tezk"/>
    <s v="kbank"/>
    <x v="1"/>
    <s v="-"/>
    <m/>
    <s v="import"/>
    <s v=""/>
    <b v="0"/>
    <s v=""/>
  </r>
  <r>
    <s v="94725eb9-ddb5-459f-8fd3-1ee950c8f36e"/>
    <x v="465"/>
    <s v="09:11"/>
    <x v="239"/>
    <s v="expense"/>
    <s v="rc_cat_1781955063347_5qjb_1781955063347_tezk"/>
    <s v="kbank"/>
    <x v="1"/>
    <s v="-"/>
    <m/>
    <s v="import"/>
    <s v=""/>
    <b v="0"/>
    <s v=""/>
  </r>
  <r>
    <s v="d4d80cc5-eae0-4921-b54b-d837e581ecc7"/>
    <x v="465"/>
    <s v="22:22"/>
    <x v="8"/>
    <s v="expense"/>
    <s v="rc_cat_1781955063347_anhy_1781955063347_qnaz"/>
    <s v="kbank"/>
    <x v="1"/>
    <s v="-"/>
    <m/>
    <s v="import"/>
    <s v=""/>
    <b v="0"/>
    <s v=""/>
  </r>
  <r>
    <s v="70f32bdc-e8fc-4b03-aad9-ef09944a9063"/>
    <x v="466"/>
    <s v="08:46"/>
    <x v="150"/>
    <s v="expense"/>
    <s v="rc_cat_1781955063347_5qjb_1781955063347_tezk"/>
    <s v="kbank"/>
    <x v="1"/>
    <s v="-"/>
    <m/>
    <s v="import"/>
    <s v=""/>
    <b v="0"/>
    <s v=""/>
  </r>
  <r>
    <s v="89841bf0-921b-4137-92a4-a7600faa32b1"/>
    <x v="467"/>
    <s v="09:14"/>
    <x v="74"/>
    <s v="expense"/>
    <s v="rc_cat_1781955063347_5qjb_1781955063347_tezk"/>
    <s v="kbank"/>
    <x v="1"/>
    <s v="-"/>
    <m/>
    <s v="import"/>
    <s v=""/>
    <b v="0"/>
    <s v=""/>
  </r>
  <r>
    <s v="10aab9d2-8293-42c6-afed-02e3108fee3e"/>
    <x v="467"/>
    <s v="10:13"/>
    <x v="749"/>
    <s v="expense"/>
    <s v="rc_cat_1781955063347_5qjb_1781955063347_tezk"/>
    <s v="kbank"/>
    <x v="1"/>
    <s v="-"/>
    <m/>
    <s v="import"/>
    <s v=""/>
    <b v="0"/>
    <s v=""/>
  </r>
  <r>
    <s v="561b9f46-d9cd-408e-9429-00ead78eba59"/>
    <x v="467"/>
    <s v="11:13"/>
    <x v="765"/>
    <s v="expense"/>
    <s v="rc_cat_1781955063347_5qjb_1781955063347_irl1"/>
    <s v="rc_acc_1781955063347_e3zv"/>
    <x v="1"/>
    <s v="-"/>
    <m/>
    <s v="import"/>
    <s v=""/>
    <b v="0"/>
    <s v=""/>
  </r>
  <r>
    <s v="2933aac2-235e-487e-a656-d865cc00676f"/>
    <x v="467"/>
    <s v="13:14"/>
    <x v="766"/>
    <s v="expense"/>
    <s v="rc_cat_1781955063347_5qjb_1781955063347_tezk"/>
    <s v="rc_acc_1781955063347_e3zv"/>
    <x v="1"/>
    <s v="-"/>
    <m/>
    <s v="import"/>
    <s v=""/>
    <b v="0"/>
    <s v=""/>
  </r>
  <r>
    <s v="bd5f626e-6bd3-4c2d-b4ca-a660bf1297fb"/>
    <x v="467"/>
    <s v="14:13"/>
    <x v="465"/>
    <s v="expense"/>
    <s v="rc_cat_1781955063347_5qjb_1781955063347_irl1"/>
    <s v="rc_acc_1781955063347_e3zv"/>
    <x v="1"/>
    <s v="-"/>
    <m/>
    <s v="import"/>
    <s v=""/>
    <b v="0"/>
    <s v=""/>
  </r>
  <r>
    <s v="e4863dd7-9717-4031-a6b8-3899a4ab321e"/>
    <x v="468"/>
    <s v="16:29"/>
    <x v="767"/>
    <s v="expense"/>
    <s v="rc_cat_1781955063347_5qjb_1781955063347_tezk"/>
    <s v="kbank"/>
    <x v="1"/>
    <s v="-"/>
    <m/>
    <s v="import"/>
    <s v=""/>
    <b v="0"/>
    <s v=""/>
  </r>
  <r>
    <s v="e7a121c5-bd47-4ed7-9cbf-235b40b28b79"/>
    <x v="468"/>
    <s v="16:29"/>
    <x v="74"/>
    <s v="expense"/>
    <s v="rc_cat_1781955063347_5qjb_1781955063347_tezk"/>
    <s v="kbank"/>
    <x v="1"/>
    <s v="-"/>
    <m/>
    <s v="import"/>
    <s v=""/>
    <b v="0"/>
    <s v=""/>
  </r>
  <r>
    <s v="52ce7dad-9f78-4982-87b3-9aca65daad2e"/>
    <x v="469"/>
    <s v="12:16"/>
    <x v="608"/>
    <s v="expense"/>
    <s v="rc_cat_1781955063347_5qjb_1781955063347_tezk"/>
    <s v="kbank"/>
    <x v="1"/>
    <s v="-"/>
    <m/>
    <s v="import"/>
    <s v=""/>
    <b v="0"/>
    <s v=""/>
  </r>
  <r>
    <s v="f5a849b5-c6a9-4072-9a16-06aa087a02b0"/>
    <x v="469"/>
    <s v="12:16"/>
    <x v="199"/>
    <s v="expense"/>
    <s v="rc_cat_1781955063347_5qjb_1781955063347_tezk"/>
    <s v="kbank"/>
    <x v="1"/>
    <s v="-"/>
    <m/>
    <s v="import"/>
    <s v=""/>
    <b v="0"/>
    <s v=""/>
  </r>
  <r>
    <s v="33a114b5-7ee1-4965-bb10-6bfb7a62b351"/>
    <x v="470"/>
    <s v="09:37"/>
    <x v="150"/>
    <s v="expense"/>
    <s v="rc_cat_1781955063347_5qjb_1781955063347_tezk"/>
    <s v="kbank"/>
    <x v="1"/>
    <s v="-"/>
    <m/>
    <s v="import"/>
    <s v=""/>
    <b v="0"/>
    <s v=""/>
  </r>
  <r>
    <s v="a30a7a80-f96e-45aa-97b5-4fec9a94d7c9"/>
    <x v="471"/>
    <s v="09:02"/>
    <x v="150"/>
    <s v="expense"/>
    <s v="rc_cat_1781955063347_5qjb_1781955063347_tezk"/>
    <s v="kbank"/>
    <x v="1"/>
    <s v="-"/>
    <m/>
    <s v="import"/>
    <s v=""/>
    <b v="0"/>
    <s v=""/>
  </r>
  <r>
    <s v="e9c61e83-8d01-4d72-91e4-8335f8b2fe8f"/>
    <x v="471"/>
    <s v="12:03"/>
    <x v="356"/>
    <s v="expense"/>
    <s v="rc_cat_1781955063347_5qjb_1781955063347_tezk"/>
    <s v="kbank"/>
    <x v="1"/>
    <s v="-"/>
    <m/>
    <s v="import"/>
    <s v=""/>
    <b v="0"/>
    <s v=""/>
  </r>
  <r>
    <s v="cb8d9e12-a9be-411d-a26f-8712f55b6f33"/>
    <x v="471"/>
    <s v="12:03"/>
    <x v="768"/>
    <s v="expense"/>
    <s v="rc_cat_1781955063347_5qjb_1781955063347_tezk"/>
    <s v="kbank"/>
    <x v="1"/>
    <s v="-"/>
    <m/>
    <s v="import"/>
    <s v=""/>
    <b v="0"/>
    <s v=""/>
  </r>
  <r>
    <s v="fc80ca7a-786a-46cb-9b96-7a311ca67272"/>
    <x v="471"/>
    <s v="13:57"/>
    <x v="769"/>
    <s v="expense"/>
    <s v="rc_cat_1781955063347_5qjb_1781955063347_irl1"/>
    <s v="rc_acc_1781955063347_e3zv"/>
    <x v="1"/>
    <s v="-"/>
    <m/>
    <s v="import"/>
    <s v=""/>
    <b v="0"/>
    <s v=""/>
  </r>
  <r>
    <s v="86163d06-e124-496f-b52d-c02acd63be09"/>
    <x v="472"/>
    <s v="08:38"/>
    <x v="770"/>
    <s v="expense"/>
    <s v="rc_cat_1781955063347_5qjb_1781955063348_hrbf"/>
    <s v="rc_acc_1781955063347_0qmn"/>
    <x v="1"/>
    <s v="-"/>
    <m/>
    <s v="import"/>
    <s v=""/>
    <b v="0"/>
    <s v=""/>
  </r>
  <r>
    <s v="c2ee2193-6cb9-4022-9a7c-1f53a96b6c93"/>
    <x v="472"/>
    <s v="12:55"/>
    <x v="771"/>
    <s v="expense"/>
    <s v="rc_cat_1781955063347_5qjb_1781955063347_tezk"/>
    <s v="rc_acc_1781955063347_uxz4"/>
    <x v="1"/>
    <s v="-"/>
    <m/>
    <s v="import"/>
    <s v=""/>
    <b v="0"/>
    <s v=""/>
  </r>
  <r>
    <s v="2ea37f82-bde5-434b-9df6-c739b45e720b"/>
    <x v="472"/>
    <s v="13:08"/>
    <x v="199"/>
    <s v="expense"/>
    <s v="rc_cat_1781955063347_5qjb_1781955063347_tezk"/>
    <s v="kbank"/>
    <x v="1"/>
    <s v="-"/>
    <m/>
    <s v="import"/>
    <s v=""/>
    <b v="0"/>
    <s v=""/>
  </r>
  <r>
    <s v="9f91c7bf-34f7-45b8-8069-65b6cf424652"/>
    <x v="472"/>
    <s v="21:46"/>
    <x v="772"/>
    <s v="expense"/>
    <s v="entertain_1781955063347_8r8e"/>
    <s v="rc_acc_1781955063347_kjxt"/>
    <x v="1"/>
    <s v="-"/>
    <m/>
    <s v="import"/>
    <s v=""/>
    <b v="0"/>
    <s v=""/>
  </r>
  <r>
    <s v="e1172a5e-8c88-4b29-b03b-49fa3976104c"/>
    <x v="473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c8e9eca6-8071-416a-8227-19172a144bd3"/>
    <x v="473"/>
    <s v="00:38"/>
    <x v="211"/>
    <s v="expense"/>
    <s v="other_1781955063348_yjhe"/>
    <s v="kbank"/>
    <x v="1"/>
    <s v="-"/>
    <m/>
    <s v="import"/>
    <s v=""/>
    <b v="0"/>
    <s v=""/>
  </r>
  <r>
    <s v="18d0a7fc-c247-471a-8af5-d42f4aeae732"/>
    <x v="473"/>
    <s v="11:09"/>
    <x v="387"/>
    <s v="transfer"/>
    <s v="other"/>
    <s v="rc_acc_1781955063347_uxz4"/>
    <x v="17"/>
    <s v="-"/>
    <m/>
    <s v="import"/>
    <s v=""/>
    <b v="0"/>
    <s v=""/>
  </r>
  <r>
    <s v="143a1932-8b68-4dcc-947a-0bd1a3a24fad"/>
    <x v="473"/>
    <s v="18:46"/>
    <x v="773"/>
    <s v="expense"/>
    <s v="other_1781955063347_5s7r"/>
    <s v="kbank"/>
    <x v="1"/>
    <s v="Difference"/>
    <m/>
    <s v="import"/>
    <s v=""/>
    <b v="0"/>
    <s v=""/>
  </r>
  <r>
    <s v="0f90bdd4-1c71-403b-86c6-1a71401a21e5"/>
    <x v="473"/>
    <s v="19:17"/>
    <x v="13"/>
    <s v="expense"/>
    <s v="entertain_1781955063352_1jgx"/>
    <s v="rc_acc_1781955063348_obza"/>
    <x v="1"/>
    <s v="-"/>
    <m/>
    <s v="import"/>
    <s v=""/>
    <b v="0"/>
    <s v=""/>
  </r>
  <r>
    <s v="4746f016-63c5-4947-a015-7e252e233dd0"/>
    <x v="473"/>
    <s v="22:40"/>
    <x v="709"/>
    <s v="expense"/>
    <s v="entertain_1781955063348_32wr"/>
    <s v="rc_acc_1781955063347_kjxt"/>
    <x v="1"/>
    <s v="-"/>
    <m/>
    <s v="import"/>
    <s v=""/>
    <b v="0"/>
    <s v=""/>
  </r>
  <r>
    <s v="e5b12b94-c6cf-4e10-9ca5-bcda74437951"/>
    <x v="473"/>
    <s v="23:37"/>
    <x v="774"/>
    <s v="expense"/>
    <s v="rc_cat_1781955063347_04qb_1781955063347_wt5p"/>
    <s v="kbank"/>
    <x v="1"/>
    <s v="-"/>
    <m/>
    <s v="import"/>
    <s v=""/>
    <b v="0"/>
    <s v=""/>
  </r>
  <r>
    <s v="b95dec82-4b9c-478a-b4ee-ec187d03a24f"/>
    <x v="474"/>
    <s v="16:09"/>
    <x v="775"/>
    <s v="expense"/>
    <s v="rc_cat_1781955063347_anhy_1781955063347_qnaz"/>
    <s v="kbank"/>
    <x v="1"/>
    <s v="james"/>
    <m/>
    <s v="import"/>
    <s v=""/>
    <b v="0"/>
    <s v=""/>
  </r>
  <r>
    <s v="47e1369c-0fae-4196-8f94-842ddb358eef"/>
    <x v="475"/>
    <s v="12:07"/>
    <x v="751"/>
    <s v="expense"/>
    <s v="rc_cat_1781955063347_5qjb_1781955063347_tezk"/>
    <s v="kbank"/>
    <x v="1"/>
    <s v="-"/>
    <m/>
    <s v="import"/>
    <s v=""/>
    <b v="0"/>
    <s v=""/>
  </r>
  <r>
    <s v="a2499e49-ede6-4445-81bf-1189d1a80d0a"/>
    <x v="475"/>
    <s v="12:09"/>
    <x v="776"/>
    <s v="expense"/>
    <s v="rc_cat_1781955063347_5qjb_1781955063347_tezk"/>
    <s v="kbank"/>
    <x v="1"/>
    <s v="-"/>
    <m/>
    <s v="import"/>
    <s v=""/>
    <b v="0"/>
    <s v=""/>
  </r>
  <r>
    <s v="fb5eb9fa-438d-45c1-9612-8432522d7b2b"/>
    <x v="476"/>
    <s v="12:07"/>
    <x v="317"/>
    <s v="expense"/>
    <s v="rc_cat_1781955063347_5qjb_1781955063347_tezk"/>
    <s v="kbank"/>
    <x v="1"/>
    <s v="-"/>
    <m/>
    <s v="import"/>
    <s v=""/>
    <b v="0"/>
    <s v=""/>
  </r>
  <r>
    <s v="83ff2e1b-bbc0-4f01-bf86-24ace8be8a9a"/>
    <x v="476"/>
    <s v="12:07"/>
    <x v="22"/>
    <s v="expense"/>
    <s v="rc_cat_1781955063347_5qjb_1781955063347_tezk"/>
    <s v="kbank"/>
    <x v="1"/>
    <s v="-"/>
    <m/>
    <s v="import"/>
    <s v=""/>
    <b v="0"/>
    <s v=""/>
  </r>
  <r>
    <s v="6e6f1202-0e2f-4c0a-b2c0-356952c662ea"/>
    <x v="477"/>
    <s v="11:09"/>
    <x v="19"/>
    <s v="expense"/>
    <s v="rc_cat_1781955063347_anhy_1781955063348_k5l1"/>
    <s v="rc_acc_1781955063347_uxz4"/>
    <x v="1"/>
    <s v="เงินฝ่าย"/>
    <m/>
    <s v="import"/>
    <s v=""/>
    <b v="0"/>
    <s v=""/>
  </r>
  <r>
    <s v="9d0e0f95-c761-4989-b8c4-e207580d62ff"/>
    <x v="477"/>
    <s v="12:06"/>
    <x v="150"/>
    <s v="expense"/>
    <s v="rc_cat_1781955063347_5qjb_1781955063347_tezk"/>
    <s v="kbank"/>
    <x v="1"/>
    <s v="-"/>
    <m/>
    <s v="import"/>
    <s v=""/>
    <b v="0"/>
    <s v=""/>
  </r>
  <r>
    <s v="7f40ac00-0630-48ee-b8f9-2316b83daeb8"/>
    <x v="477"/>
    <s v="12:06"/>
    <x v="608"/>
    <s v="expense"/>
    <s v="rc_cat_1781955063347_5qjb_1781955063347_tezk"/>
    <s v="kbank"/>
    <x v="1"/>
    <s v="-"/>
    <m/>
    <s v="import"/>
    <s v=""/>
    <b v="0"/>
    <s v=""/>
  </r>
  <r>
    <s v="4eadc791-9e5b-44b0-9680-82f746a72ac6"/>
    <x v="478"/>
    <s v="09:45"/>
    <x v="317"/>
    <s v="expense"/>
    <s v="rc_cat_1781955063347_5qjb_1781955063347_tezk"/>
    <s v="kbank"/>
    <x v="1"/>
    <s v="-"/>
    <m/>
    <s v="import"/>
    <s v=""/>
    <b v="0"/>
    <s v=""/>
  </r>
  <r>
    <s v="730b4124-f1cd-49fc-801a-ab60f7a8c40c"/>
    <x v="478"/>
    <s v="09:46"/>
    <x v="199"/>
    <s v="expense"/>
    <s v="rc_cat_1781955063347_5qjb_1781955063347_tezk"/>
    <s v="kbank"/>
    <x v="1"/>
    <s v="-"/>
    <m/>
    <s v="import"/>
    <s v=""/>
    <b v="0"/>
    <s v=""/>
  </r>
  <r>
    <s v="55021b56-8e77-4b60-b47d-d0c3bf0bd655"/>
    <x v="479"/>
    <s v="10:43"/>
    <x v="749"/>
    <s v="expense"/>
    <s v="rc_cat_1781955063347_5qjb_1781955063347_tezk"/>
    <s v="kbank"/>
    <x v="1"/>
    <s v="-"/>
    <m/>
    <s v="import"/>
    <s v=""/>
    <b v="0"/>
    <s v=""/>
  </r>
  <r>
    <s v="c808796d-a64f-4a3f-8000-f769d712c636"/>
    <x v="479"/>
    <s v="10:43"/>
    <x v="265"/>
    <s v="expense"/>
    <s v="rc_cat_1781955063347_5qjb_1781955063347_tezk"/>
    <s v="kbank"/>
    <x v="1"/>
    <s v="-"/>
    <m/>
    <s v="import"/>
    <s v=""/>
    <b v="0"/>
    <s v=""/>
  </r>
  <r>
    <s v="e3dab7b3-3762-4b8a-aa72-3e192196b284"/>
    <x v="479"/>
    <s v="13:44"/>
    <x v="767"/>
    <s v="expense"/>
    <s v="rc_cat_1781955063347_5qjb_1781955063347_tezk"/>
    <s v="kbank"/>
    <x v="1"/>
    <s v="-"/>
    <m/>
    <s v="import"/>
    <s v=""/>
    <b v="0"/>
    <s v=""/>
  </r>
  <r>
    <s v="3ea53c22-871b-47c5-9828-ce565b837c2a"/>
    <x v="479"/>
    <s v="21:45"/>
    <x v="777"/>
    <s v="expense"/>
    <s v="rc_cat_1781955063347_5qjb_1781955063347_tezk"/>
    <s v="kbank"/>
    <x v="1"/>
    <s v="-"/>
    <m/>
    <s v="import"/>
    <s v=""/>
    <b v="0"/>
    <s v=""/>
  </r>
  <r>
    <s v="9465c62d-6b0f-4237-9a0c-9d37bb1f7b28"/>
    <x v="480"/>
    <s v="08:40"/>
    <x v="199"/>
    <s v="expense"/>
    <s v="rc_cat_1781955063347_5qjb_1781955063347_tezk"/>
    <s v="kbank"/>
    <x v="1"/>
    <s v="-"/>
    <m/>
    <s v="import"/>
    <s v=""/>
    <b v="0"/>
    <s v=""/>
  </r>
  <r>
    <s v="3fd3c552-5f72-47c6-ba13-e7aa81b086bf"/>
    <x v="480"/>
    <s v="18:43"/>
    <x v="778"/>
    <s v="expense"/>
    <s v="rc_cat_1781955063347_5qjb_1781955063347_tezk"/>
    <s v="kbank"/>
    <x v="1"/>
    <s v="-"/>
    <m/>
    <s v="import"/>
    <s v=""/>
    <b v="0"/>
    <s v=""/>
  </r>
  <r>
    <s v="f4e0d59d-3ee5-4e37-8cfe-bc72f6ad1011"/>
    <x v="481"/>
    <s v="18:45"/>
    <x v="175"/>
    <s v="expense"/>
    <s v="rc_cat_1781955063347_5qjb_1781955063347_tezk"/>
    <s v="kbank"/>
    <x v="1"/>
    <s v="-"/>
    <m/>
    <s v="import"/>
    <s v=""/>
    <b v="0"/>
    <s v=""/>
  </r>
  <r>
    <s v="574757b8-5520-4fc5-877a-d382102eb67b"/>
    <x v="481"/>
    <s v="21:12"/>
    <x v="5"/>
    <s v="expense"/>
    <s v="rc_cat_1781955063347_anhy_1781955063347_qnaz"/>
    <s v="rc_acc_1781955063347_uxz4"/>
    <x v="1"/>
    <s v="-"/>
    <m/>
    <s v="import"/>
    <s v=""/>
    <b v="0"/>
    <s v=""/>
  </r>
  <r>
    <s v="083f78f2-ceea-47b9-95ba-5bf3537c5719"/>
    <x v="482"/>
    <s v="09:16"/>
    <x v="777"/>
    <s v="expense"/>
    <s v="rc_cat_1781955063347_5qjb_1781955063347_tezk"/>
    <s v="kbank"/>
    <x v="1"/>
    <s v="-"/>
    <m/>
    <s v="import"/>
    <s v=""/>
    <b v="0"/>
    <s v=""/>
  </r>
  <r>
    <s v="56359bfa-43a0-403b-9ee0-a57ec6599e7f"/>
    <x v="482"/>
    <s v="09:17"/>
    <x v="779"/>
    <s v="expense"/>
    <s v="rc_cat_1781955063347_anhy_1781955063348_k5l1"/>
    <s v="kbank"/>
    <x v="1"/>
    <s v="-"/>
    <m/>
    <s v="import"/>
    <s v=""/>
    <b v="0"/>
    <s v=""/>
  </r>
  <r>
    <s v="69c2f388-f461-432f-9112-daf4f375fc7e"/>
    <x v="482"/>
    <s v="12:17"/>
    <x v="87"/>
    <s v="expense"/>
    <s v="rc_cat_1781955063347_5qjb_1781955063347_tezk"/>
    <s v="kbank"/>
    <x v="1"/>
    <s v="-"/>
    <m/>
    <s v="import"/>
    <s v=""/>
    <b v="0"/>
    <s v=""/>
  </r>
  <r>
    <s v="2676f855-97e8-4e94-9d64-5d6dfbcd0345"/>
    <x v="482"/>
    <s v="12:30"/>
    <x v="199"/>
    <s v="expense"/>
    <s v="rc_cat_1781955063347_5qjb_1781955063347_tezk"/>
    <s v="kbank"/>
    <x v="1"/>
    <s v="-"/>
    <m/>
    <s v="import"/>
    <s v=""/>
    <b v="0"/>
    <s v=""/>
  </r>
  <r>
    <s v="859675c5-50cb-4fde-90a7-e2547ab137c7"/>
    <x v="482"/>
    <s v="12:40"/>
    <x v="780"/>
    <s v="expense"/>
    <s v="rc_cat_1781955063347_5qjb_1781955063347_tezk"/>
    <s v="kbank"/>
    <x v="1"/>
    <s v="-"/>
    <m/>
    <s v="import"/>
    <s v=""/>
    <b v="0"/>
    <s v=""/>
  </r>
  <r>
    <s v="21986fa4-4dbd-452d-8ecb-4990bd13af4b"/>
    <x v="483"/>
    <s v="19:40"/>
    <x v="781"/>
    <s v="expense"/>
    <s v="rc_cat_1781955063347_5qjb_1781955063347_tezk"/>
    <s v="rc_acc_1781955063348_w3gp"/>
    <x v="1"/>
    <s v="-"/>
    <m/>
    <s v="import"/>
    <s v=""/>
    <b v="0"/>
    <s v=""/>
  </r>
  <r>
    <s v="ce485955-2268-4cc9-b95f-4c9d74c2ea98"/>
    <x v="483"/>
    <s v="23:58"/>
    <x v="782"/>
    <s v="expense"/>
    <s v="rc_cat_1781955063347_anhy_1781955063347_qnaz"/>
    <s v="rc_acc_1781955063347_uxz4"/>
    <x v="1"/>
    <s v="รักษาป๊า"/>
    <m/>
    <s v="import"/>
    <s v=""/>
    <b v="0"/>
    <s v=""/>
  </r>
  <r>
    <s v="4339b954-6c3c-40f1-9a72-c501f36944f5"/>
    <x v="484"/>
    <s v="12:31"/>
    <x v="783"/>
    <s v="expense"/>
    <s v="rc_cat_1781955063347_5qjb_1781955063347_tezk"/>
    <s v="kbank"/>
    <x v="1"/>
    <s v="-"/>
    <m/>
    <s v="import"/>
    <s v=""/>
    <b v="0"/>
    <s v=""/>
  </r>
  <r>
    <s v="3bc0d2c3-398a-4870-9a70-1972a03e1591"/>
    <x v="484"/>
    <s v="12:31"/>
    <x v="22"/>
    <s v="expense"/>
    <s v="rc_cat_1781955063347_5qjb_1781955063347_tezk"/>
    <s v="kbank"/>
    <x v="1"/>
    <s v="-"/>
    <m/>
    <s v="import"/>
    <s v=""/>
    <b v="0"/>
    <s v=""/>
  </r>
  <r>
    <s v="d024596f-16a7-41a1-b724-f9f12591de74"/>
    <x v="485"/>
    <s v="15:20"/>
    <x v="211"/>
    <s v="transfer"/>
    <s v="other"/>
    <s v="kbank"/>
    <x v="2"/>
    <s v="ล่วงหน้า ทริปหัวหิน"/>
    <m/>
    <s v="import"/>
    <s v=""/>
    <b v="0"/>
    <s v=""/>
  </r>
  <r>
    <s v="4cc20c47-22df-4f70-aebe-4438d3f2c847"/>
    <x v="486"/>
    <s v="11:19"/>
    <x v="784"/>
    <s v="expense"/>
    <s v="entertain_1781955063347_8r8e"/>
    <s v="rc_acc_1781955063347_kjxt"/>
    <x v="1"/>
    <s v="-"/>
    <m/>
    <s v="import"/>
    <s v=""/>
    <b v="0"/>
    <s v=""/>
  </r>
  <r>
    <s v="b2f65ccb-5b08-433a-95ad-23eae76b42c7"/>
    <x v="486"/>
    <s v="19:06"/>
    <x v="756"/>
    <s v="transfer"/>
    <s v="other"/>
    <s v="rc_acc_1781955063347_kjxt"/>
    <x v="5"/>
    <s v="-"/>
    <m/>
    <s v="import"/>
    <s v=""/>
    <b v="0"/>
    <s v=""/>
  </r>
  <r>
    <s v="628fd7ad-a2cc-48c3-905a-7f8a96411a22"/>
    <x v="486"/>
    <s v="20:53"/>
    <x v="785"/>
    <s v="expense"/>
    <s v="entertain_1781955063348_kx2f"/>
    <s v="rc_acc_1781955063350_i8ms"/>
    <x v="1"/>
    <s v="s22 ultra(10/10)"/>
    <m/>
    <s v="import"/>
    <s v=""/>
    <b v="0"/>
    <s v=""/>
  </r>
  <r>
    <s v="2219d85e-9162-4d72-94ad-5a8f52e9fbb8"/>
    <x v="487"/>
    <s v="09:39"/>
    <x v="780"/>
    <s v="expense"/>
    <s v="rc_cat_1781955063347_5qjb_1781955063347_tezk"/>
    <s v="kbank"/>
    <x v="1"/>
    <s v="-"/>
    <m/>
    <s v="import"/>
    <s v=""/>
    <b v="0"/>
    <s v=""/>
  </r>
  <r>
    <s v="1509bbdd-a110-44d4-84f4-36b765131bcc"/>
    <x v="487"/>
    <s v="20:40"/>
    <x v="784"/>
    <s v="transfer"/>
    <s v="other"/>
    <s v="kbank"/>
    <x v="6"/>
    <s v="-"/>
    <m/>
    <s v="import"/>
    <s v=""/>
    <b v="0"/>
    <s v=""/>
  </r>
  <r>
    <s v="60b945b1-eed1-4940-8062-21037716f2f0"/>
    <x v="488"/>
    <s v="09:39"/>
    <x v="199"/>
    <s v="expense"/>
    <s v="rc_cat_1781955063347_5qjb_1781955063347_tezk"/>
    <s v="kbank"/>
    <x v="1"/>
    <s v="-"/>
    <m/>
    <s v="import"/>
    <s v=""/>
    <b v="0"/>
    <s v=""/>
  </r>
  <r>
    <s v="bb1a94a6-0bfa-48e1-8683-cd1ea9e646c1"/>
    <x v="488"/>
    <s v="19:05"/>
    <x v="786"/>
    <s v="expense"/>
    <s v="rc_cat_1781955063347_5qjb_1781955063347_tezk"/>
    <s v="rc_acc_1781955063347_uxz4"/>
    <x v="1"/>
    <s v="-"/>
    <m/>
    <s v="import"/>
    <s v=""/>
    <b v="0"/>
    <s v=""/>
  </r>
  <r>
    <s v="451a1b52-799f-48f2-b45f-b858c1439ee6"/>
    <x v="488"/>
    <s v="19:05"/>
    <x v="150"/>
    <s v="expense"/>
    <s v="rc_cat_1781955063347_5qjb_1781955063347_tezk"/>
    <s v="rc_acc_1781955063347_uxz4"/>
    <x v="1"/>
    <s v="-"/>
    <m/>
    <s v="import"/>
    <s v=""/>
    <b v="0"/>
    <s v=""/>
  </r>
  <r>
    <s v="d7d0d8cb-c92d-4e9e-9c4a-a7cbbf0a5d4d"/>
    <x v="489"/>
    <s v="00:00"/>
    <x v="128"/>
    <s v="transfer"/>
    <s v="other"/>
    <s v="rc_acc_1781955063347_uxz4"/>
    <x v="21"/>
    <s v="-"/>
    <m/>
    <s v="import"/>
    <s v=""/>
    <b v="0"/>
    <s v=""/>
  </r>
  <r>
    <s v="7100206e-62a4-4d36-8ea3-9aad8a7be88e"/>
    <x v="489"/>
    <s v="00:00"/>
    <x v="31"/>
    <s v="transfer"/>
    <s v="other"/>
    <s v="rc_acc_1781955063347_uxz4"/>
    <x v="7"/>
    <s v="-"/>
    <m/>
    <s v="import"/>
    <s v=""/>
    <b v="0"/>
    <s v=""/>
  </r>
  <r>
    <s v="1336fd66-a0e9-4a2b-8c6e-e7666068b3be"/>
    <x v="489"/>
    <s v="00:00"/>
    <x v="743"/>
    <s v="transfer"/>
    <s v="other"/>
    <s v="rc_acc_1781955063347_uxz4"/>
    <x v="20"/>
    <s v="-"/>
    <m/>
    <s v="import"/>
    <s v=""/>
    <b v="0"/>
    <s v=""/>
  </r>
  <r>
    <s v="63d2abc3-2d21-4044-98d3-39251be1e276"/>
    <x v="489"/>
    <s v="00:00"/>
    <x v="613"/>
    <s v="transfer"/>
    <s v="other"/>
    <s v="rc_acc_1781955063347_uxz4"/>
    <x v="8"/>
    <s v="-"/>
    <m/>
    <s v="import"/>
    <s v=""/>
    <b v="0"/>
    <s v=""/>
  </r>
  <r>
    <s v="18707016-71e1-45cd-bece-ff530040023f"/>
    <x v="489"/>
    <s v="00:00"/>
    <x v="639"/>
    <s v="expense"/>
    <s v="rc_cat_1781955063347_04qb_1781955063350_acgf"/>
    <s v="rc_acc_1781955063347_uxz4"/>
    <x v="1"/>
    <s v="-"/>
    <m/>
    <s v="import"/>
    <s v=""/>
    <b v="0"/>
    <s v=""/>
  </r>
  <r>
    <s v="e76e85fb-ee05-49b5-9994-b8d2fa7f9aaa"/>
    <x v="489"/>
    <s v="00:00"/>
    <x v="787"/>
    <s v="expense"/>
    <s v="rc_cat_1781955063347_04qb_1781955063347_kgnn"/>
    <s v="rc_acc_1781955063347_uxz4"/>
    <x v="1"/>
    <s v="-"/>
    <m/>
    <s v="import"/>
    <s v=""/>
    <b v="0"/>
    <s v=""/>
  </r>
  <r>
    <s v="03b6204a-061c-4439-be84-d61705961381"/>
    <x v="489"/>
    <s v="00:00"/>
    <x v="788"/>
    <s v="expense"/>
    <s v="rc_cat_1781955063347_04qb_1781955063347_lu9b"/>
    <s v="rc_acc_1781955063347_uxz4"/>
    <x v="1"/>
    <s v="-"/>
    <m/>
    <s v="import"/>
    <s v=""/>
    <b v="0"/>
    <s v=""/>
  </r>
  <r>
    <s v="415663ab-1616-48ca-84e1-d3586437005f"/>
    <x v="489"/>
    <s v="00:00"/>
    <x v="614"/>
    <s v="income"/>
    <s v="income_1781955063347_5zxt"/>
    <s v="rc_acc_1781955063347_uxz4"/>
    <x v="1"/>
    <s v="-"/>
    <m/>
    <s v="import"/>
    <s v=""/>
    <b v="0"/>
    <s v=""/>
  </r>
  <r>
    <s v="76a61f87-acfb-44f4-937e-0df5686b80e1"/>
    <x v="489"/>
    <s v="00:02"/>
    <x v="789"/>
    <s v="expense"/>
    <s v="other_1781955063347_5s7r"/>
    <s v="rc_acc_1781955063347_uxz4"/>
    <x v="1"/>
    <s v="Difference"/>
    <m/>
    <s v="import"/>
    <s v=""/>
    <b v="0"/>
    <s v=""/>
  </r>
  <r>
    <s v="5413d4d1-9771-4cb8-b08a-9952657dde1c"/>
    <x v="489"/>
    <s v="12:04"/>
    <x v="17"/>
    <s v="expense"/>
    <s v="rc_cat_1781955063347_5qjb_1781955063347_tezk"/>
    <s v="rc_acc_1781955063347_uxz4"/>
    <x v="1"/>
    <s v="steve"/>
    <m/>
    <s v="import"/>
    <s v=""/>
    <b v="0"/>
    <s v=""/>
  </r>
  <r>
    <s v="6f21f4d6-a380-4afd-a688-7fee9afacca2"/>
    <x v="490"/>
    <s v="18:57"/>
    <x v="790"/>
    <s v="expense"/>
    <s v="entertain_1781955063348_kx2f"/>
    <s v="rc_acc_1781955063347_uxz4"/>
    <x v="1"/>
    <s v="sips shopee"/>
    <m/>
    <s v="import"/>
    <s v=""/>
    <b v="0"/>
    <s v=""/>
  </r>
  <r>
    <s v="f6a7b770-8026-4fad-ac26-1ab7caabc28b"/>
    <x v="491"/>
    <s v="18:59"/>
    <x v="791"/>
    <s v="transfer"/>
    <s v="other"/>
    <s v="rc_acc_1781955063347_uxz4"/>
    <x v="2"/>
    <s v="ซีฟูดทริปหลวงพ่อโสธร"/>
    <m/>
    <s v="import"/>
    <s v=""/>
    <b v="0"/>
    <s v=""/>
  </r>
  <r>
    <s v="7369cd4c-21c6-4497-8021-19db6789ef7d"/>
    <x v="492"/>
    <s v="17:56"/>
    <x v="792"/>
    <s v="expense"/>
    <s v="rc_cat_1781955063347_anhy_1781955063347_qnaz"/>
    <s v="rc_acc_1781955063347_uxz4"/>
    <x v="1"/>
    <s v="-"/>
    <m/>
    <s v="import"/>
    <s v=""/>
    <b v="0"/>
    <s v=""/>
  </r>
  <r>
    <s v="c832fd67-6f5e-4111-af07-546ffaad2960"/>
    <x v="492"/>
    <s v="18:38"/>
    <x v="785"/>
    <s v="transfer"/>
    <s v="other"/>
    <s v="kbank"/>
    <x v="26"/>
    <s v="-"/>
    <m/>
    <s v="import"/>
    <s v=""/>
    <b v="0"/>
    <s v=""/>
  </r>
  <r>
    <s v="1513f0d1-7119-43ea-a3a4-30d41b905817"/>
    <x v="492"/>
    <s v="18:38"/>
    <x v="793"/>
    <s v="transfer"/>
    <s v="other"/>
    <s v="kbank"/>
    <x v="24"/>
    <s v="-"/>
    <m/>
    <s v="import"/>
    <s v=""/>
    <b v="0"/>
    <s v=""/>
  </r>
  <r>
    <s v="f97d9f03-e9b7-47b1-baf7-cb1f086bcef3"/>
    <x v="492"/>
    <s v="18:55"/>
    <x v="141"/>
    <s v="transfer"/>
    <s v="other"/>
    <s v="rc_acc_1781955063347_uxz4"/>
    <x v="2"/>
    <s v="ยอดก้อน กับเพ่งเพ้ง 1489 670"/>
    <m/>
    <s v="import"/>
    <s v=""/>
    <b v="0"/>
    <s v=""/>
  </r>
  <r>
    <s v="f3f5d48a-9ee4-4105-b7ee-d04f74f4908a"/>
    <x v="492"/>
    <s v="18:56"/>
    <x v="438"/>
    <s v="transfer"/>
    <s v="other"/>
    <s v="rc_acc_1781955063347_uxz4"/>
    <x v="25"/>
    <s v="-"/>
    <m/>
    <s v="import"/>
    <s v=""/>
    <b v="0"/>
    <s v=""/>
  </r>
  <r>
    <s v="69e49f62-6a40-434b-824c-a1b31a1b650d"/>
    <x v="492"/>
    <s v="18:56"/>
    <x v="794"/>
    <s v="transfer"/>
    <s v="other"/>
    <s v="advance"/>
    <x v="5"/>
    <s v="เคลียอดเกาหลี"/>
    <m/>
    <s v="import"/>
    <s v=""/>
    <b v="0"/>
    <s v=""/>
  </r>
  <r>
    <s v="3d14f403-89fb-482c-afcd-46d6c80ea766"/>
    <x v="492"/>
    <s v="20:47"/>
    <x v="795"/>
    <s v="expense"/>
    <s v="entertain_1781955063348_kx2f"/>
    <s v="rc_acc_1781955063348_obza"/>
    <x v="1"/>
    <s v="drive"/>
    <m/>
    <s v="import"/>
    <s v=""/>
    <b v="0"/>
    <s v=""/>
  </r>
  <r>
    <s v="1e504182-f2ea-470f-a6ec-70dddcdbe662"/>
    <x v="493"/>
    <s v="09:37"/>
    <x v="22"/>
    <s v="expense"/>
    <s v="rc_cat_1781955063347_5qjb_1781955063347_tezk"/>
    <s v="kbank"/>
    <x v="1"/>
    <s v="-"/>
    <m/>
    <s v="import"/>
    <s v=""/>
    <b v="0"/>
    <s v=""/>
  </r>
  <r>
    <s v="90a01f83-cd7d-4538-b500-8b203ebce033"/>
    <x v="493"/>
    <s v="12:30"/>
    <x v="796"/>
    <s v="expense"/>
    <s v="rc_cat_1781955063347_5qjb_1781955063347_tezk"/>
    <s v="kbank"/>
    <x v="1"/>
    <s v="-"/>
    <m/>
    <s v="import"/>
    <s v=""/>
    <b v="0"/>
    <s v=""/>
  </r>
  <r>
    <s v="9bb910ed-a96c-4153-bc6a-5d7da9c96c7b"/>
    <x v="493"/>
    <s v="12:54"/>
    <x v="265"/>
    <s v="expense"/>
    <s v="rc_cat_1781955063347_5qjb_1781955063347_tezk"/>
    <s v="rc_acc_1781955063347_uxz4"/>
    <x v="1"/>
    <s v="-"/>
    <m/>
    <s v="import"/>
    <s v=""/>
    <b v="0"/>
    <s v=""/>
  </r>
  <r>
    <s v="f9dbb1c0-c410-49e2-8f13-5735a4fce75e"/>
    <x v="494"/>
    <s v="12:40"/>
    <x v="616"/>
    <s v="expense"/>
    <s v="rc_cat_1781955063347_5qjb_1781955063347_tezk"/>
    <s v="kbank"/>
    <x v="1"/>
    <s v="-"/>
    <m/>
    <s v="import"/>
    <s v=""/>
    <b v="0"/>
    <s v=""/>
  </r>
  <r>
    <s v="44a8965d-070f-4cba-aef8-10a785c5097c"/>
    <x v="495"/>
    <s v="09:35"/>
    <x v="317"/>
    <s v="expense"/>
    <s v="rc_cat_1781955063347_5qjb_1781955063347_tezk"/>
    <s v="kbank"/>
    <x v="1"/>
    <s v="-"/>
    <m/>
    <s v="import"/>
    <s v=""/>
    <b v="0"/>
    <s v=""/>
  </r>
  <r>
    <s v="5776f8f3-af95-49af-be85-fe34e998565b"/>
    <x v="495"/>
    <s v="09:41"/>
    <x v="767"/>
    <s v="expense"/>
    <s v="rc_cat_1781955063347_5qjb_1781955063347_tezk"/>
    <s v="kbank"/>
    <x v="1"/>
    <s v="-"/>
    <m/>
    <s v="import"/>
    <s v=""/>
    <b v="0"/>
    <s v=""/>
  </r>
  <r>
    <s v="ab16cde4-6f8a-400d-8082-88af52b18e44"/>
    <x v="496"/>
    <s v="12:35"/>
    <x v="169"/>
    <s v="expense"/>
    <s v="rc_cat_1781955063347_5qjb_1781955063347_tezk"/>
    <s v="kbank"/>
    <x v="1"/>
    <s v="-"/>
    <m/>
    <s v="import"/>
    <s v=""/>
    <b v="0"/>
    <s v=""/>
  </r>
  <r>
    <s v="65bd431f-db2f-4174-9db3-bf37b70ff4c0"/>
    <x v="497"/>
    <s v="07:53"/>
    <x v="797"/>
    <s v="expense"/>
    <s v="rc_cat_1781955063347_04qb_1781955063347_wt5p"/>
    <s v="rc_acc_1781955063347_uxz4"/>
    <x v="1"/>
    <s v="-"/>
    <m/>
    <s v="import"/>
    <s v=""/>
    <b v="0"/>
    <s v=""/>
  </r>
  <r>
    <s v="2e4e885b-690e-42eb-b8e6-8063f8b13b1c"/>
    <x v="497"/>
    <s v="12:34"/>
    <x v="239"/>
    <s v="expense"/>
    <s v="rc_cat_1781955063347_5qjb_1781955063347_tezk"/>
    <s v="kbank"/>
    <x v="1"/>
    <s v="-"/>
    <m/>
    <s v="import"/>
    <s v=""/>
    <b v="0"/>
    <s v=""/>
  </r>
  <r>
    <s v="66a771fb-e370-48b7-87ed-a56ba30ca105"/>
    <x v="498"/>
    <s v="09:47"/>
    <x v="681"/>
    <s v="transfer"/>
    <s v="other"/>
    <s v="rc_acc_1781955063347_uxz4"/>
    <x v="2"/>
    <s v="ตวง"/>
    <m/>
    <s v="import"/>
    <s v=""/>
    <b v="0"/>
    <s v=""/>
  </r>
  <r>
    <s v="c3a108ff-505e-4411-b08a-74181257e4e3"/>
    <x v="499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9ba74641-d2be-49f5-94a8-4580e19ef34c"/>
    <x v="499"/>
    <s v="12:34"/>
    <x v="150"/>
    <s v="expense"/>
    <s v="rc_cat_1781955063347_5qjb_1781955063347_tezk"/>
    <s v="kbank"/>
    <x v="1"/>
    <s v="-"/>
    <m/>
    <s v="import"/>
    <s v=""/>
    <b v="0"/>
    <s v=""/>
  </r>
  <r>
    <s v="4395aa2a-4d9b-4312-9b53-508b267575fe"/>
    <x v="499"/>
    <s v="16:48"/>
    <x v="768"/>
    <s v="expense"/>
    <s v="rc_cat_1781955063347_5qjb_1781955063347_tezk"/>
    <s v="rc_acc_1781955063347_uxz4"/>
    <x v="1"/>
    <s v="-"/>
    <m/>
    <s v="import"/>
    <s v=""/>
    <b v="0"/>
    <s v=""/>
  </r>
  <r>
    <s v="5aaebccf-dcf3-47a7-be7a-5269d5e639d2"/>
    <x v="499"/>
    <s v="18:48"/>
    <x v="387"/>
    <s v="expense"/>
    <s v="rc_cat_1781955063347_5qjb_1781955063348_laj8"/>
    <s v="rc_acc_1781955063347_uxz4"/>
    <x v="1"/>
    <s v="-"/>
    <m/>
    <s v="import"/>
    <s v=""/>
    <b v="0"/>
    <s v=""/>
  </r>
  <r>
    <s v="4fec2a43-ec7a-4c99-ac6b-58c9f3a1202a"/>
    <x v="500"/>
    <s v="12:45"/>
    <x v="323"/>
    <s v="expense"/>
    <s v="rc_cat_1781955063347_5qjb_1781955063347_tezk"/>
    <s v="kbank"/>
    <x v="1"/>
    <s v="-"/>
    <m/>
    <s v="import"/>
    <s v=""/>
    <b v="0"/>
    <s v=""/>
  </r>
  <r>
    <s v="d8cb8404-f217-4dd4-a707-f39e45ad4cd1"/>
    <x v="500"/>
    <s v="18:53"/>
    <x v="169"/>
    <s v="expense"/>
    <s v="rc_cat_1781955063347_5qjb_1781955063347_tezk"/>
    <s v="rc_acc_1781955063347_uxz4"/>
    <x v="1"/>
    <s v="-"/>
    <m/>
    <s v="import"/>
    <s v=""/>
    <b v="0"/>
    <s v=""/>
  </r>
  <r>
    <s v="19d29ff7-6dee-4cad-ba9e-00d3222e668a"/>
    <x v="501"/>
    <s v="08:45"/>
    <x v="317"/>
    <s v="expense"/>
    <s v="rc_cat_1781955063347_5qjb_1781955063347_tezk"/>
    <s v="kbank"/>
    <x v="1"/>
    <s v="-"/>
    <m/>
    <s v="import"/>
    <s v=""/>
    <b v="0"/>
    <s v=""/>
  </r>
  <r>
    <s v="447f9282-1167-401b-9c83-fd62249f6d82"/>
    <x v="501"/>
    <s v="12:40"/>
    <x v="798"/>
    <s v="expense"/>
    <s v="rc_cat_1781955063347_5qjb_1781955063347_tezk"/>
    <s v="kbank"/>
    <x v="1"/>
    <s v="-"/>
    <m/>
    <s v="import"/>
    <s v=""/>
    <b v="0"/>
    <s v=""/>
  </r>
  <r>
    <s v="055d4b59-eb9d-4eb3-9c95-58457e881f35"/>
    <x v="501"/>
    <s v="12:50"/>
    <x v="169"/>
    <s v="expense"/>
    <s v="rc_cat_1781955063347_5qjb_1781955063347_tezk"/>
    <s v="kbank"/>
    <x v="1"/>
    <s v="-"/>
    <m/>
    <s v="import"/>
    <s v=""/>
    <b v="0"/>
    <s v=""/>
  </r>
  <r>
    <s v="1eeb14ec-e019-4de1-89e0-ca5e8332a96e"/>
    <x v="501"/>
    <s v="18:22"/>
    <x v="665"/>
    <s v="transfer"/>
    <s v="other"/>
    <s v="rc_acc_1781955063347_uxz4"/>
    <x v="4"/>
    <s v="-"/>
    <m/>
    <s v="import"/>
    <s v=""/>
    <b v="0"/>
    <s v=""/>
  </r>
  <r>
    <s v="b1ad5c20-3884-41ef-988c-ff6e857fe5de"/>
    <x v="502"/>
    <s v="09:03"/>
    <x v="356"/>
    <s v="expense"/>
    <s v="rc_cat_1781955063347_5qjb_1781955063347_tezk"/>
    <s v="rc_acc_1781955063347_0qmn"/>
    <x v="1"/>
    <s v="-"/>
    <m/>
    <s v="import"/>
    <s v=""/>
    <b v="0"/>
    <s v=""/>
  </r>
  <r>
    <s v="7de6107a-8bea-40b7-a1bc-077ab4fce407"/>
    <x v="502"/>
    <s v="09:52"/>
    <x v="545"/>
    <s v="expense"/>
    <s v="rc_cat_1781955063347_5qjb_1781955063347_tezk"/>
    <s v="rc_acc_1781955063347_uxz4"/>
    <x v="1"/>
    <s v="-"/>
    <m/>
    <s v="import"/>
    <s v=""/>
    <b v="0"/>
    <s v=""/>
  </r>
  <r>
    <s v="8bf189cf-87c4-437e-96e9-92d83d6d5b31"/>
    <x v="502"/>
    <s v="12:20"/>
    <x v="87"/>
    <s v="expense"/>
    <s v="rc_cat_1781955063347_5qjb_1781955063347_tezk"/>
    <s v="kbank"/>
    <x v="1"/>
    <s v="-"/>
    <m/>
    <s v="import"/>
    <s v=""/>
    <b v="0"/>
    <s v=""/>
  </r>
  <r>
    <s v="0147bc60-f6ba-4839-af5f-e78845dfd299"/>
    <x v="502"/>
    <s v="14:20"/>
    <x v="0"/>
    <s v="transfer"/>
    <s v="other"/>
    <s v="kbank"/>
    <x v="10"/>
    <s v="-"/>
    <m/>
    <s v="import"/>
    <s v=""/>
    <b v="0"/>
    <s v=""/>
  </r>
  <r>
    <s v="5b50e813-faf5-400f-8dd3-52b48f6a6d2f"/>
    <x v="503"/>
    <s v="12:45"/>
    <x v="799"/>
    <s v="expense"/>
    <s v="rc_cat_1781955063347_5qjb_1781955063347_tezk"/>
    <s v="rc_acc_1781955063347_uxz4"/>
    <x v="1"/>
    <s v="-"/>
    <m/>
    <s v="import"/>
    <s v=""/>
    <b v="0"/>
    <s v=""/>
  </r>
  <r>
    <s v="b428d1f6-654b-4e9f-a276-db6711d0b264"/>
    <x v="504"/>
    <s v="10:21"/>
    <x v="19"/>
    <s v="expense"/>
    <s v="rc_cat_1781955063347_5qjb_1781955063348_laj8"/>
    <s v="rc_acc_1781955063347_uxz4"/>
    <x v="1"/>
    <s v="-"/>
    <m/>
    <s v="import"/>
    <s v=""/>
    <b v="0"/>
    <s v=""/>
  </r>
  <r>
    <s v="398efccf-b919-40c5-8a98-de3013cbac94"/>
    <x v="504"/>
    <s v="10:21"/>
    <x v="800"/>
    <s v="expense"/>
    <s v="rc_cat_1781955063347_5qjb_1781955063348_wpky"/>
    <s v="rc_acc_1781955063347_0qmn"/>
    <x v="1"/>
    <s v="เก้าอี้รองนั่ง"/>
    <m/>
    <s v="import"/>
    <s v=""/>
    <b v="0"/>
    <s v=""/>
  </r>
  <r>
    <s v="cd55762d-a119-404a-bdda-a03d3cd8f90a"/>
    <x v="504"/>
    <s v="10:21"/>
    <x v="273"/>
    <s v="expense"/>
    <s v="rc_cat_1781955063347_5qjb_1781955063347_tezk"/>
    <s v="rc_acc_1781955063347_0qmn"/>
    <x v="1"/>
    <s v="บาบิก้อน"/>
    <m/>
    <s v="import"/>
    <s v=""/>
    <b v="0"/>
    <s v=""/>
  </r>
  <r>
    <s v="1ca7f840-f5a4-46ad-9eb8-13ce45b8254d"/>
    <x v="504"/>
    <s v="10:22"/>
    <x v="645"/>
    <s v="expense"/>
    <s v="rc_cat_1781955063347_5qjb_1781955063348_laj8"/>
    <s v="rc_acc_1781955063347_0qmn"/>
    <x v="1"/>
    <s v="-"/>
    <m/>
    <s v="import"/>
    <s v=""/>
    <b v="0"/>
    <s v=""/>
  </r>
  <r>
    <s v="71a3a73d-ea86-44b9-b638-223ae1ec3c9e"/>
    <x v="505"/>
    <s v="10:25"/>
    <x v="796"/>
    <s v="transfer"/>
    <s v="other"/>
    <s v="rc_acc_1781955063347_0qmn"/>
    <x v="4"/>
    <s v="กิมโป้"/>
    <m/>
    <s v="import"/>
    <s v=""/>
    <b v="0"/>
    <s v=""/>
  </r>
  <r>
    <s v="aa2e805a-0df9-4194-93c6-811c6d45a729"/>
    <x v="505"/>
    <s v="11:15"/>
    <x v="801"/>
    <s v="transfer"/>
    <s v="other"/>
    <s v="rc_acc_1781955063347_e3zv"/>
    <x v="2"/>
    <s v="ค่าจอดรถกลับจากเกาหลี"/>
    <m/>
    <s v="import"/>
    <s v=""/>
    <b v="0"/>
    <s v=""/>
  </r>
  <r>
    <s v="0b23c8f6-19b6-47a5-a7b0-4862a9c3110e"/>
    <x v="505"/>
    <s v="12:03"/>
    <x v="802"/>
    <s v="expense"/>
    <s v="other_1781955063347_5s7r"/>
    <s v="rc_acc_1781955063347_omhz"/>
    <x v="1"/>
    <s v="Difference"/>
    <m/>
    <s v="import"/>
    <s v=""/>
    <b v="0"/>
    <s v=""/>
  </r>
  <r>
    <s v="581ecd63-72f3-4a65-a610-29374a19018d"/>
    <x v="505"/>
    <s v="17:50"/>
    <x v="803"/>
    <s v="expense"/>
    <s v="rc_cat_1781955063347_s4sz_1781955063347_9tpp"/>
    <s v="rc_acc_1781955063347_uxz4"/>
    <x v="1"/>
    <s v="-"/>
    <m/>
    <s v="import"/>
    <s v=""/>
    <b v="0"/>
    <s v=""/>
  </r>
  <r>
    <s v="ff7b9862-cfeb-466a-a3a7-5bb61358f0ba"/>
    <x v="505"/>
    <s v="18:50"/>
    <x v="211"/>
    <s v="expense"/>
    <s v="other_1781955063348_yjhe"/>
    <s v="rc_acc_1781955063347_uxz4"/>
    <x v="1"/>
    <s v="ยุ้ย"/>
    <m/>
    <s v="import"/>
    <s v=""/>
    <b v="0"/>
    <s v=""/>
  </r>
  <r>
    <s v="73942d74-322e-468c-8fd1-6263d3aaed91"/>
    <x v="506"/>
    <s v="09:55"/>
    <x v="804"/>
    <s v="transfer"/>
    <s v="other"/>
    <s v="rc_acc_1781955063347_uxz4"/>
    <x v="4"/>
    <s v="-"/>
    <m/>
    <s v="import"/>
    <s v=""/>
    <b v="0"/>
    <s v=""/>
  </r>
  <r>
    <s v="3b47a325-e11e-4ec5-99c6-43a38a3572a9"/>
    <x v="506"/>
    <s v="12:40"/>
    <x v="458"/>
    <s v="expense"/>
    <s v="rc_cat_1781955063347_5qjb_1781955063347_tezk"/>
    <s v="kbank"/>
    <x v="1"/>
    <s v="-"/>
    <m/>
    <s v="import"/>
    <s v=""/>
    <b v="0"/>
    <s v=""/>
  </r>
  <r>
    <s v="85621a30-11d7-414a-94ff-1f611997da60"/>
    <x v="507"/>
    <s v="12:21"/>
    <x v="608"/>
    <s v="expense"/>
    <s v="rc_cat_1781955063347_5qjb_1781955063347_tezk"/>
    <s v="kbank"/>
    <x v="1"/>
    <s v="-"/>
    <m/>
    <s v="import"/>
    <s v=""/>
    <b v="0"/>
    <s v=""/>
  </r>
  <r>
    <s v="fde09700-2d5e-4333-8a79-0b02ec21c44b"/>
    <x v="507"/>
    <s v="13:02"/>
    <x v="150"/>
    <s v="expense"/>
    <s v="rc_cat_1781955063347_5qjb_1781955063347_tezk"/>
    <s v="kbank"/>
    <x v="1"/>
    <s v="-"/>
    <m/>
    <s v="import"/>
    <s v=""/>
    <b v="0"/>
    <s v=""/>
  </r>
  <r>
    <s v="f9ce30e4-9f9e-4d8a-a906-f0b273ae0917"/>
    <x v="508"/>
    <s v="08:51"/>
    <x v="317"/>
    <s v="expense"/>
    <s v="rc_cat_1781955063347_5qjb_1781955063347_tezk"/>
    <s v="kbank"/>
    <x v="1"/>
    <s v="-"/>
    <m/>
    <s v="import"/>
    <s v=""/>
    <b v="0"/>
    <s v=""/>
  </r>
  <r>
    <s v="d7a70684-c21c-46f4-b5f4-548889438fdd"/>
    <x v="508"/>
    <s v="10:03"/>
    <x v="0"/>
    <s v="transfer"/>
    <s v="other"/>
    <s v="kbank"/>
    <x v="10"/>
    <s v="ssf"/>
    <m/>
    <s v="import"/>
    <s v=""/>
    <b v="0"/>
    <s v=""/>
  </r>
  <r>
    <s v="50627150-64b0-4e52-9a3a-82ae5379bfb4"/>
    <x v="508"/>
    <s v="12:40"/>
    <x v="779"/>
    <s v="expense"/>
    <s v="rc_cat_1781955063347_5qjb_1781955063347_tezk"/>
    <s v="kbank"/>
    <x v="1"/>
    <s v="-"/>
    <m/>
    <s v="import"/>
    <s v=""/>
    <b v="0"/>
    <s v=""/>
  </r>
  <r>
    <s v="5a32677d-4b2a-4355-9db8-2cc3e316edee"/>
    <x v="508"/>
    <s v="18:19"/>
    <x v="22"/>
    <s v="expense"/>
    <s v="rc_cat_1781955063347_5qjb_1781955063347_tezk"/>
    <s v="kbank"/>
    <x v="1"/>
    <s v="-"/>
    <m/>
    <s v="import"/>
    <s v=""/>
    <b v="0"/>
    <s v=""/>
  </r>
  <r>
    <s v="6df322ed-f28f-4a3c-83f9-ed81269205ac"/>
    <x v="509"/>
    <s v="12:40"/>
    <x v="805"/>
    <s v="expense"/>
    <s v="rc_cat_1781955063347_5qjb_1781955063347_tezk"/>
    <s v="kbank"/>
    <x v="1"/>
    <s v="-"/>
    <m/>
    <s v="import"/>
    <s v=""/>
    <b v="0"/>
    <s v=""/>
  </r>
  <r>
    <s v="1fad7c3e-5520-4d1e-b3b2-41081bff47ef"/>
    <x v="509"/>
    <s v="15:45"/>
    <x v="19"/>
    <s v="expense"/>
    <s v="rc_cat_1781955063347_anhy_1781955063348_k5l1"/>
    <s v="kbank"/>
    <x v="1"/>
    <s v="-"/>
    <m/>
    <s v="import"/>
    <s v=""/>
    <b v="0"/>
    <s v=""/>
  </r>
  <r>
    <s v="ce2268cd-ffab-4955-a09a-d110998bcfd0"/>
    <x v="510"/>
    <s v="12:50"/>
    <x v="615"/>
    <s v="expense"/>
    <s v="rc_cat_1781955063347_5qjb_1781955063347_tezk"/>
    <s v="kbank"/>
    <x v="1"/>
    <s v="-"/>
    <m/>
    <s v="import"/>
    <s v=""/>
    <b v="0"/>
    <s v=""/>
  </r>
  <r>
    <s v="cc4dca6b-1326-4c3b-98e6-20feeb7c7c9b"/>
    <x v="510"/>
    <s v="17:22"/>
    <x v="211"/>
    <s v="transfer"/>
    <s v="other"/>
    <s v="kbank"/>
    <x v="12"/>
    <s v="-"/>
    <m/>
    <s v="import"/>
    <s v=""/>
    <b v="0"/>
    <s v=""/>
  </r>
  <r>
    <s v="512b4bec-f22b-43b3-b42f-089a488a976e"/>
    <x v="511"/>
    <s v="11:16"/>
    <x v="8"/>
    <s v="expense"/>
    <s v="rc_cat_1781955063347_anhy_1781955063347_qnaz"/>
    <s v="rc_acc_1781955063347_e3zv"/>
    <x v="1"/>
    <s v="-"/>
    <m/>
    <s v="import"/>
    <s v=""/>
    <b v="0"/>
    <s v=""/>
  </r>
  <r>
    <s v="34de1665-913e-401a-bfa3-deb92f1c5e67"/>
    <x v="511"/>
    <s v="15:15"/>
    <x v="170"/>
    <s v="expense"/>
    <s v="rc_cat_1781955063347_s4sz_1781955063347_deos"/>
    <s v="rc_acc_1781955063347_uxz4"/>
    <x v="1"/>
    <s v="-"/>
    <m/>
    <s v="import"/>
    <s v=""/>
    <b v="0"/>
    <s v=""/>
  </r>
  <r>
    <s v="9e9b5443-58b5-43e5-88bb-f6c29ac512e2"/>
    <x v="511"/>
    <s v="18:55"/>
    <x v="8"/>
    <s v="transfer"/>
    <s v="other"/>
    <s v="rc_acc_1781955063347_uxz4"/>
    <x v="12"/>
    <s v="-"/>
    <m/>
    <s v="import"/>
    <s v=""/>
    <b v="0"/>
    <s v=""/>
  </r>
  <r>
    <s v="dade098c-b83c-44c4-a7ee-972e459f889d"/>
    <x v="512"/>
    <s v="18:17"/>
    <x v="806"/>
    <s v="expense"/>
    <s v="rc_cat_1781955063347_5qjb_1781955063347_tezk"/>
    <s v="kbank"/>
    <x v="1"/>
    <s v="-"/>
    <m/>
    <s v="import"/>
    <s v=""/>
    <b v="0"/>
    <s v=""/>
  </r>
  <r>
    <s v="9b721397-7bcb-415a-8d1e-b140c134092c"/>
    <x v="513"/>
    <s v="11:14"/>
    <x v="199"/>
    <s v="expense"/>
    <s v="rc_cat_1781955063347_5qjb_1781955063347_tezk"/>
    <s v="kbank"/>
    <x v="1"/>
    <s v="-"/>
    <m/>
    <s v="import"/>
    <s v=""/>
    <b v="0"/>
    <s v=""/>
  </r>
  <r>
    <s v="678039b9-6059-4ada-bd6c-aa747af215b8"/>
    <x v="513"/>
    <s v="12:30"/>
    <x v="604"/>
    <s v="expense"/>
    <s v="rc_cat_1781955063347_5qjb_1781955063347_tezk"/>
    <s v="kbank"/>
    <x v="1"/>
    <s v="-"/>
    <m/>
    <s v="import"/>
    <s v=""/>
    <b v="0"/>
    <s v=""/>
  </r>
  <r>
    <s v="f4e4f7ee-871e-4e65-a103-8d06f78aece2"/>
    <x v="513"/>
    <s v="12:45"/>
    <x v="169"/>
    <s v="expense"/>
    <s v="rc_cat_1781955063347_5qjb_1781955063347_tezk"/>
    <s v="kbank"/>
    <x v="1"/>
    <s v="-"/>
    <m/>
    <s v="import"/>
    <s v=""/>
    <b v="0"/>
    <s v=""/>
  </r>
  <r>
    <s v="20a6b3b4-e40a-4e76-ad02-fc5f21fddf6d"/>
    <x v="513"/>
    <s v="13:16"/>
    <x v="536"/>
    <s v="expense"/>
    <s v="rc_cat_1781955063347_5qjb_1781955063347_tezk"/>
    <s v="kbank"/>
    <x v="1"/>
    <s v="-"/>
    <m/>
    <s v="import"/>
    <s v=""/>
    <b v="0"/>
    <s v=""/>
  </r>
  <r>
    <s v="17f137d9-1be0-4b76-99b3-1d9d8d29cc69"/>
    <x v="513"/>
    <s v="19:09"/>
    <x v="807"/>
    <s v="income"/>
    <s v="other_1781955063347_5s7r"/>
    <s v="rc_acc_1781955063347_sv7p"/>
    <x v="1"/>
    <s v="Difference"/>
    <m/>
    <s v="import"/>
    <s v=""/>
    <b v="0"/>
    <s v=""/>
  </r>
  <r>
    <s v="50229328-4477-4abf-93af-6d7e07df7021"/>
    <x v="513"/>
    <s v="20:53"/>
    <x v="785"/>
    <s v="expense"/>
    <s v="entertain_1781955063348_kx2f"/>
    <s v="rc_acc_1781955063350_i8ms"/>
    <x v="1"/>
    <s v="s22 ultra(9/10)"/>
    <m/>
    <s v="import"/>
    <s v=""/>
    <b v="0"/>
    <s v=""/>
  </r>
  <r>
    <s v="6462fd37-4c52-462c-9f34-f22619d6321e"/>
    <x v="514"/>
    <s v="09:58"/>
    <x v="212"/>
    <s v="transfer"/>
    <s v="other"/>
    <s v="rc_acc_1781955063347_uxz4"/>
    <x v="12"/>
    <s v="-"/>
    <m/>
    <s v="import"/>
    <s v=""/>
    <b v="0"/>
    <s v=""/>
  </r>
  <r>
    <s v="54531bb8-8ffb-4f2f-8db1-f451d1a1a839"/>
    <x v="514"/>
    <s v="09:59"/>
    <x v="808"/>
    <s v="transfer"/>
    <s v="other"/>
    <s v="rc_acc_1781955063347_e3zv"/>
    <x v="5"/>
    <s v="-"/>
    <m/>
    <s v="import"/>
    <s v=""/>
    <b v="0"/>
    <s v=""/>
  </r>
  <r>
    <s v="c8f375fd-c650-4430-b403-59bd5cac8ff5"/>
    <x v="514"/>
    <s v="09:59"/>
    <x v="809"/>
    <s v="expense"/>
    <s v="rc_cat_1781955063347_5qjb_1781955063347_tezk"/>
    <s v="rc_acc_1781955063347_e3zv"/>
    <x v="1"/>
    <s v="-"/>
    <m/>
    <s v="import"/>
    <s v=""/>
    <b v="0"/>
    <s v=""/>
  </r>
  <r>
    <s v="d55f825d-f324-435b-ac15-6c2dc5f1d513"/>
    <x v="514"/>
    <s v="18:14"/>
    <x v="150"/>
    <s v="expense"/>
    <s v="rc_cat_1781955063347_5qjb_1781955063347_tezk"/>
    <s v="kbank"/>
    <x v="1"/>
    <s v="-"/>
    <m/>
    <s v="import"/>
    <s v=""/>
    <b v="0"/>
    <s v=""/>
  </r>
  <r>
    <s v="21281e8f-d7dd-43b7-8ca3-6db72c6375ce"/>
    <x v="515"/>
    <s v="08:55"/>
    <x v="317"/>
    <s v="expense"/>
    <s v="rc_cat_1781955063347_5qjb_1781955063347_tezk"/>
    <s v="kbank"/>
    <x v="1"/>
    <s v="-"/>
    <m/>
    <s v="import"/>
    <s v=""/>
    <b v="0"/>
    <s v=""/>
  </r>
  <r>
    <s v="dc47906f-3743-4a8f-9e26-b524e22c4b6d"/>
    <x v="515"/>
    <s v="10:13"/>
    <x v="146"/>
    <s v="expense"/>
    <s v="rc_cat_1781955063347_5qjb_1781955063347_tezk"/>
    <s v="kbank"/>
    <x v="1"/>
    <s v="-"/>
    <m/>
    <s v="import"/>
    <s v=""/>
    <b v="0"/>
    <s v=""/>
  </r>
  <r>
    <s v="e276a6f5-94dc-480b-96c6-c0da670907e5"/>
    <x v="515"/>
    <s v="15:14"/>
    <x v="769"/>
    <s v="expense"/>
    <s v="rc_cat_1781955063347_5qjb_1781955063347_tezk"/>
    <s v="kbank"/>
    <x v="1"/>
    <s v="-"/>
    <m/>
    <s v="import"/>
    <s v=""/>
    <b v="0"/>
    <s v=""/>
  </r>
  <r>
    <s v="c819ada9-ec49-4fe0-8897-a7acac04e7a9"/>
    <x v="516"/>
    <s v="00:00"/>
    <x v="128"/>
    <s v="transfer"/>
    <s v="other"/>
    <s v="rc_acc_1781955063347_uxz4"/>
    <x v="21"/>
    <s v="-"/>
    <m/>
    <s v="import"/>
    <s v=""/>
    <b v="0"/>
    <s v=""/>
  </r>
  <r>
    <s v="fb6f4907-de93-4090-ae12-5d3cc6158050"/>
    <x v="516"/>
    <s v="00:00"/>
    <x v="31"/>
    <s v="transfer"/>
    <s v="other"/>
    <s v="rc_acc_1781955063347_uxz4"/>
    <x v="7"/>
    <s v="-"/>
    <m/>
    <s v="import"/>
    <s v=""/>
    <b v="0"/>
    <s v=""/>
  </r>
  <r>
    <s v="fcccbb21-4ef9-4a57-b5e6-f43089d4cb3c"/>
    <x v="516"/>
    <s v="00:00"/>
    <x v="743"/>
    <s v="transfer"/>
    <s v="other"/>
    <s v="rc_acc_1781955063347_uxz4"/>
    <x v="20"/>
    <s v="-"/>
    <m/>
    <s v="import"/>
    <s v=""/>
    <b v="0"/>
    <s v=""/>
  </r>
  <r>
    <s v="47ca45f9-5a14-459d-b323-ed2d00cbe9fd"/>
    <x v="516"/>
    <s v="00:00"/>
    <x v="613"/>
    <s v="transfer"/>
    <s v="other"/>
    <s v="rc_acc_1781955063347_uxz4"/>
    <x v="8"/>
    <s v="-"/>
    <m/>
    <s v="import"/>
    <s v=""/>
    <b v="0"/>
    <s v=""/>
  </r>
  <r>
    <s v="6a764955-7370-413a-bf47-f5ce702c5db7"/>
    <x v="516"/>
    <s v="00:00"/>
    <x v="810"/>
    <s v="expense"/>
    <s v="rc_cat_1781955063347_04qb_1781955063350_acgf"/>
    <s v="rc_acc_1781955063347_uxz4"/>
    <x v="1"/>
    <s v="-"/>
    <m/>
    <s v="import"/>
    <s v=""/>
    <b v="0"/>
    <s v=""/>
  </r>
  <r>
    <s v="5020acc9-6b85-4d93-8f1e-b75869f6ebc6"/>
    <x v="516"/>
    <s v="00:00"/>
    <x v="811"/>
    <s v="expense"/>
    <s v="rc_cat_1781955063347_04qb_1781955063347_kgnn"/>
    <s v="rc_acc_1781955063347_uxz4"/>
    <x v="1"/>
    <s v="-"/>
    <m/>
    <s v="import"/>
    <s v=""/>
    <b v="0"/>
    <s v=""/>
  </r>
  <r>
    <s v="7642cd1f-c9d0-43f8-96e3-0b01a46c1471"/>
    <x v="516"/>
    <s v="00:00"/>
    <x v="812"/>
    <s v="expense"/>
    <s v="rc_cat_1781955063347_04qb_1781955063347_lu9b"/>
    <s v="rc_acc_1781955063347_uxz4"/>
    <x v="1"/>
    <s v="-"/>
    <m/>
    <s v="import"/>
    <s v=""/>
    <b v="0"/>
    <s v=""/>
  </r>
  <r>
    <s v="25146a13-a70b-4bfb-b85f-8316f6569588"/>
    <x v="516"/>
    <s v="00:00"/>
    <x v="614"/>
    <s v="income"/>
    <s v="income_1781955063347_5zxt"/>
    <s v="rc_acc_1781955063347_uxz4"/>
    <x v="1"/>
    <s v="-"/>
    <m/>
    <s v="import"/>
    <s v=""/>
    <b v="0"/>
    <s v=""/>
  </r>
  <r>
    <s v="57db3f20-3dab-4b63-9596-5739d12b7409"/>
    <x v="516"/>
    <s v="00:00"/>
    <x v="813"/>
    <s v="income"/>
    <s v="income_1781955063347_5zxt"/>
    <s v="rc_acc_1781955063347_uxz4"/>
    <x v="1"/>
    <s v="vp"/>
    <m/>
    <s v="import"/>
    <s v=""/>
    <b v="0"/>
    <s v=""/>
  </r>
  <r>
    <s v="7c0fa67c-3ac0-456c-a64b-d2864655ea7c"/>
    <x v="516"/>
    <s v="12:36"/>
    <x v="182"/>
    <s v="expense"/>
    <s v="rc_cat_1781955063347_5qjb_1781955063347_tezk"/>
    <s v="kbank"/>
    <x v="1"/>
    <s v="steve"/>
    <m/>
    <s v="import"/>
    <s v=""/>
    <b v="0"/>
    <s v=""/>
  </r>
  <r>
    <s v="db3e0820-1003-49b8-b94b-5a7ff316902b"/>
    <x v="516"/>
    <s v="14:55"/>
    <x v="150"/>
    <s v="expense"/>
    <s v="rc_cat_1781955063347_5qjb_1781955063347_tezk"/>
    <s v="kbank"/>
    <x v="1"/>
    <s v="-"/>
    <m/>
    <s v="import"/>
    <s v=""/>
    <b v="0"/>
    <s v=""/>
  </r>
  <r>
    <s v="53e5a822-07e6-4fae-99a4-b7b25c0b7de1"/>
    <x v="517"/>
    <s v="00:58"/>
    <x v="801"/>
    <s v="expense"/>
    <s v="entertain_1781955063349_gok1"/>
    <s v="rc_acc_1781955063347_e3zv"/>
    <x v="1"/>
    <s v="ที่จอดรถ"/>
    <m/>
    <s v="import"/>
    <s v=""/>
    <b v="0"/>
    <s v=""/>
  </r>
  <r>
    <s v="c9173148-feae-47b7-a463-ba8f18a4652e"/>
    <x v="517"/>
    <s v="09:57"/>
    <x v="814"/>
    <s v="income"/>
    <s v="income_1781955063347_zblt"/>
    <s v="rc_acc_1781955063347_uxz4"/>
    <x v="1"/>
    <s v="-"/>
    <m/>
    <s v="import"/>
    <s v=""/>
    <b v="0"/>
    <s v=""/>
  </r>
  <r>
    <s v="8a84dd5a-85cc-4af0-a305-d361217e95e0"/>
    <x v="517"/>
    <s v="13:59"/>
    <x v="815"/>
    <s v="expense"/>
    <s v="rc_cat_1781955063347_5qjb_1781955063348_wpky"/>
    <s v="kbank"/>
    <x v="1"/>
    <s v="-"/>
    <m/>
    <s v="import"/>
    <s v=""/>
    <b v="0"/>
    <s v=""/>
  </r>
  <r>
    <s v="6ef2cc18-c0a8-41eb-b38d-1489008d8507"/>
    <x v="517"/>
    <s v="16:21"/>
    <x v="816"/>
    <s v="transfer"/>
    <s v="other"/>
    <s v="kbank"/>
    <x v="25"/>
    <s v="-"/>
    <m/>
    <s v="import"/>
    <s v=""/>
    <b v="0"/>
    <s v=""/>
  </r>
  <r>
    <s v="5040b0aa-4110-451b-85d4-787a2a28de83"/>
    <x v="517"/>
    <s v="16:39"/>
    <x v="817"/>
    <s v="transfer"/>
    <s v="other"/>
    <s v="rc_acc_1781955063347_uxz4"/>
    <x v="25"/>
    <s v="กองกลาง"/>
    <m/>
    <s v="import"/>
    <s v=""/>
    <b v="0"/>
    <s v=""/>
  </r>
  <r>
    <s v="1e2a2712-abf2-49ce-8ffd-3bb68a3d6fe6"/>
    <x v="517"/>
    <s v="16:57"/>
    <x v="785"/>
    <s v="transfer"/>
    <s v="other"/>
    <s v="kbank"/>
    <x v="26"/>
    <s v="-"/>
    <m/>
    <s v="import"/>
    <s v=""/>
    <b v="0"/>
    <s v=""/>
  </r>
  <r>
    <s v="da52b482-f091-43e7-8cae-5a2bc958fc08"/>
    <x v="518"/>
    <s v="09:06"/>
    <x v="818"/>
    <s v="expense"/>
    <s v="rc_cat_1781955063347_5qjb_1781955063347_tezk"/>
    <s v="rc_acc_1781955063356_nq03"/>
    <x v="1"/>
    <s v="กาแฟ observatory"/>
    <m/>
    <s v="import"/>
    <s v=""/>
    <b v="0"/>
    <s v=""/>
  </r>
  <r>
    <s v="9ad0a01c-5aa7-44f0-9a4d-bdb04ef936c0"/>
    <x v="518"/>
    <s v="12:05"/>
    <x v="819"/>
    <s v="expense"/>
    <s v="rc_cat_1781955063347_5qjb_1781955063347_tezk"/>
    <s v="rc_acc_1781955063352_d0kz"/>
    <x v="1"/>
    <s v="EGGDROP"/>
    <m/>
    <s v="import"/>
    <s v=""/>
    <b v="0"/>
    <s v=""/>
  </r>
  <r>
    <s v="a3e6b598-2cfd-423c-9f39-2516909fd324"/>
    <x v="518"/>
    <s v="13:31"/>
    <x v="820"/>
    <s v="expense"/>
    <s v="entertain_1781955063349_gok1"/>
    <s v="rc_acc_1781955063352_d0kz"/>
    <x v="1"/>
    <s v="LINEFRIENDS"/>
    <m/>
    <s v="import"/>
    <s v=""/>
    <b v="0"/>
    <s v=""/>
  </r>
  <r>
    <s v="65472f70-10ed-4624-88d3-0ca7d5814f55"/>
    <x v="518"/>
    <s v="14:00"/>
    <x v="821"/>
    <s v="expense"/>
    <s v="entertain_1781955063349_gok1"/>
    <s v="rc_acc_1781955063356_nq03"/>
    <x v="1"/>
    <s v="ให้หงยืมค่า footmask"/>
    <m/>
    <s v="import"/>
    <s v=""/>
    <b v="0"/>
    <s v=""/>
  </r>
  <r>
    <s v="fb4bb61c-0d4d-4a82-8c30-3530ae16b06e"/>
    <x v="518"/>
    <s v="14:32"/>
    <x v="822"/>
    <s v="expense"/>
    <s v="rc_cat_1781955063347_5qjb_1781955063347_tezk"/>
    <s v="rc_acc_1781955063352_d0kz"/>
    <x v="1"/>
    <s v="DOWNTOWNER BURGER"/>
    <m/>
    <s v="import"/>
    <s v=""/>
    <b v="0"/>
    <s v=""/>
  </r>
  <r>
    <s v="54b8a0c0-ce4d-4029-9407-946f82b6aa74"/>
    <x v="518"/>
    <s v="15:32"/>
    <x v="823"/>
    <s v="expense"/>
    <s v="rc_cat_1781955063347_5qjb_1781955063347_tezk"/>
    <s v="rc_acc_1781955063352_d0kz"/>
    <x v="1"/>
    <s v="coffee numdaemun"/>
    <m/>
    <s v="import"/>
    <s v=""/>
    <b v="0"/>
    <s v=""/>
  </r>
  <r>
    <s v="e5b1f9b6-1ae4-4ff0-be63-3cedd607cb84"/>
    <x v="518"/>
    <s v="17:50"/>
    <x v="824"/>
    <s v="expense"/>
    <s v="entertain_1781955063349_gok1"/>
    <s v="rc_acc_1781955063352_d0kz"/>
    <x v="1"/>
    <s v="taxi"/>
    <m/>
    <s v="import"/>
    <s v=""/>
    <b v="0"/>
    <s v=""/>
  </r>
  <r>
    <s v="05be138c-3cb5-4291-91f0-2d250290c0ed"/>
    <x v="519"/>
    <s v="10:53"/>
    <x v="825"/>
    <s v="expense"/>
    <s v="entertain_1781955063349_gok1"/>
    <s v="rc_acc_1781955063356_nq03"/>
    <x v="1"/>
    <s v="ของฝาก"/>
    <m/>
    <s v="import"/>
    <s v=""/>
    <b v="0"/>
    <s v=""/>
  </r>
  <r>
    <s v="087babb8-0b39-421a-a667-b1b46ea12056"/>
    <x v="519"/>
    <s v="14:35"/>
    <x v="826"/>
    <s v="expense"/>
    <s v="entertain_1781955063349_gok1"/>
    <s v="rc_acc_1781955063352_d0kz"/>
    <x v="1"/>
    <s v="topten"/>
    <m/>
    <s v="import"/>
    <s v=""/>
    <b v="0"/>
    <s v=""/>
  </r>
  <r>
    <s v="25d525cc-b195-4ac2-b6ac-7c55040d0412"/>
    <x v="519"/>
    <s v="15:56"/>
    <x v="827"/>
    <s v="expense"/>
    <s v="entertain_1781955063349_gok1"/>
    <s v="rc_acc_1781955063356_nq03"/>
    <x v="1"/>
    <s v="ขึ้นกระเช้า"/>
    <m/>
    <s v="import"/>
    <s v=""/>
    <b v="0"/>
    <s v=""/>
  </r>
  <r>
    <s v="192c9e32-eaef-4c07-92f5-35c057afba86"/>
    <x v="519"/>
    <s v="17:26"/>
    <x v="828"/>
    <s v="expense"/>
    <s v="rc_cat_1781955063347_5qjb_1781955063347_tezk"/>
    <s v="rc_acc_1781955063352_d0kz"/>
    <x v="1"/>
    <s v="ungtori sangogi"/>
    <m/>
    <s v="import"/>
    <s v=""/>
    <b v="0"/>
    <s v=""/>
  </r>
  <r>
    <s v="9db745f6-8520-4868-8929-d9c9f341250c"/>
    <x v="519"/>
    <s v="18:57"/>
    <x v="829"/>
    <s v="expense"/>
    <s v="rc_cat_1781955063347_5qjb_1781955063347_tezk"/>
    <s v="rc_acc_1781955063356_nq03"/>
    <x v="1"/>
    <s v="น้ำเปล่าลงกระเช้า"/>
    <m/>
    <s v="import"/>
    <s v=""/>
    <b v="0"/>
    <s v=""/>
  </r>
  <r>
    <s v="59f11d25-153a-4ed9-b41c-b73852467356"/>
    <x v="519"/>
    <s v="19:09"/>
    <x v="830"/>
    <s v="expense"/>
    <s v="rc_cat_1781955063347_5qjb_1781955063347_tezk"/>
    <s v="rc_acc_1781955063352_d0kz"/>
    <x v="1"/>
    <s v="seoul tower twosome palce"/>
    <m/>
    <s v="import"/>
    <s v=""/>
    <b v="0"/>
    <s v=""/>
  </r>
  <r>
    <s v="4aab0e04-ea39-498b-97e5-bb776b7a0c4c"/>
    <x v="519"/>
    <s v="21:05"/>
    <x v="831"/>
    <s v="expense"/>
    <s v="entertain_1781955063349_gok1"/>
    <s v="rc_acc_1781955063352_d0kz"/>
    <x v="1"/>
    <s v="magnet"/>
    <m/>
    <s v="import"/>
    <s v=""/>
    <b v="0"/>
    <s v=""/>
  </r>
  <r>
    <s v="93c8fcf3-d9bb-470d-b61e-a70a7a90fd10"/>
    <x v="519"/>
    <s v="21:20"/>
    <x v="832"/>
    <s v="expense"/>
    <s v="entertain_1781955063349_gok1"/>
    <s v="rc_acc_1781955063352_d0kz"/>
    <x v="1"/>
    <s v="เหรียญ"/>
    <m/>
    <s v="import"/>
    <s v=""/>
    <b v="0"/>
    <s v=""/>
  </r>
  <r>
    <s v="e5c595e7-a689-43a3-99b3-a814c01a1830"/>
    <x v="520"/>
    <s v="10:00"/>
    <x v="821"/>
    <s v="expense"/>
    <s v="rc_cat_1781955063347_5qjb_1781955063347_tezk"/>
    <s v="rc_acc_1781955063356_nq03"/>
    <x v="1"/>
    <s v="เกี้ยวเมียงดง"/>
    <m/>
    <s v="import"/>
    <s v=""/>
    <b v="0"/>
    <s v=""/>
  </r>
  <r>
    <s v="dbe648b9-372a-49a0-89ae-253bddfb77bd"/>
    <x v="520"/>
    <s v="11:52"/>
    <x v="833"/>
    <s v="expense"/>
    <s v="entertain_1781955063349_gok1"/>
    <s v="rc_acc_1781955063356_nq03"/>
    <x v="1"/>
    <s v="daiso"/>
    <m/>
    <s v="import"/>
    <s v=""/>
    <b v="0"/>
    <s v=""/>
  </r>
  <r>
    <s v="f25df82a-afd8-49b1-ab2c-f5688abdb951"/>
    <x v="520"/>
    <s v="12:25"/>
    <x v="834"/>
    <s v="expense"/>
    <s v="entertain_1781955063349_gok1"/>
    <s v="rc_acc_1781955063352_d0kz"/>
    <x v="1"/>
    <s v="รองเท้า"/>
    <m/>
    <s v="import"/>
    <s v=""/>
    <b v="0"/>
    <s v=""/>
  </r>
  <r>
    <s v="5a0bdd84-939f-4000-8251-8fc3be93ba5e"/>
    <x v="520"/>
    <s v="12:30"/>
    <x v="823"/>
    <s v="income"/>
    <s v="income_1781955063347_zblt"/>
    <s v="rc_acc_1781955063356_nq03"/>
    <x v="1"/>
    <s v="รองเท้า"/>
    <m/>
    <s v="import"/>
    <s v=""/>
    <b v="0"/>
    <s v=""/>
  </r>
  <r>
    <s v="23066252-94ba-4a36-9cf1-3245a4ad2442"/>
    <x v="520"/>
    <s v="12:36"/>
    <x v="835"/>
    <s v="expense"/>
    <s v="rc_cat_1781955063347_5qjb_1781955063347_tezk"/>
    <s v="rc_acc_1781955063356_nq03"/>
    <x v="1"/>
    <s v="กาแฟหน้า รร"/>
    <m/>
    <s v="import"/>
    <s v=""/>
    <b v="0"/>
    <s v=""/>
  </r>
  <r>
    <s v="ba608f29-6a78-4f38-958e-89294f16c3c9"/>
    <x v="520"/>
    <s v="13:45"/>
    <x v="836"/>
    <s v="expense"/>
    <s v="entertain_1781955063349_gok1"/>
    <s v="rc_acc_1781955063356_4xom"/>
    <x v="1"/>
    <s v="รถเมล์ไป ddp"/>
    <m/>
    <s v="import"/>
    <s v=""/>
    <b v="0"/>
    <s v=""/>
  </r>
  <r>
    <s v="259429e5-e436-4f50-84c7-2b695559a0f9"/>
    <x v="520"/>
    <s v="15:15"/>
    <x v="832"/>
    <s v="expense"/>
    <s v="rc_cat_1781955063347_5qjb_1781955063347_tezk"/>
    <s v="rc_acc_1781955063356_nq03"/>
    <x v="1"/>
    <s v="กาแฟตลาดกวางจัง"/>
    <m/>
    <s v="import"/>
    <s v=""/>
    <b v="0"/>
    <s v=""/>
  </r>
  <r>
    <s v="b13cefe5-2914-4f5d-be1e-e59ec22692a0"/>
    <x v="520"/>
    <s v="15:15"/>
    <x v="837"/>
    <s v="expense"/>
    <s v="rc_cat_1781955063347_5qjb_1781955063347_tezk"/>
    <s v="rc_acc_1781955063356_nq03"/>
    <x v="1"/>
    <s v="ไอติม ตลาดกวางจัง"/>
    <m/>
    <s v="import"/>
    <s v=""/>
    <b v="0"/>
    <s v=""/>
  </r>
  <r>
    <s v="4e6d677d-9d50-4c98-8932-c535cf222283"/>
    <x v="520"/>
    <s v="15:37"/>
    <x v="832"/>
    <s v="transfer"/>
    <s v="other"/>
    <s v="rc_acc_1781955063356_nq03"/>
    <x v="27"/>
    <s v="-"/>
    <m/>
    <s v="import"/>
    <s v=""/>
    <b v="0"/>
    <s v=""/>
  </r>
  <r>
    <s v="e7ee2112-9dca-47d7-b9da-a59663cb8606"/>
    <x v="520"/>
    <s v="16:20"/>
    <x v="838"/>
    <s v="expense"/>
    <s v="rc_cat_1781955063347_5qjb_1781955063347_tezk"/>
    <s v="rc_acc_1781955063352_d0kz"/>
    <x v="1"/>
    <s v="shakenshank"/>
    <m/>
    <s v="import"/>
    <s v=""/>
    <b v="0"/>
    <s v=""/>
  </r>
  <r>
    <s v="0cf7a945-f86a-4955-83cf-dcfe547b2df1"/>
    <x v="521"/>
    <s v="10:29"/>
    <x v="839"/>
    <s v="expense"/>
    <s v="rc_cat_1781955063347_5qjb_1781955063347_tezk"/>
    <s v="rc_acc_1781955063352_d0kz"/>
    <x v="1"/>
    <s v="kfc"/>
    <m/>
    <s v="import"/>
    <s v=""/>
    <b v="0"/>
    <s v=""/>
  </r>
  <r>
    <s v="4916bcbe-425f-4d79-885c-0c2e79e992cd"/>
    <x v="522"/>
    <s v="10:08"/>
    <x v="840"/>
    <s v="expense"/>
    <s v="rc_cat_1781955063347_5qjb_1781955063347_tezk"/>
    <s v="rc_acc_1781955063352_d0kz"/>
    <x v="1"/>
    <s v="knotted"/>
    <m/>
    <s v="import"/>
    <s v=""/>
    <b v="0"/>
    <s v=""/>
  </r>
  <r>
    <s v="aeb9d3d1-65ce-45f8-be36-e05866ebe28e"/>
    <x v="522"/>
    <s v="12:09"/>
    <x v="841"/>
    <s v="expense"/>
    <s v="rc_cat_1781955063347_5qjb_1781955063347_tezk"/>
    <s v="rc_acc_1781955063356_nq03"/>
    <x v="1"/>
    <s v="bagel"/>
    <m/>
    <s v="import"/>
    <s v=""/>
    <b v="0"/>
    <s v=""/>
  </r>
  <r>
    <s v="dd9291da-2fb9-40f9-9422-b7fbb654b8dc"/>
    <x v="522"/>
    <s v="13:54"/>
    <x v="842"/>
    <s v="expense"/>
    <s v="other_1781955063348_27zj"/>
    <s v="rc_acc_1781955063347_sv7p"/>
    <x v="1"/>
    <s v="-"/>
    <m/>
    <s v="import"/>
    <s v=""/>
    <b v="0"/>
    <s v=""/>
  </r>
  <r>
    <s v="a4e8fc46-5155-4a1a-9350-b6371e0fc06a"/>
    <x v="522"/>
    <s v="17:05"/>
    <x v="843"/>
    <s v="expense"/>
    <s v="entertain_1781955063349_gok1"/>
    <s v="rc_acc_1781955063352_d0kz"/>
    <x v="1"/>
    <s v="hongjjukgumi"/>
    <m/>
    <s v="import"/>
    <s v=""/>
    <b v="0"/>
    <s v=""/>
  </r>
  <r>
    <s v="c13226a4-c153-4990-a37c-7d8a309089fa"/>
    <x v="523"/>
    <s v="07:28"/>
    <x v="821"/>
    <s v="expense"/>
    <s v="entertain_1781955063349_gok1"/>
    <s v="rc_acc_1781955063356_nq03"/>
    <x v="1"/>
    <s v="บัตรห้าวัง"/>
    <m/>
    <s v="import"/>
    <s v=""/>
    <b v="0"/>
    <s v=""/>
  </r>
  <r>
    <s v="73da90c0-c61d-41a2-93e2-2c7b96df8ea6"/>
    <x v="523"/>
    <s v="07:29"/>
    <x v="844"/>
    <s v="expense"/>
    <s v="entertain_1781955063349_gok1"/>
    <s v="rc_acc_1781955063356_4xom"/>
    <x v="1"/>
    <s v="ข้าวเช้าเซเว่น กองกลาง"/>
    <m/>
    <s v="import"/>
    <s v=""/>
    <b v="0"/>
    <s v=""/>
  </r>
  <r>
    <s v="b294c02e-9d36-4804-9fff-fbd9defc0dad"/>
    <x v="523"/>
    <s v="08:30"/>
    <x v="845"/>
    <s v="expense"/>
    <s v="entertain_1781955063349_gok1"/>
    <s v="rc_acc_1781955063356_4xom"/>
    <x v="1"/>
    <s v="ที่พักไปวังเคียงบกกุง"/>
    <m/>
    <s v="import"/>
    <s v=""/>
    <b v="0"/>
    <s v=""/>
  </r>
  <r>
    <s v="3ba57c39-1afc-4a7e-8c42-ef243e2b43a6"/>
    <x v="523"/>
    <s v="12:31"/>
    <x v="829"/>
    <s v="expense"/>
    <s v="entertain_1781955063349_gok1"/>
    <s v="rc_acc_1781955063356_4xom"/>
    <x v="1"/>
    <s v="น้ำเปล่า กองกลาง"/>
    <m/>
    <s v="import"/>
    <s v=""/>
    <b v="0"/>
    <s v=""/>
  </r>
  <r>
    <s v="747a6578-01ad-4f0d-b69f-8197b9fafc88"/>
    <x v="523"/>
    <s v="12:33"/>
    <x v="846"/>
    <s v="expense"/>
    <s v="rc_cat_1781955063347_5qjb_1781955063347_tezk"/>
    <s v="rc_acc_1781955063356_nq03"/>
    <x v="1"/>
    <s v="ริมรั้ววัง"/>
    <m/>
    <s v="import"/>
    <s v=""/>
    <b v="0"/>
    <s v=""/>
  </r>
  <r>
    <s v="fdf15fdc-de40-4fac-902a-ce3a89bb5a44"/>
    <x v="523"/>
    <s v="12:49"/>
    <x v="847"/>
    <s v="expense"/>
    <s v="rc_cat_1781955063347_5qjb_1781955063347_tezk"/>
    <s v="rc_acc_1781955063356_4xom"/>
    <x v="1"/>
    <s v="โค้ก"/>
    <m/>
    <s v="import"/>
    <s v=""/>
    <b v="0"/>
    <s v=""/>
  </r>
  <r>
    <s v="f4527884-ffbf-474f-aadd-a0d634c1331d"/>
    <x v="523"/>
    <s v="12:50"/>
    <x v="845"/>
    <s v="expense"/>
    <s v="entertain_1781955063349_gok1"/>
    <s v="rc_acc_1781955063356_4xom"/>
    <x v="1"/>
    <s v="กลับจากบุกชอนไปที่พัก"/>
    <m/>
    <s v="import"/>
    <s v=""/>
    <b v="0"/>
    <s v=""/>
  </r>
  <r>
    <s v="cc8ddb7a-a232-47a0-95d1-20842274547e"/>
    <x v="523"/>
    <s v="14:30"/>
    <x v="845"/>
    <s v="expense"/>
    <s v="entertain_1781955063349_gok1"/>
    <s v="rc_acc_1781955063356_4xom"/>
    <x v="1"/>
    <s v="ที่พักไปฮงแด"/>
    <m/>
    <s v="import"/>
    <s v=""/>
    <b v="0"/>
    <s v=""/>
  </r>
  <r>
    <s v="1b444407-2fc7-4671-a358-9c33413b5621"/>
    <x v="523"/>
    <s v="17:35"/>
    <x v="836"/>
    <s v="expense"/>
    <s v="entertain_1781955063349_gok1"/>
    <s v="rc_acc_1781955063356_4xom"/>
    <x v="1"/>
    <s v="ฮงแดกลับมาเมียงดง"/>
    <m/>
    <s v="import"/>
    <s v=""/>
    <b v="0"/>
    <s v=""/>
  </r>
  <r>
    <s v="b0f9fbb0-5aa1-4f23-928a-689508382d59"/>
    <x v="523"/>
    <s v="17:54"/>
    <x v="848"/>
    <s v="expense"/>
    <s v="rc_cat_1781955063347_5qjb_1781955063347_tezk"/>
    <s v="rc_acc_1781955063356_4xom"/>
    <x v="1"/>
    <s v="กาแฟเซเว่น ซื้อมาตุน"/>
    <m/>
    <s v="import"/>
    <s v=""/>
    <b v="0"/>
    <s v=""/>
  </r>
  <r>
    <s v="79ae8f91-7734-4c76-b299-77916e95c0c0"/>
    <x v="524"/>
    <s v="07:30"/>
    <x v="849"/>
    <s v="expense"/>
    <s v="entertain_1781955063349_gok1"/>
    <s v="rc_acc_1781955063347_0qmn"/>
    <x v="1"/>
    <s v="klook"/>
    <m/>
    <s v="import"/>
    <s v=""/>
    <b v="0"/>
    <s v=""/>
  </r>
  <r>
    <s v="ad5ec05d-9d8e-4a95-a6ca-186186367708"/>
    <x v="524"/>
    <s v="07:45"/>
    <x v="850"/>
    <s v="expense"/>
    <s v="entertain_1781955063349_gok1"/>
    <s v="rc_acc_1781955063356_nq03"/>
    <x v="1"/>
    <s v="บัตร t money"/>
    <m/>
    <s v="import"/>
    <s v=""/>
    <b v="0"/>
    <s v=""/>
  </r>
  <r>
    <s v="b12026f2-b13e-42bf-b5ad-f76280fd6985"/>
    <x v="524"/>
    <s v="07:53"/>
    <x v="851"/>
    <s v="transfer"/>
    <s v="other"/>
    <s v="rc_acc_1781955063356_nq03"/>
    <x v="27"/>
    <s v="-"/>
    <m/>
    <s v="import"/>
    <s v=""/>
    <b v="0"/>
    <s v=""/>
  </r>
  <r>
    <s v="f3472024-bd6a-44fd-845e-68d7adcb1f6d"/>
    <x v="524"/>
    <s v="08:55"/>
    <x v="845"/>
    <s v="expense"/>
    <s v="entertain_1781955063349_gok1"/>
    <s v="rc_acc_1781955063356_4xom"/>
    <x v="1"/>
    <s v="จาก seoul station ไป city station"/>
    <m/>
    <s v="import"/>
    <s v=""/>
    <b v="0"/>
    <s v=""/>
  </r>
  <r>
    <s v="8f3b265b-f100-4ea3-a415-7620aad1d1d2"/>
    <x v="524"/>
    <s v="09:45"/>
    <x v="845"/>
    <s v="expense"/>
    <s v="entertain_1781955063349_gok1"/>
    <s v="rc_acc_1781955063356_4xom"/>
    <x v="1"/>
    <s v="จาก city station ไป gwangjung mart"/>
    <m/>
    <s v="import"/>
    <s v=""/>
    <b v="0"/>
    <s v=""/>
  </r>
  <r>
    <s v="8f568467-221c-4472-b71d-2d3969a277ee"/>
    <x v="524"/>
    <s v="09:55"/>
    <x v="852"/>
    <s v="expense"/>
    <s v="rc_cat_1781955063347_5qjb_1781955063347_tezk"/>
    <s v="rc_acc_1781955063356_nq03"/>
    <x v="1"/>
    <s v="ขนม churos"/>
    <m/>
    <s v="import"/>
    <s v=""/>
    <b v="0"/>
    <s v=""/>
  </r>
  <r>
    <s v="e5fc2420-9162-4dc1-b077-cf54d710ddc1"/>
    <x v="524"/>
    <s v="11:10"/>
    <x v="853"/>
    <s v="expense"/>
    <s v="entertain_1781955063349_gok1"/>
    <s v="rc_acc_1781955063356_4xom"/>
    <x v="1"/>
    <s v="gwangjung mart ไป boe geun sa"/>
    <m/>
    <s v="import"/>
    <s v=""/>
    <b v="0"/>
    <s v=""/>
  </r>
  <r>
    <s v="f063f8b8-0160-439f-bc34-636fcde1e1ca"/>
    <x v="524"/>
    <s v="11:50"/>
    <x v="854"/>
    <s v="expense"/>
    <s v="entertain_1781955063349_gok1"/>
    <s v="rc_acc_1781955063356_4xom"/>
    <x v="1"/>
    <s v="น้ำ seven น้ำเปล่าแค่ 700"/>
    <m/>
    <s v="import"/>
    <s v=""/>
    <b v="0"/>
    <s v=""/>
  </r>
  <r>
    <s v="0b8667e8-90c4-43b3-b06f-c6d622353448"/>
    <x v="524"/>
    <s v="12:11"/>
    <x v="829"/>
    <s v="expense"/>
    <s v="entertain_1781955063349_gok1"/>
    <s v="rc_acc_1781955063356_4xom"/>
    <x v="1"/>
    <s v="น้ำเปล่า coex"/>
    <m/>
    <s v="import"/>
    <s v=""/>
    <b v="0"/>
    <s v=""/>
  </r>
  <r>
    <s v="e22af9a4-2287-4a9d-97dd-83549fda3628"/>
    <x v="524"/>
    <s v="13:12"/>
    <x v="853"/>
    <s v="expense"/>
    <s v="entertain_1781955063349_gok1"/>
    <s v="rc_acc_1781955063356_4xom"/>
    <x v="1"/>
    <s v="จาก coex ไปที่พัก"/>
    <m/>
    <s v="import"/>
    <s v=""/>
    <b v="0"/>
    <s v=""/>
  </r>
  <r>
    <s v="d899c6fb-adc8-4938-bec4-57d6305672d3"/>
    <x v="524"/>
    <s v="16:45"/>
    <x v="841"/>
    <s v="expense"/>
    <s v="rc_cat_1781955063347_5qjb_1781955063347_tezk"/>
    <s v="rc_acc_1781955063352_d0kz"/>
    <x v="1"/>
    <s v="bhc chicken"/>
    <m/>
    <s v="import"/>
    <s v=""/>
    <b v="0"/>
    <s v=""/>
  </r>
  <r>
    <s v="707c228a-b361-4963-9531-0a17d5950e8e"/>
    <x v="524"/>
    <s v="18:00"/>
    <x v="852"/>
    <s v="expense"/>
    <s v="rc_cat_1781955063347_5qjb_1781955063347_tezk"/>
    <s v="rc_acc_1781955063356_nq03"/>
    <x v="1"/>
    <s v="ไอติมสูงๆ"/>
    <m/>
    <s v="import"/>
    <s v=""/>
    <b v="0"/>
    <s v=""/>
  </r>
  <r>
    <s v="66c0b44c-c2f1-4d24-b143-9bf3094189b6"/>
    <x v="525"/>
    <s v="12:50"/>
    <x v="855"/>
    <s v="transfer"/>
    <s v="other"/>
    <s v="rc_acc_1781955063347_uxz4"/>
    <x v="12"/>
    <s v="-"/>
    <m/>
    <s v="import"/>
    <s v=""/>
    <b v="0"/>
    <s v=""/>
  </r>
  <r>
    <s v="8c2afae2-4fe5-4aa9-80bb-8b29f7160208"/>
    <x v="525"/>
    <s v="13:53"/>
    <x v="856"/>
    <s v="transfer"/>
    <s v="other"/>
    <s v="rc_acc_1781955063347_sv7p"/>
    <x v="2"/>
    <s v="sim2fly"/>
    <m/>
    <s v="import"/>
    <s v=""/>
    <b v="0"/>
    <s v=""/>
  </r>
  <r>
    <s v="9afc9ea5-8f0a-43f0-907b-40f919f069d3"/>
    <x v="525"/>
    <s v="16:31"/>
    <x v="857"/>
    <s v="expense"/>
    <s v="rc_cat_1781955063347_5qjb_1781955063347_tezk"/>
    <s v="kbank"/>
    <x v="1"/>
    <s v="-"/>
    <m/>
    <s v="import"/>
    <s v=""/>
    <b v="0"/>
    <s v=""/>
  </r>
  <r>
    <s v="39fa2270-0857-4e78-bf28-52cd0d6c4056"/>
    <x v="525"/>
    <s v="16:42"/>
    <x v="858"/>
    <s v="transfer"/>
    <s v="other"/>
    <s v="rc_acc_1781955063347_e3zv"/>
    <x v="28"/>
    <s v="ยอดจริง 304000"/>
    <m/>
    <s v="import"/>
    <s v=""/>
    <b v="0"/>
    <s v=""/>
  </r>
  <r>
    <s v="0c9f265b-b5e4-45d1-9c20-911ec208b9e2"/>
    <x v="525"/>
    <s v="16:51"/>
    <x v="859"/>
    <s v="transfer"/>
    <s v="other"/>
    <s v="rc_acc_1781955063347_e3zv"/>
    <x v="2"/>
    <s v="-"/>
    <m/>
    <s v="import"/>
    <s v=""/>
    <b v="0"/>
    <s v=""/>
  </r>
  <r>
    <s v="225e81db-c149-4e2c-8217-5447dca80602"/>
    <x v="525"/>
    <s v="20:58"/>
    <x v="212"/>
    <s v="expense"/>
    <s v="rc_cat_1781955063347_anhy_1781955063348_k5l1"/>
    <s v="rc_acc_1781955063347_e3zv"/>
    <x v="1"/>
    <s v="ซองงานพลีส"/>
    <m/>
    <s v="import"/>
    <s v=""/>
    <b v="0"/>
    <s v=""/>
  </r>
  <r>
    <s v="b8c4be27-7c40-4004-92bc-cdd0c85a416e"/>
    <x v="525"/>
    <s v="23:55"/>
    <x v="361"/>
    <s v="transfer"/>
    <s v="other"/>
    <s v="rc_acc_1781955063347_e3zv"/>
    <x v="5"/>
    <s v="-"/>
    <m/>
    <s v="import"/>
    <s v=""/>
    <b v="0"/>
    <s v=""/>
  </r>
  <r>
    <s v="46130c81-1a83-407a-9875-2c64082f7226"/>
    <x v="526"/>
    <s v="14:00"/>
    <x v="860"/>
    <s v="expense"/>
    <s v="rc_cat_1781955063347_5qjb_1781955063347_tezk"/>
    <s v="rc_acc_1781955063347_0qmn"/>
    <x v="1"/>
    <s v="grab+ coco"/>
    <m/>
    <s v="import"/>
    <s v=""/>
    <b v="0"/>
    <s v=""/>
  </r>
  <r>
    <s v="76c38600-9d95-410a-8b3a-7327204e48ef"/>
    <x v="526"/>
    <s v="16:30"/>
    <x v="861"/>
    <s v="expense"/>
    <s v="rc_cat_1781955063347_5qjb_1781955063347_tezk"/>
    <s v="kbank"/>
    <x v="1"/>
    <s v="-"/>
    <m/>
    <s v="import"/>
    <s v=""/>
    <b v="0"/>
    <s v=""/>
  </r>
  <r>
    <s v="84fd9340-9e04-4c81-8363-ecb835fc0fc7"/>
    <x v="526"/>
    <s v="21:19"/>
    <x v="252"/>
    <s v="transfer"/>
    <s v="other"/>
    <s v="rc_acc_1781955063347_uxz4"/>
    <x v="9"/>
    <s v="-"/>
    <m/>
    <s v="import"/>
    <s v=""/>
    <b v="0"/>
    <s v=""/>
  </r>
  <r>
    <s v="e92167ed-ccac-47dc-8cdc-00724ab13a2f"/>
    <x v="527"/>
    <s v="16:30"/>
    <x v="771"/>
    <s v="expense"/>
    <s v="rc_cat_1781955063347_5qjb_1781955063347_tezk"/>
    <s v="kbank"/>
    <x v="1"/>
    <s v="-"/>
    <m/>
    <s v="import"/>
    <s v=""/>
    <b v="0"/>
    <s v=""/>
  </r>
  <r>
    <s v="907f3b6d-d3a7-4641-8764-f305b5c83f9a"/>
    <x v="528"/>
    <s v="13:24"/>
    <x v="132"/>
    <s v="expense"/>
    <s v="rc_cat_1781955063347_5qjb_1781955063347_tezk"/>
    <s v="kbank"/>
    <x v="1"/>
    <s v="-"/>
    <m/>
    <s v="import"/>
    <s v=""/>
    <b v="0"/>
    <s v=""/>
  </r>
  <r>
    <s v="6a3bfbcf-6012-4a40-be95-a158bf6b2550"/>
    <x v="528"/>
    <s v="13:25"/>
    <x v="31"/>
    <s v="transfer"/>
    <s v="other"/>
    <s v="kbank"/>
    <x v="12"/>
    <s v="-"/>
    <m/>
    <s v="import"/>
    <s v=""/>
    <b v="0"/>
    <s v=""/>
  </r>
  <r>
    <s v="57a583ea-09aa-40e0-b0c1-7c346540af2c"/>
    <x v="528"/>
    <s v="13:43"/>
    <x v="387"/>
    <s v="transfer"/>
    <s v="other"/>
    <s v="rc_acc_1781955063347_uxz4"/>
    <x v="17"/>
    <s v="-"/>
    <m/>
    <s v="import"/>
    <s v=""/>
    <b v="0"/>
    <s v=""/>
  </r>
  <r>
    <s v="f6e5d53b-4e07-4ee8-8f57-f207736da1ae"/>
    <x v="528"/>
    <s v="16:30"/>
    <x v="755"/>
    <s v="expense"/>
    <s v="rc_cat_1781955063347_5qjb_1781955063347_tezk"/>
    <s v="kbank"/>
    <x v="1"/>
    <s v="-"/>
    <m/>
    <s v="import"/>
    <s v=""/>
    <b v="0"/>
    <s v=""/>
  </r>
  <r>
    <s v="1559f220-e606-4d35-b7a0-bf77b94f80c6"/>
    <x v="529"/>
    <s v="16:29"/>
    <x v="607"/>
    <s v="expense"/>
    <s v="rc_cat_1781955063347_5qjb_1781955063347_tezk"/>
    <s v="kbank"/>
    <x v="1"/>
    <s v="-"/>
    <m/>
    <s v="import"/>
    <s v=""/>
    <b v="0"/>
    <s v=""/>
  </r>
  <r>
    <s v="3fac10aa-3a77-4da0-840a-696366b990ae"/>
    <x v="529"/>
    <s v="22:00"/>
    <x v="387"/>
    <s v="expense"/>
    <s v="rc_cat_1781955063347_5qjb_1781955063348_laj8"/>
    <s v="rc_acc_1781955063348_w3gp"/>
    <x v="1"/>
    <s v="-"/>
    <m/>
    <s v="import"/>
    <s v=""/>
    <b v="0"/>
    <s v=""/>
  </r>
  <r>
    <s v="a256fcc9-6151-4a83-b6a9-cb2318b24b0f"/>
    <x v="530"/>
    <s v="12:50"/>
    <x v="558"/>
    <s v="expense"/>
    <s v="rc_cat_1781955063347_5qjb_1781955063347_tezk"/>
    <s v="rc_acc_1781955063347_uxz4"/>
    <x v="1"/>
    <s v="-"/>
    <m/>
    <s v="import"/>
    <s v=""/>
    <b v="0"/>
    <s v=""/>
  </r>
  <r>
    <s v="81b5f323-6952-4175-9603-ca3f658616bf"/>
    <x v="530"/>
    <s v="13:53"/>
    <x v="862"/>
    <s v="income"/>
    <s v="income_1781955063347_zblt"/>
    <s v="rc_acc_1781955063347_sv7p"/>
    <x v="1"/>
    <s v="cashback barbgon"/>
    <m/>
    <s v="import"/>
    <s v=""/>
    <b v="0"/>
    <s v=""/>
  </r>
  <r>
    <s v="297d177d-9d1e-476d-805f-04c9a590dabb"/>
    <x v="530"/>
    <s v="16:29"/>
    <x v="150"/>
    <s v="expense"/>
    <s v="rc_cat_1781955063347_5qjb_1781955063347_tezk"/>
    <s v="kbank"/>
    <x v="1"/>
    <s v="-"/>
    <m/>
    <s v="import"/>
    <s v=""/>
    <b v="0"/>
    <s v=""/>
  </r>
  <r>
    <s v="f5fa3dcc-caed-421a-bfb2-b2644f4fbc88"/>
    <x v="531"/>
    <s v="11:55"/>
    <x v="26"/>
    <s v="expense"/>
    <s v="rc_cat_1781955063347_s4sz_1781955063347_9tpp"/>
    <s v="rc_acc_1781955063347_uxz4"/>
    <x v="1"/>
    <s v="ตัดผม"/>
    <m/>
    <s v="import"/>
    <s v=""/>
    <b v="0"/>
    <s v=""/>
  </r>
  <r>
    <s v="4bf70db3-f604-4e1a-a0f8-ba581f3788e7"/>
    <x v="531"/>
    <s v="13:40"/>
    <x v="388"/>
    <s v="transfer"/>
    <s v="other"/>
    <s v="rc_acc_1781955063347_uxz4"/>
    <x v="12"/>
    <s v="-"/>
    <m/>
    <s v="import"/>
    <s v=""/>
    <b v="0"/>
    <s v=""/>
  </r>
  <r>
    <s v="b09ad7fd-dd0a-4c0a-9abf-598e015df73c"/>
    <x v="531"/>
    <s v="14:02"/>
    <x v="863"/>
    <s v="expense"/>
    <s v="rc_cat_1781955063347_5qjb_1781955063347_tezk"/>
    <s v="rc_acc_1781955063347_0qmn"/>
    <x v="1"/>
    <s v="อาหารเย็น"/>
    <m/>
    <s v="import"/>
    <s v=""/>
    <b v="0"/>
    <s v=""/>
  </r>
  <r>
    <s v="46274a71-d136-454b-ba70-f79a79a7d189"/>
    <x v="532"/>
    <s v="08:50"/>
    <x v="19"/>
    <s v="transfer"/>
    <s v="other"/>
    <s v="rc_acc_1781955063347_uxz4"/>
    <x v="16"/>
    <s v="-"/>
    <m/>
    <s v="import"/>
    <s v=""/>
    <b v="0"/>
    <s v=""/>
  </r>
  <r>
    <s v="39bc256f-03b5-4cb1-883a-fff7dd1d1b1b"/>
    <x v="532"/>
    <s v="16:29"/>
    <x v="222"/>
    <s v="expense"/>
    <s v="rc_cat_1781955063347_5qjb_1781955063347_tezk"/>
    <s v="kbank"/>
    <x v="1"/>
    <s v="ศรีย่าน"/>
    <m/>
    <s v="import"/>
    <s v=""/>
    <b v="0"/>
    <s v=""/>
  </r>
  <r>
    <s v="c6fe2819-28c1-47c8-ae7c-22b898f58682"/>
    <x v="533"/>
    <s v="07:50"/>
    <x v="864"/>
    <s v="expense"/>
    <s v="rc_cat_1781955063347_04qb_1781955063347_wt5p"/>
    <s v="rc_acc_1781955063347_uxz4"/>
    <x v="1"/>
    <s v="-"/>
    <m/>
    <s v="import"/>
    <s v=""/>
    <b v="0"/>
    <s v=""/>
  </r>
  <r>
    <s v="5307e27c-deea-439b-bc85-2374e3ac1106"/>
    <x v="533"/>
    <s v="12:28"/>
    <x v="616"/>
    <s v="expense"/>
    <s v="rc_cat_1781955063347_5qjb_1781955063347_tezk"/>
    <s v="kbank"/>
    <x v="1"/>
    <s v="-"/>
    <m/>
    <s v="import"/>
    <s v=""/>
    <b v="0"/>
    <s v=""/>
  </r>
  <r>
    <s v="b1577022-e3de-4cb6-8916-fba303492073"/>
    <x v="534"/>
    <s v="13:27"/>
    <x v="865"/>
    <s v="expense"/>
    <s v="rc_cat_1781955063347_5qjb_1781955063347_tezk"/>
    <s v="kbank"/>
    <x v="1"/>
    <s v="-"/>
    <m/>
    <s v="import"/>
    <s v=""/>
    <b v="0"/>
    <s v=""/>
  </r>
  <r>
    <s v="acbcb1c1-5260-4650-b27b-a85624efd972"/>
    <x v="534"/>
    <s v="16:27"/>
    <x v="19"/>
    <s v="expense"/>
    <s v="rc_cat_1781955063347_anhy_1781955063348_k5l1"/>
    <s v="kbank"/>
    <x v="1"/>
    <s v="-"/>
    <m/>
    <s v="import"/>
    <s v=""/>
    <b v="0"/>
    <s v=""/>
  </r>
  <r>
    <s v="d2a6d6d9-19e1-4a07-ba45-e98fcff0dcc5"/>
    <x v="535"/>
    <s v="16:26"/>
    <x v="755"/>
    <s v="expense"/>
    <s v="rc_cat_1781955063347_5qjb_1781955063347_tezk"/>
    <s v="kbank"/>
    <x v="1"/>
    <s v="-"/>
    <m/>
    <s v="import"/>
    <s v=""/>
    <b v="0"/>
    <s v=""/>
  </r>
  <r>
    <s v="b0179ff1-d1f8-4444-b428-e5255996b490"/>
    <x v="536"/>
    <s v="14:41"/>
    <x v="866"/>
    <s v="expense"/>
    <s v="entertain_1781955063347_8r8e"/>
    <s v="kbank"/>
    <x v="1"/>
    <s v="ซอง"/>
    <m/>
    <s v="import"/>
    <s v=""/>
    <b v="0"/>
    <s v=""/>
  </r>
  <r>
    <s v="cd37abbc-accc-4011-8fc7-1c615e6ccc8d"/>
    <x v="536"/>
    <s v="14:41"/>
    <x v="867"/>
    <s v="expense"/>
    <s v="rc_cat_1781955063347_5qjb_1781955063348_wpky"/>
    <s v="rc_acc_1781955063347_0qmn"/>
    <x v="1"/>
    <s v="-"/>
    <m/>
    <s v="import"/>
    <s v=""/>
    <b v="0"/>
    <s v=""/>
  </r>
  <r>
    <s v="a8572049-69d8-4a2b-a325-ba50765e7da9"/>
    <x v="537"/>
    <s v="14:50"/>
    <x v="868"/>
    <s v="expense"/>
    <s v="rc_cat_1781955063347_anhy_1781955063347_qnaz"/>
    <s v="rc_acc_1781955063347_uxz4"/>
    <x v="1"/>
    <s v="bar b gon"/>
    <m/>
    <s v="import"/>
    <s v=""/>
    <b v="0"/>
    <s v=""/>
  </r>
  <r>
    <s v="e28cec86-80ed-4c56-a664-79ecbac86ba4"/>
    <x v="537"/>
    <s v="18:07"/>
    <x v="5"/>
    <s v="expense"/>
    <s v="rc_cat_1781955063347_anhy_1781955063347_qnaz"/>
    <s v="rc_acc_1781955063347_uxz4"/>
    <x v="1"/>
    <s v="-"/>
    <m/>
    <s v="import"/>
    <s v=""/>
    <b v="0"/>
    <s v=""/>
  </r>
  <r>
    <s v="5bf32958-4ce5-411b-ab9b-1fba93de0121"/>
    <x v="537"/>
    <s v="18:34"/>
    <x v="869"/>
    <s v="transfer"/>
    <s v="other"/>
    <s v="advance"/>
    <x v="5"/>
    <s v="-"/>
    <m/>
    <s v="import"/>
    <s v=""/>
    <b v="0"/>
    <s v=""/>
  </r>
  <r>
    <s v="800c4d2b-1a76-4046-8021-34d34890eca3"/>
    <x v="537"/>
    <s v="18:35"/>
    <x v="869"/>
    <s v="expense"/>
    <s v="rc_cat_1781955063347_5qjb_1781955063348_hrbf"/>
    <s v="advance"/>
    <x v="1"/>
    <s v="ค่าส่วนกลางส่วนหง"/>
    <m/>
    <s v="import"/>
    <s v=""/>
    <b v="0"/>
    <s v=""/>
  </r>
  <r>
    <s v="21a3e603-4cee-4a20-9c18-c83bf8aaa669"/>
    <x v="537"/>
    <s v="18:39"/>
    <x v="870"/>
    <s v="transfer"/>
    <s v="other"/>
    <s v="advance"/>
    <x v="5"/>
    <s v="-"/>
    <m/>
    <s v="import"/>
    <s v=""/>
    <b v="0"/>
    <s v=""/>
  </r>
  <r>
    <s v="ade81507-20dd-4c6a-b56a-cf668d69c2c0"/>
    <x v="537"/>
    <s v="18:40"/>
    <x v="870"/>
    <s v="expense"/>
    <s v="rc_cat_1781955063347_5qjb_1781955063347_tezk"/>
    <s v="rc_acc_1781955063347_0qmn"/>
    <x v="1"/>
    <s v="-"/>
    <m/>
    <s v="import"/>
    <s v=""/>
    <b v="0"/>
    <s v=""/>
  </r>
  <r>
    <s v="a878a2da-cabe-44ec-8256-23f4c9d43d2a"/>
    <x v="537"/>
    <s v="18:41"/>
    <x v="871"/>
    <s v="expense"/>
    <s v="rc_cat_1781955063347_5qjb_1781955063347_tezk"/>
    <s v="rc_acc_1781955063347_0qmn"/>
    <x v="1"/>
    <s v="-"/>
    <m/>
    <s v="import"/>
    <s v=""/>
    <b v="0"/>
    <s v=""/>
  </r>
  <r>
    <s v="885def81-a608-4199-b386-80f8aaaef059"/>
    <x v="537"/>
    <s v="18:41"/>
    <x v="871"/>
    <s v="transfer"/>
    <s v="other"/>
    <s v="advance"/>
    <x v="5"/>
    <s v="-"/>
    <m/>
    <s v="import"/>
    <s v=""/>
    <b v="0"/>
    <s v=""/>
  </r>
  <r>
    <s v="f62f84ba-30a2-4f71-95eb-8a1442b85b63"/>
    <x v="537"/>
    <s v="18:43"/>
    <x v="872"/>
    <s v="expense"/>
    <s v="rc_cat_1781955063347_5qjb_1781955063347_tezk"/>
    <s v="rc_acc_1781955063347_0qmn"/>
    <x v="1"/>
    <s v="-"/>
    <m/>
    <s v="import"/>
    <s v=""/>
    <b v="0"/>
    <s v=""/>
  </r>
  <r>
    <s v="96066151-8266-45bf-aae5-fb882940b51c"/>
    <x v="537"/>
    <s v="18:43"/>
    <x v="872"/>
    <s v="transfer"/>
    <s v="other"/>
    <s v="advance"/>
    <x v="5"/>
    <s v="-"/>
    <m/>
    <s v="import"/>
    <s v=""/>
    <b v="0"/>
    <s v=""/>
  </r>
  <r>
    <s v="f176ba7f-d0e3-4749-8bd7-75bbee94cf96"/>
    <x v="537"/>
    <s v="18:46"/>
    <x v="873"/>
    <s v="expense"/>
    <s v="entertain_1781955063349_gok1"/>
    <s v="advance"/>
    <x v="1"/>
    <s v="KR2023 ค่าบิน"/>
    <m/>
    <s v="import"/>
    <s v=""/>
    <b v="0"/>
    <s v=""/>
  </r>
  <r>
    <s v="71dea9f2-6422-4c71-af74-147db5b978d5"/>
    <x v="537"/>
    <s v="18:51"/>
    <x v="873"/>
    <s v="transfer"/>
    <s v="other"/>
    <s v="advance"/>
    <x v="2"/>
    <s v="KR2023 ค่าบิน"/>
    <m/>
    <s v="import"/>
    <s v=""/>
    <b v="0"/>
    <s v=""/>
  </r>
  <r>
    <s v="82709c89-6283-4763-82ec-15dab958c770"/>
    <x v="537"/>
    <s v="18:52"/>
    <x v="874"/>
    <s v="transfer"/>
    <s v="other"/>
    <s v="advance"/>
    <x v="2"/>
    <s v="JP2023 zipair"/>
    <m/>
    <s v="import"/>
    <s v=""/>
    <b v="0"/>
    <s v=""/>
  </r>
  <r>
    <s v="fbd27b1c-d7ee-419a-beef-afa7cdd3344d"/>
    <x v="537"/>
    <s v="18:52"/>
    <x v="875"/>
    <s v="expense"/>
    <s v="entertain_1781955063349_gok1"/>
    <s v="advance"/>
    <x v="1"/>
    <s v="JP2023 zipair"/>
    <m/>
    <s v="import"/>
    <s v=""/>
    <b v="0"/>
    <s v=""/>
  </r>
  <r>
    <s v="8ef98c79-acd5-440f-8873-8a2e6ea4905e"/>
    <x v="538"/>
    <s v="18:28"/>
    <x v="876"/>
    <s v="expense"/>
    <s v="rc_cat_1781955063347_5qjb_1781955063347_tezk"/>
    <s v="kbank"/>
    <x v="1"/>
    <s v="-"/>
    <m/>
    <s v="import"/>
    <s v=""/>
    <b v="0"/>
    <s v=""/>
  </r>
  <r>
    <s v="0b6dc174-f281-4be8-b630-a6337349d9c4"/>
    <x v="538"/>
    <s v="19:10"/>
    <x v="877"/>
    <s v="expense"/>
    <s v="rc_cat_1781955063347_5qjb_1781955063347_tezk"/>
    <s v="rc_acc_1781955063347_uxz4"/>
    <x v="1"/>
    <s v="-"/>
    <m/>
    <s v="import"/>
    <s v=""/>
    <b v="0"/>
    <s v=""/>
  </r>
  <r>
    <s v="05f966ae-087d-43e4-bf95-ff279e469110"/>
    <x v="539"/>
    <s v="05:25"/>
    <x v="5"/>
    <s v="transfer"/>
    <s v="other"/>
    <s v="rc_acc_1781955063349_qn1n"/>
    <x v="5"/>
    <s v="Yuang"/>
    <m/>
    <s v="import"/>
    <s v=""/>
    <b v="0"/>
    <s v=""/>
  </r>
  <r>
    <s v="8dff33cc-8479-42f9-9781-0084ffd2b8e1"/>
    <x v="539"/>
    <s v="18:27"/>
    <x v="870"/>
    <s v="transfer"/>
    <s v="other"/>
    <s v="kbank"/>
    <x v="2"/>
    <s v="บัตร"/>
    <m/>
    <s v="import"/>
    <s v=""/>
    <b v="0"/>
    <s v=""/>
  </r>
  <r>
    <s v="14c70fa2-e77b-4f5a-abfb-0fddf9434d94"/>
    <x v="540"/>
    <s v="18:26"/>
    <x v="878"/>
    <s v="expense"/>
    <s v="rc_cat_1781955063347_5qjb_1781955063347_tezk"/>
    <s v="kbank"/>
    <x v="1"/>
    <s v="-"/>
    <m/>
    <s v="import"/>
    <s v=""/>
    <b v="0"/>
    <s v=""/>
  </r>
  <r>
    <s v="fd6ec556-d261-464a-b166-125a9711395d"/>
    <x v="541"/>
    <s v="20:53"/>
    <x v="785"/>
    <s v="expense"/>
    <s v="entertain_1781955063348_kx2f"/>
    <s v="rc_acc_1781955063350_i8ms"/>
    <x v="1"/>
    <s v="s22 ultra(8/10)"/>
    <m/>
    <s v="import"/>
    <s v=""/>
    <b v="0"/>
    <s v=""/>
  </r>
  <r>
    <s v="42371ed4-648c-4d9e-b714-85e6d745d0b2"/>
    <x v="542"/>
    <s v="00:00"/>
    <x v="879"/>
    <s v="expense"/>
    <s v="rc_cat_1781955063347_04qb_1781955063347_kgnn"/>
    <s v="rc_acc_1781955063347_uxz4"/>
    <x v="1"/>
    <s v="-"/>
    <m/>
    <s v="import"/>
    <s v=""/>
    <b v="0"/>
    <s v=""/>
  </r>
  <r>
    <s v="daeb3aae-2a45-4fb4-94cb-2da2da74c0ee"/>
    <x v="542"/>
    <s v="00:00"/>
    <x v="880"/>
    <s v="expense"/>
    <s v="rc_cat_1781955063347_04qb_1781955063347_lu9b"/>
    <s v="rc_acc_1781955063347_uxz4"/>
    <x v="1"/>
    <s v="-"/>
    <m/>
    <s v="import"/>
    <s v=""/>
    <b v="0"/>
    <s v=""/>
  </r>
  <r>
    <s v="c28de4c9-ab29-48d2-b650-a3c6f109fc0f"/>
    <x v="542"/>
    <s v="00:00"/>
    <x v="128"/>
    <s v="transfer"/>
    <s v="other"/>
    <s v="rc_acc_1781955063347_uxz4"/>
    <x v="21"/>
    <s v="-"/>
    <m/>
    <s v="import"/>
    <s v=""/>
    <b v="0"/>
    <s v=""/>
  </r>
  <r>
    <s v="1c5c3a83-7efb-4319-8f30-faeac28b25a6"/>
    <x v="542"/>
    <s v="00:00"/>
    <x v="31"/>
    <s v="transfer"/>
    <s v="other"/>
    <s v="rc_acc_1781955063347_uxz4"/>
    <x v="7"/>
    <s v="-"/>
    <m/>
    <s v="import"/>
    <s v=""/>
    <b v="0"/>
    <s v=""/>
  </r>
  <r>
    <s v="510d9617-c93a-4f2c-a0ca-be17051a74fd"/>
    <x v="542"/>
    <s v="00:00"/>
    <x v="743"/>
    <s v="transfer"/>
    <s v="other"/>
    <s v="rc_acc_1781955063347_uxz4"/>
    <x v="20"/>
    <s v="-"/>
    <m/>
    <s v="import"/>
    <s v=""/>
    <b v="0"/>
    <s v=""/>
  </r>
  <r>
    <s v="49ad3245-e9a2-4d0a-aa20-28a2a5b92ff6"/>
    <x v="542"/>
    <s v="00:00"/>
    <x v="613"/>
    <s v="transfer"/>
    <s v="other"/>
    <s v="rc_acc_1781955063347_uxz4"/>
    <x v="8"/>
    <s v="-"/>
    <m/>
    <s v="import"/>
    <s v=""/>
    <b v="0"/>
    <s v=""/>
  </r>
  <r>
    <s v="887a4270-d2b2-4f05-a6f6-54b5fe6470d7"/>
    <x v="542"/>
    <s v="00:00"/>
    <x v="639"/>
    <s v="expense"/>
    <s v="rc_cat_1781955063347_04qb_1781955063350_acgf"/>
    <s v="rc_acc_1781955063347_uxz4"/>
    <x v="1"/>
    <s v="-"/>
    <m/>
    <s v="import"/>
    <s v=""/>
    <b v="0"/>
    <s v=""/>
  </r>
  <r>
    <s v="f8ad01ec-0184-4d35-835e-f9ebb423d258"/>
    <x v="542"/>
    <s v="00:00"/>
    <x v="614"/>
    <s v="income"/>
    <s v="income_1781955063347_5zxt"/>
    <s v="rc_acc_1781955063347_uxz4"/>
    <x v="1"/>
    <s v="-"/>
    <m/>
    <s v="import"/>
    <s v=""/>
    <b v="0"/>
    <s v=""/>
  </r>
  <r>
    <s v="c41791cc-d1e5-48ed-a4fc-18f87845acc8"/>
    <x v="543"/>
    <s v="13:50"/>
    <x v="881"/>
    <s v="transfer"/>
    <s v="other"/>
    <s v="rc_acc_1781955063347_sv7p"/>
    <x v="2"/>
    <s v="เนต"/>
    <m/>
    <s v="import"/>
    <s v=""/>
    <b v="0"/>
    <s v=""/>
  </r>
  <r>
    <s v="11c9f059-3830-47f3-ac5d-39198af40307"/>
    <x v="543"/>
    <s v="18:17"/>
    <x v="785"/>
    <s v="transfer"/>
    <s v="other"/>
    <s v="kbank"/>
    <x v="26"/>
    <s v="-"/>
    <m/>
    <s v="import"/>
    <s v=""/>
    <b v="0"/>
    <s v=""/>
  </r>
  <r>
    <s v="5762cf2e-1fe0-4f68-a6b5-aea1ce95c674"/>
    <x v="543"/>
    <s v="20:00"/>
    <x v="882"/>
    <s v="transfer"/>
    <s v="other"/>
    <s v="rc_acc_1781955063347_uxz4"/>
    <x v="2"/>
    <s v="-"/>
    <m/>
    <s v="import"/>
    <s v=""/>
    <b v="0"/>
    <s v=""/>
  </r>
  <r>
    <s v="5a4e321e-09c5-49ba-b5fc-a8e0f9ebfe10"/>
    <x v="543"/>
    <s v="20:11"/>
    <x v="31"/>
    <s v="transfer"/>
    <s v="other"/>
    <s v="rc_acc_1781955063347_e3zv"/>
    <x v="5"/>
    <s v="-"/>
    <m/>
    <s v="import"/>
    <s v=""/>
    <b v="0"/>
    <s v=""/>
  </r>
  <r>
    <s v="ad3f1456-718e-408d-82d7-d53716525c86"/>
    <x v="543"/>
    <s v="20:13"/>
    <x v="883"/>
    <s v="expense"/>
    <s v="rc_cat_1781955063347_5qjb_1781955063348_edf6"/>
    <s v="rc_acc_1781955063347_0qmn"/>
    <x v="1"/>
    <s v="-"/>
    <m/>
    <s v="import"/>
    <s v=""/>
    <b v="0"/>
    <s v=""/>
  </r>
  <r>
    <s v="734d7067-a861-4ddf-ae15-10feb2771171"/>
    <x v="543"/>
    <s v="20:17"/>
    <x v="884"/>
    <s v="transfer"/>
    <s v="other"/>
    <s v="rc_acc_1781955063347_uxz4"/>
    <x v="6"/>
    <s v="-"/>
    <m/>
    <s v="import"/>
    <s v=""/>
    <b v="0"/>
    <s v=""/>
  </r>
  <r>
    <s v="aa755360-095b-4be4-8aca-9cfe9df8da9b"/>
    <x v="544"/>
    <s v="11:11"/>
    <x v="31"/>
    <s v="expense"/>
    <s v="rc_cat_1781955063347_5qjb_1781955063348_edf6"/>
    <s v="rc_acc_1781955063347_0qmn"/>
    <x v="1"/>
    <s v="-"/>
    <m/>
    <s v="import"/>
    <s v=""/>
    <b v="0"/>
    <s v=""/>
  </r>
  <r>
    <s v="45adc7f0-31ee-4ddb-8410-5865adc88283"/>
    <x v="545"/>
    <s v="09:20"/>
    <x v="356"/>
    <s v="expense"/>
    <s v="rc_cat_1781955063347_5qjb_1781955063347_tezk"/>
    <s v="rc_acc_1781955063347_0qmn"/>
    <x v="1"/>
    <s v="-"/>
    <m/>
    <s v="import"/>
    <s v=""/>
    <b v="0"/>
    <s v=""/>
  </r>
  <r>
    <s v="ef96e171-5731-4db2-9cf9-9e71cdd61369"/>
    <x v="545"/>
    <s v="09:20"/>
    <x v="22"/>
    <s v="expense"/>
    <s v="rc_cat_1781955063347_5qjb_1781955063347_tezk"/>
    <s v="rc_acc_1781955063347_0qmn"/>
    <x v="1"/>
    <s v="-"/>
    <m/>
    <s v="import"/>
    <s v=""/>
    <b v="0"/>
    <s v=""/>
  </r>
  <r>
    <s v="4a973217-9a39-4581-9bc4-33a7a0417952"/>
    <x v="545"/>
    <s v="20:06"/>
    <x v="885"/>
    <s v="transfer"/>
    <s v="other"/>
    <s v="rc_acc_1781955063347_sv7p"/>
    <x v="2"/>
    <s v="hotel 1st night korea"/>
    <m/>
    <s v="import"/>
    <s v=""/>
    <b v="0"/>
    <s v=""/>
  </r>
  <r>
    <s v="e3d1de76-b979-4401-a6b1-acba3fee4e7d"/>
    <x v="546"/>
    <s v="10:21"/>
    <x v="886"/>
    <s v="expense"/>
    <s v="rc_cat_1781955063347_anhy_1781955063348_k5l1"/>
    <s v="rc_acc_1781955063347_uxz4"/>
    <x v="1"/>
    <s v="-"/>
    <m/>
    <s v="import"/>
    <s v=""/>
    <b v="0"/>
    <s v=""/>
  </r>
  <r>
    <s v="852d9ec2-cba9-4618-8ce7-ca2f22db2ad1"/>
    <x v="546"/>
    <s v="20:08"/>
    <x v="887"/>
    <s v="transfer"/>
    <s v="other"/>
    <s v="rc_acc_1781955063347_uxz4"/>
    <x v="2"/>
    <s v="ตั๋ว Jinair"/>
    <m/>
    <s v="import"/>
    <s v=""/>
    <b v="0"/>
    <s v=""/>
  </r>
  <r>
    <s v="6db08866-bc8a-4dbb-b4b0-1d791bc91fb7"/>
    <x v="547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535425d7-fed4-4601-9529-af225095522c"/>
    <x v="547"/>
    <s v="11:14"/>
    <x v="888"/>
    <s v="expense"/>
    <s v="other_1781955063347_5s7r"/>
    <s v="rc_acc_1781955063347_0qmn"/>
    <x v="1"/>
    <s v="Difference"/>
    <m/>
    <s v="import"/>
    <s v=""/>
    <b v="0"/>
    <s v=""/>
  </r>
  <r>
    <s v="84e55620-8bc7-4e31-9d3f-a5db17117c57"/>
    <x v="547"/>
    <s v="18:25"/>
    <x v="889"/>
    <s v="expense"/>
    <s v="rc_cat_1781955063347_anhy_1781955063350_fcpb"/>
    <s v="kbank"/>
    <x v="1"/>
    <s v="ค่าไฟ"/>
    <m/>
    <s v="import"/>
    <s v=""/>
    <b v="0"/>
    <s v=""/>
  </r>
  <r>
    <s v="2a666af4-da10-4987-97de-1a7923d2dc3e"/>
    <x v="547"/>
    <s v="20:24"/>
    <x v="387"/>
    <s v="transfer"/>
    <s v="other"/>
    <s v="rc_acc_1781955063347_uxz4"/>
    <x v="17"/>
    <s v="-"/>
    <m/>
    <s v="import"/>
    <s v=""/>
    <b v="0"/>
    <s v=""/>
  </r>
  <r>
    <s v="945cbfcc-198c-4449-8f4f-c874ea233ca7"/>
    <x v="548"/>
    <s v="08:57"/>
    <x v="19"/>
    <s v="transfer"/>
    <s v="other"/>
    <s v="rc_acc_1781955063347_uxz4"/>
    <x v="16"/>
    <s v="-"/>
    <m/>
    <s v="import"/>
    <s v=""/>
    <b v="0"/>
    <s v=""/>
  </r>
  <r>
    <s v="f5289aa9-c5b0-4f49-a5d1-5b3ed368614a"/>
    <x v="548"/>
    <s v="17:12"/>
    <x v="186"/>
    <s v="expense"/>
    <s v="rc_cat_1781955063347_5qjb_1781955063347_tezk"/>
    <s v="rc_acc_1781955063347_0qmn"/>
    <x v="1"/>
    <s v="-"/>
    <m/>
    <s v="import"/>
    <s v=""/>
    <b v="0"/>
    <s v=""/>
  </r>
  <r>
    <s v="5fe27a4e-310a-4c26-a921-6932f1a0b5d8"/>
    <x v="549"/>
    <s v="11:11"/>
    <x v="890"/>
    <s v="expense"/>
    <s v="rc_cat_1781955063347_5qjb_1781955063347_tezk"/>
    <s v="rc_acc_1781955063347_0qmn"/>
    <x v="1"/>
    <s v="-"/>
    <m/>
    <s v="import"/>
    <s v=""/>
    <b v="0"/>
    <s v=""/>
  </r>
  <r>
    <s v="f49a24c4-dfe0-4c72-b3d5-973de679dd98"/>
    <x v="549"/>
    <s v="18:23"/>
    <x v="86"/>
    <s v="expense"/>
    <s v="rc_cat_1781955063347_5qjb_1781955063347_tezk"/>
    <s v="kbank"/>
    <x v="1"/>
    <s v="-"/>
    <m/>
    <s v="import"/>
    <s v=""/>
    <b v="0"/>
    <s v=""/>
  </r>
  <r>
    <s v="d24a5910-14a3-4bca-8725-5fe57ef51c9a"/>
    <x v="550"/>
    <s v="09:11"/>
    <x v="464"/>
    <s v="expense"/>
    <s v="rc_cat_1781955063347_5qjb_1781955063347_tezk"/>
    <s v="rc_acc_1781955063347_0qmn"/>
    <x v="1"/>
    <s v="-"/>
    <m/>
    <s v="import"/>
    <s v=""/>
    <b v="0"/>
    <s v=""/>
  </r>
  <r>
    <s v="e5f21a10-cda0-468c-9e5f-cead400d85ed"/>
    <x v="550"/>
    <s v="11:02"/>
    <x v="891"/>
    <s v="expense"/>
    <s v="rc_cat_1781955063347_5qjb_1781955063347_tezk"/>
    <s v="rc_acc_1781955063347_kjxt"/>
    <x v="1"/>
    <s v="-"/>
    <m/>
    <s v="import"/>
    <s v=""/>
    <b v="0"/>
    <s v=""/>
  </r>
  <r>
    <s v="937253ee-03bb-4b31-95e7-67e3c678f6b9"/>
    <x v="550"/>
    <s v="14:00"/>
    <x v="892"/>
    <s v="transfer"/>
    <s v="other"/>
    <s v="rc_acc_1781955063347_kjxt"/>
    <x v="5"/>
    <s v="-"/>
    <m/>
    <s v="import"/>
    <s v=""/>
    <b v="0"/>
    <s v=""/>
  </r>
  <r>
    <s v="fd6b4178-3326-499a-8dc7-ef4b15ccbc83"/>
    <x v="550"/>
    <s v="14:37"/>
    <x v="317"/>
    <s v="expense"/>
    <s v="rc_cat_1781955063347_5qjb_1781955063347_tezk"/>
    <s v="kbank"/>
    <x v="1"/>
    <s v="-"/>
    <m/>
    <s v="import"/>
    <s v=""/>
    <b v="0"/>
    <s v=""/>
  </r>
  <r>
    <s v="2acb8a3e-2511-4e66-8ec3-b0c2b02a6094"/>
    <x v="551"/>
    <s v="09:09"/>
    <x v="893"/>
    <s v="expense"/>
    <s v="rc_cat_1781955063347_5qjb_1781955063347_tezk"/>
    <s v="rc_acc_1781955063347_0qmn"/>
    <x v="1"/>
    <s v="-"/>
    <m/>
    <s v="import"/>
    <s v=""/>
    <b v="0"/>
    <s v=""/>
  </r>
  <r>
    <s v="492e9184-a836-42ea-a417-4ee1a216b6d9"/>
    <x v="551"/>
    <s v="12:10"/>
    <x v="34"/>
    <s v="expense"/>
    <s v="rc_cat_1781955063347_5qjb_1781955063347_tezk"/>
    <s v="rc_acc_1781955063347_0qmn"/>
    <x v="1"/>
    <s v="-"/>
    <m/>
    <s v="import"/>
    <s v=""/>
    <b v="0"/>
    <s v=""/>
  </r>
  <r>
    <s v="0223236b-1f08-4021-bfff-5e856b670df4"/>
    <x v="551"/>
    <s v="18:25"/>
    <x v="558"/>
    <s v="expense"/>
    <s v="rc_cat_1781955063347_5qjb_1781955063347_tezk"/>
    <s v="kbank"/>
    <x v="1"/>
    <s v="-"/>
    <m/>
    <s v="import"/>
    <s v=""/>
    <b v="0"/>
    <s v=""/>
  </r>
  <r>
    <s v="175d7541-e9b3-46c7-8fde-4b30a41ecbe1"/>
    <x v="552"/>
    <s v="11:09"/>
    <x v="19"/>
    <s v="expense"/>
    <s v="rc_cat_1781955063347_5qjb_1781955063347_tezk"/>
    <s v="rc_acc_1781955063347_0qmn"/>
    <x v="1"/>
    <s v="-"/>
    <m/>
    <s v="import"/>
    <s v=""/>
    <b v="0"/>
    <s v=""/>
  </r>
  <r>
    <s v="c1d11452-01f6-4c37-a22a-1c9c698d5842"/>
    <x v="553"/>
    <s v="08:58"/>
    <x v="87"/>
    <s v="expense"/>
    <s v="rc_cat_1781955063347_5qjb_1781955063347_tezk"/>
    <s v="kbank"/>
    <x v="1"/>
    <s v="-"/>
    <m/>
    <s v="import"/>
    <s v=""/>
    <b v="0"/>
    <s v=""/>
  </r>
  <r>
    <s v="3ba1e8dd-2908-4947-82c4-b0c6a854a67c"/>
    <x v="553"/>
    <s v="09:58"/>
    <x v="31"/>
    <s v="transfer"/>
    <s v="other"/>
    <s v="rc_acc_1781955063347_uxz4"/>
    <x v="29"/>
    <s v="-"/>
    <m/>
    <s v="import"/>
    <s v=""/>
    <b v="0"/>
    <s v=""/>
  </r>
  <r>
    <s v="021bec94-0004-42a7-8c5f-8210fe85cee9"/>
    <x v="553"/>
    <s v="11:09"/>
    <x v="894"/>
    <s v="expense"/>
    <s v="rc_cat_1781955063347_5qjb_1781955063347_tezk"/>
    <s v="rc_acc_1781955063347_0qmn"/>
    <x v="1"/>
    <s v="-"/>
    <m/>
    <s v="import"/>
    <s v=""/>
    <b v="0"/>
    <s v=""/>
  </r>
  <r>
    <s v="76caa8b6-62e2-4a4e-bcf8-4c1cb2e42e85"/>
    <x v="554"/>
    <s v="09:40"/>
    <x v="871"/>
    <s v="transfer"/>
    <s v="other"/>
    <s v="kbank"/>
    <x v="2"/>
    <s v="บัตร"/>
    <m/>
    <s v="import"/>
    <s v=""/>
    <b v="0"/>
    <s v=""/>
  </r>
  <r>
    <s v="df1e18bb-9ae9-4873-b6ec-b97a63e8baab"/>
    <x v="555"/>
    <s v="13:39"/>
    <x v="516"/>
    <s v="expense"/>
    <s v="rc_cat_1781955063347_5qjb_1781955063347_tezk"/>
    <s v="rc_acc_1781955063347_0qmn"/>
    <x v="1"/>
    <s v="mk"/>
    <m/>
    <s v="import"/>
    <s v=""/>
    <b v="0"/>
    <s v=""/>
  </r>
  <r>
    <s v="6ac0ba0a-64f3-43b0-b5e0-cf05a554d9d6"/>
    <x v="555"/>
    <s v="15:40"/>
    <x v="608"/>
    <s v="expense"/>
    <s v="rc_cat_1781955063347_5qjb_1781955063347_tezk"/>
    <s v="rc_acc_1781955063347_0qmn"/>
    <x v="1"/>
    <s v="-"/>
    <m/>
    <s v="import"/>
    <s v=""/>
    <b v="0"/>
    <s v=""/>
  </r>
  <r>
    <s v="ea8c8180-6a31-4b1f-bdef-3f460eb5c4b1"/>
    <x v="556"/>
    <s v="11:08"/>
    <x v="78"/>
    <s v="income"/>
    <s v="income_1781955063347_5zxt"/>
    <s v="rc_acc_1781955063347_0qmn"/>
    <x v="1"/>
    <s v="-"/>
    <m/>
    <s v="import"/>
    <s v=""/>
    <b v="0"/>
    <s v=""/>
  </r>
  <r>
    <s v="6a4f5764-eb22-450c-8929-fff54c063c30"/>
    <x v="556"/>
    <s v="11:08"/>
    <x v="373"/>
    <s v="expense"/>
    <s v="rc_cat_1781955063347_5qjb_1781955063347_tezk"/>
    <s v="rc_acc_1781955063347_0qmn"/>
    <x v="1"/>
    <s v="-"/>
    <m/>
    <s v="import"/>
    <s v=""/>
    <b v="0"/>
    <s v=""/>
  </r>
  <r>
    <s v="1feda525-5a42-47cc-a564-bf07eebac4ec"/>
    <x v="556"/>
    <s v="11:25"/>
    <x v="895"/>
    <s v="expense"/>
    <s v="rc_cat_1781955063347_04qb_1781955063347_wt5p"/>
    <s v="rc_acc_1781955063347_uxz4"/>
    <x v="1"/>
    <s v="-"/>
    <m/>
    <s v="import"/>
    <s v=""/>
    <b v="0"/>
    <s v=""/>
  </r>
  <r>
    <s v="960cc4f4-614d-440e-a704-82aa6f3f3e96"/>
    <x v="556"/>
    <s v="14:58"/>
    <x v="751"/>
    <s v="expense"/>
    <s v="rc_cat_1781955063347_5qjb_1781955063347_tezk"/>
    <s v="rc_acc_1781955063347_0qmn"/>
    <x v="1"/>
    <s v="-"/>
    <m/>
    <s v="import"/>
    <s v=""/>
    <b v="0"/>
    <s v=""/>
  </r>
  <r>
    <s v="9c5e269f-e445-46d5-8cc0-931b926c3e22"/>
    <x v="556"/>
    <s v="18:22"/>
    <x v="317"/>
    <s v="expense"/>
    <s v="rc_cat_1781955063347_5qjb_1781955063347_tezk"/>
    <s v="kbank"/>
    <x v="1"/>
    <s v="-"/>
    <m/>
    <s v="import"/>
    <s v=""/>
    <b v="0"/>
    <s v=""/>
  </r>
  <r>
    <s v="19de29de-2cf6-47d7-9915-8216a2f92956"/>
    <x v="557"/>
    <s v="11:00"/>
    <x v="465"/>
    <s v="expense"/>
    <s v="rc_cat_1781955063347_5qjb_1781955063347_irl1"/>
    <s v="kbank"/>
    <x v="1"/>
    <s v="-"/>
    <m/>
    <s v="import"/>
    <s v=""/>
    <b v="0"/>
    <s v=""/>
  </r>
  <r>
    <s v="28dd04b2-8c77-49d8-8e12-84b8d0fd757f"/>
    <x v="557"/>
    <s v="11:07"/>
    <x v="185"/>
    <s v="expense"/>
    <s v="rc_cat_1781955063347_5qjb_1781955063347_tezk"/>
    <s v="rc_acc_1781955063347_0qmn"/>
    <x v="1"/>
    <s v="-"/>
    <m/>
    <s v="import"/>
    <s v=""/>
    <b v="0"/>
    <s v=""/>
  </r>
  <r>
    <s v="0e64438f-e4af-454f-a0df-aefa41b4fb1f"/>
    <x v="557"/>
    <s v="11:22"/>
    <x v="594"/>
    <s v="expense"/>
    <s v="rc_cat_1781955063347_5qjb_1781955063347_tezk"/>
    <s v="kbank"/>
    <x v="1"/>
    <s v="ค่าโง่"/>
    <m/>
    <s v="import"/>
    <s v=""/>
    <b v="0"/>
    <s v=""/>
  </r>
  <r>
    <s v="032b7e33-6444-4568-9eb3-c1353fcc2713"/>
    <x v="557"/>
    <s v="11:26"/>
    <x v="615"/>
    <s v="expense"/>
    <s v="rc_cat_1781955063347_5qjb_1781955063347_irl1"/>
    <s v="kbank"/>
    <x v="1"/>
    <s v="แท็กไป oranji"/>
    <m/>
    <s v="import"/>
    <s v=""/>
    <b v="0"/>
    <s v=""/>
  </r>
  <r>
    <s v="749f1621-28e8-426a-9caf-e0717dbb6860"/>
    <x v="557"/>
    <s v="11:40"/>
    <x v="317"/>
    <s v="transfer"/>
    <s v="other"/>
    <s v="kbank"/>
    <x v="5"/>
    <s v="-"/>
    <m/>
    <s v="import"/>
    <s v=""/>
    <b v="0"/>
    <s v=""/>
  </r>
  <r>
    <s v="91a37977-5ab9-47bc-8fbb-1fe63c7035d6"/>
    <x v="557"/>
    <s v="19:36"/>
    <x v="896"/>
    <s v="expense"/>
    <s v="rc_cat_1781955063347_5qjb_1781955063347_tezk"/>
    <s v="kbank"/>
    <x v="1"/>
    <s v="-"/>
    <m/>
    <s v="import"/>
    <s v=""/>
    <b v="0"/>
    <s v=""/>
  </r>
  <r>
    <s v="7c2198e1-add6-48e0-9afb-f4ef60c002a2"/>
    <x v="558"/>
    <s v="08:58"/>
    <x v="176"/>
    <s v="expense"/>
    <s v="rc_cat_1781955063347_5qjb_1781955063347_tezk"/>
    <s v="kbank"/>
    <x v="1"/>
    <s v="-"/>
    <m/>
    <s v="import"/>
    <s v=""/>
    <b v="0"/>
    <s v=""/>
  </r>
  <r>
    <s v="827cde4c-64b9-421a-bbca-a5ed9fd4218a"/>
    <x v="558"/>
    <s v="09:00"/>
    <x v="199"/>
    <s v="expense"/>
    <s v="rc_cat_1781955063347_5qjb_1781955063347_tezk"/>
    <s v="kbank"/>
    <x v="1"/>
    <s v="-"/>
    <m/>
    <s v="import"/>
    <s v=""/>
    <b v="0"/>
    <s v=""/>
  </r>
  <r>
    <s v="34e87458-51ab-4134-8ed5-5d6b35060e2f"/>
    <x v="558"/>
    <s v="12:36"/>
    <x v="783"/>
    <s v="expense"/>
    <s v="rc_cat_1781955063347_5qjb_1781955063347_tezk"/>
    <s v="rc_acc_1781955063347_0qmn"/>
    <x v="1"/>
    <s v="-"/>
    <m/>
    <s v="import"/>
    <s v=""/>
    <b v="0"/>
    <s v=""/>
  </r>
  <r>
    <s v="64b63baa-f630-47f6-acd7-13cac8b80ea8"/>
    <x v="558"/>
    <s v="12:36"/>
    <x v="783"/>
    <s v="expense"/>
    <s v="rc_cat_1781955063347_5qjb_1781955063347_tezk"/>
    <s v="rc_acc_1781955063347_0qmn"/>
    <x v="1"/>
    <s v="-"/>
    <m/>
    <s v="import"/>
    <s v=""/>
    <b v="0"/>
    <s v=""/>
  </r>
  <r>
    <s v="f173beb5-84ff-4ff6-bd24-19a6f4d580f7"/>
    <x v="558"/>
    <s v="19:12"/>
    <x v="897"/>
    <s v="expense"/>
    <s v="rc_cat_1781955063347_5qjb_1781955063347_tezk"/>
    <s v="rc_acc_1781955063347_0qmn"/>
    <x v="1"/>
    <s v="-"/>
    <m/>
    <s v="import"/>
    <s v=""/>
    <b v="0"/>
    <s v=""/>
  </r>
  <r>
    <s v="91e6daff-6026-4c99-8d5c-01077354c6c8"/>
    <x v="559"/>
    <s v="09:16"/>
    <x v="146"/>
    <s v="expense"/>
    <s v="rc_cat_1781955063347_5qjb_1781955063347_tezk"/>
    <s v="rc_acc_1781955063347_0qmn"/>
    <x v="1"/>
    <s v="-"/>
    <m/>
    <s v="import"/>
    <s v=""/>
    <b v="0"/>
    <s v=""/>
  </r>
  <r>
    <s v="00a1930f-aeb4-4613-a315-af1c1c246fc1"/>
    <x v="559"/>
    <s v="12:40"/>
    <x v="771"/>
    <s v="expense"/>
    <s v="rc_cat_1781955063347_5qjb_1781955063347_tezk"/>
    <s v="kbank"/>
    <x v="1"/>
    <s v="-"/>
    <m/>
    <s v="import"/>
    <s v=""/>
    <b v="0"/>
    <s v=""/>
  </r>
  <r>
    <s v="7dfc055c-ae61-46b5-9032-267802ea0f53"/>
    <x v="559"/>
    <s v="13:05"/>
    <x v="199"/>
    <s v="expense"/>
    <s v="rc_cat_1781955063347_5qjb_1781955063347_tezk"/>
    <s v="kbank"/>
    <x v="1"/>
    <s v="-"/>
    <m/>
    <s v="import"/>
    <s v=""/>
    <b v="0"/>
    <s v=""/>
  </r>
  <r>
    <s v="34b82f50-b91c-4721-81a2-5ce714efe887"/>
    <x v="559"/>
    <s v="19:19"/>
    <x v="356"/>
    <s v="expense"/>
    <s v="rc_cat_1781955063347_5qjb_1781955063347_tezk"/>
    <s v="rc_acc_1781955063347_0qmn"/>
    <x v="1"/>
    <s v="-"/>
    <m/>
    <s v="import"/>
    <s v=""/>
    <b v="0"/>
    <s v=""/>
  </r>
  <r>
    <s v="4700564c-70f9-4a4e-a2d7-439dc4bbcd76"/>
    <x v="560"/>
    <s v="15:16"/>
    <x v="359"/>
    <s v="expense"/>
    <s v="rc_cat_1781955063347_5qjb_1781955063347_tezk"/>
    <s v="kbank"/>
    <x v="1"/>
    <s v="ไอติม seacon"/>
    <m/>
    <s v="import"/>
    <s v=""/>
    <b v="0"/>
    <s v=""/>
  </r>
  <r>
    <s v="04feb887-6f86-4d7f-a69a-dcc810c8b9c9"/>
    <x v="560"/>
    <s v="16:12"/>
    <x v="898"/>
    <s v="expense"/>
    <s v="rc_cat_1781955063347_s4sz_1781955063347_9tpp"/>
    <s v="rc_acc_1781955063347_uxz4"/>
    <x v="1"/>
    <s v="เสื้อ adidas"/>
    <m/>
    <s v="import"/>
    <s v=""/>
    <b v="0"/>
    <s v=""/>
  </r>
  <r>
    <s v="d1dbb5a4-a018-44ef-bfd9-56f74abd40c5"/>
    <x v="560"/>
    <s v="17:11"/>
    <x v="899"/>
    <s v="expense"/>
    <s v="rc_cat_1781955063347_5qjb_1781955063347_tezk"/>
    <s v="rc_acc_1781955063347_uxz4"/>
    <x v="1"/>
    <s v="สุกี้ข้าน้อย"/>
    <m/>
    <s v="import"/>
    <s v=""/>
    <b v="0"/>
    <s v=""/>
  </r>
  <r>
    <s v="830ea390-5d60-4a20-b5c1-5c8e0fef1be9"/>
    <x v="560"/>
    <s v="17:16"/>
    <x v="5"/>
    <s v="transfer"/>
    <s v="other"/>
    <s v="rc_acc_1781955063349_qn1n"/>
    <x v="5"/>
    <s v="Yuang"/>
    <m/>
    <s v="import"/>
    <s v=""/>
    <b v="0"/>
    <s v=""/>
  </r>
  <r>
    <s v="9de66f37-f4c4-48b8-9038-3752a9965789"/>
    <x v="560"/>
    <s v="18:00"/>
    <x v="900"/>
    <s v="transfer"/>
    <s v="other"/>
    <s v="rc_acc_1781955063347_uxz4"/>
    <x v="25"/>
    <s v="-"/>
    <m/>
    <s v="import"/>
    <s v=""/>
    <b v="0"/>
    <s v=""/>
  </r>
  <r>
    <s v="d41b31cb-e271-4c83-a8a0-be97ab319af5"/>
    <x v="561"/>
    <s v="09:16"/>
    <x v="185"/>
    <s v="expense"/>
    <s v="rc_cat_1781955063347_5qjb_1781955063347_tezk"/>
    <s v="rc_acc_1781955063347_uxz4"/>
    <x v="1"/>
    <s v="-"/>
    <m/>
    <s v="import"/>
    <s v=""/>
    <b v="0"/>
    <s v=""/>
  </r>
  <r>
    <s v="1906bbc4-3557-474e-ba9e-991e36bf21f9"/>
    <x v="561"/>
    <s v="11:46"/>
    <x v="901"/>
    <s v="expense"/>
    <s v="rc_cat_1781955063347_5qjb_1781955063348_wpky"/>
    <s v="rc_acc_1781955063347_0qmn"/>
    <x v="1"/>
    <s v="-"/>
    <m/>
    <s v="import"/>
    <s v=""/>
    <b v="0"/>
    <s v=""/>
  </r>
  <r>
    <s v="d55565b0-360f-4921-86d8-0fc362e76b4c"/>
    <x v="561"/>
    <s v="11:49"/>
    <x v="902"/>
    <s v="expense"/>
    <s v="rc_cat_1781955063347_5qjb_1781955063347_tezk"/>
    <s v="rc_acc_1781955063347_0qmn"/>
    <x v="1"/>
    <s v="-"/>
    <m/>
    <s v="import"/>
    <s v=""/>
    <b v="0"/>
    <s v=""/>
  </r>
  <r>
    <s v="f0e8c701-6058-4ad6-bff3-00ab41739958"/>
    <x v="561"/>
    <s v="11:51"/>
    <x v="903"/>
    <s v="transfer"/>
    <s v="other"/>
    <s v="rc_acc_1781955063347_uxz4"/>
    <x v="6"/>
    <s v="boardgame 2711 1308"/>
    <m/>
    <s v="import"/>
    <s v=""/>
    <b v="0"/>
    <s v=""/>
  </r>
  <r>
    <s v="e2c8b118-c40d-41ac-a0c6-7be6c0dd5803"/>
    <x v="561"/>
    <s v="11:58"/>
    <x v="118"/>
    <s v="transfer"/>
    <s v="other"/>
    <s v="rc_acc_1781955063347_uxz4"/>
    <x v="2"/>
    <s v="ยอดเคลียร์ JCB 30 apr"/>
    <m/>
    <s v="import"/>
    <s v=""/>
    <b v="0"/>
    <s v=""/>
  </r>
  <r>
    <s v="788088b7-a4a4-49e3-8b13-963d2a674d28"/>
    <x v="561"/>
    <s v="12:03"/>
    <x v="904"/>
    <s v="expense"/>
    <s v="other_1781955063348_27zj"/>
    <s v="rc_acc_1781955063347_uxz4"/>
    <x v="1"/>
    <s v="หูตาคอจมูก"/>
    <m/>
    <s v="import"/>
    <s v=""/>
    <b v="0"/>
    <s v=""/>
  </r>
  <r>
    <s v="09c0807a-779c-41d0-9166-1d7ba5be0470"/>
    <x v="561"/>
    <s v="12:04"/>
    <x v="905"/>
    <s v="expense"/>
    <s v="entertain_1781955063348_32wr"/>
    <s v="rc_acc_1781955063347_uxz4"/>
    <x v="1"/>
    <s v="หนังสือ 28 apr"/>
    <m/>
    <s v="import"/>
    <s v=""/>
    <b v="0"/>
    <s v=""/>
  </r>
  <r>
    <s v="8b20fd30-85ec-46ba-a094-843daf88c7e5"/>
    <x v="561"/>
    <s v="12:11"/>
    <x v="906"/>
    <s v="transfer"/>
    <s v="other"/>
    <s v="rc_acc_1781955063348_obza"/>
    <x v="14"/>
    <s v="-"/>
    <m/>
    <s v="import"/>
    <s v=""/>
    <b v="0"/>
    <s v=""/>
  </r>
  <r>
    <s v="4f9f212a-9115-40f9-bdc8-81743d2aaa75"/>
    <x v="561"/>
    <s v="12:12"/>
    <x v="907"/>
    <s v="expense"/>
    <s v="rc_cat_1781955063347_5qjb_1781955063348_laj8"/>
    <s v="rc_acc_1781955063347_hv85"/>
    <x v="1"/>
    <s v="-"/>
    <m/>
    <s v="import"/>
    <s v=""/>
    <b v="0"/>
    <s v=""/>
  </r>
  <r>
    <s v="41aa6177-192e-43c4-a33c-c7ce7cfee5cc"/>
    <x v="561"/>
    <s v="12:19"/>
    <x v="212"/>
    <s v="transfer"/>
    <s v="other"/>
    <s v="rc_acc_1781955063347_uxz4"/>
    <x v="25"/>
    <s v="-"/>
    <m/>
    <s v="import"/>
    <s v=""/>
    <b v="0"/>
    <s v=""/>
  </r>
  <r>
    <s v="760b5937-90fa-4794-bd38-0b3f733526cb"/>
    <x v="561"/>
    <s v="12:19"/>
    <x v="350"/>
    <s v="expense"/>
    <s v="rc_cat_1781955063347_5qjb_1781955063348_edf6"/>
    <s v="rc_acc_1781955063347_0qmn"/>
    <x v="1"/>
    <s v="-"/>
    <m/>
    <s v="import"/>
    <s v=""/>
    <b v="0"/>
    <s v=""/>
  </r>
  <r>
    <s v="ccba3682-5f4d-47f3-87f8-92089d112471"/>
    <x v="561"/>
    <s v="12:24"/>
    <x v="252"/>
    <s v="transfer"/>
    <s v="other"/>
    <s v="rc_acc_1781955063347_uxz4"/>
    <x v="4"/>
    <s v="-"/>
    <m/>
    <s v="import"/>
    <s v=""/>
    <b v="0"/>
    <s v=""/>
  </r>
  <r>
    <s v="b416a4c0-04bd-49d7-86f1-43c58dd7f3ff"/>
    <x v="561"/>
    <s v="12:24"/>
    <x v="785"/>
    <s v="transfer"/>
    <s v="other"/>
    <s v="kbank"/>
    <x v="26"/>
    <s v="-"/>
    <m/>
    <s v="import"/>
    <s v=""/>
    <b v="0"/>
    <s v=""/>
  </r>
  <r>
    <s v="96e56d2e-e9cf-4904-af04-0d8dcd035f79"/>
    <x v="561"/>
    <s v="12:52"/>
    <x v="908"/>
    <s v="expense"/>
    <s v="rc_cat_1781955063347_s4sz_1781955063347_deos"/>
    <s v="rc_acc_1781955063347_uxz4"/>
    <x v="1"/>
    <s v="-"/>
    <m/>
    <s v="import"/>
    <s v=""/>
    <b v="0"/>
    <s v=""/>
  </r>
  <r>
    <s v="f24963e7-6a48-47a6-bf53-d82df3f3c197"/>
    <x v="561"/>
    <s v="12:53"/>
    <x v="909"/>
    <s v="income"/>
    <s v="other_1781955063347_5s7r"/>
    <s v="rc_acc_1781955063348_w3gp"/>
    <x v="1"/>
    <s v="Difference"/>
    <m/>
    <s v="import"/>
    <s v=""/>
    <b v="0"/>
    <s v=""/>
  </r>
  <r>
    <s v="0edc50e5-d881-47ec-a21d-55e758959bc2"/>
    <x v="561"/>
    <s v="13:01"/>
    <x v="617"/>
    <s v="expense"/>
    <s v="rc_cat_1781955063347_anhy_1781955063347_qnaz"/>
    <s v="rc_acc_1781955063347_uxz4"/>
    <x v="1"/>
    <s v="-"/>
    <m/>
    <s v="import"/>
    <s v=""/>
    <b v="0"/>
    <s v=""/>
  </r>
  <r>
    <s v="868856b4-0124-4afe-97b0-a12ec43ff629"/>
    <x v="561"/>
    <s v="13:02"/>
    <x v="910"/>
    <s v="expense"/>
    <s v="rc_cat_1781955063347_5qjb_1781955063348_laj8"/>
    <s v="rc_acc_1781955063347_uxz4"/>
    <x v="1"/>
    <s v="-"/>
    <m/>
    <s v="import"/>
    <s v=""/>
    <b v="0"/>
    <s v=""/>
  </r>
  <r>
    <s v="637eec92-277a-42c1-91c1-5ddaa33ffad9"/>
    <x v="561"/>
    <s v="13:02"/>
    <x v="182"/>
    <s v="transfer"/>
    <s v="other"/>
    <s v="rc_acc_1781955063347_uxz4"/>
    <x v="25"/>
    <s v="-"/>
    <m/>
    <s v="import"/>
    <s v=""/>
    <b v="0"/>
    <s v=""/>
  </r>
  <r>
    <s v="781fc8f1-a19e-43cb-80a6-81da66fee51e"/>
    <x v="561"/>
    <s v="13:03"/>
    <x v="911"/>
    <s v="expense"/>
    <s v="rc_cat_1781955063347_5qjb_1781955063347_tezk"/>
    <s v="rc_acc_1781955063347_0qmn"/>
    <x v="1"/>
    <s v="-"/>
    <m/>
    <s v="import"/>
    <s v=""/>
    <b v="0"/>
    <s v=""/>
  </r>
  <r>
    <s v="6a9f8915-6922-40ad-804a-860b5b3066c0"/>
    <x v="561"/>
    <s v="13:03"/>
    <x v="31"/>
    <s v="expense"/>
    <s v="rc_cat_1781955063347_5qjb_1781955063348_hrbf"/>
    <s v="rc_acc_1781955063347_0qmn"/>
    <x v="1"/>
    <s v="-"/>
    <m/>
    <s v="import"/>
    <s v=""/>
    <b v="0"/>
    <s v=""/>
  </r>
  <r>
    <s v="8187fa81-09f6-4d1f-80d6-163d2209b3cf"/>
    <x v="561"/>
    <s v="13:03"/>
    <x v="912"/>
    <s v="expense"/>
    <s v="rc_cat_1781955063347_5qjb_1781955063347_tezk"/>
    <s v="rc_acc_1781955063347_0qmn"/>
    <x v="1"/>
    <s v="-"/>
    <m/>
    <s v="import"/>
    <s v=""/>
    <b v="0"/>
    <s v=""/>
  </r>
  <r>
    <s v="0d3c06e4-1d97-403d-a96d-a4fb6867e0c5"/>
    <x v="561"/>
    <s v="15:11"/>
    <x v="913"/>
    <s v="expense"/>
    <s v="rc_cat_1781955063347_5qjb_1781955063347_tezk"/>
    <s v="rc_acc_1781955063347_0qmn"/>
    <x v="1"/>
    <s v="-"/>
    <m/>
    <s v="import"/>
    <s v=""/>
    <b v="0"/>
    <s v=""/>
  </r>
  <r>
    <s v="ae16d973-879b-4149-8b05-69eb088368ae"/>
    <x v="561"/>
    <s v="16:14"/>
    <x v="914"/>
    <s v="expense"/>
    <s v="rc_cat_1781955063347_5qjb_1781955063347_tezk"/>
    <s v="kbank"/>
    <x v="1"/>
    <s v="น่าจะมีไอติม"/>
    <m/>
    <s v="import"/>
    <s v=""/>
    <b v="0"/>
    <s v=""/>
  </r>
  <r>
    <s v="fb9307cb-b930-4dea-b1a9-539a81aede7c"/>
    <x v="561"/>
    <s v="20:53"/>
    <x v="785"/>
    <s v="expense"/>
    <s v="entertain_1781955063348_kx2f"/>
    <s v="rc_acc_1781955063350_i8ms"/>
    <x v="1"/>
    <s v="s22 ultra(7/10)"/>
    <m/>
    <s v="import"/>
    <s v=""/>
    <b v="0"/>
    <s v=""/>
  </r>
  <r>
    <s v="2bbd88a5-1115-4f6c-acf9-d40e0b238bd2"/>
    <x v="562"/>
    <s v="09:24"/>
    <x v="317"/>
    <s v="expense"/>
    <s v="rc_cat_1781955063347_5qjb_1781955063347_tezk"/>
    <s v="rc_acc_1781955063347_uxz4"/>
    <x v="1"/>
    <s v="-"/>
    <m/>
    <s v="import"/>
    <s v=""/>
    <b v="0"/>
    <s v=""/>
  </r>
  <r>
    <s v="bfbf69ea-84f0-49e8-9590-bdcc84f291b4"/>
    <x v="562"/>
    <s v="11:27"/>
    <x v="915"/>
    <s v="expense"/>
    <s v="rc_cat_1781955063347_5qjb_1781955063347_tezk"/>
    <s v="rc_acc_1781955063347_0qmn"/>
    <x v="1"/>
    <s v="-"/>
    <m/>
    <s v="import"/>
    <s v=""/>
    <b v="0"/>
    <s v=""/>
  </r>
  <r>
    <s v="20a225b6-a105-4b78-a443-f5dc1e22f50a"/>
    <x v="562"/>
    <s v="13:27"/>
    <x v="916"/>
    <s v="expense"/>
    <s v="rc_cat_1781955063347_5qjb_1781955063347_tezk"/>
    <s v="rc_acc_1781955063347_0qmn"/>
    <x v="1"/>
    <s v="-"/>
    <m/>
    <s v="import"/>
    <s v=""/>
    <b v="0"/>
    <s v=""/>
  </r>
  <r>
    <s v="72f2873c-b15e-4053-bc11-f45b6195a7a7"/>
    <x v="562"/>
    <s v="14:50"/>
    <x v="5"/>
    <s v="expense"/>
    <s v="rc_cat_1781955063347_anhy_1781955063347_qnaz"/>
    <s v="rc_acc_1781955063347_uxz4"/>
    <x v="1"/>
    <s v="-"/>
    <m/>
    <s v="import"/>
    <s v=""/>
    <b v="0"/>
    <s v=""/>
  </r>
  <r>
    <s v="cbed7d85-7420-4c64-a7c6-5ec23cca483a"/>
    <x v="563"/>
    <s v="08:30"/>
    <x v="150"/>
    <s v="expense"/>
    <s v="rc_cat_1781955063347_5qjb_1781955063347_tezk"/>
    <s v="rc_acc_1781955063347_uxz4"/>
    <x v="1"/>
    <s v="-"/>
    <m/>
    <s v="import"/>
    <s v=""/>
    <b v="0"/>
    <s v=""/>
  </r>
  <r>
    <s v="cddccafb-06e7-4e9a-80cb-a4107f9fa538"/>
    <x v="563"/>
    <s v="12:52"/>
    <x v="22"/>
    <s v="expense"/>
    <s v="rc_cat_1781955063347_s4sz_1781955063347_deos"/>
    <s v="rc_acc_1781955063347_uxz4"/>
    <x v="1"/>
    <s v="ซ่อมรองเท้า"/>
    <m/>
    <s v="import"/>
    <s v=""/>
    <b v="0"/>
    <s v=""/>
  </r>
  <r>
    <s v="ab9ee410-d0ee-49c3-b634-00b9443c2dc5"/>
    <x v="563"/>
    <s v="12:53"/>
    <x v="877"/>
    <s v="expense"/>
    <s v="rc_cat_1781955063347_5qjb_1781955063347_tezk"/>
    <s v="rc_acc_1781955063347_uxz4"/>
    <x v="1"/>
    <s v="teddy"/>
    <m/>
    <s v="import"/>
    <s v=""/>
    <b v="0"/>
    <s v=""/>
  </r>
  <r>
    <s v="22b189aa-aa1c-4a3c-9287-c6f32e79be17"/>
    <x v="564"/>
    <s v="08:26"/>
    <x v="558"/>
    <s v="expense"/>
    <s v="rc_cat_1781955063347_5qjb_1781955063347_tezk"/>
    <s v="rc_acc_1781955063347_0qmn"/>
    <x v="1"/>
    <s v="-"/>
    <m/>
    <s v="import"/>
    <s v=""/>
    <b v="0"/>
    <s v=""/>
  </r>
  <r>
    <s v="c31b3c9c-c81c-4e0e-97a0-c8f424104f71"/>
    <x v="564"/>
    <s v="13:10"/>
    <x v="199"/>
    <s v="expense"/>
    <s v="rc_cat_1781955063347_5qjb_1781955063347_tezk"/>
    <s v="rc_acc_1781955063347_uxz4"/>
    <x v="1"/>
    <s v="-"/>
    <m/>
    <s v="import"/>
    <s v=""/>
    <b v="0"/>
    <s v=""/>
  </r>
  <r>
    <s v="8f4bd9b4-9dc4-4dbc-bf0c-58ef32d5aa07"/>
    <x v="564"/>
    <s v="19:30"/>
    <x v="87"/>
    <s v="expense"/>
    <s v="rc_cat_1781955063347_5qjb_1781955063347_tezk"/>
    <s v="rc_acc_1781955063347_uxz4"/>
    <x v="1"/>
    <s v="-"/>
    <m/>
    <s v="import"/>
    <s v=""/>
    <b v="0"/>
    <s v=""/>
  </r>
  <r>
    <s v="d40070d7-b9c4-4113-bac3-05f410fc265b"/>
    <x v="564"/>
    <s v="21:04"/>
    <x v="19"/>
    <s v="transfer"/>
    <s v="other"/>
    <s v="rc_acc_1781955063347_uxz4"/>
    <x v="16"/>
    <s v="-"/>
    <m/>
    <s v="import"/>
    <s v=""/>
    <b v="0"/>
    <s v=""/>
  </r>
  <r>
    <s v="ca6474fe-24f3-4da2-b8f5-5eed18ddd2ce"/>
    <x v="565"/>
    <s v="09:26"/>
    <x v="464"/>
    <s v="expense"/>
    <s v="rc_cat_1781955063347_5qjb_1781955063347_tezk"/>
    <s v="rc_acc_1781955063347_0qmn"/>
    <x v="1"/>
    <s v="-"/>
    <m/>
    <s v="import"/>
    <s v=""/>
    <b v="0"/>
    <s v=""/>
  </r>
  <r>
    <s v="aff1275a-8e9f-4e65-964f-2158b54134f3"/>
    <x v="566"/>
    <s v="00:00"/>
    <x v="917"/>
    <s v="expense"/>
    <s v="rc_cat_1781955063347_04qb_1781955063347_lu9b"/>
    <s v="rc_acc_1781955063347_uxz4"/>
    <x v="1"/>
    <s v="-"/>
    <m/>
    <s v="import"/>
    <s v=""/>
    <b v="0"/>
    <s v=""/>
  </r>
  <r>
    <s v="45690835-953d-4096-aac6-c281f7c6e992"/>
    <x v="566"/>
    <s v="00:00"/>
    <x v="918"/>
    <s v="expense"/>
    <s v="rc_cat_1781955063347_04qb_1781955063347_kgnn"/>
    <s v="rc_acc_1781955063347_uxz4"/>
    <x v="1"/>
    <s v="-"/>
    <m/>
    <s v="import"/>
    <s v=""/>
    <b v="0"/>
    <s v=""/>
  </r>
  <r>
    <s v="2105fede-2ffc-4b87-a558-e9177ae0cbd4"/>
    <x v="566"/>
    <s v="00:00"/>
    <x v="743"/>
    <s v="transfer"/>
    <s v="other"/>
    <s v="rc_acc_1781955063347_uxz4"/>
    <x v="20"/>
    <s v="-"/>
    <m/>
    <s v="import"/>
    <s v=""/>
    <b v="0"/>
    <s v=""/>
  </r>
  <r>
    <s v="c612d41f-5abb-4e3a-8f38-a1e270b1d89d"/>
    <x v="566"/>
    <s v="00:00"/>
    <x v="613"/>
    <s v="transfer"/>
    <s v="other"/>
    <s v="rc_acc_1781955063347_uxz4"/>
    <x v="8"/>
    <s v="-"/>
    <m/>
    <s v="import"/>
    <s v=""/>
    <b v="0"/>
    <s v=""/>
  </r>
  <r>
    <s v="2c86467b-f82d-42ae-b6c6-6ede1862ca97"/>
    <x v="566"/>
    <s v="00:00"/>
    <x v="639"/>
    <s v="expense"/>
    <s v="rc_cat_1781955063347_04qb_1781955063350_acgf"/>
    <s v="rc_acc_1781955063347_uxz4"/>
    <x v="1"/>
    <s v="-"/>
    <m/>
    <s v="import"/>
    <s v=""/>
    <b v="0"/>
    <s v=""/>
  </r>
  <r>
    <s v="8b97c8bd-ebea-4416-8075-a02482c2da21"/>
    <x v="566"/>
    <s v="00:00"/>
    <x v="614"/>
    <s v="income"/>
    <s v="income_1781955063347_5zxt"/>
    <s v="rc_acc_1781955063347_uxz4"/>
    <x v="1"/>
    <s v="-"/>
    <m/>
    <s v="import"/>
    <s v=""/>
    <b v="0"/>
    <s v=""/>
  </r>
  <r>
    <s v="d23c6d47-11ae-4c51-9a99-4b87c0eb9428"/>
    <x v="566"/>
    <s v="00:00"/>
    <x v="128"/>
    <s v="transfer"/>
    <s v="other"/>
    <s v="rc_acc_1781955063347_uxz4"/>
    <x v="21"/>
    <s v="-"/>
    <m/>
    <s v="import"/>
    <s v=""/>
    <b v="0"/>
    <s v=""/>
  </r>
  <r>
    <s v="cc22d8ae-1c9b-48ee-9d37-ae64d847bf89"/>
    <x v="566"/>
    <s v="00:00"/>
    <x v="31"/>
    <s v="transfer"/>
    <s v="other"/>
    <s v="rc_acc_1781955063347_uxz4"/>
    <x v="7"/>
    <s v="-"/>
    <m/>
    <s v="import"/>
    <s v=""/>
    <b v="0"/>
    <s v=""/>
  </r>
  <r>
    <s v="89c0ecdb-dc9b-4b8c-a8e8-2080a3873ef9"/>
    <x v="566"/>
    <s v="10:25"/>
    <x v="113"/>
    <s v="expense"/>
    <s v="rc_cat_1781955063347_5qjb_1781955063347_tezk"/>
    <s v="rc_acc_1781955063347_0qmn"/>
    <x v="1"/>
    <s v="-"/>
    <m/>
    <s v="import"/>
    <s v=""/>
    <b v="0"/>
    <s v=""/>
  </r>
  <r>
    <s v="9cb4b0d8-b93e-4d0d-9251-2bc6b00e1fda"/>
    <x v="566"/>
    <s v="12:46"/>
    <x v="616"/>
    <s v="expense"/>
    <s v="rc_cat_1781955063347_5qjb_1781955063347_tezk"/>
    <s v="rc_acc_1781955063347_uxz4"/>
    <x v="1"/>
    <s v="-"/>
    <m/>
    <s v="import"/>
    <s v=""/>
    <b v="0"/>
    <s v=""/>
  </r>
  <r>
    <s v="dfbf67a8-0241-4b34-aa1e-e7a15b5d9ccf"/>
    <x v="566"/>
    <s v="13:10"/>
    <x v="199"/>
    <s v="expense"/>
    <s v="rc_cat_1781955063347_5qjb_1781955063347_tezk"/>
    <s v="rc_acc_1781955063347_uxz4"/>
    <x v="1"/>
    <s v="-"/>
    <m/>
    <s v="import"/>
    <s v=""/>
    <b v="0"/>
    <s v=""/>
  </r>
  <r>
    <s v="732a1498-258f-44bb-b5f5-a23c0c18d231"/>
    <x v="567"/>
    <s v="08:50"/>
    <x v="150"/>
    <s v="expense"/>
    <s v="rc_cat_1781955063347_5qjb_1781955063347_tezk"/>
    <s v="rc_acc_1781955063347_uxz4"/>
    <x v="1"/>
    <s v="-"/>
    <m/>
    <s v="import"/>
    <s v=""/>
    <b v="0"/>
    <s v=""/>
  </r>
  <r>
    <s v="18c4b774-6175-4551-ad46-bba7abc39469"/>
    <x v="567"/>
    <s v="11:38"/>
    <x v="150"/>
    <s v="expense"/>
    <s v="rc_cat_1781955063347_5qjb_1781955063347_tezk"/>
    <s v="rc_acc_1781955063347_uxz4"/>
    <x v="1"/>
    <s v="-"/>
    <m/>
    <s v="import"/>
    <s v=""/>
    <b v="0"/>
    <s v=""/>
  </r>
  <r>
    <s v="99c978ba-02b0-4ed5-b8ad-665f164e9e41"/>
    <x v="567"/>
    <s v="12:25"/>
    <x v="175"/>
    <s v="expense"/>
    <s v="rc_cat_1781955063347_5qjb_1781955063347_tezk"/>
    <s v="rc_acc_1781955063347_uxz4"/>
    <x v="1"/>
    <s v="-"/>
    <m/>
    <s v="import"/>
    <s v=""/>
    <b v="0"/>
    <s v=""/>
  </r>
  <r>
    <s v="a081f983-76f6-4bdd-ac74-40387f0cc491"/>
    <x v="567"/>
    <s v="12:39"/>
    <x v="919"/>
    <s v="transfer"/>
    <s v="other"/>
    <s v="advance"/>
    <x v="5"/>
    <s v="-"/>
    <m/>
    <s v="import"/>
    <s v=""/>
    <b v="0"/>
    <s v=""/>
  </r>
  <r>
    <s v="37624550-bf77-46b7-825f-a1ff7f9721ac"/>
    <x v="568"/>
    <s v="09:50"/>
    <x v="920"/>
    <s v="transfer"/>
    <s v="other"/>
    <s v="advance"/>
    <x v="5"/>
    <s v="-"/>
    <m/>
    <s v="import"/>
    <s v=""/>
    <b v="0"/>
    <s v=""/>
  </r>
  <r>
    <s v="04976c79-6be5-4c68-9092-07316a849a09"/>
    <x v="568"/>
    <s v="11:25"/>
    <x v="865"/>
    <s v="expense"/>
    <s v="rc_cat_1781955063347_5qjb_1781955063347_tezk"/>
    <s v="rc_acc_1781955063347_0qmn"/>
    <x v="1"/>
    <s v="-"/>
    <m/>
    <s v="import"/>
    <s v=""/>
    <b v="0"/>
    <s v=""/>
  </r>
  <r>
    <s v="0ba282c2-a289-40b7-866a-06a34f774d91"/>
    <x v="568"/>
    <s v="13:04"/>
    <x v="234"/>
    <s v="transfer"/>
    <s v="other"/>
    <s v="rc_acc_1781955063348_no9r"/>
    <x v="30"/>
    <s v="-"/>
    <m/>
    <s v="import"/>
    <s v=""/>
    <b v="0"/>
    <s v=""/>
  </r>
  <r>
    <s v="3eb94436-2476-468b-81ca-b8827dd2eb67"/>
    <x v="568"/>
    <s v="16:05"/>
    <x v="921"/>
    <s v="expense"/>
    <s v="rc_cat_1781955063347_5qjb_1781955063347_tezk"/>
    <s v="rc_acc_1781955063347_uxz4"/>
    <x v="1"/>
    <s v="-"/>
    <m/>
    <s v="import"/>
    <s v=""/>
    <b v="0"/>
    <s v=""/>
  </r>
  <r>
    <s v="0a064cbd-e281-41b8-ad5a-a65257633cff"/>
    <x v="568"/>
    <s v="18:12"/>
    <x v="922"/>
    <s v="expense"/>
    <s v="rc_cat_1781955063347_anhy_1781955063350_fcpb"/>
    <s v="kbank"/>
    <x v="1"/>
    <s v="-"/>
    <m/>
    <s v="import"/>
    <s v=""/>
    <b v="0"/>
    <s v=""/>
  </r>
  <r>
    <s v="6eee1b41-f5bf-4240-863d-d5b43ee4602f"/>
    <x v="569"/>
    <s v="11:25"/>
    <x v="34"/>
    <s v="expense"/>
    <s v="rc_cat_1781955063347_5qjb_1781955063347_tezk"/>
    <s v="rc_acc_1781955063347_0qmn"/>
    <x v="1"/>
    <s v="-"/>
    <m/>
    <s v="import"/>
    <s v=""/>
    <b v="0"/>
    <s v=""/>
  </r>
  <r>
    <s v="b0ddf137-b713-47bd-9eae-c12a9c5ad414"/>
    <x v="570"/>
    <s v="10:29"/>
    <x v="923"/>
    <s v="transfer"/>
    <s v="other"/>
    <s v="advance"/>
    <x v="5"/>
    <s v="-"/>
    <m/>
    <s v="import"/>
    <s v=""/>
    <b v="0"/>
    <s v=""/>
  </r>
  <r>
    <s v="363a075d-2345-4b0b-a4cd-ea03f6d94b65"/>
    <x v="570"/>
    <s v="12:48"/>
    <x v="608"/>
    <s v="expense"/>
    <s v="rc_cat_1781955063347_5qjb_1781955063347_tezk"/>
    <s v="rc_acc_1781955063347_uxz4"/>
    <x v="1"/>
    <s v="-"/>
    <m/>
    <s v="import"/>
    <s v=""/>
    <b v="0"/>
    <s v=""/>
  </r>
  <r>
    <s v="b14e7dba-c19a-417d-83ba-901672f9cccb"/>
    <x v="570"/>
    <s v="13:05"/>
    <x v="150"/>
    <s v="expense"/>
    <s v="rc_cat_1781955063347_5qjb_1781955063347_tezk"/>
    <s v="rc_acc_1781955063347_uxz4"/>
    <x v="1"/>
    <s v="-"/>
    <m/>
    <s v="import"/>
    <s v=""/>
    <b v="0"/>
    <s v=""/>
  </r>
  <r>
    <s v="9d5d963a-128f-4398-9a4c-608600aab3a8"/>
    <x v="570"/>
    <s v="18:24"/>
    <x v="924"/>
    <s v="expense"/>
    <s v="rc_cat_1781955063347_5qjb_1781955063347_tezk"/>
    <s v="rc_acc_1781955063347_0qmn"/>
    <x v="1"/>
    <s v="-"/>
    <m/>
    <s v="import"/>
    <s v=""/>
    <b v="0"/>
    <s v=""/>
  </r>
  <r>
    <s v="0cd844b7-ba3e-43c8-b5e0-84199b393b54"/>
    <x v="571"/>
    <s v="08:45"/>
    <x v="87"/>
    <s v="expense"/>
    <s v="rc_cat_1781955063347_5qjb_1781955063347_tezk"/>
    <s v="rc_acc_1781955063347_uxz4"/>
    <x v="1"/>
    <s v="-"/>
    <m/>
    <s v="import"/>
    <s v=""/>
    <b v="0"/>
    <s v=""/>
  </r>
  <r>
    <s v="cf64482d-9ee5-476e-b3c6-6f70698b4871"/>
    <x v="571"/>
    <s v="11:23"/>
    <x v="893"/>
    <s v="expense"/>
    <s v="rc_cat_1781955063347_5qjb_1781955063347_tezk"/>
    <s v="rc_acc_1781955063347_0qmn"/>
    <x v="1"/>
    <s v="-"/>
    <m/>
    <s v="import"/>
    <s v=""/>
    <b v="0"/>
    <s v=""/>
  </r>
  <r>
    <s v="bbb4e471-ecac-43cc-996f-24e45839ee9f"/>
    <x v="571"/>
    <s v="13:05"/>
    <x v="558"/>
    <s v="expense"/>
    <s v="rc_cat_1781955063347_5qjb_1781955063347_tezk"/>
    <s v="rc_acc_1781955063347_uxz4"/>
    <x v="1"/>
    <s v="-"/>
    <m/>
    <s v="import"/>
    <s v=""/>
    <b v="0"/>
    <s v=""/>
  </r>
  <r>
    <s v="8b05354e-9a6e-4fc2-aafe-8f7693c6f7aa"/>
    <x v="571"/>
    <s v="13:15"/>
    <x v="545"/>
    <s v="expense"/>
    <s v="rc_cat_1781955063347_5qjb_1781955063347_tezk"/>
    <s v="rc_acc_1781955063347_uxz4"/>
    <x v="1"/>
    <s v="-"/>
    <m/>
    <s v="import"/>
    <s v=""/>
    <b v="0"/>
    <s v=""/>
  </r>
  <r>
    <s v="564db884-247f-49c3-af20-f7552582a0ae"/>
    <x v="572"/>
    <s v="12:55"/>
    <x v="608"/>
    <s v="expense"/>
    <s v="rc_cat_1781955063347_5qjb_1781955063347_tezk"/>
    <s v="rc_acc_1781955063347_uxz4"/>
    <x v="1"/>
    <s v="-"/>
    <m/>
    <s v="import"/>
    <s v=""/>
    <b v="0"/>
    <s v=""/>
  </r>
  <r>
    <s v="7f87cb54-079b-4432-8c02-1cd0ac7f4235"/>
    <x v="572"/>
    <s v="19:10"/>
    <x v="925"/>
    <s v="transfer"/>
    <s v="other"/>
    <s v="rc_acc_1781955063347_uxz4"/>
    <x v="2"/>
    <s v="-"/>
    <m/>
    <s v="import"/>
    <s v=""/>
    <b v="0"/>
    <s v=""/>
  </r>
  <r>
    <s v="74cb3fab-c4ca-4d64-a6d1-e66faf9f5f70"/>
    <x v="573"/>
    <s v="10:30"/>
    <x v="150"/>
    <s v="expense"/>
    <s v="rc_cat_1781955063347_5qjb_1781955063347_tezk"/>
    <s v="rc_acc_1781955063347_uxz4"/>
    <x v="1"/>
    <s v="-"/>
    <m/>
    <s v="import"/>
    <s v=""/>
    <b v="0"/>
    <s v=""/>
  </r>
  <r>
    <s v="b0e7321b-4e8f-4442-bc22-2b0e883f4fcf"/>
    <x v="573"/>
    <s v="12:30"/>
    <x v="317"/>
    <s v="expense"/>
    <s v="rc_cat_1781955063347_5qjb_1781955063347_tezk"/>
    <s v="rc_acc_1781955063347_uxz4"/>
    <x v="1"/>
    <s v="-"/>
    <m/>
    <s v="import"/>
    <s v=""/>
    <b v="0"/>
    <s v=""/>
  </r>
  <r>
    <s v="5b842981-4f01-45ec-8180-eb138916bd7e"/>
    <x v="573"/>
    <s v="19:31"/>
    <x v="435"/>
    <s v="expense"/>
    <s v="rc_cat_1781955063347_5qjb_1781955063347_tezk"/>
    <s v="rc_acc_1781955063347_uxz4"/>
    <x v="1"/>
    <s v="-"/>
    <m/>
    <s v="import"/>
    <s v=""/>
    <b v="0"/>
    <s v=""/>
  </r>
  <r>
    <s v="31ef704f-2c6f-4698-a842-15f91911c95b"/>
    <x v="573"/>
    <s v="19:31"/>
    <x v="359"/>
    <s v="expense"/>
    <s v="rc_cat_1781955063347_5qjb_1781955063347_tezk"/>
    <s v="rc_acc_1781955063347_uxz4"/>
    <x v="1"/>
    <s v="-"/>
    <m/>
    <s v="import"/>
    <s v=""/>
    <b v="0"/>
    <s v=""/>
  </r>
  <r>
    <s v="62e66d3a-8432-4251-8132-aba34abe2741"/>
    <x v="574"/>
    <s v="08:27"/>
    <x v="926"/>
    <s v="expense"/>
    <s v="rc_cat_1781955063347_5qjb_1781955063348_edf6"/>
    <s v="rc_acc_1781955063347_0qmn"/>
    <x v="1"/>
    <s v="-"/>
    <m/>
    <s v="import"/>
    <s v=""/>
    <b v="0"/>
    <s v=""/>
  </r>
  <r>
    <s v="da4c0374-808c-4916-8d16-049ddc9697d1"/>
    <x v="574"/>
    <s v="09:55"/>
    <x v="19"/>
    <s v="expense"/>
    <s v="rc_cat_1781955063347_5qjb_1781955063347_tezk"/>
    <s v="rc_acc_1781955063347_uxz4"/>
    <x v="1"/>
    <s v="burger"/>
    <m/>
    <s v="import"/>
    <s v=""/>
    <b v="0"/>
    <s v=""/>
  </r>
  <r>
    <s v="c8be64cb-2363-49fa-92cc-43f5d29ffc48"/>
    <x v="574"/>
    <s v="13:57"/>
    <x v="927"/>
    <s v="expense"/>
    <s v="rc_cat_1781955063347_5qjb_1781955063347_tezk"/>
    <s v="rc_acc_1781955063347_0qmn"/>
    <x v="1"/>
    <s v="-"/>
    <m/>
    <s v="import"/>
    <s v=""/>
    <b v="0"/>
    <s v=""/>
  </r>
  <r>
    <s v="52655058-bc9b-46f0-bef8-94619d0191d0"/>
    <x v="574"/>
    <s v="16:52"/>
    <x v="928"/>
    <s v="transfer"/>
    <s v="other"/>
    <s v="advance"/>
    <x v="5"/>
    <s v="-"/>
    <m/>
    <s v="import"/>
    <s v=""/>
    <b v="0"/>
    <s v=""/>
  </r>
  <r>
    <s v="0eb8d1d3-5067-4dd4-a015-1aa9b50a43fc"/>
    <x v="575"/>
    <s v="15:15"/>
    <x v="74"/>
    <s v="expense"/>
    <s v="rc_cat_1781955063347_5qjb_1781955063347_tezk"/>
    <s v="rc_acc_1781955063347_uxz4"/>
    <x v="1"/>
    <s v="-"/>
    <m/>
    <s v="import"/>
    <s v=""/>
    <b v="0"/>
    <s v=""/>
  </r>
  <r>
    <s v="2c31a891-459b-45c9-aac8-721fcf41d2fe"/>
    <x v="575"/>
    <s v="18:03"/>
    <x v="929"/>
    <s v="expense"/>
    <s v="rc_cat_1781955063347_anhy_1781955063350_fcpb"/>
    <s v="rc_acc_1781955063347_0qmn"/>
    <x v="1"/>
    <s v="-"/>
    <m/>
    <s v="import"/>
    <s v=""/>
    <b v="0"/>
    <s v=""/>
  </r>
  <r>
    <s v="769b07bb-dbb2-4710-b45f-35b86b94b9e0"/>
    <x v="575"/>
    <s v="18:03"/>
    <x v="930"/>
    <s v="expense"/>
    <s v="other_1781955063348_27zj"/>
    <s v="rc_acc_1781955063347_0qmn"/>
    <x v="1"/>
    <s v="-"/>
    <m/>
    <s v="import"/>
    <s v=""/>
    <b v="0"/>
    <s v=""/>
  </r>
  <r>
    <s v="a9d09508-04c0-4976-b361-42184cf59a40"/>
    <x v="576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994831cb-c963-4ccd-99f4-38cde6bf4c1d"/>
    <x v="576"/>
    <s v="09:00"/>
    <x v="704"/>
    <s v="expense"/>
    <s v="rc_cat_1781955063347_5qjb_1781955063347_irl1"/>
    <s v="rc_acc_1781955063347_0qmn"/>
    <x v="1"/>
    <s v="bts gold"/>
    <m/>
    <s v="import"/>
    <s v=""/>
    <b v="0"/>
    <s v=""/>
  </r>
  <r>
    <s v="f909d928-11fc-4ef8-94c3-fae0d63e5533"/>
    <x v="576"/>
    <s v="09:57"/>
    <x v="387"/>
    <s v="transfer"/>
    <s v="other"/>
    <s v="rc_acc_1781955063347_uxz4"/>
    <x v="17"/>
    <s v="-"/>
    <m/>
    <s v="import"/>
    <s v=""/>
    <b v="0"/>
    <s v=""/>
  </r>
  <r>
    <s v="563981b8-ff27-4c0c-aedf-113c3015cb84"/>
    <x v="576"/>
    <s v="14:45"/>
    <x v="931"/>
    <s v="expense"/>
    <s v="rc_cat_1781955063347_5qjb_1781955063347_tezk"/>
    <s v="rc_acc_1781955063347_0qmn"/>
    <x v="1"/>
    <s v="-"/>
    <m/>
    <s v="import"/>
    <s v=""/>
    <b v="0"/>
    <s v=""/>
  </r>
  <r>
    <s v="1e5b9a68-7e98-40ec-8bb2-b9dc595218b5"/>
    <x v="576"/>
    <s v="15:03"/>
    <x v="932"/>
    <s v="expense"/>
    <s v="rc_cat_1781955063347_5qjb_1781955063347_tezk"/>
    <s v="rc_acc_1781955063347_0qmn"/>
    <x v="1"/>
    <s v="ชาตรามือ"/>
    <m/>
    <s v="import"/>
    <s v=""/>
    <b v="0"/>
    <s v=""/>
  </r>
  <r>
    <s v="8c55db30-8662-4667-963a-82c602c5c9e5"/>
    <x v="576"/>
    <s v="16:07"/>
    <x v="933"/>
    <s v="expense"/>
    <s v="rc_cat_1781955063347_5qjb_1781955063347_tezk"/>
    <s v="rc_acc_1781955063347_0qmn"/>
    <x v="1"/>
    <s v="ชาบูชิ"/>
    <m/>
    <s v="import"/>
    <s v=""/>
    <b v="0"/>
    <s v=""/>
  </r>
  <r>
    <s v="00f6ea55-0c22-49c6-a045-def0c63d3425"/>
    <x v="576"/>
    <s v="17:01"/>
    <x v="19"/>
    <s v="expense"/>
    <s v="rc_cat_1781955063347_5qjb_1781955063347_tezk"/>
    <s v="rc_acc_1781955063347_0qmn"/>
    <x v="1"/>
    <s v="ค่าไรวะ"/>
    <m/>
    <s v="import"/>
    <s v=""/>
    <b v="0"/>
    <s v=""/>
  </r>
  <r>
    <s v="487337a6-b753-4a7f-8766-6032c02527f9"/>
    <x v="576"/>
    <s v="17:55"/>
    <x v="934"/>
    <s v="expense"/>
    <s v="rc_cat_1781955063347_5qjb_1781955063347_tezk"/>
    <s v="rc_acc_1781955063347_0qmn"/>
    <x v="1"/>
    <s v="eric kayzer"/>
    <m/>
    <s v="import"/>
    <s v=""/>
    <b v="0"/>
    <s v=""/>
  </r>
  <r>
    <s v="5ffdfb7a-9323-4518-8639-d74e76020a2b"/>
    <x v="577"/>
    <s v="15:04"/>
    <x v="914"/>
    <s v="expense"/>
    <s v="rc_cat_1781955063347_5qjb_1781955063348_xqml"/>
    <s v="rc_acc_1781955063347_0qmn"/>
    <x v="1"/>
    <s v="macro"/>
    <m/>
    <s v="import"/>
    <s v=""/>
    <b v="0"/>
    <s v=""/>
  </r>
  <r>
    <s v="3d820bb4-922d-4954-8133-a0109ba4740b"/>
    <x v="577"/>
    <s v="16:15"/>
    <x v="764"/>
    <s v="expense"/>
    <s v="rc_cat_1781955063347_5qjb_1781955063347_tezk"/>
    <s v="rc_acc_1781955063347_0qmn"/>
    <x v="1"/>
    <s v="-"/>
    <m/>
    <s v="import"/>
    <s v=""/>
    <b v="0"/>
    <s v=""/>
  </r>
  <r>
    <s v="da37a16c-96c5-48be-bc78-1af43cd3f26e"/>
    <x v="577"/>
    <s v="17:00"/>
    <x v="26"/>
    <s v="expense"/>
    <s v="rc_cat_1781955063347_5qjb_1781955063348_xqml"/>
    <s v="rc_acc_1781955063347_0qmn"/>
    <x v="1"/>
    <s v="tops"/>
    <m/>
    <s v="import"/>
    <s v=""/>
    <b v="0"/>
    <s v=""/>
  </r>
  <r>
    <s v="b4ba2a28-47c0-4309-8721-da3d1e4c3a32"/>
    <x v="578"/>
    <s v="08:45"/>
    <x v="935"/>
    <s v="expense"/>
    <s v="rc_cat_1781955063347_5qjb_1781955063347_tezk"/>
    <s v="rc_acc_1781955063347_0qmn"/>
    <x v="1"/>
    <s v="-"/>
    <m/>
    <s v="import"/>
    <s v=""/>
    <b v="0"/>
    <s v=""/>
  </r>
  <r>
    <s v="1e290c14-b9b5-4954-94b7-b8b22b91b10a"/>
    <x v="578"/>
    <s v="09:53"/>
    <x v="265"/>
    <s v="expense"/>
    <s v="rc_cat_1781955063347_5qjb_1781955063347_tezk"/>
    <s v="rc_acc_1781955063347_uxz4"/>
    <x v="1"/>
    <s v="-"/>
    <m/>
    <s v="import"/>
    <s v=""/>
    <b v="0"/>
    <s v=""/>
  </r>
  <r>
    <s v="81e2eea8-8aea-4507-abf0-9e8f33e56b24"/>
    <x v="578"/>
    <s v="12:54"/>
    <x v="184"/>
    <s v="expense"/>
    <s v="rc_cat_1781955063347_5qjb_1781955063347_tezk"/>
    <s v="rc_acc_1781955063347_uxz4"/>
    <x v="1"/>
    <s v="-"/>
    <m/>
    <s v="import"/>
    <s v=""/>
    <b v="0"/>
    <s v=""/>
  </r>
  <r>
    <s v="cf76b6c8-45ee-4649-83e7-6f50aed7cbdd"/>
    <x v="578"/>
    <s v="12:54"/>
    <x v="26"/>
    <s v="transfer"/>
    <s v="other"/>
    <s v="rc_acc_1781955063347_e3zv"/>
    <x v="5"/>
    <s v="-"/>
    <m/>
    <s v="import"/>
    <s v=""/>
    <b v="0"/>
    <s v=""/>
  </r>
  <r>
    <s v="2b39d1a5-b85e-41ef-a458-44377ca51527"/>
    <x v="578"/>
    <s v="12:55"/>
    <x v="26"/>
    <s v="transfer"/>
    <s v="other"/>
    <s v="advance"/>
    <x v="5"/>
    <s v="พี่ปอมช่วยจ่าย"/>
    <m/>
    <s v="import"/>
    <s v=""/>
    <b v="0"/>
    <s v=""/>
  </r>
  <r>
    <s v="7f45e3bc-4e33-4ea3-9546-ff490b96e025"/>
    <x v="579"/>
    <s v="12:53"/>
    <x v="751"/>
    <s v="expense"/>
    <s v="rc_cat_1781955063347_5qjb_1781955063347_tezk"/>
    <s v="rc_acc_1781955063347_uxz4"/>
    <x v="1"/>
    <s v="-"/>
    <m/>
    <s v="import"/>
    <s v=""/>
    <b v="0"/>
    <s v=""/>
  </r>
  <r>
    <s v="a74ed844-8956-4be1-84a0-f6e85988c0e6"/>
    <x v="579"/>
    <s v="12:53"/>
    <x v="150"/>
    <s v="expense"/>
    <s v="rc_cat_1781955063347_5qjb_1781955063347_tezk"/>
    <s v="rc_acc_1781955063347_uxz4"/>
    <x v="1"/>
    <s v="-"/>
    <m/>
    <s v="import"/>
    <s v=""/>
    <b v="0"/>
    <s v=""/>
  </r>
  <r>
    <s v="19e14dd2-c613-4e81-bb28-ccbfbb2e35b3"/>
    <x v="580"/>
    <s v="09:51"/>
    <x v="19"/>
    <s v="expense"/>
    <s v="rc_cat_1781955063347_anhy_1781955063348_k5l1"/>
    <s v="rc_acc_1781955063347_uxz4"/>
    <x v="1"/>
    <s v="-"/>
    <m/>
    <s v="import"/>
    <s v=""/>
    <b v="0"/>
    <s v=""/>
  </r>
  <r>
    <s v="bd9435a4-32a6-45c6-b2b2-9db91a7876e8"/>
    <x v="580"/>
    <s v="12:51"/>
    <x v="936"/>
    <s v="expense"/>
    <s v="rc_cat_1781955063347_5qjb_1781955063347_tezk"/>
    <s v="rc_acc_1781955063347_uxz4"/>
    <x v="1"/>
    <s v="-"/>
    <m/>
    <s v="import"/>
    <s v=""/>
    <b v="0"/>
    <s v=""/>
  </r>
  <r>
    <s v="355a46f3-986c-46d5-bfa9-c80ddd29aa3b"/>
    <x v="580"/>
    <s v="15:00"/>
    <x v="199"/>
    <s v="expense"/>
    <s v="rc_cat_1781955063347_5qjb_1781955063347_tezk"/>
    <s v="rc_acc_1781955063347_uxz4"/>
    <x v="1"/>
    <s v="-"/>
    <m/>
    <s v="import"/>
    <s v=""/>
    <b v="0"/>
    <s v=""/>
  </r>
  <r>
    <s v="5940ac2f-ac77-4795-bd9d-a5b1ac1deda1"/>
    <x v="580"/>
    <s v="21:55"/>
    <x v="150"/>
    <s v="expense"/>
    <s v="rc_cat_1781955063347_5qjb_1781955063347_tezk"/>
    <s v="rc_acc_1781955063347_uxz4"/>
    <x v="1"/>
    <s v="-"/>
    <m/>
    <s v="import"/>
    <s v=""/>
    <b v="0"/>
    <s v=""/>
  </r>
  <r>
    <s v="ec40032a-cc6d-4d17-a669-4b3e9e4a0ccd"/>
    <x v="581"/>
    <s v="14:15"/>
    <x v="751"/>
    <s v="expense"/>
    <s v="rc_cat_1781955063347_5qjb_1781955063347_tezk"/>
    <s v="rc_acc_1781955063347_uxz4"/>
    <x v="1"/>
    <s v="-"/>
    <m/>
    <s v="import"/>
    <s v=""/>
    <b v="0"/>
    <s v=""/>
  </r>
  <r>
    <s v="6fbfc6a7-b54b-469d-88e2-58cb95b291e4"/>
    <x v="581"/>
    <s v="18:04"/>
    <x v="691"/>
    <s v="expense"/>
    <s v="rc_cat_1781955063347_5qjb_1781955063347_tezk"/>
    <s v="rc_acc_1781955063347_0qmn"/>
    <x v="1"/>
    <s v="-"/>
    <m/>
    <s v="import"/>
    <s v=""/>
    <b v="0"/>
    <s v=""/>
  </r>
  <r>
    <s v="c00d6c82-78fe-4f4b-b2cf-8304e198d795"/>
    <x v="581"/>
    <s v="18:10"/>
    <x v="937"/>
    <s v="expense"/>
    <s v="rc_cat_1781955063347_5qjb_1781955063347_tezk"/>
    <s v="rc_acc_1781955063347_0qmn"/>
    <x v="1"/>
    <s v="-"/>
    <m/>
    <s v="import"/>
    <s v=""/>
    <b v="0"/>
    <s v=""/>
  </r>
  <r>
    <s v="11b00a91-b588-4f32-998b-24366066f981"/>
    <x v="582"/>
    <s v="09:44"/>
    <x v="872"/>
    <s v="transfer"/>
    <s v="other"/>
    <s v="rc_acc_1781955063347_uxz4"/>
    <x v="2"/>
    <s v="copper"/>
    <m/>
    <s v="import"/>
    <s v=""/>
    <b v="0"/>
    <s v=""/>
  </r>
  <r>
    <s v="917f999b-3367-477e-aa7e-0b8b8549fa72"/>
    <x v="582"/>
    <s v="10:02"/>
    <x v="928"/>
    <s v="expense"/>
    <s v="rc_cat_1781955063347_5qjb_1781955063347_tezk"/>
    <s v="rc_acc_1781955063347_0qmn"/>
    <x v="1"/>
    <s v="-"/>
    <m/>
    <s v="import"/>
    <s v=""/>
    <b v="0"/>
    <s v=""/>
  </r>
  <r>
    <s v="eda2435e-4df4-48eb-9248-6111ffd8ae1d"/>
    <x v="582"/>
    <s v="12:50"/>
    <x v="928"/>
    <s v="transfer"/>
    <s v="other"/>
    <s v="rc_acc_1781955063347_uxz4"/>
    <x v="2"/>
    <s v="-"/>
    <m/>
    <s v="import"/>
    <s v=""/>
    <b v="0"/>
    <s v=""/>
  </r>
  <r>
    <s v="d30327c6-faf8-468b-85d9-ca9da214d72a"/>
    <x v="582"/>
    <s v="17:05"/>
    <x v="938"/>
    <s v="expense"/>
    <s v="rc_cat_1781955063347_5qjb_1781955063347_tezk"/>
    <s v="rc_acc_1781955063347_0qmn"/>
    <x v="1"/>
    <s v="mk"/>
    <m/>
    <s v="import"/>
    <s v=""/>
    <b v="0"/>
    <s v=""/>
  </r>
  <r>
    <s v="fda119eb-1263-474d-adaa-e9344b2bcf01"/>
    <x v="582"/>
    <s v="17:55"/>
    <x v="87"/>
    <s v="expense"/>
    <s v="rc_cat_1781955063347_5qjb_1781955063347_tezk"/>
    <s v="rc_acc_1781955063347_uxz4"/>
    <x v="1"/>
    <s v="-"/>
    <m/>
    <s v="import"/>
    <s v=""/>
    <b v="0"/>
    <s v=""/>
  </r>
  <r>
    <s v="5e822df5-90b3-4c5d-9f2b-9af8dd01a415"/>
    <x v="582"/>
    <s v="19:16"/>
    <x v="939"/>
    <s v="expense"/>
    <s v="rc_cat_1781955063347_s4sz_1781955063347_9tpp"/>
    <s v="rc_acc_1781955063347_uxz4"/>
    <x v="1"/>
    <s v="-"/>
    <m/>
    <s v="import"/>
    <s v=""/>
    <b v="0"/>
    <s v=""/>
  </r>
  <r>
    <s v="5303f4de-cc07-4a54-b1e6-f21dd5882baa"/>
    <x v="583"/>
    <s v="16:28"/>
    <x v="940"/>
    <s v="expense"/>
    <s v="rc_cat_1781955063347_5qjb_1781955063347_tezk"/>
    <s v="rc_acc_1781955063347_uxz4"/>
    <x v="1"/>
    <s v="-"/>
    <m/>
    <s v="import"/>
    <s v=""/>
    <b v="0"/>
    <s v=""/>
  </r>
  <r>
    <s v="fa592fda-21d1-433f-9803-d8a7a325b7ed"/>
    <x v="583"/>
    <s v="16:30"/>
    <x v="941"/>
    <s v="expense"/>
    <s v="rc_cat_1781955063347_5qjb_1781955063347_tezk"/>
    <s v="rc_acc_1781955063347_0qmn"/>
    <x v="1"/>
    <s v="-"/>
    <m/>
    <s v="import"/>
    <s v=""/>
    <b v="0"/>
    <s v=""/>
  </r>
  <r>
    <s v="6bd21ac7-b566-4505-badf-459052b01e7a"/>
    <x v="583"/>
    <s v="18:11"/>
    <x v="942"/>
    <s v="expense"/>
    <s v="rc_cat_1781955063347_04qb_1781955063350_acgf"/>
    <s v="kbank"/>
    <x v="1"/>
    <s v="-"/>
    <m/>
    <s v="import"/>
    <s v=""/>
    <b v="0"/>
    <s v=""/>
  </r>
  <r>
    <s v="f9852a80-d0ba-40eb-9f26-0fe201c0f697"/>
    <x v="583"/>
    <s v="19:06"/>
    <x v="943"/>
    <s v="expense"/>
    <s v="rc_cat_1781955063347_5qjb_1781955063347_tezk"/>
    <s v="rc_acc_1781955063347_0qmn"/>
    <x v="1"/>
    <s v="-"/>
    <m/>
    <s v="import"/>
    <s v=""/>
    <b v="0"/>
    <s v=""/>
  </r>
  <r>
    <s v="c01d4088-8049-471b-87da-eb3c1851655e"/>
    <x v="583"/>
    <s v="20:07"/>
    <x v="944"/>
    <s v="expense"/>
    <s v="rc_cat_1781955063347_5qjb_1781955063347_tezk"/>
    <s v="rc_acc_1781955063347_0qmn"/>
    <x v="1"/>
    <s v="-"/>
    <m/>
    <s v="import"/>
    <s v=""/>
    <b v="0"/>
    <s v=""/>
  </r>
  <r>
    <s v="b66fe218-180f-402d-ba8e-c5aff7493664"/>
    <x v="584"/>
    <s v="16:55"/>
    <x v="792"/>
    <s v="expense"/>
    <s v="rc_cat_1781955063347_5qjb_1781955063347_tezk"/>
    <s v="rc_acc_1781955063347_0qmn"/>
    <x v="1"/>
    <s v="-"/>
    <m/>
    <s v="import"/>
    <s v=""/>
    <b v="0"/>
    <s v=""/>
  </r>
  <r>
    <s v="be3c90ff-0e0d-4320-93b0-e088ce0d4ac3"/>
    <x v="585"/>
    <s v="09:08"/>
    <x v="22"/>
    <s v="expense"/>
    <s v="rc_cat_1781955063347_5qjb_1781955063347_tezk"/>
    <s v="rc_acc_1781955063347_0qmn"/>
    <x v="1"/>
    <s v="-"/>
    <m/>
    <s v="import"/>
    <s v=""/>
    <b v="0"/>
    <s v=""/>
  </r>
  <r>
    <s v="ffab4e6a-e915-42fc-b211-cc4cc2446a34"/>
    <x v="585"/>
    <s v="09:26"/>
    <x v="176"/>
    <s v="expense"/>
    <s v="rc_cat_1781955063347_5qjb_1781955063347_tezk"/>
    <s v="rc_acc_1781955063347_uxz4"/>
    <x v="1"/>
    <s v="-"/>
    <m/>
    <s v="import"/>
    <s v=""/>
    <b v="0"/>
    <s v=""/>
  </r>
  <r>
    <s v="3f28345f-31e4-4539-a2b8-d0cfc737f8dd"/>
    <x v="585"/>
    <s v="09:26"/>
    <x v="945"/>
    <s v="expense"/>
    <s v="rc_cat_1781955063347_04qb_1781955063347_wt5p"/>
    <s v="rc_acc_1781955063347_uxz4"/>
    <x v="1"/>
    <s v="-"/>
    <m/>
    <s v="import"/>
    <s v=""/>
    <b v="0"/>
    <s v=""/>
  </r>
  <r>
    <s v="b622889c-0a17-4247-9d2e-87e6cddb9730"/>
    <x v="585"/>
    <s v="10:02"/>
    <x v="8"/>
    <s v="income"/>
    <s v="income_1781955063347_5zxt"/>
    <s v="rc_acc_1781955063347_0qmn"/>
    <x v="1"/>
    <s v="-"/>
    <m/>
    <s v="import"/>
    <s v=""/>
    <b v="0"/>
    <s v=""/>
  </r>
  <r>
    <s v="7af06c03-1f20-41d5-9dbb-c3f9cf373f8d"/>
    <x v="585"/>
    <s v="12:27"/>
    <x v="932"/>
    <s v="expense"/>
    <s v="rc_cat_1781955063347_5qjb_1781955063347_tezk"/>
    <s v="rc_acc_1781955063347_uxz4"/>
    <x v="1"/>
    <s v="-"/>
    <m/>
    <s v="import"/>
    <s v=""/>
    <b v="0"/>
    <s v=""/>
  </r>
  <r>
    <s v="3aa94d45-aad0-4466-97c6-1d3b39f74e45"/>
    <x v="585"/>
    <s v="15:27"/>
    <x v="150"/>
    <s v="expense"/>
    <s v="rc_cat_1781955063347_5qjb_1781955063347_tezk"/>
    <s v="rc_acc_1781955063347_uxz4"/>
    <x v="1"/>
    <s v="-"/>
    <m/>
    <s v="import"/>
    <s v=""/>
    <b v="0"/>
    <s v=""/>
  </r>
  <r>
    <s v="3133a996-80c0-4da1-842a-dddfc3bc4065"/>
    <x v="585"/>
    <s v="19:28"/>
    <x v="323"/>
    <s v="expense"/>
    <s v="rc_cat_1781955063347_5qjb_1781955063347_tezk"/>
    <s v="rc_acc_1781955063347_uxz4"/>
    <x v="1"/>
    <s v="-"/>
    <m/>
    <s v="import"/>
    <s v=""/>
    <b v="0"/>
    <s v=""/>
  </r>
  <r>
    <s v="0124e231-2f34-4663-84a8-fed83de6431f"/>
    <x v="585"/>
    <s v="20:07"/>
    <x v="946"/>
    <s v="expense"/>
    <s v="rc_cat_1781955063347_5qjb_1781955063347_tezk"/>
    <s v="rc_acc_1781955063347_0qmn"/>
    <x v="1"/>
    <s v="หมูกะทะ"/>
    <m/>
    <s v="import"/>
    <s v=""/>
    <b v="0"/>
    <s v=""/>
  </r>
  <r>
    <s v="7560143c-ae8a-45bb-adb0-967d95cc264b"/>
    <x v="585"/>
    <s v="22:28"/>
    <x v="947"/>
    <s v="expense"/>
    <s v="entertain_1781955063347_8r8e"/>
    <s v="rc_acc_1781955063347_uxz4"/>
    <x v="1"/>
    <s v="-"/>
    <m/>
    <s v="import"/>
    <s v=""/>
    <b v="0"/>
    <s v=""/>
  </r>
  <r>
    <s v="f4f71fe0-82a8-4793-89f5-a976a689a3e0"/>
    <x v="586"/>
    <s v="09:08"/>
    <x v="232"/>
    <s v="expense"/>
    <s v="rc_cat_1781955063347_5qjb_1781955063347_tezk"/>
    <s v="rc_acc_1781955063347_0qmn"/>
    <x v="1"/>
    <s v="-"/>
    <m/>
    <s v="import"/>
    <s v=""/>
    <b v="0"/>
    <s v=""/>
  </r>
  <r>
    <s v="9e4d7350-73ae-4206-a534-54c8f3e7de98"/>
    <x v="586"/>
    <s v="12:26"/>
    <x v="768"/>
    <s v="expense"/>
    <s v="rc_cat_1781955063347_5qjb_1781955063347_tezk"/>
    <s v="rc_acc_1781955063347_uxz4"/>
    <x v="1"/>
    <s v="-"/>
    <m/>
    <s v="import"/>
    <s v=""/>
    <b v="0"/>
    <s v=""/>
  </r>
  <r>
    <s v="cb2cfbf3-0730-4e64-ac93-a46edca53fa8"/>
    <x v="586"/>
    <s v="12:50"/>
    <x v="199"/>
    <s v="expense"/>
    <s v="rc_cat_1781955063347_5qjb_1781955063347_tezk"/>
    <s v="rc_acc_1781955063347_uxz4"/>
    <x v="1"/>
    <s v="-"/>
    <m/>
    <s v="import"/>
    <s v=""/>
    <b v="0"/>
    <s v=""/>
  </r>
  <r>
    <s v="8e7d064a-c6fc-4344-a043-27a03f57a47b"/>
    <x v="587"/>
    <s v="09:09"/>
    <x v="265"/>
    <s v="expense"/>
    <s v="rc_cat_1781955063347_5qjb_1781955063347_tezk"/>
    <s v="rc_acc_1781955063347_0qmn"/>
    <x v="1"/>
    <s v="-"/>
    <m/>
    <s v="import"/>
    <s v=""/>
    <b v="0"/>
    <s v=""/>
  </r>
  <r>
    <s v="07159851-ed73-4c41-b2de-7ec0f435e3cd"/>
    <x v="587"/>
    <s v="16:29"/>
    <x v="617"/>
    <s v="expense"/>
    <s v="rc_cat_1781955063347_anhy_1781955063347_qnaz"/>
    <s v="rc_acc_1781955063348_w3gp"/>
    <x v="1"/>
    <s v="-"/>
    <m/>
    <s v="import"/>
    <s v=""/>
    <b v="0"/>
    <s v=""/>
  </r>
  <r>
    <s v="7867f816-6902-425e-a018-249b6e9bc155"/>
    <x v="588"/>
    <s v="17:10"/>
    <x v="948"/>
    <s v="expense"/>
    <s v="rc_cat_1781955063347_anhy_1781955063347_qnaz"/>
    <s v="rc_acc_1781955063347_uxz4"/>
    <x v="1"/>
    <s v="sizzler"/>
    <m/>
    <s v="import"/>
    <s v=""/>
    <b v="0"/>
    <s v=""/>
  </r>
  <r>
    <s v="4848c485-0e68-4439-a7fc-0d8d39240cda"/>
    <x v="588"/>
    <s v="17:13"/>
    <x v="949"/>
    <s v="expense"/>
    <s v="rc_cat_1781955063347_5qjb_1781955063348_edf6"/>
    <s v="rc_acc_1781955063347_0qmn"/>
    <x v="1"/>
    <s v="-"/>
    <m/>
    <s v="import"/>
    <s v=""/>
    <b v="0"/>
    <s v=""/>
  </r>
  <r>
    <s v="389bb7aa-b705-47a4-8c2d-826d231147f6"/>
    <x v="588"/>
    <s v="17:13"/>
    <x v="5"/>
    <s v="expense"/>
    <s v="rc_cat_1781955063347_anhy_1781955063347_qnaz"/>
    <s v="kbank"/>
    <x v="1"/>
    <s v="-"/>
    <m/>
    <s v="import"/>
    <s v=""/>
    <b v="0"/>
    <s v=""/>
  </r>
  <r>
    <s v="27b8d8dd-7048-475d-a11f-c071fff2fb1d"/>
    <x v="588"/>
    <s v="17:29"/>
    <x v="86"/>
    <s v="expense"/>
    <s v="rc_cat_1781955063347_5qjb_1781955063347_tezk"/>
    <s v="rc_acc_1781955063347_uxz4"/>
    <x v="1"/>
    <s v="-"/>
    <m/>
    <s v="import"/>
    <s v=""/>
    <b v="0"/>
    <s v=""/>
  </r>
  <r>
    <s v="4584c315-814d-496a-ad88-71fd98e6bfb0"/>
    <x v="588"/>
    <s v="17:34"/>
    <x v="613"/>
    <s v="expense"/>
    <s v="rc_cat_1781955063347_5qjb_1781955063347_tezk"/>
    <s v="advance"/>
    <x v="1"/>
    <s v="-"/>
    <m/>
    <s v="import"/>
    <s v=""/>
    <b v="0"/>
    <s v=""/>
  </r>
  <r>
    <s v="136fd9e7-ee43-4868-929c-2332e1db4d37"/>
    <x v="588"/>
    <s v="17:34"/>
    <x v="950"/>
    <s v="transfer"/>
    <s v="other"/>
    <s v="advance"/>
    <x v="5"/>
    <s v="-"/>
    <m/>
    <s v="import"/>
    <s v=""/>
    <b v="0"/>
    <s v=""/>
  </r>
  <r>
    <s v="526d5e4e-31ad-41aa-bdb3-d07440038127"/>
    <x v="588"/>
    <s v="17:35"/>
    <x v="951"/>
    <s v="expense"/>
    <s v="rc_cat_1781955063347_5qjb_1781955063347_tezk"/>
    <s v="rc_acc_1781955063347_0qmn"/>
    <x v="1"/>
    <s v="-"/>
    <m/>
    <s v="import"/>
    <s v=""/>
    <b v="0"/>
    <s v=""/>
  </r>
  <r>
    <s v="2d8f0823-c465-4154-9903-a47ab951529c"/>
    <x v="588"/>
    <s v="17:57"/>
    <x v="952"/>
    <s v="expense"/>
    <s v="other_1781955063347_5s7r"/>
    <s v="rc_acc_1781955063347_omhz"/>
    <x v="1"/>
    <s v="Difference"/>
    <m/>
    <s v="import"/>
    <s v=""/>
    <b v="0"/>
    <s v=""/>
  </r>
  <r>
    <s v="b4e3a1f6-6314-4a11-85f5-b6ce7fe945c0"/>
    <x v="589"/>
    <s v="00:47"/>
    <x v="99"/>
    <s v="transfer"/>
    <s v="other"/>
    <s v="rc_acc_1781955063347_uxz4"/>
    <x v="4"/>
    <s v="-"/>
    <m/>
    <s v="import"/>
    <s v=""/>
    <b v="0"/>
    <s v=""/>
  </r>
  <r>
    <s v="e0da37ac-c57c-44ef-8a82-0c646d788ec3"/>
    <x v="589"/>
    <s v="12:11"/>
    <x v="902"/>
    <s v="expense"/>
    <s v="rc_cat_1781955063347_5qjb_1781955063348_edf6"/>
    <s v="rc_acc_1781955063347_0qmn"/>
    <x v="1"/>
    <s v="-"/>
    <m/>
    <s v="import"/>
    <s v=""/>
    <b v="0"/>
    <s v=""/>
  </r>
  <r>
    <s v="57910d7c-b60b-4afe-a7bf-cc409fe400b1"/>
    <x v="589"/>
    <s v="12:48"/>
    <x v="953"/>
    <s v="transfer"/>
    <s v="other"/>
    <s v="rc_acc_1781955063347_uxz4"/>
    <x v="6"/>
    <s v="-"/>
    <m/>
    <s v="import"/>
    <s v=""/>
    <b v="0"/>
    <s v=""/>
  </r>
  <r>
    <s v="f1429542-cd9d-48a8-9314-d70a47106e95"/>
    <x v="589"/>
    <s v="12:49"/>
    <x v="785"/>
    <s v="transfer"/>
    <s v="other"/>
    <s v="kbank"/>
    <x v="26"/>
    <s v="-"/>
    <m/>
    <s v="import"/>
    <s v=""/>
    <b v="0"/>
    <s v=""/>
  </r>
  <r>
    <s v="cbecb4fb-d6a9-49b1-a73e-b9cd09f5ab2a"/>
    <x v="589"/>
    <s v="12:50"/>
    <x v="0"/>
    <s v="expense"/>
    <s v="rc_cat_1781955063347_04qb_1781955063350_acgf"/>
    <s v="kbank"/>
    <x v="1"/>
    <s v="-"/>
    <m/>
    <s v="import"/>
    <s v=""/>
    <b v="0"/>
    <s v=""/>
  </r>
  <r>
    <s v="af76dc55-5182-4083-9685-72abd42ebca5"/>
    <x v="589"/>
    <s v="14:05"/>
    <x v="954"/>
    <s v="transfer"/>
    <s v="other"/>
    <s v="rc_acc_1781955063349_mitc"/>
    <x v="5"/>
    <s v="-"/>
    <m/>
    <s v="import"/>
    <s v=""/>
    <b v="0"/>
    <s v=""/>
  </r>
  <r>
    <s v="9c096ebf-2918-4782-8156-252e1c0f0c63"/>
    <x v="589"/>
    <s v="18:44"/>
    <x v="955"/>
    <s v="expense"/>
    <s v="rc_cat_1781955063347_5qjb_1781955063347_tezk"/>
    <s v="rc_acc_1781955063347_uxz4"/>
    <x v="1"/>
    <s v="barbgon"/>
    <m/>
    <s v="import"/>
    <s v=""/>
    <b v="0"/>
    <s v=""/>
  </r>
  <r>
    <s v="7fc08257-551f-4e2d-a028-a3e60af4606b"/>
    <x v="589"/>
    <s v="19:52"/>
    <x v="68"/>
    <s v="transfer"/>
    <s v="other"/>
    <s v="rc_acc_1781955063347_uxz4"/>
    <x v="2"/>
    <s v="-"/>
    <m/>
    <s v="import"/>
    <s v=""/>
    <b v="0"/>
    <s v=""/>
  </r>
  <r>
    <s v="e5d2ba46-1bc6-499c-9e93-e3d871eb15df"/>
    <x v="589"/>
    <s v="19:53"/>
    <x v="956"/>
    <s v="expense"/>
    <s v="rc_cat_1781955063347_5qjb_1781955063347_tezk"/>
    <s v="rc_acc_1781955063347_0qmn"/>
    <x v="1"/>
    <s v="-"/>
    <m/>
    <s v="import"/>
    <s v=""/>
    <b v="0"/>
    <s v=""/>
  </r>
  <r>
    <s v="21baef05-7160-487f-8e08-3f2db27c3927"/>
    <x v="589"/>
    <s v="20:10"/>
    <x v="26"/>
    <s v="expense"/>
    <s v="rc_cat_1781955063347_5qjb_1781955063347_tezk"/>
    <s v="rc_acc_1781955063347_0qmn"/>
    <x v="1"/>
    <s v="ทริปจัน"/>
    <m/>
    <s v="import"/>
    <s v=""/>
    <b v="0"/>
    <s v=""/>
  </r>
  <r>
    <s v="660c5b10-3cbc-41c5-8df9-da5a3e4a2cb5"/>
    <x v="589"/>
    <s v="20:11"/>
    <x v="8"/>
    <s v="transfer"/>
    <s v="other"/>
    <s v="rc_acc_1781955063347_uxz4"/>
    <x v="25"/>
    <s v="-"/>
    <m/>
    <s v="import"/>
    <s v=""/>
    <b v="0"/>
    <s v=""/>
  </r>
  <r>
    <s v="ac4bc163-326a-44ec-a25f-07438c9f0651"/>
    <x v="589"/>
    <s v="20:38"/>
    <x v="957"/>
    <s v="expense"/>
    <s v="entertain_1781955063352_1jgx"/>
    <s v="rc_acc_1781955063347_uxz4"/>
    <x v="1"/>
    <s v="-"/>
    <m/>
    <s v="import"/>
    <s v=""/>
    <b v="0"/>
    <s v=""/>
  </r>
  <r>
    <s v="2e5bf070-050f-4923-a92a-aae0d7f573aa"/>
    <x v="589"/>
    <s v="20:39"/>
    <x v="958"/>
    <s v="expense"/>
    <s v="rc_cat_1781955063347_anhy_1781955063347_qnaz"/>
    <s v="rc_acc_1781955063347_uxz4"/>
    <x v="1"/>
    <s v="-"/>
    <m/>
    <s v="import"/>
    <s v=""/>
    <b v="0"/>
    <s v=""/>
  </r>
  <r>
    <s v="aa5a4dc0-ae61-4369-a1ae-ef16d71e926d"/>
    <x v="589"/>
    <s v="20:42"/>
    <x v="182"/>
    <s v="expense"/>
    <s v="rc_cat_1781955063347_5qjb_1781955063348_edf6"/>
    <s v="rc_acc_1781955063347_0qmn"/>
    <x v="1"/>
    <s v="ยอดเมื่อวันที่ 7 citi"/>
    <m/>
    <s v="import"/>
    <s v=""/>
    <b v="0"/>
    <s v=""/>
  </r>
  <r>
    <s v="a34586d0-ecf8-4efd-8da4-0800bdac74ca"/>
    <x v="589"/>
    <s v="20:45"/>
    <x v="713"/>
    <s v="expense"/>
    <s v="rc_cat_1781955063347_5qjb_1781955063347_tezk"/>
    <s v="rc_acc_1781955063347_0qmn"/>
    <x v="1"/>
    <s v="-"/>
    <m/>
    <s v="import"/>
    <s v=""/>
    <b v="0"/>
    <s v=""/>
  </r>
  <r>
    <s v="365cee13-55c1-4d9f-88cb-993e01aa3a89"/>
    <x v="589"/>
    <s v="20:58"/>
    <x v="959"/>
    <s v="expense"/>
    <s v="rc_cat_1781955063347_5qjb_1781955063347_tezk"/>
    <s v="rc_acc_1781955063347_0qmn"/>
    <x v="1"/>
    <s v="-"/>
    <m/>
    <s v="import"/>
    <s v=""/>
    <b v="0"/>
    <s v=""/>
  </r>
  <r>
    <s v="ea21b2b6-5b2e-4cf4-b7e5-907045e7ed2b"/>
    <x v="589"/>
    <s v="21:14"/>
    <x v="566"/>
    <s v="transfer"/>
    <s v="other"/>
    <s v="rc_acc_1781955063347_uxz4"/>
    <x v="6"/>
    <s v="-"/>
    <m/>
    <s v="import"/>
    <s v=""/>
    <b v="0"/>
    <s v=""/>
  </r>
  <r>
    <s v="ed8f7f53-609c-49cc-b6a5-8ae1eff5f5a4"/>
    <x v="589"/>
    <s v="22:41"/>
    <x v="960"/>
    <s v="expense"/>
    <s v="rc_cat_1781955063347_5qjb_1781955063348_wpky"/>
    <s v="rc_acc_1781955063347_0qmn"/>
    <x v="1"/>
    <s v="-"/>
    <m/>
    <s v="import"/>
    <s v=""/>
    <b v="0"/>
    <s v=""/>
  </r>
  <r>
    <s v="7548f0ad-d800-4b3b-8970-1335eb6d0337"/>
    <x v="590"/>
    <s v="09:08"/>
    <x v="769"/>
    <s v="expense"/>
    <s v="rc_cat_1781955063347_5qjb_1781955063347_tezk"/>
    <s v="rc_acc_1781955063347_0qmn"/>
    <x v="1"/>
    <s v="-"/>
    <m/>
    <s v="import"/>
    <s v=""/>
    <b v="0"/>
    <s v=""/>
  </r>
  <r>
    <s v="d99726d9-3d09-4211-8555-bc96c3dca629"/>
    <x v="590"/>
    <s v="09:20"/>
    <x v="356"/>
    <s v="expense"/>
    <s v="rc_cat_1781955063347_5qjb_1781955063347_tezk"/>
    <s v="rc_acc_1781955063347_0qmn"/>
    <x v="1"/>
    <s v="-"/>
    <m/>
    <s v="import"/>
    <s v=""/>
    <b v="0"/>
    <s v=""/>
  </r>
  <r>
    <s v="62830e3f-3548-4b50-8bb1-47e06854a95f"/>
    <x v="590"/>
    <s v="22:46"/>
    <x v="961"/>
    <s v="expense"/>
    <s v="entertain_1781955063348_32wr"/>
    <s v="rc_acc_1781955063347_uxz4"/>
    <x v="1"/>
    <s v="-"/>
    <m/>
    <s v="import"/>
    <s v=""/>
    <b v="0"/>
    <s v=""/>
  </r>
  <r>
    <s v="6c3e56a2-f4fd-45a9-a6c3-720f1bbf8fd0"/>
    <x v="591"/>
    <s v="09:08"/>
    <x v="607"/>
    <s v="expense"/>
    <s v="rc_cat_1781955063347_5qjb_1781955063347_tezk"/>
    <s v="rc_acc_1781955063347_0qmn"/>
    <x v="1"/>
    <s v="-"/>
    <m/>
    <s v="import"/>
    <s v=""/>
    <b v="0"/>
    <s v=""/>
  </r>
  <r>
    <s v="84e07067-a42c-428a-8865-0cf64075478d"/>
    <x v="591"/>
    <s v="20:53"/>
    <x v="785"/>
    <s v="expense"/>
    <s v="entertain_1781955063348_kx2f"/>
    <s v="rc_acc_1781955063350_i8ms"/>
    <x v="1"/>
    <s v="s22 ultra(6/10)"/>
    <m/>
    <s v="import"/>
    <s v=""/>
    <b v="0"/>
    <s v=""/>
  </r>
  <r>
    <s v="790d0cfb-6498-4948-ad35-467c0514a310"/>
    <x v="592"/>
    <s v="12:44"/>
    <x v="962"/>
    <s v="expense"/>
    <s v="rc_cat_1781955063347_5qjb_1781955063347_tezk"/>
    <s v="rc_acc_1781955063347_uxz4"/>
    <x v="1"/>
    <s v="-"/>
    <m/>
    <s v="import"/>
    <s v=""/>
    <b v="0"/>
    <s v=""/>
  </r>
  <r>
    <s v="41dd44a0-b6d9-4f0b-a521-5d714b175095"/>
    <x v="593"/>
    <s v="12:43"/>
    <x v="239"/>
    <s v="expense"/>
    <s v="rc_cat_1781955063347_5qjb_1781955063347_tezk"/>
    <s v="rc_acc_1781955063347_uxz4"/>
    <x v="1"/>
    <s v="-"/>
    <m/>
    <s v="import"/>
    <s v=""/>
    <b v="0"/>
    <s v=""/>
  </r>
  <r>
    <s v="36107cd4-e8ed-457b-955f-83aaef0ada6e"/>
    <x v="593"/>
    <s v="13:18"/>
    <x v="963"/>
    <s v="expense"/>
    <s v="entertain_1781955063347_8r8e"/>
    <s v="rc_acc_1781955063347_kjxt"/>
    <x v="1"/>
    <s v="-"/>
    <m/>
    <s v="import"/>
    <s v=""/>
    <b v="0"/>
    <s v=""/>
  </r>
  <r>
    <s v="0fdd1338-e502-494e-8672-10992dd474c5"/>
    <x v="594"/>
    <s v="13:17"/>
    <x v="756"/>
    <s v="transfer"/>
    <s v="other"/>
    <s v="kbank"/>
    <x v="2"/>
    <s v="mom ของอุ้ย"/>
    <m/>
    <s v="import"/>
    <s v=""/>
    <b v="0"/>
    <s v=""/>
  </r>
  <r>
    <s v="704a83ab-2689-4744-8d4a-bd8a5c552319"/>
    <x v="594"/>
    <s v="19:19"/>
    <x v="755"/>
    <s v="expense"/>
    <s v="rc_cat_1781955063347_5qjb_1781955063347_tezk"/>
    <s v="rc_acc_1781955063347_uxz4"/>
    <x v="1"/>
    <s v="koi"/>
    <m/>
    <s v="import"/>
    <s v=""/>
    <b v="0"/>
    <s v=""/>
  </r>
  <r>
    <s v="101d41bd-bb41-4f30-b6ee-b27ef3889b35"/>
    <x v="595"/>
    <s v="10:20"/>
    <x v="766"/>
    <s v="expense"/>
    <s v="rc_cat_1781955063347_5qjb_1781955063347_tezk"/>
    <s v="rc_acc_1781955063347_0qmn"/>
    <x v="1"/>
    <s v="-"/>
    <m/>
    <s v="import"/>
    <s v=""/>
    <b v="0"/>
    <s v=""/>
  </r>
  <r>
    <s v="a876c024-7bf3-4f9e-84a8-efa6c14743b9"/>
    <x v="595"/>
    <s v="12:05"/>
    <x v="536"/>
    <s v="expense"/>
    <s v="rc_cat_1781955063347_5qjb_1781955063347_tezk"/>
    <s v="rc_acc_1781955063347_0qmn"/>
    <x v="1"/>
    <s v="เยนตาโฟ"/>
    <m/>
    <s v="import"/>
    <s v=""/>
    <b v="0"/>
    <s v=""/>
  </r>
  <r>
    <s v="6ec73995-eb48-45b0-8543-b11fe8fce79b"/>
    <x v="595"/>
    <s v="17:30"/>
    <x v="964"/>
    <s v="expense"/>
    <s v="rc_cat_1781955063347_5qjb_1781955063347_tezk"/>
    <s v="rc_acc_1781955063347_0qmn"/>
    <x v="1"/>
    <s v="-"/>
    <m/>
    <s v="import"/>
    <s v=""/>
    <b v="0"/>
    <s v=""/>
  </r>
  <r>
    <s v="3cf426aa-9f32-40f4-9880-ab447e878373"/>
    <x v="595"/>
    <s v="17:43"/>
    <x v="965"/>
    <s v="expense"/>
    <s v="rc_cat_1781955063347_5qjb_1781955063347_tezk"/>
    <s v="rc_acc_1781955063347_uxz4"/>
    <x v="1"/>
    <s v="-"/>
    <m/>
    <s v="import"/>
    <s v=""/>
    <b v="0"/>
    <s v=""/>
  </r>
  <r>
    <s v="33721534-dfce-445c-a813-d955255b9333"/>
    <x v="595"/>
    <s v="18:07"/>
    <x v="265"/>
    <s v="expense"/>
    <s v="rc_cat_1781955063347_5qjb_1781955063347_tezk"/>
    <s v="rc_acc_1781955063347_0qmn"/>
    <x v="1"/>
    <s v="-"/>
    <m/>
    <s v="import"/>
    <s v=""/>
    <b v="0"/>
    <s v=""/>
  </r>
  <r>
    <s v="b4333c93-1a24-4240-be84-732d29a88880"/>
    <x v="596"/>
    <s v="00:00"/>
    <x v="787"/>
    <s v="expense"/>
    <s v="rc_cat_1781955063347_04qb_1781955063347_kgnn"/>
    <s v="rc_acc_1781955063347_uxz4"/>
    <x v="1"/>
    <s v="-"/>
    <m/>
    <s v="import"/>
    <s v=""/>
    <b v="0"/>
    <s v=""/>
  </r>
  <r>
    <s v="ab036c59-65a8-4f7d-8d3b-ca79cc0e6ab7"/>
    <x v="596"/>
    <s v="00:00"/>
    <x v="613"/>
    <s v="transfer"/>
    <s v="other"/>
    <s v="rc_acc_1781955063347_uxz4"/>
    <x v="8"/>
    <s v="-"/>
    <m/>
    <s v="import"/>
    <s v=""/>
    <b v="0"/>
    <s v=""/>
  </r>
  <r>
    <s v="2cd4faeb-5b4e-4777-a35a-c6c67e094549"/>
    <x v="596"/>
    <s v="00:00"/>
    <x v="743"/>
    <s v="transfer"/>
    <s v="other"/>
    <s v="rc_acc_1781955063347_uxz4"/>
    <x v="20"/>
    <s v="-"/>
    <m/>
    <s v="import"/>
    <s v=""/>
    <b v="0"/>
    <s v=""/>
  </r>
  <r>
    <s v="66745c21-ebc2-45e9-88e5-d992ce596185"/>
    <x v="596"/>
    <s v="00:00"/>
    <x v="788"/>
    <s v="expense"/>
    <s v="rc_cat_1781955063347_04qb_1781955063347_lu9b"/>
    <s v="rc_acc_1781955063347_uxz4"/>
    <x v="1"/>
    <s v="-"/>
    <m/>
    <s v="import"/>
    <s v=""/>
    <b v="0"/>
    <s v=""/>
  </r>
  <r>
    <s v="8418040c-1281-4d21-81aa-76c6cba848c3"/>
    <x v="596"/>
    <s v="00:00"/>
    <x v="614"/>
    <s v="income"/>
    <s v="income_1781955063347_5zxt"/>
    <s v="rc_acc_1781955063347_uxz4"/>
    <x v="1"/>
    <s v="-"/>
    <m/>
    <s v="import"/>
    <s v=""/>
    <b v="0"/>
    <s v=""/>
  </r>
  <r>
    <s v="7b765142-4673-4159-a087-ee879aeb9e26"/>
    <x v="596"/>
    <s v="00:00"/>
    <x v="128"/>
    <s v="transfer"/>
    <s v="other"/>
    <s v="rc_acc_1781955063347_uxz4"/>
    <x v="21"/>
    <s v="-"/>
    <m/>
    <s v="import"/>
    <s v=""/>
    <b v="0"/>
    <s v=""/>
  </r>
  <r>
    <s v="3188f7c3-ee1d-4091-add7-cb0469e89750"/>
    <x v="596"/>
    <s v="00:00"/>
    <x v="31"/>
    <s v="transfer"/>
    <s v="other"/>
    <s v="rc_acc_1781955063347_uxz4"/>
    <x v="7"/>
    <s v="-"/>
    <m/>
    <s v="import"/>
    <s v=""/>
    <b v="0"/>
    <s v=""/>
  </r>
  <r>
    <s v="8b09c09c-e6d7-417c-a251-f704246055ce"/>
    <x v="596"/>
    <s v="11:55"/>
    <x v="966"/>
    <s v="expense"/>
    <s v="rc_cat_1781955063347_5qjb_1781955063347_tezk"/>
    <s v="rc_acc_1781955063347_0qmn"/>
    <x v="1"/>
    <s v="ทริปจัน"/>
    <m/>
    <s v="import"/>
    <s v=""/>
    <b v="0"/>
    <s v=""/>
  </r>
  <r>
    <s v="c45fe680-128f-4dfd-add5-7491273f68f1"/>
    <x v="596"/>
    <s v="12:51"/>
    <x v="634"/>
    <s v="expense"/>
    <s v="rc_cat_1781955063347_5qjb_1781955063348_hrbf"/>
    <s v="kbank"/>
    <x v="1"/>
    <s v="-"/>
    <m/>
    <s v="import"/>
    <s v=""/>
    <b v="0"/>
    <s v=""/>
  </r>
  <r>
    <s v="ec522607-7bb4-40e7-826c-6ad4259d20a5"/>
    <x v="596"/>
    <s v="12:51"/>
    <x v="199"/>
    <s v="expense"/>
    <s v="rc_cat_1781955063347_5qjb_1781955063347_tezk"/>
    <s v="kbank"/>
    <x v="1"/>
    <s v="-"/>
    <m/>
    <s v="import"/>
    <s v=""/>
    <b v="0"/>
    <s v=""/>
  </r>
  <r>
    <s v="5700262d-699e-494b-ab7f-777b4619cba6"/>
    <x v="596"/>
    <s v="17:45"/>
    <x v="182"/>
    <s v="transfer"/>
    <s v="other"/>
    <s v="rc_acc_1781955063348_no9r"/>
    <x v="30"/>
    <s v="-"/>
    <m/>
    <s v="import"/>
    <s v=""/>
    <b v="0"/>
    <s v=""/>
  </r>
  <r>
    <s v="0e12a168-1519-416b-87fe-f09fb84eef6e"/>
    <x v="596"/>
    <s v="18:25"/>
    <x v="185"/>
    <s v="expense"/>
    <s v="rc_cat_1781955063347_5qjb_1781955063347_tezk"/>
    <s v="rc_acc_1781955063347_0qmn"/>
    <x v="1"/>
    <s v="-"/>
    <m/>
    <s v="import"/>
    <s v=""/>
    <b v="0"/>
    <s v=""/>
  </r>
  <r>
    <s v="6ce1f595-eb6a-42b9-8a41-9de40dc16fb5"/>
    <x v="596"/>
    <s v="19:22"/>
    <x v="254"/>
    <s v="expense"/>
    <s v="rc_cat_1781955063347_04qb_1781955063350_acgf"/>
    <s v="rc_acc_1781955063347_uxz4"/>
    <x v="1"/>
    <s v="-"/>
    <m/>
    <s v="import"/>
    <s v=""/>
    <b v="0"/>
    <s v=""/>
  </r>
  <r>
    <s v="5e3791fc-bfe8-4b19-94d6-4f7212ab7583"/>
    <x v="596"/>
    <s v="20:28"/>
    <x v="760"/>
    <s v="expense"/>
    <s v="entertain_1781955063352_1jgx"/>
    <s v="rc_acc_1781955063347_hv85"/>
    <x v="1"/>
    <s v="-"/>
    <m/>
    <s v="import"/>
    <s v=""/>
    <b v="0"/>
    <s v=""/>
  </r>
  <r>
    <s v="77e84b4b-0251-4d73-8b77-47a02e286a18"/>
    <x v="597"/>
    <s v="12:40"/>
    <x v="967"/>
    <s v="expense"/>
    <s v="rc_cat_1781955063347_5qjb_1781955063347_tezk"/>
    <s v="rc_acc_1781955063347_uxz4"/>
    <x v="1"/>
    <s v="-"/>
    <m/>
    <s v="import"/>
    <s v=""/>
    <b v="0"/>
    <s v=""/>
  </r>
  <r>
    <s v="7583f61e-4d5c-44a3-907f-dfb921dcd9e5"/>
    <x v="597"/>
    <s v="12:42"/>
    <x v="159"/>
    <s v="income"/>
    <s v="income_1781955063347_zblt"/>
    <s v="rc_acc_1781955063347_uxz4"/>
    <x v="1"/>
    <s v="เลี้ยงทีม"/>
    <m/>
    <s v="import"/>
    <s v=""/>
    <b v="0"/>
    <s v=""/>
  </r>
  <r>
    <s v="c1fb77e7-8a8c-4c8e-8ba6-a30e2113f6a0"/>
    <x v="597"/>
    <s v="13:17"/>
    <x v="566"/>
    <s v="expense"/>
    <s v="rc_cat_1781955063347_anhy_1781955063348_k5l1"/>
    <s v="rc_acc_1781955063347_kjxt"/>
    <x v="1"/>
    <s v="-"/>
    <m/>
    <s v="import"/>
    <s v=""/>
    <b v="0"/>
    <s v=""/>
  </r>
  <r>
    <s v="7b3280b0-bc4e-435f-8887-1f828785dda8"/>
    <x v="598"/>
    <s v="13:04"/>
    <x v="968"/>
    <s v="expense"/>
    <s v="entertain_1781955063347_8r8e"/>
    <s v="rc_acc_1781955063347_kjxt"/>
    <x v="1"/>
    <s v="-"/>
    <m/>
    <s v="import"/>
    <s v=""/>
    <b v="0"/>
    <s v=""/>
  </r>
  <r>
    <s v="20fd3fee-ba4c-41a5-a5ae-c8d571d81fbb"/>
    <x v="599"/>
    <s v="13:01"/>
    <x v="525"/>
    <s v="expense"/>
    <s v="rc_cat_1781955063347_5qjb_1781955063347_tezk"/>
    <s v="rc_acc_1781955063347_kjxt"/>
    <x v="1"/>
    <s v="110 123 307"/>
    <m/>
    <s v="import"/>
    <s v=""/>
    <b v="0"/>
    <s v=""/>
  </r>
  <r>
    <s v="3261586b-1a8e-4c78-a012-dc4a022d580b"/>
    <x v="599"/>
    <s v="19:58"/>
    <x v="969"/>
    <s v="expense"/>
    <s v="rc_cat_1781955063347_5qjb_1781955063348_edf6"/>
    <s v="rc_acc_1781955063347_0qmn"/>
    <x v="1"/>
    <s v="-"/>
    <m/>
    <s v="import"/>
    <s v=""/>
    <b v="0"/>
    <s v=""/>
  </r>
  <r>
    <s v="7c946b2b-62ef-444a-bcdd-887e0eb40dd4"/>
    <x v="600"/>
    <s v="13:02"/>
    <x v="970"/>
    <s v="expense"/>
    <s v="entertain_1781955063347_8r8e"/>
    <s v="rc_acc_1781955063347_kjxt"/>
    <x v="1"/>
    <s v="-"/>
    <m/>
    <s v="import"/>
    <s v=""/>
    <b v="0"/>
    <s v=""/>
  </r>
  <r>
    <s v="486a099f-7c19-45e5-8a99-309a5c8b3b5d"/>
    <x v="600"/>
    <s v="19:58"/>
    <x v="5"/>
    <s v="income"/>
    <s v="income_1781955063347_5zxt"/>
    <s v="rc_acc_1781955063347_0qmn"/>
    <x v="1"/>
    <s v="-"/>
    <m/>
    <s v="import"/>
    <s v=""/>
    <b v="0"/>
    <s v=""/>
  </r>
  <r>
    <s v="0844d047-4516-4aa8-b549-536ed6969865"/>
    <x v="601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f9099948-27f1-416c-9010-982536c8ca7b"/>
    <x v="601"/>
    <s v="19:03"/>
    <x v="387"/>
    <s v="expense"/>
    <s v="rc_cat_1781955063347_5qjb_1781955063348_laj8"/>
    <s v="rc_acc_1781955063347_uxz4"/>
    <x v="1"/>
    <s v="-"/>
    <m/>
    <s v="import"/>
    <s v=""/>
    <b v="0"/>
    <s v=""/>
  </r>
  <r>
    <s v="c3bc4ee6-3977-4acb-af5a-a5ddb6086c94"/>
    <x v="602"/>
    <s v="12:08"/>
    <x v="26"/>
    <s v="expense"/>
    <s v="rc_cat_1781955063347_s4sz_1781955063347_9tpp"/>
    <s v="rc_acc_1781955063347_uxz4"/>
    <x v="1"/>
    <s v="ตัดผม"/>
    <m/>
    <s v="import"/>
    <s v=""/>
    <b v="0"/>
    <s v=""/>
  </r>
  <r>
    <s v="7c5fa981-5d92-4d6c-abd8-3bcc3595f0c3"/>
    <x v="602"/>
    <s v="13:13"/>
    <x v="435"/>
    <s v="expense"/>
    <s v="rc_cat_1781955063347_5qjb_1781955063347_tezk"/>
    <s v="rc_acc_1781955063347_0qmn"/>
    <x v="1"/>
    <s v="softserve"/>
    <m/>
    <s v="import"/>
    <s v=""/>
    <b v="0"/>
    <s v=""/>
  </r>
  <r>
    <s v="6bf59d72-6f1b-483c-8bfc-9931583a2dac"/>
    <x v="602"/>
    <s v="14:15"/>
    <x v="971"/>
    <s v="expense"/>
    <s v="rc_cat_1781955063347_5qjb_1781955063347_tezk"/>
    <s v="rc_acc_1781955063347_0qmn"/>
    <x v="1"/>
    <s v="-"/>
    <m/>
    <s v="import"/>
    <s v=""/>
    <b v="0"/>
    <s v=""/>
  </r>
  <r>
    <s v="682f1853-f25e-45e9-93ba-f4e5cb8ab192"/>
    <x v="602"/>
    <s v="16:13"/>
    <x v="972"/>
    <s v="transfer"/>
    <s v="other"/>
    <s v="rc_acc_1781955063348_obza"/>
    <x v="5"/>
    <s v="-"/>
    <m/>
    <s v="import"/>
    <s v=""/>
    <b v="0"/>
    <s v=""/>
  </r>
  <r>
    <s v="c40ae85a-ec24-4010-bd63-5bd48a602012"/>
    <x v="602"/>
    <s v="16:22"/>
    <x v="973"/>
    <s v="expense"/>
    <s v="other_1781955063348_27zj"/>
    <s v="rc_acc_1781955063347_uxz4"/>
    <x v="1"/>
    <s v="หาหมอหู"/>
    <m/>
    <s v="import"/>
    <s v=""/>
    <b v="0"/>
    <s v=""/>
  </r>
  <r>
    <s v="13a6df8d-8605-4727-b01f-8cfe0d914cd8"/>
    <x v="602"/>
    <s v="16:23"/>
    <x v="779"/>
    <s v="expense"/>
    <s v="rc_cat_1781955063347_5qjb_1781955063348_xqml"/>
    <s v="rc_acc_1781955063347_0qmn"/>
    <x v="1"/>
    <s v="-"/>
    <m/>
    <s v="import"/>
    <s v=""/>
    <b v="0"/>
    <s v=""/>
  </r>
  <r>
    <s v="13998da0-3325-4b25-9e60-b3d916a5cd0d"/>
    <x v="603"/>
    <s v="13:14"/>
    <x v="775"/>
    <s v="expense"/>
    <s v="rc_cat_1781955063347_5qjb_1781955063347_tezk"/>
    <s v="rc_acc_1781955063347_0qmn"/>
    <x v="1"/>
    <s v="ลุงหนึ่ง"/>
    <m/>
    <s v="import"/>
    <s v=""/>
    <b v="0"/>
    <s v=""/>
  </r>
  <r>
    <s v="7743bd1b-c4f5-482d-bf7c-1754b58459d6"/>
    <x v="603"/>
    <s v="15:45"/>
    <x v="974"/>
    <s v="expense"/>
    <s v="entertain_1781955063347_8r8e"/>
    <s v="rc_acc_1781955063347_uxz4"/>
    <x v="1"/>
    <s v="-"/>
    <m/>
    <s v="import"/>
    <s v=""/>
    <b v="0"/>
    <s v=""/>
  </r>
  <r>
    <s v="5953f34a-c472-4625-bcba-cd53fde92d30"/>
    <x v="603"/>
    <s v="16:15"/>
    <x v="972"/>
    <s v="expense"/>
    <s v="rc_cat_1781955063347_5qjb_1781955063347_tezk"/>
    <s v="rc_acc_1781955063347_0qmn"/>
    <x v="1"/>
    <s v="โมโม"/>
    <m/>
    <s v="import"/>
    <s v=""/>
    <b v="0"/>
    <s v=""/>
  </r>
  <r>
    <s v="da95a6be-186b-4995-baee-48f4a10d8916"/>
    <x v="604"/>
    <s v="09:14"/>
    <x v="975"/>
    <s v="expense"/>
    <s v="rc_cat_1781955063347_5qjb_1781955063347_tezk"/>
    <s v="rc_acc_1781955063347_0qmn"/>
    <x v="1"/>
    <s v="-"/>
    <m/>
    <s v="import"/>
    <s v=""/>
    <b v="0"/>
    <s v=""/>
  </r>
  <r>
    <s v="a1b24dae-14d4-4725-a931-2fd1713d6df3"/>
    <x v="604"/>
    <s v="14:07"/>
    <x v="273"/>
    <s v="expense"/>
    <s v="rc_cat_1781955063347_5qjb_1781955063347_tezk"/>
    <s v="rc_acc_1781955063347_uxz4"/>
    <x v="1"/>
    <s v="-"/>
    <m/>
    <s v="import"/>
    <s v=""/>
    <b v="0"/>
    <s v=""/>
  </r>
  <r>
    <s v="cb09b610-f7a8-4719-b46f-383837112971"/>
    <x v="605"/>
    <s v="11:55"/>
    <x v="99"/>
    <s v="transfer"/>
    <s v="other"/>
    <s v="rc_acc_1781955063347_uxz4"/>
    <x v="10"/>
    <s v="-"/>
    <m/>
    <s v="import"/>
    <s v=""/>
    <b v="0"/>
    <s v=""/>
  </r>
  <r>
    <s v="f933d63c-08fc-4178-a91c-791dd007f64f"/>
    <x v="605"/>
    <s v="19:51"/>
    <x v="435"/>
    <s v="expense"/>
    <s v="rc_cat_1781955063347_5qjb_1781955063347_tezk"/>
    <s v="rc_acc_1781955063347_uxz4"/>
    <x v="1"/>
    <s v="-"/>
    <m/>
    <s v="import"/>
    <s v=""/>
    <b v="0"/>
    <s v=""/>
  </r>
  <r>
    <s v="dc67ae6d-3945-48f2-a90e-63cff9314493"/>
    <x v="605"/>
    <s v="20:26"/>
    <x v="99"/>
    <s v="transfer"/>
    <s v="other"/>
    <s v="rc_acc_1781955063347_uxz4"/>
    <x v="19"/>
    <s v="-"/>
    <m/>
    <s v="import"/>
    <s v=""/>
    <b v="0"/>
    <s v=""/>
  </r>
  <r>
    <s v="93c2f051-71b0-4c78-850f-3fc7bde6463f"/>
    <x v="605"/>
    <s v="23:07"/>
    <x v="5"/>
    <s v="transfer"/>
    <s v="other"/>
    <s v="rc_acc_1781955063347_uxz4"/>
    <x v="30"/>
    <s v="-"/>
    <m/>
    <s v="import"/>
    <s v=""/>
    <b v="0"/>
    <s v=""/>
  </r>
  <r>
    <s v="c1680a79-7d10-45cb-b03b-ce2907bb6170"/>
    <x v="606"/>
    <s v="09:05"/>
    <x v="22"/>
    <s v="expense"/>
    <s v="rc_cat_1781955063347_5qjb_1781955063347_tezk"/>
    <s v="rc_acc_1781955063347_0qmn"/>
    <x v="1"/>
    <s v="-"/>
    <m/>
    <s v="import"/>
    <s v=""/>
    <b v="0"/>
    <s v=""/>
  </r>
  <r>
    <s v="bf827dd6-2c60-418e-981d-57341e6f55a7"/>
    <x v="606"/>
    <s v="11:05"/>
    <x v="19"/>
    <s v="expense"/>
    <s v="rc_cat_1781955063347_anhy_1781955063348_k5l1"/>
    <s v="rc_acc_1781955063347_uxz4"/>
    <x v="1"/>
    <s v="เงินฝ่าย"/>
    <m/>
    <s v="import"/>
    <s v=""/>
    <b v="0"/>
    <s v=""/>
  </r>
  <r>
    <s v="1fcd55f9-be42-40ed-b21e-2bdb44381992"/>
    <x v="606"/>
    <s v="13:20"/>
    <x v="206"/>
    <s v="expense"/>
    <s v="rc_cat_1781955063347_5qjb_1781955063347_tezk"/>
    <s v="kbank"/>
    <x v="1"/>
    <s v="-"/>
    <m/>
    <s v="import"/>
    <s v=""/>
    <b v="0"/>
    <s v=""/>
  </r>
  <r>
    <s v="558c92ce-6de4-43c1-864b-19310ea27910"/>
    <x v="607"/>
    <s v="10:28"/>
    <x v="232"/>
    <s v="expense"/>
    <s v="rc_cat_1781955063347_anhy_1781955063347_qnaz"/>
    <s v="rc_acc_1781955063347_uxz4"/>
    <x v="1"/>
    <s v="-"/>
    <m/>
    <s v="import"/>
    <s v=""/>
    <b v="0"/>
    <s v=""/>
  </r>
  <r>
    <s v="52a40481-3d5f-4b01-a3ac-a56d29dea7f9"/>
    <x v="607"/>
    <s v="12:11"/>
    <x v="35"/>
    <s v="transfer"/>
    <s v="other"/>
    <s v="rc_acc_1781955063347_uxz4"/>
    <x v="15"/>
    <s v="-"/>
    <m/>
    <s v="import"/>
    <s v=""/>
    <b v="0"/>
    <s v=""/>
  </r>
  <r>
    <s v="96101680-6f2b-4eaa-a0c3-15fe68b6c961"/>
    <x v="607"/>
    <s v="12:14"/>
    <x v="976"/>
    <s v="transfer"/>
    <s v="other"/>
    <s v="rc_acc_1781955063348_obza"/>
    <x v="2"/>
    <s v="line shopiing ทริปหัวหินกับอุ้ยกับเฟินล่วงหน้า"/>
    <m/>
    <s v="import"/>
    <s v=""/>
    <b v="0"/>
    <s v=""/>
  </r>
  <r>
    <s v="e3ebf4ad-54a4-4168-ae55-62eb7cc7895a"/>
    <x v="607"/>
    <s v="14:18"/>
    <x v="760"/>
    <s v="expense"/>
    <s v="rc_cat_1781955063347_5qjb_1781955063347_tezk"/>
    <s v="rc_acc_1781955063347_0qmn"/>
    <x v="1"/>
    <s v="-"/>
    <m/>
    <s v="import"/>
    <s v=""/>
    <b v="0"/>
    <s v=""/>
  </r>
  <r>
    <s v="722d9e5b-05d7-400d-ba5d-e28696b9bbea"/>
    <x v="607"/>
    <s v="19:07"/>
    <x v="977"/>
    <s v="expense"/>
    <s v="rc_cat_1781955063347_04qb_1781955063347_wt5p"/>
    <s v="rc_acc_1781955063347_uxz4"/>
    <x v="1"/>
    <s v="-"/>
    <m/>
    <s v="import"/>
    <s v=""/>
    <b v="0"/>
    <s v=""/>
  </r>
  <r>
    <s v="e56dea51-21cd-45e1-9abe-91945fa7177f"/>
    <x v="607"/>
    <s v="19:15"/>
    <x v="8"/>
    <s v="income"/>
    <s v="income_1781955063347_5zxt"/>
    <s v="rc_acc_1781955063347_0qmn"/>
    <x v="1"/>
    <s v="-"/>
    <m/>
    <s v="import"/>
    <s v=""/>
    <b v="0"/>
    <s v=""/>
  </r>
  <r>
    <s v="8cfa6153-d27c-46b5-8507-3924011007f3"/>
    <x v="607"/>
    <s v="19:30"/>
    <x v="317"/>
    <s v="expense"/>
    <s v="rc_cat_1781955063347_5qjb_1781955063347_tezk"/>
    <s v="rc_acc_1781955063347_0qmn"/>
    <x v="1"/>
    <s v="-"/>
    <m/>
    <s v="import"/>
    <s v=""/>
    <b v="0"/>
    <s v=""/>
  </r>
  <r>
    <s v="7322d4e7-82e4-464e-b20a-68e57ec83466"/>
    <x v="607"/>
    <s v="19:32"/>
    <x v="8"/>
    <s v="expense"/>
    <s v="rc_cat_1781955063347_anhy_1781955063347_qnaz"/>
    <s v="rc_acc_1781955063348_no9r"/>
    <x v="1"/>
    <s v="-"/>
    <m/>
    <s v="import"/>
    <s v=""/>
    <b v="0"/>
    <s v=""/>
  </r>
  <r>
    <s v="83e04e1c-1c4a-41a6-91e1-6111cdc30357"/>
    <x v="608"/>
    <s v="12:07"/>
    <x v="978"/>
    <s v="expense"/>
    <s v="rc_cat_1781955063347_anhy_1781955063350_fcpb"/>
    <s v="rc_acc_1781955063347_uxz4"/>
    <x v="1"/>
    <s v="fufu shabu"/>
    <m/>
    <s v="import"/>
    <s v=""/>
    <b v="0"/>
    <s v=""/>
  </r>
  <r>
    <s v="450a11a1-f372-4e09-9eb7-26e727591e5d"/>
    <x v="608"/>
    <s v="12:08"/>
    <x v="979"/>
    <s v="transfer"/>
    <s v="other"/>
    <s v="rc_acc_1781955063347_uxz4"/>
    <x v="12"/>
    <s v="-"/>
    <m/>
    <s v="import"/>
    <s v=""/>
    <b v="0"/>
    <s v=""/>
  </r>
  <r>
    <s v="dc4ee52b-667a-4383-a9ae-8817a94ce364"/>
    <x v="608"/>
    <s v="12:09"/>
    <x v="978"/>
    <s v="transfer"/>
    <s v="other"/>
    <s v="rc_acc_1781955063347_uxz4"/>
    <x v="2"/>
    <s v="fufu shabu voucher"/>
    <m/>
    <s v="import"/>
    <s v=""/>
    <b v="0"/>
    <s v=""/>
  </r>
  <r>
    <s v="53053dcb-d4a7-411b-8892-7ec0e1126ad3"/>
    <x v="609"/>
    <s v="09:28"/>
    <x v="749"/>
    <s v="expense"/>
    <s v="rc_cat_1781955063347_5qjb_1781955063347_tezk"/>
    <s v="rc_acc_1781955063347_uxz4"/>
    <x v="1"/>
    <s v="-"/>
    <m/>
    <s v="import"/>
    <s v=""/>
    <b v="0"/>
    <s v=""/>
  </r>
  <r>
    <s v="2bc94fdc-40bd-4af7-a1ed-54ccfca90567"/>
    <x v="609"/>
    <s v="19:08"/>
    <x v="980"/>
    <s v="transfer"/>
    <s v="other"/>
    <s v="advance"/>
    <x v="5"/>
    <s v="ค่าข้าวล่วงหน้า"/>
    <m/>
    <s v="import"/>
    <s v=""/>
    <b v="0"/>
    <s v=""/>
  </r>
  <r>
    <s v="a3f072b4-8d2c-488b-9864-143c8e029b34"/>
    <x v="610"/>
    <s v="18:27"/>
    <x v="350"/>
    <s v="expense"/>
    <s v="rc_cat_1781955063347_5qjb_1781955063347_tezk"/>
    <s v="rc_acc_1781955063347_0qmn"/>
    <x v="1"/>
    <s v="-"/>
    <m/>
    <s v="import"/>
    <s v=""/>
    <b v="0"/>
    <s v=""/>
  </r>
  <r>
    <s v="a1b1cd5c-d19f-4f73-a424-b7d27ac148ff"/>
    <x v="611"/>
    <s v="19:21"/>
    <x v="981"/>
    <s v="expense"/>
    <s v="rc_cat_1781955063347_5qjb_1781955063347_tezk"/>
    <s v="rc_acc_1781955063347_0qmn"/>
    <x v="1"/>
    <s v="-"/>
    <m/>
    <s v="import"/>
    <s v=""/>
    <b v="0"/>
    <s v=""/>
  </r>
  <r>
    <s v="65cc1fd3-6cec-4f6d-b16b-0e0ef3dbc061"/>
    <x v="611"/>
    <s v="21:20"/>
    <x v="602"/>
    <s v="expense"/>
    <s v="rc_cat_1781955063347_5qjb_1781955063348_hrbf"/>
    <s v="rc_acc_1781955063347_0qmn"/>
    <x v="1"/>
    <s v="ค่าน้ำ"/>
    <m/>
    <s v="import"/>
    <s v=""/>
    <b v="0"/>
    <s v=""/>
  </r>
  <r>
    <s v="b4729d55-a53f-4194-bcff-37302b48a943"/>
    <x v="612"/>
    <s v="09:23"/>
    <x v="22"/>
    <s v="expense"/>
    <s v="rc_cat_1781955063347_5qjb_1781955063347_tezk"/>
    <s v="rc_acc_1781955063347_0qmn"/>
    <x v="1"/>
    <s v="-"/>
    <m/>
    <s v="import"/>
    <s v=""/>
    <b v="0"/>
    <s v=""/>
  </r>
  <r>
    <s v="8bc506bf-cff6-4e38-bf1e-88227563901f"/>
    <x v="612"/>
    <s v="09:26"/>
    <x v="5"/>
    <s v="transfer"/>
    <s v="other"/>
    <s v="rc_acc_1781955063349_qn1n"/>
    <x v="5"/>
    <s v="Yuang"/>
    <m/>
    <s v="import"/>
    <s v=""/>
    <b v="0"/>
    <s v=""/>
  </r>
  <r>
    <s v="7f004595-6146-4cbc-a64a-64a30273a4bb"/>
    <x v="612"/>
    <s v="13:03"/>
    <x v="26"/>
    <s v="transfer"/>
    <s v="other"/>
    <s v="rc_acc_1781955063347_kjxt"/>
    <x v="2"/>
    <s v="-"/>
    <m/>
    <s v="import"/>
    <s v=""/>
    <b v="0"/>
    <s v=""/>
  </r>
  <r>
    <s v="75c094a2-a8c3-44fc-9fc6-26d76565ede3"/>
    <x v="612"/>
    <s v="19:22"/>
    <x v="548"/>
    <s v="expense"/>
    <s v="rc_cat_1781955063347_5qjb_1781955063347_tezk"/>
    <s v="rc_acc_1781955063347_0qmn"/>
    <x v="1"/>
    <s v="เพ่งเพง"/>
    <m/>
    <s v="import"/>
    <s v=""/>
    <b v="0"/>
    <s v=""/>
  </r>
  <r>
    <s v="c45046d9-3a86-4c00-a1ec-4ea4a48c1ce8"/>
    <x v="612"/>
    <s v="20:00"/>
    <x v="8"/>
    <s v="transfer"/>
    <s v="other"/>
    <s v="rc_acc_1781955063347_uxz4"/>
    <x v="25"/>
    <s v="-"/>
    <m/>
    <s v="import"/>
    <s v=""/>
    <b v="0"/>
    <s v=""/>
  </r>
  <r>
    <s v="aa676e96-79d8-41f4-a834-4f2f4883d3e4"/>
    <x v="613"/>
    <s v="20:53"/>
    <x v="785"/>
    <s v="expense"/>
    <s v="entertain_1781955063348_kx2f"/>
    <s v="rc_acc_1781955063350_i8ms"/>
    <x v="1"/>
    <s v="s22 ultra(5/10)"/>
    <m/>
    <s v="import"/>
    <s v=""/>
    <b v="0"/>
    <s v=""/>
  </r>
  <r>
    <s v="1be5377c-19a4-4766-9833-7b88e79c3144"/>
    <x v="614"/>
    <s v="19:26"/>
    <x v="5"/>
    <s v="transfer"/>
    <s v="other"/>
    <s v="kbank"/>
    <x v="2"/>
    <s v="make by kbank"/>
    <m/>
    <s v="import"/>
    <s v=""/>
    <b v="0"/>
    <s v=""/>
  </r>
  <r>
    <s v="86f6a950-aa1d-4dee-ae7d-a5f7193bb41b"/>
    <x v="615"/>
    <s v="12:38"/>
    <x v="982"/>
    <s v="expense"/>
    <s v="rc_cat_1781955063347_5qjb_1781955063347_tezk"/>
    <s v="rc_acc_1781955063347_0qmn"/>
    <x v="1"/>
    <s v="-"/>
    <m/>
    <s v="import"/>
    <s v=""/>
    <b v="0"/>
    <s v=""/>
  </r>
  <r>
    <s v="ae707bec-32e5-424f-880d-1d624001855b"/>
    <x v="615"/>
    <s v="12:40"/>
    <x v="31"/>
    <s v="expense"/>
    <s v="rc_cat_1781955063347_5qjb_1781955063348_hrbf"/>
    <s v="rc_acc_1781955063347_0qmn"/>
    <x v="1"/>
    <s v="-"/>
    <m/>
    <s v="import"/>
    <s v=""/>
    <b v="0"/>
    <s v=""/>
  </r>
  <r>
    <s v="596d2641-6921-4aa1-b89a-5c9148c00c7b"/>
    <x v="615"/>
    <s v="12:41"/>
    <x v="113"/>
    <s v="expense"/>
    <s v="rc_cat_1781955063347_5qjb_1781955063348_laj8"/>
    <s v="rc_acc_1781955063347_uxz4"/>
    <x v="1"/>
    <s v="-"/>
    <m/>
    <s v="import"/>
    <s v=""/>
    <b v="0"/>
    <s v=""/>
  </r>
  <r>
    <s v="77a62a72-7f24-4427-a10d-0557645e4eff"/>
    <x v="615"/>
    <s v="12:43"/>
    <x v="35"/>
    <s v="transfer"/>
    <s v="other"/>
    <s v="rc_acc_1781955063347_uxz4"/>
    <x v="4"/>
    <s v="-"/>
    <m/>
    <s v="import"/>
    <s v=""/>
    <b v="0"/>
    <s v=""/>
  </r>
  <r>
    <s v="502a8674-0b5c-4e4b-9db8-1b574f1611f6"/>
    <x v="615"/>
    <s v="12:44"/>
    <x v="785"/>
    <s v="transfer"/>
    <s v="other"/>
    <s v="kbank"/>
    <x v="26"/>
    <s v="-"/>
    <m/>
    <s v="import"/>
    <s v=""/>
    <b v="0"/>
    <s v=""/>
  </r>
  <r>
    <s v="6caeb90f-06e8-4d39-b4b9-289002ccaf04"/>
    <x v="615"/>
    <s v="12:57"/>
    <x v="983"/>
    <s v="transfer"/>
    <s v="other"/>
    <s v="rc_acc_1781955063347_sv7p"/>
    <x v="2"/>
    <s v="Japan trip zipair"/>
    <m/>
    <s v="import"/>
    <s v=""/>
    <b v="0"/>
    <s v=""/>
  </r>
  <r>
    <s v="e6169a6c-4f9a-4f5c-ba8f-91d5aba3b9bc"/>
    <x v="615"/>
    <s v="12:58"/>
    <x v="984"/>
    <s v="transfer"/>
    <s v="other"/>
    <s v="rc_acc_1781955063347_sv7p"/>
    <x v="2"/>
    <s v="yuu yakiniku"/>
    <m/>
    <s v="import"/>
    <s v=""/>
    <b v="0"/>
    <s v=""/>
  </r>
  <r>
    <s v="60dfcc5f-d6fc-4242-9221-667d3f729608"/>
    <x v="615"/>
    <s v="12:58"/>
    <x v="43"/>
    <s v="transfer"/>
    <s v="other"/>
    <s v="rc_acc_1781955063347_sv7p"/>
    <x v="2"/>
    <s v="ดูหนัง"/>
    <m/>
    <s v="import"/>
    <s v=""/>
    <b v="0"/>
    <s v=""/>
  </r>
  <r>
    <s v="1fb26676-dadf-420f-af2b-d190bd60d455"/>
    <x v="615"/>
    <s v="13:02"/>
    <x v="985"/>
    <s v="expense"/>
    <s v="rc_cat_1781955063347_5qjb_1781955063347_irl1"/>
    <s v="rc_acc_1781955063348_obza"/>
    <x v="1"/>
    <s v="-"/>
    <m/>
    <s v="import"/>
    <s v=""/>
    <b v="0"/>
    <s v=""/>
  </r>
  <r>
    <s v="67cbc99b-092a-4a7a-9757-f5d5c0a7ec94"/>
    <x v="615"/>
    <s v="13:12"/>
    <x v="986"/>
    <s v="expense"/>
    <s v="rc_cat_1781955063347_5qjb_1781955063347_tezk"/>
    <s v="rc_acc_1781955063347_0qmn"/>
    <x v="1"/>
    <s v="-"/>
    <m/>
    <s v="import"/>
    <s v=""/>
    <b v="0"/>
    <s v=""/>
  </r>
  <r>
    <s v="f68a2ce7-d4a3-428b-b2c4-092f0fc522b3"/>
    <x v="615"/>
    <s v="13:12"/>
    <x v="987"/>
    <s v="expense"/>
    <s v="rc_cat_1781955063347_5qjb_1781955063347_tezk"/>
    <s v="kbank"/>
    <x v="1"/>
    <s v="-"/>
    <m/>
    <s v="import"/>
    <s v=""/>
    <b v="0"/>
    <s v=""/>
  </r>
  <r>
    <s v="31b9ab5d-8bd9-4403-b38d-84284855898f"/>
    <x v="615"/>
    <s v="13:13"/>
    <x v="5"/>
    <s v="transfer"/>
    <s v="other"/>
    <s v="rc_acc_1781955063347_uxz4"/>
    <x v="25"/>
    <s v="-"/>
    <m/>
    <s v="import"/>
    <s v=""/>
    <b v="0"/>
    <s v=""/>
  </r>
  <r>
    <s v="508d3e8a-60f6-434d-8a42-dfe746bda51e"/>
    <x v="615"/>
    <s v="13:14"/>
    <x v="607"/>
    <s v="expense"/>
    <s v="rc_cat_1781955063347_5qjb_1781955063347_tezk"/>
    <s v="rc_acc_1781955063347_0qmn"/>
    <x v="1"/>
    <s v="-"/>
    <m/>
    <s v="import"/>
    <s v=""/>
    <b v="0"/>
    <s v=""/>
  </r>
  <r>
    <s v="935f8b55-5128-4f10-baf4-f270e9fde154"/>
    <x v="615"/>
    <s v="13:14"/>
    <x v="212"/>
    <s v="expense"/>
    <s v="rc_cat_1781955063347_5qjb_1781955063347_tezk"/>
    <s v="rc_acc_1781955063347_0qmn"/>
    <x v="1"/>
    <s v="yuu + ดูหนัง"/>
    <m/>
    <s v="import"/>
    <s v=""/>
    <b v="0"/>
    <s v=""/>
  </r>
  <r>
    <s v="a3b6a373-600f-4d74-a516-c7d5fbc2fa2f"/>
    <x v="615"/>
    <s v="13:17"/>
    <x v="212"/>
    <s v="transfer"/>
    <s v="other"/>
    <s v="advance"/>
    <x v="5"/>
    <s v="-"/>
    <m/>
    <s v="import"/>
    <s v=""/>
    <b v="0"/>
    <s v=""/>
  </r>
  <r>
    <s v="ebbe2972-a572-4ce2-8d2c-5794c63a59b6"/>
    <x v="615"/>
    <s v="13:28"/>
    <x v="988"/>
    <s v="expense"/>
    <s v="rc_cat_1781955063347_5qjb_1781955063347_tezk"/>
    <s v="rc_acc_1781955063347_0qmn"/>
    <x v="1"/>
    <s v="-"/>
    <m/>
    <s v="import"/>
    <s v=""/>
    <b v="0"/>
    <s v=""/>
  </r>
  <r>
    <s v="b9dbc31a-09a7-4694-967a-745b46df5104"/>
    <x v="615"/>
    <s v="18:37"/>
    <x v="571"/>
    <s v="expense"/>
    <s v="rc_cat_1781955063347_5qjb_1781955063347_tezk"/>
    <s v="rc_acc_1781955063347_uxz4"/>
    <x v="1"/>
    <s v="-"/>
    <m/>
    <s v="import"/>
    <s v=""/>
    <b v="0"/>
    <s v=""/>
  </r>
  <r>
    <s v="f3851f98-04f1-46f4-808b-5ecc032d5873"/>
    <x v="615"/>
    <s v="19:38"/>
    <x v="989"/>
    <s v="expense"/>
    <s v="rc_cat_1781955063347_5qjb_1781955063347_tezk"/>
    <s v="rc_acc_1781955063347_uxz4"/>
    <x v="1"/>
    <s v="-"/>
    <m/>
    <s v="import"/>
    <s v=""/>
    <b v="0"/>
    <s v=""/>
  </r>
  <r>
    <s v="a305f190-272e-46aa-a096-b0a8e99ed00a"/>
    <x v="615"/>
    <s v="19:38"/>
    <x v="913"/>
    <s v="expense"/>
    <s v="rc_cat_1781955063347_5qjb_1781955063347_tezk"/>
    <s v="rc_acc_1781955063347_0qmn"/>
    <x v="1"/>
    <s v="-"/>
    <m/>
    <s v="import"/>
    <s v=""/>
    <b v="0"/>
    <s v=""/>
  </r>
  <r>
    <s v="cda32eb7-e513-4da7-bdc2-0f6252905129"/>
    <x v="615"/>
    <s v="19:38"/>
    <x v="783"/>
    <s v="expense"/>
    <s v="rc_cat_1781955063347_5qjb_1781955063347_tezk"/>
    <s v="rc_acc_1781955063347_0qmn"/>
    <x v="1"/>
    <s v="-"/>
    <m/>
    <s v="import"/>
    <s v=""/>
    <b v="0"/>
    <s v=""/>
  </r>
  <r>
    <s v="8e84969d-c08d-430a-853c-c334a65db3af"/>
    <x v="616"/>
    <s v="15:36"/>
    <x v="990"/>
    <s v="expense"/>
    <s v="rc_cat_1781955063347_5qjb_1781955063348_edf6"/>
    <s v="rc_acc_1781955063347_0qmn"/>
    <x v="1"/>
    <s v="-"/>
    <m/>
    <s v="import"/>
    <s v=""/>
    <b v="0"/>
    <s v=""/>
  </r>
  <r>
    <s v="fa30570f-f723-42ca-93bb-ad94757c8d0f"/>
    <x v="617"/>
    <s v="18:32"/>
    <x v="751"/>
    <s v="expense"/>
    <s v="rc_cat_1781955063347_5qjb_1781955063347_tezk"/>
    <s v="rc_acc_1781955063347_uxz4"/>
    <x v="1"/>
    <s v="-"/>
    <m/>
    <s v="import"/>
    <s v=""/>
    <b v="0"/>
    <s v=""/>
  </r>
  <r>
    <s v="355dab7c-07da-41aa-b8a8-053a46ec4f12"/>
    <x v="618"/>
    <s v="00:00"/>
    <x v="31"/>
    <s v="transfer"/>
    <s v="other"/>
    <s v="rc_acc_1781955063347_uxz4"/>
    <x v="7"/>
    <s v="-"/>
    <m/>
    <s v="import"/>
    <s v=""/>
    <b v="0"/>
    <s v=""/>
  </r>
  <r>
    <s v="13abfe6b-82f5-4afa-90a6-531f5d241ca2"/>
    <x v="618"/>
    <s v="00:00"/>
    <x v="743"/>
    <s v="transfer"/>
    <s v="other"/>
    <s v="rc_acc_1781955063347_uxz4"/>
    <x v="20"/>
    <s v="-"/>
    <m/>
    <s v="import"/>
    <s v=""/>
    <b v="0"/>
    <s v=""/>
  </r>
  <r>
    <s v="ea4241c6-c5c9-45a3-aa82-34f8a3a95a8e"/>
    <x v="618"/>
    <s v="00:00"/>
    <x v="991"/>
    <s v="transfer"/>
    <s v="other"/>
    <s v="rc_acc_1781955063347_uxz4"/>
    <x v="8"/>
    <s v="-"/>
    <m/>
    <s v="import"/>
    <s v=""/>
    <b v="0"/>
    <s v=""/>
  </r>
  <r>
    <s v="0216899f-bb50-470f-bae0-14c7bb527178"/>
    <x v="618"/>
    <s v="00:00"/>
    <x v="992"/>
    <s v="expense"/>
    <s v="rc_cat_1781955063347_04qb_1781955063347_kgnn"/>
    <s v="rc_acc_1781955063347_uxz4"/>
    <x v="1"/>
    <s v="-"/>
    <m/>
    <s v="import"/>
    <s v=""/>
    <b v="0"/>
    <s v=""/>
  </r>
  <r>
    <s v="6be711b4-8f93-498a-a40b-0b57e4fb7983"/>
    <x v="618"/>
    <s v="00:00"/>
    <x v="128"/>
    <s v="transfer"/>
    <s v="other"/>
    <s v="rc_acc_1781955063347_uxz4"/>
    <x v="21"/>
    <s v="-"/>
    <m/>
    <s v="import"/>
    <s v=""/>
    <b v="0"/>
    <s v=""/>
  </r>
  <r>
    <s v="44e52464-cd35-4927-91f7-5645983b2a39"/>
    <x v="618"/>
    <s v="00:00"/>
    <x v="993"/>
    <s v="expense"/>
    <s v="rc_cat_1781955063347_04qb_1781955063347_lu9b"/>
    <s v="rc_acc_1781955063347_uxz4"/>
    <x v="1"/>
    <s v="-"/>
    <m/>
    <s v="import"/>
    <s v=""/>
    <b v="0"/>
    <s v=""/>
  </r>
  <r>
    <s v="7c6567ad-5ce5-4f73-aa33-7b284ac5006c"/>
    <x v="618"/>
    <s v="00:00"/>
    <x v="614"/>
    <s v="income"/>
    <s v="income_1781955063347_5zxt"/>
    <s v="rc_acc_1781955063347_uxz4"/>
    <x v="1"/>
    <s v="-"/>
    <m/>
    <s v="import"/>
    <s v=""/>
    <b v="0"/>
    <s v=""/>
  </r>
  <r>
    <s v="c66a2b38-b500-4ad3-a60b-e34cf98a436c"/>
    <x v="618"/>
    <s v="00:00"/>
    <x v="0"/>
    <s v="transfer"/>
    <s v="other"/>
    <s v="rc_acc_1781955063347_uxz4"/>
    <x v="7"/>
    <s v="-"/>
    <m/>
    <s v="import"/>
    <s v=""/>
    <b v="0"/>
    <s v=""/>
  </r>
  <r>
    <s v="ac17a5c6-8d4f-4253-b3d5-7b015ad9a3e6"/>
    <x v="618"/>
    <s v="00:00"/>
    <x v="994"/>
    <s v="income"/>
    <s v="income_1781955063347_5zxt"/>
    <s v="rc_acc_1781955063347_uxz4"/>
    <x v="1"/>
    <s v="-"/>
    <m/>
    <s v="import"/>
    <s v=""/>
    <b v="0"/>
    <s v=""/>
  </r>
  <r>
    <s v="a4953b06-a970-46b2-b2e5-6bbf05dee5ed"/>
    <x v="618"/>
    <s v="00:00"/>
    <x v="995"/>
    <s v="expense"/>
    <s v="rc_cat_1781955063347_04qb_1781955063350_acgf"/>
    <s v="rc_acc_1781955063347_uxz4"/>
    <x v="1"/>
    <s v="-"/>
    <m/>
    <s v="import"/>
    <s v=""/>
    <b v="0"/>
    <s v=""/>
  </r>
  <r>
    <s v="3810aa85-6652-4b58-809f-576c79216c13"/>
    <x v="618"/>
    <s v="00:00"/>
    <x v="996"/>
    <s v="income"/>
    <s v="income_1781955063347_zblt"/>
    <s v="rc_acc_1781955063347_uxz4"/>
    <x v="1"/>
    <s v="-"/>
    <m/>
    <s v="import"/>
    <s v=""/>
    <b v="0"/>
    <s v=""/>
  </r>
  <r>
    <s v="3ca39c9b-0751-4639-abca-cc153ebb5b7f"/>
    <x v="618"/>
    <s v="02:30"/>
    <x v="997"/>
    <s v="income"/>
    <s v="income_1781955063347_zblt"/>
    <s v="rc_acc_1781955063347_uxz4"/>
    <x v="1"/>
    <s v="น่าจะปันผลสหกรณ์"/>
    <m/>
    <s v="import"/>
    <s v=""/>
    <b v="0"/>
    <s v=""/>
  </r>
  <r>
    <s v="58f7b5c1-182b-46e1-9b9a-2cc29038fb42"/>
    <x v="618"/>
    <s v="12:31"/>
    <x v="751"/>
    <s v="expense"/>
    <s v="rc_cat_1781955063347_5qjb_1781955063347_tezk"/>
    <s v="rc_acc_1781955063347_uxz4"/>
    <x v="1"/>
    <s v="-"/>
    <m/>
    <s v="import"/>
    <s v=""/>
    <b v="0"/>
    <s v=""/>
  </r>
  <r>
    <s v="87f4883b-2f8c-4223-8430-63222f8526de"/>
    <x v="618"/>
    <s v="12:31"/>
    <x v="84"/>
    <s v="expense"/>
    <s v="rc_cat_1781955063347_anhy_1781955063347_qnaz"/>
    <s v="rc_acc_1781955063347_uxz4"/>
    <x v="1"/>
    <s v="-"/>
    <m/>
    <s v="import"/>
    <s v=""/>
    <b v="0"/>
    <s v=""/>
  </r>
  <r>
    <s v="a6ede5de-d1a4-4860-8ad3-81893ed5b5ae"/>
    <x v="618"/>
    <s v="15:32"/>
    <x v="150"/>
    <s v="expense"/>
    <s v="rc_cat_1781955063347_5qjb_1781955063347_tezk"/>
    <s v="rc_acc_1781955063347_uxz4"/>
    <x v="1"/>
    <s v="-"/>
    <m/>
    <s v="import"/>
    <s v=""/>
    <b v="0"/>
    <s v=""/>
  </r>
  <r>
    <s v="972eebeb-734a-49dc-99f0-e3c381b0315d"/>
    <x v="619"/>
    <s v="08:23"/>
    <x v="998"/>
    <s v="expense"/>
    <s v="rc_cat_1781955063347_5qjb_1781955063347_tezk"/>
    <s v="rc_acc_1781955063347_uxz4"/>
    <x v="1"/>
    <s v="-"/>
    <m/>
    <s v="import"/>
    <s v=""/>
    <b v="0"/>
    <s v=""/>
  </r>
  <r>
    <s v="1c78768d-28fd-4181-802b-2d4e4c652d90"/>
    <x v="619"/>
    <s v="09:23"/>
    <x v="150"/>
    <s v="expense"/>
    <s v="rc_cat_1781955063347_5qjb_1781955063347_tezk"/>
    <s v="rc_acc_1781955063347_uxz4"/>
    <x v="1"/>
    <s v="-"/>
    <m/>
    <s v="import"/>
    <s v=""/>
    <b v="0"/>
    <s v=""/>
  </r>
  <r>
    <s v="24875dbf-6535-4398-9151-cb53f8768623"/>
    <x v="619"/>
    <s v="12:23"/>
    <x v="87"/>
    <s v="expense"/>
    <s v="rc_cat_1781955063347_5qjb_1781955063347_tezk"/>
    <s v="rc_acc_1781955063347_uxz4"/>
    <x v="1"/>
    <s v="-"/>
    <m/>
    <s v="import"/>
    <s v=""/>
    <b v="0"/>
    <s v=""/>
  </r>
  <r>
    <s v="e54552f3-0f0c-4918-a3f5-5cf24343b3ee"/>
    <x v="619"/>
    <s v="12:24"/>
    <x v="650"/>
    <s v="transfer"/>
    <s v="other"/>
    <s v="rc_acc_1781955063347_uxz4"/>
    <x v="15"/>
    <s v="-"/>
    <m/>
    <s v="import"/>
    <s v=""/>
    <b v="0"/>
    <s v=""/>
  </r>
  <r>
    <s v="9509270a-ff17-47fe-abf6-55f3a27e4b84"/>
    <x v="619"/>
    <s v="12:24"/>
    <x v="999"/>
    <s v="transfer"/>
    <s v="other"/>
    <s v="rc_acc_1781955063347_uxz4"/>
    <x v="31"/>
    <s v="-"/>
    <m/>
    <s v="import"/>
    <s v=""/>
    <b v="0"/>
    <s v=""/>
  </r>
  <r>
    <s v="fb53e05f-e19f-484b-a700-eb8daa75534c"/>
    <x v="619"/>
    <s v="12:33"/>
    <x v="150"/>
    <s v="expense"/>
    <s v="rc_cat_1781955063347_5qjb_1781955063347_tezk"/>
    <s v="kbank"/>
    <x v="1"/>
    <s v="-"/>
    <m/>
    <s v="import"/>
    <s v=""/>
    <b v="0"/>
    <s v=""/>
  </r>
  <r>
    <s v="3e0da138-7ded-4092-9c1c-9bc8086f1282"/>
    <x v="619"/>
    <s v="19:26"/>
    <x v="206"/>
    <s v="expense"/>
    <s v="rc_cat_1781955063347_5qjb_1781955063347_tezk"/>
    <s v="rc_acc_1781955063347_uxz4"/>
    <x v="1"/>
    <s v="-"/>
    <m/>
    <s v="import"/>
    <s v=""/>
    <b v="0"/>
    <s v=""/>
  </r>
  <r>
    <s v="6218806c-51aa-4ad7-b0f0-887607f7bb1b"/>
    <x v="619"/>
    <s v="21:27"/>
    <x v="582"/>
    <s v="expense"/>
    <s v="rc_cat_1781955063347_5qjb_1781955063347_tezk"/>
    <s v="rc_acc_1781955063347_uxz4"/>
    <x v="1"/>
    <s v="-"/>
    <m/>
    <s v="import"/>
    <s v=""/>
    <b v="0"/>
    <s v=""/>
  </r>
  <r>
    <s v="e48a1f47-9efc-4782-9df1-e79300287664"/>
    <x v="620"/>
    <s v="12:22"/>
    <x v="169"/>
    <s v="expense"/>
    <s v="rc_cat_1781955063347_5qjb_1781955063347_tezk"/>
    <s v="rc_acc_1781955063347_uxz4"/>
    <x v="1"/>
    <s v="-"/>
    <m/>
    <s v="import"/>
    <s v=""/>
    <b v="0"/>
    <s v=""/>
  </r>
  <r>
    <s v="6b0ff9ac-678b-44cb-824c-09013cc8f3b7"/>
    <x v="621"/>
    <s v="09:21"/>
    <x v="150"/>
    <s v="expense"/>
    <s v="rc_cat_1781955063347_5qjb_1781955063347_tezk"/>
    <s v="rc_acc_1781955063347_uxz4"/>
    <x v="1"/>
    <s v="-"/>
    <m/>
    <s v="import"/>
    <s v=""/>
    <b v="0"/>
    <s v=""/>
  </r>
  <r>
    <s v="49a44076-bc13-46aa-9e9a-da093ac85bbc"/>
    <x v="621"/>
    <s v="12:21"/>
    <x v="1000"/>
    <s v="expense"/>
    <s v="rc_cat_1781955063347_5qjb_1781955063347_tezk"/>
    <s v="rc_acc_1781955063347_uxz4"/>
    <x v="1"/>
    <s v="-"/>
    <m/>
    <s v="import"/>
    <s v=""/>
    <b v="0"/>
    <s v=""/>
  </r>
  <r>
    <s v="79db578d-0b1f-4aaa-940f-27cdc3657b5d"/>
    <x v="621"/>
    <s v="12:33"/>
    <x v="5"/>
    <s v="transfer"/>
    <s v="other"/>
    <s v="kbank"/>
    <x v="32"/>
    <s v="-"/>
    <m/>
    <s v="import"/>
    <s v=""/>
    <b v="0"/>
    <s v=""/>
  </r>
  <r>
    <s v="e8481bcd-b5e7-45e8-a080-fbd8b22f5035"/>
    <x v="622"/>
    <s v="12:36"/>
    <x v="1001"/>
    <s v="expense"/>
    <s v="rc_cat_1781955063347_5qjb_1781955063347_tezk"/>
    <s v="rc_acc_1781955063347_0qmn"/>
    <x v="1"/>
    <s v="-"/>
    <m/>
    <s v="import"/>
    <s v=""/>
    <b v="0"/>
    <s v=""/>
  </r>
  <r>
    <s v="10c12c5a-cd85-49f5-be23-e7e3c87311a9"/>
    <x v="622"/>
    <s v="20:20"/>
    <x v="84"/>
    <s v="transfer"/>
    <s v="other"/>
    <s v="advance"/>
    <x v="5"/>
    <s v="บาบีก้อน 1049 ตั๋วหนังป็อปคอน 690+139 ปิ้งย่าง 2630 ตกคนละพันห้า"/>
    <m/>
    <s v="import"/>
    <s v=""/>
    <b v="0"/>
    <s v=""/>
  </r>
  <r>
    <s v="58a07319-d643-46bf-8fa3-e89fb483266c"/>
    <x v="623"/>
    <s v="12:20"/>
    <x v="356"/>
    <s v="expense"/>
    <s v="rc_cat_1781955063347_5qjb_1781955063347_tezk"/>
    <s v="rc_acc_1781955063347_uxz4"/>
    <x v="1"/>
    <s v="-"/>
    <m/>
    <s v="import"/>
    <s v=""/>
    <b v="0"/>
    <s v=""/>
  </r>
  <r>
    <s v="91ae98d5-a3ef-4f1d-898d-d61fe0be14c5"/>
    <x v="623"/>
    <s v="12:20"/>
    <x v="616"/>
    <s v="expense"/>
    <s v="rc_cat_1781955063347_5qjb_1781955063347_tezk"/>
    <s v="rc_acc_1781955063347_uxz4"/>
    <x v="1"/>
    <s v="-"/>
    <m/>
    <s v="import"/>
    <s v=""/>
    <b v="0"/>
    <s v=""/>
  </r>
  <r>
    <s v="12eed1c7-a483-4469-94f2-9db0e4107e5c"/>
    <x v="624"/>
    <s v="12:19"/>
    <x v="10"/>
    <s v="expense"/>
    <s v="rc_cat_1781955063347_5qjb_1781955063347_tezk"/>
    <s v="rc_acc_1781955063347_uxz4"/>
    <x v="1"/>
    <s v="-"/>
    <m/>
    <s v="import"/>
    <s v=""/>
    <b v="0"/>
    <s v=""/>
  </r>
  <r>
    <s v="58bfa133-261f-4b10-8010-666c49ebcb06"/>
    <x v="624"/>
    <s v="12:37"/>
    <x v="1002"/>
    <s v="expense"/>
    <s v="rc_cat_1781955063347_5qjb_1781955063348_hrbf"/>
    <s v="rc_acc_1781955063347_0qmn"/>
    <x v="1"/>
    <s v="-"/>
    <m/>
    <s v="import"/>
    <s v=""/>
    <b v="0"/>
    <s v=""/>
  </r>
  <r>
    <s v="5016b111-8a3c-4410-b4e9-d23c8391a019"/>
    <x v="624"/>
    <s v="17:56"/>
    <x v="688"/>
    <s v="expense"/>
    <s v="rc_cat_1781955063347_5qjb_1781955063347_tezk"/>
    <s v="rc_acc_1781955063347_omhz"/>
    <x v="1"/>
    <s v="-"/>
    <m/>
    <s v="import"/>
    <s v=""/>
    <b v="0"/>
    <s v=""/>
  </r>
  <r>
    <s v="2144a358-39ae-4494-b595-a8285e1fa365"/>
    <x v="624"/>
    <s v="18:20"/>
    <x v="19"/>
    <s v="transfer"/>
    <s v="other"/>
    <s v="rc_acc_1781955063347_uxz4"/>
    <x v="16"/>
    <s v="-"/>
    <m/>
    <s v="import"/>
    <s v=""/>
    <b v="0"/>
    <s v=""/>
  </r>
  <r>
    <s v="25681bbf-2de7-4aca-8bbd-fda0209087ee"/>
    <x v="625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e1216b53-722b-4ef9-811f-0a6598be7925"/>
    <x v="625"/>
    <s v="07:16"/>
    <x v="387"/>
    <s v="transfer"/>
    <s v="other"/>
    <s v="rc_acc_1781955063347_uxz4"/>
    <x v="33"/>
    <s v="-"/>
    <m/>
    <s v="import"/>
    <s v=""/>
    <b v="0"/>
    <s v=""/>
  </r>
  <r>
    <s v="df880bdc-3eca-440d-8c57-6795e36c10ff"/>
    <x v="625"/>
    <s v="09:17"/>
    <x v="199"/>
    <s v="expense"/>
    <s v="rc_cat_1781955063347_5qjb_1781955063347_tezk"/>
    <s v="rc_acc_1781955063347_uxz4"/>
    <x v="1"/>
    <s v="-"/>
    <m/>
    <s v="import"/>
    <s v=""/>
    <b v="0"/>
    <s v=""/>
  </r>
  <r>
    <s v="51b41ac8-48df-43da-bb38-0341cd2df1da"/>
    <x v="625"/>
    <s v="12:18"/>
    <x v="87"/>
    <s v="expense"/>
    <s v="rc_cat_1781955063347_5qjb_1781955063347_tezk"/>
    <s v="rc_acc_1781955063347_uxz4"/>
    <x v="1"/>
    <s v="-"/>
    <m/>
    <s v="import"/>
    <s v=""/>
    <b v="0"/>
    <s v=""/>
  </r>
  <r>
    <s v="e3c0279f-2867-4b49-bab1-7c7becb9fb18"/>
    <x v="625"/>
    <s v="20:19"/>
    <x v="729"/>
    <s v="expense"/>
    <s v="rc_cat_1781955063347_anhy_1781955063350_fcpb"/>
    <s v="rc_acc_1781955063347_uxz4"/>
    <x v="1"/>
    <s v="สมศักดิ์ปูอบ"/>
    <m/>
    <s v="import"/>
    <s v=""/>
    <b v="0"/>
    <s v=""/>
  </r>
  <r>
    <s v="cb5530ad-8b8c-4906-af45-69ab4da911e4"/>
    <x v="626"/>
    <s v="08:16"/>
    <x v="356"/>
    <s v="expense"/>
    <s v="rc_cat_1781955063347_5qjb_1781955063347_tezk"/>
    <s v="rc_acc_1781955063347_uxz4"/>
    <x v="1"/>
    <s v="-"/>
    <m/>
    <s v="import"/>
    <s v=""/>
    <b v="0"/>
    <s v=""/>
  </r>
  <r>
    <s v="45dbc4a2-449b-49a4-b450-13f91982def5"/>
    <x v="626"/>
    <s v="12:16"/>
    <x v="317"/>
    <s v="expense"/>
    <s v="rc_cat_1781955063347_5qjb_1781955063347_tezk"/>
    <s v="rc_acc_1781955063347_uxz4"/>
    <x v="1"/>
    <s v="-"/>
    <m/>
    <s v="import"/>
    <s v=""/>
    <b v="0"/>
    <s v=""/>
  </r>
  <r>
    <s v="4d2a5509-95a2-4266-893f-e6b1668148df"/>
    <x v="626"/>
    <s v="21:02"/>
    <x v="923"/>
    <s v="transfer"/>
    <s v="other"/>
    <s v="rc_acc_1781955063347_uxz4"/>
    <x v="2"/>
    <s v="ThaiBMA"/>
    <m/>
    <s v="import"/>
    <s v=""/>
    <b v="0"/>
    <s v=""/>
  </r>
  <r>
    <s v="48d1ae1c-ab87-498a-8ab3-ceaa930360a1"/>
    <x v="627"/>
    <s v="14:17"/>
    <x v="548"/>
    <s v="expense"/>
    <s v="rc_cat_1781955063347_anhy_1781955063347_qnaz"/>
    <s v="rc_acc_1781955063347_uxz4"/>
    <x v="1"/>
    <s v="-"/>
    <m/>
    <s v="import"/>
    <s v=""/>
    <b v="0"/>
    <s v=""/>
  </r>
  <r>
    <s v="f6b2b0a9-0000-4a26-a02a-a3ff1ed41794"/>
    <x v="627"/>
    <s v="17:15"/>
    <x v="1003"/>
    <s v="transfer"/>
    <s v="other"/>
    <s v="rc_acc_1781955063347_uxz4"/>
    <x v="2"/>
    <s v="บาบีก้อนกับอุ้ย"/>
    <m/>
    <s v="import"/>
    <s v=""/>
    <b v="0"/>
    <s v=""/>
  </r>
  <r>
    <s v="c292a545-f1bf-4d36-ba75-6f91d54563b7"/>
    <x v="628"/>
    <s v="17:28"/>
    <x v="751"/>
    <s v="expense"/>
    <s v="rc_cat_1781955063347_5qjb_1781955063347_tezk"/>
    <s v="rc_acc_1781955063347_uxz4"/>
    <x v="1"/>
    <s v="coffeelism"/>
    <m/>
    <s v="import"/>
    <s v=""/>
    <b v="0"/>
    <s v=""/>
  </r>
  <r>
    <s v="d9b840cb-f144-45aa-9b2a-a1f2a0b89aa7"/>
    <x v="628"/>
    <s v="18:00"/>
    <x v="683"/>
    <s v="expense"/>
    <s v="rc_cat_1781955063347_5qjb_1781955063347_tezk"/>
    <s v="rc_acc_1781955063347_0qmn"/>
    <x v="1"/>
    <s v="-"/>
    <m/>
    <s v="import"/>
    <s v=""/>
    <b v="0"/>
    <s v=""/>
  </r>
  <r>
    <s v="610a5a4e-f24e-4045-9e45-0505b86f3a26"/>
    <x v="628"/>
    <s v="18:17"/>
    <x v="424"/>
    <s v="expense"/>
    <s v="rc_cat_1781955063347_5qjb_1781955063347_tezk"/>
    <s v="rc_acc_1781955063347_uxz4"/>
    <x v="1"/>
    <s v="-"/>
    <m/>
    <s v="import"/>
    <s v=""/>
    <b v="0"/>
    <s v=""/>
  </r>
  <r>
    <s v="669c66be-ef01-4945-9d68-7217a758d1d4"/>
    <x v="628"/>
    <s v="18:18"/>
    <x v="1004"/>
    <s v="expense"/>
    <s v="entertain_1781955063349_gok1"/>
    <s v="rc_acc_1781955063347_uxz4"/>
    <x v="1"/>
    <s v="luggage etax"/>
    <m/>
    <s v="import"/>
    <s v=""/>
    <b v="0"/>
    <s v=""/>
  </r>
  <r>
    <s v="b57be539-cd7c-4168-a47b-154ff2c5e724"/>
    <x v="628"/>
    <s v="18:39"/>
    <x v="1005"/>
    <s v="expense"/>
    <s v="rc_cat_1781955063347_5qjb_1781955063347_tezk"/>
    <s v="rc_acc_1781955063347_0qmn"/>
    <x v="1"/>
    <s v="-"/>
    <m/>
    <s v="import"/>
    <s v=""/>
    <b v="0"/>
    <s v=""/>
  </r>
  <r>
    <s v="8da44971-3f4e-41ea-b59f-e94cafcb8fef"/>
    <x v="629"/>
    <s v="09:39"/>
    <x v="783"/>
    <s v="expense"/>
    <s v="rc_cat_1781955063347_5qjb_1781955063347_tezk"/>
    <s v="rc_acc_1781955063347_0qmn"/>
    <x v="1"/>
    <s v="-"/>
    <m/>
    <s v="import"/>
    <s v=""/>
    <b v="0"/>
    <s v=""/>
  </r>
  <r>
    <s v="0bcdd0be-c3cd-4974-a092-6ae3a1c23599"/>
    <x v="629"/>
    <s v="13:15"/>
    <x v="315"/>
    <s v="expense"/>
    <s v="rc_cat_1781955063347_5qjb_1781955063347_tezk"/>
    <s v="rc_acc_1781955063347_uxz4"/>
    <x v="1"/>
    <s v="ค่าโง่"/>
    <m/>
    <s v="import"/>
    <s v=""/>
    <b v="0"/>
    <s v=""/>
  </r>
  <r>
    <s v="02c23448-bbd5-4774-81dd-231cdddec1a2"/>
    <x v="629"/>
    <s v="13:15"/>
    <x v="1000"/>
    <s v="expense"/>
    <s v="rc_cat_1781955063347_5qjb_1781955063347_tezk"/>
    <s v="rc_acc_1781955063347_uxz4"/>
    <x v="1"/>
    <s v="-"/>
    <m/>
    <s v="import"/>
    <s v=""/>
    <b v="0"/>
    <s v=""/>
  </r>
  <r>
    <s v="aaa22fe7-d436-4c03-ac12-fb633c871593"/>
    <x v="629"/>
    <s v="13:15"/>
    <x v="1000"/>
    <s v="transfer"/>
    <s v="other"/>
    <s v="rc_acc_1781955063347_uxz4"/>
    <x v="4"/>
    <s v="-"/>
    <m/>
    <s v="import"/>
    <s v=""/>
    <b v="0"/>
    <s v=""/>
  </r>
  <r>
    <s v="fe229eec-982c-4665-a2c1-3c98b57dcf80"/>
    <x v="629"/>
    <s v="14:50"/>
    <x v="150"/>
    <s v="expense"/>
    <s v="rc_cat_1781955063347_5qjb_1781955063347_tezk"/>
    <s v="rc_acc_1781955063347_uxz4"/>
    <x v="1"/>
    <s v="-"/>
    <m/>
    <s v="import"/>
    <s v=""/>
    <b v="0"/>
    <s v=""/>
  </r>
  <r>
    <s v="52e2f0b5-97e7-4b83-ac94-30207d9cff92"/>
    <x v="630"/>
    <s v="15:33"/>
    <x v="1006"/>
    <s v="expense"/>
    <s v="rc_cat_1781955063347_5qjb_1781955063347_tezk"/>
    <s v="rc_acc_1781955063347_uxz4"/>
    <x v="1"/>
    <s v="-"/>
    <m/>
    <s v="import"/>
    <s v=""/>
    <b v="0"/>
    <s v=""/>
  </r>
  <r>
    <s v="f6e4fe67-d4ef-441c-ac60-f7a0604f0d60"/>
    <x v="631"/>
    <s v="09:38"/>
    <x v="10"/>
    <s v="expense"/>
    <s v="rc_cat_1781955063347_5qjb_1781955063347_tezk"/>
    <s v="rc_acc_1781955063347_0qmn"/>
    <x v="1"/>
    <s v="-"/>
    <m/>
    <s v="import"/>
    <s v=""/>
    <b v="0"/>
    <s v=""/>
  </r>
  <r>
    <s v="60bec7dd-2d1d-4ff5-a0fd-dbe20a003d99"/>
    <x v="631"/>
    <s v="09:38"/>
    <x v="31"/>
    <s v="expense"/>
    <s v="rc_cat_1781955063347_5qjb_1781955063348_xqml"/>
    <s v="rc_acc_1781955063347_0qmn"/>
    <x v="1"/>
    <s v="หน้ากาก tax"/>
    <m/>
    <s v="import"/>
    <s v=""/>
    <b v="0"/>
    <s v=""/>
  </r>
  <r>
    <s v="4b143225-d03e-4469-8739-7399d975d62b"/>
    <x v="632"/>
    <s v="15:36"/>
    <x v="1001"/>
    <s v="expense"/>
    <s v="rc_cat_1781955063347_5qjb_1781955063347_tezk"/>
    <s v="rc_acc_1781955063347_0qmn"/>
    <x v="1"/>
    <s v="อาหารคลีน"/>
    <m/>
    <s v="import"/>
    <s v=""/>
    <b v="0"/>
    <s v=""/>
  </r>
  <r>
    <s v="6f4721d6-ba61-464c-bbe5-3f9660cc3125"/>
    <x v="632"/>
    <s v="17:55"/>
    <x v="74"/>
    <s v="expense"/>
    <s v="rc_cat_1781955063347_5qjb_1781955063347_tezk"/>
    <s v="kbank"/>
    <x v="1"/>
    <s v="-"/>
    <m/>
    <s v="import"/>
    <s v=""/>
    <b v="0"/>
    <s v=""/>
  </r>
  <r>
    <s v="cf6ba140-1e25-4908-96e7-a3df631fc425"/>
    <x v="632"/>
    <s v="18:37"/>
    <x v="1007"/>
    <s v="expense"/>
    <s v="rc_cat_1781955063347_5qjb_1781955063347_tezk"/>
    <s v="rc_acc_1781955063347_0qmn"/>
    <x v="1"/>
    <s v="ก๋วยเตี๋ยว หมูจุ่ม"/>
    <m/>
    <s v="import"/>
    <s v=""/>
    <b v="0"/>
    <s v=""/>
  </r>
  <r>
    <s v="c5fabeef-9bd3-4f85-bdc5-04301af5367e"/>
    <x v="633"/>
    <s v="14:56"/>
    <x v="1008"/>
    <s v="expense"/>
    <s v="rc_cat_1781955063347_5qjb_1781955063347_tezk"/>
    <s v="rc_acc_1781955063347_0qmn"/>
    <x v="1"/>
    <s v="-"/>
    <m/>
    <s v="import"/>
    <s v=""/>
    <b v="0"/>
    <s v=""/>
  </r>
  <r>
    <s v="d1f5c6f5-8262-44be-9f4b-d78b7760d125"/>
    <x v="633"/>
    <s v="15:55"/>
    <x v="769"/>
    <s v="expense"/>
    <s v="rc_cat_1781955063347_5qjb_1781955063348_wpky"/>
    <s v="rc_acc_1781955063347_0qmn"/>
    <x v="1"/>
    <s v="lock n lock"/>
    <m/>
    <s v="import"/>
    <s v=""/>
    <b v="0"/>
    <s v=""/>
  </r>
  <r>
    <s v="bae683c2-faba-4e04-ab40-8487dc5af5fe"/>
    <x v="633"/>
    <s v="17:25"/>
    <x v="1009"/>
    <s v="expense"/>
    <s v="rc_cat_1781955063347_04qb_1781955063347_wt5p"/>
    <s v="kbank"/>
    <x v="1"/>
    <s v="-"/>
    <m/>
    <s v="import"/>
    <s v=""/>
    <b v="0"/>
    <s v=""/>
  </r>
  <r>
    <s v="c875b4ed-83cc-4d58-99b3-b20fe0dfe137"/>
    <x v="633"/>
    <s v="20:55"/>
    <x v="199"/>
    <s v="expense"/>
    <s v="rc_cat_1781955063347_5qjb_1781955063347_tezk"/>
    <s v="rc_acc_1781955063347_0qmn"/>
    <x v="1"/>
    <s v="ชาตรามือ"/>
    <m/>
    <s v="import"/>
    <s v=""/>
    <b v="0"/>
    <s v=""/>
  </r>
  <r>
    <s v="cdf6fce2-f3ac-42c6-aa86-36e1296deed4"/>
    <x v="633"/>
    <s v="22:04"/>
    <x v="8"/>
    <s v="income"/>
    <s v="income_1781955063347_zblt"/>
    <s v="rc_acc_1781955063347_0qmn"/>
    <x v="1"/>
    <s v="-"/>
    <m/>
    <s v="import"/>
    <s v=""/>
    <b v="0"/>
    <s v=""/>
  </r>
  <r>
    <s v="8b118829-3c58-4cb9-b64a-657fae1de09b"/>
    <x v="633"/>
    <s v="22:07"/>
    <x v="1010"/>
    <s v="expense"/>
    <s v="rc_cat_1781955063347_5qjb_1781955063347_tezk"/>
    <s v="rc_acc_1781955063347_0qmn"/>
    <x v="1"/>
    <s v="pepper lunch 345 tonkatsu 847"/>
    <m/>
    <s v="import"/>
    <s v=""/>
    <b v="0"/>
    <s v=""/>
  </r>
  <r>
    <s v="259e77b2-827e-480c-a65e-a8d761cc62a2"/>
    <x v="633"/>
    <s v="22:24"/>
    <x v="1011"/>
    <s v="expense"/>
    <s v="entertain_1781955063347_8r8e"/>
    <s v="kbank"/>
    <x v="1"/>
    <s v="dicecup boardgame tax"/>
    <m/>
    <s v="import"/>
    <s v=""/>
    <b v="0"/>
    <s v=""/>
  </r>
  <r>
    <s v="e5afdd3c-8f73-4332-93d0-f295097ad191"/>
    <x v="633"/>
    <s v="22:25"/>
    <x v="1012"/>
    <s v="expense"/>
    <s v="entertain_1781955063347_8r8e"/>
    <s v="kbank"/>
    <x v="1"/>
    <s v="lanlalen tax etax"/>
    <m/>
    <s v="import"/>
    <s v=""/>
    <b v="0"/>
    <s v=""/>
  </r>
  <r>
    <s v="423c977d-10f4-4a72-9456-70632034e3eb"/>
    <x v="633"/>
    <s v="22:26"/>
    <x v="1013"/>
    <s v="expense"/>
    <s v="rc_cat_1781955063347_anhy_1781955063347_qnaz"/>
    <s v="kbank"/>
    <x v="1"/>
    <s v="-"/>
    <m/>
    <s v="import"/>
    <s v=""/>
    <b v="0"/>
    <s v=""/>
  </r>
  <r>
    <s v="83a86f08-3415-4056-a25a-203ed07ff088"/>
    <x v="633"/>
    <s v="22:32"/>
    <x v="1014"/>
    <s v="expense"/>
    <s v="rc_cat_1781955063347_5qjb_1781955063348_hrbf"/>
    <s v="rc_acc_1781955063347_0qmn"/>
    <x v="1"/>
    <s v="ค่าเนตสองเดือน"/>
    <m/>
    <s v="import"/>
    <s v=""/>
    <b v="0"/>
    <s v=""/>
  </r>
  <r>
    <s v="4d70057d-51c8-404f-9f76-a3d420028404"/>
    <x v="633"/>
    <s v="22:32"/>
    <x v="1015"/>
    <s v="expense"/>
    <s v="rc_cat_1781955063347_5qjb_1781955063347_tezk"/>
    <s v="rc_acc_1781955063347_0qmn"/>
    <x v="1"/>
    <s v="อาหาร shopee ทั้งเดือน"/>
    <m/>
    <s v="import"/>
    <s v=""/>
    <b v="0"/>
    <s v=""/>
  </r>
  <r>
    <s v="b6eb0be9-bbbe-4543-a28e-dc6d58529d97"/>
    <x v="633"/>
    <s v="22:33"/>
    <x v="182"/>
    <s v="expense"/>
    <s v="entertain_1781955063348_kx2f"/>
    <s v="rc_acc_1781955063347_0qmn"/>
    <x v="1"/>
    <s v="avatar2"/>
    <m/>
    <s v="import"/>
    <s v=""/>
    <b v="0"/>
    <s v=""/>
  </r>
  <r>
    <s v="fdf5a5a1-9bfc-4067-88ea-1d17703e92ac"/>
    <x v="633"/>
    <s v="22:40"/>
    <x v="1016"/>
    <s v="expense"/>
    <s v="rc_cat_1781955063347_s4sz_1781955063347_deos"/>
    <s v="rc_acc_1781955063347_uxz4"/>
    <x v="1"/>
    <s v="LTD pants tax etax"/>
    <m/>
    <s v="import"/>
    <s v=""/>
    <b v="0"/>
    <s v=""/>
  </r>
  <r>
    <s v="a65c8e7d-d713-4c9e-95f8-95c2a4cea619"/>
    <x v="633"/>
    <s v="22:53"/>
    <x v="1017"/>
    <s v="expense"/>
    <s v="other_1781955063347_5s7r"/>
    <s v="rc_acc_1781955063347_uxz4"/>
    <x v="1"/>
    <s v="Difference"/>
    <m/>
    <s v="import"/>
    <s v=""/>
    <b v="0"/>
    <s v=""/>
  </r>
  <r>
    <s v="81b24edf-b67a-4024-966b-2548ade88905"/>
    <x v="634"/>
    <s v="09:05"/>
    <x v="1018"/>
    <s v="expense"/>
    <s v="rc_cat_1781955063347_5qjb_1781955063347_tezk"/>
    <s v="rc_acc_1781955063347_0qmn"/>
    <x v="1"/>
    <s v="ตุ๊ก"/>
    <m/>
    <s v="import"/>
    <s v=""/>
    <b v="0"/>
    <s v=""/>
  </r>
  <r>
    <s v="f57d33b1-2a5f-45b6-a961-4e0de51f6d0b"/>
    <x v="634"/>
    <s v="12:25"/>
    <x v="317"/>
    <s v="expense"/>
    <s v="rc_cat_1781955063347_5qjb_1781955063347_tezk"/>
    <s v="rc_acc_1781955063347_uxz4"/>
    <x v="1"/>
    <s v="-"/>
    <m/>
    <s v="import"/>
    <s v=""/>
    <b v="0"/>
    <s v=""/>
  </r>
  <r>
    <s v="e1e61319-7e71-4d08-a78f-ef4cfc11b479"/>
    <x v="635"/>
    <s v="08:50"/>
    <x v="975"/>
    <s v="expense"/>
    <s v="rc_cat_1781955063347_5qjb_1781955063347_tezk"/>
    <s v="rc_acc_1781955063347_0qmn"/>
    <x v="1"/>
    <s v="-"/>
    <m/>
    <s v="import"/>
    <s v=""/>
    <b v="0"/>
    <s v=""/>
  </r>
  <r>
    <s v="a628ddeb-86d2-4a03-9ed2-c4cbb6b181a1"/>
    <x v="635"/>
    <s v="09:11"/>
    <x v="150"/>
    <s v="expense"/>
    <s v="rc_cat_1781955063347_5qjb_1781955063347_tezk"/>
    <s v="rc_acc_1781955063347_uxz4"/>
    <x v="1"/>
    <s v="-"/>
    <m/>
    <s v="import"/>
    <s v=""/>
    <b v="0"/>
    <s v=""/>
  </r>
  <r>
    <s v="13210bde-5a83-4db7-adca-6001c7f38a24"/>
    <x v="635"/>
    <s v="12:45"/>
    <x v="169"/>
    <s v="expense"/>
    <s v="rc_cat_1781955063347_5qjb_1781955063347_tezk"/>
    <s v="rc_acc_1781955063347_uxz4"/>
    <x v="1"/>
    <s v="-"/>
    <m/>
    <s v="import"/>
    <s v=""/>
    <b v="0"/>
    <s v=""/>
  </r>
  <r>
    <s v="2aa971db-6c51-4eb6-bbb6-4f00ba22de46"/>
    <x v="635"/>
    <s v="19:30"/>
    <x v="792"/>
    <s v="expense"/>
    <s v="rc_cat_1781955063347_5qjb_1781955063347_tezk"/>
    <s v="rc_acc_1781955063347_uxz4"/>
    <x v="1"/>
    <s v="เซนปิ่น"/>
    <m/>
    <s v="import"/>
    <s v=""/>
    <b v="0"/>
    <s v=""/>
  </r>
  <r>
    <s v="b88b4ad4-312c-49dd-90b1-65a1e7c2013a"/>
    <x v="636"/>
    <s v="00:00"/>
    <x v="8"/>
    <s v="transfer"/>
    <s v="other"/>
    <s v="rc_acc_1781955063347_uxz4"/>
    <x v="25"/>
    <s v="-"/>
    <m/>
    <s v="import"/>
    <s v=""/>
    <b v="0"/>
    <s v=""/>
  </r>
  <r>
    <s v="31ea5d1f-ca0f-45d1-bacd-87db7148b5ca"/>
    <x v="636"/>
    <s v="08:30"/>
    <x v="998"/>
    <s v="expense"/>
    <s v="rc_cat_1781955063347_5qjb_1781955063347_tezk"/>
    <s v="rc_acc_1781955063347_uxz4"/>
    <x v="1"/>
    <s v="-"/>
    <m/>
    <s v="import"/>
    <s v=""/>
    <b v="0"/>
    <s v=""/>
  </r>
  <r>
    <s v="9de0a55a-6e27-4e78-916e-18d842512c6d"/>
    <x v="636"/>
    <s v="08:54"/>
    <x v="35"/>
    <s v="transfer"/>
    <s v="other"/>
    <s v="rc_acc_1781955063347_uxz4"/>
    <x v="4"/>
    <s v="-"/>
    <m/>
    <s v="import"/>
    <s v=""/>
    <b v="0"/>
    <s v=""/>
  </r>
  <r>
    <s v="86e4ffa0-e9cc-4878-b6b5-3817eba37d56"/>
    <x v="636"/>
    <s v="08:55"/>
    <x v="150"/>
    <s v="expense"/>
    <s v="rc_cat_1781955063347_5qjb_1781955063347_tezk"/>
    <s v="rc_acc_1781955063347_uxz4"/>
    <x v="1"/>
    <s v="-"/>
    <m/>
    <s v="import"/>
    <s v=""/>
    <b v="0"/>
    <s v=""/>
  </r>
  <r>
    <s v="badc63eb-b8d7-47cb-9925-5f69fcc807c0"/>
    <x v="636"/>
    <s v="12:55"/>
    <x v="616"/>
    <s v="expense"/>
    <s v="rc_cat_1781955063347_5qjb_1781955063347_tezk"/>
    <s v="rc_acc_1781955063347_uxz4"/>
    <x v="1"/>
    <s v="-"/>
    <m/>
    <s v="import"/>
    <s v=""/>
    <b v="0"/>
    <s v=""/>
  </r>
  <r>
    <s v="d56099e5-6dd6-4653-a078-e31b4ee8ec96"/>
    <x v="637"/>
    <s v="08:50"/>
    <x v="1019"/>
    <s v="expense"/>
    <s v="rc_cat_1781955063347_5qjb_1781955063347_tezk"/>
    <s v="rc_acc_1781955063347_0qmn"/>
    <x v="1"/>
    <s v="-"/>
    <m/>
    <s v="import"/>
    <s v=""/>
    <b v="0"/>
    <s v=""/>
  </r>
  <r>
    <s v="4f619ae5-84c7-4ffd-9854-82b526b4eab3"/>
    <x v="637"/>
    <s v="09:00"/>
    <x v="608"/>
    <s v="expense"/>
    <s v="rc_cat_1781955063347_5qjb_1781955063347_tezk"/>
    <s v="rc_acc_1781955063347_uxz4"/>
    <x v="1"/>
    <s v="-"/>
    <m/>
    <s v="import"/>
    <s v=""/>
    <b v="0"/>
    <s v=""/>
  </r>
  <r>
    <s v="20cb32f3-0284-4d9f-83c0-798cd3805bf8"/>
    <x v="637"/>
    <s v="12:54"/>
    <x v="771"/>
    <s v="expense"/>
    <s v="rc_cat_1781955063347_5qjb_1781955063347_tezk"/>
    <s v="rc_acc_1781955063347_uxz4"/>
    <x v="1"/>
    <s v="-"/>
    <m/>
    <s v="import"/>
    <s v=""/>
    <b v="0"/>
    <s v=""/>
  </r>
  <r>
    <s v="e0416c42-6008-4b1e-ae2d-63ef2fcd3088"/>
    <x v="638"/>
    <s v="08:53"/>
    <x v="199"/>
    <s v="expense"/>
    <s v="rc_cat_1781955063347_5qjb_1781955063347_tezk"/>
    <s v="rc_acc_1781955063347_uxz4"/>
    <x v="1"/>
    <s v="-"/>
    <m/>
    <s v="import"/>
    <s v=""/>
    <b v="0"/>
    <s v=""/>
  </r>
  <r>
    <s v="fb742f9c-93ab-44ee-a0e8-7482d6209331"/>
    <x v="638"/>
    <s v="20:53"/>
    <x v="785"/>
    <s v="expense"/>
    <s v="entertain_1781955063348_kx2f"/>
    <s v="rc_acc_1781955063350_i8ms"/>
    <x v="1"/>
    <s v="s22 ultra(4/10)"/>
    <m/>
    <s v="import"/>
    <s v=""/>
    <b v="0"/>
    <s v=""/>
  </r>
  <r>
    <s v="10c457d6-dc15-49b8-a6aa-09980f6471a6"/>
    <x v="639"/>
    <s v="13:05"/>
    <x v="751"/>
    <s v="expense"/>
    <s v="rc_cat_1781955063347_5qjb_1781955063347_tezk"/>
    <s v="rc_acc_1781955063347_uxz4"/>
    <x v="1"/>
    <s v="-"/>
    <m/>
    <s v="import"/>
    <s v=""/>
    <b v="0"/>
    <s v=""/>
  </r>
  <r>
    <s v="7d08de52-31d8-41ca-9d5e-bcdc2be6a5dc"/>
    <x v="640"/>
    <s v="09:50"/>
    <x v="87"/>
    <s v="expense"/>
    <s v="rc_cat_1781955063347_5qjb_1781955063347_tezk"/>
    <s v="rc_acc_1781955063347_0qmn"/>
    <x v="1"/>
    <s v="-"/>
    <m/>
    <s v="import"/>
    <s v=""/>
    <b v="0"/>
    <s v=""/>
  </r>
  <r>
    <s v="41451946-f66f-4d72-996c-ff8695c1bf99"/>
    <x v="640"/>
    <s v="13:40"/>
    <x v="1020"/>
    <s v="expense"/>
    <s v="rc_cat_1781955063347_5qjb_1781955063347_tezk"/>
    <s v="rc_acc_1781955063347_0qmn"/>
    <x v="1"/>
    <s v="mk tax"/>
    <m/>
    <s v="import"/>
    <s v=""/>
    <b v="0"/>
    <s v=""/>
  </r>
  <r>
    <s v="dbbda6ca-f686-4d5e-ac4e-16bf30e446a3"/>
    <x v="640"/>
    <s v="17:45"/>
    <x v="1021"/>
    <s v="expense"/>
    <s v="rc_cat_1781955063347_anhy_1781955063347_qnaz"/>
    <s v="rc_acc_1781955063347_uxz4"/>
    <x v="1"/>
    <s v="-"/>
    <m/>
    <s v="import"/>
    <s v=""/>
    <b v="0"/>
    <s v=""/>
  </r>
  <r>
    <s v="369134bc-b16c-43f4-8a6a-a846dbbe469f"/>
    <x v="640"/>
    <s v="19:31"/>
    <x v="1022"/>
    <s v="transfer"/>
    <s v="other"/>
    <s v="rc_acc_1781955063348_no9r"/>
    <x v="32"/>
    <s v="-"/>
    <m/>
    <s v="import"/>
    <s v=""/>
    <b v="0"/>
    <s v=""/>
  </r>
  <r>
    <s v="d491c9b4-6e51-48f6-ab8c-5f463a306a15"/>
    <x v="640"/>
    <s v="20:40"/>
    <x v="1001"/>
    <s v="expense"/>
    <s v="rc_cat_1781955063347_5qjb_1781955063347_tezk"/>
    <s v="rc_acc_1781955063347_0qmn"/>
    <x v="1"/>
    <s v="-"/>
    <m/>
    <s v="import"/>
    <s v=""/>
    <b v="0"/>
    <s v=""/>
  </r>
  <r>
    <s v="c1b788ef-1a88-4096-908a-910d6bd8d45c"/>
    <x v="640"/>
    <s v="20:51"/>
    <x v="775"/>
    <s v="expense"/>
    <s v="rc_cat_1781955063347_5qjb_1781955063347_tezk"/>
    <s v="rc_acc_1781955063347_0qmn"/>
    <x v="1"/>
    <s v="-"/>
    <m/>
    <s v="import"/>
    <s v=""/>
    <b v="0"/>
    <s v=""/>
  </r>
  <r>
    <s v="8d829746-c988-4565-90be-d47a20be239c"/>
    <x v="640"/>
    <s v="21:32"/>
    <x v="1023"/>
    <s v="expense"/>
    <s v="rc_cat_1781955063347_5qjb_1781955063348_edf6"/>
    <s v="rc_acc_1781955063347_0qmn"/>
    <x v="1"/>
    <s v="fuel tax"/>
    <m/>
    <s v="import"/>
    <s v=""/>
    <b v="0"/>
    <s v=""/>
  </r>
  <r>
    <s v="4f288ea0-dc46-4d2e-9d31-e00605bcf49f"/>
    <x v="640"/>
    <s v="21:33"/>
    <x v="785"/>
    <s v="transfer"/>
    <s v="other"/>
    <s v="kbank"/>
    <x v="26"/>
    <s v="-"/>
    <m/>
    <s v="import"/>
    <s v=""/>
    <b v="0"/>
    <s v=""/>
  </r>
  <r>
    <s v="986f6aea-ce44-4223-82e4-aab750e2f7fb"/>
    <x v="640"/>
    <s v="21:34"/>
    <x v="969"/>
    <s v="expense"/>
    <s v="rc_cat_1781955063347_s4sz_1781955063347_deos"/>
    <s v="kbank"/>
    <x v="1"/>
    <s v="zara tax"/>
    <m/>
    <s v="import"/>
    <s v=""/>
    <b v="0"/>
    <s v=""/>
  </r>
  <r>
    <s v="858ba64e-52a5-4e23-9d69-975ba0209f5e"/>
    <x v="640"/>
    <s v="22:35"/>
    <x v="1024"/>
    <s v="transfer"/>
    <s v="other"/>
    <s v="rc_acc_1781955063347_uxz4"/>
    <x v="17"/>
    <s v="-"/>
    <m/>
    <s v="import"/>
    <s v=""/>
    <b v="0"/>
    <s v=""/>
  </r>
  <r>
    <s v="deffbd06-eccd-490c-b97a-8d449c6f021d"/>
    <x v="641"/>
    <s v="08:45"/>
    <x v="356"/>
    <s v="expense"/>
    <s v="rc_cat_1781955063347_5qjb_1781955063347_tezk"/>
    <s v="rc_acc_1781955063347_uxz4"/>
    <x v="1"/>
    <s v="-"/>
    <m/>
    <s v="import"/>
    <s v=""/>
    <b v="0"/>
    <s v=""/>
  </r>
  <r>
    <s v="1a4063ff-e694-431f-b88c-6e28dec45fbc"/>
    <x v="642"/>
    <s v="00:00"/>
    <x v="743"/>
    <s v="transfer"/>
    <s v="other"/>
    <s v="rc_acc_1781955063347_uxz4"/>
    <x v="20"/>
    <s v="-"/>
    <m/>
    <s v="import"/>
    <s v=""/>
    <b v="0"/>
    <s v=""/>
  </r>
  <r>
    <s v="13761e96-2891-42d9-8432-62c921d08dd9"/>
    <x v="642"/>
    <s v="00:00"/>
    <x v="1025"/>
    <s v="transfer"/>
    <s v="other"/>
    <s v="rc_acc_1781955063347_uxz4"/>
    <x v="8"/>
    <s v="-"/>
    <m/>
    <s v="import"/>
    <s v=""/>
    <b v="0"/>
    <s v=""/>
  </r>
  <r>
    <s v="7835b06a-6976-4cb4-9095-44a7f3af0ce1"/>
    <x v="642"/>
    <s v="00:00"/>
    <x v="31"/>
    <s v="transfer"/>
    <s v="other"/>
    <s v="rc_acc_1781955063347_uxz4"/>
    <x v="7"/>
    <s v="-"/>
    <m/>
    <s v="import"/>
    <s v=""/>
    <b v="0"/>
    <s v=""/>
  </r>
  <r>
    <s v="7be6b105-7d1a-4b9c-a967-e1b9a2ea7d3e"/>
    <x v="642"/>
    <s v="00:00"/>
    <x v="1026"/>
    <s v="expense"/>
    <s v="rc_cat_1781955063347_04qb_1781955063347_kgnn"/>
    <s v="rc_acc_1781955063347_uxz4"/>
    <x v="1"/>
    <s v="-"/>
    <m/>
    <s v="import"/>
    <s v=""/>
    <b v="0"/>
    <s v=""/>
  </r>
  <r>
    <s v="0ddcc5f6-8359-4f35-bef9-6b460e31be5c"/>
    <x v="642"/>
    <s v="00:00"/>
    <x v="128"/>
    <s v="transfer"/>
    <s v="other"/>
    <s v="rc_acc_1781955063347_uxz4"/>
    <x v="21"/>
    <s v="-"/>
    <m/>
    <s v="import"/>
    <s v=""/>
    <b v="0"/>
    <s v=""/>
  </r>
  <r>
    <s v="ff95b692-638c-40c4-9b36-090bf456873c"/>
    <x v="642"/>
    <s v="00:00"/>
    <x v="1027"/>
    <s v="expense"/>
    <s v="rc_cat_1781955063347_04qb_1781955063347_lu9b"/>
    <s v="rc_acc_1781955063347_uxz4"/>
    <x v="1"/>
    <s v="-"/>
    <m/>
    <s v="import"/>
    <s v=""/>
    <b v="0"/>
    <s v=""/>
  </r>
  <r>
    <s v="9f4612ce-5468-426a-8a6d-3523dcccc926"/>
    <x v="642"/>
    <s v="00:00"/>
    <x v="1028"/>
    <s v="income"/>
    <s v="income_1781955063347_5zxt"/>
    <s v="rc_acc_1781955063347_uxz4"/>
    <x v="1"/>
    <s v="-"/>
    <m/>
    <s v="import"/>
    <s v=""/>
    <b v="0"/>
    <s v=""/>
  </r>
  <r>
    <s v="3d58748c-ac49-42ce-a91e-8e24a0b8abec"/>
    <x v="642"/>
    <s v="00:00"/>
    <x v="1029"/>
    <s v="expense"/>
    <s v="rc_cat_1781955063347_04qb_1781955063350_acgf"/>
    <s v="rc_acc_1781955063347_uxz4"/>
    <x v="1"/>
    <s v="-"/>
    <m/>
    <s v="import"/>
    <s v=""/>
    <b v="0"/>
    <s v=""/>
  </r>
  <r>
    <s v="3be519e4-e0ad-4f6a-9287-ae05cf9becc9"/>
    <x v="642"/>
    <s v="08:00"/>
    <x v="22"/>
    <s v="expense"/>
    <s v="rc_cat_1781955063347_5qjb_1781955063347_tezk"/>
    <s v="rc_acc_1781955063347_0qmn"/>
    <x v="1"/>
    <s v="-"/>
    <m/>
    <s v="import"/>
    <s v=""/>
    <b v="0"/>
    <s v=""/>
  </r>
  <r>
    <s v="6fc671a1-1053-4a8d-8be1-d93d7cfd50ac"/>
    <x v="642"/>
    <s v="08:44"/>
    <x v="150"/>
    <s v="expense"/>
    <s v="rc_cat_1781955063347_5qjb_1781955063347_tezk"/>
    <s v="rc_acc_1781955063347_uxz4"/>
    <x v="1"/>
    <s v="-"/>
    <m/>
    <s v="import"/>
    <s v=""/>
    <b v="0"/>
    <s v=""/>
  </r>
  <r>
    <s v="8386f9cc-daae-440a-8e26-2382ae5983e4"/>
    <x v="642"/>
    <s v="08:44"/>
    <x v="1030"/>
    <s v="transfer"/>
    <s v="other"/>
    <s v="rc_acc_1781955063347_uxz4"/>
    <x v="12"/>
    <s v="-"/>
    <m/>
    <s v="import"/>
    <s v=""/>
    <b v="0"/>
    <s v=""/>
  </r>
  <r>
    <s v="c542d555-7e96-42ea-a7a7-7605b0df8806"/>
    <x v="642"/>
    <s v="19:51"/>
    <x v="1031"/>
    <s v="expense"/>
    <s v="rc_cat_1781955063347_5qjb_1781955063347_tezk"/>
    <s v="rc_acc_1781955063347_0qmn"/>
    <x v="1"/>
    <s v="-"/>
    <m/>
    <s v="import"/>
    <s v=""/>
    <b v="0"/>
    <s v=""/>
  </r>
  <r>
    <s v="490740eb-aacb-4a96-aafb-b9901f582b9c"/>
    <x v="643"/>
    <s v="09:30"/>
    <x v="83"/>
    <s v="expense"/>
    <s v="rc_cat_1781955063347_5qjb_1781955063347_tezk"/>
    <s v="rc_acc_1781955063347_0qmn"/>
    <x v="1"/>
    <s v="-"/>
    <m/>
    <s v="import"/>
    <s v=""/>
    <b v="0"/>
    <s v=""/>
  </r>
  <r>
    <s v="49414496-7f82-4323-914a-aeb27a49652a"/>
    <x v="643"/>
    <s v="13:43"/>
    <x v="1032"/>
    <s v="expense"/>
    <s v="rc_cat_1781955063347_5qjb_1781955063347_tezk"/>
    <s v="rc_acc_1781955063347_uxz4"/>
    <x v="1"/>
    <s v="-"/>
    <m/>
    <s v="import"/>
    <s v=""/>
    <b v="0"/>
    <s v=""/>
  </r>
  <r>
    <s v="275a9957-c7cf-42a4-a611-ad3467b0eef8"/>
    <x v="643"/>
    <s v="15:15"/>
    <x v="150"/>
    <s v="expense"/>
    <s v="rc_cat_1781955063347_5qjb_1781955063347_tezk"/>
    <s v="rc_acc_1781955063347_uxz4"/>
    <x v="1"/>
    <s v="-"/>
    <m/>
    <s v="import"/>
    <s v=""/>
    <b v="0"/>
    <s v=""/>
  </r>
  <r>
    <s v="1a4e017e-b5a5-4263-8f0e-9d65c8998298"/>
    <x v="644"/>
    <s v="20:43"/>
    <x v="1033"/>
    <s v="expense"/>
    <s v="rc_cat_1781955063347_5qjb_1781955063347_tezk"/>
    <s v="rc_acc_1781955063347_uxz4"/>
    <x v="1"/>
    <s v="-"/>
    <m/>
    <s v="import"/>
    <s v=""/>
    <b v="0"/>
    <s v=""/>
  </r>
  <r>
    <s v="60618bda-f13e-4d1c-91c8-0bc3f3e83a79"/>
    <x v="645"/>
    <s v="12:35"/>
    <x v="87"/>
    <s v="expense"/>
    <s v="rc_cat_1781955063347_5qjb_1781955063347_tezk"/>
    <s v="rc_acc_1781955063347_uxz4"/>
    <x v="1"/>
    <s v="-"/>
    <m/>
    <s v="import"/>
    <s v=""/>
    <b v="0"/>
    <s v=""/>
  </r>
  <r>
    <s v="bcd19a39-2a36-44f8-8386-0f5c75580688"/>
    <x v="645"/>
    <s v="12:42"/>
    <x v="150"/>
    <s v="expense"/>
    <s v="rc_cat_1781955063347_5qjb_1781955063347_tezk"/>
    <s v="rc_acc_1781955063347_uxz4"/>
    <x v="1"/>
    <s v="-"/>
    <m/>
    <s v="import"/>
    <s v=""/>
    <b v="0"/>
    <s v=""/>
  </r>
  <r>
    <s v="1210593b-7f66-40e4-b3bb-a4b862c3be69"/>
    <x v="646"/>
    <s v="17:53"/>
    <x v="1034"/>
    <s v="expense"/>
    <s v="rc_cat_1781955063347_5qjb_1781955063347_tezk"/>
    <s v="rc_acc_1781955063347_0qmn"/>
    <x v="1"/>
    <s v="-"/>
    <m/>
    <s v="import"/>
    <s v=""/>
    <b v="0"/>
    <s v=""/>
  </r>
  <r>
    <s v="6618e0d1-05bf-469a-baaa-1d07d96bddbe"/>
    <x v="647"/>
    <s v="09:08"/>
    <x v="1035"/>
    <s v="expense"/>
    <s v="rc_cat_1781955063347_5qjb_1781955063348_xqml"/>
    <s v="rc_acc_1781955063347_0qmn"/>
    <x v="1"/>
    <s v="macro tax"/>
    <m/>
    <s v="import"/>
    <s v=""/>
    <b v="0"/>
    <s v=""/>
  </r>
  <r>
    <s v="cb672a94-72b4-47e7-875a-8e1ce609cc6c"/>
    <x v="647"/>
    <s v="10:00"/>
    <x v="87"/>
    <s v="expense"/>
    <s v="rc_cat_1781955063347_5qjb_1781955063347_tezk"/>
    <s v="rc_acc_1781955063347_uxz4"/>
    <x v="1"/>
    <s v="-"/>
    <m/>
    <s v="import"/>
    <s v=""/>
    <b v="0"/>
    <s v=""/>
  </r>
  <r>
    <s v="7e9f2ba8-b9a8-4149-951a-a2c1c3962f99"/>
    <x v="647"/>
    <s v="14:50"/>
    <x v="185"/>
    <s v="expense"/>
    <s v="rc_cat_1781955063347_5qjb_1781955063347_tezk"/>
    <s v="rc_acc_1781955063347_uxz4"/>
    <x v="1"/>
    <s v="-"/>
    <m/>
    <s v="import"/>
    <s v=""/>
    <b v="0"/>
    <s v=""/>
  </r>
  <r>
    <s v="67146f3a-5e9a-4930-967f-93a9423ffa7a"/>
    <x v="648"/>
    <s v="08:50"/>
    <x v="199"/>
    <s v="expense"/>
    <s v="rc_cat_1781955063347_5qjb_1781955063347_tezk"/>
    <s v="rc_acc_1781955063347_uxz4"/>
    <x v="1"/>
    <s v="-"/>
    <m/>
    <s v="import"/>
    <s v=""/>
    <b v="0"/>
    <s v=""/>
  </r>
  <r>
    <s v="548f09e6-c4b4-47ec-b433-190954ca43fc"/>
    <x v="648"/>
    <s v="08:50"/>
    <x v="356"/>
    <s v="expense"/>
    <s v="rc_cat_1781955063347_5qjb_1781955063347_tezk"/>
    <s v="rc_acc_1781955063347_0qmn"/>
    <x v="1"/>
    <s v="-"/>
    <m/>
    <s v="import"/>
    <s v=""/>
    <b v="0"/>
    <s v=""/>
  </r>
  <r>
    <s v="5cfc98f0-23ce-47d7-82e2-88c41a7c66db"/>
    <x v="648"/>
    <s v="12:40"/>
    <x v="616"/>
    <s v="expense"/>
    <s v="rc_cat_1781955063347_5qjb_1781955063347_tezk"/>
    <s v="rc_acc_1781955063347_uxz4"/>
    <x v="1"/>
    <s v="-"/>
    <m/>
    <s v="import"/>
    <s v=""/>
    <b v="0"/>
    <s v=""/>
  </r>
  <r>
    <s v="ea2d1e2a-b83d-4118-82a1-de70730f37bc"/>
    <x v="648"/>
    <s v="20:40"/>
    <x v="31"/>
    <s v="expense"/>
    <s v="rc_cat_1781955063347_5qjb_1781955063347_tezk"/>
    <s v="rc_acc_1781955063347_uxz4"/>
    <x v="1"/>
    <s v="-"/>
    <m/>
    <s v="import"/>
    <s v=""/>
    <b v="0"/>
    <s v=""/>
  </r>
  <r>
    <s v="aca3e504-aa6a-41a7-83ad-8de87cf1eac1"/>
    <x v="649"/>
    <s v="09:54"/>
    <x v="184"/>
    <s v="expense"/>
    <s v="rc_cat_1781955063347_5qjb_1781955063347_tezk"/>
    <s v="rc_acc_1781955063347_0qmn"/>
    <x v="1"/>
    <s v="16-19"/>
    <m/>
    <s v="import"/>
    <s v=""/>
    <b v="0"/>
    <s v=""/>
  </r>
  <r>
    <s v="e7512c54-8d6d-47d0-96e4-7ada05f0c2e7"/>
    <x v="649"/>
    <s v="13:29"/>
    <x v="1036"/>
    <s v="expense"/>
    <s v="rc_cat_1781955063347_5qjb_1781955063347_tezk"/>
    <s v="rc_acc_1781955063347_uxz4"/>
    <x v="1"/>
    <s v="-"/>
    <m/>
    <s v="import"/>
    <s v=""/>
    <b v="0"/>
    <s v=""/>
  </r>
  <r>
    <s v="3556b2fd-f740-4bfb-b9ae-69134ec1e436"/>
    <x v="650"/>
    <s v="12:50"/>
    <x v="771"/>
    <s v="expense"/>
    <s v="rc_cat_1781955063347_5qjb_1781955063347_tezk"/>
    <s v="rc_acc_1781955063347_uxz4"/>
    <x v="1"/>
    <s v="-"/>
    <m/>
    <s v="import"/>
    <s v=""/>
    <b v="0"/>
    <s v=""/>
  </r>
  <r>
    <s v="2b63d1df-a510-4e68-bba0-5fdeea9c6655"/>
    <x v="650"/>
    <s v="20:47"/>
    <x v="87"/>
    <s v="expense"/>
    <s v="rc_cat_1781955063347_5qjb_1781955063347_tezk"/>
    <s v="rc_acc_1781955063347_uxz4"/>
    <x v="1"/>
    <s v="-"/>
    <m/>
    <s v="import"/>
    <s v=""/>
    <b v="0"/>
    <s v=""/>
  </r>
  <r>
    <s v="c43d608e-d18d-4ae3-a3a7-03f96f22f8c2"/>
    <x v="651"/>
    <s v="12:39"/>
    <x v="616"/>
    <s v="expense"/>
    <s v="rc_cat_1781955063347_5qjb_1781955063347_tezk"/>
    <s v="rc_acc_1781955063347_uxz4"/>
    <x v="1"/>
    <s v="-"/>
    <m/>
    <s v="import"/>
    <s v=""/>
    <b v="0"/>
    <s v=""/>
  </r>
  <r>
    <s v="cdb75c93-79d3-431a-a242-7740310d1111"/>
    <x v="652"/>
    <s v="12:44"/>
    <x v="1037"/>
    <s v="transfer"/>
    <s v="other"/>
    <s v="rc_acc_1781955063347_tvnx"/>
    <x v="5"/>
    <s v="แอม พี่เนย"/>
    <m/>
    <s v="import"/>
    <s v=""/>
    <b v="0"/>
    <s v=""/>
  </r>
  <r>
    <s v="2fe6b4eb-991c-45b3-9f2e-91fa65581f59"/>
    <x v="652"/>
    <s v="13:01"/>
    <x v="74"/>
    <s v="expense"/>
    <s v="rc_cat_1781955063347_5qjb_1781955063347_tezk"/>
    <s v="rc_acc_1781955063347_uxz4"/>
    <x v="1"/>
    <s v="-"/>
    <m/>
    <s v="import"/>
    <s v=""/>
    <b v="0"/>
    <s v=""/>
  </r>
  <r>
    <s v="a5b72e25-9f3d-4df5-b2ba-ff9c9424a4f0"/>
    <x v="653"/>
    <s v="00:00"/>
    <x v="691"/>
    <s v="transfer"/>
    <s v="other"/>
    <s v="rc_acc_1781955063348_w3gp"/>
    <x v="33"/>
    <s v="-"/>
    <m/>
    <s v="import"/>
    <s v=""/>
    <b v="0"/>
    <s v=""/>
  </r>
  <r>
    <s v="e08fb2f7-5218-4219-9174-48b44f5dbac1"/>
    <x v="653"/>
    <s v="11:25"/>
    <x v="1038"/>
    <s v="expense"/>
    <s v="entertain_1781955063348_kx2f"/>
    <s v="rc_acc_1781955063347_uxz4"/>
    <x v="1"/>
    <s v="hdd tax 2590"/>
    <m/>
    <s v="import"/>
    <s v=""/>
    <b v="0"/>
    <s v=""/>
  </r>
  <r>
    <s v="2538b540-5e83-4cf2-abc4-bd81eb885c34"/>
    <x v="653"/>
    <s v="11:52"/>
    <x v="1039"/>
    <s v="transfer"/>
    <s v="other"/>
    <s v="rc_acc_1781955063347_uxz4"/>
    <x v="31"/>
    <s v="-"/>
    <m/>
    <s v="import"/>
    <s v=""/>
    <b v="0"/>
    <s v=""/>
  </r>
  <r>
    <s v="ae017dcd-6f47-451a-af99-77fe992d0bc0"/>
    <x v="653"/>
    <s v="13:48"/>
    <x v="1040"/>
    <s v="expense"/>
    <s v="rc_cat_1781955063347_5qjb_1781955063347_tezk"/>
    <s v="rc_acc_1781955063347_0qmn"/>
    <x v="1"/>
    <s v="shabushi"/>
    <m/>
    <s v="import"/>
    <s v=""/>
    <b v="0"/>
    <s v=""/>
  </r>
  <r>
    <s v="0ed3270c-cfb9-40c1-827e-6606fbdbd2c6"/>
    <x v="653"/>
    <s v="17:47"/>
    <x v="87"/>
    <s v="expense"/>
    <s v="rc_cat_1781955063347_5qjb_1781955063347_tezk"/>
    <s v="rc_acc_1781955063347_0qmn"/>
    <x v="1"/>
    <s v="-"/>
    <m/>
    <s v="import"/>
    <s v=""/>
    <b v="0"/>
    <s v=""/>
  </r>
  <r>
    <s v="34507c47-eb53-4bef-880d-1493e6540800"/>
    <x v="653"/>
    <s v="19:55"/>
    <x v="1041"/>
    <s v="expense"/>
    <s v="rc_cat_1781955063347_5qjb_1781955063348_hrbf"/>
    <s v="rc_acc_1781955063347_0qmn"/>
    <x v="1"/>
    <s v="ค่าไฟ"/>
    <m/>
    <s v="import"/>
    <s v=""/>
    <b v="0"/>
    <s v=""/>
  </r>
  <r>
    <s v="94b24c5f-5dca-4397-a09e-de1a14a7a938"/>
    <x v="653"/>
    <s v="19:56"/>
    <x v="1041"/>
    <s v="transfer"/>
    <s v="other"/>
    <s v="rc_acc_1781955063348_no9r"/>
    <x v="5"/>
    <s v="-"/>
    <m/>
    <s v="import"/>
    <s v=""/>
    <b v="0"/>
    <s v=""/>
  </r>
  <r>
    <s v="13ab2109-d950-4600-b65c-0422e5cde413"/>
    <x v="653"/>
    <s v="19:57"/>
    <x v="1042"/>
    <s v="transfer"/>
    <s v="other"/>
    <s v="rc_acc_1781955063348_no9r"/>
    <x v="2"/>
    <s v="-"/>
    <m/>
    <s v="import"/>
    <s v=""/>
    <b v="0"/>
    <s v=""/>
  </r>
  <r>
    <s v="c1463c33-700c-4cd1-8658-a08329a3b588"/>
    <x v="653"/>
    <s v="20:00"/>
    <x v="1043"/>
    <s v="transfer"/>
    <s v="other"/>
    <s v="rc_acc_1781955063348_no9r"/>
    <x v="2"/>
    <s v="-"/>
    <m/>
    <s v="import"/>
    <s v=""/>
    <b v="0"/>
    <s v=""/>
  </r>
  <r>
    <s v="8a92b61c-dec6-4036-9d15-3a78bbf8cedf"/>
    <x v="653"/>
    <s v="20:08"/>
    <x v="1044"/>
    <s v="transfer"/>
    <s v="other"/>
    <s v="rc_acc_1781955063347_tvnx"/>
    <x v="5"/>
    <s v="netflix hong"/>
    <m/>
    <s v="import"/>
    <s v=""/>
    <b v="0"/>
    <s v=""/>
  </r>
  <r>
    <s v="51e9c794-a3f5-42b9-a5bc-88922f705a70"/>
    <x v="654"/>
    <s v="00:00"/>
    <x v="265"/>
    <s v="expense"/>
    <s v="rc_cat_1781955063347_5qjb_1781955063348_laj8"/>
    <s v="rc_acc_1781955063348_w3gp"/>
    <x v="1"/>
    <s v="-"/>
    <m/>
    <s v="import"/>
    <s v=""/>
    <b v="0"/>
    <s v=""/>
  </r>
  <r>
    <s v="a1e3827b-b7dd-4a0c-8802-1116c56c4b8a"/>
    <x v="654"/>
    <s v="07:30"/>
    <x v="387"/>
    <s v="transfer"/>
    <s v="other"/>
    <s v="rc_acc_1781955063347_uxz4"/>
    <x v="17"/>
    <s v="-"/>
    <m/>
    <s v="import"/>
    <s v=""/>
    <b v="0"/>
    <s v=""/>
  </r>
  <r>
    <s v="7fdc4428-94d7-4638-ba1c-8b494fd11b6e"/>
    <x v="654"/>
    <s v="14:09"/>
    <x v="1045"/>
    <s v="expense"/>
    <s v="rc_cat_1781955063347_5qjb_1781955063347_tezk"/>
    <s v="rc_acc_1781955063347_0qmn"/>
    <x v="1"/>
    <s v="-"/>
    <m/>
    <s v="import"/>
    <s v=""/>
    <b v="0"/>
    <s v=""/>
  </r>
  <r>
    <s v="2024cdd6-d2ad-4576-9d27-4368f28712cf"/>
    <x v="654"/>
    <s v="14:36"/>
    <x v="74"/>
    <s v="expense"/>
    <s v="rc_cat_1781955063347_5qjb_1781955063347_tezk"/>
    <s v="rc_acc_1781955063347_uxz4"/>
    <x v="1"/>
    <s v="-"/>
    <m/>
    <s v="import"/>
    <s v=""/>
    <b v="0"/>
    <s v=""/>
  </r>
  <r>
    <s v="9e1b0584-0ac4-48fb-9ecd-d8c44e4221f2"/>
    <x v="654"/>
    <s v="20:59"/>
    <x v="1001"/>
    <s v="expense"/>
    <s v="rc_cat_1781955063347_5qjb_1781955063347_tezk"/>
    <s v="rc_acc_1781955063347_0qmn"/>
    <x v="1"/>
    <s v="-"/>
    <m/>
    <s v="import"/>
    <s v=""/>
    <b v="0"/>
    <s v=""/>
  </r>
  <r>
    <s v="48405a7b-25c9-4730-8f58-fb610c700461"/>
    <x v="655"/>
    <s v="09:00"/>
    <x v="1008"/>
    <s v="expense"/>
    <s v="rc_cat_1781955063347_5qjb_1781955063347_tezk"/>
    <s v="rc_acc_1781955063347_0qmn"/>
    <x v="1"/>
    <s v="-"/>
    <m/>
    <s v="import"/>
    <s v=""/>
    <b v="0"/>
    <s v=""/>
  </r>
  <r>
    <s v="605906a5-ef23-4014-a22a-898890cd9794"/>
    <x v="655"/>
    <s v="09:32"/>
    <x v="199"/>
    <s v="expense"/>
    <s v="rc_cat_1781955063347_5qjb_1781955063347_tezk"/>
    <s v="rc_acc_1781955063347_uxz4"/>
    <x v="1"/>
    <s v="-"/>
    <m/>
    <s v="import"/>
    <s v=""/>
    <b v="0"/>
    <s v=""/>
  </r>
  <r>
    <s v="69c15b75-1dc3-4da2-8fad-53394bc00ed9"/>
    <x v="655"/>
    <s v="12:50"/>
    <x v="932"/>
    <s v="expense"/>
    <s v="rc_cat_1781955063347_5qjb_1781955063347_tezk"/>
    <s v="rc_acc_1781955063347_uxz4"/>
    <x v="1"/>
    <s v="-"/>
    <m/>
    <s v="import"/>
    <s v=""/>
    <b v="0"/>
    <s v=""/>
  </r>
  <r>
    <s v="03af912a-4e8a-4a69-9827-5b6c3d05af74"/>
    <x v="655"/>
    <s v="13:15"/>
    <x v="150"/>
    <s v="expense"/>
    <s v="rc_cat_1781955063347_5qjb_1781955063347_tezk"/>
    <s v="rc_acc_1781955063347_uxz4"/>
    <x v="1"/>
    <s v="-"/>
    <m/>
    <s v="import"/>
    <s v=""/>
    <b v="0"/>
    <s v=""/>
  </r>
  <r>
    <s v="1135d80b-27fa-4827-b7aa-c111028ba038"/>
    <x v="655"/>
    <s v="20:00"/>
    <x v="1046"/>
    <s v="expense"/>
    <s v="rc_cat_1781955063347_5qjb_1781955063347_tezk"/>
    <s v="rc_acc_1781955063347_0qmn"/>
    <x v="1"/>
    <s v="lotus prive"/>
    <m/>
    <s v="import"/>
    <s v=""/>
    <b v="0"/>
    <s v=""/>
  </r>
  <r>
    <s v="8224611c-2fb8-4245-8415-5eb6c3928794"/>
    <x v="656"/>
    <s v="08:59"/>
    <x v="998"/>
    <s v="expense"/>
    <s v="rc_cat_1781955063347_5qjb_1781955063347_tezk"/>
    <s v="rc_acc_1781955063347_uxz4"/>
    <x v="1"/>
    <s v="-"/>
    <m/>
    <s v="import"/>
    <s v=""/>
    <b v="0"/>
    <s v=""/>
  </r>
  <r>
    <s v="6863ff80-0111-4383-be0e-deeca63670a1"/>
    <x v="656"/>
    <s v="09:01"/>
    <x v="966"/>
    <s v="expense"/>
    <s v="rc_cat_1781955063347_anhy_1781955063347_qnaz"/>
    <s v="rc_acc_1781955063347_0qmn"/>
    <x v="1"/>
    <s v="-"/>
    <m/>
    <s v="import"/>
    <s v=""/>
    <b v="0"/>
    <s v=""/>
  </r>
  <r>
    <s v="cf4e5a3f-4880-43e3-87be-b11d4bd38844"/>
    <x v="656"/>
    <s v="09:32"/>
    <x v="199"/>
    <s v="expense"/>
    <s v="rc_cat_1781955063347_5qjb_1781955063347_tezk"/>
    <s v="rc_acc_1781955063347_uxz4"/>
    <x v="1"/>
    <s v="-"/>
    <m/>
    <s v="import"/>
    <s v=""/>
    <b v="0"/>
    <s v=""/>
  </r>
  <r>
    <s v="d33fd351-0777-4712-b610-776805251a93"/>
    <x v="656"/>
    <s v="12:32"/>
    <x v="615"/>
    <s v="expense"/>
    <s v="rc_cat_1781955063347_5qjb_1781955063347_tezk"/>
    <s v="rc_acc_1781955063347_uxz4"/>
    <x v="1"/>
    <s v="-"/>
    <m/>
    <s v="import"/>
    <s v=""/>
    <b v="0"/>
    <s v=""/>
  </r>
  <r>
    <s v="6f98c594-459b-4a05-a0fd-acb96e6671cd"/>
    <x v="657"/>
    <s v="08:45"/>
    <x v="783"/>
    <s v="expense"/>
    <s v="rc_cat_1781955063347_5qjb_1781955063347_tezk"/>
    <s v="rc_acc_1781955063347_0qmn"/>
    <x v="1"/>
    <s v="-"/>
    <m/>
    <s v="import"/>
    <s v=""/>
    <b v="0"/>
    <s v=""/>
  </r>
  <r>
    <s v="6c6034c3-0d6e-476a-9841-1feeaa5cae24"/>
    <x v="657"/>
    <s v="11:55"/>
    <x v="8"/>
    <s v="income"/>
    <s v="income_1781955063347_zblt"/>
    <s v="rc_acc_1781955063347_0qmn"/>
    <x v="1"/>
    <s v="-"/>
    <m/>
    <s v="import"/>
    <s v=""/>
    <b v="0"/>
    <s v=""/>
  </r>
  <r>
    <s v="c45315bc-4cab-44bf-9ad6-645717f9cf56"/>
    <x v="657"/>
    <s v="12:45"/>
    <x v="616"/>
    <s v="expense"/>
    <s v="rc_cat_1781955063347_5qjb_1781955063347_tezk"/>
    <s v="rc_acc_1781955063347_uxz4"/>
    <x v="1"/>
    <s v="-"/>
    <m/>
    <s v="import"/>
    <s v=""/>
    <b v="0"/>
    <s v=""/>
  </r>
  <r>
    <s v="787db693-0237-434a-bfc7-83fd54b68dc5"/>
    <x v="657"/>
    <s v="14:33"/>
    <x v="138"/>
    <s v="expense"/>
    <s v="rc_cat_1781955063347_anhy_1781955063348_k5l1"/>
    <s v="rc_acc_1781955063347_uxz4"/>
    <x v="1"/>
    <s v="-"/>
    <m/>
    <s v="import"/>
    <s v=""/>
    <b v="0"/>
    <s v=""/>
  </r>
  <r>
    <s v="856220e0-f720-44f2-854a-1eab8481bfc0"/>
    <x v="657"/>
    <s v="17:39"/>
    <x v="1047"/>
    <s v="expense"/>
    <s v="rc_cat_1781955063347_04qb_1781955063347_wt5p"/>
    <s v="kbank"/>
    <x v="1"/>
    <s v="-"/>
    <m/>
    <s v="import"/>
    <s v=""/>
    <b v="0"/>
    <s v=""/>
  </r>
  <r>
    <s v="f4ed893d-15a0-47a4-8d5c-98adbe8be038"/>
    <x v="658"/>
    <s v="09:02"/>
    <x v="768"/>
    <s v="expense"/>
    <s v="rc_cat_1781955063347_5qjb_1781955063347_tezk"/>
    <s v="rc_acc_1781955063347_0qmn"/>
    <x v="1"/>
    <s v="-"/>
    <m/>
    <s v="import"/>
    <s v=""/>
    <b v="0"/>
    <s v=""/>
  </r>
  <r>
    <s v="981eb07b-b3d2-4ae9-909c-5a8fa23c7495"/>
    <x v="658"/>
    <s v="09:14"/>
    <x v="199"/>
    <s v="expense"/>
    <s v="rc_cat_1781955063347_5qjb_1781955063347_tezk"/>
    <s v="rc_acc_1781955063347_uxz4"/>
    <x v="1"/>
    <s v="-"/>
    <m/>
    <s v="import"/>
    <s v=""/>
    <b v="0"/>
    <s v=""/>
  </r>
  <r>
    <s v="7e93cff7-0f55-462f-9dd1-770361f3474d"/>
    <x v="658"/>
    <s v="09:43"/>
    <x v="1048"/>
    <s v="transfer"/>
    <s v="other"/>
    <s v="kbank"/>
    <x v="26"/>
    <s v="-"/>
    <m/>
    <s v="import"/>
    <s v=""/>
    <b v="0"/>
    <s v=""/>
  </r>
  <r>
    <s v="9eb28f60-9d7a-483e-a6c8-c98a08c75ed2"/>
    <x v="658"/>
    <s v="13:00"/>
    <x v="615"/>
    <s v="expense"/>
    <s v="rc_cat_1781955063347_5qjb_1781955063347_tezk"/>
    <s v="rc_acc_1781955063347_uxz4"/>
    <x v="1"/>
    <s v="-"/>
    <m/>
    <s v="import"/>
    <s v=""/>
    <b v="0"/>
    <s v=""/>
  </r>
  <r>
    <s v="b3527d03-fcc9-4e6e-83f1-ea9f8810a317"/>
    <x v="658"/>
    <s v="13:39"/>
    <x v="150"/>
    <s v="expense"/>
    <s v="rc_cat_1781955063347_5qjb_1781955063347_tezk"/>
    <s v="rc_acc_1781955063347_uxz4"/>
    <x v="1"/>
    <s v="-"/>
    <m/>
    <s v="import"/>
    <s v=""/>
    <b v="0"/>
    <s v=""/>
  </r>
  <r>
    <s v="3f88f319-d5bc-4e79-9222-23caa4277a5f"/>
    <x v="659"/>
    <s v="14:36"/>
    <x v="199"/>
    <s v="expense"/>
    <s v="rc_cat_1781955063347_5qjb_1781955063347_tezk"/>
    <s v="rc_acc_1781955063347_uxz4"/>
    <x v="1"/>
    <s v="-"/>
    <m/>
    <s v="import"/>
    <s v=""/>
    <b v="0"/>
    <s v=""/>
  </r>
  <r>
    <s v="12d3b633-1425-45bb-ad1b-950189d0d61f"/>
    <x v="659"/>
    <s v="14:37"/>
    <x v="1049"/>
    <s v="expense"/>
    <s v="rc_cat_1781955063347_5qjb_1781955063347_tezk"/>
    <s v="rc_acc_1781955063347_0qmn"/>
    <x v="1"/>
    <s v="-"/>
    <m/>
    <s v="import"/>
    <s v=""/>
    <b v="0"/>
    <s v=""/>
  </r>
  <r>
    <s v="913a24f9-e719-46a6-af70-0c850133bce0"/>
    <x v="659"/>
    <s v="16:33"/>
    <x v="1050"/>
    <s v="expense"/>
    <s v="rc_cat_1781955063347_5qjb_1781955063347_tezk"/>
    <s v="rc_acc_1781955063347_0qmn"/>
    <x v="1"/>
    <s v="waffle"/>
    <m/>
    <s v="import"/>
    <s v=""/>
    <b v="0"/>
    <s v=""/>
  </r>
  <r>
    <s v="1aa4496f-df38-4c32-b27a-0b9925a3f7ee"/>
    <x v="659"/>
    <s v="18:31"/>
    <x v="902"/>
    <s v="expense"/>
    <s v="rc_cat_1781955063347_5qjb_1781955063348_edf6"/>
    <s v="rc_acc_1781955063347_0qmn"/>
    <x v="1"/>
    <s v="น้ำมัน tax"/>
    <m/>
    <s v="import"/>
    <s v=""/>
    <b v="0"/>
    <s v=""/>
  </r>
  <r>
    <s v="7105173b-74f7-46e5-b72b-b488cdb3bd4e"/>
    <x v="659"/>
    <s v="18:33"/>
    <x v="1051"/>
    <s v="expense"/>
    <s v="rc_cat_1781955063347_anhy_1781955063347_qnaz"/>
    <s v="rc_acc_1781955063347_0qmn"/>
    <x v="1"/>
    <s v="hmpro"/>
    <m/>
    <s v="import"/>
    <s v=""/>
    <b v="0"/>
    <s v=""/>
  </r>
  <r>
    <s v="8c01f30b-a0d5-46ac-8242-dbaabc805f13"/>
    <x v="659"/>
    <s v="18:37"/>
    <x v="1052"/>
    <s v="transfer"/>
    <s v="other"/>
    <s v="rc_acc_1781955063347_uxz4"/>
    <x v="2"/>
    <s v="กาแฟหลังร้านเนื้อ"/>
    <m/>
    <s v="import"/>
    <s v=""/>
    <b v="0"/>
    <s v=""/>
  </r>
  <r>
    <s v="8cb7f077-8973-4cc4-a0af-25a3274145de"/>
    <x v="659"/>
    <s v="18:48"/>
    <x v="1024"/>
    <s v="expense"/>
    <s v="entertain_1781955063348_32wr"/>
    <s v="rc_acc_1781955063348_w3gp"/>
    <x v="1"/>
    <s v="หนังสือ tax"/>
    <m/>
    <s v="import"/>
    <s v=""/>
    <b v="0"/>
    <s v=""/>
  </r>
  <r>
    <s v="9941fd84-8821-4556-b475-02ba321e619f"/>
    <x v="660"/>
    <s v="09:44"/>
    <x v="211"/>
    <s v="transfer"/>
    <s v="other"/>
    <s v="advance"/>
    <x v="26"/>
    <s v="อุ้ยเคลียแล้ว"/>
    <m/>
    <s v="import"/>
    <s v=""/>
    <b v="0"/>
    <s v=""/>
  </r>
  <r>
    <s v="2463c277-3bd0-47d1-ace5-9af8dbc4caf6"/>
    <x v="660"/>
    <s v="09:50"/>
    <x v="74"/>
    <s v="expense"/>
    <s v="rc_cat_1781955063347_5qjb_1781955063347_tezk"/>
    <s v="rc_acc_1781955063347_0qmn"/>
    <x v="1"/>
    <s v="-"/>
    <m/>
    <s v="import"/>
    <s v=""/>
    <b v="0"/>
    <s v=""/>
  </r>
  <r>
    <s v="a6a19565-0fa3-4cfe-b045-05257d544dbe"/>
    <x v="660"/>
    <s v="15:37"/>
    <x v="1053"/>
    <s v="transfer"/>
    <s v="other"/>
    <s v="rc_acc_1781955063350_i8ms"/>
    <x v="2"/>
    <s v="35 dry edge tax"/>
    <m/>
    <s v="import"/>
    <s v=""/>
    <b v="0"/>
    <s v=""/>
  </r>
  <r>
    <s v="b239471b-5e39-4f18-960b-f8418496edbe"/>
    <x v="660"/>
    <s v="18:39"/>
    <x v="1001"/>
    <s v="expense"/>
    <s v="rc_cat_1781955063347_5qjb_1781955063347_tezk"/>
    <s v="rc_acc_1781955063347_0qmn"/>
    <x v="1"/>
    <s v="อาหารคลีน"/>
    <m/>
    <s v="import"/>
    <s v=""/>
    <b v="0"/>
    <s v=""/>
  </r>
  <r>
    <s v="7888b45d-b30d-4193-93c3-b2d8ead85e41"/>
    <x v="660"/>
    <s v="21:48"/>
    <x v="1048"/>
    <s v="expense"/>
    <s v="rc_cat_1781955063347_anhy_1781955063350_fcpb"/>
    <s v="advance"/>
    <x v="1"/>
    <s v="-"/>
    <m/>
    <s v="import"/>
    <s v=""/>
    <b v="0"/>
    <s v=""/>
  </r>
  <r>
    <s v="639b44d5-3930-4908-a004-3da641c0f60e"/>
    <x v="661"/>
    <s v="13:00"/>
    <x v="608"/>
    <s v="expense"/>
    <s v="rc_cat_1781955063347_5qjb_1781955063347_tezk"/>
    <s v="rc_acc_1781955063347_uxz4"/>
    <x v="1"/>
    <s v="-"/>
    <m/>
    <s v="import"/>
    <s v=""/>
    <b v="0"/>
    <s v=""/>
  </r>
  <r>
    <s v="3f219894-4e8a-4e4b-8ed3-d552e9e85d1b"/>
    <x v="661"/>
    <s v="13:34"/>
    <x v="150"/>
    <s v="expense"/>
    <s v="rc_cat_1781955063347_5qjb_1781955063347_tezk"/>
    <s v="rc_acc_1781955063347_uxz4"/>
    <x v="1"/>
    <s v="-"/>
    <m/>
    <s v="import"/>
    <s v=""/>
    <b v="0"/>
    <s v=""/>
  </r>
  <r>
    <s v="49d3ad8a-ba03-4067-8e5a-eaa7d18369b9"/>
    <x v="661"/>
    <s v="17:56"/>
    <x v="1054"/>
    <s v="expense"/>
    <s v="rc_cat_1781955063347_5qjb_1781955063347_tezk"/>
    <s v="rc_acc_1781955063347_omhz"/>
    <x v="1"/>
    <s v="-"/>
    <m/>
    <s v="import"/>
    <s v=""/>
    <b v="0"/>
    <s v=""/>
  </r>
  <r>
    <s v="2e32439c-9145-49d2-b8b9-d814080109ed"/>
    <x v="662"/>
    <s v="09:04"/>
    <x v="768"/>
    <s v="expense"/>
    <s v="rc_cat_1781955063347_5qjb_1781955063347_tezk"/>
    <s v="rc_acc_1781955063347_0qmn"/>
    <x v="1"/>
    <s v="-"/>
    <m/>
    <s v="import"/>
    <s v=""/>
    <b v="0"/>
    <s v=""/>
  </r>
  <r>
    <s v="c271ee3c-0bfb-4273-af3a-f48acceb9648"/>
    <x v="662"/>
    <s v="11:35"/>
    <x v="150"/>
    <s v="expense"/>
    <s v="rc_cat_1781955063347_5qjb_1781955063347_tezk"/>
    <s v="rc_acc_1781955063347_uxz4"/>
    <x v="1"/>
    <s v="-"/>
    <m/>
    <s v="import"/>
    <s v=""/>
    <b v="0"/>
    <s v=""/>
  </r>
  <r>
    <s v="90e96d76-4878-4f48-ad77-2fb40c97ccff"/>
    <x v="662"/>
    <s v="12:50"/>
    <x v="317"/>
    <s v="expense"/>
    <s v="rc_cat_1781955063347_5qjb_1781955063347_tezk"/>
    <s v="rc_acc_1781955063347_uxz4"/>
    <x v="1"/>
    <s v="-"/>
    <m/>
    <s v="import"/>
    <s v=""/>
    <b v="0"/>
    <s v=""/>
  </r>
  <r>
    <s v="147c8eb1-bb12-4d4a-af56-a9f7d1e40ae4"/>
    <x v="662"/>
    <s v="13:04"/>
    <x v="34"/>
    <s v="expense"/>
    <s v="rc_cat_1781955063347_5qjb_1781955063347_tezk"/>
    <s v="rc_acc_1781955063347_0qmn"/>
    <x v="1"/>
    <s v="-"/>
    <m/>
    <s v="import"/>
    <s v=""/>
    <b v="0"/>
    <s v=""/>
  </r>
  <r>
    <s v="49676a9e-4308-4787-a9e6-59f5ac5d043f"/>
    <x v="663"/>
    <s v="09:01"/>
    <x v="150"/>
    <s v="expense"/>
    <s v="rc_cat_1781955063347_5qjb_1781955063347_tezk"/>
    <s v="rc_acc_1781955063347_uxz4"/>
    <x v="1"/>
    <s v="-"/>
    <m/>
    <s v="import"/>
    <s v=""/>
    <b v="0"/>
    <s v=""/>
  </r>
  <r>
    <s v="1d903bd6-1c1f-4bff-884c-60a3260ad412"/>
    <x v="663"/>
    <s v="09:01"/>
    <x v="356"/>
    <s v="expense"/>
    <s v="rc_cat_1781955063347_5qjb_1781955063347_tezk"/>
    <s v="rc_acc_1781955063347_0qmn"/>
    <x v="1"/>
    <s v="-"/>
    <m/>
    <s v="import"/>
    <s v=""/>
    <b v="0"/>
    <s v=""/>
  </r>
  <r>
    <s v="635cadf7-9a06-4b8b-ae23-efb4c01aa645"/>
    <x v="663"/>
    <s v="12:20"/>
    <x v="932"/>
    <s v="expense"/>
    <s v="rc_cat_1781955063347_5qjb_1781955063347_tezk"/>
    <s v="rc_acc_1781955063347_uxz4"/>
    <x v="1"/>
    <s v="-"/>
    <m/>
    <s v="import"/>
    <s v=""/>
    <b v="0"/>
    <s v=""/>
  </r>
  <r>
    <s v="d7db2c7a-4cfe-40ef-b290-5402d9bff790"/>
    <x v="663"/>
    <s v="19:50"/>
    <x v="1031"/>
    <s v="expense"/>
    <s v="rc_cat_1781955063347_5qjb_1781955063347_tezk"/>
    <s v="rc_acc_1781955063347_0qmn"/>
    <x v="1"/>
    <s v="-"/>
    <m/>
    <s v="import"/>
    <s v=""/>
    <b v="0"/>
    <s v=""/>
  </r>
  <r>
    <s v="9b7ca79d-6cf4-4928-bda6-b48043c49375"/>
    <x v="664"/>
    <s v="08:43"/>
    <x v="751"/>
    <s v="expense"/>
    <s v="rc_cat_1781955063347_5qjb_1781955063347_tezk"/>
    <s v="rc_acc_1781955063347_0qmn"/>
    <x v="1"/>
    <s v="-"/>
    <m/>
    <s v="import"/>
    <s v=""/>
    <b v="0"/>
    <s v=""/>
  </r>
  <r>
    <s v="d0bf8d0e-72f2-4e87-a16b-3e5229de3e3b"/>
    <x v="664"/>
    <s v="09:15"/>
    <x v="150"/>
    <s v="expense"/>
    <s v="rc_cat_1781955063347_5qjb_1781955063347_tezk"/>
    <s v="rc_acc_1781955063347_uxz4"/>
    <x v="1"/>
    <s v="-"/>
    <m/>
    <s v="import"/>
    <s v=""/>
    <b v="0"/>
    <s v=""/>
  </r>
  <r>
    <s v="e7e3a64e-4d35-46f0-9290-2acf530126b3"/>
    <x v="664"/>
    <s v="13:15"/>
    <x v="1055"/>
    <s v="expense"/>
    <s v="rc_cat_1781955063347_5qjb_1781955063347_tezk"/>
    <s v="rc_acc_1781955063347_uxz4"/>
    <x v="1"/>
    <s v="-"/>
    <m/>
    <s v="import"/>
    <s v=""/>
    <b v="0"/>
    <s v=""/>
  </r>
  <r>
    <s v="16aacd49-9014-48b5-aa3c-35d4b031c6f5"/>
    <x v="665"/>
    <s v="13:21"/>
    <x v="19"/>
    <s v="transfer"/>
    <s v="other"/>
    <s v="rc_acc_1781955063347_uxz4"/>
    <x v="16"/>
    <s v="-"/>
    <m/>
    <s v="import"/>
    <s v=""/>
    <b v="0"/>
    <s v=""/>
  </r>
  <r>
    <s v="1b8fb1e9-ff4a-459d-95e8-4ef64bbf43e8"/>
    <x v="665"/>
    <s v="16:23"/>
    <x v="315"/>
    <s v="transfer"/>
    <s v="other"/>
    <s v="advance"/>
    <x v="5"/>
    <s v="ยอดจากวัด บอร์ดเกม 24 dec65"/>
    <m/>
    <s v="import"/>
    <s v=""/>
    <b v="0"/>
    <s v=""/>
  </r>
  <r>
    <s v="879c9f1d-df41-47c1-984b-47dd6517d36b"/>
    <x v="665"/>
    <s v="17:16"/>
    <x v="772"/>
    <s v="expense"/>
    <s v="rc_cat_1781955063347_5qjb_1781955063347_tezk"/>
    <s v="rc_acc_1781955063347_0qmn"/>
    <x v="1"/>
    <s v="-"/>
    <m/>
    <s v="import"/>
    <s v=""/>
    <b v="0"/>
    <s v=""/>
  </r>
  <r>
    <s v="fa75514a-71ab-4d60-b4ee-d89d1e7088d6"/>
    <x v="665"/>
    <s v="17:40"/>
    <x v="798"/>
    <s v="transfer"/>
    <s v="other"/>
    <s v="advance"/>
    <x v="5"/>
    <s v="-"/>
    <m/>
    <s v="import"/>
    <s v=""/>
    <b v="0"/>
    <s v=""/>
  </r>
  <r>
    <s v="b81ee4b2-745a-4536-81ef-7451007f57e5"/>
    <x v="665"/>
    <s v="17:42"/>
    <x v="1056"/>
    <s v="expense"/>
    <s v="rc_cat_1781955063347_5qjb_1781955063347_tezk"/>
    <s v="rc_acc_1781955063347_uxz4"/>
    <x v="1"/>
    <s v="-"/>
    <m/>
    <s v="import"/>
    <s v=""/>
    <b v="0"/>
    <s v=""/>
  </r>
  <r>
    <s v="9ff8fc31-df81-4435-8ae4-3bde568bd9b6"/>
    <x v="665"/>
    <s v="19:24"/>
    <x v="1057"/>
    <s v="expense"/>
    <s v="rc_cat_1781955063347_5qjb_1781955063347_tezk"/>
    <s v="rc_acc_1781955063347_omhz"/>
    <x v="1"/>
    <s v="เชสเตอร์"/>
    <m/>
    <s v="import"/>
    <s v=""/>
    <b v="0"/>
    <s v=""/>
  </r>
  <r>
    <s v="9ba67d63-eec5-40d3-834c-d3ff86f357bc"/>
    <x v="666"/>
    <s v="00:00"/>
    <x v="8"/>
    <s v="transfer"/>
    <s v="other"/>
    <s v="rc_acc_1781955063347_uxz4"/>
    <x v="25"/>
    <s v="-"/>
    <m/>
    <s v="import"/>
    <s v=""/>
    <b v="0"/>
    <s v=""/>
  </r>
  <r>
    <s v="a80a33ab-ec4a-4004-b8be-016930adcd38"/>
    <x v="666"/>
    <s v="00:46"/>
    <x v="1058"/>
    <s v="income"/>
    <s v="other_1781955063347_5s7r"/>
    <s v="rc_acc_1781955063347_tvnx"/>
    <x v="1"/>
    <s v="Difference"/>
    <m/>
    <s v="import"/>
    <s v=""/>
    <b v="0"/>
    <s v=""/>
  </r>
  <r>
    <s v="97cff978-a682-4a99-b009-500aa6c5ae8a"/>
    <x v="666"/>
    <s v="17:43"/>
    <x v="234"/>
    <s v="expense"/>
    <s v="rc_cat_1781955063347_anhy_1781955063347_qnaz"/>
    <s v="rc_acc_1781955063347_uxz4"/>
    <x v="1"/>
    <s v="-"/>
    <m/>
    <s v="import"/>
    <s v=""/>
    <b v="0"/>
    <s v=""/>
  </r>
  <r>
    <s v="759c4571-9136-43d7-8a75-c480b9ebc8e2"/>
    <x v="666"/>
    <s v="17:44"/>
    <x v="515"/>
    <s v="expense"/>
    <s v="rc_cat_1781955063347_anhy_1781955063347_qnaz"/>
    <s v="rc_acc_1781955063347_uxz4"/>
    <x v="1"/>
    <s v="-"/>
    <m/>
    <s v="import"/>
    <s v=""/>
    <b v="0"/>
    <s v=""/>
  </r>
  <r>
    <s v="15a5f0de-61a3-4edc-8f7f-a0edf8862c4a"/>
    <x v="666"/>
    <s v="18:10"/>
    <x v="1059"/>
    <s v="expense"/>
    <s v="entertain_1781955063347_8r8e"/>
    <s v="rc_acc_1781955063347_uxz4"/>
    <x v="1"/>
    <s v="eclipse tax"/>
    <m/>
    <s v="import"/>
    <s v=""/>
    <b v="0"/>
    <s v=""/>
  </r>
  <r>
    <s v="45486bef-8f1d-4626-858c-fa66fbf7231b"/>
    <x v="666"/>
    <s v="18:13"/>
    <x v="1060"/>
    <s v="expense"/>
    <s v="rc_cat_1781955063347_5qjb_1781955063347_tezk"/>
    <s v="rc_acc_1781955063347_0qmn"/>
    <x v="1"/>
    <s v="มานีมีหม้อ tax"/>
    <m/>
    <s v="import"/>
    <s v=""/>
    <b v="0"/>
    <s v=""/>
  </r>
  <r>
    <s v="087d735e-b18e-43be-bd55-6ddcab043c52"/>
    <x v="666"/>
    <s v="18:15"/>
    <x v="212"/>
    <s v="expense"/>
    <s v="rc_cat_1781955063347_5qjb_1781955063347_tezk"/>
    <s v="rc_acc_1781955063347_0qmn"/>
    <x v="1"/>
    <s v="shopee food ถึง  18 dec"/>
    <m/>
    <s v="import"/>
    <s v=""/>
    <b v="0"/>
    <s v=""/>
  </r>
  <r>
    <s v="fad22b87-32a2-4b75-ae17-46ce19b9d87d"/>
    <x v="667"/>
    <s v="08:58"/>
    <x v="317"/>
    <s v="expense"/>
    <s v="rc_cat_1781955063347_5qjb_1781955063347_tezk"/>
    <s v="rc_acc_1781955063351_8khv"/>
    <x v="1"/>
    <s v="-"/>
    <m/>
    <s v="import"/>
    <s v=""/>
    <b v="0"/>
    <s v=""/>
  </r>
  <r>
    <s v="16b3089a-515c-4290-9014-d3d4410e6716"/>
    <x v="667"/>
    <s v="08:58"/>
    <x v="1061"/>
    <s v="expense"/>
    <s v="rc_cat_1781955063347_5qjb_1781955063347_tezk"/>
    <s v="rc_acc_1781955063348_w3gp"/>
    <x v="1"/>
    <s v="-"/>
    <m/>
    <s v="import"/>
    <s v=""/>
    <b v="0"/>
    <s v=""/>
  </r>
  <r>
    <s v="f80a4c60-3692-4196-8cf2-098dc5b86414"/>
    <x v="667"/>
    <s v="09:53"/>
    <x v="1062"/>
    <s v="expense"/>
    <s v="rc_cat_1781955063347_5qjb_1781955063347_tezk"/>
    <s v="rc_acc_1781955063347_0qmn"/>
    <x v="1"/>
    <s v="-"/>
    <m/>
    <s v="import"/>
    <s v=""/>
    <b v="0"/>
    <s v=""/>
  </r>
  <r>
    <s v="506245dd-206f-4a20-803a-ea8ff9f3d0e3"/>
    <x v="667"/>
    <s v="09:58"/>
    <x v="5"/>
    <s v="transfer"/>
    <s v="other"/>
    <s v="kbank"/>
    <x v="12"/>
    <s v="-"/>
    <m/>
    <s v="import"/>
    <s v=""/>
    <b v="0"/>
    <s v=""/>
  </r>
  <r>
    <s v="d6b07b7e-c493-4c9f-88eb-4b6575f93aac"/>
    <x v="667"/>
    <s v="10:05"/>
    <x v="1063"/>
    <s v="transfer"/>
    <s v="other"/>
    <s v="advance"/>
    <x v="5"/>
    <s v="ค่า royce จากหงส์"/>
    <m/>
    <s v="import"/>
    <s v=""/>
    <b v="0"/>
    <s v=""/>
  </r>
  <r>
    <s v="1f654bf3-bebf-4f84-9a68-22fcbbd60aa4"/>
    <x v="667"/>
    <s v="13:53"/>
    <x v="755"/>
    <s v="expense"/>
    <s v="rc_cat_1781955063347_5qjb_1781955063347_tezk"/>
    <s v="rc_acc_1781955063347_0qmn"/>
    <x v="1"/>
    <s v="วัวล้วนล้วย"/>
    <m/>
    <s v="import"/>
    <s v=""/>
    <b v="0"/>
    <s v=""/>
  </r>
  <r>
    <s v="b3d765ce-6a38-4415-a8e7-5c32dc9a726b"/>
    <x v="667"/>
    <s v="15:08"/>
    <x v="237"/>
    <s v="transfer"/>
    <s v="other"/>
    <s v="rc_acc_1781955063347_uxz4"/>
    <x v="2"/>
    <s v="คืนอุ้ย ของขวัญเด็ก 1430 ฝากซื้อ 1070 รองเท้า 2000"/>
    <m/>
    <s v="import"/>
    <s v=""/>
    <b v="0"/>
    <s v=""/>
  </r>
  <r>
    <s v="6e5ef7cf-6f77-4efd-bcc3-cec71f0697c4"/>
    <x v="667"/>
    <s v="15:09"/>
    <x v="211"/>
    <s v="expense"/>
    <s v="other_1781955063348_yjhe"/>
    <s v="advance"/>
    <x v="1"/>
    <s v="คืนอุ้ย รองเท้า mikki house"/>
    <m/>
    <s v="import"/>
    <s v=""/>
    <b v="0"/>
    <s v=""/>
  </r>
  <r>
    <s v="718cd2ce-6538-4441-8da2-b88243a567a0"/>
    <x v="667"/>
    <s v="15:12"/>
    <x v="344"/>
    <s v="transfer"/>
    <s v="other"/>
    <s v="rc_acc_1781955063347_0qmn"/>
    <x v="5"/>
    <s v="-"/>
    <m/>
    <s v="import"/>
    <s v=""/>
    <b v="0"/>
    <s v=""/>
  </r>
  <r>
    <s v="15454732-d99e-456e-aaf7-d64d24aae325"/>
    <x v="667"/>
    <s v="15:13"/>
    <x v="1064"/>
    <s v="expense"/>
    <s v="rc_cat_1781955063347_anhy_1781955063348_k5l1"/>
    <s v="advance"/>
    <x v="1"/>
    <s v="butter sand"/>
    <m/>
    <s v="import"/>
    <s v=""/>
    <b v="0"/>
    <s v=""/>
  </r>
  <r>
    <s v="ad2ab90b-73f5-4bd0-8068-4ba0383e4538"/>
    <x v="667"/>
    <s v="15:15"/>
    <x v="659"/>
    <s v="transfer"/>
    <s v="other"/>
    <s v="rc_acc_1781955063347_0qmn"/>
    <x v="5"/>
    <s v="ขนม royce"/>
    <m/>
    <s v="import"/>
    <s v=""/>
    <b v="0"/>
    <s v=""/>
  </r>
  <r>
    <s v="d146e3a1-232f-4e6a-afb6-6620ee958455"/>
    <x v="667"/>
    <s v="17:51"/>
    <x v="1065"/>
    <s v="transfer"/>
    <s v="other"/>
    <s v="advance"/>
    <x v="5"/>
    <s v="ตัดคืนโคคา clear"/>
    <m/>
    <s v="import"/>
    <s v=""/>
    <b v="0"/>
    <s v=""/>
  </r>
  <r>
    <s v="addf85aa-814d-411a-ba1d-ff93f51d9db9"/>
    <x v="667"/>
    <s v="20:52"/>
    <x v="1066"/>
    <s v="expense"/>
    <s v="rc_cat_1781955063347_5qjb_1781955063347_tezk"/>
    <s v="rc_acc_1781955063347_0qmn"/>
    <x v="1"/>
    <s v="mk"/>
    <m/>
    <s v="import"/>
    <s v=""/>
    <b v="0"/>
    <s v=""/>
  </r>
  <r>
    <s v="bc51c93f-7a92-45ea-8a6f-e74915470b5f"/>
    <x v="668"/>
    <s v="20:53"/>
    <x v="785"/>
    <s v="expense"/>
    <s v="entertain_1781955063348_kx2f"/>
    <s v="rc_acc_1781955063350_i8ms"/>
    <x v="1"/>
    <s v="s22 ultra(3/10)"/>
    <m/>
    <s v="import"/>
    <s v=""/>
    <b v="0"/>
    <s v=""/>
  </r>
  <r>
    <s v="68617afa-e972-460c-8915-ee0a24bd246f"/>
    <x v="669"/>
    <s v="09:16"/>
    <x v="356"/>
    <s v="expense"/>
    <s v="rc_cat_1781955063347_5qjb_1781955063347_tezk"/>
    <s v="rc_acc_1781955063347_uxz4"/>
    <x v="1"/>
    <s v="-"/>
    <m/>
    <s v="import"/>
    <s v=""/>
    <b v="0"/>
    <s v=""/>
  </r>
  <r>
    <s v="ba8b5e13-d78f-409c-b175-0b91a23539ba"/>
    <x v="669"/>
    <s v="12:16"/>
    <x v="87"/>
    <s v="expense"/>
    <s v="rc_cat_1781955063347_5qjb_1781955063347_tezk"/>
    <s v="rc_acc_1781955063347_uxz4"/>
    <x v="1"/>
    <s v="-"/>
    <m/>
    <s v="import"/>
    <s v=""/>
    <b v="0"/>
    <s v=""/>
  </r>
  <r>
    <s v="6c03e420-0305-46ee-963e-c9a533e29732"/>
    <x v="669"/>
    <s v="14:17"/>
    <x v="150"/>
    <s v="expense"/>
    <s v="rc_cat_1781955063347_5qjb_1781955063347_tezk"/>
    <s v="rc_acc_1781955063347_uxz4"/>
    <x v="1"/>
    <s v="-"/>
    <m/>
    <s v="import"/>
    <s v=""/>
    <b v="0"/>
    <s v=""/>
  </r>
  <r>
    <s v="536fa0ce-c814-473c-a847-9884623fb94d"/>
    <x v="670"/>
    <s v="02:24"/>
    <x v="572"/>
    <s v="transfer"/>
    <s v="other"/>
    <s v="kbank"/>
    <x v="10"/>
    <s v="-"/>
    <m/>
    <s v="import"/>
    <s v=""/>
    <b v="0"/>
    <s v=""/>
  </r>
  <r>
    <s v="be1af43d-0600-4969-b24f-e64d1484d685"/>
    <x v="670"/>
    <s v="15:30"/>
    <x v="1067"/>
    <s v="expense"/>
    <s v="rc_cat_1781955063347_5qjb_1781955063347_tezk"/>
    <s v="rc_acc_1781955063347_0qmn"/>
    <x v="1"/>
    <s v="ต๋อง"/>
    <m/>
    <s v="import"/>
    <s v=""/>
    <b v="0"/>
    <s v=""/>
  </r>
  <r>
    <s v="377d2366-a8af-423f-815a-9409b636227a"/>
    <x v="670"/>
    <s v="17:22"/>
    <x v="655"/>
    <s v="expense"/>
    <s v="rc_cat_1781955063347_5qjb_1781955063347_tezk"/>
    <s v="rc_acc_1781955063347_uxz4"/>
    <x v="1"/>
    <s v="-"/>
    <m/>
    <s v="import"/>
    <s v=""/>
    <b v="0"/>
    <s v=""/>
  </r>
  <r>
    <s v="e68d8dca-0350-40fc-ba87-f5ce2eca39b8"/>
    <x v="670"/>
    <s v="21:24"/>
    <x v="1058"/>
    <s v="transfer"/>
    <s v="other"/>
    <s v="kbank"/>
    <x v="26"/>
    <s v="-"/>
    <m/>
    <s v="import"/>
    <s v=""/>
    <b v="0"/>
    <s v=""/>
  </r>
  <r>
    <s v="cbaa08d4-ab60-42d5-a55c-96ca65b5533f"/>
    <x v="670"/>
    <s v="21:24"/>
    <x v="325"/>
    <s v="expense"/>
    <s v="entertain_1781955063348_kx2f"/>
    <s v="kbank"/>
    <x v="1"/>
    <s v="-"/>
    <m/>
    <s v="import"/>
    <s v=""/>
    <b v="0"/>
    <s v=""/>
  </r>
  <r>
    <s v="d6eff5d5-b8f4-4222-a4d4-c5d25646b75f"/>
    <x v="670"/>
    <s v="21:30"/>
    <x v="1068"/>
    <s v="expense"/>
    <s v="rc_cat_1781955063347_5qjb_1781955063348_edf6"/>
    <s v="rc_acc_1781955063347_0qmn"/>
    <x v="1"/>
    <s v="-"/>
    <m/>
    <s v="import"/>
    <s v=""/>
    <b v="0"/>
    <s v=""/>
  </r>
  <r>
    <s v="ead2402a-f8b8-48ed-9d4e-421360cead56"/>
    <x v="670"/>
    <s v="21:30"/>
    <x v="1069"/>
    <s v="expense"/>
    <s v="rc_cat_1781955063347_5qjb_1781955063348_xqml"/>
    <s v="rc_acc_1781955063347_0qmn"/>
    <x v="1"/>
    <s v="macro"/>
    <m/>
    <s v="import"/>
    <s v=""/>
    <b v="0"/>
    <s v=""/>
  </r>
  <r>
    <s v="d618c78f-c4ed-4aff-9cec-9a6bfe226dbc"/>
    <x v="670"/>
    <s v="21:31"/>
    <x v="1070"/>
    <s v="expense"/>
    <s v="rc_cat_1781955063347_5qjb_1781955063347_tezk"/>
    <s v="rc_acc_1781955063347_0qmn"/>
    <x v="1"/>
    <s v="-"/>
    <m/>
    <s v="import"/>
    <s v=""/>
    <b v="0"/>
    <s v=""/>
  </r>
  <r>
    <s v="c8515144-ec37-4cfd-bca4-e7814541ad5b"/>
    <x v="670"/>
    <s v="21:36"/>
    <x v="607"/>
    <s v="expense"/>
    <s v="rc_cat_1781955063347_5qjb_1781955063347_tezk"/>
    <s v="rc_acc_1781955063347_0qmn"/>
    <x v="1"/>
    <s v="เขียง grab"/>
    <m/>
    <s v="import"/>
    <s v=""/>
    <b v="0"/>
    <s v=""/>
  </r>
  <r>
    <s v="28c2e32b-558a-456e-b952-7ebaa58afdea"/>
    <x v="670"/>
    <s v="21:38"/>
    <x v="602"/>
    <s v="transfer"/>
    <s v="other"/>
    <s v="rc_acc_1781955063351_8khv"/>
    <x v="5"/>
    <s v="-"/>
    <m/>
    <s v="import"/>
    <s v=""/>
    <b v="0"/>
    <s v=""/>
  </r>
  <r>
    <s v="98e65b72-6a14-4bd8-8cfe-a64e764b9c1e"/>
    <x v="670"/>
    <s v="21:39"/>
    <x v="931"/>
    <s v="expense"/>
    <s v="rc_cat_1781955063347_5qjb_1781955063347_tezk"/>
    <s v="rc_acc_1781955063351_8khv"/>
    <x v="1"/>
    <s v="-"/>
    <m/>
    <s v="import"/>
    <s v=""/>
    <b v="0"/>
    <s v=""/>
  </r>
  <r>
    <s v="f1ac9689-e186-411f-95f8-c8d196275837"/>
    <x v="670"/>
    <s v="21:43"/>
    <x v="602"/>
    <s v="expense"/>
    <s v="rc_cat_1781955063347_5qjb_1781955063348_edf6"/>
    <s v="rc_acc_1781955063347_0qmn"/>
    <x v="1"/>
    <s v="46353"/>
    <m/>
    <s v="import"/>
    <s v=""/>
    <b v="0"/>
    <s v=""/>
  </r>
  <r>
    <s v="b7ca245a-4448-4ea5-94d3-9430adca9c04"/>
    <x v="671"/>
    <s v="00:00"/>
    <x v="743"/>
    <s v="transfer"/>
    <s v="other"/>
    <s v="rc_acc_1781955063347_uxz4"/>
    <x v="20"/>
    <s v="-"/>
    <m/>
    <s v="import"/>
    <s v=""/>
    <b v="0"/>
    <s v=""/>
  </r>
  <r>
    <s v="94832687-eec0-4b94-a608-5e51c3336a9e"/>
    <x v="671"/>
    <s v="00:00"/>
    <x v="1025"/>
    <s v="transfer"/>
    <s v="other"/>
    <s v="rc_acc_1781955063347_uxz4"/>
    <x v="8"/>
    <s v="-"/>
    <m/>
    <s v="import"/>
    <s v=""/>
    <b v="0"/>
    <s v=""/>
  </r>
  <r>
    <s v="5a0edbf8-2e5c-49b2-b215-a3c177a636ae"/>
    <x v="671"/>
    <s v="00:00"/>
    <x v="1071"/>
    <s v="expense"/>
    <s v="rc_cat_1781955063347_04qb_1781955063347_kgnn"/>
    <s v="rc_acc_1781955063347_uxz4"/>
    <x v="1"/>
    <s v="-"/>
    <m/>
    <s v="import"/>
    <s v=""/>
    <b v="0"/>
    <s v=""/>
  </r>
  <r>
    <s v="51ef8adc-abcb-4c76-bb16-a5a3cb6d9234"/>
    <x v="671"/>
    <s v="00:00"/>
    <x v="1072"/>
    <s v="expense"/>
    <s v="rc_cat_1781955063347_04qb_1781955063347_lu9b"/>
    <s v="rc_acc_1781955063347_uxz4"/>
    <x v="1"/>
    <s v="-"/>
    <m/>
    <s v="import"/>
    <s v=""/>
    <b v="0"/>
    <s v=""/>
  </r>
  <r>
    <s v="06ce09dd-e537-4b14-9c76-af98b6acb5fa"/>
    <x v="671"/>
    <s v="00:00"/>
    <x v="1028"/>
    <s v="income"/>
    <s v="income_1781955063347_5zxt"/>
    <s v="rc_acc_1781955063347_uxz4"/>
    <x v="1"/>
    <s v="-"/>
    <m/>
    <s v="import"/>
    <s v=""/>
    <b v="0"/>
    <s v=""/>
  </r>
  <r>
    <s v="3225684c-e02d-4063-bb96-3ca4e0f2d125"/>
    <x v="671"/>
    <s v="00:00"/>
    <x v="31"/>
    <s v="transfer"/>
    <s v="other"/>
    <s v="rc_acc_1781955063347_uxz4"/>
    <x v="7"/>
    <s v="-"/>
    <m/>
    <s v="import"/>
    <s v=""/>
    <b v="0"/>
    <s v=""/>
  </r>
  <r>
    <s v="3c8d69bc-d5bd-497e-b735-39dbd94e69d7"/>
    <x v="671"/>
    <s v="00:00"/>
    <x v="128"/>
    <s v="transfer"/>
    <s v="other"/>
    <s v="rc_acc_1781955063347_uxz4"/>
    <x v="21"/>
    <s v="-"/>
    <m/>
    <s v="import"/>
    <s v=""/>
    <b v="0"/>
    <s v=""/>
  </r>
  <r>
    <s v="1430ca56-cb09-4f6a-b8cc-67d64be520ba"/>
    <x v="671"/>
    <s v="00:00"/>
    <x v="1073"/>
    <s v="expense"/>
    <s v="rc_cat_1781955063347_04qb_1781955063350_acgf"/>
    <s v="rc_acc_1781955063347_uxz4"/>
    <x v="1"/>
    <s v="-"/>
    <m/>
    <s v="import"/>
    <s v=""/>
    <b v="0"/>
    <s v=""/>
  </r>
  <r>
    <s v="db3754e5-b6d4-4ddd-98db-222cb94d53c9"/>
    <x v="671"/>
    <s v="07:50"/>
    <x v="572"/>
    <s v="transfer"/>
    <s v="other"/>
    <s v="rc_acc_1781955063347_uxz4"/>
    <x v="4"/>
    <s v="-"/>
    <m/>
    <s v="import"/>
    <s v=""/>
    <b v="0"/>
    <s v=""/>
  </r>
  <r>
    <s v="535e05ee-a142-4af6-9a45-ea6d42ad3a05"/>
    <x v="671"/>
    <s v="08:31"/>
    <x v="356"/>
    <s v="expense"/>
    <s v="rc_cat_1781955063347_5qjb_1781955063347_tezk"/>
    <s v="rc_acc_1781955063347_0qmn"/>
    <x v="1"/>
    <s v="-"/>
    <m/>
    <s v="import"/>
    <s v=""/>
    <b v="0"/>
    <s v=""/>
  </r>
  <r>
    <s v="3f91078b-7b74-4b9f-841d-5e7512a7f327"/>
    <x v="671"/>
    <s v="09:21"/>
    <x v="150"/>
    <s v="expense"/>
    <s v="rc_cat_1781955063347_5qjb_1781955063347_tezk"/>
    <s v="rc_acc_1781955063347_uxz4"/>
    <x v="1"/>
    <s v="-"/>
    <m/>
    <s v="import"/>
    <s v=""/>
    <b v="0"/>
    <s v=""/>
  </r>
  <r>
    <s v="99616b21-a66b-494a-9637-43a1c6ed8939"/>
    <x v="671"/>
    <s v="12:29"/>
    <x v="1050"/>
    <s v="expense"/>
    <s v="rc_cat_1781955063347_5qjb_1781955063347_tezk"/>
    <s v="rc_acc_1781955063347_0qmn"/>
    <x v="1"/>
    <s v="-"/>
    <m/>
    <s v="import"/>
    <s v=""/>
    <b v="0"/>
    <s v=""/>
  </r>
  <r>
    <s v="b0371107-b261-4cfb-a854-b90c144c7a69"/>
    <x v="671"/>
    <s v="18:29"/>
    <x v="157"/>
    <s v="expense"/>
    <s v="rc_cat_1781955063347_5qjb_1781955063347_tezk"/>
    <s v="rc_acc_1781955063347_0qmn"/>
    <x v="1"/>
    <s v="-"/>
    <m/>
    <s v="import"/>
    <s v=""/>
    <b v="0"/>
    <s v=""/>
  </r>
  <r>
    <s v="dcad9b0f-e2fd-4a5b-8dc5-b14c56e6f2b6"/>
    <x v="671"/>
    <s v="21:26"/>
    <x v="84"/>
    <s v="transfer"/>
    <s v="other"/>
    <s v="kbank"/>
    <x v="34"/>
    <s v="-"/>
    <m/>
    <s v="import"/>
    <s v=""/>
    <b v="0"/>
    <s v=""/>
  </r>
  <r>
    <s v="280dc8d0-800a-452f-a274-a2f64b736c84"/>
    <x v="672"/>
    <s v="08:20"/>
    <x v="150"/>
    <s v="expense"/>
    <s v="rc_cat_1781955063347_5qjb_1781955063347_tezk"/>
    <s v="rc_acc_1781955063347_uxz4"/>
    <x v="1"/>
    <s v="-"/>
    <m/>
    <s v="import"/>
    <s v=""/>
    <b v="0"/>
    <s v=""/>
  </r>
  <r>
    <s v="2392e7a6-40b3-49e7-9874-96844e47889a"/>
    <x v="673"/>
    <s v="21:19"/>
    <x v="1074"/>
    <s v="income"/>
    <s v="income_1781955063347_zblt"/>
    <s v="rc_acc_1781955063347_uxz4"/>
    <x v="1"/>
    <s v="-"/>
    <m/>
    <s v="import"/>
    <s v=""/>
    <b v="0"/>
    <s v=""/>
  </r>
  <r>
    <s v="07283756-5eeb-4669-8dca-98d826b63837"/>
    <x v="673"/>
    <s v="21:34"/>
    <x v="261"/>
    <s v="transfer"/>
    <s v="other"/>
    <s v="rc_acc_1781955063347_sv7p"/>
    <x v="2"/>
    <s v="mk"/>
    <m/>
    <s v="import"/>
    <s v=""/>
    <b v="0"/>
    <s v=""/>
  </r>
  <r>
    <s v="09137823-0c9a-4af4-bc9a-c71a6da98090"/>
    <x v="674"/>
    <s v="21:19"/>
    <x v="19"/>
    <s v="transfer"/>
    <s v="other"/>
    <s v="rc_acc_1781955063347_uxz4"/>
    <x v="16"/>
    <s v="-"/>
    <m/>
    <s v="import"/>
    <s v=""/>
    <b v="0"/>
    <s v=""/>
  </r>
  <r>
    <s v="833e95ad-4458-40fc-9c9c-38798eaea1f2"/>
    <x v="675"/>
    <s v="09:18"/>
    <x v="199"/>
    <s v="expense"/>
    <s v="rc_cat_1781955063347_5qjb_1781955063347_tezk"/>
    <s v="rc_acc_1781955063347_uxz4"/>
    <x v="1"/>
    <s v="-"/>
    <m/>
    <s v="import"/>
    <s v=""/>
    <b v="0"/>
    <s v=""/>
  </r>
  <r>
    <s v="f68fcc6f-07e3-4aab-ab44-798b07dea830"/>
    <x v="675"/>
    <s v="09:28"/>
    <x v="755"/>
    <s v="expense"/>
    <s v="rc_cat_1781955063347_5qjb_1781955063347_tezk"/>
    <s v="rc_acc_1781955063347_0qmn"/>
    <x v="1"/>
    <s v="-"/>
    <m/>
    <s v="import"/>
    <s v=""/>
    <b v="0"/>
    <s v=""/>
  </r>
  <r>
    <s v="08f9de29-d07d-4e51-84a2-32c5f5a40e4f"/>
    <x v="675"/>
    <s v="12:19"/>
    <x v="805"/>
    <s v="expense"/>
    <s v="rc_cat_1781955063347_5qjb_1781955063347_tezk"/>
    <s v="rc_acc_1781955063347_uxz4"/>
    <x v="1"/>
    <s v="-"/>
    <m/>
    <s v="import"/>
    <s v=""/>
    <b v="0"/>
    <s v=""/>
  </r>
  <r>
    <s v="d1707c57-d75d-425c-a97a-e54a14b85b6f"/>
    <x v="676"/>
    <s v="09:17"/>
    <x v="150"/>
    <s v="expense"/>
    <s v="rc_cat_1781955063347_5qjb_1781955063347_tezk"/>
    <s v="rc_acc_1781955063347_uxz4"/>
    <x v="1"/>
    <s v="-"/>
    <m/>
    <s v="import"/>
    <s v=""/>
    <b v="0"/>
    <s v=""/>
  </r>
  <r>
    <s v="01e4635a-0a1f-4a93-937c-4538f7bc5731"/>
    <x v="676"/>
    <s v="12:18"/>
    <x v="616"/>
    <s v="expense"/>
    <s v="rc_cat_1781955063347_5qjb_1781955063347_tezk"/>
    <s v="rc_acc_1781955063347_uxz4"/>
    <x v="1"/>
    <s v="-"/>
    <m/>
    <s v="import"/>
    <s v=""/>
    <b v="0"/>
    <s v=""/>
  </r>
  <r>
    <s v="27150b15-97f2-484b-955a-62295368eb07"/>
    <x v="677"/>
    <s v="09:17"/>
    <x v="199"/>
    <s v="expense"/>
    <s v="rc_cat_1781955063347_5qjb_1781955063347_tezk"/>
    <s v="rc_acc_1781955063347_uxz4"/>
    <x v="1"/>
    <s v="-"/>
    <m/>
    <s v="import"/>
    <s v=""/>
    <b v="0"/>
    <s v=""/>
  </r>
  <r>
    <s v="ac1285d6-e175-4e35-9280-9a9305f703f4"/>
    <x v="677"/>
    <s v="12:28"/>
    <x v="1075"/>
    <s v="expense"/>
    <s v="rc_cat_1781955063347_5qjb_1781955063347_tezk"/>
    <s v="rc_acc_1781955063347_0qmn"/>
    <x v="1"/>
    <s v="-"/>
    <m/>
    <s v="import"/>
    <s v=""/>
    <b v="0"/>
    <s v=""/>
  </r>
  <r>
    <s v="9908cd4c-2b94-4b50-a56e-42c754b12f6d"/>
    <x v="677"/>
    <s v="12:28"/>
    <x v="783"/>
    <s v="expense"/>
    <s v="rc_cat_1781955063347_5qjb_1781955063347_tezk"/>
    <s v="rc_acc_1781955063347_0qmn"/>
    <x v="1"/>
    <s v="-"/>
    <m/>
    <s v="import"/>
    <s v=""/>
    <b v="0"/>
    <s v=""/>
  </r>
  <r>
    <s v="042ac520-0384-4618-8ff6-7cc6d6e785b2"/>
    <x v="677"/>
    <s v="21:36"/>
    <x v="1030"/>
    <s v="income"/>
    <s v="income_1781955063347_zblt"/>
    <s v="rc_acc_1781955063350_i8ms"/>
    <x v="1"/>
    <s v="-"/>
    <m/>
    <s v="import"/>
    <s v=""/>
    <b v="0"/>
    <s v=""/>
  </r>
  <r>
    <s v="edb7160b-d691-4b96-a283-afe774d27465"/>
    <x v="678"/>
    <s v="09:29"/>
    <x v="150"/>
    <s v="expense"/>
    <s v="rc_cat_1781955063347_5qjb_1781955063347_tezk"/>
    <s v="rc_acc_1781955063347_uxz4"/>
    <x v="1"/>
    <s v="-"/>
    <m/>
    <s v="import"/>
    <s v=""/>
    <b v="0"/>
    <s v=""/>
  </r>
  <r>
    <s v="be6f94ba-4147-4fa6-ae47-5f0416fed952"/>
    <x v="678"/>
    <s v="12:28"/>
    <x v="796"/>
    <s v="expense"/>
    <s v="rc_cat_1781955063347_5qjb_1781955063347_tezk"/>
    <s v="rc_acc_1781955063347_0qmn"/>
    <x v="1"/>
    <s v="-"/>
    <m/>
    <s v="import"/>
    <s v=""/>
    <b v="0"/>
    <s v=""/>
  </r>
  <r>
    <s v="11cdc2d1-9805-48b1-8c9c-f185ea7ff21f"/>
    <x v="679"/>
    <s v="12:28"/>
    <x v="26"/>
    <s v="expense"/>
    <s v="rc_cat_1781955063347_s4sz_1781955063347_deos"/>
    <s v="rc_acc_1781955063347_uxz4"/>
    <x v="1"/>
    <s v="ตัดผม"/>
    <m/>
    <s v="import"/>
    <s v=""/>
    <b v="0"/>
    <s v=""/>
  </r>
  <r>
    <s v="18f1810b-a35a-473b-8ec5-f45226574863"/>
    <x v="679"/>
    <s v="15:29"/>
    <x v="175"/>
    <s v="expense"/>
    <s v="rc_cat_1781955063347_s4sz_1781955063347_deos"/>
    <s v="rc_acc_1781955063347_uxz4"/>
    <x v="1"/>
    <s v="ปากกา"/>
    <m/>
    <s v="import"/>
    <s v=""/>
    <b v="0"/>
    <s v=""/>
  </r>
  <r>
    <s v="b891a75c-0864-4c62-93bd-a50f21ec0a0c"/>
    <x v="679"/>
    <s v="21:27"/>
    <x v="423"/>
    <s v="expense"/>
    <s v="rc_cat_1781955063347_5qjb_1781955063347_tezk"/>
    <s v="rc_acc_1781955063347_0qmn"/>
    <x v="1"/>
    <s v="-"/>
    <m/>
    <s v="import"/>
    <s v=""/>
    <b v="0"/>
    <s v=""/>
  </r>
  <r>
    <s v="89bb2cbc-fb2b-4431-a83c-9ad2f9043104"/>
    <x v="679"/>
    <s v="21:27"/>
    <x v="138"/>
    <s v="income"/>
    <s v="income_1781955063347_zblt"/>
    <s v="rc_acc_1781955063347_0qmn"/>
    <x v="1"/>
    <s v="-"/>
    <m/>
    <s v="import"/>
    <s v=""/>
    <b v="0"/>
    <s v=""/>
  </r>
  <r>
    <s v="712df7b2-fe9b-4306-bc2b-915a1de011fc"/>
    <x v="679"/>
    <s v="21:27"/>
    <x v="1076"/>
    <s v="expense"/>
    <s v="rc_cat_1781955063347_5qjb_1781955063347_tezk"/>
    <s v="rc_acc_1781955063347_0qmn"/>
    <x v="1"/>
    <s v="-"/>
    <m/>
    <s v="import"/>
    <s v=""/>
    <b v="0"/>
    <s v=""/>
  </r>
  <r>
    <s v="977ae738-993d-4d84-835c-3812ea840810"/>
    <x v="680"/>
    <s v="09:11"/>
    <x v="749"/>
    <s v="expense"/>
    <s v="rc_cat_1781955063347_5qjb_1781955063347_tezk"/>
    <s v="rc_acc_1781955063347_uxz4"/>
    <x v="1"/>
    <s v="-"/>
    <m/>
    <s v="import"/>
    <s v=""/>
    <b v="0"/>
    <s v=""/>
  </r>
  <r>
    <s v="2ce3a69c-f4fc-4ebc-9a9e-8b3edc277ede"/>
    <x v="680"/>
    <s v="20:24"/>
    <x v="1077"/>
    <s v="expense"/>
    <s v="rc_cat_1781955063347_5qjb_1781955063348_xqml"/>
    <s v="rc_acc_1781955063347_0qmn"/>
    <x v="1"/>
    <s v="-"/>
    <m/>
    <s v="import"/>
    <s v=""/>
    <b v="0"/>
    <s v=""/>
  </r>
  <r>
    <s v="7fcfcaa1-5b64-4e5e-ad33-a74250ca703b"/>
    <x v="680"/>
    <s v="20:25"/>
    <x v="1078"/>
    <s v="expense"/>
    <s v="rc_cat_1781955063347_5qjb_1781955063347_tezk"/>
    <s v="rc_acc_1781955063347_0qmn"/>
    <x v="1"/>
    <s v="james"/>
    <m/>
    <s v="import"/>
    <s v=""/>
    <b v="0"/>
    <s v=""/>
  </r>
  <r>
    <s v="33d68abe-276d-4912-a3cf-43e939e7fa7c"/>
    <x v="680"/>
    <s v="20:25"/>
    <x v="1079"/>
    <s v="expense"/>
    <s v="rc_cat_1781955063347_5qjb_1781955063347_tezk"/>
    <s v="rc_acc_1781955063347_0qmn"/>
    <x v="1"/>
    <s v="bar b gon"/>
    <m/>
    <s v="import"/>
    <s v=""/>
    <b v="0"/>
    <s v=""/>
  </r>
  <r>
    <s v="7ee57ef3-cbb5-44c3-9d94-f491a2ad644a"/>
    <x v="680"/>
    <s v="20:25"/>
    <x v="1080"/>
    <s v="expense"/>
    <s v="rc_cat_1781955063347_5qjb_1781955063347_tezk"/>
    <s v="rc_acc_1781955063347_0qmn"/>
    <x v="1"/>
    <s v="46333"/>
    <m/>
    <s v="import"/>
    <s v=""/>
    <b v="0"/>
    <s v=""/>
  </r>
  <r>
    <s v="d6e7a9dc-c2be-4c12-9063-a99147974cc5"/>
    <x v="680"/>
    <s v="20:28"/>
    <x v="1081"/>
    <s v="expense"/>
    <s v="entertain_1781955063347_8r8e"/>
    <s v="rc_acc_1781955063347_uxz4"/>
    <x v="1"/>
    <s v="-"/>
    <m/>
    <s v="import"/>
    <s v=""/>
    <b v="0"/>
    <s v=""/>
  </r>
  <r>
    <s v="3b5b8c06-bbcf-49f9-b004-2701f83c4d60"/>
    <x v="680"/>
    <s v="20:30"/>
    <x v="756"/>
    <s v="transfer"/>
    <s v="other"/>
    <s v="rc_acc_1781955063347_uxz4"/>
    <x v="2"/>
    <s v="momo ของวัด clear"/>
    <m/>
    <s v="import"/>
    <s v=""/>
    <b v="0"/>
    <s v=""/>
  </r>
  <r>
    <s v="60d6ebcb-e128-4549-ab82-4a5616e8daad"/>
    <x v="680"/>
    <s v="20:30"/>
    <x v="1082"/>
    <s v="expense"/>
    <s v="rc_cat_1781955063347_5qjb_1781955063347_tezk"/>
    <s v="rc_acc_1781955063347_0qmn"/>
    <x v="1"/>
    <s v="momo"/>
    <m/>
    <s v="import"/>
    <s v=""/>
    <b v="0"/>
    <s v=""/>
  </r>
  <r>
    <s v="9c18b511-9532-4374-9ba6-52fc582f69f0"/>
    <x v="680"/>
    <s v="20:36"/>
    <x v="1083"/>
    <s v="expense"/>
    <s v="entertain_1781955063352_1jgx"/>
    <s v="rc_acc_1781955063347_uxz4"/>
    <x v="1"/>
    <s v="-"/>
    <m/>
    <s v="import"/>
    <s v=""/>
    <b v="0"/>
    <s v=""/>
  </r>
  <r>
    <s v="2ff29fb8-f8be-4025-8d66-616d5b04f347"/>
    <x v="680"/>
    <s v="21:23"/>
    <x v="1084"/>
    <s v="income"/>
    <s v="income_1781955063347_zblt"/>
    <s v="kbank"/>
    <x v="1"/>
    <s v="-"/>
    <m/>
    <s v="import"/>
    <s v=""/>
    <b v="0"/>
    <s v=""/>
  </r>
  <r>
    <s v="e87c2b7b-8e50-4d5d-8eea-f5fafc38fa23"/>
    <x v="680"/>
    <s v="21:23"/>
    <x v="1085"/>
    <s v="expense"/>
    <s v="rc_cat_1781955063347_anhy_1781955063347_qnaz"/>
    <s v="kbank"/>
    <x v="1"/>
    <s v="-"/>
    <m/>
    <s v="import"/>
    <s v=""/>
    <b v="0"/>
    <s v=""/>
  </r>
  <r>
    <s v="d70624d4-de09-4a76-b10e-d8c90ddb2251"/>
    <x v="680"/>
    <s v="21:33"/>
    <x v="1086"/>
    <s v="income"/>
    <s v="income_1781955063347_zblt"/>
    <s v="rc_acc_1781955063347_0qmn"/>
    <x v="1"/>
    <s v="-"/>
    <m/>
    <s v="import"/>
    <s v=""/>
    <b v="0"/>
    <s v=""/>
  </r>
  <r>
    <s v="94ab7204-4a7b-4c9d-9c5e-18cb317106f9"/>
    <x v="681"/>
    <s v="12:11"/>
    <x v="87"/>
    <s v="expense"/>
    <s v="rc_cat_1781955063347_5qjb_1781955063347_tezk"/>
    <s v="rc_acc_1781955063347_uxz4"/>
    <x v="1"/>
    <s v="-"/>
    <m/>
    <s v="import"/>
    <s v=""/>
    <b v="0"/>
    <s v=""/>
  </r>
  <r>
    <s v="8b99ad0c-7c1c-46f4-b317-e4fa62525cea"/>
    <x v="681"/>
    <s v="13:11"/>
    <x v="265"/>
    <s v="expense"/>
    <s v="rc_cat_1781955063347_5qjb_1781955063347_tezk"/>
    <s v="rc_acc_1781955063347_uxz4"/>
    <x v="1"/>
    <s v="-"/>
    <m/>
    <s v="import"/>
    <s v=""/>
    <b v="0"/>
    <s v=""/>
  </r>
  <r>
    <s v="ce0455b8-c828-40e7-b4f4-326710c6ea4c"/>
    <x v="682"/>
    <s v="07:12"/>
    <x v="387"/>
    <s v="expense"/>
    <s v="rc_cat_1781955063347_5qjb_1781955063348_laj8"/>
    <s v="rc_acc_1781955063347_uxz4"/>
    <x v="1"/>
    <s v="-"/>
    <m/>
    <s v="import"/>
    <s v=""/>
    <b v="0"/>
    <s v=""/>
  </r>
  <r>
    <s v="6a63732d-ab3c-4317-839b-98c6b1e6c43e"/>
    <x v="682"/>
    <s v="08:12"/>
    <x v="150"/>
    <s v="expense"/>
    <s v="rc_cat_1781955063347_5qjb_1781955063347_tezk"/>
    <s v="rc_acc_1781955063347_uxz4"/>
    <x v="1"/>
    <s v="-"/>
    <m/>
    <s v="import"/>
    <s v=""/>
    <b v="0"/>
    <s v=""/>
  </r>
  <r>
    <s v="0730ac2a-75ba-4f67-ba22-c5642e29ed2f"/>
    <x v="682"/>
    <s v="08:25"/>
    <x v="372"/>
    <s v="expense"/>
    <s v="rc_cat_1781955063347_5qjb_1781955063347_tezk"/>
    <s v="rc_acc_1781955063347_0qmn"/>
    <x v="1"/>
    <s v="-"/>
    <m/>
    <s v="import"/>
    <s v=""/>
    <b v="0"/>
    <s v=""/>
  </r>
  <r>
    <s v="0cbd1112-d282-4f0a-b14a-55fb1fd6a1d7"/>
    <x v="682"/>
    <s v="12:41"/>
    <x v="799"/>
    <s v="expense"/>
    <s v="rc_cat_1781955063347_5qjb_1781955063347_tezk"/>
    <s v="rc_acc_1781955063347_uxz4"/>
    <x v="1"/>
    <s v="-"/>
    <m/>
    <s v="import"/>
    <s v=""/>
    <b v="0"/>
    <s v=""/>
  </r>
  <r>
    <s v="dc69c7f4-5e74-4547-b578-64527d4a485d"/>
    <x v="682"/>
    <s v="19:01"/>
    <x v="1087"/>
    <s v="expense"/>
    <s v="rc_cat_1781955063347_5qjb_1781955063347_tezk"/>
    <s v="rc_acc_1781955063347_0qmn"/>
    <x v="1"/>
    <s v="-"/>
    <m/>
    <s v="import"/>
    <s v=""/>
    <b v="0"/>
    <s v=""/>
  </r>
  <r>
    <s v="69074791-8065-4461-9c49-c45c79d7578c"/>
    <x v="683"/>
    <s v="08:59"/>
    <x v="83"/>
    <s v="expense"/>
    <s v="rc_cat_1781955063347_5qjb_1781955063347_tezk"/>
    <s v="rc_acc_1781955063347_0qmn"/>
    <x v="1"/>
    <s v="-"/>
    <m/>
    <s v="import"/>
    <s v=""/>
    <b v="0"/>
    <s v=""/>
  </r>
  <r>
    <s v="d31b5e33-2bb1-4776-888a-fb01a4fa0740"/>
    <x v="683"/>
    <s v="09:10"/>
    <x v="150"/>
    <s v="expense"/>
    <s v="rc_cat_1781955063347_5qjb_1781955063347_tezk"/>
    <s v="rc_acc_1781955063347_uxz4"/>
    <x v="1"/>
    <s v="-"/>
    <m/>
    <s v="import"/>
    <s v=""/>
    <b v="0"/>
    <s v=""/>
  </r>
  <r>
    <s v="5b4d8143-bbf0-49ef-9940-3946f86ade02"/>
    <x v="683"/>
    <s v="12:59"/>
    <x v="1088"/>
    <s v="expense"/>
    <s v="rc_cat_1781955063347_5qjb_1781955063347_tezk"/>
    <s v="rc_acc_1781955063347_0qmn"/>
    <x v="1"/>
    <s v="-"/>
    <m/>
    <s v="import"/>
    <s v=""/>
    <b v="0"/>
    <s v=""/>
  </r>
  <r>
    <s v="9b52b2bd-ae34-45cd-8d2b-a8a4308d0b2f"/>
    <x v="683"/>
    <s v="23:12"/>
    <x v="756"/>
    <s v="transfer"/>
    <s v="other"/>
    <s v="advance"/>
    <x v="5"/>
    <s v="clear"/>
    <m/>
    <s v="import"/>
    <s v=""/>
    <b v="0"/>
    <s v=""/>
  </r>
  <r>
    <s v="376584fd-bde5-4733-862a-50cc623d8374"/>
    <x v="684"/>
    <s v="15:11"/>
    <x v="751"/>
    <s v="expense"/>
    <s v="rc_cat_1781955063347_5qjb_1781955063347_tezk"/>
    <s v="rc_acc_1781955063347_uxz4"/>
    <x v="1"/>
    <s v="-"/>
    <m/>
    <s v="import"/>
    <s v=""/>
    <b v="0"/>
    <s v=""/>
  </r>
  <r>
    <s v="0cee9c61-7412-4dbe-a3ea-803fcb9469e9"/>
    <x v="685"/>
    <s v="15:16"/>
    <x v="42"/>
    <s v="transfer"/>
    <s v="other"/>
    <s v="rc_acc_1781955063347_e3zv"/>
    <x v="5"/>
    <s v="-"/>
    <m/>
    <s v="import"/>
    <s v=""/>
    <b v="0"/>
    <s v=""/>
  </r>
  <r>
    <s v="a0bebf86-6834-401b-8a1a-36be59625b2f"/>
    <x v="685"/>
    <s v="16:58"/>
    <x v="1089"/>
    <s v="expense"/>
    <s v="rc_cat_1781955063347_5qjb_1781955063347_tezk"/>
    <s v="rc_acc_1781955063347_0qmn"/>
    <x v="1"/>
    <s v="-"/>
    <m/>
    <s v="import"/>
    <s v=""/>
    <b v="0"/>
    <s v=""/>
  </r>
  <r>
    <s v="0bddad9a-ebb5-4276-9cc7-7c1f93e57a2b"/>
    <x v="686"/>
    <s v="00:00"/>
    <x v="8"/>
    <s v="transfer"/>
    <s v="other"/>
    <s v="rc_acc_1781955063347_uxz4"/>
    <x v="25"/>
    <s v="-"/>
    <m/>
    <s v="import"/>
    <s v=""/>
    <b v="0"/>
    <s v=""/>
  </r>
  <r>
    <s v="b30916a9-8655-4373-8809-82b04791ca30"/>
    <x v="686"/>
    <s v="08:45"/>
    <x v="1090"/>
    <s v="expense"/>
    <s v="rc_cat_1781955063347_04qb_1781955063347_wt5p"/>
    <s v="rc_acc_1781955063347_uxz4"/>
    <x v="1"/>
    <s v="-"/>
    <m/>
    <s v="import"/>
    <s v=""/>
    <b v="0"/>
    <s v=""/>
  </r>
  <r>
    <s v="54fdb423-4dbc-4fb7-90ab-c83976e47b4c"/>
    <x v="686"/>
    <s v="13:49"/>
    <x v="8"/>
    <s v="income"/>
    <s v="income_1781955063347_5zxt"/>
    <s v="rc_acc_1781955063347_0qmn"/>
    <x v="1"/>
    <s v="-"/>
    <m/>
    <s v="import"/>
    <s v=""/>
    <b v="0"/>
    <s v=""/>
  </r>
  <r>
    <s v="e418f71b-3d75-4ab2-a30d-662e66fd630e"/>
    <x v="686"/>
    <s v="14:15"/>
    <x v="1091"/>
    <s v="expense"/>
    <s v="rc_cat_1781955063347_5qjb_1781955063347_tezk"/>
    <s v="rc_acc_1781955063347_0qmn"/>
    <x v="1"/>
    <s v="-"/>
    <m/>
    <s v="import"/>
    <s v=""/>
    <b v="0"/>
    <s v=""/>
  </r>
  <r>
    <s v="49f0524e-0c4d-4d32-a7bd-1d148c892e14"/>
    <x v="686"/>
    <s v="17:15"/>
    <x v="1092"/>
    <s v="expense"/>
    <s v="rc_cat_1781955063347_5qjb_1781955063347_tezk"/>
    <s v="rc_acc_1781955063347_0qmn"/>
    <x v="1"/>
    <s v="-"/>
    <m/>
    <s v="import"/>
    <s v=""/>
    <b v="0"/>
    <s v=""/>
  </r>
  <r>
    <s v="2362fb74-2ba6-46b1-bf71-4d9bd431af87"/>
    <x v="686"/>
    <s v="19:55"/>
    <x v="776"/>
    <s v="expense"/>
    <s v="rc_cat_1781955063347_5qjb_1781955063347_tezk"/>
    <s v="rc_acc_1781955063347_0qmn"/>
    <x v="1"/>
    <s v="-"/>
    <m/>
    <s v="import"/>
    <s v=""/>
    <b v="0"/>
    <s v=""/>
  </r>
  <r>
    <s v="df641566-0186-4ce2-9cc5-2ea5cfdd6ad9"/>
    <x v="687"/>
    <s v="08:23"/>
    <x v="199"/>
    <s v="expense"/>
    <s v="rc_cat_1781955063347_5qjb_1781955063347_tezk"/>
    <s v="rc_acc_1781955063347_uxz4"/>
    <x v="1"/>
    <s v="-"/>
    <m/>
    <s v="import"/>
    <s v=""/>
    <b v="0"/>
    <s v=""/>
  </r>
  <r>
    <s v="b287a747-652c-485c-b537-292284f55c31"/>
    <x v="687"/>
    <s v="08:25"/>
    <x v="74"/>
    <s v="expense"/>
    <s v="rc_cat_1781955063347_5qjb_1781955063347_tezk"/>
    <s v="rc_acc_1781955063347_uxz4"/>
    <x v="1"/>
    <s v="-"/>
    <m/>
    <s v="import"/>
    <s v=""/>
    <b v="0"/>
    <s v=""/>
  </r>
  <r>
    <s v="26739b2f-6f66-43df-8f0a-b61d116af2f3"/>
    <x v="687"/>
    <s v="16:18"/>
    <x v="1093"/>
    <s v="expense"/>
    <s v="rc_cat_1781955063347_anhy_1781955063348_k5l1"/>
    <s v="rc_acc_1781955063347_uxz4"/>
    <x v="1"/>
    <s v="-"/>
    <m/>
    <s v="import"/>
    <s v=""/>
    <b v="0"/>
    <s v=""/>
  </r>
  <r>
    <s v="e7e6bf5e-5cc1-4eba-978c-5e92bfeda771"/>
    <x v="688"/>
    <s v="08:54"/>
    <x v="155"/>
    <s v="expense"/>
    <s v="rc_cat_1781955063347_5qjb_1781955063347_tezk"/>
    <s v="rc_acc_1781955063347_0qmn"/>
    <x v="1"/>
    <s v="-"/>
    <m/>
    <s v="import"/>
    <s v=""/>
    <b v="0"/>
    <s v=""/>
  </r>
  <r>
    <s v="369986e6-c23b-4e94-a705-b8612c99c804"/>
    <x v="688"/>
    <s v="09:26"/>
    <x v="150"/>
    <s v="expense"/>
    <s v="rc_cat_1781955063347_5qjb_1781955063347_tezk"/>
    <s v="rc_acc_1781955063347_uxz4"/>
    <x v="1"/>
    <s v="-"/>
    <m/>
    <s v="import"/>
    <s v=""/>
    <b v="0"/>
    <s v=""/>
  </r>
  <r>
    <s v="5b193ae7-d699-4bd3-9c50-d27cf3237e95"/>
    <x v="688"/>
    <s v="12:06"/>
    <x v="616"/>
    <s v="expense"/>
    <s v="rc_cat_1781955063347_5qjb_1781955063347_tezk"/>
    <s v="rc_acc_1781955063347_uxz4"/>
    <x v="1"/>
    <s v="-"/>
    <m/>
    <s v="import"/>
    <s v=""/>
    <b v="0"/>
    <s v=""/>
  </r>
  <r>
    <s v="03277193-85a7-4c2b-bc05-0079598a6840"/>
    <x v="688"/>
    <s v="12:24"/>
    <x v="464"/>
    <s v="expense"/>
    <s v="rc_cat_1781955063347_5qjb_1781955063347_tezk"/>
    <s v="rc_acc_1781955063347_uxz4"/>
    <x v="1"/>
    <s v="-"/>
    <m/>
    <s v="import"/>
    <s v=""/>
    <b v="0"/>
    <s v=""/>
  </r>
  <r>
    <s v="1e01c61b-faa1-4384-81d7-d7f7ae3ee2d3"/>
    <x v="689"/>
    <s v="08:28"/>
    <x v="150"/>
    <s v="expense"/>
    <s v="rc_cat_1781955063347_5qjb_1781955063347_tezk"/>
    <s v="rc_acc_1781955063347_uxz4"/>
    <x v="1"/>
    <s v="-"/>
    <m/>
    <s v="import"/>
    <s v=""/>
    <b v="0"/>
    <s v=""/>
  </r>
  <r>
    <s v="895fec58-f0f1-4f40-9d37-b9fee354eef1"/>
    <x v="689"/>
    <s v="12:20"/>
    <x v="199"/>
    <s v="expense"/>
    <s v="rc_cat_1781955063347_5qjb_1781955063347_tezk"/>
    <s v="rc_acc_1781955063347_uxz4"/>
    <x v="1"/>
    <s v="-"/>
    <m/>
    <s v="import"/>
    <s v=""/>
    <b v="0"/>
    <s v=""/>
  </r>
  <r>
    <s v="ef207b3f-e827-477a-9c16-b2ac94b6db4c"/>
    <x v="689"/>
    <s v="12:27"/>
    <x v="799"/>
    <s v="expense"/>
    <s v="rc_cat_1781955063347_5qjb_1781955063347_tezk"/>
    <s v="rc_acc_1781955063347_uxz4"/>
    <x v="1"/>
    <s v="-"/>
    <m/>
    <s v="import"/>
    <s v=""/>
    <b v="0"/>
    <s v=""/>
  </r>
  <r>
    <s v="f0e40f3d-3f66-4500-9a75-e25d89fbfd53"/>
    <x v="689"/>
    <s v="21:25"/>
    <x v="22"/>
    <s v="expense"/>
    <s v="rc_cat_1781955063347_5qjb_1781955063347_tezk"/>
    <s v="kbank"/>
    <x v="1"/>
    <s v="-"/>
    <m/>
    <s v="import"/>
    <s v=""/>
    <b v="0"/>
    <s v=""/>
  </r>
  <r>
    <s v="1b0633c0-3942-42c6-bdb7-bc417be179cb"/>
    <x v="690"/>
    <s v="08:53"/>
    <x v="356"/>
    <s v="expense"/>
    <s v="rc_cat_1781955063347_5qjb_1781955063347_tezk"/>
    <s v="rc_acc_1781955063347_0qmn"/>
    <x v="1"/>
    <s v="-"/>
    <m/>
    <s v="import"/>
    <s v=""/>
    <b v="0"/>
    <s v=""/>
  </r>
  <r>
    <s v="a766a0ab-8ad2-4a8d-bf17-6b38370bcf39"/>
    <x v="690"/>
    <s v="08:54"/>
    <x v="10"/>
    <s v="expense"/>
    <s v="rc_cat_1781955063347_5qjb_1781955063348_xqml"/>
    <s v="rc_acc_1781955063347_0qmn"/>
    <x v="1"/>
    <s v="-"/>
    <m/>
    <s v="import"/>
    <s v=""/>
    <b v="0"/>
    <s v=""/>
  </r>
  <r>
    <s v="80f134f8-3c03-49c3-a79c-a4318b942d86"/>
    <x v="690"/>
    <s v="16:28"/>
    <x v="199"/>
    <s v="expense"/>
    <s v="rc_cat_1781955063347_5qjb_1781955063347_tezk"/>
    <s v="rc_acc_1781955063347_uxz4"/>
    <x v="1"/>
    <s v="-"/>
    <m/>
    <s v="import"/>
    <s v=""/>
    <b v="0"/>
    <s v=""/>
  </r>
  <r>
    <s v="eeed92ed-894d-4b0a-86a1-9cb07316e7a4"/>
    <x v="690"/>
    <s v="19:54"/>
    <x v="783"/>
    <s v="expense"/>
    <s v="rc_cat_1781955063347_5qjb_1781955063347_tezk"/>
    <s v="rc_acc_1781955063347_0qmn"/>
    <x v="1"/>
    <s v="-"/>
    <m/>
    <s v="import"/>
    <s v=""/>
    <b v="0"/>
    <s v=""/>
  </r>
  <r>
    <s v="37d9a672-7b12-465a-807a-cbe9be6bdda2"/>
    <x v="691"/>
    <s v="10:39"/>
    <x v="356"/>
    <s v="expense"/>
    <s v="rc_cat_1781955063347_5qjb_1781955063347_tezk"/>
    <s v="rc_acc_1781955063347_uxz4"/>
    <x v="1"/>
    <s v="-"/>
    <m/>
    <s v="import"/>
    <s v=""/>
    <b v="0"/>
    <s v=""/>
  </r>
  <r>
    <s v="3b9c8656-c382-489b-98cb-2f004363c1e7"/>
    <x v="692"/>
    <s v="08:30"/>
    <x v="150"/>
    <s v="expense"/>
    <s v="rc_cat_1781955063347_5qjb_1781955063347_tezk"/>
    <s v="rc_acc_1781955063347_uxz4"/>
    <x v="1"/>
    <s v="-"/>
    <m/>
    <s v="import"/>
    <s v=""/>
    <b v="0"/>
    <s v=""/>
  </r>
  <r>
    <s v="90dadffd-9379-4d4c-be4e-911c26ff02d4"/>
    <x v="692"/>
    <s v="12:49"/>
    <x v="1094"/>
    <s v="expense"/>
    <s v="rc_cat_1781955063347_5qjb_1781955063347_tezk"/>
    <s v="rc_acc_1781955063347_uxz4"/>
    <x v="1"/>
    <s v="-"/>
    <m/>
    <s v="import"/>
    <s v=""/>
    <b v="0"/>
    <s v=""/>
  </r>
  <r>
    <s v="62890c82-2bf6-4886-a788-d0442b46b10c"/>
    <x v="692"/>
    <s v="20:29"/>
    <x v="539"/>
    <s v="expense"/>
    <s v="rc_cat_1781955063347_5qjb_1781955063347_tezk"/>
    <s v="rc_acc_1781955063347_uxz4"/>
    <x v="1"/>
    <s v="-"/>
    <m/>
    <s v="import"/>
    <s v=""/>
    <b v="0"/>
    <s v=""/>
  </r>
  <r>
    <s v="fbbd6ef9-bef6-44dc-b314-f25035017717"/>
    <x v="692"/>
    <s v="20:30"/>
    <x v="239"/>
    <s v="expense"/>
    <s v="rc_cat_1781955063347_5qjb_1781955063347_tezk"/>
    <s v="rc_acc_1781955063347_uxz4"/>
    <x v="1"/>
    <s v="-"/>
    <m/>
    <s v="import"/>
    <s v=""/>
    <b v="0"/>
    <s v=""/>
  </r>
  <r>
    <s v="67b399e7-8473-443c-8180-cfe2a2e50b50"/>
    <x v="693"/>
    <s v="08:52"/>
    <x v="768"/>
    <s v="expense"/>
    <s v="rc_cat_1781955063347_5qjb_1781955063347_tezk"/>
    <s v="rc_acc_1781955063347_0qmn"/>
    <x v="1"/>
    <s v="-"/>
    <m/>
    <s v="import"/>
    <s v=""/>
    <b v="0"/>
    <s v=""/>
  </r>
  <r>
    <s v="68625677-262a-4801-b487-93dc1873baa3"/>
    <x v="693"/>
    <s v="09:19"/>
    <x v="150"/>
    <s v="expense"/>
    <s v="rc_cat_1781955063347_5qjb_1781955063347_tezk"/>
    <s v="rc_acc_1781955063347_uxz4"/>
    <x v="1"/>
    <s v="-"/>
    <m/>
    <s v="import"/>
    <s v=""/>
    <b v="0"/>
    <s v=""/>
  </r>
  <r>
    <s v="23cd7c57-62f5-420b-a16c-34e9d22f3cfc"/>
    <x v="693"/>
    <s v="10:45"/>
    <x v="26"/>
    <s v="expense"/>
    <s v="rc_cat_1781955063347_5qjb_1781955063347_tezk"/>
    <s v="rc_acc_1781955063347_uxz4"/>
    <x v="1"/>
    <s v="-"/>
    <m/>
    <s v="import"/>
    <s v=""/>
    <b v="0"/>
    <s v=""/>
  </r>
  <r>
    <s v="773f3be4-06fb-43ef-a007-bd78cf8e971a"/>
    <x v="693"/>
    <s v="12:32"/>
    <x v="1050"/>
    <s v="expense"/>
    <s v="rc_cat_1781955063347_5qjb_1781955063347_tezk"/>
    <s v="rc_acc_1781955063347_0qmn"/>
    <x v="1"/>
    <s v="-"/>
    <m/>
    <s v="import"/>
    <s v=""/>
    <b v="0"/>
    <s v=""/>
  </r>
  <r>
    <s v="e0c3816c-2681-4f9c-91f3-dbe351453de1"/>
    <x v="693"/>
    <s v="12:52"/>
    <x v="1091"/>
    <s v="expense"/>
    <s v="rc_cat_1781955063347_5qjb_1781955063347_tezk"/>
    <s v="rc_acc_1781955063347_0qmn"/>
    <x v="1"/>
    <s v="-"/>
    <m/>
    <s v="import"/>
    <s v=""/>
    <b v="0"/>
    <s v=""/>
  </r>
  <r>
    <s v="02dd6962-9581-4431-88fd-10eb1a7b6f9c"/>
    <x v="693"/>
    <s v="12:52"/>
    <x v="783"/>
    <s v="expense"/>
    <s v="rc_cat_1781955063347_5qjb_1781955063347_tezk"/>
    <s v="rc_acc_1781955063347_0qmn"/>
    <x v="1"/>
    <s v="-"/>
    <m/>
    <s v="import"/>
    <s v=""/>
    <b v="0"/>
    <s v=""/>
  </r>
  <r>
    <s v="0535c77c-7a8e-49e6-8db1-7eb4488c3559"/>
    <x v="694"/>
    <s v="09:20"/>
    <x v="1095"/>
    <s v="transfer"/>
    <s v="other"/>
    <s v="rc_acc_1781955063347_0qmn"/>
    <x v="5"/>
    <s v="-"/>
    <m/>
    <s v="import"/>
    <s v=""/>
    <b v="0"/>
    <s v=""/>
  </r>
  <r>
    <s v="567ba574-73f5-4e9f-90a7-e69b9b5c8864"/>
    <x v="694"/>
    <s v="20:53"/>
    <x v="785"/>
    <s v="expense"/>
    <s v="entertain_1781955063348_kx2f"/>
    <s v="rc_acc_1781955063350_i8ms"/>
    <x v="1"/>
    <s v="s22 ultra(2/10)"/>
    <m/>
    <s v="import"/>
    <s v=""/>
    <b v="0"/>
    <s v=""/>
  </r>
  <r>
    <s v="36e6262e-f44e-40e9-bb3c-c1fde54ff562"/>
    <x v="694"/>
    <s v="21:25"/>
    <x v="768"/>
    <s v="expense"/>
    <s v="rc_cat_1781955063347_5qjb_1781955063347_tezk"/>
    <s v="kbank"/>
    <x v="1"/>
    <s v="-"/>
    <m/>
    <s v="import"/>
    <s v=""/>
    <b v="0"/>
    <s v=""/>
  </r>
  <r>
    <s v="9b595bb4-52fe-4b7e-838f-69e8b1ad064b"/>
    <x v="695"/>
    <s v="08:59"/>
    <x v="150"/>
    <s v="expense"/>
    <s v="rc_cat_1781955063347_5qjb_1781955063347_tezk"/>
    <s v="rc_acc_1781955063347_uxz4"/>
    <x v="1"/>
    <s v="-"/>
    <m/>
    <s v="import"/>
    <s v=""/>
    <b v="0"/>
    <s v=""/>
  </r>
  <r>
    <s v="4a249041-d0ce-4594-bd10-dc744f3fe478"/>
    <x v="695"/>
    <s v="12:45"/>
    <x v="317"/>
    <s v="expense"/>
    <s v="rc_cat_1781955063347_5qjb_1781955063347_tezk"/>
    <s v="rc_acc_1781955063347_uxz4"/>
    <x v="1"/>
    <s v="-"/>
    <m/>
    <s v="import"/>
    <s v=""/>
    <b v="0"/>
    <s v=""/>
  </r>
  <r>
    <s v="878af365-207c-490a-bb96-34b424480298"/>
    <x v="696"/>
    <s v="00:00"/>
    <x v="5"/>
    <s v="expense"/>
    <s v="rc_cat_1781955063347_anhy_1781955063347_qnaz"/>
    <s v="kbank"/>
    <x v="1"/>
    <s v="-"/>
    <m/>
    <s v="import"/>
    <s v=""/>
    <b v="0"/>
    <s v=""/>
  </r>
  <r>
    <s v="96ded516-adbb-4759-b1cc-dfed5d5cf661"/>
    <x v="696"/>
    <s v="09:00"/>
    <x v="150"/>
    <s v="expense"/>
    <s v="rc_cat_1781955063347_5qjb_1781955063347_tezk"/>
    <s v="rc_acc_1781955063347_uxz4"/>
    <x v="1"/>
    <s v="-"/>
    <m/>
    <s v="import"/>
    <s v=""/>
    <b v="0"/>
    <s v=""/>
  </r>
  <r>
    <s v="23e1c2ba-4eec-4d96-8519-46db833dbad4"/>
    <x v="696"/>
    <s v="12:31"/>
    <x v="608"/>
    <s v="expense"/>
    <s v="rc_cat_1781955063347_5qjb_1781955063347_tezk"/>
    <s v="rc_acc_1781955063347_uxz4"/>
    <x v="1"/>
    <s v="-"/>
    <m/>
    <s v="import"/>
    <s v=""/>
    <b v="0"/>
    <s v=""/>
  </r>
  <r>
    <s v="f094bcd3-9b91-469e-90f6-9f2d0ec09873"/>
    <x v="696"/>
    <s v="15:38"/>
    <x v="19"/>
    <s v="expense"/>
    <s v="rc_cat_1781955063347_anhy_1781955063348_k5l1"/>
    <s v="rc_acc_1781955063347_uxz4"/>
    <x v="1"/>
    <s v="เงินฝ่าย"/>
    <m/>
    <s v="import"/>
    <s v=""/>
    <b v="0"/>
    <s v=""/>
  </r>
  <r>
    <s v="348946ab-7687-4349-bf5d-c2543f16f289"/>
    <x v="696"/>
    <s v="18:44"/>
    <x v="1096"/>
    <s v="transfer"/>
    <s v="other"/>
    <s v="rc_acc_1781955063353_k5yx"/>
    <x v="2"/>
    <s v="-"/>
    <m/>
    <s v="import"/>
    <s v=""/>
    <b v="0"/>
    <s v=""/>
  </r>
  <r>
    <s v="ec2b08eb-175b-432e-9f08-dbfa4afadfe4"/>
    <x v="696"/>
    <s v="21:34"/>
    <x v="1097"/>
    <s v="transfer"/>
    <s v="other"/>
    <s v="rc_acc_1781955063347_sv7p"/>
    <x v="2"/>
    <s v="ค่าเนต"/>
    <m/>
    <s v="import"/>
    <s v=""/>
    <b v="0"/>
    <s v=""/>
  </r>
  <r>
    <s v="535e6670-815c-45d0-8f5d-2f131d0b2967"/>
    <x v="697"/>
    <s v="12:30"/>
    <x v="755"/>
    <s v="expense"/>
    <s v="rc_cat_1781955063347_5qjb_1781955063347_tezk"/>
    <s v="rc_acc_1781955063347_0qmn"/>
    <x v="1"/>
    <s v="-"/>
    <m/>
    <s v="import"/>
    <s v=""/>
    <b v="0"/>
    <s v=""/>
  </r>
  <r>
    <s v="c4d745df-60dc-406f-b730-a3bbd7a7acd9"/>
    <x v="697"/>
    <s v="14:51"/>
    <x v="1098"/>
    <s v="transfer"/>
    <s v="other"/>
    <s v="rc_acc_1781955063348_w3gp"/>
    <x v="2"/>
    <s v="dounkin"/>
    <m/>
    <s v="import"/>
    <s v=""/>
    <b v="0"/>
    <s v=""/>
  </r>
  <r>
    <s v="1e011cad-c279-45fb-aaa0-4cb351ede8c0"/>
    <x v="697"/>
    <s v="14:51"/>
    <x v="519"/>
    <s v="expense"/>
    <s v="rc_cat_1781955063347_5qjb_1781955063348_xqml"/>
    <s v="rc_acc_1781955063347_0qmn"/>
    <x v="1"/>
    <s v="-"/>
    <m/>
    <s v="import"/>
    <s v=""/>
    <b v="0"/>
    <s v=""/>
  </r>
  <r>
    <s v="0df38f58-424f-4cbb-992d-0ca6d2c19419"/>
    <x v="697"/>
    <s v="19:49"/>
    <x v="547"/>
    <s v="expense"/>
    <s v="rc_cat_1781955063347_5qjb_1781955063347_tezk"/>
    <s v="rc_acc_1781955063347_0qmn"/>
    <x v="1"/>
    <s v="-"/>
    <m/>
    <s v="import"/>
    <s v=""/>
    <b v="0"/>
    <s v=""/>
  </r>
  <r>
    <s v="7f615aec-0c42-4365-85bf-8490abe252e2"/>
    <x v="697"/>
    <s v="19:50"/>
    <x v="169"/>
    <s v="expense"/>
    <s v="rc_cat_1781955063347_5qjb_1781955063347_tezk"/>
    <s v="rc_acc_1781955063347_0qmn"/>
    <x v="1"/>
    <s v="-"/>
    <m/>
    <s v="import"/>
    <s v=""/>
    <b v="0"/>
    <s v=""/>
  </r>
  <r>
    <s v="f48d8edc-0090-4916-8b8e-a72bccf5c3f1"/>
    <x v="698"/>
    <s v="10:44"/>
    <x v="1008"/>
    <s v="transfer"/>
    <s v="other"/>
    <s v="kbank"/>
    <x v="5"/>
    <s v="-"/>
    <m/>
    <s v="import"/>
    <s v=""/>
    <b v="0"/>
    <s v=""/>
  </r>
  <r>
    <s v="f7b854b2-a983-4fb1-87af-ae977c9f4eb0"/>
    <x v="698"/>
    <s v="10:45"/>
    <x v="1008"/>
    <s v="expense"/>
    <s v="rc_cat_1781955063347_5qjb_1781955063347_tezk"/>
    <s v="rc_acc_1781955063347_0qmn"/>
    <x v="1"/>
    <s v="-"/>
    <m/>
    <s v="import"/>
    <s v=""/>
    <b v="0"/>
    <s v=""/>
  </r>
  <r>
    <s v="c4303560-9b0f-4ccb-9e18-e2537e0bb90b"/>
    <x v="698"/>
    <s v="10:46"/>
    <x v="1099"/>
    <s v="expense"/>
    <s v="other_1781955063348_yjhe"/>
    <s v="rc_acc_1781955063347_0qmn"/>
    <x v="1"/>
    <s v="ของทำคุกกี้"/>
    <m/>
    <s v="import"/>
    <s v=""/>
    <b v="0"/>
    <s v=""/>
  </r>
  <r>
    <s v="6e8ac130-ef10-4067-a80b-b08e7033a7a1"/>
    <x v="698"/>
    <s v="10:50"/>
    <x v="785"/>
    <s v="transfer"/>
    <s v="other"/>
    <s v="kbank"/>
    <x v="26"/>
    <s v="-"/>
    <m/>
    <s v="import"/>
    <s v=""/>
    <b v="0"/>
    <s v=""/>
  </r>
  <r>
    <s v="828af14c-3cb2-4dee-b5b3-9d89f60bf14f"/>
    <x v="698"/>
    <s v="10:51"/>
    <x v="2"/>
    <s v="expense"/>
    <s v="rc_cat_1781955063347_5qjb_1781955063348_edf6"/>
    <s v="rc_acc_1781955063347_0qmn"/>
    <x v="1"/>
    <s v="-"/>
    <m/>
    <s v="import"/>
    <s v=""/>
    <b v="0"/>
    <s v=""/>
  </r>
  <r>
    <s v="d377141f-cdf7-432f-acac-28b7b6266f47"/>
    <x v="698"/>
    <s v="10:56"/>
    <x v="1100"/>
    <s v="transfer"/>
    <s v="other"/>
    <s v="rc_acc_1781955063347_uxz4"/>
    <x v="14"/>
    <s v="-"/>
    <m/>
    <s v="import"/>
    <s v=""/>
    <b v="0"/>
    <s v=""/>
  </r>
  <r>
    <s v="48840e21-4484-491d-b7ba-cbf90d9154cb"/>
    <x v="698"/>
    <s v="10:57"/>
    <x v="1101"/>
    <s v="income"/>
    <s v="other_1781955063347_5s7r"/>
    <s v="rc_acc_1781955063347_hv85"/>
    <x v="1"/>
    <s v="Difference"/>
    <m/>
    <s v="import"/>
    <s v=""/>
    <b v="0"/>
    <s v=""/>
  </r>
  <r>
    <s v="ea738a27-212d-490e-b18f-324e85c7aa30"/>
    <x v="698"/>
    <s v="11:00"/>
    <x v="1102"/>
    <s v="expense"/>
    <s v="other_1781955063348_27zj"/>
    <s v="rc_acc_1781955063347_sv7p"/>
    <x v="1"/>
    <s v="-"/>
    <m/>
    <s v="import"/>
    <s v=""/>
    <b v="0"/>
    <s v=""/>
  </r>
  <r>
    <s v="35d7b394-3953-44dc-a6d8-99d04c58369c"/>
    <x v="698"/>
    <s v="11:00"/>
    <x v="1103"/>
    <s v="expense"/>
    <s v="other_1781955063348_27zj"/>
    <s v="rc_acc_1781955063347_sv7p"/>
    <x v="1"/>
    <s v="datacamp"/>
    <m/>
    <s v="import"/>
    <s v=""/>
    <b v="0"/>
    <s v=""/>
  </r>
  <r>
    <s v="7afa6730-0008-4df5-8d46-54aad728715b"/>
    <x v="698"/>
    <s v="11:05"/>
    <x v="1104"/>
    <s v="transfer"/>
    <s v="other"/>
    <s v="rc_acc_1781955063347_uxz4"/>
    <x v="31"/>
    <s v="-"/>
    <m/>
    <s v="import"/>
    <s v=""/>
    <b v="0"/>
    <s v=""/>
  </r>
  <r>
    <s v="a9785504-45ef-4897-8252-902a5d3052ec"/>
    <x v="698"/>
    <s v="11:27"/>
    <x v="1105"/>
    <s v="expense"/>
    <s v="rc_cat_1781955063347_5qjb_1781955063347_tezk"/>
    <s v="rc_acc_1781955063347_0qmn"/>
    <x v="1"/>
    <s v="-"/>
    <m/>
    <s v="import"/>
    <s v=""/>
    <b v="0"/>
    <s v=""/>
  </r>
  <r>
    <s v="64d96622-c86e-4c11-af8e-14d529f7f9e8"/>
    <x v="698"/>
    <s v="11:27"/>
    <x v="1106"/>
    <s v="expense"/>
    <s v="rc_cat_1781955063347_5qjb_1781955063348_wpky"/>
    <s v="rc_acc_1781955063347_0qmn"/>
    <x v="1"/>
    <s v="-"/>
    <m/>
    <s v="import"/>
    <s v=""/>
    <b v="0"/>
    <s v=""/>
  </r>
  <r>
    <s v="343acab2-992e-4b74-9598-4784d8d90294"/>
    <x v="698"/>
    <s v="12:08"/>
    <x v="1107"/>
    <s v="expense"/>
    <s v="rc_cat_1781955063347_5qjb_1781955063347_tezk"/>
    <s v="rc_acc_1781955063347_0qmn"/>
    <x v="1"/>
    <s v="ยอด 7-11 ถึง 26 nov"/>
    <m/>
    <s v="import"/>
    <s v=""/>
    <b v="0"/>
    <s v=""/>
  </r>
  <r>
    <s v="20df614b-f23e-46c9-b3cf-ea7e7759ce97"/>
    <x v="698"/>
    <s v="12:17"/>
    <x v="1108"/>
    <s v="transfer"/>
    <s v="other"/>
    <s v="rc_acc_1781955063347_uxz4"/>
    <x v="2"/>
    <s v="aka"/>
    <m/>
    <s v="import"/>
    <s v=""/>
    <b v="0"/>
    <s v=""/>
  </r>
  <r>
    <s v="93872b43-7453-4361-941f-afa62ea8e5c6"/>
    <x v="698"/>
    <s v="17:15"/>
    <x v="1109"/>
    <s v="expense"/>
    <s v="rc_cat_1781955063347_5qjb_1781955063347_tezk"/>
    <s v="rc_acc_1781955063347_0qmn"/>
    <x v="1"/>
    <s v="-"/>
    <m/>
    <s v="import"/>
    <s v=""/>
    <b v="0"/>
    <s v=""/>
  </r>
  <r>
    <s v="d008738f-d199-446f-9a73-84dc6837328c"/>
    <x v="698"/>
    <s v="19:49"/>
    <x v="1110"/>
    <s v="expense"/>
    <s v="rc_cat_1781955063347_5qjb_1781955063347_tezk"/>
    <s v="rc_acc_1781955063347_0qmn"/>
    <x v="1"/>
    <s v="-"/>
    <m/>
    <s v="import"/>
    <s v=""/>
    <b v="0"/>
    <s v=""/>
  </r>
  <r>
    <s v="eaea4ffd-d6cc-4686-9b19-7f6a454c835f"/>
    <x v="699"/>
    <s v="00:00"/>
    <x v="1025"/>
    <s v="transfer"/>
    <s v="other"/>
    <s v="rc_acc_1781955063347_uxz4"/>
    <x v="8"/>
    <s v="-"/>
    <m/>
    <s v="import"/>
    <s v=""/>
    <b v="0"/>
    <s v=""/>
  </r>
  <r>
    <s v="1ebc978a-c03b-48a7-9d2b-a28054183b66"/>
    <x v="699"/>
    <s v="00:00"/>
    <x v="1111"/>
    <s v="expense"/>
    <s v="rc_cat_1781955063347_04qb_1781955063347_kgnn"/>
    <s v="rc_acc_1781955063347_uxz4"/>
    <x v="1"/>
    <s v="-"/>
    <m/>
    <s v="import"/>
    <s v=""/>
    <b v="0"/>
    <s v=""/>
  </r>
  <r>
    <s v="37d2f0c0-0e14-4a04-b656-88b2df510292"/>
    <x v="699"/>
    <s v="00:00"/>
    <x v="743"/>
    <s v="transfer"/>
    <s v="other"/>
    <s v="rc_acc_1781955063347_uxz4"/>
    <x v="20"/>
    <s v="-"/>
    <m/>
    <s v="import"/>
    <s v=""/>
    <b v="0"/>
    <s v=""/>
  </r>
  <r>
    <s v="037d75ca-2e78-4efd-ae7f-1b52a355561a"/>
    <x v="699"/>
    <s v="00:00"/>
    <x v="1112"/>
    <s v="expense"/>
    <s v="rc_cat_1781955063347_04qb_1781955063347_lu9b"/>
    <s v="rc_acc_1781955063347_uxz4"/>
    <x v="1"/>
    <s v="-"/>
    <m/>
    <s v="import"/>
    <s v=""/>
    <b v="0"/>
    <s v=""/>
  </r>
  <r>
    <s v="c35166e0-84bb-4a9c-ae72-5d9dedf833d3"/>
    <x v="699"/>
    <s v="00:00"/>
    <x v="128"/>
    <s v="transfer"/>
    <s v="other"/>
    <s v="rc_acc_1781955063347_uxz4"/>
    <x v="21"/>
    <s v="-"/>
    <m/>
    <s v="import"/>
    <s v=""/>
    <b v="0"/>
    <s v=""/>
  </r>
  <r>
    <s v="b1fdf993-fca8-446f-b4c1-a8a0e6191e2d"/>
    <x v="699"/>
    <s v="00:00"/>
    <x v="31"/>
    <s v="transfer"/>
    <s v="other"/>
    <s v="rc_acc_1781955063347_uxz4"/>
    <x v="7"/>
    <s v="-"/>
    <m/>
    <s v="import"/>
    <s v=""/>
    <b v="0"/>
    <s v=""/>
  </r>
  <r>
    <s v="590ce968-1aad-4f82-b3fb-06bad9554ac7"/>
    <x v="699"/>
    <s v="00:00"/>
    <x v="1028"/>
    <s v="income"/>
    <s v="income_1781955063347_5zxt"/>
    <s v="rc_acc_1781955063347_uxz4"/>
    <x v="1"/>
    <s v="-"/>
    <m/>
    <s v="import"/>
    <s v=""/>
    <b v="0"/>
    <s v=""/>
  </r>
  <r>
    <s v="af39e8dc-f7d2-4e04-b2fa-6539d8c3a2e1"/>
    <x v="699"/>
    <s v="00:00"/>
    <x v="1073"/>
    <s v="expense"/>
    <s v="rc_cat_1781955063347_04qb_1781955063350_acgf"/>
    <s v="rc_acc_1781955063347_uxz4"/>
    <x v="1"/>
    <s v="-"/>
    <m/>
    <s v="import"/>
    <s v=""/>
    <b v="0"/>
    <s v=""/>
  </r>
  <r>
    <s v="8f96f568-d4af-4155-b0e7-c4fb593af3ef"/>
    <x v="700"/>
    <s v="09:01"/>
    <x v="22"/>
    <s v="expense"/>
    <s v="rc_cat_1781955063347_5qjb_1781955063347_tezk"/>
    <s v="rc_acc_1781955063347_0qmn"/>
    <x v="1"/>
    <s v="-"/>
    <m/>
    <s v="import"/>
    <s v=""/>
    <b v="0"/>
    <s v=""/>
  </r>
  <r>
    <s v="508f9088-af58-4989-a69d-050657e5f1ac"/>
    <x v="700"/>
    <s v="09:01"/>
    <x v="169"/>
    <s v="expense"/>
    <s v="rc_cat_1781955063347_5qjb_1781955063347_tezk"/>
    <s v="rc_acc_1781955063347_uxz4"/>
    <x v="1"/>
    <s v="-"/>
    <m/>
    <s v="import"/>
    <s v=""/>
    <b v="0"/>
    <s v=""/>
  </r>
  <r>
    <s v="ea64e454-50c3-4161-8273-9970e19e6023"/>
    <x v="700"/>
    <s v="09:15"/>
    <x v="150"/>
    <s v="expense"/>
    <s v="rc_cat_1781955063347_5qjb_1781955063347_tezk"/>
    <s v="rc_acc_1781955063347_uxz4"/>
    <x v="1"/>
    <s v="-"/>
    <m/>
    <s v="import"/>
    <s v=""/>
    <b v="0"/>
    <s v=""/>
  </r>
  <r>
    <s v="a98b8727-9de3-4e37-879b-476980e660f2"/>
    <x v="700"/>
    <s v="12:39"/>
    <x v="87"/>
    <s v="expense"/>
    <s v="rc_cat_1781955063347_5qjb_1781955063347_tezk"/>
    <s v="rc_acc_1781955063347_uxz4"/>
    <x v="1"/>
    <s v="-"/>
    <m/>
    <s v="import"/>
    <s v=""/>
    <b v="0"/>
    <s v=""/>
  </r>
  <r>
    <s v="3c63f9de-f7a4-478a-a8f0-46b4fb78d60f"/>
    <x v="700"/>
    <s v="19:30"/>
    <x v="1113"/>
    <s v="expense"/>
    <s v="rc_cat_1781955063347_5qjb_1781955063347_tezk"/>
    <s v="rc_acc_1781955063347_uxz4"/>
    <x v="1"/>
    <s v="-"/>
    <m/>
    <s v="import"/>
    <s v=""/>
    <b v="0"/>
    <s v=""/>
  </r>
  <r>
    <s v="61b5556d-558a-4c37-841c-5f7b488bd795"/>
    <x v="700"/>
    <s v="19:30"/>
    <x v="239"/>
    <s v="expense"/>
    <s v="rc_cat_1781955063347_5qjb_1781955063347_tezk"/>
    <s v="rc_acc_1781955063347_uxz4"/>
    <x v="1"/>
    <s v="-"/>
    <m/>
    <s v="import"/>
    <s v=""/>
    <b v="0"/>
    <s v=""/>
  </r>
  <r>
    <s v="791989ba-5947-4898-bd8b-f672dc2221eb"/>
    <x v="700"/>
    <s v="19:30"/>
    <x v="185"/>
    <s v="expense"/>
    <s v="rc_cat_1781955063347_5qjb_1781955063347_tezk"/>
    <s v="rc_acc_1781955063347_uxz4"/>
    <x v="1"/>
    <s v="-"/>
    <m/>
    <s v="import"/>
    <s v=""/>
    <b v="0"/>
    <s v=""/>
  </r>
  <r>
    <s v="cbfee656-9b90-4034-a72c-b2d3ef7f3c75"/>
    <x v="701"/>
    <s v="09:05"/>
    <x v="74"/>
    <s v="expense"/>
    <s v="rc_cat_1781955063347_5qjb_1781955063347_tezk"/>
    <s v="rc_acc_1781955063347_uxz4"/>
    <x v="1"/>
    <s v="-"/>
    <m/>
    <s v="import"/>
    <s v=""/>
    <b v="0"/>
    <s v=""/>
  </r>
  <r>
    <s v="3abbd6d5-037e-4c6e-a9b1-69d3587f0205"/>
    <x v="701"/>
    <s v="09:55"/>
    <x v="635"/>
    <s v="expense"/>
    <s v="rc_cat_1781955063347_5qjb_1781955063347_tezk"/>
    <s v="rc_acc_1781955063347_uxz4"/>
    <x v="1"/>
    <s v="-"/>
    <m/>
    <s v="import"/>
    <s v=""/>
    <b v="0"/>
    <s v=""/>
  </r>
  <r>
    <s v="71d97666-c875-402d-8b98-e8b025314b64"/>
    <x v="701"/>
    <s v="10:34"/>
    <x v="1087"/>
    <s v="expense"/>
    <s v="rc_cat_1781955063347_5qjb_1781955063347_tezk"/>
    <s v="rc_acc_1781955063347_0qmn"/>
    <x v="1"/>
    <s v="เสต็กหน้าแบงก์"/>
    <m/>
    <s v="import"/>
    <s v=""/>
    <b v="0"/>
    <s v=""/>
  </r>
  <r>
    <s v="bd502516-d5be-4203-84d5-53e063a736cc"/>
    <x v="701"/>
    <s v="10:53"/>
    <x v="989"/>
    <s v="expense"/>
    <s v="entertain_1781955063352_1jgx"/>
    <s v="rc_acc_1781955063347_hv85"/>
    <x v="1"/>
    <s v="-"/>
    <m/>
    <s v="import"/>
    <s v=""/>
    <b v="0"/>
    <s v=""/>
  </r>
  <r>
    <s v="7e68d7a4-2c3b-4d12-96ab-16a41a83bda3"/>
    <x v="701"/>
    <s v="12:10"/>
    <x v="199"/>
    <s v="expense"/>
    <s v="rc_cat_1781955063347_5qjb_1781955063347_tezk"/>
    <s v="rc_acc_1781955063347_uxz4"/>
    <x v="1"/>
    <s v="-"/>
    <m/>
    <s v="import"/>
    <s v=""/>
    <b v="0"/>
    <s v=""/>
  </r>
  <r>
    <s v="cf2d43ae-50b5-4519-9ac7-375adfdf0da3"/>
    <x v="701"/>
    <s v="12:56"/>
    <x v="150"/>
    <s v="expense"/>
    <s v="rc_cat_1781955063347_5qjb_1781955063347_tezk"/>
    <s v="rc_acc_1781955063347_uxz4"/>
    <x v="1"/>
    <s v="-"/>
    <m/>
    <s v="import"/>
    <s v=""/>
    <b v="0"/>
    <s v=""/>
  </r>
  <r>
    <s v="8f48935d-2f34-4057-9e9a-f9643f04418f"/>
    <x v="701"/>
    <s v="21:25"/>
    <x v="960"/>
    <s v="expense"/>
    <s v="rc_cat_1781955063347_s4sz_1781955063347_9tpp"/>
    <s v="rc_acc_1781955063347_uxz4"/>
    <x v="1"/>
    <s v="-"/>
    <m/>
    <s v="import"/>
    <s v=""/>
    <b v="0"/>
    <s v=""/>
  </r>
  <r>
    <s v="2d27c5a2-d791-4955-9beb-aebfbda74e65"/>
    <x v="701"/>
    <s v="22:34"/>
    <x v="1114"/>
    <s v="expense"/>
    <s v="rc_cat_1781955063347_5qjb_1781955063348_wpky"/>
    <s v="rc_acc_1781955063347_0qmn"/>
    <x v="1"/>
    <s v="แขวนทีวี"/>
    <m/>
    <s v="import"/>
    <s v=""/>
    <b v="0"/>
    <s v=""/>
  </r>
  <r>
    <s v="0c78c2ad-2105-4ba6-be24-b4747fc3c41b"/>
    <x v="702"/>
    <s v="08:54"/>
    <x v="608"/>
    <s v="expense"/>
    <s v="rc_cat_1781955063347_5qjb_1781955063347_tezk"/>
    <s v="rc_acc_1781955063347_uxz4"/>
    <x v="1"/>
    <s v="-"/>
    <m/>
    <s v="import"/>
    <s v=""/>
    <b v="0"/>
    <s v=""/>
  </r>
  <r>
    <s v="1ce8be66-2a0b-4c72-a32c-dcef4c2b039b"/>
    <x v="702"/>
    <s v="09:54"/>
    <x v="150"/>
    <s v="expense"/>
    <s v="rc_cat_1781955063347_5qjb_1781955063347_tezk"/>
    <s v="rc_acc_1781955063347_uxz4"/>
    <x v="1"/>
    <s v="-"/>
    <m/>
    <s v="import"/>
    <s v=""/>
    <b v="0"/>
    <s v=""/>
  </r>
  <r>
    <s v="d1dc3ec1-4461-4826-9d94-da1b37f68ec3"/>
    <x v="702"/>
    <s v="14:08"/>
    <x v="771"/>
    <s v="expense"/>
    <s v="rc_cat_1781955063347_5qjb_1781955063347_tezk"/>
    <s v="rc_acc_1781955063347_uxz4"/>
    <x v="1"/>
    <s v="-"/>
    <m/>
    <s v="import"/>
    <s v=""/>
    <b v="0"/>
    <s v=""/>
  </r>
  <r>
    <s v="1687a665-b18b-47fe-bf77-a27ddf560529"/>
    <x v="702"/>
    <s v="14:08"/>
    <x v="314"/>
    <s v="expense"/>
    <s v="entertain_1781955063348_kx2f"/>
    <s v="rc_acc_1781955063347_uxz4"/>
    <x v="1"/>
    <s v="-"/>
    <m/>
    <s v="import"/>
    <s v=""/>
    <b v="0"/>
    <s v=""/>
  </r>
  <r>
    <s v="e33a10e8-7f45-4700-8f94-1dee6769397d"/>
    <x v="703"/>
    <s v="09:10"/>
    <x v="150"/>
    <s v="expense"/>
    <s v="rc_cat_1781955063347_5qjb_1781955063347_tezk"/>
    <s v="rc_acc_1781955063347_uxz4"/>
    <x v="1"/>
    <s v="-"/>
    <m/>
    <s v="import"/>
    <s v=""/>
    <b v="0"/>
    <s v=""/>
  </r>
  <r>
    <s v="3d8ffeae-22a6-4b14-9f19-14862c099b7c"/>
    <x v="703"/>
    <s v="10:38"/>
    <x v="932"/>
    <s v="expense"/>
    <s v="rc_cat_1781955063347_5qjb_1781955063347_tezk"/>
    <s v="rc_acc_1781955063347_0qmn"/>
    <x v="1"/>
    <s v="-"/>
    <m/>
    <s v="import"/>
    <s v=""/>
    <b v="0"/>
    <s v=""/>
  </r>
  <r>
    <s v="220aeb71-caf6-46f1-8379-ebebe2f59bea"/>
    <x v="703"/>
    <s v="12:57"/>
    <x v="87"/>
    <s v="expense"/>
    <s v="rc_cat_1781955063347_5qjb_1781955063347_tezk"/>
    <s v="rc_acc_1781955063347_uxz4"/>
    <x v="1"/>
    <s v="-"/>
    <m/>
    <s v="import"/>
    <s v=""/>
    <b v="0"/>
    <s v=""/>
  </r>
  <r>
    <s v="ac37f683-4c9d-4dcb-9e27-92124d097da1"/>
    <x v="704"/>
    <s v="07:53"/>
    <x v="1115"/>
    <s v="transfer"/>
    <s v="other"/>
    <s v="rc_acc_1781955063347_sv7p"/>
    <x v="2"/>
    <s v="โคคา"/>
    <m/>
    <s v="import"/>
    <s v=""/>
    <b v="0"/>
    <s v=""/>
  </r>
  <r>
    <s v="39065748-db99-44da-bfc3-b56428e1db4d"/>
    <x v="704"/>
    <s v="11:52"/>
    <x v="176"/>
    <s v="expense"/>
    <s v="rc_cat_1781955063347_5qjb_1781955063348_wpky"/>
    <s v="rc_acc_1781955063347_0qmn"/>
    <x v="1"/>
    <s v="-"/>
    <m/>
    <s v="import"/>
    <s v=""/>
    <b v="0"/>
    <s v=""/>
  </r>
  <r>
    <s v="259bccbc-14c7-4615-af1c-0bfea4319928"/>
    <x v="704"/>
    <s v="16:38"/>
    <x v="74"/>
    <s v="expense"/>
    <s v="rc_cat_1781955063347_5qjb_1781955063347_tezk"/>
    <s v="rc_acc_1781955063347_0qmn"/>
    <x v="1"/>
    <s v="-"/>
    <m/>
    <s v="import"/>
    <s v=""/>
    <b v="0"/>
    <s v=""/>
  </r>
  <r>
    <s v="f98aac73-6ace-41c5-a0af-adec70e3210d"/>
    <x v="704"/>
    <s v="17:48"/>
    <x v="1065"/>
    <s v="transfer"/>
    <s v="other"/>
    <s v="rc_acc_1781955063347_sv7p"/>
    <x v="2"/>
    <s v="โคคาอุ้ย เคลีย"/>
    <m/>
    <s v="import"/>
    <s v=""/>
    <b v="0"/>
    <s v=""/>
  </r>
  <r>
    <s v="d02a1f05-cc16-4989-98ee-494a3a685291"/>
    <x v="705"/>
    <s v="11:02"/>
    <x v="932"/>
    <s v="expense"/>
    <s v="rc_cat_1781955063347_5qjb_1781955063347_tezk"/>
    <s v="rc_acc_1781955063347_0qmn"/>
    <x v="1"/>
    <s v="-"/>
    <m/>
    <s v="import"/>
    <s v=""/>
    <b v="0"/>
    <s v=""/>
  </r>
  <r>
    <s v="8ae79e92-3170-4698-b268-d8a3e26655d9"/>
    <x v="705"/>
    <s v="15:00"/>
    <x v="315"/>
    <s v="transfer"/>
    <s v="other"/>
    <s v="kbank"/>
    <x v="12"/>
    <s v="-"/>
    <m/>
    <s v="import"/>
    <s v=""/>
    <b v="0"/>
    <s v=""/>
  </r>
  <r>
    <s v="ce1288a1-8909-4ba5-9150-946948f4b77f"/>
    <x v="705"/>
    <s v="15:00"/>
    <x v="74"/>
    <s v="expense"/>
    <s v="rc_cat_1781955063347_5qjb_1781955063347_tezk"/>
    <s v="rc_acc_1781955063347_e3zv"/>
    <x v="1"/>
    <s v="-"/>
    <m/>
    <s v="import"/>
    <s v=""/>
    <b v="0"/>
    <s v=""/>
  </r>
  <r>
    <s v="5221d0b2-12df-4b1a-b3ad-dce50783783c"/>
    <x v="705"/>
    <s v="17:26"/>
    <x v="1116"/>
    <s v="expense"/>
    <s v="rc_cat_1781955063347_5qjb_1781955063347_tezk"/>
    <s v="rc_acc_1781955063347_0qmn"/>
    <x v="1"/>
    <s v="yakiniku like"/>
    <m/>
    <s v="import"/>
    <s v=""/>
    <b v="0"/>
    <s v=""/>
  </r>
  <r>
    <s v="8a50b632-253a-4b7b-ac7a-2100832795e7"/>
    <x v="706"/>
    <s v="09:39"/>
    <x v="356"/>
    <s v="expense"/>
    <s v="rc_cat_1781955063347_5qjb_1781955063347_tezk"/>
    <s v="rc_acc_1781955063347_0qmn"/>
    <x v="1"/>
    <s v="-"/>
    <m/>
    <s v="import"/>
    <s v=""/>
    <b v="0"/>
    <s v=""/>
  </r>
  <r>
    <s v="f133b981-1915-4e37-b3bc-2ad24fe06cd9"/>
    <x v="706"/>
    <s v="09:52"/>
    <x v="771"/>
    <s v="expense"/>
    <s v="rc_cat_1781955063347_5qjb_1781955063347_tezk"/>
    <s v="rc_acc_1781955063347_uxz4"/>
    <x v="1"/>
    <s v="-"/>
    <m/>
    <s v="import"/>
    <s v=""/>
    <b v="0"/>
    <s v=""/>
  </r>
  <r>
    <s v="406c1baa-aafb-41de-af0f-8a5b827c7c20"/>
    <x v="706"/>
    <s v="12:53"/>
    <x v="150"/>
    <s v="expense"/>
    <s v="rc_cat_1781955063347_5qjb_1781955063347_tezk"/>
    <s v="rc_acc_1781955063347_uxz4"/>
    <x v="1"/>
    <s v="-"/>
    <m/>
    <s v="import"/>
    <s v=""/>
    <b v="0"/>
    <s v=""/>
  </r>
  <r>
    <s v="5995720b-04d8-4ca4-a5a1-555240aa02c8"/>
    <x v="706"/>
    <s v="20:21"/>
    <x v="936"/>
    <s v="expense"/>
    <s v="rc_cat_1781955063347_5qjb_1781955063347_tezk"/>
    <s v="rc_acc_1781955063347_0qmn"/>
    <x v="1"/>
    <s v="-"/>
    <m/>
    <s v="import"/>
    <s v=""/>
    <b v="0"/>
    <s v=""/>
  </r>
  <r>
    <s v="769e47a4-3478-4282-9d10-3a084e92ba54"/>
    <x v="707"/>
    <s v="10:39"/>
    <x v="998"/>
    <s v="expense"/>
    <s v="rc_cat_1781955063347_5qjb_1781955063347_tezk"/>
    <s v="rc_acc_1781955063347_0qmn"/>
    <x v="1"/>
    <s v="-"/>
    <m/>
    <s v="import"/>
    <s v=""/>
    <b v="0"/>
    <s v=""/>
  </r>
  <r>
    <s v="48dea2b8-01f4-4733-b67e-7ba50f84eeed"/>
    <x v="707"/>
    <s v="16:55"/>
    <x v="5"/>
    <s v="transfer"/>
    <s v="other"/>
    <s v="rc_acc_1781955063347_uxz4"/>
    <x v="35"/>
    <s v="Yuang"/>
    <m/>
    <s v="import"/>
    <s v=""/>
    <b v="0"/>
    <s v=""/>
  </r>
  <r>
    <s v="44266662-993d-45ec-a34c-dc2308966e6d"/>
    <x v="707"/>
    <s v="18:54"/>
    <x v="946"/>
    <s v="expense"/>
    <s v="rc_cat_1781955063347_5qjb_1781955063347_tezk"/>
    <s v="rc_acc_1781955063347_0qmn"/>
    <x v="1"/>
    <s v="-"/>
    <m/>
    <s v="import"/>
    <s v=""/>
    <b v="0"/>
    <s v=""/>
  </r>
  <r>
    <s v="034f3629-166b-4acb-b7dd-6936861d549a"/>
    <x v="707"/>
    <s v="19:59"/>
    <x v="359"/>
    <s v="expense"/>
    <s v="rc_cat_1781955063347_5qjb_1781955063347_tezk"/>
    <s v="rc_acc_1781955063347_0qmn"/>
    <x v="1"/>
    <s v="-"/>
    <m/>
    <s v="import"/>
    <s v=""/>
    <b v="0"/>
    <s v=""/>
  </r>
  <r>
    <s v="a8bbfd30-6cb4-41ea-a0b9-d7ca332e5fa9"/>
    <x v="708"/>
    <s v="09:24"/>
    <x v="464"/>
    <s v="expense"/>
    <s v="rc_cat_1781955063347_5qjb_1781955063347_tezk"/>
    <s v="rc_acc_1781955063347_0qmn"/>
    <x v="1"/>
    <s v="-"/>
    <m/>
    <s v="import"/>
    <s v=""/>
    <b v="0"/>
    <s v=""/>
  </r>
  <r>
    <s v="f6e1f71c-fea6-4c71-a4db-f8f9e8142b3f"/>
    <x v="708"/>
    <s v="12:46"/>
    <x v="317"/>
    <s v="expense"/>
    <s v="rc_cat_1781955063347_5qjb_1781955063347_tezk"/>
    <s v="rc_acc_1781955063347_uxz4"/>
    <x v="1"/>
    <s v="-"/>
    <m/>
    <s v="import"/>
    <s v=""/>
    <b v="0"/>
    <s v=""/>
  </r>
  <r>
    <s v="578859b1-ca87-45b0-b3e6-4c35d1151a21"/>
    <x v="708"/>
    <s v="12:53"/>
    <x v="545"/>
    <s v="expense"/>
    <s v="rc_cat_1781955063347_5qjb_1781955063347_tezk"/>
    <s v="rc_acc_1781955063347_uxz4"/>
    <x v="1"/>
    <s v="-"/>
    <m/>
    <s v="import"/>
    <s v=""/>
    <b v="0"/>
    <s v=""/>
  </r>
  <r>
    <s v="f59d91d7-1c59-4c6f-88ca-83335b2ba2ce"/>
    <x v="708"/>
    <s v="18:41"/>
    <x v="1117"/>
    <s v="expense"/>
    <s v="rc_cat_1781955063347_5qjb_1781955063347_tezk"/>
    <s v="rc_acc_1781955063347_0qmn"/>
    <x v="1"/>
    <s v="เสต็กหน้าแบงก์"/>
    <m/>
    <s v="import"/>
    <s v=""/>
    <b v="0"/>
    <s v=""/>
  </r>
  <r>
    <s v="b79dd19f-2b4a-47b6-92ae-ff9728dbee67"/>
    <x v="709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43b26276-2104-4bd4-802c-25937062c0c6"/>
    <x v="709"/>
    <s v="07:51"/>
    <x v="387"/>
    <s v="transfer"/>
    <s v="other"/>
    <s v="rc_acc_1781955063347_uxz4"/>
    <x v="17"/>
    <s v="-"/>
    <m/>
    <s v="import"/>
    <s v=""/>
    <b v="0"/>
    <s v=""/>
  </r>
  <r>
    <s v="8fb7eb17-8a67-4aef-bede-e44c4cd72bca"/>
    <x v="709"/>
    <s v="12:51"/>
    <x v="199"/>
    <s v="expense"/>
    <s v="rc_cat_1781955063347_5qjb_1781955063347_tezk"/>
    <s v="rc_acc_1781955063347_uxz4"/>
    <x v="1"/>
    <s v="-"/>
    <m/>
    <s v="import"/>
    <s v=""/>
    <b v="0"/>
    <s v=""/>
  </r>
  <r>
    <s v="6e37c35d-16d3-4935-9f77-c6f7e02a0cb9"/>
    <x v="709"/>
    <s v="12:52"/>
    <x v="317"/>
    <s v="expense"/>
    <s v="rc_cat_1781955063347_5qjb_1781955063347_tezk"/>
    <s v="rc_acc_1781955063347_uxz4"/>
    <x v="1"/>
    <s v="-"/>
    <m/>
    <s v="import"/>
    <s v=""/>
    <b v="0"/>
    <s v=""/>
  </r>
  <r>
    <s v="73c3d420-8bf9-487f-8057-ea491200e898"/>
    <x v="709"/>
    <s v="21:00"/>
    <x v="34"/>
    <s v="expense"/>
    <s v="rc_cat_1781955063347_5qjb_1781955063347_tezk"/>
    <s v="rc_acc_1781955063347_0qmn"/>
    <x v="1"/>
    <s v="-"/>
    <m/>
    <s v="import"/>
    <s v=""/>
    <b v="0"/>
    <s v=""/>
  </r>
  <r>
    <s v="de738c8f-7449-4508-b042-ef3f95c1204f"/>
    <x v="710"/>
    <s v="11:25"/>
    <x v="199"/>
    <s v="expense"/>
    <s v="rc_cat_1781955063347_5qjb_1781955063347_tezk"/>
    <s v="rc_acc_1781955063347_uxz4"/>
    <x v="1"/>
    <s v="-"/>
    <m/>
    <s v="import"/>
    <s v=""/>
    <b v="0"/>
    <s v=""/>
  </r>
  <r>
    <s v="88b4a3ff-429e-4dc4-9849-3f5a248a0abd"/>
    <x v="710"/>
    <s v="13:38"/>
    <x v="525"/>
    <s v="expense"/>
    <s v="rc_cat_1781955063347_5qjb_1781955063347_tezk"/>
    <s v="rc_acc_1781955063347_0qmn"/>
    <x v="1"/>
    <s v="-"/>
    <m/>
    <s v="import"/>
    <s v=""/>
    <b v="0"/>
    <s v=""/>
  </r>
  <r>
    <s v="be7911de-abd0-487b-88a7-373903457a1b"/>
    <x v="710"/>
    <s v="15:30"/>
    <x v="22"/>
    <s v="expense"/>
    <s v="rc_cat_1781955063347_s4sz_1781955063347_deos"/>
    <s v="rc_acc_1781955063347_uxz4"/>
    <x v="1"/>
    <s v="-"/>
    <m/>
    <s v="import"/>
    <s v=""/>
    <b v="0"/>
    <s v=""/>
  </r>
  <r>
    <s v="0b4880e7-f6a9-4060-8430-11943ae16399"/>
    <x v="710"/>
    <s v="18:30"/>
    <x v="1118"/>
    <s v="expense"/>
    <s v="rc_cat_1781955063347_5qjb_1781955063348_edf6"/>
    <s v="rc_acc_1781955063347_0qmn"/>
    <x v="1"/>
    <s v="-"/>
    <m/>
    <s v="import"/>
    <s v=""/>
    <b v="0"/>
    <s v=""/>
  </r>
  <r>
    <s v="eae200b1-65b9-4e70-bd79-adc8912b8e0a"/>
    <x v="711"/>
    <s v="12:34"/>
    <x v="607"/>
    <s v="expense"/>
    <s v="entertain_1781955063348_gj0i"/>
    <s v="rc_acc_1781955063347_uxz4"/>
    <x v="1"/>
    <s v="-"/>
    <m/>
    <s v="import"/>
    <s v=""/>
    <b v="0"/>
    <s v=""/>
  </r>
  <r>
    <s v="c84872ea-c88e-466e-bde9-2994a265d9ba"/>
    <x v="711"/>
    <s v="13:14"/>
    <x v="199"/>
    <s v="expense"/>
    <s v="rc_cat_1781955063347_5qjb_1781955063347_tezk"/>
    <s v="rc_acc_1781955063347_uxz4"/>
    <x v="1"/>
    <s v="-"/>
    <m/>
    <s v="import"/>
    <s v=""/>
    <b v="0"/>
    <s v=""/>
  </r>
  <r>
    <s v="f33c88c6-5e1b-47e2-9dc1-3c60fe6afca0"/>
    <x v="711"/>
    <s v="13:20"/>
    <x v="606"/>
    <s v="expense"/>
    <s v="rc_cat_1781955063347_s4sz_1781955063347_deos"/>
    <s v="rc_acc_1781955063347_uxz4"/>
    <x v="1"/>
    <s v="-"/>
    <m/>
    <s v="import"/>
    <s v=""/>
    <b v="0"/>
    <s v=""/>
  </r>
  <r>
    <s v="c678cee5-28fe-48a3-b9d7-c91bdac051df"/>
    <x v="711"/>
    <s v="13:22"/>
    <x v="1119"/>
    <s v="expense"/>
    <s v="entertain_1781955063348_kx2f"/>
    <s v="rc_acc_1781955063347_0qmn"/>
    <x v="1"/>
    <s v="blackpanthet popcorn"/>
    <m/>
    <s v="import"/>
    <s v=""/>
    <b v="0"/>
    <s v=""/>
  </r>
  <r>
    <s v="94a4e49f-66ab-42c3-87e9-9e8f569edd21"/>
    <x v="711"/>
    <s v="13:28"/>
    <x v="1120"/>
    <s v="expense"/>
    <s v="rc_cat_1781955063347_s4sz_1781955063347_deos"/>
    <s v="kbank"/>
    <x v="1"/>
    <s v="-"/>
    <m/>
    <s v="import"/>
    <s v=""/>
    <b v="0"/>
    <s v=""/>
  </r>
  <r>
    <s v="eec2a4e5-397f-402f-b270-a42c10ba0973"/>
    <x v="711"/>
    <s v="15:42"/>
    <x v="138"/>
    <s v="expense"/>
    <s v="rc_cat_1781955063347_5qjb_1781955063347_tezk"/>
    <s v="rc_acc_1781955063347_0qmn"/>
    <x v="1"/>
    <s v="ตี๋น้อย"/>
    <m/>
    <s v="import"/>
    <s v=""/>
    <b v="0"/>
    <s v=""/>
  </r>
  <r>
    <s v="7889db17-4ef0-4e1d-aa22-dfb191f99e48"/>
    <x v="711"/>
    <s v="15:43"/>
    <x v="759"/>
    <s v="expense"/>
    <s v="entertain_1781955063348_kx2f"/>
    <s v="rc_acc_1781955063347_uxz4"/>
    <x v="1"/>
    <s v="-"/>
    <m/>
    <s v="import"/>
    <s v=""/>
    <b v="0"/>
    <s v=""/>
  </r>
  <r>
    <s v="5cfb6239-a914-4025-88f6-5cd845456040"/>
    <x v="711"/>
    <s v="15:43"/>
    <x v="138"/>
    <s v="transfer"/>
    <s v="other"/>
    <s v="rc_acc_1781955063347_e3zv"/>
    <x v="5"/>
    <s v="-"/>
    <m/>
    <s v="import"/>
    <s v=""/>
    <b v="0"/>
    <s v=""/>
  </r>
  <r>
    <s v="eb2af7ae-2e74-4ea8-904c-b12837ccdd14"/>
    <x v="712"/>
    <s v="00:25"/>
    <x v="989"/>
    <s v="transfer"/>
    <s v="other"/>
    <s v="rc_acc_1781955063347_omhz"/>
    <x v="2"/>
    <s v="-"/>
    <m/>
    <s v="import"/>
    <s v=""/>
    <b v="0"/>
    <s v=""/>
  </r>
  <r>
    <s v="55bcdd4a-720f-4a2a-ba47-30e765d18759"/>
    <x v="712"/>
    <s v="00:34"/>
    <x v="1121"/>
    <s v="expense"/>
    <s v="rc_cat_1781955063347_s4sz_1781955063347_deos"/>
    <s v="rc_acc_1781955063347_uxz4"/>
    <x v="1"/>
    <s v="-"/>
    <m/>
    <s v="import"/>
    <s v=""/>
    <b v="0"/>
    <s v=""/>
  </r>
  <r>
    <s v="61f3e8eb-582a-4852-b98f-256be8b5f5db"/>
    <x v="712"/>
    <s v="00:35"/>
    <x v="19"/>
    <s v="transfer"/>
    <s v="other"/>
    <s v="rc_acc_1781955063347_uxz4"/>
    <x v="16"/>
    <s v="-"/>
    <m/>
    <s v="import"/>
    <s v=""/>
    <b v="0"/>
    <s v=""/>
  </r>
  <r>
    <s v="37fe7447-1f56-4c0b-a889-9ca56a3991d6"/>
    <x v="712"/>
    <s v="08:52"/>
    <x v="356"/>
    <s v="expense"/>
    <s v="rc_cat_1781955063347_5qjb_1781955063347_tezk"/>
    <s v="rc_acc_1781955063347_0qmn"/>
    <x v="1"/>
    <s v="-"/>
    <m/>
    <s v="import"/>
    <s v=""/>
    <b v="0"/>
    <s v=""/>
  </r>
  <r>
    <s v="5162b2df-77a3-4f73-b2cb-97a2ee48c1e4"/>
    <x v="712"/>
    <s v="12:24"/>
    <x v="769"/>
    <s v="expense"/>
    <s v="rc_cat_1781955063347_5qjb_1781955063347_tezk"/>
    <s v="rc_acc_1781955063347_uxz4"/>
    <x v="1"/>
    <s v="-"/>
    <m/>
    <s v="import"/>
    <s v=""/>
    <b v="0"/>
    <s v=""/>
  </r>
  <r>
    <s v="a3054efb-0a2c-49bd-bada-926899c9c98c"/>
    <x v="712"/>
    <s v="18:54"/>
    <x v="1122"/>
    <s v="expense"/>
    <s v="rc_cat_1781955063347_5qjb_1781955063347_tezk"/>
    <s v="rc_acc_1781955063347_0qmn"/>
    <x v="1"/>
    <s v="mk"/>
    <m/>
    <s v="import"/>
    <s v=""/>
    <b v="0"/>
    <s v=""/>
  </r>
  <r>
    <s v="7f612bd3-4114-4250-83de-de30dcdd3109"/>
    <x v="712"/>
    <s v="19:33"/>
    <x v="359"/>
    <s v="expense"/>
    <s v="rc_cat_1781955063347_5qjb_1781955063347_tezk"/>
    <s v="rc_acc_1781955063347_0qmn"/>
    <x v="1"/>
    <s v="-"/>
    <m/>
    <s v="import"/>
    <s v=""/>
    <b v="0"/>
    <s v=""/>
  </r>
  <r>
    <s v="e17085e0-1208-43ab-b31d-39f32cd2bb88"/>
    <x v="712"/>
    <s v="20:07"/>
    <x v="34"/>
    <s v="expense"/>
    <s v="rc_cat_1781955063347_5qjb_1781955063348_xqml"/>
    <s v="rc_acc_1781955063347_0qmn"/>
    <x v="1"/>
    <s v="-"/>
    <m/>
    <s v="import"/>
    <s v=""/>
    <b v="0"/>
    <s v=""/>
  </r>
  <r>
    <s v="0af43260-a71c-4c75-8d87-525e0ff145f4"/>
    <x v="712"/>
    <s v="20:40"/>
    <x v="582"/>
    <s v="expense"/>
    <s v="rc_cat_1781955063347_5qjb_1781955063347_tezk"/>
    <s v="rc_acc_1781955063347_0qmn"/>
    <x v="1"/>
    <s v="aprils bakery"/>
    <m/>
    <s v="import"/>
    <s v=""/>
    <b v="0"/>
    <s v=""/>
  </r>
  <r>
    <s v="56eb0bf0-eacb-40b7-8d17-d8e68c1ea2c0"/>
    <x v="713"/>
    <s v="16:46"/>
    <x v="31"/>
    <s v="transfer"/>
    <s v="other"/>
    <s v="kbank"/>
    <x v="5"/>
    <s v="ptt blue connect"/>
    <m/>
    <s v="import"/>
    <s v=""/>
    <b v="0"/>
    <s v=""/>
  </r>
  <r>
    <s v="1e3522e9-61dd-4f1e-87f5-f5591e6d5da7"/>
    <x v="713"/>
    <s v="16:48"/>
    <x v="778"/>
    <s v="transfer"/>
    <s v="other"/>
    <s v="kbank"/>
    <x v="5"/>
    <s v="-"/>
    <m/>
    <s v="import"/>
    <s v=""/>
    <b v="0"/>
    <s v=""/>
  </r>
  <r>
    <s v="86b051a2-2aec-4634-b3d0-88b73798d68f"/>
    <x v="713"/>
    <s v="17:16"/>
    <x v="1123"/>
    <s v="expense"/>
    <s v="rc_cat_1781955063347_5qjb_1781955063348_xqml"/>
    <s v="rc_acc_1781955063347_0qmn"/>
    <x v="1"/>
    <s v="lotus ตั้งแต่ก่อนไป JP"/>
    <m/>
    <s v="import"/>
    <s v=""/>
    <b v="0"/>
    <s v=""/>
  </r>
  <r>
    <s v="fbbed855-b00f-43a5-82be-aa10934142a8"/>
    <x v="713"/>
    <s v="17:17"/>
    <x v="680"/>
    <s v="expense"/>
    <s v="rc_cat_1781955063347_5qjb_1781955063347_tezk"/>
    <s v="rc_acc_1781955063347_0qmn"/>
    <x v="1"/>
    <s v="ยอด 7-11 ถึง 14 oct"/>
    <m/>
    <s v="import"/>
    <s v=""/>
    <b v="0"/>
    <s v=""/>
  </r>
  <r>
    <s v="5d1bfcfe-e78c-42ea-a8a0-9a16a3e995a3"/>
    <x v="713"/>
    <s v="17:18"/>
    <x v="1124"/>
    <s v="expense"/>
    <s v="rc_cat_1781955063347_5qjb_1781955063347_tezk"/>
    <s v="rc_acc_1781955063347_0qmn"/>
    <x v="1"/>
    <s v="กินข้าว trip pattaya"/>
    <m/>
    <s v="import"/>
    <s v=""/>
    <b v="0"/>
    <s v=""/>
  </r>
  <r>
    <s v="489dfecb-14c5-4209-9199-60d557be4cc6"/>
    <x v="713"/>
    <s v="17:53"/>
    <x v="1125"/>
    <s v="expense"/>
    <s v="rc_cat_1781955063347_anhy_1781955063347_qnaz"/>
    <s v="rc_acc_1781955063347_uxz4"/>
    <x v="1"/>
    <s v="ais mobile"/>
    <m/>
    <s v="import"/>
    <s v=""/>
    <b v="0"/>
    <s v=""/>
  </r>
  <r>
    <s v="09d7b3cc-157b-43fc-9523-ef6a998476e7"/>
    <x v="713"/>
    <s v="17:58"/>
    <x v="1126"/>
    <s v="expense"/>
    <s v="other_1781955063348_27zj"/>
    <s v="rc_acc_1781955063347_uxz4"/>
    <x v="1"/>
    <s v="UOB fee"/>
    <m/>
    <s v="import"/>
    <s v=""/>
    <b v="0"/>
    <s v=""/>
  </r>
  <r>
    <s v="b4db7ea5-7b85-4912-9440-04059caf5af1"/>
    <x v="713"/>
    <s v="18:04"/>
    <x v="1127"/>
    <s v="expense"/>
    <s v="rc_cat_1781955063347_5qjb_1781955063347_tezk"/>
    <s v="rc_acc_1781955063347_0qmn"/>
    <x v="1"/>
    <s v="-"/>
    <m/>
    <s v="import"/>
    <s v=""/>
    <b v="0"/>
    <s v=""/>
  </r>
  <r>
    <s v="9e0310fd-bf3c-4550-adab-aaecd1641402"/>
    <x v="713"/>
    <s v="18:05"/>
    <x v="146"/>
    <s v="expense"/>
    <s v="entertain_1781955063352_1jgx"/>
    <s v="rc_acc_1781955063347_hv85"/>
    <x v="1"/>
    <s v="-"/>
    <m/>
    <s v="import"/>
    <s v=""/>
    <b v="0"/>
    <s v=""/>
  </r>
  <r>
    <s v="fe0c8f35-2a6e-4b00-a490-aaf7f0cf0be0"/>
    <x v="713"/>
    <s v="18:12"/>
    <x v="878"/>
    <s v="expense"/>
    <s v="rc_cat_1781955063347_5qjb_1781955063347_tezk"/>
    <s v="rc_acc_1781955063347_0qmn"/>
    <x v="1"/>
    <s v="shopee food ถึง 14 oct"/>
    <m/>
    <s v="import"/>
    <s v=""/>
    <b v="0"/>
    <s v=""/>
  </r>
  <r>
    <s v="a87cfd2c-5d24-459d-acb3-cb159b47bf06"/>
    <x v="713"/>
    <s v="18:22"/>
    <x v="1055"/>
    <s v="transfer"/>
    <s v="other"/>
    <s v="rc_acc_1781955063347_omhz"/>
    <x v="2"/>
    <s v="-"/>
    <m/>
    <s v="import"/>
    <s v=""/>
    <b v="0"/>
    <s v=""/>
  </r>
  <r>
    <s v="519aa892-c07a-4ff7-bb69-fce49e7ee7bf"/>
    <x v="713"/>
    <s v="18:30"/>
    <x v="22"/>
    <s v="income"/>
    <s v="other_1781955063347_5s7r"/>
    <s v="rc_acc_1781955063347_omhz"/>
    <x v="1"/>
    <s v="Difference"/>
    <m/>
    <s v="import"/>
    <s v=""/>
    <b v="0"/>
    <s v=""/>
  </r>
  <r>
    <s v="1061456c-4ca9-43dd-9169-1e9bb27138a2"/>
    <x v="713"/>
    <s v="18:34"/>
    <x v="1128"/>
    <s v="transfer"/>
    <s v="other"/>
    <s v="advance"/>
    <x v="5"/>
    <s v="-"/>
    <m/>
    <s v="import"/>
    <s v=""/>
    <b v="0"/>
    <s v=""/>
  </r>
  <r>
    <s v="559cfcc4-1a50-4974-919a-10ac00169fa7"/>
    <x v="713"/>
    <s v="18:34"/>
    <x v="1128"/>
    <s v="expense"/>
    <s v="rc_cat_1781955063347_5qjb_1781955063347_tezk"/>
    <s v="rc_acc_1781955063347_0qmn"/>
    <x v="1"/>
    <s v="-"/>
    <m/>
    <s v="import"/>
    <s v=""/>
    <b v="0"/>
    <s v=""/>
  </r>
  <r>
    <s v="b005f619-352a-4834-8e89-8c68b7a2f063"/>
    <x v="713"/>
    <s v="18:35"/>
    <x v="1129"/>
    <s v="income"/>
    <s v="other_1781955063347_5s7r"/>
    <s v="advance"/>
    <x v="1"/>
    <s v="Difference"/>
    <m/>
    <s v="import"/>
    <s v=""/>
    <b v="0"/>
    <s v=""/>
  </r>
  <r>
    <s v="131a2ea0-9732-4e49-a678-1b915b529f72"/>
    <x v="714"/>
    <s v="09:45"/>
    <x v="356"/>
    <s v="expense"/>
    <s v="rc_cat_1781955063347_5qjb_1781955063347_tezk"/>
    <s v="rc_acc_1781955063347_0qmn"/>
    <x v="1"/>
    <s v="-"/>
    <m/>
    <s v="import"/>
    <s v=""/>
    <b v="0"/>
    <s v=""/>
  </r>
  <r>
    <s v="62825201-6a68-4c97-a5a6-63900191f496"/>
    <x v="714"/>
    <s v="10:57"/>
    <x v="19"/>
    <s v="expense"/>
    <s v="rc_cat_1781955063347_anhy_1781955063348_k5l1"/>
    <s v="rc_acc_1781955063347_uxz4"/>
    <x v="1"/>
    <s v="-"/>
    <m/>
    <s v="import"/>
    <s v=""/>
    <b v="0"/>
    <s v=""/>
  </r>
  <r>
    <s v="7f0513f6-b994-4f0c-a7a3-9ceb4599a815"/>
    <x v="714"/>
    <s v="12:58"/>
    <x v="317"/>
    <s v="expense"/>
    <s v="rc_cat_1781955063347_5qjb_1781955063347_tezk"/>
    <s v="rc_acc_1781955063347_uxz4"/>
    <x v="1"/>
    <s v="-"/>
    <m/>
    <s v="import"/>
    <s v=""/>
    <b v="0"/>
    <s v=""/>
  </r>
  <r>
    <s v="0b3f4aa3-12b7-4f70-828a-bb8a8f2e4da6"/>
    <x v="715"/>
    <s v="09:44"/>
    <x v="356"/>
    <s v="expense"/>
    <s v="rc_cat_1781955063347_5qjb_1781955063347_tezk"/>
    <s v="rc_acc_1781955063347_0qmn"/>
    <x v="1"/>
    <s v="-"/>
    <m/>
    <s v="import"/>
    <s v=""/>
    <b v="0"/>
    <s v=""/>
  </r>
  <r>
    <s v="d1735591-b4f5-46bf-9ddd-3de4d2dce046"/>
    <x v="715"/>
    <s v="12:43"/>
    <x v="799"/>
    <s v="expense"/>
    <s v="rc_cat_1781955063347_5qjb_1781955063347_tezk"/>
    <s v="rc_acc_1781955063347_uxz4"/>
    <x v="1"/>
    <s v="-"/>
    <m/>
    <s v="import"/>
    <s v=""/>
    <b v="0"/>
    <s v=""/>
  </r>
  <r>
    <s v="74ede2db-28e0-4afb-ab11-5d7e1b4605c5"/>
    <x v="715"/>
    <s v="12:57"/>
    <x v="317"/>
    <s v="expense"/>
    <s v="rc_cat_1781955063347_5qjb_1781955063347_tezk"/>
    <s v="rc_acc_1781955063347_uxz4"/>
    <x v="1"/>
    <s v="-"/>
    <m/>
    <s v="import"/>
    <s v=""/>
    <b v="0"/>
    <s v=""/>
  </r>
  <r>
    <s v="2dec1002-9e44-4c9d-ada4-9260ebd8a7ce"/>
    <x v="715"/>
    <s v="22:25"/>
    <x v="1118"/>
    <s v="expense"/>
    <s v="rc_cat_1781955063347_5qjb_1781955063347_tezk"/>
    <s v="rc_acc_1781955063347_0qmn"/>
    <x v="1"/>
    <s v="-"/>
    <m/>
    <s v="import"/>
    <s v=""/>
    <b v="0"/>
    <s v=""/>
  </r>
  <r>
    <s v="85e29117-6a52-4050-a17f-920c8d9fb9d1"/>
    <x v="716"/>
    <s v="09:44"/>
    <x v="356"/>
    <s v="expense"/>
    <s v="rc_cat_1781955063347_5qjb_1781955063347_tezk"/>
    <s v="rc_acc_1781955063347_0qmn"/>
    <x v="1"/>
    <s v="-"/>
    <m/>
    <s v="import"/>
    <s v=""/>
    <b v="0"/>
    <s v=""/>
  </r>
  <r>
    <s v="16fa4a8a-5470-4c95-abd8-bfa0fb85e26a"/>
    <x v="716"/>
    <s v="13:17"/>
    <x v="185"/>
    <s v="expense"/>
    <s v="rc_cat_1781955063347_5qjb_1781955063347_tezk"/>
    <s v="rc_acc_1781955063347_uxz4"/>
    <x v="1"/>
    <s v="-"/>
    <m/>
    <s v="import"/>
    <s v=""/>
    <b v="0"/>
    <s v=""/>
  </r>
  <r>
    <s v="5bffd81b-0a3e-4b8c-9e97-16554908a5fe"/>
    <x v="717"/>
    <s v="15:58"/>
    <x v="1130"/>
    <s v="expense"/>
    <s v="rc_cat_1781955063347_5qjb_1781955063348_edf6"/>
    <s v="rc_acc_1781955063347_0qmn"/>
    <x v="1"/>
    <s v="-"/>
    <m/>
    <s v="import"/>
    <s v=""/>
    <b v="0"/>
    <s v=""/>
  </r>
  <r>
    <s v="fe2c3442-b23a-445e-806d-1f526ec4b66c"/>
    <x v="717"/>
    <s v="15:58"/>
    <x v="78"/>
    <s v="transfer"/>
    <s v="other"/>
    <s v="kbank"/>
    <x v="2"/>
    <s v="-"/>
    <m/>
    <s v="import"/>
    <s v=""/>
    <b v="0"/>
    <s v=""/>
  </r>
  <r>
    <s v="1dd5a656-a257-4ac2-88d7-57625f673c52"/>
    <x v="717"/>
    <s v="16:58"/>
    <x v="536"/>
    <s v="expense"/>
    <s v="rc_cat_1781955063347_5qjb_1781955063347_tezk"/>
    <s v="rc_acc_1781955063347_uxz4"/>
    <x v="1"/>
    <s v="burger iconsiam"/>
    <m/>
    <s v="import"/>
    <s v=""/>
    <b v="0"/>
    <s v=""/>
  </r>
  <r>
    <s v="724d73c8-9571-43d5-acc9-e78f58e71bd1"/>
    <x v="717"/>
    <s v="18:15"/>
    <x v="778"/>
    <s v="expense"/>
    <s v="rc_cat_1781955063347_5qjb_1781955063347_tezk"/>
    <s v="rc_acc_1781955063347_0qmn"/>
    <x v="1"/>
    <s v="yamasaki"/>
    <m/>
    <s v="import"/>
    <s v=""/>
    <b v="0"/>
    <s v=""/>
  </r>
  <r>
    <s v="7b5d06c7-924b-4d5a-82c8-a310a0029136"/>
    <x v="717"/>
    <s v="18:17"/>
    <x v="31"/>
    <s v="expense"/>
    <s v="rc_cat_1781955063347_5qjb_1781955063348_edf6"/>
    <s v="rc_acc_1781955063347_0qmn"/>
    <x v="1"/>
    <s v="-"/>
    <m/>
    <s v="import"/>
    <s v=""/>
    <b v="0"/>
    <s v=""/>
  </r>
  <r>
    <s v="12ab0838-9dfa-4558-8268-41367cd3c9bf"/>
    <x v="717"/>
    <s v="18:22"/>
    <x v="543"/>
    <s v="transfer"/>
    <s v="other"/>
    <s v="rc_acc_1781955063347_omhz"/>
    <x v="2"/>
    <s v="-"/>
    <m/>
    <s v="import"/>
    <s v=""/>
    <b v="0"/>
    <s v=""/>
  </r>
  <r>
    <s v="5e9a693d-9c66-4dca-a6d2-ca16ac5d36e9"/>
    <x v="717"/>
    <s v="19:02"/>
    <x v="941"/>
    <s v="transfer"/>
    <s v="other"/>
    <s v="rc_acc_1781955063351_8khv"/>
    <x v="5"/>
    <s v="-"/>
    <m/>
    <s v="import"/>
    <s v=""/>
    <b v="0"/>
    <s v=""/>
  </r>
  <r>
    <s v="e1a9fb4d-b0af-45f5-9ef7-9e4b68786e60"/>
    <x v="717"/>
    <s v="19:42"/>
    <x v="78"/>
    <s v="transfer"/>
    <s v="other"/>
    <s v="advance"/>
    <x v="5"/>
    <s v="-"/>
    <m/>
    <s v="import"/>
    <s v=""/>
    <b v="0"/>
    <s v=""/>
  </r>
  <r>
    <s v="bbe45ef1-9e06-44e9-8768-251e003feee6"/>
    <x v="717"/>
    <s v="19:59"/>
    <x v="1131"/>
    <s v="transfer"/>
    <s v="other"/>
    <s v="advance"/>
    <x v="5"/>
    <s v="-"/>
    <m/>
    <s v="import"/>
    <s v=""/>
    <b v="0"/>
    <s v=""/>
  </r>
  <r>
    <s v="aa4a0bfd-19fa-4eaf-aa65-883d6f156d4a"/>
    <x v="717"/>
    <s v="21:20"/>
    <x v="19"/>
    <s v="transfer"/>
    <s v="other"/>
    <s v="rc_acc_1781955063347_uxz4"/>
    <x v="16"/>
    <s v="-"/>
    <m/>
    <s v="import"/>
    <s v=""/>
    <b v="0"/>
    <s v=""/>
  </r>
  <r>
    <s v="2347d384-d8d8-4aa9-90e2-00d868f744ec"/>
    <x v="718"/>
    <s v="10:35"/>
    <x v="1008"/>
    <s v="expense"/>
    <s v="rc_cat_1781955063347_5qjb_1781955063347_tezk"/>
    <s v="rc_acc_1781955063347_0qmn"/>
    <x v="1"/>
    <s v="coffeelism"/>
    <m/>
    <s v="import"/>
    <s v=""/>
    <b v="0"/>
    <s v=""/>
  </r>
  <r>
    <s v="c20605b1-929d-4158-8374-7fbdff6bc014"/>
    <x v="718"/>
    <s v="11:55"/>
    <x v="768"/>
    <s v="expense"/>
    <s v="rc_cat_1781955063347_5qjb_1781955063347_tezk"/>
    <s v="rc_acc_1781955063347_uxz4"/>
    <x v="1"/>
    <s v="ของกินสยาม"/>
    <m/>
    <s v="import"/>
    <s v=""/>
    <b v="0"/>
    <s v=""/>
  </r>
  <r>
    <s v="0ed35aee-6d3e-4ed3-a0ff-d5c1180afede"/>
    <x v="718"/>
    <s v="12:11"/>
    <x v="769"/>
    <s v="expense"/>
    <s v="rc_cat_1781955063347_5qjb_1781955063347_tezk"/>
    <s v="rc_acc_1781955063347_0qmn"/>
    <x v="1"/>
    <s v="wargrill"/>
    <m/>
    <s v="import"/>
    <s v=""/>
    <b v="0"/>
    <s v=""/>
  </r>
  <r>
    <s v="5a6d9ea7-d40d-4fc7-a3e4-d46b8605f978"/>
    <x v="718"/>
    <s v="14:09"/>
    <x v="169"/>
    <s v="expense"/>
    <s v="rc_cat_1781955063347_5qjb_1781955063347_tezk"/>
    <s v="rc_acc_1781955063347_0qmn"/>
    <x v="1"/>
    <s v="-"/>
    <m/>
    <s v="import"/>
    <s v=""/>
    <b v="0"/>
    <s v=""/>
  </r>
  <r>
    <s v="59acaac2-0f1d-4b82-b329-0bbf8cfd1685"/>
    <x v="718"/>
    <s v="16:59"/>
    <x v="1132"/>
    <s v="expense"/>
    <s v="rc_cat_1781955063347_5qjb_1781955063347_irl1"/>
    <s v="rc_acc_1781955063347_sv7p"/>
    <x v="1"/>
    <s v="-"/>
    <m/>
    <s v="import"/>
    <s v=""/>
    <b v="0"/>
    <s v=""/>
  </r>
  <r>
    <s v="97010127-fc7e-4365-8fdb-7c7d22679a05"/>
    <x v="718"/>
    <s v="18:28"/>
    <x v="1133"/>
    <s v="expense"/>
    <s v="rc_cat_1781955063347_5qjb_1781955063348_xqml"/>
    <s v="rc_acc_1781955063347_0qmn"/>
    <x v="1"/>
    <s v="-"/>
    <m/>
    <s v="import"/>
    <s v=""/>
    <b v="0"/>
    <s v=""/>
  </r>
  <r>
    <s v="6213f2ca-a410-4735-bf9a-dcf6af8f4fa6"/>
    <x v="718"/>
    <s v="19:03"/>
    <x v="239"/>
    <s v="expense"/>
    <s v="rc_cat_1781955063347_5qjb_1781955063347_tezk"/>
    <s v="rc_acc_1781955063347_uxz4"/>
    <x v="1"/>
    <s v="-"/>
    <m/>
    <s v="import"/>
    <s v=""/>
    <b v="0"/>
    <s v=""/>
  </r>
  <r>
    <s v="5992bdea-88b7-4be0-a139-dbd138f58966"/>
    <x v="718"/>
    <s v="19:07"/>
    <x v="688"/>
    <s v="expense"/>
    <s v="rc_cat_1781955063347_5qjb_1781955063347_tezk"/>
    <s v="rc_acc_1781955063347_0qmn"/>
    <x v="1"/>
    <s v="-"/>
    <m/>
    <s v="import"/>
    <s v=""/>
    <b v="0"/>
    <s v=""/>
  </r>
  <r>
    <s v="a82d2766-3f25-451e-a871-9f1c4b4ee965"/>
    <x v="718"/>
    <s v="19:07"/>
    <x v="688"/>
    <s v="transfer"/>
    <s v="other"/>
    <s v="rc_acc_1781955063348_998o"/>
    <x v="5"/>
    <s v="-"/>
    <m/>
    <s v="import"/>
    <s v=""/>
    <b v="0"/>
    <s v=""/>
  </r>
  <r>
    <s v="7fe0074d-42db-4600-b844-7b05cecfab90"/>
    <x v="719"/>
    <s v="09:05"/>
    <x v="87"/>
    <s v="expense"/>
    <s v="rc_cat_1781955063347_5qjb_1781955063347_tezk"/>
    <s v="kbank"/>
    <x v="1"/>
    <s v="-"/>
    <m/>
    <s v="import"/>
    <s v=""/>
    <b v="0"/>
    <s v=""/>
  </r>
  <r>
    <s v="78ba9f24-2b68-4838-88f9-a0dd35772305"/>
    <x v="719"/>
    <s v="09:20"/>
    <x v="22"/>
    <s v="expense"/>
    <s v="rc_cat_1781955063347_5qjb_1781955063347_tezk"/>
    <s v="rc_acc_1781955063347_0qmn"/>
    <x v="1"/>
    <s v="coffeelism"/>
    <m/>
    <s v="import"/>
    <s v=""/>
    <b v="0"/>
    <s v=""/>
  </r>
  <r>
    <s v="63a6f1fb-2c9b-45f5-9003-0fe1221c9a75"/>
    <x v="719"/>
    <s v="12:54"/>
    <x v="22"/>
    <s v="expense"/>
    <s v="rc_cat_1781955063347_5qjb_1781955063347_tezk"/>
    <s v="rc_acc_1781955063347_uxz4"/>
    <x v="1"/>
    <s v="-"/>
    <m/>
    <s v="import"/>
    <s v=""/>
    <b v="0"/>
    <s v=""/>
  </r>
  <r>
    <s v="c09724a3-59e3-4c51-a9db-f88d83793893"/>
    <x v="720"/>
    <s v="08:30"/>
    <x v="265"/>
    <s v="expense"/>
    <s v="rc_cat_1781955063347_5qjb_1781955063347_tezk"/>
    <s v="kbank"/>
    <x v="1"/>
    <s v="-"/>
    <m/>
    <s v="import"/>
    <s v=""/>
    <b v="0"/>
    <s v=""/>
  </r>
  <r>
    <s v="20d5597e-d481-4488-a808-094bc6854a21"/>
    <x v="720"/>
    <s v="09:15"/>
    <x v="10"/>
    <s v="expense"/>
    <s v="rc_cat_1781955063347_5qjb_1781955063347_tezk"/>
    <s v="rc_acc_1781955063347_0qmn"/>
    <x v="1"/>
    <s v="-"/>
    <m/>
    <s v="import"/>
    <s v=""/>
    <b v="0"/>
    <s v=""/>
  </r>
  <r>
    <s v="47a9ca27-5861-42a1-ae13-ce9b7c36e737"/>
    <x v="720"/>
    <s v="09:54"/>
    <x v="199"/>
    <s v="expense"/>
    <s v="rc_cat_1781955063347_5qjb_1781955063347_tezk"/>
    <s v="rc_acc_1781955063347_uxz4"/>
    <x v="1"/>
    <s v="-"/>
    <m/>
    <s v="import"/>
    <s v=""/>
    <b v="0"/>
    <s v=""/>
  </r>
  <r>
    <s v="57806eac-3f4a-48c3-9dfc-c5378f220c67"/>
    <x v="721"/>
    <s v="09:00"/>
    <x v="783"/>
    <s v="expense"/>
    <s v="rc_cat_1781955063347_5qjb_1781955063347_tezk"/>
    <s v="rc_acc_1781955063347_0qmn"/>
    <x v="1"/>
    <s v="ขาหมู"/>
    <m/>
    <s v="import"/>
    <s v=""/>
    <b v="0"/>
    <s v=""/>
  </r>
  <r>
    <s v="6b44d50a-e47e-405f-9d6d-6423d266cb5b"/>
    <x v="721"/>
    <s v="09:25"/>
    <x v="22"/>
    <s v="expense"/>
    <s v="rc_cat_1781955063347_5qjb_1781955063347_tezk"/>
    <s v="rc_acc_1781955063347_0qmn"/>
    <x v="1"/>
    <s v="coffeelism"/>
    <m/>
    <s v="import"/>
    <s v=""/>
    <b v="0"/>
    <s v=""/>
  </r>
  <r>
    <s v="9c3dce95-f1d8-4058-a934-10ecbd6dc98e"/>
    <x v="721"/>
    <s v="12:19"/>
    <x v="998"/>
    <s v="expense"/>
    <s v="rc_cat_1781955063347_5qjb_1781955063347_tezk"/>
    <s v="rc_acc_1781955063347_uxz4"/>
    <x v="1"/>
    <s v="-"/>
    <m/>
    <s v="import"/>
    <s v=""/>
    <b v="0"/>
    <s v=""/>
  </r>
  <r>
    <s v="82801685-9c7a-49e9-aa45-bd253528a774"/>
    <x v="721"/>
    <s v="12:19"/>
    <x v="199"/>
    <s v="expense"/>
    <s v="rc_cat_1781955063347_5qjb_1781955063347_tezk"/>
    <s v="rc_acc_1781955063347_uxz4"/>
    <x v="1"/>
    <s v="-"/>
    <m/>
    <s v="import"/>
    <s v=""/>
    <b v="0"/>
    <s v=""/>
  </r>
  <r>
    <s v="d5309a17-c4f1-4453-b7b2-8ac3350ba67b"/>
    <x v="722"/>
    <s v="00:00"/>
    <x v="8"/>
    <s v="transfer"/>
    <s v="other"/>
    <s v="rc_acc_1781955063347_uxz4"/>
    <x v="25"/>
    <s v="-"/>
    <m/>
    <s v="import"/>
    <s v=""/>
    <b v="0"/>
    <s v=""/>
  </r>
  <r>
    <s v="ab57d74a-f59f-4143-a337-49e899385a5e"/>
    <x v="722"/>
    <s v="09:07"/>
    <x v="213"/>
    <s v="expense"/>
    <s v="rc_cat_1781955063347_5qjb_1781955063347_tezk"/>
    <s v="rc_acc_1781955063347_0qmn"/>
    <x v="1"/>
    <s v="ยอดถึง 13 ตค"/>
    <m/>
    <s v="import"/>
    <s v=""/>
    <b v="0"/>
    <s v=""/>
  </r>
  <r>
    <s v="52800ea4-a551-49d7-8761-50a100913539"/>
    <x v="722"/>
    <s v="09:15"/>
    <x v="1134"/>
    <s v="transfer"/>
    <s v="other"/>
    <s v="rc_acc_1781955063347_omhz"/>
    <x v="2"/>
    <s v="-"/>
    <m/>
    <s v="import"/>
    <s v=""/>
    <b v="0"/>
    <s v=""/>
  </r>
  <r>
    <s v="f08e94f9-b0b0-4da2-9f79-a95b050b6c77"/>
    <x v="722"/>
    <s v="09:19"/>
    <x v="1135"/>
    <s v="expense"/>
    <s v="rc_cat_1781955063347_04qb_1781955063347_wt5p"/>
    <s v="rc_acc_1781955063347_uxz4"/>
    <x v="1"/>
    <s v="-"/>
    <m/>
    <s v="import"/>
    <s v=""/>
    <b v="0"/>
    <s v=""/>
  </r>
  <r>
    <s v="133aa821-77db-4776-9ef4-47f1a222bb72"/>
    <x v="722"/>
    <s v="10:15"/>
    <x v="19"/>
    <s v="transfer"/>
    <s v="other"/>
    <s v="rc_acc_1781955063347_uxz4"/>
    <x v="16"/>
    <s v="-"/>
    <m/>
    <s v="import"/>
    <s v=""/>
    <b v="0"/>
    <s v=""/>
  </r>
  <r>
    <s v="cabe0514-aee8-4f59-bc2a-4cf3afd0509b"/>
    <x v="722"/>
    <s v="12:50"/>
    <x v="8"/>
    <s v="income"/>
    <s v="income_1781955063347_5zxt"/>
    <s v="rc_acc_1781955063347_0qmn"/>
    <x v="1"/>
    <s v="-"/>
    <m/>
    <s v="import"/>
    <s v=""/>
    <b v="0"/>
    <s v=""/>
  </r>
  <r>
    <s v="caae9c0a-a865-4ad1-ac44-3a97bef444ab"/>
    <x v="722"/>
    <s v="13:33"/>
    <x v="199"/>
    <s v="expense"/>
    <s v="rc_cat_1781955063347_5qjb_1781955063347_tezk"/>
    <s v="rc_acc_1781955063347_uxz4"/>
    <x v="1"/>
    <s v="-"/>
    <m/>
    <s v="import"/>
    <s v=""/>
    <b v="0"/>
    <s v=""/>
  </r>
  <r>
    <s v="9a3a0457-36a2-4736-afe2-f9f83993c644"/>
    <x v="723"/>
    <s v="09:09"/>
    <x v="199"/>
    <s v="expense"/>
    <s v="rc_cat_1781955063347_5qjb_1781955063347_tezk"/>
    <s v="rc_acc_1781955063347_uxz4"/>
    <x v="1"/>
    <s v="-"/>
    <m/>
    <s v="import"/>
    <s v=""/>
    <b v="0"/>
    <s v=""/>
  </r>
  <r>
    <s v="aa1c7c63-30a4-43f5-b418-fb810660746e"/>
    <x v="723"/>
    <s v="10:08"/>
    <x v="5"/>
    <s v="expense"/>
    <s v="rc_cat_1781955063347_anhy_1781955063348_k5l1"/>
    <s v="rc_acc_1781955063347_uxz4"/>
    <x v="1"/>
    <s v="ที่พัก outing"/>
    <m/>
    <s v="import"/>
    <s v=""/>
    <b v="0"/>
    <s v=""/>
  </r>
  <r>
    <s v="7e533b64-5167-44aa-ad63-678dd2c5799f"/>
    <x v="723"/>
    <s v="11:53"/>
    <x v="199"/>
    <s v="expense"/>
    <s v="rc_cat_1781955063347_5qjb_1781955063347_tezk"/>
    <s v="rc_acc_1781955063347_uxz4"/>
    <x v="1"/>
    <s v="-"/>
    <m/>
    <s v="import"/>
    <s v=""/>
    <b v="0"/>
    <s v=""/>
  </r>
  <r>
    <s v="3766662f-1e16-41db-b01b-81ed95663084"/>
    <x v="723"/>
    <s v="12:56"/>
    <x v="771"/>
    <s v="expense"/>
    <s v="rc_cat_1781955063347_5qjb_1781955063347_tezk"/>
    <s v="rc_acc_1781955063347_uxz4"/>
    <x v="1"/>
    <s v="-"/>
    <m/>
    <s v="import"/>
    <s v=""/>
    <b v="0"/>
    <s v=""/>
  </r>
  <r>
    <s v="90c14f49-b46e-469a-82b4-0d9bf88f3ea3"/>
    <x v="723"/>
    <s v="16:10"/>
    <x v="182"/>
    <s v="expense"/>
    <s v="entertain_1781955063349_gok1"/>
    <s v="rc_acc_1781955063347_uxz4"/>
    <x v="1"/>
    <s v="ที่พัก outing"/>
    <m/>
    <s v="import"/>
    <s v=""/>
    <b v="0"/>
    <s v=""/>
  </r>
  <r>
    <s v="213168d4-e17c-4270-84dd-05d76ac228a8"/>
    <x v="723"/>
    <s v="17:52"/>
    <x v="582"/>
    <s v="expense"/>
    <s v="rc_cat_1781955063347_5qjb_1781955063347_tezk"/>
    <s v="rc_acc_1781955063347_0qmn"/>
    <x v="1"/>
    <s v="-"/>
    <m/>
    <s v="import"/>
    <s v=""/>
    <b v="0"/>
    <s v=""/>
  </r>
  <r>
    <s v="89372d5b-6550-4769-86c3-b2a8ff68897a"/>
    <x v="723"/>
    <s v="18:53"/>
    <x v="677"/>
    <s v="expense"/>
    <s v="entertain_1781955063349_gok1"/>
    <s v="rc_acc_1781955063347_uxz4"/>
    <x v="1"/>
    <s v="-"/>
    <m/>
    <s v="import"/>
    <s v=""/>
    <b v="0"/>
    <s v=""/>
  </r>
  <r>
    <s v="7b33a7aa-cb78-44a6-bf07-78b3a03c80cb"/>
    <x v="723"/>
    <s v="21:51"/>
    <x v="1136"/>
    <s v="expense"/>
    <s v="rc_cat_1781955063347_5qjb_1781955063347_tezk"/>
    <s v="rc_acc_1781955063347_0qmn"/>
    <x v="1"/>
    <s v="shabushi หลังกลับสนามบิน"/>
    <m/>
    <s v="import"/>
    <s v=""/>
    <b v="0"/>
    <s v=""/>
  </r>
  <r>
    <s v="07636454-244d-47be-b45d-b3d3c5eb5e52"/>
    <x v="723"/>
    <s v="23:51"/>
    <x v="8"/>
    <s v="transfer"/>
    <s v="other"/>
    <s v="rc_acc_1781955063349_qn1n"/>
    <x v="5"/>
    <s v="Yuang"/>
    <m/>
    <s v="import"/>
    <s v=""/>
    <b v="0"/>
    <s v=""/>
  </r>
  <r>
    <s v="9249ebb5-6066-4d2e-af94-fce95e6ca981"/>
    <x v="724"/>
    <s v="12:03"/>
    <x v="169"/>
    <s v="expense"/>
    <s v="rc_cat_1781955063347_5qjb_1781955063347_tezk"/>
    <s v="rc_acc_1781955063347_uxz4"/>
    <x v="1"/>
    <s v="-"/>
    <m/>
    <s v="import"/>
    <s v=""/>
    <b v="0"/>
    <s v=""/>
  </r>
  <r>
    <s v="2ca3a6c1-4093-4b77-9608-3cdfad13f7ab"/>
    <x v="724"/>
    <s v="13:23"/>
    <x v="356"/>
    <s v="expense"/>
    <s v="rc_cat_1781955063347_5qjb_1781955063347_tezk"/>
    <s v="rc_acc_1781955063347_0qmn"/>
    <x v="1"/>
    <s v="-"/>
    <m/>
    <s v="import"/>
    <s v=""/>
    <b v="0"/>
    <s v=""/>
  </r>
  <r>
    <s v="bd87344a-5786-4553-87a6-3e75b65a780c"/>
    <x v="724"/>
    <s v="14:02"/>
    <x v="768"/>
    <s v="expense"/>
    <s v="rc_cat_1781955063347_5qjb_1781955063347_irl1"/>
    <s v="rc_acc_1781955063347_uxz4"/>
    <x v="1"/>
    <s v="-"/>
    <m/>
    <s v="import"/>
    <s v=""/>
    <b v="0"/>
    <s v=""/>
  </r>
  <r>
    <s v="c63e2b5a-e2de-4bf0-8832-cbfa1972ec5e"/>
    <x v="724"/>
    <s v="18:09"/>
    <x v="785"/>
    <s v="transfer"/>
    <s v="other"/>
    <s v="rc_acc_1781955063347_uxz4"/>
    <x v="26"/>
    <s v="-"/>
    <m/>
    <s v="import"/>
    <s v=""/>
    <b v="0"/>
    <s v=""/>
  </r>
  <r>
    <s v="6295d420-d68e-42e6-a1a6-473fb010a161"/>
    <x v="724"/>
    <s v="20:12"/>
    <x v="594"/>
    <s v="expense"/>
    <s v="rc_cat_1781955063347_s4sz_1781955063347_9tpp"/>
    <s v="rc_acc_1781955063347_uxz4"/>
    <x v="1"/>
    <s v="-"/>
    <m/>
    <s v="import"/>
    <s v=""/>
    <b v="0"/>
    <s v=""/>
  </r>
  <r>
    <s v="b5422ba4-d094-4bf9-93ce-1c3ec9d96004"/>
    <x v="724"/>
    <s v="20:18"/>
    <x v="387"/>
    <s v="expense"/>
    <s v="rc_cat_1781955063347_5qjb_1781955063348_laj8"/>
    <s v="rc_acc_1781955063347_uxz4"/>
    <x v="1"/>
    <s v="-"/>
    <m/>
    <s v="import"/>
    <s v=""/>
    <b v="0"/>
    <s v=""/>
  </r>
  <r>
    <s v="dd5901a7-97f6-43f1-8f54-5a09cfae9b83"/>
    <x v="724"/>
    <s v="20:23"/>
    <x v="1137"/>
    <s v="transfer"/>
    <s v="other"/>
    <s v="kbank"/>
    <x v="2"/>
    <s v="JPY ที่พัก"/>
    <m/>
    <s v="import"/>
    <s v=""/>
    <b v="0"/>
    <s v=""/>
  </r>
  <r>
    <s v="30228c56-602e-4090-a09a-b1f07f14c0df"/>
    <x v="724"/>
    <s v="20:53"/>
    <x v="785"/>
    <s v="expense"/>
    <s v="entertain_1781955063348_kx2f"/>
    <s v="rc_acc_1781955063350_i8ms"/>
    <x v="1"/>
    <s v="s22 ultra(1/10)"/>
    <m/>
    <s v="import"/>
    <s v=""/>
    <b v="0"/>
    <s v=""/>
  </r>
  <r>
    <s v="d9cee0f7-5fcd-46fd-a7ca-070c502c2dd2"/>
    <x v="725"/>
    <s v="07:02"/>
    <x v="401"/>
    <s v="income"/>
    <s v="income_1781955063347_zblt"/>
    <s v="rc_acc_1781955063347_uxz4"/>
    <x v="1"/>
    <s v="ยอดเฟินตีกลับ"/>
    <m/>
    <s v="import"/>
    <s v=""/>
    <b v="0"/>
    <s v=""/>
  </r>
  <r>
    <s v="6b8cfc56-8888-40f4-92ec-f87cd9f3755f"/>
    <x v="725"/>
    <s v="14:47"/>
    <x v="22"/>
    <s v="expense"/>
    <s v="rc_cat_1781955063347_s4sz_1781955063347_9tpp"/>
    <s v="rc_acc_1781955063347_uxz4"/>
    <x v="1"/>
    <s v="เสื้อ theme"/>
    <m/>
    <s v="import"/>
    <s v=""/>
    <b v="0"/>
    <s v=""/>
  </r>
  <r>
    <s v="ba784866-81fa-459b-aa46-b88c6d10bcbe"/>
    <x v="725"/>
    <s v="15:47"/>
    <x v="22"/>
    <s v="expense"/>
    <s v="rc_cat_1781955063347_5qjb_1781955063347_tezk"/>
    <s v="rc_acc_1781955063347_uxz4"/>
    <x v="1"/>
    <s v="-"/>
    <m/>
    <s v="import"/>
    <s v=""/>
    <b v="0"/>
    <s v=""/>
  </r>
  <r>
    <s v="b20bf0e4-0542-4064-b90b-7dcaba588efd"/>
    <x v="725"/>
    <s v="17:12"/>
    <x v="1138"/>
    <s v="expense"/>
    <s v="entertain_1781955063349_gok1"/>
    <s v="rc_acc_1781955063347_uxz4"/>
    <x v="1"/>
    <s v="ซื้อของแต่งตัวโลตัส"/>
    <m/>
    <s v="import"/>
    <s v=""/>
    <b v="0"/>
    <s v=""/>
  </r>
  <r>
    <s v="a85e80cc-0059-4776-ad19-37471c9e61f9"/>
    <x v="726"/>
    <s v="08:05"/>
    <x v="22"/>
    <s v="expense"/>
    <s v="rc_cat_1781955063347_5qjb_1781955063347_tezk"/>
    <s v="rc_acc_1781955063347_uxz4"/>
    <x v="1"/>
    <s v="-"/>
    <m/>
    <s v="import"/>
    <s v=""/>
    <b v="0"/>
    <s v=""/>
  </r>
  <r>
    <s v="301dff81-b3db-438a-92ba-4190f6ecabe0"/>
    <x v="726"/>
    <s v="08:48"/>
    <x v="199"/>
    <s v="expense"/>
    <s v="rc_cat_1781955063347_5qjb_1781955063347_tezk"/>
    <s v="rc_acc_1781955063347_uxz4"/>
    <x v="1"/>
    <s v="-"/>
    <m/>
    <s v="import"/>
    <s v=""/>
    <b v="0"/>
    <s v=""/>
  </r>
  <r>
    <s v="473a7bfe-b53a-49d2-9bf3-7d7da635931a"/>
    <x v="726"/>
    <s v="10:01"/>
    <x v="1139"/>
    <s v="transfer"/>
    <s v="other"/>
    <s v="advance"/>
    <x v="5"/>
    <s v="JPY ยอดวัด"/>
    <m/>
    <s v="import"/>
    <s v=""/>
    <b v="0"/>
    <s v=""/>
  </r>
  <r>
    <s v="3237b465-cd1d-4a13-8c33-182b659bd408"/>
    <x v="726"/>
    <s v="11:33"/>
    <x v="608"/>
    <s v="expense"/>
    <s v="rc_cat_1781955063347_5qjb_1781955063347_tezk"/>
    <s v="rc_acc_1781955063347_0qmn"/>
    <x v="1"/>
    <s v="-"/>
    <m/>
    <s v="import"/>
    <s v=""/>
    <b v="0"/>
    <s v=""/>
  </r>
  <r>
    <s v="7944d995-c1fb-49c0-8ea6-74ed96e47ae2"/>
    <x v="727"/>
    <s v="07:45"/>
    <x v="755"/>
    <s v="expense"/>
    <s v="rc_cat_1781955063347_5qjb_1781955063347_tezk"/>
    <s v="rc_acc_1781955063347_0qmn"/>
    <x v="1"/>
    <s v="-"/>
    <m/>
    <s v="import"/>
    <s v=""/>
    <b v="0"/>
    <s v=""/>
  </r>
  <r>
    <s v="71cf2cbe-4fd9-4c40-8aad-137019ef2d7e"/>
    <x v="727"/>
    <s v="08:10"/>
    <x v="150"/>
    <s v="expense"/>
    <s v="rc_cat_1781955063347_5qjb_1781955063347_tezk"/>
    <s v="rc_acc_1781955063347_uxz4"/>
    <x v="1"/>
    <s v="-"/>
    <m/>
    <s v="import"/>
    <s v=""/>
    <b v="0"/>
    <s v=""/>
  </r>
  <r>
    <s v="ea725491-9b02-41c0-a9bf-1c778f8a0304"/>
    <x v="727"/>
    <s v="12:25"/>
    <x v="805"/>
    <s v="expense"/>
    <s v="rc_cat_1781955063347_5qjb_1781955063347_tezk"/>
    <s v="rc_acc_1781955063347_uxz4"/>
    <x v="1"/>
    <s v="-"/>
    <m/>
    <s v="import"/>
    <s v=""/>
    <b v="0"/>
    <s v=""/>
  </r>
  <r>
    <s v="502fc798-83ba-4e5b-9ff0-92773c7580e0"/>
    <x v="727"/>
    <s v="12:45"/>
    <x v="150"/>
    <s v="expense"/>
    <s v="rc_cat_1781955063347_5qjb_1781955063347_tezk"/>
    <s v="rc_acc_1781955063347_uxz4"/>
    <x v="1"/>
    <s v="-"/>
    <m/>
    <s v="import"/>
    <s v=""/>
    <b v="0"/>
    <s v=""/>
  </r>
  <r>
    <s v="ec7689af-0bff-475c-b69c-adb2ca5fe6e2"/>
    <x v="727"/>
    <s v="20:26"/>
    <x v="959"/>
    <s v="expense"/>
    <s v="rc_cat_1781955063347_5qjb_1781955063347_tezk"/>
    <s v="rc_acc_1781955063347_0qmn"/>
    <x v="1"/>
    <s v="momo"/>
    <m/>
    <s v="import"/>
    <s v=""/>
    <b v="0"/>
    <s v=""/>
  </r>
  <r>
    <s v="6adecc0c-aca8-4cc9-8ea6-9a95fd3124ee"/>
    <x v="727"/>
    <s v="23:05"/>
    <x v="1140"/>
    <s v="transfer"/>
    <s v="other"/>
    <s v="advance"/>
    <x v="5"/>
    <s v="JPY ยอดพี่อั๋น"/>
    <m/>
    <s v="import"/>
    <s v=""/>
    <b v="0"/>
    <s v=""/>
  </r>
  <r>
    <s v="fb84eb10-8f64-48cb-8089-d8602824c502"/>
    <x v="728"/>
    <s v="00:00"/>
    <x v="1141"/>
    <s v="expense"/>
    <s v="rc_cat_1781955063347_04qb_1781955063347_lu9b"/>
    <s v="rc_acc_1781955063347_uxz4"/>
    <x v="1"/>
    <s v="-"/>
    <m/>
    <s v="import"/>
    <s v=""/>
    <b v="0"/>
    <s v=""/>
  </r>
  <r>
    <s v="cbb96782-5a06-4888-9d65-e6b453875ddb"/>
    <x v="728"/>
    <s v="00:00"/>
    <x v="1142"/>
    <s v="expense"/>
    <s v="rc_cat_1781955063347_04qb_1781955063347_kgnn"/>
    <s v="rc_acc_1781955063347_uxz4"/>
    <x v="1"/>
    <s v="-"/>
    <m/>
    <s v="import"/>
    <s v=""/>
    <b v="0"/>
    <s v=""/>
  </r>
  <r>
    <s v="aaf684f4-7453-49f9-809f-31c4a767b14a"/>
    <x v="728"/>
    <s v="00:00"/>
    <x v="1025"/>
    <s v="transfer"/>
    <s v="other"/>
    <s v="rc_acc_1781955063347_uxz4"/>
    <x v="8"/>
    <s v="-"/>
    <m/>
    <s v="import"/>
    <s v=""/>
    <b v="0"/>
    <s v=""/>
  </r>
  <r>
    <s v="aedf8424-4671-4e97-acd5-26a4b00ff3ab"/>
    <x v="728"/>
    <s v="00:00"/>
    <x v="743"/>
    <s v="transfer"/>
    <s v="other"/>
    <s v="rc_acc_1781955063347_uxz4"/>
    <x v="20"/>
    <s v="-"/>
    <m/>
    <s v="import"/>
    <s v=""/>
    <b v="0"/>
    <s v=""/>
  </r>
  <r>
    <s v="f9d4b8ec-bb71-4640-9ffa-e67931d703ba"/>
    <x v="728"/>
    <s v="00:00"/>
    <x v="31"/>
    <s v="transfer"/>
    <s v="other"/>
    <s v="rc_acc_1781955063347_uxz4"/>
    <x v="7"/>
    <s v="-"/>
    <m/>
    <s v="import"/>
    <s v=""/>
    <b v="0"/>
    <s v=""/>
  </r>
  <r>
    <s v="88395fb7-d55b-4480-b042-0e3fd3f6e30b"/>
    <x v="728"/>
    <s v="00:00"/>
    <x v="128"/>
    <s v="transfer"/>
    <s v="other"/>
    <s v="rc_acc_1781955063347_uxz4"/>
    <x v="21"/>
    <s v="-"/>
    <m/>
    <s v="import"/>
    <s v=""/>
    <b v="0"/>
    <s v=""/>
  </r>
  <r>
    <s v="140e022f-bd74-4d50-a9c8-dd896e059e0a"/>
    <x v="728"/>
    <s v="00:00"/>
    <x v="1028"/>
    <s v="income"/>
    <s v="income_1781955063347_5zxt"/>
    <s v="rc_acc_1781955063347_uxz4"/>
    <x v="1"/>
    <s v="-"/>
    <m/>
    <s v="import"/>
    <s v=""/>
    <b v="0"/>
    <s v=""/>
  </r>
  <r>
    <s v="d6999863-cbe9-45d9-81ab-0ac9396175d4"/>
    <x v="728"/>
    <s v="00:00"/>
    <x v="1073"/>
    <s v="expense"/>
    <s v="rc_cat_1781955063347_04qb_1781955063350_acgf"/>
    <s v="rc_acc_1781955063347_uxz4"/>
    <x v="1"/>
    <s v="-"/>
    <m/>
    <s v="import"/>
    <s v=""/>
    <b v="0"/>
    <s v=""/>
  </r>
  <r>
    <s v="b4ca84c7-d9fa-4bd9-a849-e41b767ff58f"/>
    <x v="728"/>
    <s v="08:58"/>
    <x v="1143"/>
    <s v="expense"/>
    <s v="rc_cat_1781955063347_5qjb_1781955063347_tezk"/>
    <s v="rc_acc_1781955063347_uxz4"/>
    <x v="1"/>
    <s v="-"/>
    <m/>
    <s v="import"/>
    <s v=""/>
    <b v="0"/>
    <s v=""/>
  </r>
  <r>
    <s v="64a11ad9-5917-4d38-bde9-510b834dad05"/>
    <x v="728"/>
    <s v="09:28"/>
    <x v="356"/>
    <s v="expense"/>
    <s v="rc_cat_1781955063347_5qjb_1781955063347_tezk"/>
    <s v="rc_acc_1781955063347_0qmn"/>
    <x v="1"/>
    <s v="-"/>
    <m/>
    <s v="import"/>
    <s v=""/>
    <b v="0"/>
    <s v=""/>
  </r>
  <r>
    <s v="1104f84a-e797-46c7-9dac-5c533e4a1ead"/>
    <x v="728"/>
    <s v="19:27"/>
    <x v="1144"/>
    <s v="expense"/>
    <s v="rc_cat_1781955063347_5qjb_1781955063347_tezk"/>
    <s v="rc_acc_1781955063347_0qmn"/>
    <x v="1"/>
    <s v="เสต็กหน้าแบงก์"/>
    <m/>
    <s v="import"/>
    <s v=""/>
    <b v="0"/>
    <s v=""/>
  </r>
  <r>
    <s v="84f01038-0b07-4d15-940b-ea62b2857c66"/>
    <x v="729"/>
    <s v="09:35"/>
    <x v="1008"/>
    <s v="expense"/>
    <s v="rc_cat_1781955063347_5qjb_1781955063347_tezk"/>
    <s v="rc_acc_1781955063347_0qmn"/>
    <x v="1"/>
    <s v="-"/>
    <m/>
    <s v="import"/>
    <s v=""/>
    <b v="0"/>
    <s v=""/>
  </r>
  <r>
    <s v="c42c387d-0609-416f-964a-bf993cc7293c"/>
    <x v="729"/>
    <s v="12:45"/>
    <x v="616"/>
    <s v="expense"/>
    <s v="rc_cat_1781955063347_5qjb_1781955063347_tezk"/>
    <s v="rc_acc_1781955063347_uxz4"/>
    <x v="1"/>
    <s v="-"/>
    <m/>
    <s v="import"/>
    <s v=""/>
    <b v="0"/>
    <s v=""/>
  </r>
  <r>
    <s v="b1fd77ab-4e4d-402e-ac06-b403c79160d3"/>
    <x v="729"/>
    <s v="18:55"/>
    <x v="1145"/>
    <s v="transfer"/>
    <s v="other"/>
    <s v="rc_acc_1781955063347_uxz4"/>
    <x v="2"/>
    <s v="JPY huis ten bosch"/>
    <m/>
    <s v="import"/>
    <s v=""/>
    <b v="0"/>
    <s v=""/>
  </r>
  <r>
    <s v="5bba07d2-1848-4ad5-93d1-cddece1c41cf"/>
    <x v="729"/>
    <s v="18:55"/>
    <x v="1146"/>
    <s v="transfer"/>
    <s v="other"/>
    <s v="advance"/>
    <x v="5"/>
    <s v="JPY ค่ารองเท้าเฟิน ส่วนของอุ้ย"/>
    <m/>
    <s v="import"/>
    <s v=""/>
    <b v="0"/>
    <s v=""/>
  </r>
  <r>
    <s v="2cce80a0-5499-4df1-9436-49aa859fdc3d"/>
    <x v="730"/>
    <s v="15:24"/>
    <x v="783"/>
    <s v="expense"/>
    <s v="rc_cat_1781955063347_5qjb_1781955063347_tezk"/>
    <s v="kbank"/>
    <x v="1"/>
    <s v="alto"/>
    <m/>
    <s v="import"/>
    <s v=""/>
    <b v="0"/>
    <s v=""/>
  </r>
  <r>
    <s v="d7d20b4e-e79c-4acb-b9b9-2ce1346a0628"/>
    <x v="730"/>
    <s v="19:44"/>
    <x v="1147"/>
    <s v="expense"/>
    <s v="entertain_1781955063349_gok1"/>
    <s v="advance"/>
    <x v="1"/>
    <s v="เงินสด JPY ใช้เอง"/>
    <m/>
    <s v="import"/>
    <s v=""/>
    <b v="0"/>
    <s v=""/>
  </r>
  <r>
    <s v="1e188ff0-c18f-4fbd-8506-a7800580b0cf"/>
    <x v="730"/>
    <s v="19:53"/>
    <x v="1148"/>
    <s v="transfer"/>
    <s v="other"/>
    <s v="rc_acc_1781955063352_d0kz"/>
    <x v="2"/>
    <s v="-"/>
    <m/>
    <s v="import"/>
    <s v=""/>
    <b v="0"/>
    <s v=""/>
  </r>
  <r>
    <s v="08bbe262-c5bd-4e4b-873c-b8d646d57588"/>
    <x v="730"/>
    <s v="20:02"/>
    <x v="1149"/>
    <s v="expense"/>
    <s v="entertain_1781955063349_gok1"/>
    <s v="advance"/>
    <x v="1"/>
    <s v="ยอด travel card เราเอง"/>
    <m/>
    <s v="import"/>
    <s v=""/>
    <b v="0"/>
    <s v=""/>
  </r>
  <r>
    <s v="a58cf90c-7097-4d2d-923c-4aa2e5b574fe"/>
    <x v="730"/>
    <s v="20:14"/>
    <x v="1150"/>
    <s v="expense"/>
    <s v="entertain_1781955063349_gok1"/>
    <s v="advance"/>
    <x v="1"/>
    <s v="ยอดเงินสดคนอื่นออกให้ JPY"/>
    <m/>
    <s v="import"/>
    <s v=""/>
    <b v="0"/>
    <s v=""/>
  </r>
  <r>
    <s v="0f0e8f2c-2b01-4d88-bb96-0056b11706f9"/>
    <x v="730"/>
    <s v="20:18"/>
    <x v="1151"/>
    <s v="expense"/>
    <s v="entertain_1781955063349_gok1"/>
    <s v="advance"/>
    <x v="1"/>
    <s v="ยอด thb เราเอง"/>
    <m/>
    <s v="import"/>
    <s v=""/>
    <b v="0"/>
    <s v=""/>
  </r>
  <r>
    <s v="45f43ea9-ece1-4908-8467-98732d97994c"/>
    <x v="731"/>
    <s v="20:07"/>
    <x v="261"/>
    <s v="expense"/>
    <s v="rc_cat_1781955063347_5qjb_1781955063347_tezk"/>
    <s v="rc_acc_1781955063347_0qmn"/>
    <x v="1"/>
    <s v="-"/>
    <m/>
    <s v="import"/>
    <s v=""/>
    <b v="0"/>
    <s v=""/>
  </r>
  <r>
    <s v="310d4ea1-b5e9-4257-bae4-7dbeb80a49f1"/>
    <x v="732"/>
    <s v="00:20"/>
    <x v="99"/>
    <s v="transfer"/>
    <s v="other"/>
    <s v="rc_acc_1781955063347_uxz4"/>
    <x v="9"/>
    <s v="-"/>
    <m/>
    <s v="import"/>
    <s v=""/>
    <b v="0"/>
    <s v=""/>
  </r>
  <r>
    <s v="5062f082-cc0b-45bf-a088-fa7df78da24a"/>
    <x v="733"/>
    <s v="09:53"/>
    <x v="749"/>
    <s v="expense"/>
    <s v="rc_cat_1781955063347_5qjb_1781955063347_tezk"/>
    <s v="rc_acc_1781955063347_uxz4"/>
    <x v="1"/>
    <s v="-"/>
    <m/>
    <s v="import"/>
    <s v=""/>
    <b v="0"/>
    <s v=""/>
  </r>
  <r>
    <s v="95b87dec-b3e7-4405-9189-1a1a219f477b"/>
    <x v="733"/>
    <s v="22:00"/>
    <x v="387"/>
    <s v="expense"/>
    <s v="rc_cat_1781955063347_5qjb_1781955063348_laj8"/>
    <s v="rc_acc_1781955063348_w3gp"/>
    <x v="1"/>
    <s v="-"/>
    <m/>
    <s v="import"/>
    <s v=""/>
    <b v="0"/>
    <s v=""/>
  </r>
  <r>
    <s v="7ae543c1-c03b-457a-8353-13a4d9b302ad"/>
    <x v="734"/>
    <s v="09:14"/>
    <x v="1152"/>
    <s v="expense"/>
    <s v="rc_cat_1781955063347_5qjb_1781955063347_tezk"/>
    <s v="rc_acc_1781955063347_0qmn"/>
    <x v="1"/>
    <s v="หมูปิ้ง"/>
    <m/>
    <s v="import"/>
    <s v=""/>
    <b v="0"/>
    <s v=""/>
  </r>
  <r>
    <s v="ce4a4d6d-2015-464e-b6af-06bb0a156b0d"/>
    <x v="734"/>
    <s v="09:14"/>
    <x v="199"/>
    <s v="expense"/>
    <s v="rc_cat_1781955063347_5qjb_1781955063347_tezk"/>
    <s v="rc_acc_1781955063347_uxz4"/>
    <x v="1"/>
    <s v="-"/>
    <m/>
    <s v="import"/>
    <s v=""/>
    <b v="0"/>
    <s v=""/>
  </r>
  <r>
    <s v="ab8b74da-0804-4c51-bbf2-22ec6ef86eec"/>
    <x v="734"/>
    <s v="12:30"/>
    <x v="1153"/>
    <s v="expense"/>
    <s v="rc_cat_1781955063347_5qjb_1781955063347_tezk"/>
    <s v="rc_acc_1781955063347_uxz4"/>
    <x v="1"/>
    <s v="-"/>
    <m/>
    <s v="import"/>
    <s v=""/>
    <b v="0"/>
    <s v=""/>
  </r>
  <r>
    <s v="804f953b-948d-409b-b3c7-187d924a9fde"/>
    <x v="734"/>
    <s v="12:53"/>
    <x v="150"/>
    <s v="expense"/>
    <s v="rc_cat_1781955063347_5qjb_1781955063347_tezk"/>
    <s v="rc_acc_1781955063347_uxz4"/>
    <x v="1"/>
    <s v="-"/>
    <m/>
    <s v="import"/>
    <s v=""/>
    <b v="0"/>
    <s v=""/>
  </r>
  <r>
    <s v="92bbcfa2-2195-48c6-b206-39bb30de06ea"/>
    <x v="734"/>
    <s v="19:00"/>
    <x v="1154"/>
    <s v="income"/>
    <s v="income_1781955063351_3ab8"/>
    <s v="rc_acc_1781955063348_hnxg"/>
    <x v="1"/>
    <s v="-"/>
    <m/>
    <s v="import"/>
    <s v=""/>
    <b v="0"/>
    <s v=""/>
  </r>
  <r>
    <s v="1278378e-30c5-42c4-8f15-4357546b71ab"/>
    <x v="734"/>
    <s v="19:21"/>
    <x v="1155"/>
    <s v="transfer"/>
    <s v="other"/>
    <s v="rc_acc_1781955063348_no9r"/>
    <x v="32"/>
    <s v="-"/>
    <m/>
    <s v="import"/>
    <s v=""/>
    <b v="0"/>
    <s v=""/>
  </r>
  <r>
    <s v="7d374e2d-3037-4392-ae93-80ec0f4fc69c"/>
    <x v="735"/>
    <s v="08:50"/>
    <x v="87"/>
    <s v="expense"/>
    <s v="rc_cat_1781955063347_5qjb_1781955063347_tezk"/>
    <s v="rc_acc_1781955063347_uxz4"/>
    <x v="1"/>
    <s v="-"/>
    <m/>
    <s v="import"/>
    <s v=""/>
    <b v="0"/>
    <s v=""/>
  </r>
  <r>
    <s v="12243b63-9e96-4937-baf6-ec08ef9f2e67"/>
    <x v="735"/>
    <s v="09:20"/>
    <x v="608"/>
    <s v="expense"/>
    <s v="rc_cat_1781955063347_5qjb_1781955063347_tezk"/>
    <s v="rc_acc_1781955063347_uxz4"/>
    <x v="1"/>
    <s v="-"/>
    <m/>
    <s v="import"/>
    <s v=""/>
    <b v="0"/>
    <s v=""/>
  </r>
  <r>
    <s v="846995a0-0ffd-43dd-a5f1-54ff39eda929"/>
    <x v="735"/>
    <s v="09:36"/>
    <x v="22"/>
    <s v="expense"/>
    <s v="rc_cat_1781955063347_5qjb_1781955063347_tezk"/>
    <s v="rc_acc_1781955063347_0qmn"/>
    <x v="1"/>
    <s v="-"/>
    <m/>
    <s v="import"/>
    <s v=""/>
    <b v="0"/>
    <s v=""/>
  </r>
  <r>
    <s v="19b21f68-e2dc-44d8-8097-3a99677335aa"/>
    <x v="735"/>
    <s v="14:51"/>
    <x v="150"/>
    <s v="expense"/>
    <s v="rc_cat_1781955063347_5qjb_1781955063347_tezk"/>
    <s v="rc_acc_1781955063347_uxz4"/>
    <x v="1"/>
    <s v="-"/>
    <m/>
    <s v="import"/>
    <s v=""/>
    <b v="0"/>
    <s v=""/>
  </r>
  <r>
    <s v="888fa0db-cce2-4c8a-acc6-39c2f203ede2"/>
    <x v="735"/>
    <s v="18:51"/>
    <x v="1156"/>
    <s v="transfer"/>
    <s v="other"/>
    <s v="rc_acc_1781955063347_uxz4"/>
    <x v="2"/>
    <s v="JPY MSIG"/>
    <m/>
    <s v="import"/>
    <s v=""/>
    <b v="0"/>
    <s v=""/>
  </r>
  <r>
    <s v="7713212e-5f24-4c03-963b-4d481155607d"/>
    <x v="735"/>
    <s v="18:58"/>
    <x v="1096"/>
    <s v="expense"/>
    <s v="rc_cat_1781955063347_5qjb_1781955063347_tezk"/>
    <s v="rc_acc_1781955063347_0qmn"/>
    <x v="1"/>
    <s v="คั่วไก่"/>
    <m/>
    <s v="import"/>
    <s v=""/>
    <b v="0"/>
    <s v=""/>
  </r>
  <r>
    <s v="c95cab03-92bf-45e0-92e3-ed6ffa948c51"/>
    <x v="736"/>
    <s v="10:24"/>
    <x v="1157"/>
    <s v="expense"/>
    <s v="rc_cat_1781955063347_5qjb_1781955063348_edf6"/>
    <s v="rc_acc_1781955063347_0qmn"/>
    <x v="1"/>
    <s v="-"/>
    <m/>
    <s v="import"/>
    <s v=""/>
    <b v="0"/>
    <s v=""/>
  </r>
  <r>
    <s v="744cf467-3223-4aa8-971f-1be6e616c6dd"/>
    <x v="736"/>
    <s v="10:37"/>
    <x v="1158"/>
    <s v="expense"/>
    <s v="rc_cat_1781955063347_5qjb_1781955063347_tezk"/>
    <s v="rc_acc_1781955063347_0qmn"/>
    <x v="1"/>
    <s v="ยอด shopee ถึง 10 ตค"/>
    <m/>
    <s v="import"/>
    <s v=""/>
    <b v="0"/>
    <s v=""/>
  </r>
  <r>
    <s v="077e1ee9-90ac-4dc8-b731-c015897ca0b3"/>
    <x v="736"/>
    <s v="10:38"/>
    <x v="1159"/>
    <s v="expense"/>
    <s v="entertain_1781955063349_gok1"/>
    <s v="rc_acc_1781955063347_0qmn"/>
    <x v="1"/>
    <s v="sim2fly"/>
    <m/>
    <s v="import"/>
    <s v=""/>
    <b v="0"/>
    <s v=""/>
  </r>
  <r>
    <s v="7cf631e9-e135-4ad3-b285-b172fafbc4f9"/>
    <x v="736"/>
    <s v="10:38"/>
    <x v="373"/>
    <s v="expense"/>
    <s v="entertain_1781955063349_gok1"/>
    <s v="rc_acc_1781955063347_0qmn"/>
    <x v="1"/>
    <s v="เกงวอร์ม"/>
    <m/>
    <s v="import"/>
    <s v=""/>
    <b v="0"/>
    <s v=""/>
  </r>
  <r>
    <s v="7fb3ffd4-c225-4591-9f5d-2ffc8dba62fc"/>
    <x v="736"/>
    <s v="11:07"/>
    <x v="519"/>
    <s v="expense"/>
    <s v="rc_cat_1781955063347_5qjb_1781955063347_tezk"/>
    <s v="rc_acc_1781955063347_0qmn"/>
    <x v="1"/>
    <s v="santafe"/>
    <m/>
    <s v="import"/>
    <s v=""/>
    <b v="0"/>
    <s v=""/>
  </r>
  <r>
    <s v="816c6708-9035-4f96-80be-684dae87bf3a"/>
    <x v="736"/>
    <s v="11:07"/>
    <x v="1052"/>
    <s v="expense"/>
    <s v="rc_cat_1781955063347_5qjb_1781955063347_tezk"/>
    <s v="rc_acc_1781955063347_0qmn"/>
    <x v="1"/>
    <s v="-"/>
    <m/>
    <s v="import"/>
    <s v=""/>
    <b v="0"/>
    <s v=""/>
  </r>
  <r>
    <s v="8a438b99-00cf-440f-a971-be21c92f276b"/>
    <x v="736"/>
    <s v="11:18"/>
    <x v="1160"/>
    <s v="transfer"/>
    <s v="other"/>
    <s v="rc_acc_1781955063347_uxz4"/>
    <x v="2"/>
    <s v="JPY ตั๋ว airasia"/>
    <m/>
    <s v="import"/>
    <s v=""/>
    <b v="0"/>
    <s v=""/>
  </r>
  <r>
    <s v="a2e8c7a9-9cb4-4b9e-8ae8-a5bca7ea7991"/>
    <x v="736"/>
    <s v="11:20"/>
    <x v="281"/>
    <s v="expense"/>
    <s v="entertain_1781955063348_32wr"/>
    <s v="rc_acc_1781955063347_uxz4"/>
    <x v="1"/>
    <s v="-"/>
    <m/>
    <s v="import"/>
    <s v=""/>
    <b v="0"/>
    <s v=""/>
  </r>
  <r>
    <s v="05f7b8b9-1d54-4b61-82d7-91b4410c97bd"/>
    <x v="736"/>
    <s v="11:20"/>
    <x v="1161"/>
    <s v="expense"/>
    <s v="rc_cat_1781955063347_anhy_1781955063347_qnaz"/>
    <s v="rc_acc_1781955063347_uxz4"/>
    <x v="1"/>
    <s v="-"/>
    <m/>
    <s v="import"/>
    <s v=""/>
    <b v="0"/>
    <s v=""/>
  </r>
  <r>
    <s v="057b0804-00ab-429f-a985-06e5e649bc37"/>
    <x v="736"/>
    <s v="18:22"/>
    <x v="1162"/>
    <s v="expense"/>
    <s v="rc_cat_1781955063347_s4sz_1781955063347_9tpp"/>
    <s v="rc_acc_1781955063347_omhz"/>
    <x v="1"/>
    <s v="s22 ultra case"/>
    <m/>
    <s v="import"/>
    <s v=""/>
    <b v="0"/>
    <s v=""/>
  </r>
  <r>
    <s v="33bcbd2c-f94d-4c2d-8e69-5982077bbb30"/>
    <x v="737"/>
    <s v="00:00"/>
    <x v="8"/>
    <s v="transfer"/>
    <s v="other"/>
    <s v="rc_acc_1781955063347_uxz4"/>
    <x v="25"/>
    <s v="-"/>
    <m/>
    <s v="import"/>
    <s v=""/>
    <b v="0"/>
    <s v=""/>
  </r>
  <r>
    <s v="c7a25716-ba28-496a-9c64-f34865e13981"/>
    <x v="737"/>
    <s v="11:23"/>
    <x v="1163"/>
    <s v="expense"/>
    <s v="rc_cat_1781955063347_04qb_1781955063347_wt5p"/>
    <s v="rc_acc_1781955063347_uxz4"/>
    <x v="1"/>
    <s v="-"/>
    <m/>
    <s v="import"/>
    <s v=""/>
    <b v="0"/>
    <s v=""/>
  </r>
  <r>
    <s v="d64ae640-aead-4f0e-8732-558d54cec51b"/>
    <x v="737"/>
    <s v="11:24"/>
    <x v="1164"/>
    <s v="transfer"/>
    <s v="other"/>
    <s v="rc_acc_1781955063347_uxz4"/>
    <x v="2"/>
    <s v="-"/>
    <m/>
    <s v="import"/>
    <s v=""/>
    <b v="0"/>
    <s v=""/>
  </r>
  <r>
    <s v="a3f0729b-1b06-44e5-9edc-821115e6a8ea"/>
    <x v="737"/>
    <s v="11:29"/>
    <x v="749"/>
    <s v="expense"/>
    <s v="rc_cat_1781955063347_5qjb_1781955063347_tezk"/>
    <s v="rc_acc_1781955063349_mitc"/>
    <x v="1"/>
    <s v="-"/>
    <m/>
    <s v="import"/>
    <s v=""/>
    <b v="0"/>
    <s v=""/>
  </r>
  <r>
    <s v="48ec5d2c-8d91-4f75-a969-1830467a2225"/>
    <x v="737"/>
    <s v="12:39"/>
    <x v="8"/>
    <s v="income"/>
    <s v="income_1781955063347_5zxt"/>
    <s v="rc_acc_1781955063347_0qmn"/>
    <x v="1"/>
    <s v="-"/>
    <m/>
    <s v="import"/>
    <s v=""/>
    <b v="0"/>
    <s v=""/>
  </r>
  <r>
    <s v="1296880f-1550-41f3-b79d-b3988b041374"/>
    <x v="737"/>
    <s v="13:22"/>
    <x v="1165"/>
    <s v="expense"/>
    <s v="rc_cat_1781955063347_5qjb_1781955063347_tezk"/>
    <s v="rc_acc_1781955063347_0qmn"/>
    <x v="1"/>
    <s v="-"/>
    <m/>
    <s v="import"/>
    <s v=""/>
    <b v="0"/>
    <s v=""/>
  </r>
  <r>
    <s v="bfd3fda2-afce-43b9-b3f8-6e3dc6ed66d6"/>
    <x v="737"/>
    <s v="19:25"/>
    <x v="957"/>
    <s v="expense"/>
    <s v="other_1781955063348_27zj"/>
    <s v="rc_acc_1781955063347_uxz4"/>
    <x v="1"/>
    <s v="ติดฟิล์ม"/>
    <m/>
    <s v="import"/>
    <s v=""/>
    <b v="0"/>
    <s v=""/>
  </r>
  <r>
    <s v="0246d16a-8d58-4fb5-a160-54b8da2831ac"/>
    <x v="737"/>
    <s v="19:35"/>
    <x v="12"/>
    <s v="expense"/>
    <s v="rc_cat_1781955063347_5qjb_1781955063347_tezk"/>
    <s v="rc_acc_1781955063347_0qmn"/>
    <x v="1"/>
    <s v="-"/>
    <m/>
    <s v="import"/>
    <s v=""/>
    <b v="0"/>
    <s v=""/>
  </r>
  <r>
    <s v="e4b35272-d484-44e8-b8a0-102276dfc982"/>
    <x v="738"/>
    <s v="10:55"/>
    <x v="10"/>
    <s v="transfer"/>
    <s v="other"/>
    <s v="rc_acc_1781955063349_mitc"/>
    <x v="5"/>
    <s v="-"/>
    <m/>
    <s v="import"/>
    <s v=""/>
    <b v="0"/>
    <s v=""/>
  </r>
  <r>
    <s v="59d85a60-e1af-45a9-8152-476905c07e67"/>
    <x v="739"/>
    <s v="08:56"/>
    <x v="22"/>
    <s v="expense"/>
    <s v="rc_cat_1781955063347_5qjb_1781955063347_tezk"/>
    <s v="rc_acc_1781955063347_0qmn"/>
    <x v="1"/>
    <s v="-"/>
    <m/>
    <s v="import"/>
    <s v=""/>
    <b v="0"/>
    <s v=""/>
  </r>
  <r>
    <s v="4940ea70-8d03-4001-8d13-f0f8260b2513"/>
    <x v="739"/>
    <s v="09:39"/>
    <x v="169"/>
    <s v="expense"/>
    <s v="rc_cat_1781955063347_5qjb_1781955063347_tezk"/>
    <s v="rc_acc_1781955063347_0qmn"/>
    <x v="1"/>
    <s v="-"/>
    <m/>
    <s v="import"/>
    <s v=""/>
    <b v="0"/>
    <s v=""/>
  </r>
  <r>
    <s v="fad9e28e-4aa4-475d-ae06-715a55ea4c37"/>
    <x v="739"/>
    <s v="10:58"/>
    <x v="317"/>
    <s v="expense"/>
    <s v="rc_cat_1781955063347_5qjb_1781955063347_tezk"/>
    <s v="kbank"/>
    <x v="1"/>
    <s v="-"/>
    <m/>
    <s v="import"/>
    <s v=""/>
    <b v="0"/>
    <s v=""/>
  </r>
  <r>
    <s v="909d7083-b8a5-48f1-952a-069171c096c2"/>
    <x v="739"/>
    <s v="12:30"/>
    <x v="608"/>
    <s v="expense"/>
    <s v="rc_cat_1781955063347_5qjb_1781955063347_tezk"/>
    <s v="rc_acc_1781955063347_uxz4"/>
    <x v="1"/>
    <s v="-"/>
    <m/>
    <s v="import"/>
    <s v=""/>
    <b v="0"/>
    <s v=""/>
  </r>
  <r>
    <s v="25f83f57-14ff-4c67-82b4-11b538321bb1"/>
    <x v="739"/>
    <s v="14:19"/>
    <x v="150"/>
    <s v="expense"/>
    <s v="rc_cat_1781955063347_5qjb_1781955063347_tezk"/>
    <s v="rc_acc_1781955063347_uxz4"/>
    <x v="1"/>
    <s v="-"/>
    <m/>
    <s v="import"/>
    <s v=""/>
    <b v="0"/>
    <s v=""/>
  </r>
  <r>
    <s v="a76e708d-9f04-4ffd-a425-938ba943b394"/>
    <x v="740"/>
    <s v="00:30"/>
    <x v="87"/>
    <s v="expense"/>
    <s v="rc_cat_1781955063347_5qjb_1781955063347_tezk"/>
    <s v="kbank"/>
    <x v="1"/>
    <s v="-"/>
    <m/>
    <s v="import"/>
    <s v=""/>
    <b v="0"/>
    <s v=""/>
  </r>
  <r>
    <s v="92110d5e-f33b-4216-b22a-95611676ea12"/>
    <x v="740"/>
    <s v="08:50"/>
    <x v="608"/>
    <s v="expense"/>
    <s v="rc_cat_1781955063347_5qjb_1781955063347_tezk"/>
    <s v="rc_acc_1781955063347_uxz4"/>
    <x v="1"/>
    <s v="-"/>
    <m/>
    <s v="import"/>
    <s v=""/>
    <b v="0"/>
    <s v=""/>
  </r>
  <r>
    <s v="901f404f-05e1-4801-99c7-3b890fdb60db"/>
    <x v="740"/>
    <s v="09:36"/>
    <x v="356"/>
    <s v="expense"/>
    <s v="rc_cat_1781955063347_5qjb_1781955063347_tezk"/>
    <s v="rc_acc_1781955063347_0qmn"/>
    <x v="1"/>
    <s v="-"/>
    <m/>
    <s v="import"/>
    <s v=""/>
    <b v="0"/>
    <s v=""/>
  </r>
  <r>
    <s v="5fefd32d-3232-4f7b-a149-79917aedb217"/>
    <x v="740"/>
    <s v="18:55"/>
    <x v="535"/>
    <s v="expense"/>
    <s v="rc_cat_1781955063347_5qjb_1781955063347_tezk"/>
    <s v="rc_acc_1781955063347_0qmn"/>
    <x v="1"/>
    <s v="แอนคั่วไก่"/>
    <m/>
    <s v="import"/>
    <s v=""/>
    <b v="0"/>
    <s v=""/>
  </r>
  <r>
    <s v="1c975f34-b7d4-45b8-93b8-c7671f665c47"/>
    <x v="741"/>
    <s v="09:18"/>
    <x v="965"/>
    <s v="expense"/>
    <s v="rc_cat_1781955063347_5qjb_1781955063347_tezk"/>
    <s v="rc_acc_1781955063347_uxz4"/>
    <x v="1"/>
    <s v="-"/>
    <m/>
    <s v="import"/>
    <s v=""/>
    <b v="0"/>
    <s v=""/>
  </r>
  <r>
    <s v="cb92376a-f353-403c-b5ef-29ba8ea819c5"/>
    <x v="741"/>
    <s v="09:34"/>
    <x v="22"/>
    <s v="expense"/>
    <s v="rc_cat_1781955063347_5qjb_1781955063347_tezk"/>
    <s v="rc_acc_1781955063347_0qmn"/>
    <x v="1"/>
    <s v="-"/>
    <m/>
    <s v="import"/>
    <s v=""/>
    <b v="0"/>
    <s v=""/>
  </r>
  <r>
    <s v="283394dd-84b4-473e-820c-90b1edda8991"/>
    <x v="741"/>
    <s v="12:18"/>
    <x v="771"/>
    <s v="expense"/>
    <s v="rc_cat_1781955063347_5qjb_1781955063347_tezk"/>
    <s v="rc_acc_1781955063347_uxz4"/>
    <x v="1"/>
    <s v="-"/>
    <m/>
    <s v="import"/>
    <s v=""/>
    <b v="0"/>
    <s v=""/>
  </r>
  <r>
    <s v="8e9cbf40-1097-4ebc-8ceb-943aa89ddbf0"/>
    <x v="741"/>
    <s v="12:30"/>
    <x v="317"/>
    <s v="expense"/>
    <s v="rc_cat_1781955063347_5qjb_1781955063347_tezk"/>
    <s v="rc_acc_1781955063347_uxz4"/>
    <x v="1"/>
    <s v="-"/>
    <m/>
    <s v="import"/>
    <s v=""/>
    <b v="0"/>
    <s v=""/>
  </r>
  <r>
    <s v="48996100-3444-4940-b753-bb0c7af828d6"/>
    <x v="741"/>
    <s v="17:34"/>
    <x v="913"/>
    <s v="expense"/>
    <s v="rc_cat_1781955063347_5qjb_1781955063347_tezk"/>
    <s v="rc_acc_1781955063347_0qmn"/>
    <x v="1"/>
    <s v="-"/>
    <m/>
    <s v="import"/>
    <s v=""/>
    <b v="0"/>
    <s v=""/>
  </r>
  <r>
    <s v="e5a6008c-02ef-4f5d-9f48-a40b0b2d6dcf"/>
    <x v="741"/>
    <s v="18:23"/>
    <x v="435"/>
    <s v="transfer"/>
    <s v="other"/>
    <s v="rc_acc_1781955063347_omhz"/>
    <x v="2"/>
    <s v="เครื่องชั่งน้ำหนัก"/>
    <m/>
    <s v="import"/>
    <s v=""/>
    <b v="0"/>
    <s v=""/>
  </r>
  <r>
    <s v="2dd9a2ce-5ae1-4477-b4f8-62b46eff843f"/>
    <x v="741"/>
    <s v="21:37"/>
    <x v="435"/>
    <s v="expense"/>
    <s v="entertain_1781955063349_gok1"/>
    <s v="rc_acc_1781955063347_0qmn"/>
    <x v="1"/>
    <s v="ที่ชั่งน้ำหนัก"/>
    <m/>
    <s v="import"/>
    <s v=""/>
    <b v="0"/>
    <s v=""/>
  </r>
  <r>
    <s v="2de6a10d-0a6b-4c7d-982c-e85eebccd0ea"/>
    <x v="742"/>
    <s v="08:15"/>
    <x v="19"/>
    <s v="transfer"/>
    <s v="other"/>
    <s v="rc_acc_1781955063347_uxz4"/>
    <x v="2"/>
    <s v="กางเกง"/>
    <m/>
    <s v="import"/>
    <s v=""/>
    <b v="0"/>
    <s v=""/>
  </r>
  <r>
    <s v="ec7497bd-852f-4c18-888c-e0a1aedb964d"/>
    <x v="742"/>
    <s v="09:16"/>
    <x v="751"/>
    <s v="expense"/>
    <s v="rc_cat_1781955063347_5qjb_1781955063347_tezk"/>
    <s v="rc_acc_1781955063347_uxz4"/>
    <x v="1"/>
    <s v="-"/>
    <m/>
    <s v="import"/>
    <s v=""/>
    <b v="0"/>
    <s v=""/>
  </r>
  <r>
    <s v="89db5ef1-2d1e-4bae-8c78-93c3a54365bc"/>
    <x v="742"/>
    <s v="09:16"/>
    <x v="150"/>
    <s v="expense"/>
    <s v="rc_cat_1781955063347_5qjb_1781955063347_tezk"/>
    <s v="rc_acc_1781955063347_uxz4"/>
    <x v="1"/>
    <s v="-"/>
    <m/>
    <s v="import"/>
    <s v=""/>
    <b v="0"/>
    <s v=""/>
  </r>
  <r>
    <s v="1acea383-d02c-42fc-b963-c71d268b87b9"/>
    <x v="742"/>
    <s v="12:17"/>
    <x v="199"/>
    <s v="expense"/>
    <s v="rc_cat_1781955063347_5qjb_1781955063347_tezk"/>
    <s v="rc_acc_1781955063347_uxz4"/>
    <x v="1"/>
    <s v="-"/>
    <m/>
    <s v="import"/>
    <s v=""/>
    <b v="0"/>
    <s v=""/>
  </r>
  <r>
    <s v="b64ac28e-b65f-4140-b686-ef156a8e4bf1"/>
    <x v="743"/>
    <s v="12:14"/>
    <x v="185"/>
    <s v="expense"/>
    <s v="rc_cat_1781955063347_5qjb_1781955063347_irl1"/>
    <s v="rc_acc_1781955063347_e3zv"/>
    <x v="1"/>
    <s v="-"/>
    <m/>
    <s v="import"/>
    <s v=""/>
    <b v="0"/>
    <s v=""/>
  </r>
  <r>
    <s v="054b9cca-f8b3-40fb-86b7-8f05f26119f9"/>
    <x v="743"/>
    <s v="13:30"/>
    <x v="199"/>
    <s v="expense"/>
    <s v="rc_cat_1781955063347_5qjb_1781955063347_irl1"/>
    <s v="rc_acc_1781955063347_uxz4"/>
    <x v="1"/>
    <s v="-"/>
    <m/>
    <s v="import"/>
    <s v=""/>
    <b v="0"/>
    <s v=""/>
  </r>
  <r>
    <s v="4f301431-2d6c-429d-bac1-76ba6b9086d1"/>
    <x v="743"/>
    <s v="14:15"/>
    <x v="199"/>
    <s v="expense"/>
    <s v="rc_cat_1781955063347_5qjb_1781955063347_tezk"/>
    <s v="rc_acc_1781955063347_uxz4"/>
    <x v="1"/>
    <s v="-"/>
    <m/>
    <s v="import"/>
    <s v=""/>
    <b v="0"/>
    <s v=""/>
  </r>
  <r>
    <s v="233bbc44-57dc-4852-8424-f6213485845d"/>
    <x v="744"/>
    <s v="07:40"/>
    <x v="1166"/>
    <s v="expense"/>
    <s v="rc_cat_1781955063347_5qjb_1781955063347_tezk"/>
    <s v="rc_acc_1781955063347_uxz4"/>
    <x v="1"/>
    <s v="-"/>
    <m/>
    <s v="import"/>
    <s v=""/>
    <b v="0"/>
    <s v=""/>
  </r>
  <r>
    <s v="1c26ccff-4028-47bf-999e-c4a54a1a5077"/>
    <x v="744"/>
    <s v="18:26"/>
    <x v="1167"/>
    <s v="expense"/>
    <s v="rc_cat_1781955063347_5qjb_1781955063347_tezk"/>
    <s v="rc_acc_1781955063347_omhz"/>
    <x v="1"/>
    <s v="-"/>
    <m/>
    <s v="import"/>
    <s v=""/>
    <b v="0"/>
    <s v=""/>
  </r>
  <r>
    <s v="572d127a-4c0c-406a-82a9-65b6ec3253f9"/>
    <x v="744"/>
    <s v="19:11"/>
    <x v="26"/>
    <s v="expense"/>
    <s v="other_1781955063348_27zj"/>
    <s v="rc_acc_1781955063347_uxz4"/>
    <x v="1"/>
    <s v="trip ถ่ายรูป"/>
    <m/>
    <s v="import"/>
    <s v=""/>
    <b v="0"/>
    <s v=""/>
  </r>
  <r>
    <s v="535552bb-82a2-42ca-ba81-bb00c79590cd"/>
    <x v="744"/>
    <s v="19:50"/>
    <x v="19"/>
    <s v="transfer"/>
    <s v="other"/>
    <s v="rc_acc_1781955063347_uxz4"/>
    <x v="16"/>
    <s v="-"/>
    <m/>
    <s v="import"/>
    <s v=""/>
    <b v="0"/>
    <s v=""/>
  </r>
  <r>
    <s v="a67df1be-ca2d-43ba-8c72-e22b89ad6afa"/>
    <x v="745"/>
    <s v="10:25"/>
    <x v="961"/>
    <s v="expense"/>
    <s v="rc_cat_1781955063347_5qjb_1781955063347_tezk"/>
    <s v="rc_acc_1781955063347_0qmn"/>
    <x v="1"/>
    <s v="bonchon"/>
    <m/>
    <s v="import"/>
    <s v=""/>
    <b v="0"/>
    <s v=""/>
  </r>
  <r>
    <s v="ad91ec31-5c44-4dd6-a2ab-d9113682b763"/>
    <x v="745"/>
    <s v="11:09"/>
    <x v="26"/>
    <s v="expense"/>
    <s v="other_1781955063348_27zj"/>
    <s v="rc_acc_1781955063347_uxz4"/>
    <x v="1"/>
    <s v="ตัดผม"/>
    <m/>
    <s v="import"/>
    <s v=""/>
    <b v="0"/>
    <s v=""/>
  </r>
  <r>
    <s v="7fb9b6ae-0680-4a2e-901f-8fc56657ac97"/>
    <x v="745"/>
    <s v="13:10"/>
    <x v="435"/>
    <s v="expense"/>
    <s v="rc_cat_1781955063347_5qjb_1781955063347_tezk"/>
    <s v="rc_acc_1781955063347_uxz4"/>
    <x v="1"/>
    <s v="-"/>
    <m/>
    <s v="import"/>
    <s v=""/>
    <b v="0"/>
    <s v=""/>
  </r>
  <r>
    <s v="fd1a0241-e843-483b-96cf-3608fc4d5376"/>
    <x v="746"/>
    <s v="10:32"/>
    <x v="42"/>
    <s v="transfer"/>
    <s v="other"/>
    <s v="rc_acc_1781955063347_e3zv"/>
    <x v="5"/>
    <s v="-"/>
    <m/>
    <s v="import"/>
    <s v=""/>
    <b v="0"/>
    <s v=""/>
  </r>
  <r>
    <s v="b4063333-2181-4369-baea-aa27b3e484a3"/>
    <x v="746"/>
    <s v="10:48"/>
    <x v="253"/>
    <s v="transfer"/>
    <s v="other"/>
    <s v="advance"/>
    <x v="5"/>
    <s v="-"/>
    <m/>
    <s v="import"/>
    <s v=""/>
    <b v="0"/>
    <s v=""/>
  </r>
  <r>
    <s v="ca44420d-4be5-404f-9c3d-be9efcd4bc21"/>
    <x v="746"/>
    <s v="10:50"/>
    <x v="268"/>
    <s v="transfer"/>
    <s v="other"/>
    <s v="rc_acc_1781955063347_e3zv"/>
    <x v="5"/>
    <s v="-"/>
    <m/>
    <s v="import"/>
    <s v=""/>
    <b v="0"/>
    <s v=""/>
  </r>
  <r>
    <s v="f52accc8-88e8-4406-bae9-515e59a04848"/>
    <x v="746"/>
    <s v="14:49"/>
    <x v="780"/>
    <s v="expense"/>
    <s v="rc_cat_1781955063347_5qjb_1781955063347_irl1"/>
    <s v="rc_acc_1781955063347_uxz4"/>
    <x v="1"/>
    <s v="-"/>
    <m/>
    <s v="import"/>
    <s v=""/>
    <b v="0"/>
    <s v=""/>
  </r>
  <r>
    <s v="3671d7f5-a3a9-4b42-b79e-95eb26299f42"/>
    <x v="746"/>
    <s v="15:01"/>
    <x v="315"/>
    <s v="transfer"/>
    <s v="other"/>
    <s v="rc_acc_1781955063348_no9r"/>
    <x v="12"/>
    <s v="-"/>
    <m/>
    <s v="import"/>
    <s v=""/>
    <b v="0"/>
    <s v=""/>
  </r>
  <r>
    <s v="e38fa1b1-38bb-4777-b638-3a83ece6e91a"/>
    <x v="746"/>
    <s v="15:40"/>
    <x v="212"/>
    <s v="transfer"/>
    <s v="other"/>
    <s v="kbank"/>
    <x v="12"/>
    <s v="-"/>
    <m/>
    <s v="import"/>
    <s v=""/>
    <b v="0"/>
    <s v=""/>
  </r>
  <r>
    <s v="bf7e88df-a278-4304-9c16-c187e6a91fcc"/>
    <x v="746"/>
    <s v="15:52"/>
    <x v="237"/>
    <s v="transfer"/>
    <s v="other"/>
    <s v="rc_acc_1781955063347_uxz4"/>
    <x v="12"/>
    <s v="-"/>
    <m/>
    <s v="import"/>
    <s v=""/>
    <b v="0"/>
    <s v=""/>
  </r>
  <r>
    <s v="c61be1fc-fd96-4215-9da1-735c84c027a2"/>
    <x v="746"/>
    <s v="16:07"/>
    <x v="199"/>
    <s v="expense"/>
    <s v="rc_cat_1781955063347_5qjb_1781955063347_tezk"/>
    <s v="rc_acc_1781955063347_uxz4"/>
    <x v="1"/>
    <s v="-"/>
    <m/>
    <s v="import"/>
    <s v=""/>
    <b v="0"/>
    <s v=""/>
  </r>
  <r>
    <s v="b448536f-516c-41cd-84d7-4ec6a5cae645"/>
    <x v="746"/>
    <s v="16:52"/>
    <x v="234"/>
    <s v="transfer"/>
    <s v="other"/>
    <s v="rc_acc_1781955063347_e3zv"/>
    <x v="2"/>
    <s v="-"/>
    <m/>
    <s v="import"/>
    <s v=""/>
    <b v="0"/>
    <s v=""/>
  </r>
  <r>
    <s v="c7e7ccd3-7b3a-412e-b172-5229f55027e4"/>
    <x v="747"/>
    <s v="13:31"/>
    <x v="750"/>
    <s v="expense"/>
    <s v="rc_cat_1781955063347_5qjb_1781955063347_tezk"/>
    <s v="rc_acc_1781955063347_uxz4"/>
    <x v="1"/>
    <s v="-"/>
    <m/>
    <s v="import"/>
    <s v=""/>
    <b v="0"/>
    <s v=""/>
  </r>
  <r>
    <s v="76b84417-39de-40a9-9b94-e5439a107a8e"/>
    <x v="747"/>
    <s v="13:31"/>
    <x v="8"/>
    <s v="transfer"/>
    <s v="other"/>
    <s v="rc_acc_1781955063347_uxz4"/>
    <x v="12"/>
    <s v="-"/>
    <m/>
    <s v="import"/>
    <s v=""/>
    <b v="0"/>
    <s v=""/>
  </r>
  <r>
    <s v="2c0ab889-d57b-4bf7-9a81-3f3763a2d8f7"/>
    <x v="747"/>
    <s v="13:31"/>
    <x v="536"/>
    <s v="expense"/>
    <s v="rc_cat_1781955063347_5qjb_1781955063347_tezk"/>
    <s v="rc_acc_1781955063347_uxz4"/>
    <x v="1"/>
    <s v="-"/>
    <m/>
    <s v="import"/>
    <s v=""/>
    <b v="0"/>
    <s v=""/>
  </r>
  <r>
    <s v="c169f6fd-2f99-4223-9944-1e4919f661aa"/>
    <x v="748"/>
    <s v="09:45"/>
    <x v="1167"/>
    <s v="expense"/>
    <s v="rc_cat_1781955063347_5qjb_1781955063347_tezk"/>
    <s v="rc_acc_1781955063347_uxz4"/>
    <x v="1"/>
    <s v="-"/>
    <m/>
    <s v="import"/>
    <s v=""/>
    <b v="0"/>
    <s v=""/>
  </r>
  <r>
    <s v="d737a9f8-caa3-47a0-bf52-673742475371"/>
    <x v="748"/>
    <s v="10:29"/>
    <x v="199"/>
    <s v="expense"/>
    <s v="rc_cat_1781955063347_5qjb_1781955063347_tezk"/>
    <s v="rc_acc_1781955063347_uxz4"/>
    <x v="1"/>
    <s v="-"/>
    <m/>
    <s v="import"/>
    <s v=""/>
    <b v="0"/>
    <s v=""/>
  </r>
  <r>
    <s v="2abee249-f576-4dfb-9b6e-64ae7f5ac2a3"/>
    <x v="748"/>
    <s v="10:30"/>
    <x v="35"/>
    <s v="expense"/>
    <s v="other_1781955063348_yjhe"/>
    <s v="rc_acc_1781955063347_e3zv"/>
    <x v="1"/>
    <s v="-"/>
    <m/>
    <s v="import"/>
    <s v=""/>
    <b v="0"/>
    <s v=""/>
  </r>
  <r>
    <s v="064d5d2c-d228-4963-b4d3-fae91c4f2e02"/>
    <x v="748"/>
    <s v="14:27"/>
    <x v="35"/>
    <s v="transfer"/>
    <s v="other"/>
    <s v="rc_acc_1781955063348_hnxg"/>
    <x v="12"/>
    <s v="-"/>
    <m/>
    <s v="import"/>
    <s v=""/>
    <b v="0"/>
    <s v=""/>
  </r>
  <r>
    <s v="a7454eba-88d2-4b91-9c17-10aae9952726"/>
    <x v="748"/>
    <s v="14:27"/>
    <x v="5"/>
    <s v="transfer"/>
    <s v="other"/>
    <s v="rc_acc_1781955063348_hnxg"/>
    <x v="12"/>
    <s v="-"/>
    <m/>
    <s v="import"/>
    <s v=""/>
    <b v="0"/>
    <s v=""/>
  </r>
  <r>
    <s v="95c7c4d0-c2b0-4254-b487-b773eb95fd2a"/>
    <x v="748"/>
    <s v="15:00"/>
    <x v="783"/>
    <s v="expense"/>
    <s v="rc_cat_1781955063347_5qjb_1781955063347_tezk"/>
    <s v="rc_acc_1781955063347_uxz4"/>
    <x v="1"/>
    <s v="-"/>
    <m/>
    <s v="import"/>
    <s v=""/>
    <b v="0"/>
    <s v=""/>
  </r>
  <r>
    <s v="505e8926-6d9f-4a31-b32c-708e51a5b71b"/>
    <x v="748"/>
    <s v="18:20"/>
    <x v="5"/>
    <s v="expense"/>
    <s v="rc_cat_1781955063347_anhy_1781955063347_qnaz"/>
    <s v="rc_acc_1781955063347_e3zv"/>
    <x v="1"/>
    <s v="-"/>
    <m/>
    <s v="import"/>
    <s v=""/>
    <b v="0"/>
    <s v=""/>
  </r>
  <r>
    <s v="9c872958-96c2-40cd-bf69-6fafcfd20d69"/>
    <x v="749"/>
    <s v="00:00"/>
    <x v="1168"/>
    <s v="expense"/>
    <s v="rc_cat_1781955063347_04qb_1781955063347_kgnn"/>
    <s v="rc_acc_1781955063347_uxz4"/>
    <x v="1"/>
    <s v="-"/>
    <m/>
    <s v="import"/>
    <s v=""/>
    <b v="0"/>
    <s v=""/>
  </r>
  <r>
    <s v="ea2d05c5-6171-4a9e-9722-7d7d8f84c3f1"/>
    <x v="749"/>
    <s v="00:00"/>
    <x v="1025"/>
    <s v="transfer"/>
    <s v="other"/>
    <s v="rc_acc_1781955063347_uxz4"/>
    <x v="8"/>
    <s v="-"/>
    <m/>
    <s v="import"/>
    <s v=""/>
    <b v="0"/>
    <s v=""/>
  </r>
  <r>
    <s v="df333089-2913-4fa4-966c-9a8ba9ebe85c"/>
    <x v="749"/>
    <s v="00:00"/>
    <x v="1169"/>
    <s v="transfer"/>
    <s v="other"/>
    <s v="rc_acc_1781955063347_uxz4"/>
    <x v="20"/>
    <s v="-"/>
    <m/>
    <s v="import"/>
    <s v=""/>
    <b v="0"/>
    <s v=""/>
  </r>
  <r>
    <s v="31d9f209-e4e5-4e09-8ad7-ea26ec2082cb"/>
    <x v="749"/>
    <s v="00:00"/>
    <x v="1170"/>
    <s v="expense"/>
    <s v="rc_cat_1781955063347_04qb_1781955063347_lu9b"/>
    <s v="rc_acc_1781955063347_uxz4"/>
    <x v="1"/>
    <s v="-"/>
    <m/>
    <s v="import"/>
    <s v=""/>
    <b v="0"/>
    <s v=""/>
  </r>
  <r>
    <s v="5ab9b372-10b7-442e-a985-42a80e888249"/>
    <x v="749"/>
    <s v="00:00"/>
    <x v="1028"/>
    <s v="income"/>
    <s v="income_1781955063347_5zxt"/>
    <s v="rc_acc_1781955063347_uxz4"/>
    <x v="1"/>
    <s v="-"/>
    <m/>
    <s v="import"/>
    <s v=""/>
    <b v="0"/>
    <s v=""/>
  </r>
  <r>
    <s v="1486b88c-29fb-4080-a853-ed7127da89a7"/>
    <x v="749"/>
    <s v="00:00"/>
    <x v="31"/>
    <s v="transfer"/>
    <s v="other"/>
    <s v="rc_acc_1781955063347_uxz4"/>
    <x v="7"/>
    <s v="-"/>
    <m/>
    <s v="import"/>
    <s v=""/>
    <b v="0"/>
    <s v=""/>
  </r>
  <r>
    <s v="34a9b19f-e763-4f84-bae3-b6654e6229fe"/>
    <x v="749"/>
    <s v="00:00"/>
    <x v="128"/>
    <s v="transfer"/>
    <s v="other"/>
    <s v="rc_acc_1781955063347_uxz4"/>
    <x v="21"/>
    <s v="-"/>
    <m/>
    <s v="import"/>
    <s v=""/>
    <b v="0"/>
    <s v=""/>
  </r>
  <r>
    <s v="a15b01dc-e4f1-47c9-83ad-25bd94a65cc1"/>
    <x v="749"/>
    <s v="00:00"/>
    <x v="1073"/>
    <s v="expense"/>
    <s v="rc_cat_1781955063347_04qb_1781955063350_acgf"/>
    <s v="rc_acc_1781955063347_uxz4"/>
    <x v="1"/>
    <s v="-"/>
    <m/>
    <s v="import"/>
    <s v=""/>
    <b v="0"/>
    <s v=""/>
  </r>
  <r>
    <s v="a554a523-fde7-4ac4-80b7-f5699872798f"/>
    <x v="749"/>
    <s v="00:00"/>
    <x v="932"/>
    <s v="expense"/>
    <s v="rc_cat_1781955063347_anhy_1781955063347_qnaz"/>
    <s v="rc_acc_1781955063347_uxz4"/>
    <x v="1"/>
    <s v="รักษาเกินสิทธิ"/>
    <m/>
    <s v="import"/>
    <s v=""/>
    <b v="0"/>
    <s v=""/>
  </r>
  <r>
    <s v="4d783cf2-1462-41e2-b23b-ec29237de95c"/>
    <x v="749"/>
    <s v="11:27"/>
    <x v="1171"/>
    <s v="expense"/>
    <s v="rc_cat_1781955063347_5qjb_1781955063347_tezk"/>
    <s v="rc_acc_1781955063349_mitc"/>
    <x v="1"/>
    <s v="-"/>
    <m/>
    <s v="import"/>
    <s v=""/>
    <b v="0"/>
    <s v=""/>
  </r>
  <r>
    <s v="41a687bd-6931-452e-8e8f-ee89517528b2"/>
    <x v="749"/>
    <s v="12:33"/>
    <x v="356"/>
    <s v="expense"/>
    <s v="rc_cat_1781955063347_5qjb_1781955063347_tezk"/>
    <s v="rc_acc_1781955063347_0qmn"/>
    <x v="1"/>
    <s v="-"/>
    <m/>
    <s v="import"/>
    <s v=""/>
    <b v="0"/>
    <s v=""/>
  </r>
  <r>
    <s v="4eeba647-d5c8-4355-b0c4-d6193a4b526b"/>
    <x v="749"/>
    <s v="12:41"/>
    <x v="87"/>
    <s v="expense"/>
    <s v="rc_cat_1781955063347_5qjb_1781955063347_tezk"/>
    <s v="kbank"/>
    <x v="1"/>
    <s v="-"/>
    <m/>
    <s v="import"/>
    <s v=""/>
    <b v="0"/>
    <s v=""/>
  </r>
  <r>
    <s v="553eec9b-3018-4c1d-88a9-2f01c8a96a42"/>
    <x v="750"/>
    <s v="00:56"/>
    <x v="749"/>
    <s v="expense"/>
    <s v="rc_cat_1781955063347_5qjb_1781955063347_tezk"/>
    <s v="kbank"/>
    <x v="1"/>
    <s v="-"/>
    <m/>
    <s v="import"/>
    <s v=""/>
    <b v="0"/>
    <s v=""/>
  </r>
  <r>
    <s v="87b61915-5e23-4b41-9b90-a06e46b40268"/>
    <x v="750"/>
    <s v="12:33"/>
    <x v="764"/>
    <s v="expense"/>
    <s v="rc_cat_1781955063347_5qjb_1781955063347_tezk"/>
    <s v="rc_acc_1781955063347_0qmn"/>
    <x v="1"/>
    <s v="-"/>
    <m/>
    <s v="import"/>
    <s v=""/>
    <b v="0"/>
    <s v=""/>
  </r>
  <r>
    <s v="da121537-a976-4a25-bc50-8000e5313e3d"/>
    <x v="751"/>
    <s v="12:17"/>
    <x v="883"/>
    <s v="expense"/>
    <s v="rc_cat_1781955063347_5qjb_1781955063348_edf6"/>
    <s v="rc_acc_1781955063347_0qmn"/>
    <x v="1"/>
    <s v="-"/>
    <m/>
    <s v="import"/>
    <s v=""/>
    <b v="0"/>
    <s v=""/>
  </r>
  <r>
    <s v="37ec80fc-ad34-4887-9429-7aadc83ecca5"/>
    <x v="751"/>
    <s v="12:17"/>
    <x v="1007"/>
    <s v="expense"/>
    <s v="rc_cat_1781955063347_5qjb_1781955063347_tezk"/>
    <s v="kbank"/>
    <x v="1"/>
    <s v="tonshin mercure vill"/>
    <m/>
    <s v="import"/>
    <s v=""/>
    <b v="0"/>
    <s v=""/>
  </r>
  <r>
    <s v="b688c9d4-c93f-4565-82e8-a5e3e2a660f0"/>
    <x v="751"/>
    <s v="12:39"/>
    <x v="1008"/>
    <s v="expense"/>
    <s v="rc_cat_1781955063347_5qjb_1781955063348_xqml"/>
    <s v="kbank"/>
    <x v="1"/>
    <s v="แป้ง"/>
    <m/>
    <s v="import"/>
    <s v=""/>
    <b v="0"/>
    <s v=""/>
  </r>
  <r>
    <s v="c1abdc0c-487a-42a4-a33d-03714ad38e4e"/>
    <x v="751"/>
    <s v="12:42"/>
    <x v="1154"/>
    <s v="expense"/>
    <s v="rc_cat_1781955063347_5qjb_1781955063347_tezk"/>
    <s v="rc_acc_1781955063347_0qmn"/>
    <x v="1"/>
    <s v="เขียง"/>
    <m/>
    <s v="import"/>
    <s v=""/>
    <b v="0"/>
    <s v=""/>
  </r>
  <r>
    <s v="297757e3-3a0a-4131-b3d6-2a533a4c94d6"/>
    <x v="751"/>
    <s v="12:43"/>
    <x v="140"/>
    <s v="expense"/>
    <s v="rc_cat_1781955063347_5qjb_1781955063347_tezk"/>
    <s v="kbank"/>
    <x v="1"/>
    <s v="-"/>
    <m/>
    <s v="import"/>
    <s v=""/>
    <b v="0"/>
    <s v=""/>
  </r>
  <r>
    <s v="d6da1a79-00c2-43ba-ad26-78be021e10d5"/>
    <x v="751"/>
    <s v="12:44"/>
    <x v="756"/>
    <s v="transfer"/>
    <s v="other"/>
    <s v="kbank"/>
    <x v="2"/>
    <s v="-"/>
    <m/>
    <s v="import"/>
    <s v=""/>
    <b v="0"/>
    <s v=""/>
  </r>
  <r>
    <s v="b8f3bf56-f134-4c72-aaf9-81c5668fceea"/>
    <x v="751"/>
    <s v="12:44"/>
    <x v="1172"/>
    <s v="transfer"/>
    <s v="other"/>
    <s v="advance"/>
    <x v="5"/>
    <s v="-"/>
    <m/>
    <s v="import"/>
    <s v=""/>
    <b v="0"/>
    <s v=""/>
  </r>
  <r>
    <s v="09294624-dfbb-44db-a134-ff66af00a9b3"/>
    <x v="751"/>
    <s v="13:05"/>
    <x v="31"/>
    <s v="expense"/>
    <s v="rc_cat_1781955063347_5qjb_1781955063348_hrbf"/>
    <s v="rc_acc_1781955063347_0qmn"/>
    <x v="1"/>
    <s v="เนต"/>
    <m/>
    <s v="import"/>
    <s v=""/>
    <b v="0"/>
    <s v=""/>
  </r>
  <r>
    <s v="389655e6-4948-466e-9258-7bdd8e20fb3c"/>
    <x v="751"/>
    <s v="13:06"/>
    <x v="1173"/>
    <s v="expense"/>
    <s v="rc_cat_1781955063347_5qjb_1781955063348_hrbf"/>
    <s v="rc_acc_1781955063347_uxz4"/>
    <x v="1"/>
    <s v="มือถือ"/>
    <m/>
    <s v="import"/>
    <s v=""/>
    <b v="0"/>
    <s v=""/>
  </r>
  <r>
    <s v="0b87b26b-959e-464c-b0a2-aa766d53787d"/>
    <x v="751"/>
    <s v="13:12"/>
    <x v="1174"/>
    <s v="expense"/>
    <s v="rc_cat_1781955063347_5qjb_1781955063348_hrbf"/>
    <s v="rc_acc_1781955063347_0qmn"/>
    <x v="1"/>
    <s v="ค่าน้ำย้อน 7 เดือน"/>
    <m/>
    <s v="import"/>
    <s v=""/>
    <b v="0"/>
    <s v=""/>
  </r>
  <r>
    <s v="90b1d9bd-3794-47e1-a7aa-0f79042071b9"/>
    <x v="751"/>
    <s v="13:12"/>
    <x v="1175"/>
    <s v="expense"/>
    <s v="rc_cat_1781955063347_5qjb_1781955063347_tezk"/>
    <s v="rc_acc_1781955063347_0qmn"/>
    <x v="1"/>
    <s v="shopee food ยอด 13-25 กย"/>
    <m/>
    <s v="import"/>
    <s v=""/>
    <b v="0"/>
    <s v=""/>
  </r>
  <r>
    <s v="9ee958d2-5388-45d4-b3a1-16a9897c36ae"/>
    <x v="751"/>
    <s v="13:28"/>
    <x v="1091"/>
    <s v="expense"/>
    <s v="entertain_1781955063348_kx2f"/>
    <s v="rc_acc_1781955063348_obza"/>
    <x v="1"/>
    <s v="-"/>
    <m/>
    <s v="import"/>
    <s v=""/>
    <b v="0"/>
    <s v=""/>
  </r>
  <r>
    <s v="695fee55-85b2-4676-adf8-adad763726cf"/>
    <x v="751"/>
    <s v="13:42"/>
    <x v="315"/>
    <s v="transfer"/>
    <s v="other"/>
    <s v="advance"/>
    <x v="19"/>
    <s v="-"/>
    <m/>
    <s v="import"/>
    <s v=""/>
    <b v="0"/>
    <s v=""/>
  </r>
  <r>
    <s v="911bd85c-360f-41fb-8bf6-4493e3cbc5df"/>
    <x v="751"/>
    <s v="16:30"/>
    <x v="1176"/>
    <s v="expense"/>
    <s v="rc_cat_1781955063347_5qjb_1781955063347_tezk"/>
    <s v="rc_acc_1781955063347_0qmn"/>
    <x v="1"/>
    <s v="-"/>
    <m/>
    <s v="import"/>
    <s v=""/>
    <b v="0"/>
    <s v=""/>
  </r>
  <r>
    <s v="94208d54-a564-4df2-a1e4-2eca7a78209c"/>
    <x v="751"/>
    <s v="17:31"/>
    <x v="53"/>
    <s v="expense"/>
    <s v="rc_cat_1781955063347_5qjb_1781955063347_tezk"/>
    <s v="rc_acc_1781955063347_0qmn"/>
    <x v="1"/>
    <s v="งาน food"/>
    <m/>
    <s v="import"/>
    <s v=""/>
    <b v="0"/>
    <s v=""/>
  </r>
  <r>
    <s v="663920be-eca4-41ff-a85f-43b21775f7f9"/>
    <x v="751"/>
    <s v="20:25"/>
    <x v="356"/>
    <s v="expense"/>
    <s v="rc_cat_1781955063347_5qjb_1781955063347_tezk"/>
    <s v="rc_acc_1781955063347_uxz4"/>
    <x v="1"/>
    <s v="-"/>
    <m/>
    <s v="import"/>
    <s v=""/>
    <b v="0"/>
    <s v=""/>
  </r>
  <r>
    <s v="13a89c14-9048-4d66-b448-331d982ef198"/>
    <x v="752"/>
    <s v="10:45"/>
    <x v="315"/>
    <s v="transfer"/>
    <s v="other"/>
    <s v="rc_acc_1781955063348_hnxg"/>
    <x v="12"/>
    <s v="-"/>
    <m/>
    <s v="import"/>
    <s v=""/>
    <b v="0"/>
    <s v=""/>
  </r>
  <r>
    <s v="0d0dd183-72d6-41d7-9480-f5286967c2ea"/>
    <x v="752"/>
    <s v="10:45"/>
    <x v="783"/>
    <s v="expense"/>
    <s v="rc_cat_1781955063347_5qjb_1781955063347_irl1"/>
    <s v="rc_acc_1781955063347_e3zv"/>
    <x v="1"/>
    <s v="-"/>
    <m/>
    <s v="import"/>
    <s v=""/>
    <b v="0"/>
    <s v=""/>
  </r>
  <r>
    <s v="dea7cd0b-298e-45b1-9ff7-ae1f6190f0e2"/>
    <x v="752"/>
    <s v="12:12"/>
    <x v="1177"/>
    <s v="expense"/>
    <s v="rc_cat_1781955063347_5qjb_1781955063347_tezk"/>
    <s v="rc_acc_1781955063347_0qmn"/>
    <x v="1"/>
    <s v="-"/>
    <m/>
    <s v="import"/>
    <s v=""/>
    <b v="0"/>
    <s v=""/>
  </r>
  <r>
    <s v="5dc5992c-dbec-473a-9918-71619d8363dc"/>
    <x v="752"/>
    <s v="20:43"/>
    <x v="387"/>
    <s v="transfer"/>
    <s v="other"/>
    <s v="rc_acc_1781955063347_uxz4"/>
    <x v="2"/>
    <s v="สุกี้เฉลิมนคร"/>
    <m/>
    <s v="import"/>
    <s v=""/>
    <b v="0"/>
    <s v=""/>
  </r>
  <r>
    <s v="16d90273-99e5-4415-8a6f-f746225d2239"/>
    <x v="753"/>
    <s v="12:15"/>
    <x v="1178"/>
    <s v="expense"/>
    <s v="rc_cat_1781955063347_5qjb_1781955063347_tezk"/>
    <s v="rc_acc_1781955063347_0qmn"/>
    <x v="1"/>
    <s v="-"/>
    <m/>
    <s v="import"/>
    <s v=""/>
    <b v="0"/>
    <s v=""/>
  </r>
  <r>
    <s v="c0352f14-c7f0-4833-aeec-a7e67fd36f64"/>
    <x v="753"/>
    <s v="12:30"/>
    <x v="615"/>
    <s v="expense"/>
    <s v="rc_cat_1781955063347_5qjb_1781955063347_tezk"/>
    <s v="rc_acc_1781955063347_uxz4"/>
    <x v="1"/>
    <s v="-"/>
    <m/>
    <s v="import"/>
    <s v=""/>
    <b v="0"/>
    <s v=""/>
  </r>
  <r>
    <s v="30a8e3d9-0296-4c70-aff8-9ba8d10adbf6"/>
    <x v="754"/>
    <s v="11:42"/>
    <x v="199"/>
    <s v="expense"/>
    <s v="rc_cat_1781955063347_5qjb_1781955063347_tezk"/>
    <s v="rc_acc_1781955063347_uxz4"/>
    <x v="1"/>
    <s v="-"/>
    <m/>
    <s v="import"/>
    <s v=""/>
    <b v="0"/>
    <s v=""/>
  </r>
  <r>
    <s v="04323d34-99f0-4c98-a093-949b8ad7e593"/>
    <x v="754"/>
    <s v="12:15"/>
    <x v="22"/>
    <s v="expense"/>
    <s v="rc_cat_1781955063347_5qjb_1781955063347_tezk"/>
    <s v="rc_acc_1781955063347_0qmn"/>
    <x v="1"/>
    <s v="-"/>
    <m/>
    <s v="import"/>
    <s v=""/>
    <b v="0"/>
    <s v=""/>
  </r>
  <r>
    <s v="dca350cd-ca56-45ca-a5f6-ec865282ba01"/>
    <x v="754"/>
    <s v="18:55"/>
    <x v="1179"/>
    <s v="transfer"/>
    <s v="other"/>
    <s v="rc_acc_1781955063347_uxz4"/>
    <x v="2"/>
    <s v="แลกเงิน JPY"/>
    <m/>
    <s v="import"/>
    <s v=""/>
    <b v="0"/>
    <s v=""/>
  </r>
  <r>
    <s v="cc86f710-8a3c-4dd2-9f1d-ff5de112238f"/>
    <x v="755"/>
    <s v="08:15"/>
    <x v="751"/>
    <s v="expense"/>
    <s v="rc_cat_1781955063347_5qjb_1781955063347_tezk"/>
    <s v="rc_acc_1781955063347_0qmn"/>
    <x v="1"/>
    <s v="-"/>
    <m/>
    <s v="import"/>
    <s v=""/>
    <b v="0"/>
    <s v=""/>
  </r>
  <r>
    <s v="790d1f3a-8635-498c-8a85-cf38d4c39b10"/>
    <x v="755"/>
    <s v="11:41"/>
    <x v="169"/>
    <s v="expense"/>
    <s v="rc_cat_1781955063347_5qjb_1781955063347_tezk"/>
    <s v="rc_acc_1781955063347_uxz4"/>
    <x v="1"/>
    <s v="-"/>
    <m/>
    <s v="import"/>
    <s v=""/>
    <b v="0"/>
    <s v=""/>
  </r>
  <r>
    <s v="b7aedecd-dad6-4593-8406-73a1434e4b0e"/>
    <x v="755"/>
    <s v="19:41"/>
    <x v="26"/>
    <s v="expense"/>
    <s v="rc_cat_1781955063347_5qjb_1781955063347_tezk"/>
    <s v="rc_acc_1781955063347_uxz4"/>
    <x v="1"/>
    <s v="-"/>
    <m/>
    <s v="import"/>
    <s v=""/>
    <b v="0"/>
    <s v=""/>
  </r>
  <r>
    <s v="bd4a9f62-a782-4c88-b5a4-e998cffbabab"/>
    <x v="755"/>
    <s v="20:41"/>
    <x v="323"/>
    <s v="expense"/>
    <s v="rc_cat_1781955063347_5qjb_1781955063347_irl1"/>
    <s v="rc_acc_1781955063347_uxz4"/>
    <x v="1"/>
    <s v="-"/>
    <m/>
    <s v="import"/>
    <s v=""/>
    <b v="0"/>
    <s v=""/>
  </r>
  <r>
    <s v="3fcb01bb-bcec-403c-9535-3c3af5de7c90"/>
    <x v="756"/>
    <s v="12:14"/>
    <x v="1180"/>
    <s v="expense"/>
    <s v="rc_cat_1781955063347_5qjb_1781955063347_tezk"/>
    <s v="rc_acc_1781955063347_0qmn"/>
    <x v="1"/>
    <s v="mk"/>
    <m/>
    <s v="import"/>
    <s v=""/>
    <b v="0"/>
    <s v=""/>
  </r>
  <r>
    <s v="5984628d-f061-432f-9bea-d17d219e5dcb"/>
    <x v="756"/>
    <s v="17:14"/>
    <x v="962"/>
    <s v="expense"/>
    <s v="rc_cat_1781955063347_5qjb_1781955063348_xqml"/>
    <s v="rc_acc_1781955063347_0qmn"/>
    <x v="1"/>
    <s v="macro"/>
    <m/>
    <s v="import"/>
    <s v=""/>
    <b v="0"/>
    <s v=""/>
  </r>
  <r>
    <s v="7e1c7028-8625-44d7-a77a-196e9a9febc8"/>
    <x v="756"/>
    <s v="23:40"/>
    <x v="99"/>
    <s v="transfer"/>
    <s v="other"/>
    <s v="rc_acc_1781955063347_uxz4"/>
    <x v="9"/>
    <s v="-"/>
    <m/>
    <s v="import"/>
    <s v=""/>
    <b v="0"/>
    <s v=""/>
  </r>
  <r>
    <s v="a072daf7-7098-427f-987f-2c2f89f79b77"/>
    <x v="757"/>
    <s v="00:00"/>
    <x v="387"/>
    <s v="transfer"/>
    <s v="other"/>
    <s v="rc_acc_1781955063347_uxz4"/>
    <x v="17"/>
    <s v="-"/>
    <m/>
    <s v="import"/>
    <s v=""/>
    <b v="0"/>
    <s v=""/>
  </r>
  <r>
    <s v="7b733a7b-d18e-4e6d-ba12-a3c0fc1feb0d"/>
    <x v="757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bf7a12ee-8ce6-4979-8873-684c72bd8ad6"/>
    <x v="757"/>
    <s v="11:38"/>
    <x v="772"/>
    <s v="transfer"/>
    <s v="other"/>
    <s v="rc_acc_1781955063347_uxz4"/>
    <x v="2"/>
    <s v="pasta"/>
    <m/>
    <s v="import"/>
    <s v=""/>
    <b v="0"/>
    <s v=""/>
  </r>
  <r>
    <s v="d9700233-8ea2-47fa-97b1-50a688a43fd0"/>
    <x v="757"/>
    <s v="12:52"/>
    <x v="1006"/>
    <s v="expense"/>
    <s v="rc_cat_1781955063347_5qjb_1781955063347_tezk"/>
    <s v="rc_acc_1781955063347_uxz4"/>
    <x v="1"/>
    <s v="pasta"/>
    <m/>
    <s v="import"/>
    <s v=""/>
    <b v="0"/>
    <s v=""/>
  </r>
  <r>
    <s v="9a55a30d-2f54-4aea-8604-420783f7511e"/>
    <x v="757"/>
    <s v="13:15"/>
    <x v="317"/>
    <s v="expense"/>
    <s v="rc_cat_1781955063347_5qjb_1781955063347_tezk"/>
    <s v="rc_acc_1781955063347_uxz4"/>
    <x v="1"/>
    <s v="-"/>
    <m/>
    <s v="import"/>
    <s v=""/>
    <b v="0"/>
    <s v=""/>
  </r>
  <r>
    <s v="2524555b-aa82-49ca-bda2-dd22e7e3add2"/>
    <x v="757"/>
    <s v="15:30"/>
    <x v="525"/>
    <s v="expense"/>
    <s v="rc_cat_1781955063347_anhy_1781955063348_k5l1"/>
    <s v="advance"/>
    <x v="1"/>
    <s v="ของพี่นัทส่วนเรา"/>
    <m/>
    <s v="import"/>
    <s v=""/>
    <b v="0"/>
    <s v=""/>
  </r>
  <r>
    <s v="ef91b6e7-bc80-4870-a7df-fe59827bec34"/>
    <x v="757"/>
    <s v="15:38"/>
    <x v="708"/>
    <s v="transfer"/>
    <s v="other"/>
    <s v="advance"/>
    <x v="5"/>
    <s v="พี่กิ๊บพี่บูน 540*2"/>
    <m/>
    <s v="import"/>
    <s v=""/>
    <b v="0"/>
    <s v=""/>
  </r>
  <r>
    <s v="63bcc74c-d6ad-4adf-a439-8aec44a7d8ae"/>
    <x v="757"/>
    <s v="15:54"/>
    <x v="1181"/>
    <s v="expense"/>
    <s v="entertain_1781955063347_8r8e"/>
    <s v="rc_acc_1781955063347_uxz4"/>
    <x v="1"/>
    <s v="-"/>
    <m/>
    <s v="import"/>
    <s v=""/>
    <b v="0"/>
    <s v=""/>
  </r>
  <r>
    <s v="5ce67561-9e7f-441c-a76b-c669cc95c815"/>
    <x v="757"/>
    <s v="16:32"/>
    <x v="525"/>
    <s v="transfer"/>
    <s v="other"/>
    <s v="advance"/>
    <x v="19"/>
    <s v="ของพี่อาท"/>
    <m/>
    <s v="import"/>
    <s v=""/>
    <b v="0"/>
    <s v=""/>
  </r>
  <r>
    <s v="1dc66ec1-69ac-4ef4-a728-c55a856cd6e4"/>
    <x v="757"/>
    <s v="16:49"/>
    <x v="1182"/>
    <s v="transfer"/>
    <s v="other"/>
    <s v="advance"/>
    <x v="5"/>
    <s v="ค่าข้าว 395*2  ของ 540"/>
    <m/>
    <s v="import"/>
    <s v=""/>
    <b v="0"/>
    <s v=""/>
  </r>
  <r>
    <s v="8c3da57f-ba99-463d-8ea5-c131de687b74"/>
    <x v="757"/>
    <s v="19:15"/>
    <x v="547"/>
    <s v="expense"/>
    <s v="rc_cat_1781955063347_5qjb_1781955063347_tezk"/>
    <s v="rc_acc_1781955063347_uxz4"/>
    <x v="1"/>
    <s v="-"/>
    <m/>
    <s v="import"/>
    <s v=""/>
    <b v="0"/>
    <s v=""/>
  </r>
  <r>
    <s v="5697d9ff-a078-4159-a33a-1acc6f4e69bb"/>
    <x v="758"/>
    <s v="12:14"/>
    <x v="356"/>
    <s v="expense"/>
    <s v="rc_cat_1781955063347_5qjb_1781955063347_tezk"/>
    <s v="rc_acc_1781955063347_0qmn"/>
    <x v="1"/>
    <s v="-"/>
    <m/>
    <s v="import"/>
    <s v=""/>
    <b v="0"/>
    <s v=""/>
  </r>
  <r>
    <s v="e1a17226-a164-4384-a747-8aac9ae2829f"/>
    <x v="758"/>
    <s v="12:26"/>
    <x v="1166"/>
    <s v="expense"/>
    <s v="rc_cat_1781955063347_5qjb_1781955063347_tezk"/>
    <s v="rc_acc_1781955063347_uxz4"/>
    <x v="1"/>
    <s v="-"/>
    <m/>
    <s v="import"/>
    <s v=""/>
    <b v="0"/>
    <s v=""/>
  </r>
  <r>
    <s v="54b935c7-cc1f-4a36-88e7-ed5dcd68b19d"/>
    <x v="758"/>
    <s v="12:33"/>
    <x v="317"/>
    <s v="expense"/>
    <s v="rc_cat_1781955063347_5qjb_1781955063347_tezk"/>
    <s v="rc_acc_1781955063347_uxz4"/>
    <x v="1"/>
    <s v="-"/>
    <m/>
    <s v="import"/>
    <s v=""/>
    <b v="0"/>
    <s v=""/>
  </r>
  <r>
    <s v="456dfecb-376a-44e8-97db-f23e13f82263"/>
    <x v="758"/>
    <s v="14:35"/>
    <x v="182"/>
    <s v="transfer"/>
    <s v="other"/>
    <s v="rc_acc_1781955063347_uxz4"/>
    <x v="2"/>
    <s v="pasta"/>
    <m/>
    <s v="import"/>
    <s v=""/>
    <b v="0"/>
    <s v=""/>
  </r>
  <r>
    <s v="baa992f2-ee7f-4ad9-b450-e55d51e47121"/>
    <x v="759"/>
    <s v="09:00"/>
    <x v="74"/>
    <s v="expense"/>
    <s v="rc_cat_1781955063347_5qjb_1781955063347_tezk"/>
    <s v="rc_acc_1781955063347_uxz4"/>
    <x v="1"/>
    <s v="-"/>
    <m/>
    <s v="import"/>
    <s v=""/>
    <b v="0"/>
    <s v=""/>
  </r>
  <r>
    <s v="a5aebc3e-fc22-4c9d-92e2-7f2cd6e2a8bc"/>
    <x v="759"/>
    <s v="11:25"/>
    <x v="756"/>
    <s v="transfer"/>
    <s v="other"/>
    <s v="advance"/>
    <x v="5"/>
    <s v="โมโมจากวัด"/>
    <m/>
    <s v="import"/>
    <s v=""/>
    <b v="0"/>
    <s v=""/>
  </r>
  <r>
    <s v="0eb5cd0d-0227-41fe-a955-678c9c1d181a"/>
    <x v="760"/>
    <s v="12:35"/>
    <x v="199"/>
    <s v="expense"/>
    <s v="rc_cat_1781955063347_5qjb_1781955063347_tezk"/>
    <s v="rc_acc_1781955063347_uxz4"/>
    <x v="1"/>
    <s v="-"/>
    <m/>
    <s v="import"/>
    <s v=""/>
    <b v="0"/>
    <s v=""/>
  </r>
  <r>
    <s v="91d16787-7459-4478-b078-056efe1f5eb3"/>
    <x v="760"/>
    <s v="12:35"/>
    <x v="964"/>
    <s v="expense"/>
    <s v="rc_cat_1781955063347_5qjb_1781955063347_tezk"/>
    <s v="rc_acc_1781955063347_0qmn"/>
    <x v="1"/>
    <s v="a ramen"/>
    <m/>
    <s v="import"/>
    <s v=""/>
    <b v="0"/>
    <s v=""/>
  </r>
  <r>
    <s v="c9fabe6f-d97a-4bd5-acce-7280372277f8"/>
    <x v="760"/>
    <s v="12:35"/>
    <x v="317"/>
    <s v="expense"/>
    <s v="rc_cat_1781955063347_5qjb_1781955063348_wpky"/>
    <s v="rc_acc_1781955063347_0qmn"/>
    <x v="1"/>
    <s v="ยา"/>
    <m/>
    <s v="import"/>
    <s v=""/>
    <b v="0"/>
    <s v=""/>
  </r>
  <r>
    <s v="4cce60fa-3514-4773-9b36-a028a5bf44ba"/>
    <x v="760"/>
    <s v="19:19"/>
    <x v="1082"/>
    <s v="expense"/>
    <s v="rc_cat_1781955063347_5qjb_1781955063347_tezk"/>
    <s v="rc_acc_1781955063347_0qmn"/>
    <x v="1"/>
    <s v="-"/>
    <m/>
    <s v="import"/>
    <s v=""/>
    <b v="0"/>
    <s v=""/>
  </r>
  <r>
    <s v="d78ad641-2341-49ba-b034-0948f8107dc7"/>
    <x v="760"/>
    <s v="19:19"/>
    <x v="778"/>
    <s v="expense"/>
    <s v="rc_cat_1781955063347_5qjb_1781955063347_tezk"/>
    <s v="rc_acc_1781955063347_0qmn"/>
    <x v="1"/>
    <s v="-"/>
    <m/>
    <s v="import"/>
    <s v=""/>
    <b v="0"/>
    <s v=""/>
  </r>
  <r>
    <s v="c9da6a83-9cca-41e7-98aa-d337c59b3d87"/>
    <x v="760"/>
    <s v="19:19"/>
    <x v="1183"/>
    <s v="expense"/>
    <s v="entertain_1781955063347_8r8e"/>
    <s v="rc_acc_1781955063347_uxz4"/>
    <x v="1"/>
    <s v="-"/>
    <m/>
    <s v="import"/>
    <s v=""/>
    <b v="0"/>
    <s v=""/>
  </r>
  <r>
    <s v="750687e9-55ab-4236-90c3-e624e1a75e1f"/>
    <x v="761"/>
    <s v="00:00"/>
    <x v="8"/>
    <s v="transfer"/>
    <s v="other"/>
    <s v="rc_acc_1781955063347_uxz4"/>
    <x v="25"/>
    <s v="-"/>
    <m/>
    <s v="import"/>
    <s v=""/>
    <b v="0"/>
    <s v=""/>
  </r>
  <r>
    <s v="91efbe1b-3594-4447-ba0c-b38f1fb23676"/>
    <x v="761"/>
    <s v="12:45"/>
    <x v="22"/>
    <s v="expense"/>
    <s v="rc_cat_1781955063347_5qjb_1781955063347_tezk"/>
    <s v="rc_acc_1781955063347_0qmn"/>
    <x v="1"/>
    <s v="โรตีชาชัก"/>
    <m/>
    <s v="import"/>
    <s v=""/>
    <b v="0"/>
    <s v=""/>
  </r>
  <r>
    <s v="4aaaa45e-a321-4fb1-9267-7ae815fc0a72"/>
    <x v="761"/>
    <s v="12:54"/>
    <x v="760"/>
    <s v="expense"/>
    <s v="rc_cat_1781955063347_5qjb_1781955063347_tezk"/>
    <s v="rc_acc_1781955063347_0qmn"/>
    <x v="1"/>
    <s v="สุกี้แห้ง เกี้ยวซ่า สกายลัค"/>
    <m/>
    <s v="import"/>
    <s v=""/>
    <b v="0"/>
    <s v=""/>
  </r>
  <r>
    <s v="e1c1ef5c-5de4-44b7-ac42-5d54fc75a084"/>
    <x v="761"/>
    <s v="13:33"/>
    <x v="150"/>
    <s v="expense"/>
    <s v="rc_cat_1781955063347_5qjb_1781955063347_tezk"/>
    <s v="rc_acc_1781955063347_uxz4"/>
    <x v="1"/>
    <s v="dolce gelato"/>
    <m/>
    <s v="import"/>
    <s v=""/>
    <b v="0"/>
    <s v=""/>
  </r>
  <r>
    <s v="ef24a8fd-49ff-4487-9844-05e8104b5702"/>
    <x v="761"/>
    <s v="14:55"/>
    <x v="1008"/>
    <s v="expense"/>
    <s v="rc_cat_1781955063347_5qjb_1781955063348_xqml"/>
    <s v="rc_acc_1781955063347_0qmn"/>
    <x v="1"/>
    <s v="หน้ากาก ปากกา"/>
    <m/>
    <s v="import"/>
    <s v=""/>
    <b v="0"/>
    <s v=""/>
  </r>
  <r>
    <s v="f917352c-b81a-424f-9e6b-18fbd72e5e9b"/>
    <x v="761"/>
    <s v="18:09"/>
    <x v="1184"/>
    <s v="expense"/>
    <s v="rc_cat_1781955063347_5qjb_1781955063347_tezk"/>
    <s v="rc_acc_1781955063347_0qmn"/>
    <x v="1"/>
    <s v="เขียง  grab 5/9"/>
    <m/>
    <s v="import"/>
    <s v=""/>
    <b v="0"/>
    <s v=""/>
  </r>
  <r>
    <s v="61de06c7-735b-489c-9216-37e0a83e2862"/>
    <x v="761"/>
    <s v="18:12"/>
    <x v="1185"/>
    <s v="expense"/>
    <s v="rc_cat_1781955063347_anhy_1781955063348_k5l1"/>
    <s v="kbank"/>
    <x v="1"/>
    <s v="ไอติม gussdamgood"/>
    <m/>
    <s v="import"/>
    <s v=""/>
    <b v="0"/>
    <s v=""/>
  </r>
  <r>
    <s v="92456b26-cea2-4635-9002-3aeb19365469"/>
    <x v="761"/>
    <s v="18:13"/>
    <x v="31"/>
    <s v="transfer"/>
    <s v="other"/>
    <s v="kbank"/>
    <x v="5"/>
    <s v="-"/>
    <m/>
    <s v="import"/>
    <s v=""/>
    <b v="0"/>
    <s v=""/>
  </r>
  <r>
    <s v="ae47f07f-79a8-414a-aa92-5e939476b2cc"/>
    <x v="761"/>
    <s v="18:16"/>
    <x v="1186"/>
    <s v="expense"/>
    <s v="rc_cat_1781955063347_5qjb_1781955063348_hrbf"/>
    <s v="rc_acc_1781955063347_0qmn"/>
    <x v="1"/>
    <s v="ค่าไฟ กย"/>
    <m/>
    <s v="import"/>
    <s v=""/>
    <b v="0"/>
    <s v=""/>
  </r>
  <r>
    <s v="d2b24606-2f03-44c6-8575-1128bb4f7fb5"/>
    <x v="761"/>
    <s v="18:20"/>
    <x v="178"/>
    <s v="expense"/>
    <s v="rc_cat_1781955063347_5qjb_1781955063348_edf6"/>
    <s v="rc_acc_1781955063347_0qmn"/>
    <x v="1"/>
    <s v="น้ำมัน 1128 aug"/>
    <m/>
    <s v="import"/>
    <s v=""/>
    <b v="0"/>
    <s v=""/>
  </r>
  <r>
    <s v="6e1ae74e-dd38-4430-ba13-345f2496ad53"/>
    <x v="761"/>
    <s v="18:25"/>
    <x v="74"/>
    <s v="income"/>
    <s v="other_1781955063347_5s7r"/>
    <s v="rc_acc_1781955063351_8khv"/>
    <x v="1"/>
    <s v="Difference"/>
    <m/>
    <s v="import"/>
    <s v=""/>
    <b v="0"/>
    <s v=""/>
  </r>
  <r>
    <s v="5ce3eb7a-9f5a-4eb3-82ba-850a2fcbbbf0"/>
    <x v="761"/>
    <s v="18:28"/>
    <x v="2"/>
    <s v="transfer"/>
    <s v="other"/>
    <s v="rc_acc_1781955063351_8khv"/>
    <x v="5"/>
    <s v="-"/>
    <m/>
    <s v="import"/>
    <s v=""/>
    <b v="0"/>
    <s v=""/>
  </r>
  <r>
    <s v="0f8adba7-3383-4730-974a-375c1e4df492"/>
    <x v="761"/>
    <s v="18:31"/>
    <x v="2"/>
    <s v="expense"/>
    <s v="rc_cat_1781955063347_5qjb_1781955063348_edf6"/>
    <s v="rc_acc_1781955063347_0qmn"/>
    <x v="1"/>
    <s v="น้ำมัน 4 กย"/>
    <m/>
    <s v="import"/>
    <s v=""/>
    <b v="0"/>
    <s v=""/>
  </r>
  <r>
    <s v="1a6d4683-ca7c-4c81-b765-ecb8d6ada36f"/>
    <x v="761"/>
    <s v="18:48"/>
    <x v="1187"/>
    <s v="expense"/>
    <s v="rc_cat_1781955063347_s4sz_1781955063347_deos"/>
    <s v="rc_acc_1781955063347_uxz4"/>
    <x v="1"/>
    <s v="เครื่องคิดเลข"/>
    <m/>
    <s v="import"/>
    <s v=""/>
    <b v="0"/>
    <s v=""/>
  </r>
  <r>
    <s v="e4326d00-ce20-443a-a00d-301a3d48df9c"/>
    <x v="761"/>
    <s v="18:48"/>
    <x v="1188"/>
    <s v="transfer"/>
    <s v="other"/>
    <s v="rc_acc_1781955063347_uxz4"/>
    <x v="2"/>
    <s v="เม้าส์พี่นัท"/>
    <m/>
    <s v="import"/>
    <s v=""/>
    <b v="0"/>
    <s v=""/>
  </r>
  <r>
    <s v="bbd3d52e-6966-45ee-a9d6-24abc1e48b42"/>
    <x v="761"/>
    <s v="18:56"/>
    <x v="1189"/>
    <s v="expense"/>
    <s v="other_1781955063347_5s7r"/>
    <s v="rc_acc_1781955063349_mitc"/>
    <x v="1"/>
    <s v="Difference"/>
    <m/>
    <s v="import"/>
    <s v=""/>
    <b v="0"/>
    <s v=""/>
  </r>
  <r>
    <s v="f479e162-cb8a-4516-9e9b-9299d7479c01"/>
    <x v="761"/>
    <s v="19:28"/>
    <x v="1190"/>
    <s v="expense"/>
    <s v="other_1781955063348_27zj"/>
    <s v="rc_acc_1781955063347_uxz4"/>
    <x v="1"/>
    <s v="cfa"/>
    <m/>
    <s v="import"/>
    <s v=""/>
    <b v="0"/>
    <s v=""/>
  </r>
  <r>
    <s v="bd3d7247-0452-4f9c-84d1-c6a4b2baa5dc"/>
    <x v="761"/>
    <s v="19:28"/>
    <x v="1191"/>
    <s v="expense"/>
    <s v="rc_cat_1781955063347_anhy_1781955063350_fcpb"/>
    <s v="rc_acc_1781955063347_uxz4"/>
    <x v="1"/>
    <s v="birthday"/>
    <m/>
    <s v="import"/>
    <s v=""/>
    <b v="0"/>
    <s v=""/>
  </r>
  <r>
    <s v="a6e3dd72-e918-4fd4-b80c-9203f01f0aff"/>
    <x v="761"/>
    <s v="19:48"/>
    <x v="1192"/>
    <s v="expense"/>
    <s v="entertain_1781955063348_kx2f"/>
    <s v="kbank"/>
    <x v="1"/>
    <s v="หน้ากาก ที่ชาจ shopee"/>
    <m/>
    <s v="import"/>
    <s v=""/>
    <b v="0"/>
    <s v=""/>
  </r>
  <r>
    <s v="8569d85c-a043-4e07-bf92-8a9eada0ead9"/>
    <x v="761"/>
    <s v="19:55"/>
    <x v="1193"/>
    <s v="transfer"/>
    <s v="other"/>
    <s v="advance"/>
    <x v="5"/>
    <s v="-"/>
    <m/>
    <s v="import"/>
    <s v=""/>
    <b v="0"/>
    <s v=""/>
  </r>
  <r>
    <s v="01bcd2e6-bef7-4430-b0a3-1e9dc5b8d9bb"/>
    <x v="761"/>
    <s v="19:56"/>
    <x v="1193"/>
    <s v="expense"/>
    <s v="rc_cat_1781955063347_5qjb_1781955063347_tezk"/>
    <s v="rc_acc_1781955063347_0qmn"/>
    <x v="1"/>
    <s v="-"/>
    <m/>
    <s v="import"/>
    <s v=""/>
    <b v="0"/>
    <s v=""/>
  </r>
  <r>
    <s v="5330ad6a-d421-46bb-8836-da04a2e10e83"/>
    <x v="761"/>
    <s v="20:01"/>
    <x v="1194"/>
    <s v="expense"/>
    <s v="rc_cat_1781955063347_5qjb_1781955063347_tezk"/>
    <s v="rc_acc_1781955063347_0qmn"/>
    <x v="1"/>
    <s v="coffeelism 99"/>
    <m/>
    <s v="import"/>
    <s v=""/>
    <b v="0"/>
    <s v=""/>
  </r>
  <r>
    <s v="3545a3c6-2680-4bef-8344-bd19a6208ed6"/>
    <x v="761"/>
    <s v="20:04"/>
    <x v="928"/>
    <s v="transfer"/>
    <s v="other"/>
    <s v="rc_acc_1781955063347_uxz4"/>
    <x v="17"/>
    <s v="-"/>
    <m/>
    <s v="import"/>
    <s v=""/>
    <b v="0"/>
    <s v=""/>
  </r>
  <r>
    <s v="c74fe314-b78a-4442-8681-11ed197637c9"/>
    <x v="762"/>
    <s v="00:25"/>
    <x v="1195"/>
    <s v="transfer"/>
    <s v="other"/>
    <s v="rc_acc_1781955063347_omhz"/>
    <x v="2"/>
    <s v="-"/>
    <m/>
    <s v="import"/>
    <s v=""/>
    <b v="0"/>
    <s v=""/>
  </r>
  <r>
    <s v="4bfc8c06-33da-417a-98d7-c7a44d88bd77"/>
    <x v="762"/>
    <s v="12:01"/>
    <x v="317"/>
    <s v="expense"/>
    <s v="rc_cat_1781955063347_5qjb_1781955063347_tezk"/>
    <s v="rc_acc_1781955063347_uxz4"/>
    <x v="1"/>
    <s v="-"/>
    <m/>
    <s v="import"/>
    <s v=""/>
    <b v="0"/>
    <s v=""/>
  </r>
  <r>
    <s v="682b795a-fb81-470c-b44c-82f3dcb24ecb"/>
    <x v="762"/>
    <s v="12:45"/>
    <x v="932"/>
    <s v="expense"/>
    <s v="rc_cat_1781955063347_anhy_1781955063347_qnaz"/>
    <s v="rc_acc_1781955063347_uxz4"/>
    <x v="1"/>
    <s v="-"/>
    <m/>
    <s v="import"/>
    <s v=""/>
    <b v="0"/>
    <s v=""/>
  </r>
  <r>
    <s v="de33f271-28a7-4a0c-8e07-b607cdd3bebf"/>
    <x v="762"/>
    <s v="17:53"/>
    <x v="913"/>
    <s v="expense"/>
    <s v="rc_cat_1781955063347_5qjb_1781955063347_tezk"/>
    <s v="rc_acc_1781955063347_0qmn"/>
    <x v="1"/>
    <s v="ตี๋น้อย"/>
    <m/>
    <s v="import"/>
    <s v=""/>
    <b v="0"/>
    <s v=""/>
  </r>
  <r>
    <s v="68242935-84f0-4610-adc5-22c77925fae8"/>
    <x v="762"/>
    <s v="19:23"/>
    <x v="1091"/>
    <s v="expense"/>
    <s v="entertain_1781955063348_kx2f"/>
    <s v="rc_acc_1781955063347_hv85"/>
    <x v="1"/>
    <s v="-"/>
    <m/>
    <s v="import"/>
    <s v=""/>
    <b v="0"/>
    <s v=""/>
  </r>
  <r>
    <s v="2f8831fa-232e-4fc0-a67f-fdd44d0944c0"/>
    <x v="763"/>
    <s v="09:05"/>
    <x v="317"/>
    <s v="expense"/>
    <s v="rc_cat_1781955063347_5qjb_1781955063347_tezk"/>
    <s v="rc_acc_1781955063347_uxz4"/>
    <x v="1"/>
    <s v="-"/>
    <m/>
    <s v="import"/>
    <s v=""/>
    <b v="0"/>
    <s v=""/>
  </r>
  <r>
    <s v="b081433a-3c28-4bc7-be31-b909d6d89999"/>
    <x v="763"/>
    <s v="09:15"/>
    <x v="356"/>
    <s v="expense"/>
    <s v="rc_cat_1781955063347_5qjb_1781955063347_tezk"/>
    <s v="rc_acc_1781955063347_0qmn"/>
    <x v="1"/>
    <s v="-"/>
    <m/>
    <s v="import"/>
    <s v=""/>
    <b v="0"/>
    <s v=""/>
  </r>
  <r>
    <s v="d7733c36-a037-4903-b38c-afa0e1231780"/>
    <x v="763"/>
    <s v="12:05"/>
    <x v="199"/>
    <s v="expense"/>
    <s v="rc_cat_1781955063347_5qjb_1781955063347_tezk"/>
    <s v="rc_acc_1781955063347_uxz4"/>
    <x v="1"/>
    <s v="ข้าวผัด"/>
    <m/>
    <s v="import"/>
    <s v=""/>
    <b v="0"/>
    <s v=""/>
  </r>
  <r>
    <s v="38f8f92d-c427-4780-a1da-eb1984de3e0a"/>
    <x v="763"/>
    <s v="12:20"/>
    <x v="545"/>
    <s v="expense"/>
    <s v="rc_cat_1781955063347_5qjb_1781955063347_tezk"/>
    <s v="rc_acc_1781955063347_uxz4"/>
    <x v="1"/>
    <s v="-"/>
    <m/>
    <s v="import"/>
    <s v=""/>
    <b v="0"/>
    <s v=""/>
  </r>
  <r>
    <s v="801f6902-8795-405f-91d7-6785498a2b30"/>
    <x v="763"/>
    <s v="17:00"/>
    <x v="751"/>
    <s v="expense"/>
    <s v="rc_cat_1781955063347_5qjb_1781955063347_tezk"/>
    <s v="rc_acc_1781955063347_uxz4"/>
    <x v="1"/>
    <s v="-"/>
    <m/>
    <s v="import"/>
    <s v=""/>
    <b v="0"/>
    <s v=""/>
  </r>
  <r>
    <s v="57d8287a-7f21-4444-bf55-c7b580286563"/>
    <x v="763"/>
    <s v="19:19"/>
    <x v="1196"/>
    <s v="transfer"/>
    <s v="other"/>
    <s v="rc_acc_1781955063348_w3gp"/>
    <x v="2"/>
    <s v="-"/>
    <m/>
    <s v="import"/>
    <s v=""/>
    <b v="0"/>
    <s v=""/>
  </r>
  <r>
    <s v="10f551ac-9213-421f-88ca-0948b857535d"/>
    <x v="763"/>
    <s v="19:19"/>
    <x v="1166"/>
    <s v="transfer"/>
    <s v="other"/>
    <s v="rc_acc_1781955063348_w3gp"/>
    <x v="2"/>
    <s v="-"/>
    <m/>
    <s v="import"/>
    <s v=""/>
    <b v="0"/>
    <s v=""/>
  </r>
  <r>
    <s v="66e18409-a571-4f39-ba24-14ceb403039e"/>
    <x v="764"/>
    <s v="09:15"/>
    <x v="356"/>
    <s v="expense"/>
    <s v="rc_cat_1781955063347_5qjb_1781955063347_tezk"/>
    <s v="rc_acc_1781955063347_0qmn"/>
    <x v="1"/>
    <s v="-"/>
    <m/>
    <s v="import"/>
    <s v=""/>
    <b v="0"/>
    <s v=""/>
  </r>
  <r>
    <s v="50c557f1-0bb5-43f2-bd7f-805f76bdf1a4"/>
    <x v="764"/>
    <s v="12:58"/>
    <x v="771"/>
    <s v="expense"/>
    <s v="rc_cat_1781955063347_5qjb_1781955063347_tezk"/>
    <s v="rc_acc_1781955063347_uxz4"/>
    <x v="1"/>
    <s v="-"/>
    <m/>
    <s v="import"/>
    <s v=""/>
    <b v="0"/>
    <s v=""/>
  </r>
  <r>
    <s v="b60999b1-2861-4b82-b823-a5553f9837de"/>
    <x v="764"/>
    <s v="12:58"/>
    <x v="317"/>
    <s v="expense"/>
    <s v="rc_cat_1781955063347_5qjb_1781955063347_tezk"/>
    <s v="rc_acc_1781955063347_uxz4"/>
    <x v="1"/>
    <s v="-"/>
    <m/>
    <s v="import"/>
    <s v=""/>
    <b v="0"/>
    <s v=""/>
  </r>
  <r>
    <s v="a3e5a035-cef4-43fb-8fa0-3049625482d3"/>
    <x v="764"/>
    <s v="19:19"/>
    <x v="323"/>
    <s v="transfer"/>
    <s v="other"/>
    <s v="rc_acc_1781955063348_w3gp"/>
    <x v="2"/>
    <s v="-"/>
    <m/>
    <s v="import"/>
    <s v=""/>
    <b v="0"/>
    <s v=""/>
  </r>
  <r>
    <s v="e6af6938-a159-4163-a0c8-99ae790b2973"/>
    <x v="765"/>
    <s v="09:06"/>
    <x v="356"/>
    <s v="expense"/>
    <s v="rc_cat_1781955063347_5qjb_1781955063347_tezk"/>
    <s v="rc_acc_1781955063347_0qmn"/>
    <x v="1"/>
    <s v="-"/>
    <m/>
    <s v="import"/>
    <s v=""/>
    <b v="0"/>
    <s v=""/>
  </r>
  <r>
    <s v="558e034f-7200-4a12-8d1e-2933721d6e77"/>
    <x v="765"/>
    <s v="09:20"/>
    <x v="356"/>
    <s v="expense"/>
    <s v="rc_cat_1781955063347_5qjb_1781955063347_tezk"/>
    <s v="rc_acc_1781955063347_0qmn"/>
    <x v="1"/>
    <s v="-"/>
    <m/>
    <s v="import"/>
    <s v=""/>
    <b v="0"/>
    <s v=""/>
  </r>
  <r>
    <s v="86c62226-770a-473e-83b4-bd51ab487fdc"/>
    <x v="765"/>
    <s v="10:48"/>
    <x v="8"/>
    <s v="income"/>
    <s v="income_1781955063347_5zxt"/>
    <s v="rc_acc_1781955063347_0qmn"/>
    <x v="1"/>
    <s v="hong"/>
    <m/>
    <s v="import"/>
    <s v=""/>
    <b v="0"/>
    <s v=""/>
  </r>
  <r>
    <s v="90cb08ac-490c-4c8c-936e-a93f3e044361"/>
    <x v="765"/>
    <s v="12:57"/>
    <x v="601"/>
    <s v="expense"/>
    <s v="rc_cat_1781955063347_5qjb_1781955063347_tezk"/>
    <s v="rc_acc_1781955063347_uxz4"/>
    <x v="1"/>
    <s v="-"/>
    <m/>
    <s v="import"/>
    <s v=""/>
    <b v="0"/>
    <s v=""/>
  </r>
  <r>
    <s v="784496ba-983e-4273-99a6-c5fcf1a13a75"/>
    <x v="765"/>
    <s v="19:19"/>
    <x v="465"/>
    <s v="transfer"/>
    <s v="other"/>
    <s v="rc_acc_1781955063348_w3gp"/>
    <x v="2"/>
    <s v="-"/>
    <m/>
    <s v="import"/>
    <s v=""/>
    <b v="0"/>
    <s v=""/>
  </r>
  <r>
    <s v="501b16af-33ab-4f3d-b47c-55104317b3dd"/>
    <x v="765"/>
    <s v="20:57"/>
    <x v="1197"/>
    <s v="expense"/>
    <s v="rc_cat_1781955063347_04qb_1781955063347_wt5p"/>
    <s v="rc_acc_1781955063347_uxz4"/>
    <x v="1"/>
    <s v="-"/>
    <m/>
    <s v="import"/>
    <s v=""/>
    <b v="0"/>
    <s v=""/>
  </r>
  <r>
    <s v="7001a68f-4bd9-4fc6-b20d-fa81b333ed80"/>
    <x v="766"/>
    <s v="09:07"/>
    <x v="1198"/>
    <s v="transfer"/>
    <s v="other"/>
    <s v="rc_acc_1781955063347_omhz"/>
    <x v="2"/>
    <s v="-"/>
    <m/>
    <s v="import"/>
    <s v=""/>
    <b v="0"/>
    <s v=""/>
  </r>
  <r>
    <s v="f92feab3-679c-40d5-a1af-6b6167e02282"/>
    <x v="767"/>
    <s v="11:52"/>
    <x v="1199"/>
    <s v="transfer"/>
    <s v="other"/>
    <s v="rc_acc_1781955063347_uxz4"/>
    <x v="2"/>
    <s v="treespace ทริปพัทยา"/>
    <m/>
    <s v="import"/>
    <s v=""/>
    <b v="0"/>
    <s v=""/>
  </r>
  <r>
    <s v="e1c3f932-cfe4-4db0-9e4c-a7f0ddf93fec"/>
    <x v="767"/>
    <s v="13:53"/>
    <x v="1200"/>
    <s v="transfer"/>
    <s v="other"/>
    <s v="rc_acc_1781955063347_uxz4"/>
    <x v="2"/>
    <s v="โกอั๋น"/>
    <m/>
    <s v="import"/>
    <s v=""/>
    <b v="0"/>
    <s v=""/>
  </r>
  <r>
    <s v="c89758df-7050-43ab-826d-334a88c550ac"/>
    <x v="767"/>
    <s v="13:54"/>
    <x v="764"/>
    <s v="expense"/>
    <s v="rc_cat_1781955063347_5qjb_1781955063347_tezk"/>
    <s v="rc_acc_1781955063347_uxz4"/>
    <x v="1"/>
    <s v="โกอั๋น เราเอง"/>
    <m/>
    <s v="import"/>
    <s v=""/>
    <b v="0"/>
    <s v=""/>
  </r>
  <r>
    <s v="db322943-a5c8-492c-8a4d-bfd7e2333ce5"/>
    <x v="767"/>
    <s v="14:54"/>
    <x v="934"/>
    <s v="expense"/>
    <s v="rc_cat_1781955063347_5qjb_1781955063347_tezk"/>
    <s v="rc_acc_1781955063347_0qmn"/>
    <x v="1"/>
    <s v="toffeecake ของฝาก"/>
    <m/>
    <s v="import"/>
    <s v=""/>
    <b v="0"/>
    <s v=""/>
  </r>
  <r>
    <s v="7d3b51b3-e30d-41d6-b2af-2b5e8eab8577"/>
    <x v="767"/>
    <s v="16:30"/>
    <x v="211"/>
    <s v="transfer"/>
    <s v="other"/>
    <s v="kbank"/>
    <x v="34"/>
    <s v="-"/>
    <m/>
    <s v="import"/>
    <s v=""/>
    <b v="0"/>
    <s v=""/>
  </r>
  <r>
    <s v="007fbacd-e348-4958-af9d-3d83fb3b5ce2"/>
    <x v="767"/>
    <s v="18:56"/>
    <x v="5"/>
    <s v="transfer"/>
    <s v="other"/>
    <s v="advance"/>
    <x v="5"/>
    <s v="-"/>
    <m/>
    <s v="import"/>
    <s v=""/>
    <b v="0"/>
    <s v=""/>
  </r>
  <r>
    <s v="2c8f3e46-3e5d-41a3-a361-6caddae78742"/>
    <x v="767"/>
    <s v="18:58"/>
    <x v="1201"/>
    <s v="expense"/>
    <s v="other_1781955063348_27zj"/>
    <s v="advance"/>
    <x v="1"/>
    <s v="-"/>
    <m/>
    <s v="import"/>
    <s v=""/>
    <b v="0"/>
    <s v=""/>
  </r>
  <r>
    <s v="303d38ea-22d4-4431-8b6b-e66f01b36d5d"/>
    <x v="768"/>
    <s v="09:08"/>
    <x v="1034"/>
    <s v="transfer"/>
    <s v="other"/>
    <s v="rc_acc_1781955063347_omhz"/>
    <x v="2"/>
    <s v="coffeelism"/>
    <m/>
    <s v="import"/>
    <s v=""/>
    <b v="0"/>
    <s v=""/>
  </r>
  <r>
    <s v="3a2584f5-6155-48bb-9b03-f2dd09398541"/>
    <x v="768"/>
    <s v="09:20"/>
    <x v="19"/>
    <s v="transfer"/>
    <s v="other"/>
    <s v="rc_acc_1781955063347_uxz4"/>
    <x v="16"/>
    <s v="-"/>
    <m/>
    <s v="import"/>
    <s v=""/>
    <b v="0"/>
    <s v=""/>
  </r>
  <r>
    <s v="4b474c44-13e3-405c-bcde-5ca12353adc6"/>
    <x v="768"/>
    <s v="18:49"/>
    <x v="1202"/>
    <s v="transfer"/>
    <s v="other"/>
    <s v="rc_acc_1781955063349_mitc"/>
    <x v="2"/>
    <s v="มุมอร่อย"/>
    <m/>
    <s v="import"/>
    <s v=""/>
    <b v="0"/>
    <s v=""/>
  </r>
  <r>
    <s v="0dacba1f-f7e6-4066-9ba4-9d35b98a2def"/>
    <x v="768"/>
    <s v="18:51"/>
    <x v="212"/>
    <s v="transfer"/>
    <s v="other"/>
    <s v="rc_acc_1781955063347_uxz4"/>
    <x v="30"/>
    <s v="-"/>
    <m/>
    <s v="import"/>
    <s v=""/>
    <b v="0"/>
    <s v=""/>
  </r>
  <r>
    <s v="88824d11-6a70-4fff-8b2a-1eae513f0251"/>
    <x v="768"/>
    <s v="19:07"/>
    <x v="1143"/>
    <s v="transfer"/>
    <s v="other"/>
    <s v="rc_acc_1781955063347_omhz"/>
    <x v="2"/>
    <s v="-"/>
    <m/>
    <s v="import"/>
    <s v=""/>
    <b v="0"/>
    <s v=""/>
  </r>
  <r>
    <s v="c3ba49d2-cbb6-4022-9642-888f2ff7b7ea"/>
    <x v="769"/>
    <s v="09:05"/>
    <x v="931"/>
    <s v="expense"/>
    <s v="rc_cat_1781955063347_5qjb_1781955063347_tezk"/>
    <s v="rc_acc_1781955063347_0qmn"/>
    <x v="1"/>
    <s v="-"/>
    <m/>
    <s v="import"/>
    <s v=""/>
    <b v="0"/>
    <s v=""/>
  </r>
  <r>
    <s v="bd3afe41-b09a-4d11-a9d7-8c2e3fd0e06c"/>
    <x v="769"/>
    <s v="09:30"/>
    <x v="22"/>
    <s v="expense"/>
    <s v="rc_cat_1781955063347_5qjb_1781955063347_tezk"/>
    <s v="rc_acc_1781955063347_0qmn"/>
    <x v="1"/>
    <s v="-"/>
    <m/>
    <s v="import"/>
    <s v=""/>
    <b v="0"/>
    <s v=""/>
  </r>
  <r>
    <s v="92cde062-0c9d-4b1a-a6d0-090649d5c370"/>
    <x v="769"/>
    <s v="15:11"/>
    <x v="1203"/>
    <s v="expense"/>
    <s v="rc_cat_1781955063347_anhy_1781955063348_k5l1"/>
    <s v="kbank"/>
    <x v="1"/>
    <s v="เค้ก วันเกิดฝน"/>
    <m/>
    <s v="import"/>
    <s v=""/>
    <b v="0"/>
    <s v=""/>
  </r>
  <r>
    <s v="c4816425-c08a-470c-8489-05187ec858fd"/>
    <x v="769"/>
    <s v="19:18"/>
    <x v="465"/>
    <s v="transfer"/>
    <s v="other"/>
    <s v="rc_acc_1781955063348_w3gp"/>
    <x v="2"/>
    <s v="-"/>
    <m/>
    <s v="import"/>
    <s v=""/>
    <b v="0"/>
    <s v=""/>
  </r>
  <r>
    <s v="a14263aa-2a28-4b54-9832-c497f76f1acd"/>
    <x v="770"/>
    <s v="08:51"/>
    <x v="356"/>
    <s v="expense"/>
    <s v="rc_cat_1781955063347_5qjb_1781955063347_tezk"/>
    <s v="rc_acc_1781955063347_0qmn"/>
    <x v="1"/>
    <s v="-"/>
    <m/>
    <s v="import"/>
    <s v=""/>
    <b v="0"/>
    <s v=""/>
  </r>
  <r>
    <s v="0a5e618a-1712-46a2-bbbf-ddf6672e2f7a"/>
    <x v="770"/>
    <s v="12:48"/>
    <x v="199"/>
    <s v="expense"/>
    <s v="rc_cat_1781955063347_5qjb_1781955063347_tezk"/>
    <s v="rc_acc_1781955063347_uxz4"/>
    <x v="1"/>
    <s v="-"/>
    <m/>
    <s v="import"/>
    <s v=""/>
    <b v="0"/>
    <s v=""/>
  </r>
  <r>
    <s v="bcd4512d-a8f5-4366-8a9d-619d6b5c4c9f"/>
    <x v="770"/>
    <s v="12:50"/>
    <x v="199"/>
    <s v="expense"/>
    <s v="rc_cat_1781955063347_5qjb_1781955063347_tezk"/>
    <s v="rc_acc_1781955063347_uxz4"/>
    <x v="1"/>
    <s v="coffeelism"/>
    <m/>
    <s v="import"/>
    <s v=""/>
    <b v="0"/>
    <s v=""/>
  </r>
  <r>
    <s v="1021cde4-099c-4a6c-b685-03e0e22c30d9"/>
    <x v="770"/>
    <s v="17:51"/>
    <x v="513"/>
    <s v="expense"/>
    <s v="rc_cat_1781955063347_5qjb_1781955063347_tezk"/>
    <s v="rc_acc_1781955063347_0qmn"/>
    <x v="1"/>
    <s v="steak"/>
    <m/>
    <s v="import"/>
    <s v=""/>
    <b v="0"/>
    <s v=""/>
  </r>
  <r>
    <s v="0bde45d9-6128-4593-94b7-a796f6f69504"/>
    <x v="771"/>
    <s v="09:15"/>
    <x v="931"/>
    <s v="transfer"/>
    <s v="other"/>
    <s v="rc_acc_1781955063348_w3gp"/>
    <x v="2"/>
    <s v="-"/>
    <m/>
    <s v="import"/>
    <s v=""/>
    <b v="0"/>
    <s v=""/>
  </r>
  <r>
    <s v="b634ab83-6860-46ae-8734-a7a1729eb130"/>
    <x v="771"/>
    <s v="10:30"/>
    <x v="268"/>
    <s v="transfer"/>
    <s v="other"/>
    <s v="rc_acc_1781955063349_qn1n"/>
    <x v="5"/>
    <s v="Yuang"/>
    <m/>
    <s v="import"/>
    <s v=""/>
    <b v="0"/>
    <s v=""/>
  </r>
  <r>
    <s v="9f5179ba-0b37-426c-967d-89d36df45ca8"/>
    <x v="771"/>
    <s v="11:10"/>
    <x v="232"/>
    <s v="transfer"/>
    <s v="other"/>
    <s v="rc_acc_1781955063347_omhz"/>
    <x v="2"/>
    <s v="-"/>
    <m/>
    <s v="import"/>
    <s v=""/>
    <b v="0"/>
    <s v=""/>
  </r>
  <r>
    <s v="7dd6230a-f379-4386-8ad8-379222630263"/>
    <x v="771"/>
    <s v="11:40"/>
    <x v="19"/>
    <s v="transfer"/>
    <s v="other"/>
    <s v="rc_acc_1781955063347_uxz4"/>
    <x v="16"/>
    <s v="-"/>
    <m/>
    <s v="import"/>
    <s v=""/>
    <b v="0"/>
    <s v=""/>
  </r>
  <r>
    <s v="c80f3038-0db7-43b8-9bb5-d91910e4abc8"/>
    <x v="771"/>
    <s v="17:16"/>
    <x v="1110"/>
    <s v="transfer"/>
    <s v="other"/>
    <s v="rc_acc_1781955063348_w3gp"/>
    <x v="2"/>
    <s v="-"/>
    <m/>
    <s v="import"/>
    <s v=""/>
    <b v="0"/>
    <s v=""/>
  </r>
  <r>
    <s v="5fd111ca-6a92-49d0-98dd-fbb0a01fedbe"/>
    <x v="771"/>
    <s v="21:47"/>
    <x v="22"/>
    <s v="transfer"/>
    <s v="other"/>
    <s v="rc_acc_1781955063349_mitc"/>
    <x v="5"/>
    <s v="-"/>
    <m/>
    <s v="import"/>
    <s v=""/>
    <b v="0"/>
    <s v=""/>
  </r>
  <r>
    <s v="dc9df4d2-f70c-48d4-9142-464b4bb305af"/>
    <x v="772"/>
    <s v="09:00"/>
    <x v="22"/>
    <s v="expense"/>
    <s v="rc_cat_1781955063347_5qjb_1781955063347_tezk"/>
    <s v="rc_acc_1781955063347_0qmn"/>
    <x v="1"/>
    <s v="-"/>
    <m/>
    <s v="import"/>
    <s v=""/>
    <b v="0"/>
    <s v=""/>
  </r>
  <r>
    <s v="c6f6d81e-e8f6-476b-b710-d0e10346baf4"/>
    <x v="772"/>
    <s v="12:40"/>
    <x v="199"/>
    <s v="expense"/>
    <s v="rc_cat_1781955063347_5qjb_1781955063347_tezk"/>
    <s v="rc_acc_1781955063347_uxz4"/>
    <x v="1"/>
    <s v="-"/>
    <m/>
    <s v="import"/>
    <s v=""/>
    <b v="0"/>
    <s v=""/>
  </r>
  <r>
    <s v="674d372b-2899-4b94-b4a3-62726a33ea7e"/>
    <x v="772"/>
    <s v="12:45"/>
    <x v="199"/>
    <s v="expense"/>
    <s v="rc_cat_1781955063347_5qjb_1781955063347_tezk"/>
    <s v="rc_acc_1781955063347_uxz4"/>
    <x v="1"/>
    <s v="coffeelism"/>
    <m/>
    <s v="import"/>
    <s v=""/>
    <b v="0"/>
    <s v=""/>
  </r>
  <r>
    <s v="e8704bb3-6d80-4f8c-bad7-a4a3655fc598"/>
    <x v="772"/>
    <s v="18:38"/>
    <x v="1204"/>
    <s v="income"/>
    <s v="income_1781955063351_3ab8"/>
    <s v="kbank"/>
    <x v="1"/>
    <s v="-"/>
    <m/>
    <s v="import"/>
    <s v=""/>
    <b v="0"/>
    <s v=""/>
  </r>
  <r>
    <s v="8bc9265f-89ae-4f41-b713-de9855650099"/>
    <x v="773"/>
    <s v="09:15"/>
    <x v="751"/>
    <s v="expense"/>
    <s v="rc_cat_1781955063347_5qjb_1781955063347_tezk"/>
    <s v="rc_acc_1781955063347_0qmn"/>
    <x v="1"/>
    <s v="-"/>
    <m/>
    <s v="import"/>
    <s v=""/>
    <b v="0"/>
    <s v=""/>
  </r>
  <r>
    <s v="ec7bc853-da1b-4cd1-8a2d-f41bd9e5727c"/>
    <x v="773"/>
    <s v="09:20"/>
    <x v="265"/>
    <s v="expense"/>
    <s v="rc_cat_1781955063347_5qjb_1781955063347_tezk"/>
    <s v="rc_acc_1781955063347_0qmn"/>
    <x v="1"/>
    <s v="-"/>
    <m/>
    <s v="import"/>
    <s v=""/>
    <b v="0"/>
    <s v=""/>
  </r>
  <r>
    <s v="48a1e91b-e42a-48db-bbdc-3cdfd0818b6d"/>
    <x v="773"/>
    <s v="12:45"/>
    <x v="317"/>
    <s v="expense"/>
    <s v="rc_cat_1781955063347_5qjb_1781955063347_tezk"/>
    <s v="rc_acc_1781955063347_uxz4"/>
    <x v="1"/>
    <s v="-"/>
    <m/>
    <s v="import"/>
    <s v=""/>
    <b v="0"/>
    <s v=""/>
  </r>
  <r>
    <s v="fcb272bd-1aa8-4327-8d2a-920b00787424"/>
    <x v="774"/>
    <s v="09:24"/>
    <x v="1091"/>
    <s v="expense"/>
    <s v="rc_cat_1781955063347_5qjb_1781955063347_tezk"/>
    <s v="rc_acc_1781955063347_0qmn"/>
    <x v="1"/>
    <s v="172 203 shopee ktc เขียง ก้อน"/>
    <m/>
    <s v="import"/>
    <s v=""/>
    <b v="0"/>
    <s v=""/>
  </r>
  <r>
    <s v="fb73372d-b077-4632-bf57-11e71cadb4aa"/>
    <x v="774"/>
    <s v="09:32"/>
    <x v="13"/>
    <s v="expense"/>
    <s v="rc_cat_1781955063347_5qjb_1781955063347_tezk"/>
    <s v="rc_acc_1781955063347_0qmn"/>
    <x v="1"/>
    <s v="shopee 108 171 164 86"/>
    <m/>
    <s v="import"/>
    <s v=""/>
    <b v="0"/>
    <s v=""/>
  </r>
  <r>
    <s v="262f8b1e-e490-4e88-8a91-89dcd64fb320"/>
    <x v="774"/>
    <s v="09:35"/>
    <x v="939"/>
    <s v="expense"/>
    <s v="rc_cat_1781955063347_5qjb_1781955063347_tezk"/>
    <s v="kbank"/>
    <x v="1"/>
    <s v="easybuddy 2 sry im hungry"/>
    <m/>
    <s v="import"/>
    <s v=""/>
    <b v="0"/>
    <s v=""/>
  </r>
  <r>
    <s v="ee9711e8-a3aa-4308-868c-ba01f34bad49"/>
    <x v="774"/>
    <s v="09:47"/>
    <x v="1205"/>
    <s v="income"/>
    <s v="other_1781955063347_5s7r"/>
    <s v="rc_acc_1781955063351_9sgw"/>
    <x v="1"/>
    <s v="Difference"/>
    <m/>
    <s v="import"/>
    <s v=""/>
    <b v="0"/>
    <s v=""/>
  </r>
  <r>
    <s v="26575bcd-76a9-4c46-a79d-b38b47832c56"/>
    <x v="774"/>
    <s v="10:01"/>
    <x v="31"/>
    <s v="expense"/>
    <s v="rc_cat_1781955063347_5qjb_1781955063348_hrbf"/>
    <s v="rc_acc_1781955063347_0qmn"/>
    <x v="1"/>
    <s v="เนต"/>
    <m/>
    <s v="import"/>
    <s v=""/>
    <b v="0"/>
    <s v=""/>
  </r>
  <r>
    <s v="7dc8bff1-f3a4-4075-9a9e-a8583fd57a25"/>
    <x v="774"/>
    <s v="10:01"/>
    <x v="1173"/>
    <s v="expense"/>
    <s v="rc_cat_1781955063347_5qjb_1781955063348_hrbf"/>
    <s v="rc_acc_1781955063347_uxz4"/>
    <x v="1"/>
    <s v="โทรสัพ"/>
    <m/>
    <s v="import"/>
    <s v=""/>
    <b v="0"/>
    <s v=""/>
  </r>
  <r>
    <s v="0faff139-69ec-4752-b3e3-9f199138388f"/>
    <x v="774"/>
    <s v="12:50"/>
    <x v="199"/>
    <s v="expense"/>
    <s v="rc_cat_1781955063347_5qjb_1781955063347_tezk"/>
    <s v="rc_acc_1781955063347_uxz4"/>
    <x v="1"/>
    <s v="-"/>
    <m/>
    <s v="import"/>
    <s v=""/>
    <b v="0"/>
    <s v=""/>
  </r>
  <r>
    <s v="679a301a-4057-48d5-8b11-10ab81ec92e1"/>
    <x v="774"/>
    <s v="17:43"/>
    <x v="1206"/>
    <s v="expense"/>
    <s v="rc_cat_1781955063347_anhy_1781955063347_qnaz"/>
    <s v="rc_acc_1781955063347_uxz4"/>
    <x v="1"/>
    <s v="ชาเขียวน้ำผึ้ง ชาบูบ้านสวน ปังเยน"/>
    <m/>
    <s v="import"/>
    <s v=""/>
    <b v="0"/>
    <s v=""/>
  </r>
  <r>
    <s v="db21841b-7599-4893-b53f-08eb0fdafd47"/>
    <x v="774"/>
    <s v="18:39"/>
    <x v="317"/>
    <s v="expense"/>
    <s v="rc_cat_1781955063347_5qjb_1781955063347_tezk"/>
    <s v="kbank"/>
    <x v="1"/>
    <s v="-"/>
    <m/>
    <s v="import"/>
    <s v=""/>
    <b v="0"/>
    <s v=""/>
  </r>
  <r>
    <s v="2d972bc4-4e87-440a-99dc-c39905abd673"/>
    <x v="775"/>
    <s v="00:00"/>
    <x v="5"/>
    <s v="expense"/>
    <s v="rc_cat_1781955063347_anhy_1781955063347_qnaz"/>
    <s v="kbank"/>
    <x v="1"/>
    <s v="-"/>
    <m/>
    <s v="import"/>
    <s v=""/>
    <b v="0"/>
    <s v=""/>
  </r>
  <r>
    <s v="f28f8785-a995-413a-b5ec-109d67c68066"/>
    <x v="775"/>
    <s v="09:42"/>
    <x v="783"/>
    <s v="expense"/>
    <s v="rc_cat_1781955063347_5qjb_1781955063347_tezk"/>
    <s v="rc_acc_1781955063347_0qmn"/>
    <x v="1"/>
    <s v="-"/>
    <m/>
    <s v="import"/>
    <s v=""/>
    <b v="0"/>
    <s v=""/>
  </r>
  <r>
    <s v="be251f23-99c5-44cf-831b-aed7797e694d"/>
    <x v="775"/>
    <s v="13:27"/>
    <x v="1207"/>
    <s v="expense"/>
    <s v="rc_cat_1781955063347_anhy_1781955063347_qnaz"/>
    <s v="rc_acc_1781955063347_e3zv"/>
    <x v="1"/>
    <s v="เจ้อ้วน"/>
    <m/>
    <s v="import"/>
    <s v=""/>
    <b v="0"/>
    <s v=""/>
  </r>
  <r>
    <s v="22914adf-3259-4279-ad43-3c3b8c2ead83"/>
    <x v="775"/>
    <s v="16:07"/>
    <x v="582"/>
    <s v="expense"/>
    <s v="rc_cat_1781955063347_5qjb_1781955063347_tezk"/>
    <s v="rc_acc_1781955063347_omhz"/>
    <x v="1"/>
    <s v="สกายลัค"/>
    <m/>
    <s v="import"/>
    <s v=""/>
    <b v="0"/>
    <s v=""/>
  </r>
  <r>
    <s v="b00fff1d-18c5-4e1e-aed1-d2a44e0397a1"/>
    <x v="775"/>
    <s v="16:38"/>
    <x v="265"/>
    <s v="expense"/>
    <s v="rc_cat_1781955063347_5qjb_1781955063347_tezk"/>
    <s v="rc_acc_1781955063347_0qmn"/>
    <x v="1"/>
    <s v="ซีคอน"/>
    <m/>
    <s v="import"/>
    <s v=""/>
    <b v="0"/>
    <s v=""/>
  </r>
  <r>
    <s v="b72ac38d-6283-4e1f-a3f3-2abccf00f1cc"/>
    <x v="775"/>
    <s v="19:37"/>
    <x v="1208"/>
    <s v="expense"/>
    <s v="rc_cat_1781955063347_5qjb_1781955063348_hrbf"/>
    <s v="rc_acc_1781955063347_0qmn"/>
    <x v="1"/>
    <s v="-"/>
    <m/>
    <s v="import"/>
    <s v=""/>
    <b v="0"/>
    <s v=""/>
  </r>
  <r>
    <s v="64986ea2-4224-4bc5-8e7f-56cf4a5a0670"/>
    <x v="776"/>
    <s v="00:00"/>
    <x v="1025"/>
    <s v="transfer"/>
    <s v="other"/>
    <s v="rc_acc_1781955063347_uxz4"/>
    <x v="8"/>
    <s v="-"/>
    <m/>
    <s v="import"/>
    <s v=""/>
    <b v="0"/>
    <s v=""/>
  </r>
  <r>
    <s v="d598759c-b6cf-4d5e-983b-d801c93af0ac"/>
    <x v="776"/>
    <s v="00:00"/>
    <x v="1169"/>
    <s v="transfer"/>
    <s v="other"/>
    <s v="rc_acc_1781955063347_uxz4"/>
    <x v="20"/>
    <s v="-"/>
    <m/>
    <s v="import"/>
    <s v=""/>
    <b v="0"/>
    <s v=""/>
  </r>
  <r>
    <s v="8d4e16ab-b045-48bb-9b09-1d89931b11b0"/>
    <x v="776"/>
    <s v="00:00"/>
    <x v="1209"/>
    <s v="expense"/>
    <s v="rc_cat_1781955063347_04qb_1781955063347_kgnn"/>
    <s v="rc_acc_1781955063347_uxz4"/>
    <x v="1"/>
    <s v="-"/>
    <m/>
    <s v="import"/>
    <s v=""/>
    <b v="0"/>
    <s v=""/>
  </r>
  <r>
    <s v="108728f8-34d3-46ad-b6ab-c3df5eb9c7e1"/>
    <x v="776"/>
    <s v="00:00"/>
    <x v="1210"/>
    <s v="expense"/>
    <s v="rc_cat_1781955063347_04qb_1781955063347_lu9b"/>
    <s v="rc_acc_1781955063347_uxz4"/>
    <x v="1"/>
    <s v="-"/>
    <m/>
    <s v="import"/>
    <s v=""/>
    <b v="0"/>
    <s v=""/>
  </r>
  <r>
    <s v="eb277d0f-6963-4af4-bef6-4348b54f6729"/>
    <x v="776"/>
    <s v="00:00"/>
    <x v="31"/>
    <s v="transfer"/>
    <s v="other"/>
    <s v="rc_acc_1781955063347_uxz4"/>
    <x v="7"/>
    <s v="-"/>
    <m/>
    <s v="import"/>
    <s v=""/>
    <b v="0"/>
    <s v=""/>
  </r>
  <r>
    <s v="dff01616-6fa1-4232-8cdb-35c5adc269d7"/>
    <x v="776"/>
    <s v="00:00"/>
    <x v="1028"/>
    <s v="income"/>
    <s v="income_1781955063347_5zxt"/>
    <s v="rc_acc_1781955063347_uxz4"/>
    <x v="1"/>
    <s v="-"/>
    <m/>
    <s v="import"/>
    <s v=""/>
    <b v="0"/>
    <s v=""/>
  </r>
  <r>
    <s v="bf666497-593b-422d-b0bf-047a9d954453"/>
    <x v="776"/>
    <s v="00:00"/>
    <x v="128"/>
    <s v="transfer"/>
    <s v="other"/>
    <s v="rc_acc_1781955063347_uxz4"/>
    <x v="21"/>
    <s v="-"/>
    <m/>
    <s v="import"/>
    <s v=""/>
    <b v="0"/>
    <s v=""/>
  </r>
  <r>
    <s v="e7b2265f-9cf8-4597-86d4-e8f0dace491f"/>
    <x v="776"/>
    <s v="00:32"/>
    <x v="1073"/>
    <s v="expense"/>
    <s v="rc_cat_1781955063347_04qb_1781955063350_acgf"/>
    <s v="rc_acc_1781955063347_uxz4"/>
    <x v="1"/>
    <s v="-"/>
    <m/>
    <s v="import"/>
    <s v=""/>
    <b v="0"/>
    <s v=""/>
  </r>
  <r>
    <s v="66d53dba-4352-476c-ac96-a052e8f3e2ec"/>
    <x v="776"/>
    <s v="09:04"/>
    <x v="268"/>
    <s v="transfer"/>
    <s v="other"/>
    <s v="rc_acc_1781955063347_uxz4"/>
    <x v="35"/>
    <s v="Yuang"/>
    <m/>
    <s v="import"/>
    <s v=""/>
    <b v="0"/>
    <s v=""/>
  </r>
  <r>
    <s v="e433aaab-e6a4-4071-bcaa-73ce365de609"/>
    <x v="777"/>
    <s v="09:02"/>
    <x v="777"/>
    <s v="expense"/>
    <s v="rc_cat_1781955063347_5qjb_1781955063347_tezk"/>
    <s v="rc_acc_1781955063347_uxz4"/>
    <x v="1"/>
    <s v="-"/>
    <m/>
    <s v="import"/>
    <s v=""/>
    <b v="0"/>
    <s v=""/>
  </r>
  <r>
    <s v="d94245bf-979d-47a4-a25e-df3b646f4cc2"/>
    <x v="777"/>
    <s v="09:02"/>
    <x v="212"/>
    <s v="transfer"/>
    <s v="other"/>
    <s v="rc_acc_1781955063347_uxz4"/>
    <x v="30"/>
    <s v="-"/>
    <m/>
    <s v="import"/>
    <s v=""/>
    <b v="0"/>
    <s v=""/>
  </r>
  <r>
    <s v="1539f85b-c72d-4998-86da-974374bc3337"/>
    <x v="777"/>
    <s v="12:00"/>
    <x v="1211"/>
    <s v="expense"/>
    <s v="rc_cat_1781955063347_s4sz_1781955063347_deos"/>
    <s v="kbank"/>
    <x v="1"/>
    <s v="-"/>
    <m/>
    <s v="import"/>
    <s v=""/>
    <b v="0"/>
    <s v=""/>
  </r>
  <r>
    <s v="17b922cd-dc25-4a11-9e7d-053c418f6b62"/>
    <x v="777"/>
    <s v="17:20"/>
    <x v="31"/>
    <s v="transfer"/>
    <s v="other"/>
    <s v="rc_acc_1781955063347_uxz4"/>
    <x v="36"/>
    <s v="-"/>
    <m/>
    <s v="import"/>
    <s v=""/>
    <b v="0"/>
    <s v=""/>
  </r>
  <r>
    <s v="d9f109b3-c1f8-463f-81a5-7ed416602b4e"/>
    <x v="777"/>
    <s v="18:50"/>
    <x v="1212"/>
    <s v="transfer"/>
    <s v="other"/>
    <s v="rc_acc_1781955063349_mitc"/>
    <x v="2"/>
    <s v="-"/>
    <m/>
    <s v="import"/>
    <s v=""/>
    <b v="0"/>
    <s v=""/>
  </r>
  <r>
    <s v="6fcc43e1-706c-4fb2-bc4a-9bbf336cc047"/>
    <x v="777"/>
    <s v="19:44"/>
    <x v="965"/>
    <s v="expense"/>
    <s v="rc_cat_1781955063347_5qjb_1781955063347_tezk"/>
    <s v="rc_acc_1781955063348_w3gp"/>
    <x v="1"/>
    <s v="-"/>
    <m/>
    <s v="import"/>
    <s v=""/>
    <b v="0"/>
    <s v=""/>
  </r>
  <r>
    <s v="214cb0ff-f88f-4a41-be3a-4241166be2a7"/>
    <x v="778"/>
    <s v="09:01"/>
    <x v="199"/>
    <s v="expense"/>
    <s v="rc_cat_1781955063347_5qjb_1781955063347_tezk"/>
    <s v="rc_acc_1781955063347_uxz4"/>
    <x v="1"/>
    <s v="coffeelism"/>
    <m/>
    <s v="import"/>
    <s v=""/>
    <b v="0"/>
    <s v=""/>
  </r>
  <r>
    <s v="b26fbc0d-e7ec-476e-bc6b-9001edc597a2"/>
    <x v="778"/>
    <s v="20:01"/>
    <x v="38"/>
    <s v="expense"/>
    <s v="rc_cat_1781955063347_s4sz_1781955063347_deos"/>
    <s v="rc_acc_1781955063347_uxz4"/>
    <x v="1"/>
    <s v="กางเกง"/>
    <m/>
    <s v="import"/>
    <s v=""/>
    <b v="0"/>
    <s v=""/>
  </r>
  <r>
    <s v="efebd460-6e20-4995-b619-151d78cae346"/>
    <x v="779"/>
    <s v="09:39"/>
    <x v="783"/>
    <s v="expense"/>
    <s v="rc_cat_1781955063347_5qjb_1781955063347_tezk"/>
    <s v="rc_acc_1781955063347_0qmn"/>
    <x v="1"/>
    <s v="หมูทอด"/>
    <m/>
    <s v="import"/>
    <s v=""/>
    <b v="0"/>
    <s v=""/>
  </r>
  <r>
    <s v="8396484d-c934-4fad-a544-d33145721837"/>
    <x v="779"/>
    <s v="12:50"/>
    <x v="185"/>
    <s v="expense"/>
    <s v="rc_cat_1781955063347_5qjb_1781955063347_tezk"/>
    <s v="rc_acc_1781955063347_uxz4"/>
    <x v="1"/>
    <s v="-"/>
    <m/>
    <s v="import"/>
    <s v=""/>
    <b v="0"/>
    <s v=""/>
  </r>
  <r>
    <s v="2a968835-0641-47af-b3cf-68c59638be18"/>
    <x v="779"/>
    <s v="12:55"/>
    <x v="199"/>
    <s v="expense"/>
    <s v="rc_cat_1781955063347_5qjb_1781955063347_tezk"/>
    <s v="rc_acc_1781955063347_uxz4"/>
    <x v="1"/>
    <s v="coffeelism"/>
    <m/>
    <s v="import"/>
    <s v=""/>
    <b v="0"/>
    <s v=""/>
  </r>
  <r>
    <s v="545f4354-4cbf-4060-9f9c-7ec231fea78a"/>
    <x v="780"/>
    <s v="09:40"/>
    <x v="1008"/>
    <s v="expense"/>
    <s v="rc_cat_1781955063347_5qjb_1781955063347_tezk"/>
    <s v="rc_acc_1781955063347_0qmn"/>
    <x v="1"/>
    <s v="หมูทุบ"/>
    <m/>
    <s v="import"/>
    <s v=""/>
    <b v="0"/>
    <s v=""/>
  </r>
  <r>
    <s v="6992255f-c6cd-409c-a97b-3f68bc205a42"/>
    <x v="780"/>
    <s v="09:41"/>
    <x v="932"/>
    <s v="expense"/>
    <s v="rc_cat_1781955063347_5qjb_1781955063347_tezk"/>
    <s v="rc_acc_1781955063347_0qmn"/>
    <x v="1"/>
    <s v="coffeelism"/>
    <m/>
    <s v="import"/>
    <s v=""/>
    <b v="0"/>
    <s v=""/>
  </r>
  <r>
    <s v="1322c101-75b7-4c02-8634-28761a133cfb"/>
    <x v="780"/>
    <s v="12:41"/>
    <x v="935"/>
    <s v="expense"/>
    <s v="rc_cat_1781955063347_5qjb_1781955063347_tezk"/>
    <s v="rc_acc_1781955063347_0qmn"/>
    <x v="1"/>
    <s v="-"/>
    <m/>
    <s v="import"/>
    <s v=""/>
    <b v="0"/>
    <s v=""/>
  </r>
  <r>
    <s v="da13056f-7832-46d1-be18-90e1a285927d"/>
    <x v="781"/>
    <s v="11:22"/>
    <x v="1213"/>
    <s v="expense"/>
    <s v="rc_cat_1781955063347_anhy_1781955063347_qnaz"/>
    <s v="rc_acc_1781955063347_sv7p"/>
    <x v="1"/>
    <s v="ค่าโทรศัพท์ สค"/>
    <m/>
    <s v="import"/>
    <s v=""/>
    <b v="0"/>
    <s v=""/>
  </r>
  <r>
    <s v="94452404-5962-46ad-8112-d0f587a2237e"/>
    <x v="781"/>
    <s v="11:49"/>
    <x v="19"/>
    <s v="transfer"/>
    <s v="other"/>
    <s v="rc_acc_1781955063347_uxz4"/>
    <x v="16"/>
    <s v="-"/>
    <m/>
    <s v="import"/>
    <s v=""/>
    <b v="0"/>
    <s v=""/>
  </r>
  <r>
    <s v="d88c589d-e1dc-48f3-a402-e8efc37c7f24"/>
    <x v="781"/>
    <s v="11:58"/>
    <x v="1214"/>
    <s v="expense"/>
    <s v="rc_cat_1781955063347_5qjb_1781955063348_edf6"/>
    <s v="rc_acc_1781955063347_0qmn"/>
    <x v="1"/>
    <s v="-"/>
    <m/>
    <s v="import"/>
    <s v=""/>
    <b v="0"/>
    <s v=""/>
  </r>
  <r>
    <s v="90a36f83-e43a-48df-9dfe-59111f1f47c3"/>
    <x v="781"/>
    <s v="11:59"/>
    <x v="1215"/>
    <s v="expense"/>
    <s v="entertain_1781955063348_kx2f"/>
    <s v="kbank"/>
    <x v="1"/>
    <s v="steam games"/>
    <m/>
    <s v="import"/>
    <s v=""/>
    <b v="0"/>
    <s v=""/>
  </r>
  <r>
    <s v="9f1947e1-3d29-484f-97b2-6c880797136c"/>
    <x v="781"/>
    <s v="12:00"/>
    <x v="709"/>
    <s v="expense"/>
    <s v="rc_cat_1781955063347_5qjb_1781955063347_tezk"/>
    <s v="rc_acc_1781955063347_0qmn"/>
    <x v="1"/>
    <s v="siam takashimaya 17 aug"/>
    <m/>
    <s v="import"/>
    <s v=""/>
    <b v="0"/>
    <s v=""/>
  </r>
  <r>
    <s v="b45b29d5-fa98-4a40-97e3-0c4f84657b27"/>
    <x v="781"/>
    <s v="12:02"/>
    <x v="1216"/>
    <s v="expense"/>
    <s v="entertain_1781955063348_kx2f"/>
    <s v="kbank"/>
    <x v="1"/>
    <s v="หูฟัง"/>
    <m/>
    <s v="import"/>
    <s v=""/>
    <b v="0"/>
    <s v=""/>
  </r>
  <r>
    <s v="3c069aee-bfe3-4d31-87db-a62ebcde4e48"/>
    <x v="781"/>
    <s v="12:23"/>
    <x v="1101"/>
    <s v="expense"/>
    <s v="rc_cat_1781955063347_5qjb_1781955063347_tezk"/>
    <s v="rc_acc_1781955063347_0qmn"/>
    <x v="1"/>
    <s v="104-121"/>
    <m/>
    <s v="import"/>
    <s v=""/>
    <b v="0"/>
    <s v=""/>
  </r>
  <r>
    <s v="80ca7854-d306-41ae-a214-7cd160ebfce8"/>
    <x v="781"/>
    <s v="12:26"/>
    <x v="1128"/>
    <s v="expense"/>
    <s v="rc_cat_1781955063347_5qjb_1781955063347_tezk"/>
    <s v="rc_acc_1781955063347_0qmn"/>
    <x v="1"/>
    <s v="จ่าย grab"/>
    <m/>
    <s v="import"/>
    <s v=""/>
    <b v="0"/>
    <s v=""/>
  </r>
  <r>
    <s v="e55b36d4-0643-44c0-aa50-082556316b1d"/>
    <x v="781"/>
    <s v="12:49"/>
    <x v="1034"/>
    <s v="expense"/>
    <s v="rc_cat_1781955063347_5qjb_1781955063347_tezk"/>
    <s v="rc_acc_1781955063347_omhz"/>
    <x v="1"/>
    <s v="-"/>
    <m/>
    <s v="import"/>
    <s v=""/>
    <b v="0"/>
    <s v=""/>
  </r>
  <r>
    <s v="3ab46921-477f-4ec9-8b65-5f769e06d6c5"/>
    <x v="781"/>
    <s v="12:49"/>
    <x v="1034"/>
    <s v="transfer"/>
    <s v="other"/>
    <s v="rc_acc_1781955063347_0qmn"/>
    <x v="5"/>
    <s v="-"/>
    <m/>
    <s v="import"/>
    <s v=""/>
    <b v="0"/>
    <s v=""/>
  </r>
  <r>
    <s v="eace56c3-dabe-4b1b-87cb-20b13f2e33c3"/>
    <x v="781"/>
    <s v="12:52"/>
    <x v="798"/>
    <s v="transfer"/>
    <s v="other"/>
    <s v="rc_acc_1781955063347_0qmn"/>
    <x v="5"/>
    <s v="หมูทอด"/>
    <m/>
    <s v="import"/>
    <s v=""/>
    <b v="0"/>
    <s v=""/>
  </r>
  <r>
    <s v="8cf26de4-08a2-4982-b143-ff7a457c81c7"/>
    <x v="781"/>
    <s v="12:54"/>
    <x v="1217"/>
    <s v="expense"/>
    <s v="other_1781955063347_5s7r"/>
    <s v="rc_acc_1781955063347_omhz"/>
    <x v="1"/>
    <s v="Difference"/>
    <m/>
    <s v="import"/>
    <s v=""/>
    <b v="0"/>
    <s v=""/>
  </r>
  <r>
    <s v="fa5a3f1f-166f-4a69-b04f-09e89f472fe5"/>
    <x v="781"/>
    <s v="12:58"/>
    <x v="1218"/>
    <s v="expense"/>
    <s v="entertain_1781955063349_gok1"/>
    <s v="rc_acc_1781955063347_0qmn"/>
    <x v="1"/>
    <s v="KR k eta application"/>
    <m/>
    <s v="import"/>
    <s v=""/>
    <b v="0"/>
    <s v=""/>
  </r>
  <r>
    <s v="265353ab-3bdd-40d4-9f0b-630d464e5713"/>
    <x v="781"/>
    <s v="12:58"/>
    <x v="1213"/>
    <s v="transfer"/>
    <s v="other"/>
    <s v="rc_acc_1781955063347_uxz4"/>
    <x v="31"/>
    <s v="-"/>
    <m/>
    <s v="import"/>
    <s v=""/>
    <b v="0"/>
    <s v=""/>
  </r>
  <r>
    <s v="2416cf81-a4db-4310-b35c-bf1ff94db790"/>
    <x v="781"/>
    <s v="13:03"/>
    <x v="1219"/>
    <s v="expense"/>
    <s v="rc_cat_1781955063347_5qjb_1781955063347_tezk"/>
    <s v="rc_acc_1781955063347_0qmn"/>
    <x v="1"/>
    <s v="เซเว่นครึ่งเดือนแรก 92 67 65 9"/>
    <m/>
    <s v="import"/>
    <s v=""/>
    <b v="0"/>
    <s v=""/>
  </r>
  <r>
    <s v="28b460fd-a0b2-41f9-ad3f-76dbc6132f61"/>
    <x v="781"/>
    <s v="13:04"/>
    <x v="1057"/>
    <s v="income"/>
    <s v="other_1781955063347_5s7r"/>
    <s v="rc_acc_1781955063350_i8ms"/>
    <x v="1"/>
    <s v="Difference"/>
    <m/>
    <s v="import"/>
    <s v=""/>
    <b v="0"/>
    <s v=""/>
  </r>
  <r>
    <s v="8b4b8361-9f21-43ed-95b8-6f0181ac81cf"/>
    <x v="781"/>
    <s v="13:06"/>
    <x v="989"/>
    <s v="transfer"/>
    <s v="other"/>
    <s v="rc_acc_1781955063348_obza"/>
    <x v="14"/>
    <s v="-"/>
    <m/>
    <s v="import"/>
    <s v=""/>
    <b v="0"/>
    <s v=""/>
  </r>
  <r>
    <s v="16b89330-623c-4ac5-812c-2ab40f5cf43e"/>
    <x v="782"/>
    <s v="11:50"/>
    <x v="1220"/>
    <s v="expense"/>
    <s v="rc_cat_1781955063347_5qjb_1781955063347_tezk"/>
    <s v="rc_acc_1781955063347_0qmn"/>
    <x v="1"/>
    <s v="ร้านตรงข้ามสวนกุหลาบ"/>
    <m/>
    <s v="import"/>
    <s v=""/>
    <b v="0"/>
    <s v=""/>
  </r>
  <r>
    <s v="01860d4e-6f43-4602-a62f-aba9fd6c5580"/>
    <x v="782"/>
    <s v="13:51"/>
    <x v="607"/>
    <s v="expense"/>
    <s v="rc_cat_1781955063347_5qjb_1781955063347_tezk"/>
    <s v="rc_acc_1781955063347_0qmn"/>
    <x v="1"/>
    <s v="จิงจิง"/>
    <m/>
    <s v="import"/>
    <s v=""/>
    <b v="0"/>
    <s v=""/>
  </r>
  <r>
    <s v="af799ffc-ced4-4e12-b4ee-5802f17e06cf"/>
    <x v="782"/>
    <s v="17:50"/>
    <x v="913"/>
    <s v="expense"/>
    <s v="rc_cat_1781955063347_5qjb_1781955063347_tezk"/>
    <s v="rc_acc_1781955063347_0qmn"/>
    <x v="1"/>
    <s v="สุกี้ตี๋น้อย"/>
    <m/>
    <s v="import"/>
    <s v=""/>
    <b v="0"/>
    <s v=""/>
  </r>
  <r>
    <s v="dfcd0c08-2091-411f-a7fd-fbb82d94fc7b"/>
    <x v="782"/>
    <s v="18:59"/>
    <x v="1221"/>
    <s v="expense"/>
    <s v="rc_cat_1781955063347_5qjb_1781955063348_xqml"/>
    <s v="rc_acc_1781955063347_0qmn"/>
    <x v="1"/>
    <s v="แมคโคร"/>
    <m/>
    <s v="import"/>
    <s v=""/>
    <b v="0"/>
    <s v=""/>
  </r>
  <r>
    <s v="06f12802-417b-4c30-bb8f-6b4236e7d90c"/>
    <x v="783"/>
    <s v="14:47"/>
    <x v="199"/>
    <s v="expense"/>
    <s v="rc_cat_1781955063347_5qjb_1781955063347_tezk"/>
    <s v="rc_acc_1781955063347_uxz4"/>
    <x v="1"/>
    <s v="-"/>
    <m/>
    <s v="import"/>
    <s v=""/>
    <b v="0"/>
    <s v=""/>
  </r>
  <r>
    <s v="d13a4c91-00ba-4a50-8d17-27e0bac27702"/>
    <x v="784"/>
    <s v="09:48"/>
    <x v="22"/>
    <s v="expense"/>
    <s v="rc_cat_1781955063347_5qjb_1781955063347_tezk"/>
    <s v="rc_acc_1781955063347_omhz"/>
    <x v="1"/>
    <s v="-"/>
    <m/>
    <s v="import"/>
    <s v=""/>
    <b v="0"/>
    <s v=""/>
  </r>
  <r>
    <s v="4bcf3352-5a6a-4286-8fbf-0e1039da1c0d"/>
    <x v="785"/>
    <s v="08:51"/>
    <x v="239"/>
    <s v="expense"/>
    <s v="rc_cat_1781955063347_5qjb_1781955063347_tezk"/>
    <s v="rc_acc_1781955063347_0qmn"/>
    <x v="1"/>
    <s v="หมูปิ้ง"/>
    <m/>
    <s v="import"/>
    <s v=""/>
    <b v="0"/>
    <s v=""/>
  </r>
  <r>
    <s v="e68101fd-de42-41ac-ba23-83af8a6e5d19"/>
    <x v="785"/>
    <s v="12:46"/>
    <x v="799"/>
    <s v="expense"/>
    <s v="rc_cat_1781955063347_5qjb_1781955063347_tezk"/>
    <s v="rc_acc_1781955063347_uxz4"/>
    <x v="1"/>
    <s v="-"/>
    <m/>
    <s v="import"/>
    <s v=""/>
    <b v="0"/>
    <s v=""/>
  </r>
  <r>
    <s v="bd7f2c9a-60b6-4d03-ade8-6791ceceb82c"/>
    <x v="785"/>
    <s v="17:46"/>
    <x v="265"/>
    <s v="expense"/>
    <s v="rc_cat_1781955063347_anhy_1781955063348_k5l1"/>
    <s v="rc_acc_1781955063347_uxz4"/>
    <x v="1"/>
    <s v="-"/>
    <m/>
    <s v="import"/>
    <s v=""/>
    <b v="0"/>
    <s v=""/>
  </r>
  <r>
    <s v="9badef92-2a8f-4b32-be64-6210428361d5"/>
    <x v="785"/>
    <s v="19:51"/>
    <x v="22"/>
    <s v="expense"/>
    <s v="rc_cat_1781955063347_5qjb_1781955063347_tezk"/>
    <s v="rc_acc_1781955063347_0qmn"/>
    <x v="1"/>
    <s v="ชาตรามือ"/>
    <m/>
    <s v="import"/>
    <s v=""/>
    <b v="0"/>
    <s v=""/>
  </r>
  <r>
    <s v="fd730eaf-87d4-4db8-9af0-d52edc0ee582"/>
    <x v="786"/>
    <s v="08:45"/>
    <x v="87"/>
    <s v="expense"/>
    <s v="rc_cat_1781955063347_5qjb_1781955063347_tezk"/>
    <s v="rc_acc_1781955063347_uxz4"/>
    <x v="1"/>
    <s v="-"/>
    <m/>
    <s v="import"/>
    <s v=""/>
    <b v="0"/>
    <s v=""/>
  </r>
  <r>
    <s v="38ca1b74-4620-409e-9eff-995e3dfade59"/>
    <x v="786"/>
    <s v="12:30"/>
    <x v="8"/>
    <s v="income"/>
    <s v="income_1781955063347_5zxt"/>
    <s v="rc_acc_1781955063347_0qmn"/>
    <x v="1"/>
    <s v="หง"/>
    <m/>
    <s v="import"/>
    <s v=""/>
    <b v="0"/>
    <s v=""/>
  </r>
  <r>
    <s v="29d13848-2f4f-4732-81d3-4ffaa2d7423d"/>
    <x v="786"/>
    <s v="12:30"/>
    <x v="314"/>
    <s v="expense"/>
    <s v="rc_cat_1781955063347_5qjb_1781955063347_tezk"/>
    <s v="rc_acc_1781955063347_0qmn"/>
    <x v="1"/>
    <s v="เยนตาโฟ"/>
    <m/>
    <s v="import"/>
    <s v=""/>
    <b v="0"/>
    <s v=""/>
  </r>
  <r>
    <s v="4b1081c6-b6fb-4abc-83be-d41307c15afd"/>
    <x v="786"/>
    <s v="12:52"/>
    <x v="22"/>
    <s v="expense"/>
    <s v="rc_cat_1781955063347_5qjb_1781955063347_tezk"/>
    <s v="rc_acc_1781955063347_0qmn"/>
    <x v="1"/>
    <s v="coffeelism"/>
    <m/>
    <s v="import"/>
    <s v=""/>
    <b v="0"/>
    <s v=""/>
  </r>
  <r>
    <s v="58530b1e-e8ad-4aca-960a-d17464a83a42"/>
    <x v="787"/>
    <s v="08:53"/>
    <x v="22"/>
    <s v="expense"/>
    <s v="rc_cat_1781955063347_5qjb_1781955063347_tezk"/>
    <s v="rc_acc_1781955063347_0qmn"/>
    <x v="1"/>
    <s v="coffeelism"/>
    <m/>
    <s v="import"/>
    <s v=""/>
    <b v="0"/>
    <s v=""/>
  </r>
  <r>
    <s v="0b02eadc-f7fe-440e-9097-0632b2ec85b4"/>
    <x v="787"/>
    <s v="11:39"/>
    <x v="54"/>
    <s v="expense"/>
    <s v="rc_cat_1781955063347_anhy_1781955063348_k5l1"/>
    <s v="rc_acc_1781955063347_uxz4"/>
    <x v="1"/>
    <s v="เทดดี้เลี้ยงเจต"/>
    <m/>
    <s v="import"/>
    <s v=""/>
    <b v="0"/>
    <s v=""/>
  </r>
  <r>
    <s v="ed3fed0c-73e4-4bee-9d00-481f0a3c7526"/>
    <x v="787"/>
    <s v="12:40"/>
    <x v="199"/>
    <s v="expense"/>
    <s v="rc_cat_1781955063347_5qjb_1781955063347_tezk"/>
    <s v="rc_acc_1781955063347_uxz4"/>
    <x v="1"/>
    <s v="coffeelism"/>
    <m/>
    <s v="import"/>
    <s v=""/>
    <b v="0"/>
    <s v=""/>
  </r>
  <r>
    <s v="caab507c-da9d-4875-8163-6ef2fd03001e"/>
    <x v="788"/>
    <s v="00:00"/>
    <x v="387"/>
    <s v="transfer"/>
    <s v="other"/>
    <s v="rc_acc_1781955063347_uxz4"/>
    <x v="17"/>
    <s v="-"/>
    <m/>
    <s v="import"/>
    <s v=""/>
    <b v="0"/>
    <s v=""/>
  </r>
  <r>
    <s v="83a1cfaf-83ee-4ea1-92df-fd9341e6e085"/>
    <x v="788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b2ceb1ae-b239-44e8-8411-dcdcee7ba2bf"/>
    <x v="788"/>
    <s v="11:38"/>
    <x v="1094"/>
    <s v="expense"/>
    <s v="rc_cat_1781955063347_5qjb_1781955063347_tezk"/>
    <s v="rc_acc_1781955063347_uxz4"/>
    <x v="1"/>
    <s v="เกาเหลาเนื้อ"/>
    <m/>
    <s v="import"/>
    <s v=""/>
    <b v="0"/>
    <s v=""/>
  </r>
  <r>
    <s v="e775a936-993a-4936-abec-1a7bce62d885"/>
    <x v="788"/>
    <s v="17:38"/>
    <x v="1222"/>
    <s v="expense"/>
    <s v="rc_cat_1781955063347_5qjb_1781955063347_tezk"/>
    <s v="rc_acc_1781955063347_uxz4"/>
    <x v="1"/>
    <s v="-"/>
    <m/>
    <s v="import"/>
    <s v=""/>
    <b v="0"/>
    <s v=""/>
  </r>
  <r>
    <s v="b61f91d3-c1d2-4cb7-94b3-6a6e87fa2e0c"/>
    <x v="789"/>
    <s v="16:31"/>
    <x v="22"/>
    <s v="expense"/>
    <s v="rc_cat_1781955063347_5qjb_1781955063347_tezk"/>
    <s v="rc_acc_1781955063347_uxz4"/>
    <x v="1"/>
    <s v="28ml"/>
    <m/>
    <s v="import"/>
    <s v=""/>
    <b v="0"/>
    <s v=""/>
  </r>
  <r>
    <s v="1017d155-246d-416f-97c2-8273f5ef1f52"/>
    <x v="789"/>
    <s v="18:22"/>
    <x v="1082"/>
    <s v="expense"/>
    <s v="rc_cat_1781955063347_5qjb_1781955063347_tezk"/>
    <s v="rc_acc_1781955063347_0qmn"/>
    <x v="1"/>
    <s v="momo"/>
    <m/>
    <s v="import"/>
    <s v=""/>
    <b v="0"/>
    <s v=""/>
  </r>
  <r>
    <s v="bc89976c-bf68-46ee-8987-45ca2757b426"/>
    <x v="789"/>
    <s v="18:23"/>
    <x v="1223"/>
    <s v="expense"/>
    <s v="rc_cat_1781955063347_5qjb_1781955063348_edf6"/>
    <s v="rc_acc_1781955063347_0qmn"/>
    <x v="1"/>
    <s v="-"/>
    <m/>
    <s v="import"/>
    <s v=""/>
    <b v="0"/>
    <s v=""/>
  </r>
  <r>
    <s v="0facfdfa-a773-4281-b220-4ce6e233031c"/>
    <x v="789"/>
    <s v="18:23"/>
    <x v="778"/>
    <s v="expense"/>
    <s v="rc_cat_1781955063347_5qjb_1781955063347_tezk"/>
    <s v="rc_acc_1781955063347_0qmn"/>
    <x v="1"/>
    <s v="โดนัท"/>
    <m/>
    <s v="import"/>
    <s v=""/>
    <b v="0"/>
    <s v=""/>
  </r>
  <r>
    <s v="12209a13-775d-4c8f-81ca-87446f6312f7"/>
    <x v="789"/>
    <s v="18:23"/>
    <x v="1224"/>
    <s v="expense"/>
    <s v="rc_cat_1781955063347_5qjb_1781955063347_tezk"/>
    <s v="rc_acc_1781955063347_0qmn"/>
    <x v="1"/>
    <s v="ปังสยาม"/>
    <m/>
    <s v="import"/>
    <s v=""/>
    <b v="0"/>
    <s v=""/>
  </r>
  <r>
    <s v="cce9a274-fa72-4075-82b1-c0659fdea69a"/>
    <x v="789"/>
    <s v="18:36"/>
    <x v="1225"/>
    <s v="expense"/>
    <s v="rc_cat_1781955063347_5qjb_1781955063347_tezk"/>
    <s v="rc_acc_1781955063347_0qmn"/>
    <x v="1"/>
    <s v="ข้าวตั้งแต่ 9 สค 171 177 183"/>
    <m/>
    <s v="import"/>
    <s v=""/>
    <b v="0"/>
    <s v=""/>
  </r>
  <r>
    <s v="f6aa34a3-9cbf-475d-9ab0-280a55e019ea"/>
    <x v="789"/>
    <s v="18:39"/>
    <x v="1226"/>
    <s v="expense"/>
    <s v="rc_cat_1781955063347_anhy_1781955063348_k5l1"/>
    <s v="kbank"/>
    <x v="1"/>
    <s v="hai ti lao"/>
    <m/>
    <s v="import"/>
    <s v=""/>
    <b v="0"/>
    <s v=""/>
  </r>
  <r>
    <s v="495f4e7a-89aa-47f3-8e2d-fafebdbcaea9"/>
    <x v="790"/>
    <s v="13:40"/>
    <x v="432"/>
    <s v="expense"/>
    <s v="rc_cat_1781955063347_anhy_1781955063347_qnaz"/>
    <s v="rc_acc_1781955063347_uxz4"/>
    <x v="1"/>
    <s v="starbucks"/>
    <m/>
    <s v="import"/>
    <s v=""/>
    <b v="0"/>
    <s v=""/>
  </r>
  <r>
    <s v="db56a0ba-69e5-42db-b366-cc229556790e"/>
    <x v="790"/>
    <s v="15:46"/>
    <x v="535"/>
    <s v="expense"/>
    <s v="entertain_1781955063348_kx2f"/>
    <s v="rc_acc_1781955063347_0qmn"/>
    <x v="1"/>
    <s v="ราวตากผ้า ตะกร้า"/>
    <m/>
    <s v="import"/>
    <s v=""/>
    <b v="0"/>
    <s v=""/>
  </r>
  <r>
    <s v="d3401fcf-e5a3-4c8d-b119-d6231a045c7c"/>
    <x v="790"/>
    <s v="15:48"/>
    <x v="535"/>
    <s v="transfer"/>
    <s v="other"/>
    <s v="rc_acc_1781955063347_omhz"/>
    <x v="5"/>
    <s v="-"/>
    <m/>
    <s v="import"/>
    <s v=""/>
    <b v="0"/>
    <s v=""/>
  </r>
  <r>
    <s v="adf7bdb9-cc8e-47c9-9f06-9cd6a539c79c"/>
    <x v="791"/>
    <s v="02:49"/>
    <x v="0"/>
    <s v="transfer"/>
    <s v="other"/>
    <s v="rc_acc_1781955063347_6gmg"/>
    <x v="5"/>
    <s v="vp กลางปี ปะนะ"/>
    <m/>
    <s v="import"/>
    <s v=""/>
    <b v="0"/>
    <s v=""/>
  </r>
  <r>
    <s v="f48c59dd-9165-4149-8b1f-2b9121ca16c8"/>
    <x v="791"/>
    <s v="07:29"/>
    <x v="22"/>
    <s v="expense"/>
    <s v="rc_cat_1781955063347_5qjb_1781955063347_tezk"/>
    <s v="rc_acc_1781955063347_0qmn"/>
    <x v="1"/>
    <s v="-"/>
    <m/>
    <s v="import"/>
    <s v=""/>
    <b v="0"/>
    <s v=""/>
  </r>
  <r>
    <s v="8372d995-c2bc-4ad8-9e49-b623f8a905a3"/>
    <x v="791"/>
    <s v="12:30"/>
    <x v="1185"/>
    <s v="expense"/>
    <s v="rc_cat_1781955063347_5qjb_1781955063347_tezk"/>
    <s v="rc_acc_1781955063347_uxz4"/>
    <x v="1"/>
    <s v="-"/>
    <m/>
    <s v="import"/>
    <s v=""/>
    <b v="0"/>
    <s v=""/>
  </r>
  <r>
    <s v="7ab5b4e3-6e1a-4d4d-9e0b-269cbd222497"/>
    <x v="791"/>
    <s v="12:40"/>
    <x v="317"/>
    <s v="expense"/>
    <s v="rc_cat_1781955063347_5qjb_1781955063347_tezk"/>
    <s v="rc_acc_1781955063347_uxz4"/>
    <x v="1"/>
    <s v="yakkcafe"/>
    <m/>
    <s v="import"/>
    <s v=""/>
    <b v="0"/>
    <s v=""/>
  </r>
  <r>
    <s v="d2eac02e-bd67-4d6a-a8e5-a805fb2ead38"/>
    <x v="791"/>
    <s v="18:28"/>
    <x v="751"/>
    <s v="expense"/>
    <s v="rc_cat_1781955063347_5qjb_1781955063347_tezk"/>
    <s v="rc_acc_1781955063347_0qmn"/>
    <x v="1"/>
    <s v="หมูปิ้ง"/>
    <m/>
    <s v="import"/>
    <s v=""/>
    <b v="0"/>
    <s v=""/>
  </r>
  <r>
    <s v="3cd98707-674d-405f-bb80-1de16cd2769d"/>
    <x v="791"/>
    <s v="21:29"/>
    <x v="22"/>
    <s v="expense"/>
    <s v="rc_cat_1781955063347_5qjb_1781955063347_tezk"/>
    <s v="rc_acc_1781955063347_0qmn"/>
    <x v="1"/>
    <s v="white coffee"/>
    <m/>
    <s v="import"/>
    <s v=""/>
    <b v="0"/>
    <s v=""/>
  </r>
  <r>
    <s v="57bc78c1-818e-46e2-9a3c-a54b28480ceb"/>
    <x v="792"/>
    <s v="09:24"/>
    <x v="22"/>
    <s v="expense"/>
    <s v="rc_cat_1781955063347_5qjb_1781955063347_tezk"/>
    <s v="rc_acc_1781955063347_0qmn"/>
    <x v="1"/>
    <s v="-"/>
    <m/>
    <s v="import"/>
    <s v=""/>
    <b v="0"/>
    <s v=""/>
  </r>
  <r>
    <s v="e32a004c-7564-4f4d-8b23-f17132ca866f"/>
    <x v="792"/>
    <s v="09:41"/>
    <x v="150"/>
    <s v="expense"/>
    <s v="rc_cat_1781955063347_5qjb_1781955063347_tezk"/>
    <s v="rc_acc_1781955063347_uxz4"/>
    <x v="1"/>
    <s v="-"/>
    <m/>
    <s v="import"/>
    <s v=""/>
    <b v="0"/>
    <s v=""/>
  </r>
  <r>
    <s v="cae2b489-6684-444b-9e59-9c1eaab18a6c"/>
    <x v="792"/>
    <s v="12:46"/>
    <x v="615"/>
    <s v="expense"/>
    <s v="rc_cat_1781955063347_5qjb_1781955063347_tezk"/>
    <s v="rc_acc_1781955063347_uxz4"/>
    <x v="1"/>
    <s v="-"/>
    <m/>
    <s v="import"/>
    <s v=""/>
    <b v="0"/>
    <s v=""/>
  </r>
  <r>
    <s v="3b311337-68e1-4978-a740-a44db681b137"/>
    <x v="792"/>
    <s v="12:55"/>
    <x v="199"/>
    <s v="expense"/>
    <s v="rc_cat_1781955063347_5qjb_1781955063347_tezk"/>
    <s v="rc_acc_1781955063347_uxz4"/>
    <x v="1"/>
    <s v="coffeelism"/>
    <m/>
    <s v="import"/>
    <s v=""/>
    <b v="0"/>
    <s v=""/>
  </r>
  <r>
    <s v="61ffdcae-f023-4d66-b14a-8db49cc358a2"/>
    <x v="793"/>
    <s v="11:55"/>
    <x v="199"/>
    <s v="expense"/>
    <s v="rc_cat_1781955063347_5qjb_1781955063347_tezk"/>
    <s v="kbank"/>
    <x v="1"/>
    <s v="-"/>
    <m/>
    <s v="import"/>
    <s v=""/>
    <b v="0"/>
    <s v=""/>
  </r>
  <r>
    <s v="2d314f63-d3c5-4d5f-9751-a813abb04a81"/>
    <x v="793"/>
    <s v="12:35"/>
    <x v="199"/>
    <s v="expense"/>
    <s v="rc_cat_1781955063347_5qjb_1781955063347_tezk"/>
    <s v="rc_acc_1781955063347_uxz4"/>
    <x v="1"/>
    <s v="-"/>
    <m/>
    <s v="import"/>
    <s v=""/>
    <b v="0"/>
    <s v=""/>
  </r>
  <r>
    <s v="33f1b25f-d817-493a-a031-c7b2a8e62fdf"/>
    <x v="793"/>
    <s v="12:52"/>
    <x v="26"/>
    <s v="expense"/>
    <s v="rc_cat_1781955063347_5qjb_1781955063347_tezk"/>
    <s v="rc_acc_1781955063347_0qmn"/>
    <x v="1"/>
    <s v="-"/>
    <m/>
    <s v="import"/>
    <s v=""/>
    <b v="0"/>
    <s v=""/>
  </r>
  <r>
    <s v="0a030fcf-cc17-4607-9819-bec45c324007"/>
    <x v="793"/>
    <s v="20:35"/>
    <x v="323"/>
    <s v="expense"/>
    <s v="entertain_1781955063348_kx2f"/>
    <s v="rc_acc_1781955063347_omhz"/>
    <x v="1"/>
    <s v="ที่ชาจ"/>
    <m/>
    <s v="import"/>
    <s v=""/>
    <b v="0"/>
    <s v=""/>
  </r>
  <r>
    <s v="7743cd2b-7a5d-4dd3-bf00-5a34dcb0ef80"/>
    <x v="793"/>
    <s v="20:44"/>
    <x v="569"/>
    <s v="expense"/>
    <s v="entertain_1781955063348_kx2f"/>
    <s v="rc_acc_1781955063347_uxz4"/>
    <x v="1"/>
    <s v="สายคล้อง หมอน กาตูน"/>
    <m/>
    <s v="import"/>
    <s v=""/>
    <b v="0"/>
    <s v=""/>
  </r>
  <r>
    <s v="f3056a7e-e7ce-4891-a2a7-b6a566db2246"/>
    <x v="793"/>
    <s v="20:47"/>
    <x v="19"/>
    <s v="transfer"/>
    <s v="other"/>
    <s v="rc_acc_1781955063347_uxz4"/>
    <x v="16"/>
    <s v="-"/>
    <m/>
    <s v="import"/>
    <s v=""/>
    <b v="0"/>
    <s v=""/>
  </r>
  <r>
    <s v="55109c1a-8af0-465b-b7e3-2777aa2103c9"/>
    <x v="794"/>
    <s v="10:24"/>
    <x v="157"/>
    <s v="expense"/>
    <s v="entertain_1781955063349_gok1"/>
    <s v="rc_acc_1781955063347_0qmn"/>
    <x v="1"/>
    <s v="ชะอำ 6 aug ของฝาก"/>
    <m/>
    <s v="import"/>
    <s v=""/>
    <b v="0"/>
    <s v=""/>
  </r>
  <r>
    <s v="bbf45d34-a4fb-40b1-a5be-2593aa61a0b8"/>
    <x v="794"/>
    <s v="10:33"/>
    <x v="199"/>
    <s v="expense"/>
    <s v="rc_cat_1781955063347_5qjb_1781955063347_tezk"/>
    <s v="rc_acc_1781955063347_0qmn"/>
    <x v="1"/>
    <s v="ชะอำ 6 aug ชาไทย baugett"/>
    <m/>
    <s v="import"/>
    <s v=""/>
    <b v="0"/>
    <s v=""/>
  </r>
  <r>
    <s v="c57a6718-fb1d-448c-a1cc-70e41cd003e0"/>
    <x v="794"/>
    <s v="11:29"/>
    <x v="157"/>
    <s v="transfer"/>
    <s v="other"/>
    <s v="rc_acc_1781955063347_e3zv"/>
    <x v="5"/>
    <s v="ของฝากชะอำ"/>
    <m/>
    <s v="import"/>
    <s v=""/>
    <b v="0"/>
    <s v=""/>
  </r>
  <r>
    <s v="0070e411-fe65-41e1-a363-764f980a0753"/>
    <x v="794"/>
    <s v="11:34"/>
    <x v="199"/>
    <s v="transfer"/>
    <s v="other"/>
    <s v="rc_acc_1781955063347_e3zv"/>
    <x v="5"/>
    <s v="-"/>
    <m/>
    <s v="import"/>
    <s v=""/>
    <b v="0"/>
    <s v=""/>
  </r>
  <r>
    <s v="8e3d0e0b-3559-4120-aae6-8434a1108e70"/>
    <x v="794"/>
    <s v="12:21"/>
    <x v="975"/>
    <s v="expense"/>
    <s v="rc_cat_1781955063347_5qjb_1781955063347_tezk"/>
    <s v="rc_acc_1781955063347_0qmn"/>
    <x v="1"/>
    <s v="ชะอำ 6 aug diamond dust coffee"/>
    <m/>
    <s v="import"/>
    <s v=""/>
    <b v="0"/>
    <s v=""/>
  </r>
  <r>
    <s v="308c5f89-cdf7-4fa7-936a-5b72c2caa6a1"/>
    <x v="794"/>
    <s v="13:55"/>
    <x v="425"/>
    <s v="transfer"/>
    <s v="other"/>
    <s v="rc_acc_1781955063347_e3zv"/>
    <x v="5"/>
    <s v="ชะอำ 6 aug ครัวห้วยทราย"/>
    <m/>
    <s v="import"/>
    <s v=""/>
    <b v="0"/>
    <s v=""/>
  </r>
  <r>
    <s v="102b5de4-c765-4faf-adf1-7ee89920b625"/>
    <x v="794"/>
    <s v="19:11"/>
    <x v="1227"/>
    <s v="expense"/>
    <s v="other_1781955063347_5s7r"/>
    <s v="advance"/>
    <x v="1"/>
    <s v="Difference"/>
    <m/>
    <s v="import"/>
    <s v=""/>
    <b v="0"/>
    <s v=""/>
  </r>
  <r>
    <s v="fbb50487-3bb5-44c2-b85a-6e594d738c6b"/>
    <x v="794"/>
    <s v="19:22"/>
    <x v="1030"/>
    <s v="expense"/>
    <s v="rc_cat_1781955063347_5qjb_1781955063347_tezk"/>
    <s v="rc_acc_1781955063347_0qmn"/>
    <x v="1"/>
    <s v="ชะอำ 6 aug ครัวห้วยทราย 1650 ลบยอดโอนคืน 350"/>
    <m/>
    <s v="import"/>
    <s v=""/>
    <b v="0"/>
    <s v=""/>
  </r>
  <r>
    <s v="47e8e933-c037-4d3d-8c2b-fb20a17121d4"/>
    <x v="794"/>
    <s v="19:24"/>
    <x v="265"/>
    <s v="expense"/>
    <s v="rc_cat_1781955063347_5qjb_1781955063347_tezk"/>
    <s v="rc_acc_1781955063347_0qmn"/>
    <x v="1"/>
    <s v="ชะอำ 6 aug kfc"/>
    <m/>
    <s v="import"/>
    <s v=""/>
    <b v="0"/>
    <s v=""/>
  </r>
  <r>
    <s v="b838dd31-3585-49ba-b88c-50740e59246e"/>
    <x v="794"/>
    <s v="19:36"/>
    <x v="883"/>
    <s v="expense"/>
    <s v="rc_cat_1781955063347_5qjb_1781955063348_edf6"/>
    <s v="rc_acc_1781955063347_0qmn"/>
    <x v="1"/>
    <s v="ชะอำ 6 aug น้ำมันเริ่มทริป"/>
    <m/>
    <s v="import"/>
    <s v=""/>
    <b v="0"/>
    <s v=""/>
  </r>
  <r>
    <s v="52f427e4-54de-4f2b-bda3-825162404607"/>
    <x v="794"/>
    <s v="23:55"/>
    <x v="214"/>
    <s v="expense"/>
    <s v="other_1781955063347_5s7r"/>
    <s v="rc_acc_1781955063347_uxz4"/>
    <x v="1"/>
    <s v="Difference"/>
    <m/>
    <s v="import"/>
    <s v=""/>
    <b v="0"/>
    <s v=""/>
  </r>
  <r>
    <s v="2b0e31d5-fc41-4456-87fa-135794191a34"/>
    <x v="795"/>
    <s v="06:03"/>
    <x v="1228"/>
    <s v="expense"/>
    <s v="rc_cat_1781955063347_5qjb_1781955063347_tezk"/>
    <s v="rc_acc_1781955063347_0qmn"/>
    <x v="1"/>
    <s v="ข้าวสี่ order 3-4 สค 193 237 102 267"/>
    <m/>
    <s v="import"/>
    <s v=""/>
    <b v="0"/>
    <s v=""/>
  </r>
  <r>
    <s v="ea8bbf89-86e1-4636-b31a-eab9c6666673"/>
    <x v="795"/>
    <s v="08:53"/>
    <x v="8"/>
    <s v="transfer"/>
    <s v="other"/>
    <s v="rc_acc_1781955063347_uxz4"/>
    <x v="25"/>
    <s v="-"/>
    <m/>
    <s v="import"/>
    <s v=""/>
    <b v="0"/>
    <s v=""/>
  </r>
  <r>
    <s v="5bf6fb2b-d5b0-45a3-8f25-33a3c80bea8d"/>
    <x v="795"/>
    <s v="08:53"/>
    <x v="1229"/>
    <s v="transfer"/>
    <s v="other"/>
    <s v="rc_acc_1781955063347_uxz4"/>
    <x v="2"/>
    <s v="สำรองจ่ายกองกลาง"/>
    <m/>
    <s v="import"/>
    <s v=""/>
    <b v="0"/>
    <s v=""/>
  </r>
  <r>
    <s v="2f6f4606-392d-42b9-9db1-55444e75c89e"/>
    <x v="795"/>
    <s v="08:57"/>
    <x v="1230"/>
    <s v="expense"/>
    <s v="rc_cat_1781955063347_04qb_1781955063347_wt5p"/>
    <s v="rc_acc_1781955063347_uxz4"/>
    <x v="1"/>
    <s v="-"/>
    <m/>
    <s v="import"/>
    <s v=""/>
    <b v="0"/>
    <s v=""/>
  </r>
  <r>
    <s v="c6344de0-91b6-4e1f-91db-9bc3776bbe87"/>
    <x v="795"/>
    <s v="13:35"/>
    <x v="1050"/>
    <s v="expense"/>
    <s v="rc_cat_1781955063347_5qjb_1781955063347_tezk"/>
    <s v="rc_acc_1781955063347_0qmn"/>
    <x v="1"/>
    <s v="blackcanyon"/>
    <m/>
    <s v="import"/>
    <s v=""/>
    <b v="0"/>
    <s v=""/>
  </r>
  <r>
    <s v="44a199db-8b88-46d9-9fc9-861b63ac29d1"/>
    <x v="795"/>
    <s v="14:15"/>
    <x v="536"/>
    <s v="expense"/>
    <s v="rc_cat_1781955063347_5qjb_1781955063347_tezk"/>
    <s v="rc_acc_1781955063347_0qmn"/>
    <x v="1"/>
    <s v="ชะอำ 6 aug กะเพราเนื้อตุ๋น"/>
    <m/>
    <s v="import"/>
    <s v=""/>
    <b v="0"/>
    <s v=""/>
  </r>
  <r>
    <s v="423f05a4-4f5e-466a-9e50-85c321ffde68"/>
    <x v="795"/>
    <s v="14:16"/>
    <x v="74"/>
    <s v="expense"/>
    <s v="rc_cat_1781955063347_5qjb_1781955063347_tezk"/>
    <s v="rc_acc_1781955063347_0qmn"/>
    <x v="1"/>
    <s v="ชะอำ 6 aug ขนมครก"/>
    <m/>
    <s v="import"/>
    <s v=""/>
    <b v="0"/>
    <s v=""/>
  </r>
  <r>
    <s v="753d2407-7659-4836-a42f-b7b00adc01d2"/>
    <x v="795"/>
    <s v="14:16"/>
    <x v="22"/>
    <s v="expense"/>
    <s v="rc_cat_1781955063347_5qjb_1781955063347_tezk"/>
    <s v="rc_acc_1781955063347_0qmn"/>
    <x v="1"/>
    <s v="ชะอำ 6 aug cafe amazon"/>
    <m/>
    <s v="import"/>
    <s v=""/>
    <b v="0"/>
    <s v=""/>
  </r>
  <r>
    <s v="cb2dce36-d702-4181-9609-7a30d289e867"/>
    <x v="795"/>
    <s v="19:15"/>
    <x v="87"/>
    <s v="expense"/>
    <s v="rc_cat_1781955063347_5qjb_1781955063347_tezk"/>
    <s v="rc_acc_1781955063347_e3zv"/>
    <x v="1"/>
    <s v="ชะอำ 6 aug โรตี"/>
    <m/>
    <s v="import"/>
    <s v=""/>
    <b v="0"/>
    <s v=""/>
  </r>
  <r>
    <s v="f58dc484-b2df-464c-add5-a730c41d4e7b"/>
    <x v="795"/>
    <s v="19:19"/>
    <x v="1018"/>
    <s v="expense"/>
    <s v="rc_cat_1781955063347_5qjb_1781955063347_tezk"/>
    <s v="rc_acc_1781955063347_0qmn"/>
    <x v="1"/>
    <s v="ชะอำ 6 aug ตลาดโต้รุ่ง หมู 150 40"/>
    <m/>
    <s v="import"/>
    <s v=""/>
    <b v="0"/>
    <s v=""/>
  </r>
  <r>
    <s v="5d933d1c-cb00-489e-b62f-46299632d18f"/>
    <x v="796"/>
    <s v="09:25"/>
    <x v="22"/>
    <s v="expense"/>
    <s v="rc_cat_1781955063347_5qjb_1781955063347_tezk"/>
    <s v="rc_acc_1781955063347_0qmn"/>
    <x v="1"/>
    <s v="-"/>
    <m/>
    <s v="import"/>
    <s v=""/>
    <b v="0"/>
    <s v=""/>
  </r>
  <r>
    <s v="fc46bc70-8d17-4cad-8b75-f2b03c650cab"/>
    <x v="796"/>
    <s v="12:45"/>
    <x v="783"/>
    <s v="expense"/>
    <s v="rc_cat_1781955063347_5qjb_1781955063347_tezk"/>
    <s v="rc_acc_1781955063347_uxz4"/>
    <x v="1"/>
    <s v="ตุ้กริมคลอง"/>
    <m/>
    <s v="import"/>
    <s v=""/>
    <b v="0"/>
    <s v=""/>
  </r>
  <r>
    <s v="960c13c9-5bd3-48cf-b338-32a6cfe498f7"/>
    <x v="796"/>
    <s v="18:52"/>
    <x v="913"/>
    <s v="expense"/>
    <s v="rc_cat_1781955063347_5qjb_1781955063347_tezk"/>
    <s v="rc_acc_1781955063347_0qmn"/>
    <x v="1"/>
    <s v="เจริญรส"/>
    <m/>
    <s v="import"/>
    <s v=""/>
    <b v="0"/>
    <s v=""/>
  </r>
  <r>
    <s v="ba235b48-94a1-4e70-80e5-e106021f2c98"/>
    <x v="797"/>
    <s v="09:01"/>
    <x v="1154"/>
    <s v="expense"/>
    <s v="rc_cat_1781955063347_5qjb_1781955063347_tezk"/>
    <s v="rc_acc_1781955063347_0qmn"/>
    <x v="1"/>
    <s v="เขียง หง wfh"/>
    <m/>
    <s v="import"/>
    <s v=""/>
    <b v="0"/>
    <s v=""/>
  </r>
  <r>
    <s v="e8d709b4-bb42-4f14-baab-96c28dff06e2"/>
    <x v="798"/>
    <s v="12:52"/>
    <x v="798"/>
    <s v="expense"/>
    <s v="rc_cat_1781955063347_5qjb_1781955063347_tezk"/>
    <s v="rc_acc_1781955063347_omhz"/>
    <x v="1"/>
    <s v="-"/>
    <m/>
    <s v="import"/>
    <s v=""/>
    <b v="0"/>
    <s v=""/>
  </r>
  <r>
    <s v="b920607c-9166-4fab-91bd-0f16cb2b68db"/>
    <x v="799"/>
    <s v="12:05"/>
    <x v="749"/>
    <s v="expense"/>
    <s v="rc_cat_1781955063347_5qjb_1781955063347_tezk"/>
    <s v="rc_acc_1781955063347_uxz4"/>
    <x v="1"/>
    <s v="-"/>
    <m/>
    <s v="import"/>
    <s v=""/>
    <b v="0"/>
    <s v=""/>
  </r>
  <r>
    <s v="a4a12168-a5cf-4ac6-af34-bb9cfca55260"/>
    <x v="799"/>
    <s v="12:39"/>
    <x v="356"/>
    <s v="expense"/>
    <s v="rc_cat_1781955063347_5qjb_1781955063347_tezk"/>
    <s v="rc_acc_1781955063347_uxz4"/>
    <x v="1"/>
    <s v="coffeelism+YAKKCAFE"/>
    <m/>
    <s v="import"/>
    <s v=""/>
    <b v="0"/>
    <s v=""/>
  </r>
  <r>
    <s v="ddbdfbcd-585f-4d8b-96aa-cd3c819d66e7"/>
    <x v="799"/>
    <s v="15:54"/>
    <x v="8"/>
    <s v="transfer"/>
    <s v="other"/>
    <s v="rc_acc_1781955063349_qn1n"/>
    <x v="5"/>
    <s v="Yuang"/>
    <m/>
    <s v="import"/>
    <s v=""/>
    <b v="0"/>
    <s v=""/>
  </r>
  <r>
    <s v="905ae240-72f1-458a-a510-bd56d2ac5041"/>
    <x v="799"/>
    <s v="18:51"/>
    <x v="5"/>
    <s v="expense"/>
    <s v="rc_cat_1781955063347_anhy_1781955063347_qnaz"/>
    <s v="rc_acc_1781955063347_uxz4"/>
    <x v="1"/>
    <s v="-"/>
    <m/>
    <s v="import"/>
    <s v=""/>
    <b v="0"/>
    <s v=""/>
  </r>
  <r>
    <s v="2b248e2f-75c9-43b5-8f9a-da5f27a98c09"/>
    <x v="800"/>
    <s v="12:25"/>
    <x v="1231"/>
    <s v="expense"/>
    <s v="rc_cat_1781955063347_5qjb_1781955063347_tezk"/>
    <s v="kbank"/>
    <x v="1"/>
    <s v="-"/>
    <m/>
    <s v="import"/>
    <s v=""/>
    <b v="0"/>
    <s v=""/>
  </r>
  <r>
    <s v="7c1cd322-5552-4b30-b8ad-4bb848e34b41"/>
    <x v="800"/>
    <s v="15:55"/>
    <x v="199"/>
    <s v="expense"/>
    <s v="rc_cat_1781955063347_5qjb_1781955063347_tezk"/>
    <s v="rc_acc_1781955063347_uxz4"/>
    <x v="1"/>
    <s v="-"/>
    <m/>
    <s v="import"/>
    <s v=""/>
    <b v="0"/>
    <s v=""/>
  </r>
  <r>
    <s v="61c43acc-daa4-4486-99ce-6a99abd38b5b"/>
    <x v="801"/>
    <s v="08:52"/>
    <x v="1232"/>
    <s v="expense"/>
    <s v="other_1781955063347_5s7r"/>
    <s v="rc_acc_1781955063347_0qmn"/>
    <x v="1"/>
    <s v="Difference"/>
    <m/>
    <s v="import"/>
    <s v=""/>
    <b v="0"/>
    <s v=""/>
  </r>
  <r>
    <s v="14326237-2aa6-4c33-96f2-c9f7002ee063"/>
    <x v="802"/>
    <s v="13:35"/>
    <x v="356"/>
    <s v="expense"/>
    <s v="rc_cat_1781955063347_5qjb_1781955063347_tezk"/>
    <s v="rc_acc_1781955063347_uxz4"/>
    <x v="1"/>
    <s v="-"/>
    <m/>
    <s v="import"/>
    <s v=""/>
    <b v="0"/>
    <s v=""/>
  </r>
  <r>
    <s v="ab8bcddd-9c61-4cad-a4c5-a0a59e9bcac3"/>
    <x v="803"/>
    <s v="09:06"/>
    <x v="763"/>
    <s v="expense"/>
    <s v="other_1781955063348_27zj"/>
    <s v="rc_acc_1781955063347_omhz"/>
    <x v="1"/>
    <s v="สายไฟ"/>
    <m/>
    <s v="import"/>
    <s v=""/>
    <b v="0"/>
    <s v=""/>
  </r>
  <r>
    <s v="a89ff5e9-d9f4-430d-8adb-fc28b58149c3"/>
    <x v="803"/>
    <s v="20:34"/>
    <x v="19"/>
    <s v="transfer"/>
    <s v="other"/>
    <s v="rc_acc_1781955063347_uxz4"/>
    <x v="16"/>
    <s v="-"/>
    <m/>
    <s v="import"/>
    <s v=""/>
    <b v="0"/>
    <s v=""/>
  </r>
  <r>
    <s v="e7a59669-05c8-453f-88b1-f386d829c40a"/>
    <x v="804"/>
    <s v="12:34"/>
    <x v="359"/>
    <s v="expense"/>
    <s v="rc_cat_1781955063347_5qjb_1781955063347_tezk"/>
    <s v="rc_acc_1781955063347_uxz4"/>
    <x v="1"/>
    <s v="มงคลชัย"/>
    <m/>
    <s v="import"/>
    <s v=""/>
    <b v="0"/>
    <s v=""/>
  </r>
  <r>
    <s v="88b153a8-b642-4eda-90f5-8d8d67d7ce2f"/>
    <x v="804"/>
    <s v="15:30"/>
    <x v="199"/>
    <s v="expense"/>
    <s v="rc_cat_1781955063347_5qjb_1781955063347_tezk"/>
    <s v="rc_acc_1781955063347_uxz4"/>
    <x v="1"/>
    <s v="-"/>
    <m/>
    <s v="import"/>
    <s v=""/>
    <b v="0"/>
    <s v=""/>
  </r>
  <r>
    <s v="79c17b08-93b9-4985-9333-999211d3167b"/>
    <x v="805"/>
    <s v="09:00"/>
    <x v="74"/>
    <s v="expense"/>
    <s v="rc_cat_1781955063347_5qjb_1781955063347_tezk"/>
    <s v="rc_acc_1781955063347_uxz4"/>
    <x v="1"/>
    <s v="-"/>
    <m/>
    <s v="import"/>
    <s v=""/>
    <b v="0"/>
    <s v=""/>
  </r>
  <r>
    <s v="53832335-c47c-4738-8c1d-9808bdcdce0c"/>
    <x v="805"/>
    <s v="09:00"/>
    <x v="265"/>
    <s v="transfer"/>
    <s v="other"/>
    <s v="rc_acc_1781955063348_jnjs"/>
    <x v="5"/>
    <s v="-"/>
    <m/>
    <s v="import"/>
    <s v=""/>
    <b v="0"/>
    <s v=""/>
  </r>
  <r>
    <s v="cb2e167a-2315-4310-b3ce-7f3bf416f4f0"/>
    <x v="805"/>
    <s v="11:56"/>
    <x v="34"/>
    <s v="expense"/>
    <s v="rc_cat_1781955063347_anhy_1781955063350_fcpb"/>
    <s v="kbank"/>
    <x v="1"/>
    <s v="-"/>
    <m/>
    <s v="import"/>
    <s v=""/>
    <b v="0"/>
    <s v=""/>
  </r>
  <r>
    <s v="064dc89f-a579-4a8c-bab4-8c0148278c4b"/>
    <x v="805"/>
    <s v="12:32"/>
    <x v="1185"/>
    <s v="expense"/>
    <s v="rc_cat_1781955063347_5qjb_1781955063347_tezk"/>
    <s v="rc_acc_1781955063347_uxz4"/>
    <x v="1"/>
    <s v="-"/>
    <m/>
    <s v="import"/>
    <s v=""/>
    <b v="0"/>
    <s v=""/>
  </r>
  <r>
    <s v="0260cd0f-05ed-437a-9788-f7a64b6f8392"/>
    <x v="805"/>
    <s v="12:35"/>
    <x v="317"/>
    <s v="expense"/>
    <s v="rc_cat_1781955063347_5qjb_1781955063347_tezk"/>
    <s v="rc_acc_1781955063347_uxz4"/>
    <x v="1"/>
    <s v="yakkcafe"/>
    <m/>
    <s v="import"/>
    <s v=""/>
    <b v="0"/>
    <s v=""/>
  </r>
  <r>
    <s v="a1e7c2d0-79d6-4d1f-ac79-b3bf87f14438"/>
    <x v="806"/>
    <s v="09:31"/>
    <x v="199"/>
    <s v="expense"/>
    <s v="rc_cat_1781955063347_5qjb_1781955063347_tezk"/>
    <s v="rc_acc_1781955063347_uxz4"/>
    <x v="1"/>
    <s v="-"/>
    <m/>
    <s v="import"/>
    <s v=""/>
    <b v="0"/>
    <s v=""/>
  </r>
  <r>
    <s v="fa05c6bf-227a-4e2e-b7fd-b650a7191738"/>
    <x v="806"/>
    <s v="12:31"/>
    <x v="199"/>
    <s v="expense"/>
    <s v="rc_cat_1781955063347_5qjb_1781955063347_tezk"/>
    <s v="rc_acc_1781955063347_uxz4"/>
    <x v="1"/>
    <s v="-"/>
    <m/>
    <s v="import"/>
    <s v=""/>
    <b v="0"/>
    <s v=""/>
  </r>
  <r>
    <s v="65d7c41a-90b9-49de-b557-4ca5fabcb559"/>
    <x v="806"/>
    <s v="12:36"/>
    <x v="769"/>
    <s v="transfer"/>
    <s v="other"/>
    <s v="rc_acc_1781955063347_uxz4"/>
    <x v="12"/>
    <s v="-"/>
    <m/>
    <s v="import"/>
    <s v=""/>
    <b v="0"/>
    <s v=""/>
  </r>
  <r>
    <s v="eabfdacf-ef90-469c-b342-2df5bae4676d"/>
    <x v="806"/>
    <s v="12:36"/>
    <x v="1233"/>
    <s v="expense"/>
    <s v="rc_cat_1781955063347_5qjb_1781955063347_tezk"/>
    <s v="rc_acc_1781955063347_uxz4"/>
    <x v="1"/>
    <s v="-"/>
    <m/>
    <s v="import"/>
    <s v=""/>
    <b v="0"/>
    <s v=""/>
  </r>
  <r>
    <s v="79eb4dab-3de9-46ca-a93d-ff2cb35bebf9"/>
    <x v="807"/>
    <s v="00:00"/>
    <x v="1169"/>
    <s v="transfer"/>
    <s v="other"/>
    <s v="rc_acc_1781955063347_uxz4"/>
    <x v="20"/>
    <s v="-"/>
    <m/>
    <s v="import"/>
    <s v=""/>
    <b v="0"/>
    <s v=""/>
  </r>
  <r>
    <s v="d1384950-5df7-4296-9b72-7f329667044e"/>
    <x v="807"/>
    <s v="00:00"/>
    <x v="1025"/>
    <s v="transfer"/>
    <s v="other"/>
    <s v="rc_acc_1781955063347_uxz4"/>
    <x v="8"/>
    <s v="-"/>
    <m/>
    <s v="import"/>
    <s v=""/>
    <b v="0"/>
    <s v=""/>
  </r>
  <r>
    <s v="3092f236-65a1-48de-8b94-d7e3c38e4974"/>
    <x v="807"/>
    <s v="00:00"/>
    <x v="1234"/>
    <s v="expense"/>
    <s v="rc_cat_1781955063347_04qb_1781955063347_kgnn"/>
    <s v="rc_acc_1781955063347_uxz4"/>
    <x v="1"/>
    <s v="-"/>
    <m/>
    <s v="import"/>
    <s v=""/>
    <b v="0"/>
    <s v=""/>
  </r>
  <r>
    <s v="4946ac53-2836-4dad-a229-f029a854107c"/>
    <x v="807"/>
    <s v="00:00"/>
    <x v="1235"/>
    <s v="expense"/>
    <s v="rc_cat_1781955063347_04qb_1781955063347_lu9b"/>
    <s v="rc_acc_1781955063347_uxz4"/>
    <x v="1"/>
    <s v="-"/>
    <m/>
    <s v="import"/>
    <s v=""/>
    <b v="0"/>
    <s v=""/>
  </r>
  <r>
    <s v="2a045941-4383-4c8a-b37b-0921d78e1cfe"/>
    <x v="807"/>
    <s v="00:00"/>
    <x v="128"/>
    <s v="transfer"/>
    <s v="other"/>
    <s v="rc_acc_1781955063347_uxz4"/>
    <x v="21"/>
    <s v="-"/>
    <m/>
    <s v="import"/>
    <s v=""/>
    <b v="0"/>
    <s v=""/>
  </r>
  <r>
    <s v="039b5683-d635-47a9-bba3-40b2bb8ef1bd"/>
    <x v="807"/>
    <s v="00:00"/>
    <x v="31"/>
    <s v="transfer"/>
    <s v="other"/>
    <s v="rc_acc_1781955063347_uxz4"/>
    <x v="7"/>
    <s v="-"/>
    <m/>
    <s v="import"/>
    <s v=""/>
    <b v="0"/>
    <s v=""/>
  </r>
  <r>
    <s v="7d04e9e8-61ad-4378-9cf3-22357da74ea3"/>
    <x v="807"/>
    <s v="00:00"/>
    <x v="1028"/>
    <s v="income"/>
    <s v="income_1781955063347_5zxt"/>
    <s v="rc_acc_1781955063347_uxz4"/>
    <x v="1"/>
    <s v="-"/>
    <m/>
    <s v="import"/>
    <s v=""/>
    <b v="0"/>
    <s v=""/>
  </r>
  <r>
    <s v="ec43f099-0f2c-4b3a-bf0e-6c98cd8b091f"/>
    <x v="807"/>
    <s v="00:00"/>
    <x v="1236"/>
    <s v="expense"/>
    <s v="rc_cat_1781955063347_04qb_1781955063350_acgf"/>
    <s v="rc_acc_1781955063347_uxz4"/>
    <x v="1"/>
    <s v="-"/>
    <m/>
    <s v="import"/>
    <s v=""/>
    <b v="0"/>
    <s v=""/>
  </r>
  <r>
    <s v="ad4daf44-e933-45b5-aac0-282f0c5b747f"/>
    <x v="807"/>
    <s v="00:00"/>
    <x v="372"/>
    <s v="expense"/>
    <s v="rc_cat_1781955063347_anhy_1781955063347_qnaz"/>
    <s v="rc_acc_1781955063347_uxz4"/>
    <x v="1"/>
    <s v="-"/>
    <m/>
    <s v="import"/>
    <s v=""/>
    <b v="0"/>
    <s v=""/>
  </r>
  <r>
    <s v="29f5182f-bd87-43f9-9186-3cd8759aa738"/>
    <x v="807"/>
    <s v="12:42"/>
    <x v="206"/>
    <s v="expense"/>
    <s v="entertain_1781955063348_kx2f"/>
    <s v="kbank"/>
    <x v="1"/>
    <s v="s7 case"/>
    <m/>
    <s v="import"/>
    <s v=""/>
    <b v="0"/>
    <s v=""/>
  </r>
  <r>
    <s v="3cf947d5-3878-422d-b12c-d9a0e798d8d7"/>
    <x v="807"/>
    <s v="12:53"/>
    <x v="1064"/>
    <s v="transfer"/>
    <s v="other"/>
    <s v="advance"/>
    <x v="5"/>
    <s v="-"/>
    <m/>
    <s v="import"/>
    <s v=""/>
    <b v="0"/>
    <s v=""/>
  </r>
  <r>
    <s v="e8029928-2122-42b4-9346-26611cc8e740"/>
    <x v="807"/>
    <s v="12:54"/>
    <x v="755"/>
    <s v="transfer"/>
    <s v="other"/>
    <s v="rc_acc_1781955063348_w3gp"/>
    <x v="5"/>
    <s v="-"/>
    <m/>
    <s v="import"/>
    <s v=""/>
    <b v="0"/>
    <s v=""/>
  </r>
  <r>
    <s v="e2b41ae9-fc83-4ce9-9b0f-d9aadc14b6c0"/>
    <x v="807"/>
    <s v="12:54"/>
    <x v="22"/>
    <s v="transfer"/>
    <s v="other"/>
    <s v="rc_acc_1781955063347_e3zv"/>
    <x v="5"/>
    <s v="-"/>
    <m/>
    <s v="import"/>
    <s v=""/>
    <b v="0"/>
    <s v=""/>
  </r>
  <r>
    <s v="07d3d303-f207-42d7-b828-5b2c0f09c949"/>
    <x v="807"/>
    <s v="12:56"/>
    <x v="536"/>
    <s v="transfer"/>
    <s v="other"/>
    <s v="advance"/>
    <x v="5"/>
    <s v="ส่วนของวัด"/>
    <m/>
    <s v="import"/>
    <s v=""/>
    <b v="0"/>
    <s v=""/>
  </r>
  <r>
    <s v="f55ddf1f-5389-4fe1-b157-7072dbf0705c"/>
    <x v="807"/>
    <s v="12:56"/>
    <x v="199"/>
    <s v="expense"/>
    <s v="rc_cat_1781955063347_5qjb_1781955063347_tezk"/>
    <s v="advance"/>
    <x v="1"/>
    <s v="-"/>
    <m/>
    <s v="import"/>
    <s v=""/>
    <b v="0"/>
    <s v=""/>
  </r>
  <r>
    <s v="36e85d52-5f87-4cea-ba80-fa4c5c1fd00e"/>
    <x v="807"/>
    <s v="13:00"/>
    <x v="132"/>
    <s v="transfer"/>
    <s v="other"/>
    <s v="rc_acc_1781955063348_w3gp"/>
    <x v="2"/>
    <s v="-"/>
    <m/>
    <s v="import"/>
    <s v=""/>
    <b v="0"/>
    <s v=""/>
  </r>
  <r>
    <s v="5e41caa6-d5e0-4ebe-9e23-f177d78eaaeb"/>
    <x v="807"/>
    <s v="13:03"/>
    <x v="132"/>
    <s v="transfer"/>
    <s v="other"/>
    <s v="advance"/>
    <x v="17"/>
    <s v="-"/>
    <m/>
    <s v="import"/>
    <s v=""/>
    <b v="0"/>
    <s v=""/>
  </r>
  <r>
    <s v="b9854eaa-e1ca-41ce-9ea8-5b87f703e736"/>
    <x v="807"/>
    <s v="13:05"/>
    <x v="1237"/>
    <s v="transfer"/>
    <s v="other"/>
    <s v="advance"/>
    <x v="17"/>
    <s v="-"/>
    <m/>
    <s v="import"/>
    <s v=""/>
    <b v="0"/>
    <s v=""/>
  </r>
  <r>
    <s v="4c9132aa-da88-4b1a-bf03-38c112067f83"/>
    <x v="807"/>
    <s v="13:06"/>
    <x v="1238"/>
    <s v="income"/>
    <s v="other_1781955063347_5s7r"/>
    <s v="rc_acc_1781955063348_w3gp"/>
    <x v="1"/>
    <s v="Difference"/>
    <m/>
    <s v="import"/>
    <s v=""/>
    <b v="0"/>
    <s v=""/>
  </r>
  <r>
    <s v="81b4bf5b-b9db-4807-beca-484c63502936"/>
    <x v="807"/>
    <s v="13:10"/>
    <x v="1239"/>
    <s v="transfer"/>
    <s v="other"/>
    <s v="rc_acc_1781955063347_uxz4"/>
    <x v="2"/>
    <s v="-"/>
    <m/>
    <s v="import"/>
    <s v=""/>
    <b v="0"/>
    <s v=""/>
  </r>
  <r>
    <s v="c30fe408-0e19-4c77-b2aa-ad3aeb587f53"/>
    <x v="807"/>
    <s v="13:17"/>
    <x v="113"/>
    <s v="expense"/>
    <s v="rc_cat_1781955063347_5qjb_1781955063348_laj8"/>
    <s v="rc_acc_1781955063347_uxz4"/>
    <x v="1"/>
    <s v="-"/>
    <m/>
    <s v="import"/>
    <s v=""/>
    <b v="0"/>
    <s v=""/>
  </r>
  <r>
    <s v="a40a4141-e91c-4bcd-af9e-075fd59d96fb"/>
    <x v="807"/>
    <s v="18:28"/>
    <x v="989"/>
    <s v="expense"/>
    <s v="entertain_1781955063348_kx2f"/>
    <s v="rc_acc_1781955063347_hv85"/>
    <x v="1"/>
    <s v="ffbe wotv"/>
    <m/>
    <s v="import"/>
    <s v=""/>
    <b v="0"/>
    <s v=""/>
  </r>
  <r>
    <s v="5fc765fe-dfb1-428f-bd2c-8db8d90fae70"/>
    <x v="808"/>
    <s v="12:33"/>
    <x v="768"/>
    <s v="expense"/>
    <s v="rc_cat_1781955063347_5qjb_1781955063347_tezk"/>
    <s v="rc_acc_1781955063347_uxz4"/>
    <x v="1"/>
    <s v="-"/>
    <m/>
    <s v="import"/>
    <s v=""/>
    <b v="0"/>
    <s v=""/>
  </r>
  <r>
    <s v="81493b90-a2cf-47b8-b121-e499063eb2ba"/>
    <x v="808"/>
    <s v="15:33"/>
    <x v="146"/>
    <s v="expense"/>
    <s v="rc_cat_1781955063347_5qjb_1781955063347_tezk"/>
    <s v="rc_acc_1781955063347_uxz4"/>
    <x v="1"/>
    <s v="-"/>
    <m/>
    <s v="import"/>
    <s v=""/>
    <b v="0"/>
    <s v=""/>
  </r>
  <r>
    <s v="ec65e9e9-9e77-4913-83a5-fccf32e8c77f"/>
    <x v="808"/>
    <s v="19:34"/>
    <x v="1240"/>
    <s v="expense"/>
    <s v="rc_cat_1781955063347_anhy_1781955063348_k5l1"/>
    <s v="rc_acc_1781955063347_uxz4"/>
    <x v="1"/>
    <s v="izakaya"/>
    <m/>
    <s v="import"/>
    <s v=""/>
    <b v="0"/>
    <s v=""/>
  </r>
  <r>
    <s v="b53017b8-c17b-48bc-b6b7-f6bc5bc5dfbb"/>
    <x v="809"/>
    <s v="12:32"/>
    <x v="199"/>
    <s v="expense"/>
    <s v="rc_cat_1781955063347_5qjb_1781955063347_tezk"/>
    <s v="rc_acc_1781955063347_uxz4"/>
    <x v="1"/>
    <s v="-"/>
    <m/>
    <s v="import"/>
    <s v=""/>
    <b v="0"/>
    <s v=""/>
  </r>
  <r>
    <s v="a071e5f5-8449-476b-aacc-a3a937dcab60"/>
    <x v="809"/>
    <s v="12:33"/>
    <x v="182"/>
    <s v="transfer"/>
    <s v="other"/>
    <s v="rc_acc_1781955063347_e3zv"/>
    <x v="5"/>
    <s v="-"/>
    <m/>
    <s v="import"/>
    <s v=""/>
    <b v="0"/>
    <s v=""/>
  </r>
  <r>
    <s v="46cc5516-615b-4a94-b992-ff5bea8815c3"/>
    <x v="809"/>
    <s v="13:00"/>
    <x v="766"/>
    <s v="expense"/>
    <s v="rc_cat_1781955063347_5qjb_1781955063347_tezk"/>
    <s v="rc_acc_1781955063348_w3gp"/>
    <x v="1"/>
    <s v="-"/>
    <m/>
    <s v="import"/>
    <s v=""/>
    <b v="0"/>
    <s v=""/>
  </r>
  <r>
    <s v="9813e3fa-c8a9-4ec8-81ed-9cadfc6537e9"/>
    <x v="810"/>
    <s v="12:32"/>
    <x v="74"/>
    <s v="expense"/>
    <s v="rc_cat_1781955063347_5qjb_1781955063347_tezk"/>
    <s v="rc_acc_1781955063347_uxz4"/>
    <x v="1"/>
    <s v="-"/>
    <m/>
    <s v="import"/>
    <s v=""/>
    <b v="0"/>
    <s v=""/>
  </r>
  <r>
    <s v="e7bf110f-e4db-4019-b953-664d326d6286"/>
    <x v="810"/>
    <s v="12:32"/>
    <x v="22"/>
    <s v="expense"/>
    <s v="rc_cat_1781955063347_5qjb_1781955063347_tezk"/>
    <s v="rc_acc_1781955063347_uxz4"/>
    <x v="1"/>
    <s v="-"/>
    <m/>
    <s v="import"/>
    <s v=""/>
    <b v="0"/>
    <s v=""/>
  </r>
  <r>
    <s v="1e22bbbc-f0d0-4d14-bcd8-5502c1bc7167"/>
    <x v="811"/>
    <s v="12:31"/>
    <x v="1058"/>
    <s v="transfer"/>
    <s v="other"/>
    <s v="rc_acc_1781955063347_tvnx"/>
    <x v="5"/>
    <s v="-"/>
    <m/>
    <s v="import"/>
    <s v=""/>
    <b v="0"/>
    <s v=""/>
  </r>
  <r>
    <s v="f3cf5b6c-90a7-4094-ad87-d4fb650fba1e"/>
    <x v="812"/>
    <s v="12:28"/>
    <x v="615"/>
    <s v="expense"/>
    <s v="rc_cat_1781955063347_5qjb_1781955063347_tezk"/>
    <s v="rc_acc_1781955063347_uxz4"/>
    <x v="1"/>
    <s v="จั๊บยวน"/>
    <m/>
    <s v="import"/>
    <s v=""/>
    <b v="0"/>
    <s v=""/>
  </r>
  <r>
    <s v="e9c6cbf4-c9c5-4906-90f3-0b4a3af7af5c"/>
    <x v="812"/>
    <s v="12:29"/>
    <x v="22"/>
    <s v="expense"/>
    <s v="rc_cat_1781955063347_5qjb_1781955063347_tezk"/>
    <s v="rc_acc_1781955063347_uxz4"/>
    <x v="1"/>
    <s v="coffeelism"/>
    <m/>
    <s v="import"/>
    <s v=""/>
    <b v="0"/>
    <s v=""/>
  </r>
  <r>
    <s v="a5bf21c0-8224-4536-920b-4b1234229370"/>
    <x v="813"/>
    <s v="12:59"/>
    <x v="1241"/>
    <s v="expense"/>
    <s v="other_1781955063348_27zj"/>
    <s v="rc_acc_1781955063348_w3gp"/>
    <x v="1"/>
    <s v="-"/>
    <m/>
    <s v="import"/>
    <s v=""/>
    <b v="0"/>
    <s v=""/>
  </r>
  <r>
    <s v="15a000d4-a08b-416a-90ca-bd646b099cf1"/>
    <x v="814"/>
    <s v="00:00"/>
    <x v="387"/>
    <s v="transfer"/>
    <s v="other"/>
    <s v="rc_acc_1781955063347_uxz4"/>
    <x v="17"/>
    <s v="-"/>
    <m/>
    <s v="import"/>
    <s v=""/>
    <b v="0"/>
    <s v=""/>
  </r>
  <r>
    <s v="bf5eebc6-5238-4be5-aa8e-a0b14ba9e846"/>
    <x v="814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94dc9d78-f7a2-48d0-bb47-383d73451819"/>
    <x v="814"/>
    <s v="08:27"/>
    <x v="150"/>
    <s v="expense"/>
    <s v="rc_cat_1781955063347_5qjb_1781955063347_tezk"/>
    <s v="rc_acc_1781955063347_uxz4"/>
    <x v="1"/>
    <s v="ตุ๊กริมคลอง"/>
    <m/>
    <s v="import"/>
    <s v=""/>
    <b v="0"/>
    <s v=""/>
  </r>
  <r>
    <s v="3e4a97d9-d694-47e8-9a2f-571802beba1a"/>
    <x v="814"/>
    <s v="12:28"/>
    <x v="199"/>
    <s v="expense"/>
    <s v="rc_cat_1781955063347_5qjb_1781955063347_tezk"/>
    <s v="rc_acc_1781955063347_uxz4"/>
    <x v="1"/>
    <s v="coffeelism"/>
    <m/>
    <s v="import"/>
    <s v=""/>
    <b v="0"/>
    <s v=""/>
  </r>
  <r>
    <s v="56f2c353-bb4b-4b26-89e3-b33bd0bb643a"/>
    <x v="814"/>
    <s v="12:59"/>
    <x v="1242"/>
    <s v="expense"/>
    <s v="rc_cat_1781955063347_5qjb_1781955063347_tezk"/>
    <s v="rc_acc_1781955063348_w3gp"/>
    <x v="1"/>
    <s v="-"/>
    <m/>
    <s v="import"/>
    <s v=""/>
    <b v="0"/>
    <s v=""/>
  </r>
  <r>
    <s v="9695f2d4-a3b9-4a9a-b893-cffda2198049"/>
    <x v="815"/>
    <s v="12:26"/>
    <x v="941"/>
    <s v="transfer"/>
    <s v="other"/>
    <s v="rc_acc_1781955063347_uxz4"/>
    <x v="2"/>
    <s v="standard burger"/>
    <m/>
    <s v="import"/>
    <s v=""/>
    <b v="0"/>
    <s v=""/>
  </r>
  <r>
    <s v="8427ca2d-b5bb-4dd6-9db7-6e128f3e8b3d"/>
    <x v="815"/>
    <s v="13:27"/>
    <x v="185"/>
    <s v="expense"/>
    <s v="rc_cat_1781955063347_5qjb_1781955063347_tezk"/>
    <s v="rc_acc_1781955063347_uxz4"/>
    <x v="1"/>
    <s v="เต่าบิน"/>
    <m/>
    <s v="import"/>
    <s v=""/>
    <b v="0"/>
    <s v=""/>
  </r>
  <r>
    <s v="efa45b58-6470-4f19-b1a8-f0653d7045ed"/>
    <x v="816"/>
    <s v="12:30"/>
    <x v="8"/>
    <s v="transfer"/>
    <s v="other"/>
    <s v="rc_acc_1781955063347_uxz4"/>
    <x v="25"/>
    <s v="-"/>
    <m/>
    <s v="import"/>
    <s v=""/>
    <b v="0"/>
    <s v=""/>
  </r>
  <r>
    <s v="f0743ce8-89d4-4d9d-8193-c61704d3e1f6"/>
    <x v="816"/>
    <s v="14:16"/>
    <x v="1243"/>
    <s v="expense"/>
    <s v="rc_cat_1781955063347_anhy_1781955063348_k5l1"/>
    <s v="rc_acc_1781955063347_uxz4"/>
    <x v="1"/>
    <s v="-"/>
    <m/>
    <s v="import"/>
    <s v=""/>
    <b v="0"/>
    <s v=""/>
  </r>
  <r>
    <s v="d475ce1d-4b03-4fb6-84ca-4e6167f62e5e"/>
    <x v="816"/>
    <s v="17:37"/>
    <x v="1244"/>
    <s v="expense"/>
    <s v="entertain_1781955063348_kx2f"/>
    <s v="kbank"/>
    <x v="1"/>
    <s v="tab s7fe"/>
    <m/>
    <s v="import"/>
    <s v=""/>
    <b v="0"/>
    <s v=""/>
  </r>
  <r>
    <s v="bff397c5-2e9b-4a93-905b-fcc96ab8a3b7"/>
    <x v="816"/>
    <s v="17:46"/>
    <x v="1245"/>
    <s v="transfer"/>
    <s v="other"/>
    <s v="rc_acc_1781955063348_w3gp"/>
    <x v="2"/>
    <s v="ของเซ่เว่น"/>
    <m/>
    <s v="import"/>
    <s v=""/>
    <b v="0"/>
    <s v=""/>
  </r>
  <r>
    <s v="af0adaec-1d0a-4201-bfa1-e75a1eecb3f6"/>
    <x v="816"/>
    <s v="17:47"/>
    <x v="1246"/>
    <s v="transfer"/>
    <s v="other"/>
    <s v="rc_acc_1781955063347_uxz4"/>
    <x v="17"/>
    <s v="-"/>
    <m/>
    <s v="import"/>
    <s v=""/>
    <b v="0"/>
    <s v=""/>
  </r>
  <r>
    <s v="6def5ad6-1fa3-44e5-91d4-b762f90b5c54"/>
    <x v="816"/>
    <s v="17:54"/>
    <x v="1247"/>
    <s v="transfer"/>
    <s v="other"/>
    <s v="advance"/>
    <x v="5"/>
    <s v="-"/>
    <m/>
    <s v="import"/>
    <s v=""/>
    <b v="0"/>
    <s v=""/>
  </r>
  <r>
    <s v="2741df72-c772-44a7-8c80-929ca8003563"/>
    <x v="817"/>
    <s v="09:16"/>
    <x v="199"/>
    <s v="expense"/>
    <s v="rc_cat_1781955063347_5qjb_1781955063347_tezk"/>
    <s v="rc_acc_1781955063347_uxz4"/>
    <x v="1"/>
    <s v="-"/>
    <m/>
    <s v="import"/>
    <s v=""/>
    <b v="0"/>
    <s v=""/>
  </r>
  <r>
    <s v="834114ef-48dc-4242-8814-fd1196f8c68c"/>
    <x v="818"/>
    <s v="15:49"/>
    <x v="1248"/>
    <s v="expense"/>
    <s v="rc_cat_1781955063347_5qjb_1781955063348_wpky"/>
    <s v="rc_acc_1781955063347_hv85"/>
    <x v="1"/>
    <s v="(6/6)"/>
    <m/>
    <s v="import"/>
    <s v=""/>
    <b v="0"/>
    <s v=""/>
  </r>
  <r>
    <s v="e7174e0c-9291-46ed-8eac-424cbfb44091"/>
    <x v="819"/>
    <s v="08:47"/>
    <x v="5"/>
    <s v="expense"/>
    <s v="rc_cat_1781955063347_anhy_1781955063347_qnaz"/>
    <s v="rc_acc_1781955063347_e3zv"/>
    <x v="1"/>
    <s v="-"/>
    <m/>
    <s v="import"/>
    <s v=""/>
    <b v="0"/>
    <s v=""/>
  </r>
  <r>
    <s v="11ad3bb4-2ccf-424b-a867-ceedfac503e6"/>
    <x v="819"/>
    <s v="17:13"/>
    <x v="74"/>
    <s v="expense"/>
    <s v="rc_cat_1781955063347_5qjb_1781955063347_tezk"/>
    <s v="rc_acc_1781955063347_uxz4"/>
    <x v="1"/>
    <s v="-"/>
    <m/>
    <s v="import"/>
    <s v=""/>
    <b v="0"/>
    <s v=""/>
  </r>
  <r>
    <s v="4f3b1663-f080-49ba-b53f-0f9493d5985c"/>
    <x v="819"/>
    <s v="17:15"/>
    <x v="5"/>
    <s v="transfer"/>
    <s v="other"/>
    <s v="rc_acc_1781955063347_uxz4"/>
    <x v="12"/>
    <s v="-"/>
    <m/>
    <s v="import"/>
    <s v=""/>
    <b v="0"/>
    <s v=""/>
  </r>
  <r>
    <s v="e194c389-f742-411d-840c-259892b48158"/>
    <x v="820"/>
    <s v="17:11"/>
    <x v="19"/>
    <s v="expense"/>
    <s v="rc_cat_1781955063347_s4sz_1781955063347_9tpp"/>
    <s v="rc_acc_1781955063347_uxz4"/>
    <x v="1"/>
    <s v="haircut"/>
    <m/>
    <s v="import"/>
    <s v=""/>
    <b v="0"/>
    <s v=""/>
  </r>
  <r>
    <s v="175f71cc-c0d1-42fc-8fb6-522c8951e1e5"/>
    <x v="821"/>
    <s v="12:10"/>
    <x v="317"/>
    <s v="expense"/>
    <s v="rc_cat_1781955063347_5qjb_1781955063347_tezk"/>
    <s v="rc_acc_1781955063347_uxz4"/>
    <x v="1"/>
    <s v="yakkcafe"/>
    <m/>
    <s v="import"/>
    <s v=""/>
    <b v="0"/>
    <s v=""/>
  </r>
  <r>
    <s v="ee2a7129-3aff-4770-a2cc-cf3cdbfa098d"/>
    <x v="821"/>
    <s v="12:35"/>
    <x v="616"/>
    <s v="expense"/>
    <s v="rc_cat_1781955063347_5qjb_1781955063347_tezk"/>
    <s v="rc_acc_1781955063347_uxz4"/>
    <x v="1"/>
    <s v="-"/>
    <m/>
    <s v="import"/>
    <s v=""/>
    <b v="0"/>
    <s v=""/>
  </r>
  <r>
    <s v="f37a07f8-80aa-4dec-993b-779ea8186c21"/>
    <x v="821"/>
    <s v="17:11"/>
    <x v="1249"/>
    <s v="expense"/>
    <s v="rc_cat_1781955063347_5qjb_1781955063347_tezk"/>
    <s v="rc_acc_1781955063347_uxz4"/>
    <x v="1"/>
    <s v="-"/>
    <m/>
    <s v="import"/>
    <s v=""/>
    <b v="0"/>
    <s v=""/>
  </r>
  <r>
    <s v="6c3a56f9-84bd-44c3-a29a-1675fa5066c4"/>
    <x v="822"/>
    <s v="12:09"/>
    <x v="22"/>
    <s v="expense"/>
    <s v="rc_cat_1781955063347_5qjb_1781955063347_tezk"/>
    <s v="rc_acc_1781955063347_uxz4"/>
    <x v="1"/>
    <s v="coffeelism"/>
    <m/>
    <s v="import"/>
    <s v=""/>
    <b v="0"/>
    <s v=""/>
  </r>
  <r>
    <s v="ea1059b5-bf11-4c55-bff0-017b97185d9e"/>
    <x v="822"/>
    <s v="12:45"/>
    <x v="601"/>
    <s v="expense"/>
    <s v="rc_cat_1781955063347_5qjb_1781955063347_tezk"/>
    <s v="rc_acc_1781955063347_uxz4"/>
    <x v="1"/>
    <s v="-"/>
    <m/>
    <s v="import"/>
    <s v=""/>
    <b v="0"/>
    <s v=""/>
  </r>
  <r>
    <s v="5c8a71c7-a36e-4f81-9b06-efe8a2ef9ff2"/>
    <x v="823"/>
    <s v="12:25"/>
    <x v="22"/>
    <s v="expense"/>
    <s v="rc_cat_1781955063347_5qjb_1781955063347_tezk"/>
    <s v="rc_acc_1781955063347_uxz4"/>
    <x v="1"/>
    <s v="-"/>
    <m/>
    <s v="import"/>
    <s v=""/>
    <b v="0"/>
    <s v=""/>
  </r>
  <r>
    <s v="5dc6c6b3-f2e7-4c9a-9fc2-8d500ac21c6f"/>
    <x v="823"/>
    <s v="12:29"/>
    <x v="87"/>
    <s v="expense"/>
    <s v="rc_cat_1781955063347_5qjb_1781955063347_tezk"/>
    <s v="rc_acc_1781955063347_uxz4"/>
    <x v="1"/>
    <s v="-"/>
    <m/>
    <s v="import"/>
    <s v=""/>
    <b v="0"/>
    <s v=""/>
  </r>
  <r>
    <s v="ca9346d4-dcdd-449b-9418-eb792d5e1ec3"/>
    <x v="824"/>
    <s v="17:07"/>
    <x v="1138"/>
    <s v="transfer"/>
    <s v="other"/>
    <s v="kbank"/>
    <x v="5"/>
    <s v="-"/>
    <m/>
    <s v="import"/>
    <s v=""/>
    <b v="0"/>
    <s v=""/>
  </r>
  <r>
    <s v="965a2698-fbf2-4279-b03f-c8318350daa1"/>
    <x v="824"/>
    <s v="17:08"/>
    <x v="1250"/>
    <s v="expense"/>
    <s v="rc_cat_1781955063347_04qb_1781955063347_wt5p"/>
    <s v="rc_acc_1781955063347_uxz4"/>
    <x v="1"/>
    <s v="-"/>
    <m/>
    <s v="import"/>
    <s v=""/>
    <b v="0"/>
    <s v=""/>
  </r>
  <r>
    <s v="213c6ee8-2bef-45e2-a765-c02e57b44ba2"/>
    <x v="824"/>
    <s v="17:08"/>
    <x v="26"/>
    <s v="transfer"/>
    <s v="other"/>
    <s v="rc_acc_1781955063347_uxz4"/>
    <x v="25"/>
    <s v="-"/>
    <m/>
    <s v="import"/>
    <s v=""/>
    <b v="0"/>
    <s v=""/>
  </r>
  <r>
    <s v="30a5e32f-2b57-4e86-83db-5d7d688245db"/>
    <x v="825"/>
    <s v="12:04"/>
    <x v="185"/>
    <s v="expense"/>
    <s v="rc_cat_1781955063347_5qjb_1781955063347_tezk"/>
    <s v="rc_acc_1781955063347_uxz4"/>
    <x v="1"/>
    <s v="-"/>
    <m/>
    <s v="import"/>
    <s v=""/>
    <b v="0"/>
    <s v=""/>
  </r>
  <r>
    <s v="8dcebd76-3f55-4335-8652-68dc5b993740"/>
    <x v="825"/>
    <s v="12:05"/>
    <x v="150"/>
    <s v="expense"/>
    <s v="rc_cat_1781955063347_5qjb_1781955063347_tezk"/>
    <s v="rc_acc_1781955063347_uxz4"/>
    <x v="1"/>
    <s v="-"/>
    <m/>
    <s v="import"/>
    <s v=""/>
    <b v="0"/>
    <s v=""/>
  </r>
  <r>
    <s v="1145ad32-2033-4036-bb8f-e3fd583f4a7c"/>
    <x v="825"/>
    <s v="14:05"/>
    <x v="759"/>
    <s v="expense"/>
    <s v="rc_cat_1781955063347_s4sz_1781955063347_9tpp"/>
    <s v="rc_acc_1781955063347_uxz4"/>
    <x v="1"/>
    <s v="-"/>
    <m/>
    <s v="import"/>
    <s v=""/>
    <b v="0"/>
    <s v=""/>
  </r>
  <r>
    <s v="4e40e3c5-befc-440b-9495-be691e819997"/>
    <x v="825"/>
    <s v="15:05"/>
    <x v="185"/>
    <s v="expense"/>
    <s v="rc_cat_1781955063347_5qjb_1781955063347_tezk"/>
    <s v="rc_acc_1781955063347_uxz4"/>
    <x v="1"/>
    <s v="budds"/>
    <m/>
    <s v="import"/>
    <s v=""/>
    <b v="0"/>
    <s v=""/>
  </r>
  <r>
    <s v="6310bd18-95d1-43fd-9f49-207b6ca69dab"/>
    <x v="825"/>
    <s v="15:06"/>
    <x v="199"/>
    <s v="expense"/>
    <s v="rc_cat_1781955063347_5qjb_1781955063347_tezk"/>
    <s v="rc_acc_1781955063347_uxz4"/>
    <x v="1"/>
    <s v="เกี้ยวซ่า"/>
    <m/>
    <s v="import"/>
    <s v=""/>
    <b v="0"/>
    <s v=""/>
  </r>
  <r>
    <s v="60162e76-bd3d-40f5-bab7-63b26b59a7e7"/>
    <x v="826"/>
    <s v="00:00"/>
    <x v="8"/>
    <s v="transfer"/>
    <s v="other"/>
    <s v="rc_acc_1781955063347_uxz4"/>
    <x v="25"/>
    <s v="-"/>
    <m/>
    <s v="import"/>
    <s v=""/>
    <b v="0"/>
    <s v=""/>
  </r>
  <r>
    <s v="21f4b08e-0a92-4a8c-ad23-d83e401af16e"/>
    <x v="826"/>
    <s v="08:35"/>
    <x v="751"/>
    <s v="expense"/>
    <s v="rc_cat_1781955063347_5qjb_1781955063347_tezk"/>
    <s v="rc_acc_1781955063347_uxz4"/>
    <x v="1"/>
    <s v="-"/>
    <m/>
    <s v="import"/>
    <s v=""/>
    <b v="0"/>
    <s v=""/>
  </r>
  <r>
    <s v="6b382e1a-dc5c-4282-8da0-367755faa2c3"/>
    <x v="826"/>
    <s v="12:01"/>
    <x v="1251"/>
    <s v="expense"/>
    <s v="rc_cat_1781955063347_5qjb_1781955063347_tezk"/>
    <s v="rc_acc_1781955063347_uxz4"/>
    <x v="1"/>
    <s v="-"/>
    <m/>
    <s v="import"/>
    <s v=""/>
    <b v="0"/>
    <s v=""/>
  </r>
  <r>
    <s v="057ef70a-4c27-4baa-8676-453e9e2b726a"/>
    <x v="826"/>
    <s v="12:50"/>
    <x v="199"/>
    <s v="expense"/>
    <s v="rc_cat_1781955063347_5qjb_1781955063347_tezk"/>
    <s v="rc_acc_1781955063347_uxz4"/>
    <x v="1"/>
    <s v="-"/>
    <m/>
    <s v="import"/>
    <s v=""/>
    <b v="0"/>
    <s v=""/>
  </r>
  <r>
    <s v="f0279cf4-1c02-4683-8c68-586da7da118a"/>
    <x v="827"/>
    <s v="20:56"/>
    <x v="323"/>
    <s v="expense"/>
    <s v="rc_cat_1781955063347_5qjb_1781955063347_tezk"/>
    <s v="rc_acc_1781955063347_uxz4"/>
    <x v="1"/>
    <s v="-"/>
    <m/>
    <s v="import"/>
    <s v=""/>
    <b v="0"/>
    <s v=""/>
  </r>
  <r>
    <s v="cedae848-18ab-4015-a6dc-1851efb23a35"/>
    <x v="828"/>
    <s v="13:00"/>
    <x v="356"/>
    <s v="expense"/>
    <s v="rc_cat_1781955063347_5qjb_1781955063347_tezk"/>
    <s v="rc_acc_1781955063347_uxz4"/>
    <x v="1"/>
    <s v="-"/>
    <m/>
    <s v="import"/>
    <s v=""/>
    <b v="0"/>
    <s v=""/>
  </r>
  <r>
    <s v="ac099e62-e275-4010-a7fd-92e5dc52f959"/>
    <x v="828"/>
    <s v="13:50"/>
    <x v="317"/>
    <s v="expense"/>
    <s v="rc_cat_1781955063347_5qjb_1781955063347_tezk"/>
    <s v="rc_acc_1781955063347_uxz4"/>
    <x v="1"/>
    <s v="-"/>
    <m/>
    <s v="import"/>
    <s v=""/>
    <b v="0"/>
    <s v=""/>
  </r>
  <r>
    <s v="543e6102-2b80-43ff-9c8d-91f97c007caf"/>
    <x v="828"/>
    <s v="16:50"/>
    <x v="8"/>
    <s v="transfer"/>
    <s v="other"/>
    <s v="rc_acc_1781955063347_uxz4"/>
    <x v="25"/>
    <s v="-"/>
    <m/>
    <s v="import"/>
    <s v=""/>
    <b v="0"/>
    <s v=""/>
  </r>
  <r>
    <s v="75c2e07c-cf67-4136-83c4-b858c19d73ac"/>
    <x v="829"/>
    <s v="00:00"/>
    <x v="1025"/>
    <s v="transfer"/>
    <s v="other"/>
    <s v="rc_acc_1781955063347_uxz4"/>
    <x v="8"/>
    <s v="-"/>
    <m/>
    <s v="import"/>
    <s v=""/>
    <b v="0"/>
    <s v=""/>
  </r>
  <r>
    <s v="3ab88745-83c0-41f0-8933-295df1f140cf"/>
    <x v="829"/>
    <s v="00:00"/>
    <x v="128"/>
    <s v="transfer"/>
    <s v="other"/>
    <s v="rc_acc_1781955063347_uxz4"/>
    <x v="21"/>
    <s v="-"/>
    <m/>
    <s v="import"/>
    <s v=""/>
    <b v="0"/>
    <s v=""/>
  </r>
  <r>
    <s v="158bf4fc-1f29-4639-95c1-4b155219c91c"/>
    <x v="829"/>
    <s v="00:00"/>
    <x v="1169"/>
    <s v="transfer"/>
    <s v="other"/>
    <s v="rc_acc_1781955063347_uxz4"/>
    <x v="20"/>
    <s v="-"/>
    <m/>
    <s v="import"/>
    <s v=""/>
    <b v="0"/>
    <s v=""/>
  </r>
  <r>
    <s v="a006705a-56d8-4655-9f0f-747fe72e4579"/>
    <x v="829"/>
    <s v="00:00"/>
    <x v="31"/>
    <s v="transfer"/>
    <s v="other"/>
    <s v="rc_acc_1781955063347_uxz4"/>
    <x v="7"/>
    <s v="-"/>
    <m/>
    <s v="import"/>
    <s v=""/>
    <b v="0"/>
    <s v=""/>
  </r>
  <r>
    <s v="808c6b32-7b44-43de-9ee8-abaa49c5014b"/>
    <x v="829"/>
    <s v="00:00"/>
    <x v="1252"/>
    <s v="expense"/>
    <s v="rc_cat_1781955063347_04qb_1781955063347_kgnn"/>
    <s v="rc_acc_1781955063347_uxz4"/>
    <x v="1"/>
    <s v="-"/>
    <m/>
    <s v="import"/>
    <s v=""/>
    <b v="0"/>
    <s v=""/>
  </r>
  <r>
    <s v="c414eb2d-7bea-4601-906a-def7d201613f"/>
    <x v="829"/>
    <s v="00:00"/>
    <x v="1253"/>
    <s v="expense"/>
    <s v="rc_cat_1781955063347_04qb_1781955063347_lu9b"/>
    <s v="rc_acc_1781955063347_uxz4"/>
    <x v="1"/>
    <s v="-"/>
    <m/>
    <s v="import"/>
    <s v=""/>
    <b v="0"/>
    <s v=""/>
  </r>
  <r>
    <s v="083bb56b-a714-4d86-99b8-67465b1801f2"/>
    <x v="829"/>
    <s v="00:00"/>
    <x v="1028"/>
    <s v="income"/>
    <s v="income_1781955063347_5zxt"/>
    <s v="rc_acc_1781955063347_uxz4"/>
    <x v="1"/>
    <s v="-"/>
    <m/>
    <s v="import"/>
    <s v=""/>
    <b v="0"/>
    <s v=""/>
  </r>
  <r>
    <s v="c3f5ae39-380d-47f8-9894-3688cb93bb46"/>
    <x v="829"/>
    <s v="00:00"/>
    <x v="1254"/>
    <s v="income"/>
    <s v="income_1781955063347_zblt"/>
    <s v="rc_acc_1781955063347_uxz4"/>
    <x v="1"/>
    <s v="vp"/>
    <m/>
    <s v="import"/>
    <s v=""/>
    <b v="0"/>
    <s v=""/>
  </r>
  <r>
    <s v="f1156304-c8f9-4365-8655-a58fafd3de2d"/>
    <x v="829"/>
    <s v="00:00"/>
    <x v="199"/>
    <s v="expense"/>
    <s v="rc_cat_1781955063347_anhy_1781955063347_qnaz"/>
    <s v="rc_acc_1781955063347_uxz4"/>
    <x v="1"/>
    <s v="-"/>
    <m/>
    <s v="import"/>
    <s v=""/>
    <b v="0"/>
    <s v=""/>
  </r>
  <r>
    <s v="c9163413-5c31-4515-98b3-53b4c7f7796f"/>
    <x v="829"/>
    <s v="00:00"/>
    <x v="1255"/>
    <s v="expense"/>
    <s v="rc_cat_1781955063347_04qb_1781955063350_acgf"/>
    <s v="rc_acc_1781955063347_uxz4"/>
    <x v="1"/>
    <s v="-"/>
    <m/>
    <s v="import"/>
    <s v=""/>
    <b v="0"/>
    <s v=""/>
  </r>
  <r>
    <s v="392f2ee3-352f-41c5-ab2f-685841f43f92"/>
    <x v="829"/>
    <s v="15:46"/>
    <x v="211"/>
    <s v="transfer"/>
    <s v="other"/>
    <s v="rc_acc_1781955063347_uxz4"/>
    <x v="12"/>
    <s v="-"/>
    <m/>
    <s v="import"/>
    <s v=""/>
    <b v="0"/>
    <s v=""/>
  </r>
  <r>
    <s v="6348970b-13f1-4c1c-a5cd-aec404296000"/>
    <x v="830"/>
    <s v="20:05"/>
    <x v="1256"/>
    <s v="expense"/>
    <s v="other_1781955063348_27zj"/>
    <s v="rc_acc_1781955063347_kjxt"/>
    <x v="1"/>
    <s v="-"/>
    <m/>
    <s v="import"/>
    <s v=""/>
    <b v="0"/>
    <s v=""/>
  </r>
  <r>
    <s v="fd8ef85e-ad45-4cae-a2fe-ec3ad97ccdb5"/>
    <x v="830"/>
    <s v="20:07"/>
    <x v="1257"/>
    <s v="transfer"/>
    <s v="other"/>
    <s v="rc_acc_1781955063347_uxz4"/>
    <x v="6"/>
    <s v="-"/>
    <m/>
    <s v="import"/>
    <s v=""/>
    <b v="0"/>
    <s v=""/>
  </r>
  <r>
    <s v="a627a095-1861-4b65-b18d-6ae0801a7150"/>
    <x v="830"/>
    <s v="20:20"/>
    <x v="382"/>
    <s v="transfer"/>
    <s v="other"/>
    <s v="kbank"/>
    <x v="26"/>
    <s v="-"/>
    <m/>
    <s v="import"/>
    <s v=""/>
    <b v="0"/>
    <s v=""/>
  </r>
  <r>
    <s v="a2791344-1a96-4381-9dfd-d4817cedec25"/>
    <x v="830"/>
    <s v="20:31"/>
    <x v="1258"/>
    <s v="expense"/>
    <s v="other_1781955063347_5s7r"/>
    <s v="rc_acc_1781955063347_omhz"/>
    <x v="1"/>
    <s v="Difference"/>
    <m/>
    <s v="import"/>
    <s v=""/>
    <b v="0"/>
    <s v=""/>
  </r>
  <r>
    <s v="fb6d0ce8-7aa3-4678-a591-af15dabd4828"/>
    <x v="830"/>
    <s v="20:41"/>
    <x v="1259"/>
    <s v="transfer"/>
    <s v="other"/>
    <s v="rc_acc_1781955063348_w3gp"/>
    <x v="2"/>
    <s v="ค่าเนต มิย"/>
    <m/>
    <s v="import"/>
    <s v=""/>
    <b v="0"/>
    <s v=""/>
  </r>
  <r>
    <s v="ac2f7c3d-a284-45d0-8d12-b93222d1b474"/>
    <x v="830"/>
    <s v="20:50"/>
    <x v="1260"/>
    <s v="transfer"/>
    <s v="other"/>
    <s v="rc_acc_1781955063348_w3gp"/>
    <x v="2"/>
    <s v="ของเซเว่น"/>
    <m/>
    <s v="import"/>
    <s v=""/>
    <b v="0"/>
    <s v=""/>
  </r>
  <r>
    <s v="7d8ab453-529d-4d7e-a946-6e7f6c82000e"/>
    <x v="830"/>
    <s v="20:59"/>
    <x v="31"/>
    <s v="expense"/>
    <s v="rc_cat_1781955063347_5qjb_1781955063348_laj8"/>
    <s v="advance"/>
    <x v="1"/>
    <s v="-"/>
    <m/>
    <s v="import"/>
    <s v=""/>
    <b v="0"/>
    <s v=""/>
  </r>
  <r>
    <s v="79b2f56c-35c7-4285-a261-410ea51a3bb8"/>
    <x v="831"/>
    <s v="18:45"/>
    <x v="1261"/>
    <s v="transfer"/>
    <s v="other"/>
    <s v="rc_acc_1781955063350_i8ms"/>
    <x v="5"/>
    <s v="-"/>
    <m/>
    <s v="import"/>
    <s v=""/>
    <b v="0"/>
    <s v=""/>
  </r>
  <r>
    <s v="3913c2d3-0166-4bc6-9b18-3c54bca3bf91"/>
    <x v="831"/>
    <s v="19:57"/>
    <x v="1262"/>
    <s v="income"/>
    <s v="income_1781955063351_3ab8"/>
    <s v="rc_acc_1781955063347_uxz4"/>
    <x v="1"/>
    <s v="-"/>
    <m/>
    <s v="import"/>
    <s v=""/>
    <b v="0"/>
    <s v=""/>
  </r>
  <r>
    <s v="699ee54c-fb02-4fda-ad59-bbb0a88245fe"/>
    <x v="832"/>
    <s v="18:15"/>
    <x v="315"/>
    <s v="transfer"/>
    <s v="other"/>
    <s v="kbank"/>
    <x v="12"/>
    <s v="-"/>
    <m/>
    <s v="import"/>
    <s v=""/>
    <b v="0"/>
    <s v=""/>
  </r>
  <r>
    <s v="93711ec2-98f6-4ac2-be2f-ee5d83c8cb49"/>
    <x v="832"/>
    <s v="19:54"/>
    <x v="1263"/>
    <s v="expense"/>
    <s v="rc_cat_1781955063347_anhy_1781955063347_qnaz"/>
    <s v="rc_acc_1781955063347_uxz4"/>
    <x v="1"/>
    <s v="พวงหรีด"/>
    <m/>
    <s v="import"/>
    <s v=""/>
    <b v="0"/>
    <s v=""/>
  </r>
  <r>
    <s v="62549475-da6e-424f-9ed6-54867e718044"/>
    <x v="833"/>
    <s v="12:52"/>
    <x v="356"/>
    <s v="expense"/>
    <s v="rc_cat_1781955063347_5qjb_1781955063347_tezk"/>
    <s v="rc_acc_1781955063347_uxz4"/>
    <x v="1"/>
    <s v="-"/>
    <m/>
    <s v="import"/>
    <s v=""/>
    <b v="0"/>
    <s v=""/>
  </r>
  <r>
    <s v="6b630817-4c46-4e86-9124-673747371a23"/>
    <x v="833"/>
    <s v="17:50"/>
    <x v="211"/>
    <s v="expense"/>
    <s v="rc_cat_1781955063347_anhy_1781955063348_k5l1"/>
    <s v="rc_acc_1781955063347_e3zv"/>
    <x v="1"/>
    <s v="งานศพตานัท"/>
    <m/>
    <s v="import"/>
    <s v=""/>
    <b v="0"/>
    <s v=""/>
  </r>
  <r>
    <s v="6f526210-6f23-4f2a-8bd3-952de23a0a3d"/>
    <x v="833"/>
    <s v="17:52"/>
    <x v="74"/>
    <s v="expense"/>
    <s v="rc_cat_1781955063347_5qjb_1781955063347_irl1"/>
    <s v="rc_acc_1781955063347_uxz4"/>
    <x v="1"/>
    <s v="-"/>
    <m/>
    <s v="import"/>
    <s v=""/>
    <b v="0"/>
    <s v=""/>
  </r>
  <r>
    <s v="4bb6b2ed-e2df-4acd-8da7-5fc08bbe575c"/>
    <x v="834"/>
    <s v="12:50"/>
    <x v="169"/>
    <s v="expense"/>
    <s v="rc_cat_1781955063347_5qjb_1781955063347_tezk"/>
    <s v="rc_acc_1781955063347_uxz4"/>
    <x v="1"/>
    <s v="-"/>
    <m/>
    <s v="import"/>
    <s v=""/>
    <b v="0"/>
    <s v=""/>
  </r>
  <r>
    <s v="f22ae97b-25fc-40df-aaa5-021528771d35"/>
    <x v="834"/>
    <s v="19:50"/>
    <x v="212"/>
    <s v="transfer"/>
    <s v="other"/>
    <s v="rc_acc_1781955063347_e3zv"/>
    <x v="5"/>
    <s v="-"/>
    <m/>
    <s v="import"/>
    <s v=""/>
    <b v="0"/>
    <s v=""/>
  </r>
  <r>
    <s v="d3f6cf01-47c3-4b85-87bf-36f3c512725c"/>
    <x v="835"/>
    <s v="20:16"/>
    <x v="146"/>
    <s v="expense"/>
    <s v="rc_cat_1781955063347_5qjb_1781955063347_tezk"/>
    <s v="kbank"/>
    <x v="1"/>
    <s v="-"/>
    <m/>
    <s v="import"/>
    <s v=""/>
    <b v="0"/>
    <s v=""/>
  </r>
  <r>
    <s v="459a1842-7a05-47cf-89c2-bf9d1b89670d"/>
    <x v="836"/>
    <s v="20:50"/>
    <x v="1264"/>
    <s v="transfer"/>
    <s v="other"/>
    <s v="rc_acc_1781955063348_w3gp"/>
    <x v="2"/>
    <s v="-"/>
    <m/>
    <s v="import"/>
    <s v=""/>
    <b v="0"/>
    <s v=""/>
  </r>
  <r>
    <s v="9ce8afcc-1a50-4346-b3cb-b2a0bed5ee7c"/>
    <x v="837"/>
    <s v="12:47"/>
    <x v="5"/>
    <s v="transfer"/>
    <s v="other"/>
    <s v="rc_acc_1781955063347_uxz4"/>
    <x v="12"/>
    <s v="-"/>
    <m/>
    <s v="import"/>
    <s v=""/>
    <b v="0"/>
    <s v=""/>
  </r>
  <r>
    <s v="c2157676-9902-4493-b2ab-ed219a3a3de9"/>
    <x v="837"/>
    <s v="15:15"/>
    <x v="150"/>
    <s v="expense"/>
    <s v="rc_cat_1781955063347_5qjb_1781955063347_tezk"/>
    <s v="rc_acc_1781955063347_uxz4"/>
    <x v="1"/>
    <s v="-"/>
    <m/>
    <s v="import"/>
    <s v=""/>
    <b v="0"/>
    <s v=""/>
  </r>
  <r>
    <s v="4fc44be2-9c1d-4f13-8180-25c29f87a71c"/>
    <x v="838"/>
    <s v="09:35"/>
    <x v="182"/>
    <s v="transfer"/>
    <s v="other"/>
    <s v="advance"/>
    <x v="5"/>
    <s v="keyboard ส่วนของพงศ์"/>
    <m/>
    <s v="import"/>
    <s v=""/>
    <b v="0"/>
    <s v=""/>
  </r>
  <r>
    <s v="8b3691a2-8954-4496-aea9-f30c2e252e36"/>
    <x v="838"/>
    <s v="20:16"/>
    <x v="1265"/>
    <s v="income"/>
    <s v="income_1781955063351_3ab8"/>
    <s v="kbank"/>
    <x v="1"/>
    <s v="-"/>
    <m/>
    <s v="import"/>
    <s v=""/>
    <b v="0"/>
    <s v=""/>
  </r>
  <r>
    <s v="da57d900-b545-47b7-b69a-36642b87d3c1"/>
    <x v="838"/>
    <s v="20:45"/>
    <x v="315"/>
    <s v="transfer"/>
    <s v="other"/>
    <s v="rc_acc_1781955063348_obza"/>
    <x v="12"/>
    <s v="-"/>
    <m/>
    <s v="import"/>
    <s v=""/>
    <b v="0"/>
    <s v=""/>
  </r>
  <r>
    <s v="6e2b1d41-b2cd-4055-9185-18bc07f0e254"/>
    <x v="839"/>
    <s v="12:44"/>
    <x v="1194"/>
    <s v="expense"/>
    <s v="rc_cat_1781955063347_5qjb_1781955063347_tezk"/>
    <s v="rc_acc_1781955063347_uxz4"/>
    <x v="1"/>
    <s v="-"/>
    <m/>
    <s v="import"/>
    <s v=""/>
    <b v="0"/>
    <s v=""/>
  </r>
  <r>
    <s v="508e8828-ecfc-4e0e-895d-f6a0b17e7fa4"/>
    <x v="840"/>
    <s v="17:55"/>
    <x v="536"/>
    <s v="transfer"/>
    <s v="other"/>
    <s v="rc_acc_1781955063347_uxz4"/>
    <x v="2"/>
    <s v="-"/>
    <m/>
    <s v="import"/>
    <s v=""/>
    <b v="0"/>
    <s v=""/>
  </r>
  <r>
    <s v="ad94b8ca-637e-414c-bb94-225f694eafe2"/>
    <x v="840"/>
    <s v="19:43"/>
    <x v="1266"/>
    <s v="transfer"/>
    <s v="other"/>
    <s v="rc_acc_1781955063347_uxz4"/>
    <x v="2"/>
    <s v="ผ้าม่าน"/>
    <m/>
    <s v="import"/>
    <s v=""/>
    <b v="0"/>
    <s v=""/>
  </r>
  <r>
    <s v="9446b3de-ed31-45d8-9789-ff25aa6d3671"/>
    <x v="841"/>
    <s v="00:00"/>
    <x v="387"/>
    <s v="transfer"/>
    <s v="other"/>
    <s v="rc_acc_1781955063347_uxz4"/>
    <x v="17"/>
    <s v="-"/>
    <m/>
    <s v="import"/>
    <s v=""/>
    <b v="0"/>
    <s v=""/>
  </r>
  <r>
    <s v="ab262fb0-21f4-441c-a781-8fe8069ffa59"/>
    <x v="841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cddf7ba6-c288-4f3b-8dc5-f53d1f1a62dd"/>
    <x v="841"/>
    <s v="14:42"/>
    <x v="1267"/>
    <s v="expense"/>
    <s v="rc_cat_1781955063347_5qjb_1781955063347_tezk"/>
    <s v="rc_acc_1781955063347_uxz4"/>
    <x v="1"/>
    <s v="น้ำ"/>
    <m/>
    <s v="import"/>
    <s v=""/>
    <b v="0"/>
    <s v=""/>
  </r>
  <r>
    <s v="c5479a28-ff50-4d9e-9651-fe7c7083a47c"/>
    <x v="841"/>
    <s v="20:02"/>
    <x v="607"/>
    <s v="transfer"/>
    <s v="other"/>
    <s v="rc_acc_1781955063347_kjxt"/>
    <x v="2"/>
    <s v="-"/>
    <m/>
    <s v="import"/>
    <s v=""/>
    <b v="0"/>
    <s v=""/>
  </r>
  <r>
    <s v="0270110a-15be-4859-b3cc-1b2b0dade888"/>
    <x v="842"/>
    <s v="14:41"/>
    <x v="1268"/>
    <s v="expense"/>
    <s v="rc_cat_1781955063347_5qjb_1781955063347_tezk"/>
    <s v="rc_acc_1781955063347_uxz4"/>
    <x v="1"/>
    <s v="-"/>
    <m/>
    <s v="import"/>
    <s v=""/>
    <b v="0"/>
    <s v=""/>
  </r>
  <r>
    <s v="37062b41-bd21-458c-9022-c1bc8a8953e7"/>
    <x v="842"/>
    <s v="20:01"/>
    <x v="1269"/>
    <s v="transfer"/>
    <s v="other"/>
    <s v="rc_acc_1781955063347_kjxt"/>
    <x v="2"/>
    <s v="-"/>
    <m/>
    <s v="import"/>
    <s v=""/>
    <b v="0"/>
    <s v=""/>
  </r>
  <r>
    <s v="af4f2f5f-f5b9-43f3-96ff-9b6c7afed471"/>
    <x v="842"/>
    <s v="20:01"/>
    <x v="1270"/>
    <s v="expense"/>
    <s v="rc_cat_1781955063347_5qjb_1781955063348_edf6"/>
    <s v="rc_acc_1781955063347_kjxt"/>
    <x v="1"/>
    <s v="-"/>
    <m/>
    <s v="import"/>
    <s v=""/>
    <b v="0"/>
    <s v=""/>
  </r>
  <r>
    <s v="b23fc68f-7882-4646-8192-e525aa0ca2f6"/>
    <x v="842"/>
    <s v="22:06"/>
    <x v="182"/>
    <s v="transfer"/>
    <s v="other"/>
    <s v="advance"/>
    <x v="12"/>
    <s v="ค่า locknlock"/>
    <m/>
    <s v="import"/>
    <s v=""/>
    <b v="0"/>
    <s v=""/>
  </r>
  <r>
    <s v="8724408e-a6e2-41d2-bf5e-ab0760c2ccef"/>
    <x v="843"/>
    <s v="12:14"/>
    <x v="185"/>
    <s v="expense"/>
    <s v="rc_cat_1781955063347_5qjb_1781955063347_tezk"/>
    <s v="rc_acc_1781955063347_uxz4"/>
    <x v="1"/>
    <s v="-"/>
    <m/>
    <s v="import"/>
    <s v=""/>
    <b v="0"/>
    <s v=""/>
  </r>
  <r>
    <s v="2efbfc6b-171d-4958-a114-01347a82005d"/>
    <x v="843"/>
    <s v="12:14"/>
    <x v="22"/>
    <s v="expense"/>
    <s v="rc_cat_1781955063347_s4sz_1781955063347_deos"/>
    <s v="rc_acc_1781955063347_uxz4"/>
    <x v="1"/>
    <s v="hafele"/>
    <m/>
    <s v="import"/>
    <s v=""/>
    <b v="0"/>
    <s v=""/>
  </r>
  <r>
    <s v="698e8334-7287-4224-9767-43998772e6cf"/>
    <x v="843"/>
    <s v="12:24"/>
    <x v="1271"/>
    <s v="transfer"/>
    <s v="other"/>
    <s v="rc_acc_1781955063347_kjxt"/>
    <x v="2"/>
    <s v="hafele"/>
    <m/>
    <s v="import"/>
    <s v=""/>
    <b v="0"/>
    <s v=""/>
  </r>
  <r>
    <s v="a862503b-70d1-4477-8748-0ad34701bb8c"/>
    <x v="843"/>
    <s v="21:13"/>
    <x v="1272"/>
    <s v="transfer"/>
    <s v="other"/>
    <s v="rc_acc_1781955063348_no9r"/>
    <x v="5"/>
    <s v="-"/>
    <m/>
    <s v="import"/>
    <s v=""/>
    <b v="0"/>
    <s v=""/>
  </r>
  <r>
    <s v="97b1b5a9-9a4e-4e35-a7a8-c77eb832ea89"/>
    <x v="843"/>
    <s v="22:07"/>
    <x v="328"/>
    <s v="transfer"/>
    <s v="other"/>
    <s v="advance"/>
    <x v="6"/>
    <s v="-"/>
    <m/>
    <s v="import"/>
    <s v=""/>
    <b v="0"/>
    <s v=""/>
  </r>
  <r>
    <s v="81b4d9c9-dcce-4128-9f0b-5405b7399b9f"/>
    <x v="843"/>
    <s v="22:11"/>
    <x v="1273"/>
    <s v="expense"/>
    <s v="rc_cat_1781955063347_anhy_1781955063350_fcpb"/>
    <s v="rc_acc_1781955063347_uxz4"/>
    <x v="1"/>
    <s v="keycron"/>
    <m/>
    <s v="import"/>
    <s v=""/>
    <b v="0"/>
    <s v=""/>
  </r>
  <r>
    <s v="3a7ca0ac-616b-40c9-a020-3a1a277c6421"/>
    <x v="843"/>
    <s v="22:40"/>
    <x v="902"/>
    <s v="transfer"/>
    <s v="other"/>
    <s v="advance"/>
    <x v="5"/>
    <s v="-"/>
    <m/>
    <s v="import"/>
    <s v=""/>
    <b v="0"/>
    <s v=""/>
  </r>
  <r>
    <s v="b98d877d-2ece-43ba-9e33-ea1263e607a4"/>
    <x v="843"/>
    <s v="22:45"/>
    <x v="1274"/>
    <s v="transfer"/>
    <s v="other"/>
    <s v="rc_acc_1781955063347_uxz4"/>
    <x v="14"/>
    <s v="-"/>
    <m/>
    <s v="import"/>
    <s v=""/>
    <b v="0"/>
    <s v=""/>
  </r>
  <r>
    <s v="03e233e9-5ad3-408b-9d30-a3d5f7cae6da"/>
    <x v="844"/>
    <s v="12:08"/>
    <x v="1275"/>
    <s v="expense"/>
    <s v="rc_cat_1781955063347_5qjb_1781955063347_irl1"/>
    <s v="rc_acc_1781955063347_hv85"/>
    <x v="1"/>
    <s v="(6/6)"/>
    <m/>
    <s v="import"/>
    <s v=""/>
    <b v="0"/>
    <s v=""/>
  </r>
  <r>
    <s v="79233969-0328-47b0-abe6-8ecb9a4f4e8e"/>
    <x v="844"/>
    <s v="15:49"/>
    <x v="1248"/>
    <s v="expense"/>
    <s v="rc_cat_1781955063347_5qjb_1781955063348_wpky"/>
    <s v="rc_acc_1781955063347_hv85"/>
    <x v="1"/>
    <s v="(5/6)"/>
    <m/>
    <s v="import"/>
    <s v=""/>
    <b v="0"/>
    <s v=""/>
  </r>
  <r>
    <s v="330f7652-ce31-4b4e-9154-9d2a84c3b1aa"/>
    <x v="845"/>
    <s v="17:12"/>
    <x v="1276"/>
    <s v="expense"/>
    <s v="rc_cat_1781955063347_anhy_1781955063348_k5l1"/>
    <s v="rc_acc_1781955063347_uxz4"/>
    <x v="1"/>
    <s v="ของขวัญเติ้ล"/>
    <m/>
    <s v="import"/>
    <s v=""/>
    <b v="0"/>
    <s v=""/>
  </r>
  <r>
    <s v="48f6a856-3efd-4158-b7b5-1526a85d2054"/>
    <x v="845"/>
    <s v="21:13"/>
    <x v="211"/>
    <s v="expense"/>
    <s v="rc_cat_1781955063347_anhy_1781955063348_k5l1"/>
    <s v="rc_acc_1781955063347_uxz4"/>
    <x v="1"/>
    <s v="เงิน สคส"/>
    <m/>
    <s v="import"/>
    <s v=""/>
    <b v="0"/>
    <s v=""/>
  </r>
  <r>
    <s v="89d574f4-8d0f-42ba-b3f3-e9b2123e2927"/>
    <x v="846"/>
    <s v="12:20"/>
    <x v="615"/>
    <s v="expense"/>
    <s v="rc_cat_1781955063347_5qjb_1781955063347_tezk"/>
    <s v="rc_acc_1781955063347_uxz4"/>
    <x v="1"/>
    <s v="-"/>
    <m/>
    <s v="import"/>
    <s v=""/>
    <b v="0"/>
    <s v=""/>
  </r>
  <r>
    <s v="c5bc8f2e-4598-407e-b6be-464a0223da39"/>
    <x v="846"/>
    <s v="12:45"/>
    <x v="199"/>
    <s v="expense"/>
    <s v="rc_cat_1781955063347_5qjb_1781955063347_tezk"/>
    <s v="rc_acc_1781955063347_uxz4"/>
    <x v="1"/>
    <s v="-"/>
    <m/>
    <s v="import"/>
    <s v=""/>
    <b v="0"/>
    <s v=""/>
  </r>
  <r>
    <s v="ddc58305-7830-4f11-9e28-7da12d1e336c"/>
    <x v="847"/>
    <s v="20:28"/>
    <x v="1101"/>
    <s v="transfer"/>
    <s v="other"/>
    <s v="rc_acc_1781955063347_omhz"/>
    <x v="2"/>
    <s v="-"/>
    <m/>
    <s v="import"/>
    <s v=""/>
    <b v="0"/>
    <s v=""/>
  </r>
  <r>
    <s v="0110d094-5750-495c-aa88-9a620fbdc3fb"/>
    <x v="847"/>
    <s v="21:55"/>
    <x v="19"/>
    <s v="transfer"/>
    <s v="other"/>
    <s v="rc_acc_1781955063347_uxz4"/>
    <x v="16"/>
    <s v="-"/>
    <m/>
    <s v="import"/>
    <s v=""/>
    <b v="0"/>
    <s v=""/>
  </r>
  <r>
    <s v="f9e62bb7-8511-4773-a43a-308fd44d30a7"/>
    <x v="848"/>
    <s v="13:37"/>
    <x v="212"/>
    <s v="transfer"/>
    <s v="other"/>
    <s v="rc_acc_1781955063347_uxz4"/>
    <x v="12"/>
    <s v="-"/>
    <m/>
    <s v="import"/>
    <s v=""/>
    <b v="0"/>
    <s v=""/>
  </r>
  <r>
    <s v="f91b68e7-fcdb-43a1-affd-65436d007b30"/>
    <x v="848"/>
    <s v="18:37"/>
    <x v="1277"/>
    <s v="expense"/>
    <s v="rc_cat_1781955063347_anhy_1781955063347_qnaz"/>
    <s v="rc_acc_1781955063347_e3zv"/>
    <x v="1"/>
    <s v="-"/>
    <m/>
    <s v="import"/>
    <s v=""/>
    <b v="0"/>
    <s v=""/>
  </r>
  <r>
    <s v="772efbb8-4743-4d6a-94e4-6657237110ef"/>
    <x v="849"/>
    <s v="14:12"/>
    <x v="5"/>
    <s v="expense"/>
    <s v="rc_cat_1781955063347_anhy_1781955063347_qnaz"/>
    <s v="kbank"/>
    <x v="1"/>
    <s v="-"/>
    <m/>
    <s v="import"/>
    <s v=""/>
    <b v="0"/>
    <s v=""/>
  </r>
  <r>
    <s v="6971b749-3bc9-4f0f-a390-886810a00795"/>
    <x v="849"/>
    <s v="17:23"/>
    <x v="1082"/>
    <s v="transfer"/>
    <s v="other"/>
    <s v="rc_acc_1781955063347_kjxt"/>
    <x v="2"/>
    <s v="momo"/>
    <m/>
    <s v="import"/>
    <s v=""/>
    <b v="0"/>
    <s v=""/>
  </r>
  <r>
    <s v="ea006b51-f33e-4d4f-a549-1298058c28de"/>
    <x v="849"/>
    <s v="18:23"/>
    <x v="328"/>
    <s v="transfer"/>
    <s v="other"/>
    <s v="rc_acc_1781955063347_kjxt"/>
    <x v="2"/>
    <s v="tops silomcomplex"/>
    <m/>
    <s v="import"/>
    <s v=""/>
    <b v="0"/>
    <s v=""/>
  </r>
  <r>
    <s v="5d7df778-1abb-47b4-9149-b8fae6867640"/>
    <x v="850"/>
    <s v="14:04"/>
    <x v="615"/>
    <s v="expense"/>
    <s v="rc_cat_1781955063347_5qjb_1781955063347_tezk"/>
    <s v="rc_acc_1781955063347_uxz4"/>
    <x v="1"/>
    <s v="จั๊บญวน"/>
    <m/>
    <s v="import"/>
    <s v=""/>
    <b v="0"/>
    <s v=""/>
  </r>
  <r>
    <s v="e88eefe5-5fff-428e-be6e-f400689b3067"/>
    <x v="850"/>
    <s v="14:04"/>
    <x v="317"/>
    <s v="expense"/>
    <s v="rc_cat_1781955063347_5qjb_1781955063347_tezk"/>
    <s v="rc_acc_1781955063347_uxz4"/>
    <x v="1"/>
    <s v="slowbar"/>
    <m/>
    <s v="import"/>
    <s v=""/>
    <b v="0"/>
    <s v=""/>
  </r>
  <r>
    <s v="24191312-8e97-405f-b53d-aaca69adf403"/>
    <x v="851"/>
    <s v="00:00"/>
    <x v="8"/>
    <s v="transfer"/>
    <s v="other"/>
    <s v="rc_acc_1781955063347_uxz4"/>
    <x v="25"/>
    <s v="-"/>
    <m/>
    <s v="import"/>
    <s v=""/>
    <b v="0"/>
    <s v=""/>
  </r>
  <r>
    <s v="d619a890-38f0-4dcd-a28e-e4515d99717b"/>
    <x v="851"/>
    <s v="13:39"/>
    <x v="1278"/>
    <s v="expense"/>
    <s v="rc_cat_1781955063347_04qb_1781955063347_wt5p"/>
    <s v="rc_acc_1781955063347_uxz4"/>
    <x v="1"/>
    <s v="-"/>
    <m/>
    <s v="import"/>
    <s v=""/>
    <b v="0"/>
    <s v=""/>
  </r>
  <r>
    <s v="ab8d5cfc-574e-4bbd-aa82-bcea27f917bd"/>
    <x v="851"/>
    <s v="14:02"/>
    <x v="1266"/>
    <s v="transfer"/>
    <s v="other"/>
    <s v="rc_acc_1781955063347_uxz4"/>
    <x v="2"/>
    <s v="ผ้าม่าน มัดจำ"/>
    <m/>
    <s v="import"/>
    <s v=""/>
    <b v="0"/>
    <s v=""/>
  </r>
  <r>
    <s v="36e32b21-5506-4adb-91d8-c8fcbc1787a9"/>
    <x v="851"/>
    <s v="21:58"/>
    <x v="1259"/>
    <s v="transfer"/>
    <s v="other"/>
    <s v="rc_acc_1781955063348_w3gp"/>
    <x v="2"/>
    <s v="ค่าเนต พค"/>
    <m/>
    <s v="import"/>
    <s v=""/>
    <b v="0"/>
    <s v=""/>
  </r>
  <r>
    <s v="c10b306e-0498-412a-87b2-95710edfb8b7"/>
    <x v="852"/>
    <s v="13:39"/>
    <x v="1018"/>
    <s v="expense"/>
    <s v="rc_cat_1781955063347_5qjb_1781955063347_tezk"/>
    <s v="rc_acc_1781955063347_uxz4"/>
    <x v="1"/>
    <s v="-"/>
    <m/>
    <s v="import"/>
    <s v=""/>
    <b v="0"/>
    <s v=""/>
  </r>
  <r>
    <s v="469de5dc-59bb-4548-9cfd-3d541d982af6"/>
    <x v="852"/>
    <s v="13:39"/>
    <x v="768"/>
    <s v="expense"/>
    <s v="rc_cat_1781955063347_5qjb_1781955063347_tezk"/>
    <s v="rc_acc_1781955063347_uxz4"/>
    <x v="1"/>
    <s v="-"/>
    <m/>
    <s v="import"/>
    <s v=""/>
    <b v="0"/>
    <s v=""/>
  </r>
  <r>
    <s v="c4645444-300e-423c-994d-67d54d02a1a3"/>
    <x v="853"/>
    <s v="08:40"/>
    <x v="751"/>
    <s v="expense"/>
    <s v="rc_cat_1781955063347_5qjb_1781955063347_tezk"/>
    <s v="rc_acc_1781955063347_uxz4"/>
    <x v="1"/>
    <s v="หมูทุบ"/>
    <m/>
    <s v="import"/>
    <s v=""/>
    <b v="0"/>
    <s v=""/>
  </r>
  <r>
    <s v="335b4a39-21b7-404e-ac1a-de572c7bd327"/>
    <x v="853"/>
    <s v="09:40"/>
    <x v="199"/>
    <s v="expense"/>
    <s v="rc_cat_1781955063347_5qjb_1781955063347_tezk"/>
    <s v="rc_acc_1781955063347_uxz4"/>
    <x v="1"/>
    <s v="-"/>
    <m/>
    <s v="import"/>
    <s v=""/>
    <b v="0"/>
    <s v=""/>
  </r>
  <r>
    <s v="f185d8b6-4f67-49a8-9fbe-ecad255a53a9"/>
    <x v="853"/>
    <s v="18:22"/>
    <x v="607"/>
    <s v="transfer"/>
    <s v="other"/>
    <s v="rc_acc_1781955063347_kjxt"/>
    <x v="2"/>
    <s v="-"/>
    <m/>
    <s v="import"/>
    <s v=""/>
    <b v="0"/>
    <s v=""/>
  </r>
  <r>
    <s v="eb6c92ec-8a02-441a-8f49-c7df242f3fae"/>
    <x v="853"/>
    <s v="20:48"/>
    <x v="1101"/>
    <s v="transfer"/>
    <s v="other"/>
    <s v="rc_acc_1781955063348_w3gp"/>
    <x v="2"/>
    <s v="-"/>
    <m/>
    <s v="import"/>
    <s v=""/>
    <b v="0"/>
    <s v=""/>
  </r>
  <r>
    <s v="05e92769-20f5-4c6b-b844-61b12c5c597f"/>
    <x v="854"/>
    <s v="17:30"/>
    <x v="1279"/>
    <s v="transfer"/>
    <s v="other"/>
    <s v="rc_acc_1781955063347_kjxt"/>
    <x v="2"/>
    <s v="-"/>
    <m/>
    <s v="import"/>
    <s v=""/>
    <b v="0"/>
    <s v=""/>
  </r>
  <r>
    <s v="d128cc36-f806-4ace-9405-50e1332d37b8"/>
    <x v="855"/>
    <s v="14:01"/>
    <x v="1280"/>
    <s v="transfer"/>
    <s v="other"/>
    <s v="rc_acc_1781955063347_uxz4"/>
    <x v="2"/>
    <s v="-"/>
    <m/>
    <s v="import"/>
    <s v=""/>
    <b v="0"/>
    <s v=""/>
  </r>
  <r>
    <s v="1efbb3ab-cea3-45a3-91c9-07ae0b408165"/>
    <x v="855"/>
    <s v="14:40"/>
    <x v="771"/>
    <s v="expense"/>
    <s v="other_1781955063348_27zj"/>
    <s v="rc_acc_1781955063347_uxz4"/>
    <x v="1"/>
    <s v="-"/>
    <m/>
    <s v="import"/>
    <s v=""/>
    <b v="0"/>
    <s v=""/>
  </r>
  <r>
    <s v="40f51268-d6b1-49d0-9a8f-59d2cf4f8226"/>
    <x v="855"/>
    <s v="14:50"/>
    <x v="1281"/>
    <s v="transfer"/>
    <s v="other"/>
    <s v="advance"/>
    <x v="26"/>
    <s v="-"/>
    <m/>
    <s v="import"/>
    <s v=""/>
    <b v="0"/>
    <s v=""/>
  </r>
  <r>
    <s v="1845b94d-45b9-4faa-9e3e-1f88e4fa3a73"/>
    <x v="855"/>
    <s v="15:07"/>
    <x v="110"/>
    <s v="transfer"/>
    <s v="other"/>
    <s v="rc_acc_1781955063348_w3gp"/>
    <x v="2"/>
    <s v="-"/>
    <m/>
    <s v="import"/>
    <s v=""/>
    <b v="0"/>
    <s v=""/>
  </r>
  <r>
    <s v="b6d3e48d-1e17-4089-891d-d69365ea2c24"/>
    <x v="855"/>
    <s v="15:09"/>
    <x v="317"/>
    <s v="expense"/>
    <s v="rc_cat_1781955063347_5qjb_1781955063347_tezk"/>
    <s v="rc_acc_1781955063348_w3gp"/>
    <x v="1"/>
    <s v="-"/>
    <m/>
    <s v="import"/>
    <s v=""/>
    <b v="0"/>
    <s v=""/>
  </r>
  <r>
    <s v="0edc4411-a946-45f3-9c30-19646705d2a9"/>
    <x v="855"/>
    <s v="15:09"/>
    <x v="317"/>
    <s v="transfer"/>
    <s v="other"/>
    <s v="rc_acc_1781955063347_uxz4"/>
    <x v="17"/>
    <s v="-"/>
    <m/>
    <s v="import"/>
    <s v=""/>
    <b v="0"/>
    <s v=""/>
  </r>
  <r>
    <s v="cd150bff-afcb-4699-9ff4-998aa01c7316"/>
    <x v="855"/>
    <s v="15:09"/>
    <x v="1282"/>
    <s v="expense"/>
    <s v="other_1781955063348_27zj"/>
    <s v="rc_acc_1781955063348_w3gp"/>
    <x v="1"/>
    <s v="annual fee"/>
    <m/>
    <s v="import"/>
    <s v=""/>
    <b v="0"/>
    <s v=""/>
  </r>
  <r>
    <s v="651160ec-ddee-42f4-873d-51043c7f1df4"/>
    <x v="855"/>
    <s v="21:35"/>
    <x v="1283"/>
    <s v="transfer"/>
    <s v="other"/>
    <s v="rc_acc_1781955063347_0qmn"/>
    <x v="17"/>
    <s v="-"/>
    <m/>
    <s v="import"/>
    <s v=""/>
    <b v="0"/>
    <s v=""/>
  </r>
  <r>
    <s v="4eb69f4c-0793-4218-aac7-fc99fef8cfba"/>
    <x v="856"/>
    <s v="12:00"/>
    <x v="199"/>
    <s v="expense"/>
    <s v="rc_cat_1781955063347_5qjb_1781955063347_tezk"/>
    <s v="rc_acc_1781955063347_uxz4"/>
    <x v="1"/>
    <s v="-"/>
    <m/>
    <s v="import"/>
    <s v=""/>
    <b v="0"/>
    <s v=""/>
  </r>
  <r>
    <s v="262a9156-99ba-4f42-a79c-f9bbeebdb1a2"/>
    <x v="856"/>
    <s v="15:07"/>
    <x v="876"/>
    <s v="transfer"/>
    <s v="other"/>
    <s v="rc_acc_1781955063348_w3gp"/>
    <x v="2"/>
    <s v="today steak"/>
    <m/>
    <s v="import"/>
    <s v=""/>
    <b v="0"/>
    <s v=""/>
  </r>
  <r>
    <s v="e792dcd3-272b-4f4c-8cce-a5306e568072"/>
    <x v="857"/>
    <s v="00:00"/>
    <x v="1169"/>
    <s v="transfer"/>
    <s v="other"/>
    <s v="rc_acc_1781955063347_uxz4"/>
    <x v="20"/>
    <s v="-"/>
    <m/>
    <s v="import"/>
    <s v=""/>
    <b v="0"/>
    <s v=""/>
  </r>
  <r>
    <s v="2821d03a-e17c-42c6-83a5-fd6cb418b86c"/>
    <x v="857"/>
    <s v="00:00"/>
    <x v="1025"/>
    <s v="transfer"/>
    <s v="other"/>
    <s v="rc_acc_1781955063347_uxz4"/>
    <x v="8"/>
    <s v="-"/>
    <m/>
    <s v="import"/>
    <s v=""/>
    <b v="0"/>
    <s v=""/>
  </r>
  <r>
    <s v="140b6c22-91e7-4405-a472-fe169e219fae"/>
    <x v="857"/>
    <s v="00:00"/>
    <x v="1284"/>
    <s v="expense"/>
    <s v="rc_cat_1781955063347_04qb_1781955063347_kgnn"/>
    <s v="rc_acc_1781955063347_uxz4"/>
    <x v="1"/>
    <s v="-"/>
    <m/>
    <s v="import"/>
    <s v=""/>
    <b v="0"/>
    <s v=""/>
  </r>
  <r>
    <s v="77476a68-c114-46e4-9e59-d924883724f7"/>
    <x v="857"/>
    <s v="00:00"/>
    <x v="1285"/>
    <s v="expense"/>
    <s v="rc_cat_1781955063347_04qb_1781955063347_lu9b"/>
    <s v="rc_acc_1781955063347_uxz4"/>
    <x v="1"/>
    <s v="-"/>
    <m/>
    <s v="import"/>
    <s v=""/>
    <b v="0"/>
    <s v=""/>
  </r>
  <r>
    <s v="0955358b-2673-4cd5-9ee6-958dd4a3adfe"/>
    <x v="857"/>
    <s v="00:00"/>
    <x v="128"/>
    <s v="transfer"/>
    <s v="other"/>
    <s v="rc_acc_1781955063347_uxz4"/>
    <x v="21"/>
    <s v="-"/>
    <m/>
    <s v="import"/>
    <s v=""/>
    <b v="0"/>
    <s v=""/>
  </r>
  <r>
    <s v="b445b64f-52bb-4c65-9fb8-e1d990b14852"/>
    <x v="857"/>
    <s v="00:00"/>
    <x v="31"/>
    <s v="transfer"/>
    <s v="other"/>
    <s v="rc_acc_1781955063347_uxz4"/>
    <x v="7"/>
    <s v="-"/>
    <m/>
    <s v="import"/>
    <s v=""/>
    <b v="0"/>
    <s v=""/>
  </r>
  <r>
    <s v="4ec4ca87-a325-48c5-90fb-e1e0a3febcf9"/>
    <x v="857"/>
    <s v="00:00"/>
    <x v="1028"/>
    <s v="income"/>
    <s v="income_1781955063347_5zxt"/>
    <s v="rc_acc_1781955063347_uxz4"/>
    <x v="1"/>
    <s v="-"/>
    <m/>
    <s v="import"/>
    <s v=""/>
    <b v="0"/>
    <s v=""/>
  </r>
  <r>
    <s v="f2cd2a1d-5fb8-4c29-b9f0-8151320c3e21"/>
    <x v="857"/>
    <s v="00:41"/>
    <x v="1286"/>
    <s v="expense"/>
    <s v="rc_cat_1781955063347_04qb_1781955063350_acgf"/>
    <s v="rc_acc_1781955063347_uxz4"/>
    <x v="1"/>
    <s v="-"/>
    <m/>
    <s v="import"/>
    <s v=""/>
    <b v="0"/>
    <s v=""/>
  </r>
  <r>
    <s v="5fd3f5a8-4abe-47f3-8d69-63c4eb8f6b82"/>
    <x v="857"/>
    <s v="12:20"/>
    <x v="317"/>
    <s v="expense"/>
    <s v="rc_cat_1781955063347_5qjb_1781955063347_tezk"/>
    <s v="rc_acc_1781955063347_uxz4"/>
    <x v="1"/>
    <s v="-"/>
    <m/>
    <s v="import"/>
    <s v=""/>
    <b v="0"/>
    <s v=""/>
  </r>
  <r>
    <s v="102ae662-1746-4c25-8e81-0debe03096d3"/>
    <x v="858"/>
    <s v="13:54"/>
    <x v="405"/>
    <s v="expense"/>
    <s v="rc_cat_1781955063347_5qjb_1781955063347_tezk"/>
    <s v="rc_acc_1781955063347_uxz4"/>
    <x v="1"/>
    <s v="burger จ่ายให้นิว"/>
    <m/>
    <s v="import"/>
    <s v=""/>
    <b v="0"/>
    <s v=""/>
  </r>
  <r>
    <s v="92a7a53a-ae6e-487a-aefb-39ab20f44de7"/>
    <x v="858"/>
    <s v="16:55"/>
    <x v="767"/>
    <s v="expense"/>
    <s v="rc_cat_1781955063347_5qjb_1781955063347_tezk"/>
    <s v="rc_acc_1781955063347_uxz4"/>
    <x v="1"/>
    <s v="-"/>
    <m/>
    <s v="import"/>
    <s v=""/>
    <b v="0"/>
    <s v=""/>
  </r>
  <r>
    <s v="2b0030d6-8497-4c03-bcb4-f5ef510fe005"/>
    <x v="859"/>
    <s v="13:53"/>
    <x v="186"/>
    <s v="expense"/>
    <s v="rc_cat_1781955063347_5qjb_1781955063347_tezk"/>
    <s v="rc_acc_1781955063347_uxz4"/>
    <x v="1"/>
    <s v="-"/>
    <m/>
    <s v="import"/>
    <s v=""/>
    <b v="0"/>
    <s v=""/>
  </r>
  <r>
    <s v="d817bd81-8ade-4765-a1fc-8de6dd2a4feb"/>
    <x v="859"/>
    <s v="13:54"/>
    <x v="317"/>
    <s v="expense"/>
    <s v="rc_cat_1781955063347_5qjb_1781955063347_tezk"/>
    <s v="rc_acc_1781955063347_uxz4"/>
    <x v="1"/>
    <s v="-"/>
    <m/>
    <s v="import"/>
    <s v=""/>
    <b v="0"/>
    <s v=""/>
  </r>
  <r>
    <s v="1b426147-8c48-4dd4-9bd8-cdca52ef97aa"/>
    <x v="860"/>
    <s v="08:53"/>
    <x v="199"/>
    <s v="expense"/>
    <s v="rc_cat_1781955063347_5qjb_1781955063347_tezk"/>
    <s v="rc_acc_1781955063347_uxz4"/>
    <x v="1"/>
    <s v="-"/>
    <m/>
    <s v="import"/>
    <s v=""/>
    <b v="0"/>
    <s v=""/>
  </r>
  <r>
    <s v="1a2082f1-0e20-4fb7-842d-58bdec2ac85a"/>
    <x v="860"/>
    <s v="13:00"/>
    <x v="169"/>
    <s v="expense"/>
    <s v="rc_cat_1781955063347_5qjb_1781955063347_tezk"/>
    <s v="rc_acc_1781955063347_uxz4"/>
    <x v="1"/>
    <s v="inter"/>
    <m/>
    <s v="import"/>
    <s v=""/>
    <b v="0"/>
    <s v=""/>
  </r>
  <r>
    <s v="8c770f6a-ff29-4c23-a23e-8545944d6b54"/>
    <x v="860"/>
    <s v="14:51"/>
    <x v="1013"/>
    <s v="transfer"/>
    <s v="other"/>
    <s v="rc_acc_1781955063350_i8ms"/>
    <x v="2"/>
    <s v="-"/>
    <m/>
    <s v="import"/>
    <s v=""/>
    <b v="0"/>
    <s v=""/>
  </r>
  <r>
    <s v="b4ed19b7-1f06-449f-8b07-142699d4b01e"/>
    <x v="861"/>
    <s v="13:44"/>
    <x v="805"/>
    <s v="expense"/>
    <s v="rc_cat_1781955063347_5qjb_1781955063347_tezk"/>
    <s v="rc_acc_1781955063347_uxz4"/>
    <x v="1"/>
    <s v="สมจิตร"/>
    <m/>
    <s v="import"/>
    <s v=""/>
    <b v="0"/>
    <s v=""/>
  </r>
  <r>
    <s v="fef8a1aa-5928-4aec-8917-75bd2dd82e41"/>
    <x v="862"/>
    <s v="12:43"/>
    <x v="1287"/>
    <s v="expense"/>
    <s v="rc_cat_1781955063347_anhy_1781955063347_qnaz"/>
    <s v="rc_acc_1781955063347_uxz4"/>
    <x v="1"/>
    <s v="-"/>
    <m/>
    <s v="import"/>
    <s v=""/>
    <b v="0"/>
    <s v=""/>
  </r>
  <r>
    <s v="da0a2893-7ee7-4fc7-8e25-6542eceedf64"/>
    <x v="862"/>
    <s v="21:43"/>
    <x v="1288"/>
    <s v="expense"/>
    <s v="entertain_1781955063348_gj0i"/>
    <s v="rc_acc_1781955063347_uxz4"/>
    <x v="1"/>
    <s v="-"/>
    <m/>
    <s v="import"/>
    <s v=""/>
    <b v="0"/>
    <s v=""/>
  </r>
  <r>
    <s v="ff85dec9-17eb-49d0-a18e-59736f49d2b2"/>
    <x v="863"/>
    <s v="13:48"/>
    <x v="42"/>
    <s v="transfer"/>
    <s v="other"/>
    <s v="advance"/>
    <x v="5"/>
    <s v="tablet พ่อ"/>
    <m/>
    <s v="import"/>
    <s v=""/>
    <b v="0"/>
    <s v=""/>
  </r>
  <r>
    <s v="49b0ddcc-b371-422c-9332-23d595818f4d"/>
    <x v="864"/>
    <s v="00:00"/>
    <x v="387"/>
    <s v="transfer"/>
    <s v="other"/>
    <s v="rc_acc_1781955063347_uxz4"/>
    <x v="17"/>
    <s v="-"/>
    <m/>
    <s v="import"/>
    <s v=""/>
    <b v="0"/>
    <s v=""/>
  </r>
  <r>
    <s v="719aa9d4-a041-481c-9422-9cdd17401841"/>
    <x v="864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b131df60-cb33-446b-ac5f-699a9a145b47"/>
    <x v="864"/>
    <s v="14:40"/>
    <x v="1289"/>
    <s v="transfer"/>
    <s v="other"/>
    <s v="rc_acc_1781955063347_uxz4"/>
    <x v="6"/>
    <s v="-"/>
    <m/>
    <s v="import"/>
    <s v=""/>
    <b v="0"/>
    <s v=""/>
  </r>
  <r>
    <s v="442b3e7b-0f67-4e33-a01a-18ba5593e4c7"/>
    <x v="864"/>
    <s v="14:49"/>
    <x v="367"/>
    <s v="transfer"/>
    <s v="other"/>
    <s v="rc_acc_1781955063348_w3gp"/>
    <x v="2"/>
    <s v="-"/>
    <m/>
    <s v="import"/>
    <s v=""/>
    <b v="0"/>
    <s v=""/>
  </r>
  <r>
    <s v="5f24ae3a-1a1e-49fd-af8b-88a580627ac7"/>
    <x v="864"/>
    <s v="14:58"/>
    <x v="317"/>
    <s v="expense"/>
    <s v="entertain_1781955063348_kx2f"/>
    <s v="rc_acc_1781955063347_hv85"/>
    <x v="1"/>
    <s v="-"/>
    <m/>
    <s v="import"/>
    <s v=""/>
    <b v="0"/>
    <s v=""/>
  </r>
  <r>
    <s v="56ddb9c8-a428-435a-885a-3b3905c8179f"/>
    <x v="864"/>
    <s v="15:01"/>
    <x v="1290"/>
    <s v="transfer"/>
    <s v="other"/>
    <s v="rc_acc_1781955063348_obza"/>
    <x v="14"/>
    <s v="-"/>
    <m/>
    <s v="import"/>
    <s v=""/>
    <b v="0"/>
    <s v=""/>
  </r>
  <r>
    <s v="9579228e-cfa1-483a-9025-92400e729406"/>
    <x v="864"/>
    <s v="15:03"/>
    <x v="1291"/>
    <s v="transfer"/>
    <s v="other"/>
    <s v="rc_acc_1781955063350_i8ms"/>
    <x v="2"/>
    <s v="bread"/>
    <m/>
    <s v="import"/>
    <s v=""/>
    <b v="0"/>
    <s v=""/>
  </r>
  <r>
    <s v="66d22c0f-feb5-465e-bcd9-f61e8edd9587"/>
    <x v="864"/>
    <s v="15:12"/>
    <x v="468"/>
    <s v="transfer"/>
    <s v="other"/>
    <s v="advance"/>
    <x v="37"/>
    <s v="-"/>
    <m/>
    <s v="import"/>
    <s v=""/>
    <b v="0"/>
    <s v=""/>
  </r>
  <r>
    <s v="c19e9337-c3f2-4cc5-b7fe-3af4250bc0fa"/>
    <x v="864"/>
    <s v="15:27"/>
    <x v="1292"/>
    <s v="expense"/>
    <s v="other_1781955063347_5s7r"/>
    <s v="rc_acc_1781955063347_e3zv"/>
    <x v="1"/>
    <s v="Difference"/>
    <m/>
    <s v="import"/>
    <s v=""/>
    <b v="0"/>
    <s v=""/>
  </r>
  <r>
    <s v="c4e1bfa8-d9a6-48db-9f82-8422019cab22"/>
    <x v="865"/>
    <s v="09:29"/>
    <x v="185"/>
    <s v="expense"/>
    <s v="rc_cat_1781955063347_5qjb_1781955063347_tezk"/>
    <s v="rc_acc_1781955063347_uxz4"/>
    <x v="1"/>
    <s v="-"/>
    <m/>
    <s v="import"/>
    <s v=""/>
    <b v="0"/>
    <s v=""/>
  </r>
  <r>
    <s v="b3cd1407-2f12-4186-87b3-50c468b93d68"/>
    <x v="865"/>
    <s v="12:55"/>
    <x v="182"/>
    <s v="expense"/>
    <s v="rc_cat_1781955063347_anhy_1781955063348_k5l1"/>
    <s v="rc_acc_1781955063347_uxz4"/>
    <x v="1"/>
    <s v="-"/>
    <m/>
    <s v="import"/>
    <s v=""/>
    <b v="0"/>
    <s v=""/>
  </r>
  <r>
    <s v="34ce5d73-e3a2-4b16-b350-5919974b2edb"/>
    <x v="865"/>
    <s v="17:19"/>
    <x v="1293"/>
    <s v="expense"/>
    <s v="rc_cat_1781955063347_anhy_1781955063348_k5l1"/>
    <s v="rc_acc_1781955063347_uxz4"/>
    <x v="1"/>
    <s v="-"/>
    <m/>
    <s v="import"/>
    <s v=""/>
    <b v="0"/>
    <s v=""/>
  </r>
  <r>
    <s v="2c763463-8a8b-4fd7-907f-bbde3c491cc9"/>
    <x v="866"/>
    <s v="12:19"/>
    <x v="464"/>
    <s v="expense"/>
    <s v="rc_cat_1781955063347_5qjb_1781955063347_tezk"/>
    <s v="rc_acc_1781955063347_uxz4"/>
    <x v="1"/>
    <s v="-"/>
    <m/>
    <s v="import"/>
    <s v=""/>
    <b v="0"/>
    <s v=""/>
  </r>
  <r>
    <s v="580df699-f5b1-49a6-990b-e2e1cb5214f9"/>
    <x v="866"/>
    <s v="13:20"/>
    <x v="317"/>
    <s v="expense"/>
    <s v="rc_cat_1781955063347_5qjb_1781955063347_tezk"/>
    <s v="rc_acc_1781955063347_uxz4"/>
    <x v="1"/>
    <s v="-"/>
    <m/>
    <s v="import"/>
    <s v=""/>
    <b v="0"/>
    <s v=""/>
  </r>
  <r>
    <s v="bbac58df-c71f-4b6b-95d7-6054c931b9a7"/>
    <x v="866"/>
    <s v="14:34"/>
    <x v="1294"/>
    <s v="expense"/>
    <s v="entertain_1781955063348_kx2f"/>
    <s v="rc_acc_1781955063347_kjxt"/>
    <x v="1"/>
    <s v="usb hub &amp; sfilm"/>
    <m/>
    <s v="import"/>
    <s v=""/>
    <b v="0"/>
    <s v=""/>
  </r>
  <r>
    <s v="52ba6ba0-5083-4641-a96b-bf052ce5ade0"/>
    <x v="867"/>
    <s v="12:08"/>
    <x v="1275"/>
    <s v="expense"/>
    <s v="rc_cat_1781955063347_5qjb_1781955063347_irl1"/>
    <s v="rc_acc_1781955063347_hv85"/>
    <x v="1"/>
    <s v="(5/6)"/>
    <m/>
    <s v="import"/>
    <s v=""/>
    <b v="0"/>
    <s v=""/>
  </r>
  <r>
    <s v="d63ccc91-7d22-45c0-9b1f-721f337fdd8b"/>
    <x v="867"/>
    <s v="12:27"/>
    <x v="185"/>
    <s v="expense"/>
    <s v="rc_cat_1781955063347_5qjb_1781955063347_tezk"/>
    <s v="rc_acc_1781955063347_uxz4"/>
    <x v="1"/>
    <s v="-"/>
    <m/>
    <s v="import"/>
    <s v=""/>
    <b v="0"/>
    <s v=""/>
  </r>
  <r>
    <s v="ea508b84-605f-44b6-aace-70a0447bc279"/>
    <x v="867"/>
    <s v="12:28"/>
    <x v="317"/>
    <s v="expense"/>
    <s v="rc_cat_1781955063347_5qjb_1781955063347_tezk"/>
    <s v="rc_acc_1781955063347_uxz4"/>
    <x v="1"/>
    <s v="-"/>
    <m/>
    <s v="import"/>
    <s v=""/>
    <b v="0"/>
    <s v=""/>
  </r>
  <r>
    <s v="ecfc440b-0ebe-4e5b-ae2b-65e352406002"/>
    <x v="867"/>
    <s v="15:49"/>
    <x v="1248"/>
    <s v="expense"/>
    <s v="rc_cat_1781955063347_5qjb_1781955063348_wpky"/>
    <s v="rc_acc_1781955063347_hv85"/>
    <x v="1"/>
    <s v="(4/6)"/>
    <m/>
    <s v="import"/>
    <s v=""/>
    <b v="0"/>
    <s v=""/>
  </r>
  <r>
    <s v="86505d61-c664-4c97-9138-ba90846d49ee"/>
    <x v="868"/>
    <s v="15:03"/>
    <x v="1295"/>
    <s v="transfer"/>
    <s v="other"/>
    <s v="rc_acc_1781955063350_i8ms"/>
    <x v="2"/>
    <s v="harrods"/>
    <m/>
    <s v="import"/>
    <s v=""/>
    <b v="0"/>
    <s v=""/>
  </r>
  <r>
    <s v="a14a7b8d-636e-4a13-99a8-e28bb5d0290f"/>
    <x v="868"/>
    <s v="16:26"/>
    <x v="1033"/>
    <s v="expense"/>
    <s v="rc_cat_1781955063347_5qjb_1781955063347_tezk"/>
    <s v="rc_acc_1781955063347_uxz4"/>
    <x v="1"/>
    <s v="kfc"/>
    <m/>
    <s v="import"/>
    <s v=""/>
    <b v="0"/>
    <s v=""/>
  </r>
  <r>
    <s v="504de71d-7a75-4d3d-8fe3-2ba83bd16638"/>
    <x v="868"/>
    <s v="17:27"/>
    <x v="1089"/>
    <s v="transfer"/>
    <s v="other"/>
    <s v="rc_acc_1781955063347_uxz4"/>
    <x v="2"/>
    <s v="Mister dougnut"/>
    <m/>
    <s v="import"/>
    <s v=""/>
    <b v="0"/>
    <s v=""/>
  </r>
  <r>
    <s v="d914b16a-882c-4291-9292-3b239cc2be2f"/>
    <x v="868"/>
    <s v="17:42"/>
    <x v="150"/>
    <s v="expense"/>
    <s v="rc_cat_1781955063347_5qjb_1781955063347_tezk"/>
    <s v="rc_acc_1781955063347_e3zv"/>
    <x v="1"/>
    <s v="-"/>
    <m/>
    <s v="import"/>
    <s v=""/>
    <b v="0"/>
    <s v=""/>
  </r>
  <r>
    <s v="6a226d9a-995d-403f-b0f2-b9082c329289"/>
    <x v="869"/>
    <s v="13:43"/>
    <x v="1032"/>
    <s v="expense"/>
    <s v="rc_cat_1781955063347_anhy_1781955063348_k5l1"/>
    <s v="rc_acc_1781955063347_uxz4"/>
    <x v="1"/>
    <s v="-"/>
    <m/>
    <s v="import"/>
    <s v=""/>
    <b v="0"/>
    <s v=""/>
  </r>
  <r>
    <s v="bc15ba1c-1c5b-48c4-a35e-1a2ee7a00ea4"/>
    <x v="870"/>
    <s v="20:08"/>
    <x v="771"/>
    <s v="expense"/>
    <s v="rc_cat_1781955063347_5qjb_1781955063347_tezk"/>
    <s v="rc_acc_1781955063347_uxz4"/>
    <x v="1"/>
    <s v="ค่าข้าววันบอร์ดเกม"/>
    <m/>
    <s v="import"/>
    <s v=""/>
    <b v="0"/>
    <s v=""/>
  </r>
  <r>
    <s v="20db25d5-cf0d-4feb-a634-ff0c25a8a227"/>
    <x v="871"/>
    <s v="11:09"/>
    <x v="1094"/>
    <s v="expense"/>
    <s v="rc_cat_1781955063347_5qjb_1781955063347_tezk"/>
    <s v="rc_acc_1781955063347_uxz4"/>
    <x v="1"/>
    <s v="เกาเหลาเนื้อ"/>
    <m/>
    <s v="import"/>
    <s v=""/>
    <b v="0"/>
    <s v=""/>
  </r>
  <r>
    <s v="636ac99d-32e9-40f6-9081-faed690b1059"/>
    <x v="872"/>
    <s v="14:48"/>
    <x v="1296"/>
    <s v="expense"/>
    <s v="rc_cat_1781955063347_anhy_1781955063347_qnaz"/>
    <s v="rc_acc_1781955063348_w3gp"/>
    <x v="1"/>
    <s v="-"/>
    <m/>
    <s v="import"/>
    <s v=""/>
    <b v="0"/>
    <s v=""/>
  </r>
  <r>
    <s v="26fee5a8-9181-4435-90e4-800de8066905"/>
    <x v="872"/>
    <s v="20:06"/>
    <x v="1297"/>
    <s v="expense"/>
    <s v="rc_cat_1781955063347_04qb_1781955063347_wt5p"/>
    <s v="rc_acc_1781955063347_uxz4"/>
    <x v="1"/>
    <s v="-"/>
    <m/>
    <s v="import"/>
    <s v=""/>
    <b v="0"/>
    <s v=""/>
  </r>
  <r>
    <s v="b37f069c-5f3b-45a5-b1be-ff829efe6ffe"/>
    <x v="872"/>
    <s v="20:06"/>
    <x v="211"/>
    <s v="transfer"/>
    <s v="other"/>
    <s v="rc_acc_1781955063347_uxz4"/>
    <x v="25"/>
    <s v="-"/>
    <m/>
    <s v="import"/>
    <s v=""/>
    <b v="0"/>
    <s v=""/>
  </r>
  <r>
    <s v="c092eb36-332d-401b-9d5f-f5f48dac8501"/>
    <x v="873"/>
    <s v="14:03"/>
    <x v="31"/>
    <s v="transfer"/>
    <s v="other"/>
    <s v="rc_acc_1781955063347_kjxt"/>
    <x v="5"/>
    <s v="กองกลางช่วยออก"/>
    <m/>
    <s v="import"/>
    <s v=""/>
    <b v="0"/>
    <s v=""/>
  </r>
  <r>
    <s v="69f07b34-0b36-4274-8254-457090507e8d"/>
    <x v="873"/>
    <s v="14:24"/>
    <x v="604"/>
    <s v="expense"/>
    <s v="rc_cat_1781955063347_5qjb_1781955063348_xqml"/>
    <s v="rc_acc_1781955063347_uxz4"/>
    <x v="1"/>
    <s v="-"/>
    <m/>
    <s v="import"/>
    <s v=""/>
    <b v="0"/>
    <s v=""/>
  </r>
  <r>
    <s v="07627887-d850-4f57-aa4d-150e6ebc7843"/>
    <x v="874"/>
    <s v="00:00"/>
    <x v="8"/>
    <s v="transfer"/>
    <s v="other"/>
    <s v="rc_acc_1781955063347_uxz4"/>
    <x v="25"/>
    <s v="-"/>
    <m/>
    <s v="import"/>
    <s v=""/>
    <b v="0"/>
    <s v=""/>
  </r>
  <r>
    <s v="4735b3d3-4c8d-40f7-ace7-5acbe1a5f613"/>
    <x v="874"/>
    <s v="12:51"/>
    <x v="1298"/>
    <s v="transfer"/>
    <s v="other"/>
    <s v="rc_acc_1781955063347_kjxt"/>
    <x v="2"/>
    <s v="tsuta"/>
    <m/>
    <s v="import"/>
    <s v=""/>
    <b v="0"/>
    <s v=""/>
  </r>
  <r>
    <s v="874100a5-03ff-4d77-b793-3cd2391e5ca4"/>
    <x v="874"/>
    <s v="14:39"/>
    <x v="932"/>
    <s v="income"/>
    <s v="income_1781955063347_zblt"/>
    <s v="rc_acc_1781955063347_kjxt"/>
    <x v="1"/>
    <s v="-"/>
    <m/>
    <s v="import"/>
    <s v=""/>
    <b v="0"/>
    <s v=""/>
  </r>
  <r>
    <s v="0125647a-93e8-412e-aaef-9f809cb31e12"/>
    <x v="874"/>
    <s v="14:48"/>
    <x v="1299"/>
    <s v="transfer"/>
    <s v="other"/>
    <s v="rc_acc_1781955063348_w3gp"/>
    <x v="2"/>
    <s v="-"/>
    <m/>
    <s v="import"/>
    <s v=""/>
    <b v="0"/>
    <s v=""/>
  </r>
  <r>
    <s v="86db2cee-9ced-461a-b8de-76637418d2e0"/>
    <x v="874"/>
    <s v="15:02"/>
    <x v="883"/>
    <s v="transfer"/>
    <s v="other"/>
    <s v="rc_acc_1781955063348_u1qk"/>
    <x v="2"/>
    <s v="-"/>
    <m/>
    <s v="import"/>
    <s v=""/>
    <b v="0"/>
    <s v=""/>
  </r>
  <r>
    <s v="001282c3-bf21-4c64-bc8f-78baa28eddaf"/>
    <x v="874"/>
    <s v="16:12"/>
    <x v="22"/>
    <s v="transfer"/>
    <s v="other"/>
    <s v="rc_acc_1781955063347_e3zv"/>
    <x v="5"/>
    <s v="-"/>
    <m/>
    <s v="import"/>
    <s v=""/>
    <b v="0"/>
    <s v=""/>
  </r>
  <r>
    <s v="26dd7a58-6248-41bf-9190-2f41233d4056"/>
    <x v="874"/>
    <s v="16:12"/>
    <x v="211"/>
    <s v="transfer"/>
    <s v="other"/>
    <s v="rc_acc_1781955063347_uxz4"/>
    <x v="12"/>
    <s v="-"/>
    <m/>
    <s v="import"/>
    <s v=""/>
    <b v="0"/>
    <s v=""/>
  </r>
  <r>
    <s v="63725e88-192c-42bc-9e56-a43394ff1724"/>
    <x v="874"/>
    <s v="16:13"/>
    <x v="1300"/>
    <s v="expense"/>
    <s v="rc_cat_1781955063347_5qjb_1781955063348_wpky"/>
    <s v="rc_acc_1781955063347_uxz4"/>
    <x v="1"/>
    <s v="น้ำหอม"/>
    <m/>
    <s v="import"/>
    <s v=""/>
    <b v="0"/>
    <s v=""/>
  </r>
  <r>
    <s v="91c2aa95-bd49-42a5-abfa-95bb894919b4"/>
    <x v="874"/>
    <s v="16:51"/>
    <x v="1301"/>
    <s v="expense"/>
    <s v="entertain_1781955063348_32wr"/>
    <s v="rc_acc_1781955063347_kjxt"/>
    <x v="1"/>
    <s v="salt"/>
    <m/>
    <s v="import"/>
    <s v=""/>
    <b v="0"/>
    <s v=""/>
  </r>
  <r>
    <s v="fdeb8193-4ba8-4d8b-8cf7-b254e0465561"/>
    <x v="875"/>
    <s v="14:57"/>
    <x v="1296"/>
    <s v="expense"/>
    <s v="rc_cat_1781955063347_anhy_1781955063347_qnaz"/>
    <s v="rc_acc_1781955063347_sv7p"/>
    <x v="1"/>
    <s v="-"/>
    <m/>
    <s v="import"/>
    <s v=""/>
    <b v="0"/>
    <s v=""/>
  </r>
  <r>
    <s v="8111740c-61cd-4a07-a792-09fceb2ee3a8"/>
    <x v="875"/>
    <s v="15:13"/>
    <x v="1302"/>
    <s v="transfer"/>
    <s v="other"/>
    <s v="rc_acc_1781955063348_w3gp"/>
    <x v="2"/>
    <s v="ยอดถึง 27 apr"/>
    <m/>
    <s v="import"/>
    <s v=""/>
    <b v="0"/>
    <s v=""/>
  </r>
  <r>
    <s v="684c4f6c-e5bb-4cf5-8491-cfbbe0de9aa5"/>
    <x v="875"/>
    <s v="15:15"/>
    <x v="1296"/>
    <s v="income"/>
    <s v="other_1781955063347_5s7r"/>
    <s v="rc_acc_1781955063347_sv7p"/>
    <x v="1"/>
    <s v="บัญชีแม่จ่ายเอง"/>
    <m/>
    <s v="import"/>
    <s v=""/>
    <b v="0"/>
    <s v=""/>
  </r>
  <r>
    <s v="8dd145f3-1322-407c-8df6-18ef63722334"/>
    <x v="876"/>
    <s v="18:30"/>
    <x v="1018"/>
    <s v="transfer"/>
    <s v="other"/>
    <s v="rc_acc_1781955063347_e3zv"/>
    <x v="5"/>
    <s v="-"/>
    <m/>
    <s v="import"/>
    <s v=""/>
    <b v="0"/>
    <s v=""/>
  </r>
  <r>
    <s v="3f9dd57e-b8e8-4957-9267-050259778eb3"/>
    <x v="876"/>
    <s v="18:31"/>
    <x v="749"/>
    <s v="transfer"/>
    <s v="other"/>
    <s v="rc_acc_1781955063349_mitc"/>
    <x v="5"/>
    <s v="-"/>
    <m/>
    <s v="import"/>
    <s v=""/>
    <b v="0"/>
    <s v=""/>
  </r>
  <r>
    <s v="426551e5-1bc9-4e43-9324-acde8bbca038"/>
    <x v="877"/>
    <s v="08:32"/>
    <x v="1303"/>
    <s v="transfer"/>
    <s v="other"/>
    <s v="rc_acc_1781955063349_mitc"/>
    <x v="5"/>
    <s v="-"/>
    <m/>
    <s v="import"/>
    <s v=""/>
    <b v="0"/>
    <s v=""/>
  </r>
  <r>
    <s v="f9ca350a-6c78-461e-8dce-1e10610df21a"/>
    <x v="877"/>
    <s v="10:32"/>
    <x v="766"/>
    <s v="transfer"/>
    <s v="other"/>
    <s v="rc_acc_1781955063347_kjxt"/>
    <x v="5"/>
    <s v="-"/>
    <m/>
    <s v="import"/>
    <s v=""/>
    <b v="0"/>
    <s v=""/>
  </r>
  <r>
    <s v="166d0c53-37a0-4a69-8ff4-41993c72ca15"/>
    <x v="877"/>
    <s v="14:49"/>
    <x v="501"/>
    <s v="transfer"/>
    <s v="other"/>
    <s v="rc_acc_1781955063347_kjxt"/>
    <x v="2"/>
    <s v="-"/>
    <m/>
    <s v="import"/>
    <s v=""/>
    <b v="0"/>
    <s v=""/>
  </r>
  <r>
    <s v="df049ce6-9389-4958-a778-98c2feba467d"/>
    <x v="878"/>
    <s v="00:00"/>
    <x v="1028"/>
    <s v="income"/>
    <s v="income_1781955063347_5zxt"/>
    <s v="rc_acc_1781955063347_uxz4"/>
    <x v="1"/>
    <s v="-"/>
    <m/>
    <s v="import"/>
    <s v=""/>
    <b v="0"/>
    <s v=""/>
  </r>
  <r>
    <s v="03d2346a-97d8-4133-b855-a9d479e9e897"/>
    <x v="878"/>
    <s v="00:00"/>
    <x v="1304"/>
    <s v="expense"/>
    <s v="rc_cat_1781955063347_04qb_1781955063347_lu9b"/>
    <s v="rc_acc_1781955063347_uxz4"/>
    <x v="1"/>
    <s v="-"/>
    <m/>
    <s v="import"/>
    <s v=""/>
    <b v="0"/>
    <s v=""/>
  </r>
  <r>
    <s v="d48b01e2-f555-4c68-bf15-224c9ec1c79d"/>
    <x v="878"/>
    <s v="00:00"/>
    <x v="1305"/>
    <s v="expense"/>
    <s v="rc_cat_1781955063347_04qb_1781955063347_kgnn"/>
    <s v="rc_acc_1781955063347_uxz4"/>
    <x v="1"/>
    <s v="-"/>
    <m/>
    <s v="import"/>
    <s v=""/>
    <b v="0"/>
    <s v=""/>
  </r>
  <r>
    <s v="f92b4229-5679-4f77-8618-1df208c4eaab"/>
    <x v="878"/>
    <s v="00:00"/>
    <x v="1025"/>
    <s v="transfer"/>
    <s v="other"/>
    <s v="rc_acc_1781955063347_uxz4"/>
    <x v="8"/>
    <s v="-"/>
    <m/>
    <s v="import"/>
    <s v=""/>
    <b v="0"/>
    <s v=""/>
  </r>
  <r>
    <s v="72e89763-091b-423e-9ef4-09a04a4e0e68"/>
    <x v="878"/>
    <s v="00:00"/>
    <x v="31"/>
    <s v="transfer"/>
    <s v="other"/>
    <s v="rc_acc_1781955063347_uxz4"/>
    <x v="7"/>
    <s v="-"/>
    <m/>
    <s v="import"/>
    <s v=""/>
    <b v="0"/>
    <s v=""/>
  </r>
  <r>
    <s v="ad0b8e9a-834d-4f68-9d4d-89dbcd732238"/>
    <x v="878"/>
    <s v="00:00"/>
    <x v="1169"/>
    <s v="transfer"/>
    <s v="other"/>
    <s v="rc_acc_1781955063347_uxz4"/>
    <x v="20"/>
    <s v="-"/>
    <m/>
    <s v="import"/>
    <s v=""/>
    <b v="0"/>
    <s v=""/>
  </r>
  <r>
    <s v="57d0fad3-32f8-42b2-8620-1202d038ca23"/>
    <x v="878"/>
    <s v="00:00"/>
    <x v="128"/>
    <s v="transfer"/>
    <s v="other"/>
    <s v="rc_acc_1781955063347_uxz4"/>
    <x v="21"/>
    <s v="-"/>
    <m/>
    <s v="import"/>
    <s v=""/>
    <b v="0"/>
    <s v=""/>
  </r>
  <r>
    <s v="4d0fc574-65b9-4fd6-9bdc-2249bb1f4c19"/>
    <x v="878"/>
    <s v="10:42"/>
    <x v="1306"/>
    <s v="income"/>
    <s v="income_1781955063347_zblt"/>
    <s v="rc_acc_1781955063347_uxz4"/>
    <x v="1"/>
    <s v="-"/>
    <m/>
    <s v="import"/>
    <s v=""/>
    <b v="0"/>
    <s v=""/>
  </r>
  <r>
    <s v="aa5934cf-3caa-458c-8c31-ce09827de974"/>
    <x v="878"/>
    <s v="14:40"/>
    <x v="1307"/>
    <s v="expense"/>
    <s v="other_1781955063348_27zj"/>
    <s v="rc_acc_1781955063347_uxz4"/>
    <x v="1"/>
    <s v="-"/>
    <m/>
    <s v="import"/>
    <s v=""/>
    <b v="0"/>
    <s v=""/>
  </r>
  <r>
    <s v="c06a470e-c931-4ffd-9279-007025b66959"/>
    <x v="879"/>
    <s v="14:47"/>
    <x v="372"/>
    <s v="transfer"/>
    <s v="other"/>
    <s v="rc_acc_1781955063347_kjxt"/>
    <x v="2"/>
    <s v="-"/>
    <m/>
    <s v="import"/>
    <s v=""/>
    <b v="0"/>
    <s v=""/>
  </r>
  <r>
    <s v="fa3f3a57-ce6f-44df-a87e-78a700ad1ba1"/>
    <x v="879"/>
    <s v="18:42"/>
    <x v="1308"/>
    <s v="expense"/>
    <s v="entertain_1781955063348_kx2f"/>
    <s v="rc_acc_1781955063350_i8ms"/>
    <x v="1"/>
    <s v="-"/>
    <m/>
    <s v="import"/>
    <s v=""/>
    <b v="0"/>
    <s v=""/>
  </r>
  <r>
    <s v="c0ef192b-b3f7-495c-99c1-1be59b1d3eaf"/>
    <x v="880"/>
    <s v="00:00"/>
    <x v="146"/>
    <s v="expense"/>
    <s v="rc_cat_1781955063347_5qjb_1781955063347_tezk"/>
    <s v="rc_acc_1781955063347_uxz4"/>
    <x v="1"/>
    <s v="-"/>
    <m/>
    <s v="import"/>
    <s v=""/>
    <b v="0"/>
    <s v=""/>
  </r>
  <r>
    <s v="a4c52004-3bb0-49a1-9dbd-9dc7bf773a8d"/>
    <x v="881"/>
    <s v="15:06"/>
    <x v="424"/>
    <s v="transfer"/>
    <s v="other"/>
    <s v="rc_acc_1781955063348_u1qk"/>
    <x v="2"/>
    <s v="-"/>
    <m/>
    <s v="import"/>
    <s v=""/>
    <b v="0"/>
    <s v=""/>
  </r>
  <r>
    <s v="a0f8fd2b-4599-4141-989f-055bf2f446da"/>
    <x v="882"/>
    <s v="00:00"/>
    <x v="768"/>
    <s v="expense"/>
    <s v="rc_cat_1781955063347_5qjb_1781955063347_tezk"/>
    <s v="rc_acc_1781955063347_uxz4"/>
    <x v="1"/>
    <s v="-"/>
    <m/>
    <s v="import"/>
    <s v=""/>
    <b v="0"/>
    <s v=""/>
  </r>
  <r>
    <s v="19bf6295-b653-4265-9a57-9d7780b5efa6"/>
    <x v="883"/>
    <s v="14:45"/>
    <x v="465"/>
    <s v="income"/>
    <s v="income_1781955063347_zblt"/>
    <s v="rc_acc_1781955063347_kjxt"/>
    <x v="1"/>
    <s v="-"/>
    <m/>
    <s v="import"/>
    <s v=""/>
    <b v="0"/>
    <s v=""/>
  </r>
  <r>
    <s v="d2ab883c-09d0-4d5b-b5e5-851c06b11b41"/>
    <x v="884"/>
    <s v="14:52"/>
    <x v="571"/>
    <s v="expense"/>
    <s v="entertain_1781955063348_kx2f"/>
    <s v="rc_acc_1781955063347_hv85"/>
    <x v="1"/>
    <s v="11 bit"/>
    <m/>
    <s v="import"/>
    <s v=""/>
    <b v="0"/>
    <s v=""/>
  </r>
  <r>
    <s v="dea9b54b-7ce6-430b-9dbb-3b01f841a27a"/>
    <x v="884"/>
    <s v="14:53"/>
    <x v="221"/>
    <s v="expense"/>
    <s v="entertain_1781955063348_kx2f"/>
    <s v="rc_acc_1781955063347_hv85"/>
    <x v="1"/>
    <s v="-"/>
    <m/>
    <s v="import"/>
    <s v=""/>
    <b v="0"/>
    <s v=""/>
  </r>
  <r>
    <s v="d249322f-0bcd-4280-b32e-7ef5bd2c1d37"/>
    <x v="885"/>
    <s v="12:32"/>
    <x v="805"/>
    <s v="expense"/>
    <s v="rc_cat_1781955063347_5qjb_1781955063347_tezk"/>
    <s v="rc_acc_1781955063347_uxz4"/>
    <x v="1"/>
    <s v="-"/>
    <m/>
    <s v="import"/>
    <s v=""/>
    <b v="0"/>
    <s v=""/>
  </r>
  <r>
    <s v="dbaf7030-a8e1-489e-ae29-36a6ca21e2ed"/>
    <x v="885"/>
    <s v="12:51"/>
    <x v="35"/>
    <s v="transfer"/>
    <s v="other"/>
    <s v="rc_acc_1781955063347_uxz4"/>
    <x v="15"/>
    <s v="-"/>
    <m/>
    <s v="import"/>
    <s v=""/>
    <b v="0"/>
    <s v=""/>
  </r>
  <r>
    <s v="737aa1c0-e1a2-4a0e-b36e-5816eead047c"/>
    <x v="885"/>
    <s v="12:52"/>
    <x v="1309"/>
    <s v="transfer"/>
    <s v="other"/>
    <s v="rc_acc_1781955063348_obza"/>
    <x v="14"/>
    <s v="-"/>
    <m/>
    <s v="import"/>
    <s v=""/>
    <b v="0"/>
    <s v=""/>
  </r>
  <r>
    <s v="479bf413-b3e6-412b-84b1-e642b822925a"/>
    <x v="885"/>
    <s v="12:56"/>
    <x v="1310"/>
    <s v="expense"/>
    <s v="rc_cat_1781955063347_5qjb_1781955063347_tezk"/>
    <s v="kbank"/>
    <x v="1"/>
    <s v="-"/>
    <m/>
    <s v="import"/>
    <s v=""/>
    <b v="0"/>
    <s v=""/>
  </r>
  <r>
    <s v="b660e91c-70e5-4565-aa78-c7ae1b97da22"/>
    <x v="886"/>
    <s v="12:35"/>
    <x v="1311"/>
    <s v="transfer"/>
    <s v="other"/>
    <s v="rc_acc_1781955063347_kjxt"/>
    <x v="2"/>
    <s v="mk gold buffet"/>
    <m/>
    <s v="import"/>
    <s v=""/>
    <b v="0"/>
    <s v=""/>
  </r>
  <r>
    <s v="908f0c09-c208-451d-8612-2994cdfae58d"/>
    <x v="887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c61d2643-fa63-4ba6-bb4a-4269ea2f79cb"/>
    <x v="887"/>
    <s v="00:00"/>
    <x v="387"/>
    <s v="transfer"/>
    <s v="other"/>
    <s v="rc_acc_1781955063347_uxz4"/>
    <x v="17"/>
    <s v="-"/>
    <m/>
    <s v="import"/>
    <s v=""/>
    <b v="0"/>
    <s v=""/>
  </r>
  <r>
    <s v="41662c70-6bba-4049-83cd-f2132ec03043"/>
    <x v="887"/>
    <s v="16:38"/>
    <x v="1312"/>
    <s v="transfer"/>
    <s v="other"/>
    <s v="rc_acc_1781955063347_kjxt"/>
    <x v="2"/>
    <s v="-"/>
    <m/>
    <s v="import"/>
    <s v=""/>
    <b v="0"/>
    <s v=""/>
  </r>
  <r>
    <s v="4bc79979-b54b-42cc-8bfd-0e57b84e2b0a"/>
    <x v="888"/>
    <s v="12:45"/>
    <x v="1313"/>
    <s v="transfer"/>
    <s v="other"/>
    <s v="rc_acc_1781955063347_uxz4"/>
    <x v="2"/>
    <s v="369 เนื้อ"/>
    <m/>
    <s v="import"/>
    <s v=""/>
    <b v="0"/>
    <s v=""/>
  </r>
  <r>
    <s v="bfa24d73-1777-4ff5-8e0a-92750bc6f0dc"/>
    <x v="888"/>
    <s v="13:05"/>
    <x v="768"/>
    <s v="expense"/>
    <s v="rc_cat_1781955063347_5qjb_1781955063347_tezk"/>
    <s v="rc_acc_1781955063347_uxz4"/>
    <x v="1"/>
    <s v="nana"/>
    <m/>
    <s v="import"/>
    <s v=""/>
    <b v="0"/>
    <s v=""/>
  </r>
  <r>
    <s v="1beff15b-a333-487f-8a49-13ccf17fa35e"/>
    <x v="888"/>
    <s v="20:34"/>
    <x v="1314"/>
    <s v="transfer"/>
    <s v="other"/>
    <s v="rc_acc_1781955063347_kjxt"/>
    <x v="2"/>
    <s v="fallabella"/>
    <m/>
    <s v="import"/>
    <s v=""/>
    <b v="0"/>
    <s v=""/>
  </r>
  <r>
    <s v="0d0e4344-2c28-4611-b2f9-6e39e8b9cb90"/>
    <x v="888"/>
    <s v="21:45"/>
    <x v="1315"/>
    <s v="expense"/>
    <s v="rc_cat_1781955063347_5qjb_1781955063347_tezk"/>
    <s v="advance"/>
    <x v="1"/>
    <s v="เนื้อ กับฟาราเบล เฉพาะยอดเรา 650 +985"/>
    <m/>
    <s v="import"/>
    <s v=""/>
    <b v="0"/>
    <s v=""/>
  </r>
  <r>
    <s v="fe7f3f98-e9bd-492a-9b55-a3c71674c665"/>
    <x v="888"/>
    <s v="23:30"/>
    <x v="1316"/>
    <s v="transfer"/>
    <s v="other"/>
    <s v="advance"/>
    <x v="5"/>
    <s v="กับข้าวกับปลา"/>
    <m/>
    <s v="import"/>
    <s v=""/>
    <b v="0"/>
    <s v=""/>
  </r>
  <r>
    <s v="b189706c-7eaf-49e1-91a6-1b47e37d56a5"/>
    <x v="888"/>
    <s v="23:39"/>
    <x v="1317"/>
    <s v="transfer"/>
    <s v="other"/>
    <s v="advance"/>
    <x v="5"/>
    <s v="ริด วัด นิว โอนให้"/>
    <m/>
    <s v="import"/>
    <s v=""/>
    <b v="0"/>
    <s v=""/>
  </r>
  <r>
    <s v="bdc747ff-94e3-45e1-8129-44ed6da365a9"/>
    <x v="889"/>
    <s v="12:36"/>
    <x v="769"/>
    <s v="transfer"/>
    <s v="other"/>
    <s v="rc_acc_1781955063347_kjxt"/>
    <x v="2"/>
    <s v="grab"/>
    <m/>
    <s v="import"/>
    <s v=""/>
    <b v="0"/>
    <s v=""/>
  </r>
  <r>
    <s v="4cf33432-0df8-4c4c-9f0a-294df4383424"/>
    <x v="890"/>
    <s v="12:08"/>
    <x v="1275"/>
    <s v="expense"/>
    <s v="rc_cat_1781955063347_5qjb_1781955063347_irl1"/>
    <s v="rc_acc_1781955063347_hv85"/>
    <x v="1"/>
    <s v="(4/6)"/>
    <m/>
    <s v="import"/>
    <s v=""/>
    <b v="0"/>
    <s v=""/>
  </r>
  <r>
    <s v="fcc1c8cf-d833-42d5-ad55-cd644b28ba9b"/>
    <x v="890"/>
    <s v="15:49"/>
    <x v="1248"/>
    <s v="expense"/>
    <s v="rc_cat_1781955063347_5qjb_1781955063348_wpky"/>
    <s v="rc_acc_1781955063347_hv85"/>
    <x v="1"/>
    <s v="(3/6)"/>
    <m/>
    <s v="import"/>
    <s v=""/>
    <b v="0"/>
    <s v=""/>
  </r>
  <r>
    <s v="fbabd8fd-3506-4ea0-b329-259883cdfef1"/>
    <x v="890"/>
    <s v="16:15"/>
    <x v="1318"/>
    <s v="expense"/>
    <s v="rc_cat_1781955063347_anhy_1781955063347_qnaz"/>
    <s v="rc_acc_1781955063347_uxz4"/>
    <x v="1"/>
    <s v="บ้านกาแฟ"/>
    <m/>
    <s v="import"/>
    <s v=""/>
    <b v="0"/>
    <s v=""/>
  </r>
  <r>
    <s v="00a9bc8e-4c51-4471-acd2-af565e7e57b2"/>
    <x v="890"/>
    <s v="20:55"/>
    <x v="26"/>
    <s v="transfer"/>
    <s v="other"/>
    <s v="rc_acc_1781955063347_uxz4"/>
    <x v="12"/>
    <s v="เคลียยอดฟาร์มสมใจ"/>
    <m/>
    <s v="import"/>
    <s v=""/>
    <b v="0"/>
    <s v=""/>
  </r>
  <r>
    <s v="9d74c56e-ef33-45c4-8ed5-f9439dfcaffa"/>
    <x v="890"/>
    <s v="22:38"/>
    <x v="594"/>
    <s v="expense"/>
    <s v="rc_cat_1781955063347_anhy_1781955063347_qnaz"/>
    <s v="rc_acc_1781955063347_uxz4"/>
    <x v="1"/>
    <s v="ฟาร์มสมใจ"/>
    <m/>
    <s v="import"/>
    <s v=""/>
    <b v="0"/>
    <s v=""/>
  </r>
  <r>
    <s v="dbf97fa0-1d46-43c8-9765-9c235f681566"/>
    <x v="891"/>
    <s v="12:32"/>
    <x v="183"/>
    <s v="expense"/>
    <s v="rc_cat_1781955063347_anhy_1781955063350_fcpb"/>
    <s v="rc_acc_1781955063347_uxz4"/>
    <x v="1"/>
    <s v="natura cafe"/>
    <m/>
    <s v="import"/>
    <s v=""/>
    <b v="0"/>
    <s v=""/>
  </r>
  <r>
    <s v="85fabc92-7f69-416e-b598-60af2e9afb95"/>
    <x v="891"/>
    <s v="15:35"/>
    <x v="1319"/>
    <s v="transfer"/>
    <s v="other"/>
    <s v="rc_acc_1781955063347_e3zv"/>
    <x v="5"/>
    <s v="-"/>
    <m/>
    <s v="import"/>
    <s v=""/>
    <b v="0"/>
    <s v=""/>
  </r>
  <r>
    <s v="633fc7a7-b871-478e-a0e2-3b60f704a367"/>
    <x v="891"/>
    <s v="16:01"/>
    <x v="1320"/>
    <s v="expense"/>
    <s v="entertain_1781955063348_32wr"/>
    <s v="rc_acc_1781955063347_uxz4"/>
    <x v="1"/>
    <s v="books uob"/>
    <m/>
    <s v="import"/>
    <s v=""/>
    <b v="0"/>
    <s v=""/>
  </r>
  <r>
    <s v="d2ace294-31e8-4edd-89e4-d12bd81bea13"/>
    <x v="891"/>
    <s v="18:02"/>
    <x v="169"/>
    <s v="expense"/>
    <s v="rc_cat_1781955063347_5qjb_1781955063347_tezk"/>
    <s v="rc_acc_1781955063349_mitc"/>
    <x v="1"/>
    <s v="-"/>
    <m/>
    <s v="import"/>
    <s v=""/>
    <b v="0"/>
    <s v=""/>
  </r>
  <r>
    <s v="fc4d9cb6-df90-4e2f-aff1-afaf080f0114"/>
    <x v="892"/>
    <s v="15:36"/>
    <x v="26"/>
    <s v="transfer"/>
    <s v="other"/>
    <s v="rc_acc_1781955063347_uxz4"/>
    <x v="25"/>
    <s v="-"/>
    <m/>
    <s v="import"/>
    <s v=""/>
    <b v="0"/>
    <s v=""/>
  </r>
  <r>
    <s v="db09eb66-5f13-4c8f-a04d-19da07eb48a5"/>
    <x v="892"/>
    <s v="15:36"/>
    <x v="26"/>
    <s v="transfer"/>
    <s v="other"/>
    <s v="rc_acc_1781955063347_uxz4"/>
    <x v="4"/>
    <s v="-"/>
    <m/>
    <s v="import"/>
    <s v=""/>
    <b v="0"/>
    <s v=""/>
  </r>
  <r>
    <s v="99a7830e-4ad7-4776-a5fa-b79cfbd9ba41"/>
    <x v="892"/>
    <s v="16:07"/>
    <x v="1321"/>
    <s v="transfer"/>
    <s v="other"/>
    <s v="kbank"/>
    <x v="2"/>
    <s v="-"/>
    <m/>
    <s v="import"/>
    <s v=""/>
    <b v="0"/>
    <s v=""/>
  </r>
  <r>
    <s v="de9a7a97-8a83-4bc4-b022-3ba0f57ca209"/>
    <x v="893"/>
    <s v="08:35"/>
    <x v="1101"/>
    <s v="expense"/>
    <s v="entertain_1781955063347_8r8e"/>
    <s v="rc_acc_1781955063347_uxz4"/>
    <x v="1"/>
    <s v="atk"/>
    <m/>
    <s v="import"/>
    <s v=""/>
    <b v="0"/>
    <s v=""/>
  </r>
  <r>
    <s v="ce6d254b-faaf-46ce-86ff-8791bb0a3457"/>
    <x v="893"/>
    <s v="18:35"/>
    <x v="786"/>
    <s v="expense"/>
    <s v="rc_cat_1781955063347_5qjb_1781955063347_tezk"/>
    <s v="rc_acc_1781955063347_uxz4"/>
    <x v="1"/>
    <s v="standard burger"/>
    <m/>
    <s v="import"/>
    <s v=""/>
    <b v="0"/>
    <s v=""/>
  </r>
  <r>
    <s v="210cb3ac-7bb6-4add-a16f-94e2aa4e00bf"/>
    <x v="894"/>
    <s v="00:47"/>
    <x v="1322"/>
    <s v="expense"/>
    <s v="entertain_1781955063347_8r8e"/>
    <s v="rc_acc_1781955063347_kjxt"/>
    <x v="1"/>
    <s v="powergrid boardgame"/>
    <m/>
    <s v="import"/>
    <s v=""/>
    <b v="0"/>
    <s v=""/>
  </r>
  <r>
    <s v="7fab9d66-99b0-4aa2-9a8b-2935873df058"/>
    <x v="894"/>
    <s v="00:48"/>
    <x v="1323"/>
    <s v="expense"/>
    <s v="rc_cat_1781955063347_s4sz_1781955063347_deos"/>
    <s v="rc_acc_1781955063347_kjxt"/>
    <x v="1"/>
    <s v="ชั้นวางจอคอม"/>
    <m/>
    <s v="import"/>
    <s v=""/>
    <b v="0"/>
    <s v=""/>
  </r>
  <r>
    <s v="fb6e4bb0-0316-4394-b53a-e38c20352043"/>
    <x v="894"/>
    <s v="00:49"/>
    <x v="265"/>
    <s v="expense"/>
    <s v="rc_cat_1781955063347_s4sz_1781955063347_9tpp"/>
    <s v="rc_acc_1781955063347_kjxt"/>
    <x v="1"/>
    <s v="ไม้แขวน กางเกง สาย hdmi"/>
    <m/>
    <s v="import"/>
    <s v=""/>
    <b v="0"/>
    <s v=""/>
  </r>
  <r>
    <s v="655305b4-6dff-47b0-800b-e00afe263455"/>
    <x v="894"/>
    <s v="09:32"/>
    <x v="22"/>
    <s v="expense"/>
    <s v="rc_cat_1781955063347_5qjb_1781955063347_tezk"/>
    <s v="rc_acc_1781955063347_uxz4"/>
    <x v="1"/>
    <s v="-"/>
    <m/>
    <s v="import"/>
    <s v=""/>
    <b v="0"/>
    <s v=""/>
  </r>
  <r>
    <s v="865c380b-654a-4f11-a743-cd1a73ac2863"/>
    <x v="894"/>
    <s v="11:33"/>
    <x v="865"/>
    <s v="expense"/>
    <s v="rc_cat_1781955063347_5qjb_1781955063347_tezk"/>
    <s v="rc_acc_1781955063347_uxz4"/>
    <x v="1"/>
    <s v="standard burger"/>
    <m/>
    <s v="import"/>
    <s v=""/>
    <b v="0"/>
    <s v=""/>
  </r>
  <r>
    <s v="365aa4a8-17a4-4ff1-a47a-7597a75ef013"/>
    <x v="894"/>
    <s v="13:25"/>
    <x v="155"/>
    <s v="expense"/>
    <s v="entertain_1781955063348_32wr"/>
    <s v="rc_acc_1781955063347_uxz4"/>
    <x v="1"/>
    <s v="-"/>
    <m/>
    <s v="import"/>
    <s v=""/>
    <b v="0"/>
    <s v=""/>
  </r>
  <r>
    <s v="7c62cfd3-8052-4803-97bd-77acd9922cdf"/>
    <x v="894"/>
    <s v="16:34"/>
    <x v="74"/>
    <s v="expense"/>
    <s v="rc_cat_1781955063347_5qjb_1781955063347_tezk"/>
    <s v="rc_acc_1781955063347_uxz4"/>
    <x v="1"/>
    <s v="-"/>
    <m/>
    <s v="import"/>
    <s v=""/>
    <b v="0"/>
    <s v=""/>
  </r>
  <r>
    <s v="96249e0d-dc38-4376-9e70-2441704c707a"/>
    <x v="895"/>
    <s v="01:32"/>
    <x v="19"/>
    <s v="transfer"/>
    <s v="other"/>
    <s v="rc_acc_1781955063347_uxz4"/>
    <x v="16"/>
    <s v="-"/>
    <m/>
    <s v="import"/>
    <s v=""/>
    <b v="0"/>
    <s v=""/>
  </r>
  <r>
    <s v="33f4ba77-1ffc-476a-82f7-b8f0b64c8585"/>
    <x v="896"/>
    <s v="12:41"/>
    <x v="778"/>
    <s v="expense"/>
    <s v="rc_cat_1781955063347_5qjb_1781955063347_tezk"/>
    <s v="kbank"/>
    <x v="1"/>
    <s v="-"/>
    <m/>
    <s v="import"/>
    <s v=""/>
    <b v="0"/>
    <s v=""/>
  </r>
  <r>
    <s v="2075170f-c545-4806-a58c-917d0cc2debd"/>
    <x v="897"/>
    <s v="12:52"/>
    <x v="185"/>
    <s v="income"/>
    <s v="income_1781955063347_zblt"/>
    <s v="rc_acc_1781955063347_hv85"/>
    <x v="1"/>
    <s v="-"/>
    <m/>
    <s v="import"/>
    <s v=""/>
    <b v="0"/>
    <s v=""/>
  </r>
  <r>
    <s v="a01daf6f-00e6-4572-bc14-03fd397ad5e4"/>
    <x v="897"/>
    <s v="15:39"/>
    <x v="1324"/>
    <s v="transfer"/>
    <s v="other"/>
    <s v="advance"/>
    <x v="14"/>
    <s v="จ่ายคืน"/>
    <m/>
    <s v="import"/>
    <s v=""/>
    <b v="0"/>
    <s v=""/>
  </r>
  <r>
    <s v="a0ff9c8b-853b-4155-a763-93065140328a"/>
    <x v="897"/>
    <s v="17:14"/>
    <x v="175"/>
    <s v="expense"/>
    <s v="rc_cat_1781955063347_5qjb_1781955063347_tezk"/>
    <s v="rc_acc_1781955063348_998o"/>
    <x v="1"/>
    <s v="-"/>
    <m/>
    <s v="import"/>
    <s v=""/>
    <b v="0"/>
    <s v=""/>
  </r>
  <r>
    <s v="c924b6f7-4c18-4fce-8443-c277e25ece3b"/>
    <x v="897"/>
    <s v="17:15"/>
    <x v="1325"/>
    <s v="expense"/>
    <s v="rc_cat_1781955063347_5qjb_1781955063347_tezk"/>
    <s v="rc_acc_1781955063347_uxz4"/>
    <x v="1"/>
    <s v="-"/>
    <m/>
    <s v="import"/>
    <s v=""/>
    <b v="0"/>
    <s v=""/>
  </r>
  <r>
    <s v="d8d5cfd1-469f-46ab-ac5d-722a0ed80b58"/>
    <x v="897"/>
    <s v="17:15"/>
    <x v="412"/>
    <s v="transfer"/>
    <s v="other"/>
    <s v="rc_acc_1781955063347_hv85"/>
    <x v="5"/>
    <s v="-"/>
    <m/>
    <s v="import"/>
    <s v=""/>
    <b v="0"/>
    <s v=""/>
  </r>
  <r>
    <s v="26036073-5c30-415c-825c-44cd30f72146"/>
    <x v="897"/>
    <s v="21:31"/>
    <x v="1326"/>
    <s v="transfer"/>
    <s v="other"/>
    <s v="advance"/>
    <x v="5"/>
    <s v="pepper lunch"/>
    <m/>
    <s v="import"/>
    <s v=""/>
    <b v="0"/>
    <s v=""/>
  </r>
  <r>
    <s v="88a69286-9ae0-4a77-940e-19f0a27d136a"/>
    <x v="897"/>
    <s v="22:46"/>
    <x v="1327"/>
    <s v="transfer"/>
    <s v="other"/>
    <s v="rc_acc_1781955063347_uxz4"/>
    <x v="6"/>
    <s v="-"/>
    <m/>
    <s v="import"/>
    <s v=""/>
    <b v="0"/>
    <s v=""/>
  </r>
  <r>
    <s v="51bb4b2c-8b88-4790-8792-eaedff579eae"/>
    <x v="898"/>
    <s v="00:00"/>
    <x v="8"/>
    <s v="transfer"/>
    <s v="other"/>
    <s v="rc_acc_1781955063347_uxz4"/>
    <x v="25"/>
    <s v="-"/>
    <m/>
    <s v="import"/>
    <s v=""/>
    <b v="0"/>
    <s v=""/>
  </r>
  <r>
    <s v="751ee734-a280-4cfa-b4c7-6dda5b93db5e"/>
    <x v="898"/>
    <s v="15:06"/>
    <x v="150"/>
    <s v="income"/>
    <s v="other_1781955063347_5s7r"/>
    <s v="rc_acc_1781955063348_u1qk"/>
    <x v="1"/>
    <s v="Difference"/>
    <m/>
    <s v="import"/>
    <s v=""/>
    <b v="0"/>
    <s v=""/>
  </r>
  <r>
    <s v="914ac81c-1bf2-4100-80a9-fd2443c982cb"/>
    <x v="898"/>
    <s v="20:19"/>
    <x v="1328"/>
    <s v="expense"/>
    <s v="rc_cat_1781955063347_04qb_1781955063347_wt5p"/>
    <s v="rc_acc_1781955063347_uxz4"/>
    <x v="1"/>
    <s v="-"/>
    <m/>
    <s v="import"/>
    <s v=""/>
    <b v="0"/>
    <s v=""/>
  </r>
  <r>
    <s v="554b971d-b042-4f0a-a960-a787196e5de3"/>
    <x v="898"/>
    <s v="21:25"/>
    <x v="320"/>
    <s v="expense"/>
    <s v="entertain_1781955063348_32wr"/>
    <s v="rc_acc_1781955063347_kjxt"/>
    <x v="1"/>
    <s v="-"/>
    <m/>
    <s v="import"/>
    <s v=""/>
    <b v="0"/>
    <s v=""/>
  </r>
  <r>
    <s v="616b6ac6-5f91-42dd-ae60-df4a887d0aae"/>
    <x v="899"/>
    <s v="17:35"/>
    <x v="8"/>
    <s v="transfer"/>
    <s v="other"/>
    <s v="rc_acc_1781955063349_qn1n"/>
    <x v="5"/>
    <s v="Yuang"/>
    <m/>
    <s v="import"/>
    <s v=""/>
    <b v="0"/>
    <s v=""/>
  </r>
  <r>
    <s v="a58abba8-7b1b-4437-a908-3155eb232285"/>
    <x v="899"/>
    <s v="17:35"/>
    <x v="361"/>
    <s v="income"/>
    <s v="income_1781955063347_zblt"/>
    <s v="rc_acc_1781955063347_uxz4"/>
    <x v="1"/>
    <s v="-"/>
    <m/>
    <s v="import"/>
    <s v=""/>
    <b v="0"/>
    <s v=""/>
  </r>
  <r>
    <s v="175e51f7-d2f5-4511-b58f-45a2124d2767"/>
    <x v="899"/>
    <s v="21:05"/>
    <x v="932"/>
    <s v="expense"/>
    <s v="entertain_1781955063348_kx2f"/>
    <s v="rc_acc_1781955063347_uxz4"/>
    <x v="1"/>
    <s v="bluetooth"/>
    <m/>
    <s v="import"/>
    <s v=""/>
    <b v="0"/>
    <s v=""/>
  </r>
  <r>
    <s v="56d03d12-f949-4811-ae54-70d3f17a9c25"/>
    <x v="900"/>
    <s v="11:03"/>
    <x v="1198"/>
    <s v="income"/>
    <s v="income_1781955063347_zblt"/>
    <s v="rc_acc_1781955063347_uxz4"/>
    <x v="1"/>
    <s v="coin convert คุ้มสึ"/>
    <m/>
    <s v="import"/>
    <s v=""/>
    <b v="0"/>
    <s v=""/>
  </r>
  <r>
    <s v="1ba6cd1e-a102-483a-88f8-ca2a138764f7"/>
    <x v="901"/>
    <s v="09:01"/>
    <x v="150"/>
    <s v="expense"/>
    <s v="rc_cat_1781955063347_5qjb_1781955063347_tezk"/>
    <s v="rc_acc_1781955063347_uxz4"/>
    <x v="1"/>
    <s v="-"/>
    <m/>
    <s v="import"/>
    <s v=""/>
    <b v="0"/>
    <s v=""/>
  </r>
  <r>
    <s v="f9a60883-0af5-4d1c-a18b-199e5f461a53"/>
    <x v="901"/>
    <s v="11:29"/>
    <x v="1326"/>
    <s v="transfer"/>
    <s v="other"/>
    <s v="rc_acc_1781955063347_uxz4"/>
    <x v="2"/>
    <s v="pepperlunck shpf"/>
    <m/>
    <s v="import"/>
    <s v=""/>
    <b v="0"/>
    <s v=""/>
  </r>
  <r>
    <s v="089a3bbe-7c6a-49db-8fc2-19168803420e"/>
    <x v="901"/>
    <s v="17:34"/>
    <x v="1329"/>
    <s v="expense"/>
    <s v="rc_cat_1781955063347_04qb_1781955063350_acgf"/>
    <s v="rc_acc_1781955063347_uxz4"/>
    <x v="1"/>
    <s v="-"/>
    <m/>
    <s v="import"/>
    <s v=""/>
    <b v="0"/>
    <s v=""/>
  </r>
  <r>
    <s v="0efc7688-d3a4-44bd-b1dd-ab094170c0d1"/>
    <x v="902"/>
    <s v="00:00"/>
    <x v="1330"/>
    <s v="expense"/>
    <s v="rc_cat_1781955063347_04qb_1781955063347_kgnn"/>
    <s v="rc_acc_1781955063347_uxz4"/>
    <x v="1"/>
    <s v="-"/>
    <m/>
    <s v="import"/>
    <s v=""/>
    <b v="0"/>
    <s v=""/>
  </r>
  <r>
    <s v="1f73d06e-164e-4269-b82e-ee47a10ae90a"/>
    <x v="902"/>
    <s v="00:00"/>
    <x v="1169"/>
    <s v="transfer"/>
    <s v="other"/>
    <s v="rc_acc_1781955063347_uxz4"/>
    <x v="20"/>
    <s v="-"/>
    <m/>
    <s v="import"/>
    <s v=""/>
    <b v="0"/>
    <s v=""/>
  </r>
  <r>
    <s v="524181e3-f157-4ceb-927a-b7dd98592cee"/>
    <x v="902"/>
    <s v="00:00"/>
    <x v="1025"/>
    <s v="transfer"/>
    <s v="other"/>
    <s v="rc_acc_1781955063347_uxz4"/>
    <x v="8"/>
    <s v="-"/>
    <m/>
    <s v="import"/>
    <s v=""/>
    <b v="0"/>
    <s v=""/>
  </r>
  <r>
    <s v="79446020-19d5-4618-a592-8fa70945ab53"/>
    <x v="902"/>
    <s v="00:00"/>
    <x v="1331"/>
    <s v="expense"/>
    <s v="rc_cat_1781955063347_04qb_1781955063347_lu9b"/>
    <s v="rc_acc_1781955063347_uxz4"/>
    <x v="1"/>
    <s v="-"/>
    <m/>
    <s v="import"/>
    <s v=""/>
    <b v="0"/>
    <s v=""/>
  </r>
  <r>
    <s v="57fb2af6-c62c-438b-92b0-2b238e868e1f"/>
    <x v="902"/>
    <s v="00:00"/>
    <x v="31"/>
    <s v="transfer"/>
    <s v="other"/>
    <s v="rc_acc_1781955063347_uxz4"/>
    <x v="7"/>
    <s v="-"/>
    <m/>
    <s v="import"/>
    <s v=""/>
    <b v="0"/>
    <s v=""/>
  </r>
  <r>
    <s v="8b45084d-00dd-4f9a-9695-8a3e6a1e4beb"/>
    <x v="902"/>
    <s v="00:00"/>
    <x v="128"/>
    <s v="transfer"/>
    <s v="other"/>
    <s v="rc_acc_1781955063347_uxz4"/>
    <x v="21"/>
    <s v="-"/>
    <m/>
    <s v="import"/>
    <s v=""/>
    <b v="0"/>
    <s v=""/>
  </r>
  <r>
    <s v="6bd1bae8-f254-4431-9bf3-7c80e6c9707f"/>
    <x v="902"/>
    <s v="00:00"/>
    <x v="1028"/>
    <s v="income"/>
    <s v="income_1781955063347_5zxt"/>
    <s v="rc_acc_1781955063347_uxz4"/>
    <x v="1"/>
    <s v="-"/>
    <m/>
    <s v="import"/>
    <s v=""/>
    <b v="0"/>
    <s v=""/>
  </r>
  <r>
    <s v="3802bfe1-8b21-4dd3-96e9-70e1abb1e745"/>
    <x v="902"/>
    <s v="00:40"/>
    <x v="175"/>
    <s v="expense"/>
    <s v="rc_cat_1781955063347_anhy_1781955063347_qnaz"/>
    <s v="rc_acc_1781955063347_uxz4"/>
    <x v="1"/>
    <s v="-"/>
    <m/>
    <s v="import"/>
    <s v=""/>
    <b v="0"/>
    <s v=""/>
  </r>
  <r>
    <s v="f52b3dc6-ce7e-4564-a892-0a176ca376e0"/>
    <x v="902"/>
    <s v="00:41"/>
    <x v="1286"/>
    <s v="expense"/>
    <s v="rc_cat_1781955063347_04qb_1781955063350_acgf"/>
    <s v="rc_acc_1781955063347_uxz4"/>
    <x v="1"/>
    <s v="-"/>
    <m/>
    <s v="import"/>
    <s v=""/>
    <b v="0"/>
    <s v=""/>
  </r>
  <r>
    <s v="197a8d13-6b6b-4428-8bfb-169e0a2dd253"/>
    <x v="902"/>
    <s v="01:00"/>
    <x v="5"/>
    <s v="expense"/>
    <s v="rc_cat_1781955063347_anhy_1781955063347_qnaz"/>
    <s v="rc_acc_1781955063347_uxz4"/>
    <x v="1"/>
    <s v="-"/>
    <m/>
    <s v="import"/>
    <s v=""/>
    <b v="0"/>
    <s v=""/>
  </r>
  <r>
    <s v="96572a7c-d4fb-4dd2-85ce-f9eefe15a567"/>
    <x v="902"/>
    <s v="18:42"/>
    <x v="1332"/>
    <s v="expense"/>
    <s v="rc_cat_1781955063347_anhy_1781955063347_qnaz"/>
    <s v="rc_acc_1781955063347_uxz4"/>
    <x v="1"/>
    <s v="bangpakok inter"/>
    <m/>
    <s v="import"/>
    <s v=""/>
    <b v="0"/>
    <s v=""/>
  </r>
  <r>
    <s v="10adb248-27b6-4e1a-a22b-6848e15ae95f"/>
    <x v="903"/>
    <s v="11:38"/>
    <x v="1333"/>
    <s v="expense"/>
    <s v="rc_cat_1781955063347_anhy_1781955063347_qnaz"/>
    <s v="rc_acc_1781955063347_hv85"/>
    <x v="1"/>
    <s v="ขนตู้เย็น"/>
    <m/>
    <s v="import"/>
    <s v=""/>
    <b v="0"/>
    <s v=""/>
  </r>
  <r>
    <s v="2a79dce4-249d-4527-b420-14d1e96dee37"/>
    <x v="903"/>
    <s v="11:58"/>
    <x v="1334"/>
    <s v="transfer"/>
    <s v="other"/>
    <s v="rc_acc_1781955063347_e3zv"/>
    <x v="5"/>
    <s v="-"/>
    <m/>
    <s v="import"/>
    <s v=""/>
    <b v="0"/>
    <s v=""/>
  </r>
  <r>
    <s v="39421e35-26f1-4c20-8f39-b8c0aeca359f"/>
    <x v="903"/>
    <s v="15:07"/>
    <x v="769"/>
    <s v="transfer"/>
    <s v="other"/>
    <s v="rc_acc_1781955063347_e3zv"/>
    <x v="2"/>
    <s v="ชาตรามือ"/>
    <m/>
    <s v="import"/>
    <s v=""/>
    <b v="0"/>
    <s v=""/>
  </r>
  <r>
    <s v="8d0b30c8-310b-4c7c-8806-9d3a974a2ba6"/>
    <x v="903"/>
    <s v="18:07"/>
    <x v="86"/>
    <s v="transfer"/>
    <s v="other"/>
    <s v="rc_acc_1781955063347_e3zv"/>
    <x v="2"/>
    <s v="คอหมู"/>
    <m/>
    <s v="import"/>
    <s v=""/>
    <b v="0"/>
    <s v=""/>
  </r>
  <r>
    <s v="766dc5df-f92c-4151-81d4-93c6c856b0ae"/>
    <x v="903"/>
    <s v="18:08"/>
    <x v="1056"/>
    <s v="transfer"/>
    <s v="other"/>
    <s v="rc_acc_1781955063347_e3zv"/>
    <x v="2"/>
    <s v="ขนมปัง"/>
    <m/>
    <s v="import"/>
    <s v=""/>
    <b v="0"/>
    <s v=""/>
  </r>
  <r>
    <s v="d349dc68-afbb-431a-86b2-4fbac32d7938"/>
    <x v="903"/>
    <s v="20:57"/>
    <x v="199"/>
    <s v="expense"/>
    <s v="rc_cat_1781955063347_5qjb_1781955063347_tezk"/>
    <s v="rc_acc_1781955063347_uxz4"/>
    <x v="1"/>
    <s v="pacamara"/>
    <m/>
    <s v="import"/>
    <s v=""/>
    <b v="0"/>
    <s v=""/>
  </r>
  <r>
    <s v="23b275ab-1952-4dae-8713-90728e3f7de1"/>
    <x v="904"/>
    <s v="14:38"/>
    <x v="1335"/>
    <s v="transfer"/>
    <s v="other"/>
    <s v="rc_acc_1781955063347_hv85"/>
    <x v="2"/>
    <s v="donki"/>
    <m/>
    <s v="import"/>
    <s v=""/>
    <b v="0"/>
    <s v=""/>
  </r>
  <r>
    <s v="0d1a32a4-ca09-4df6-964c-fc8362e0ea5c"/>
    <x v="904"/>
    <s v="17:36"/>
    <x v="1336"/>
    <s v="transfer"/>
    <s v="other"/>
    <s v="rc_acc_1781955063347_hv85"/>
    <x v="2"/>
    <s v="lotus"/>
    <m/>
    <s v="import"/>
    <s v=""/>
    <b v="0"/>
    <s v=""/>
  </r>
  <r>
    <s v="5172a44c-af3e-47cd-bac1-742b98679f44"/>
    <x v="905"/>
    <s v="21:00"/>
    <x v="582"/>
    <s v="expense"/>
    <s v="rc_cat_1781955063347_5qjb_1781955063347_tezk"/>
    <s v="rc_acc_1781955063347_uxz4"/>
    <x v="1"/>
    <s v="-"/>
    <m/>
    <s v="import"/>
    <s v=""/>
    <b v="0"/>
    <s v=""/>
  </r>
  <r>
    <s v="d2efbec1-63ea-4aad-9175-e28bf6fad731"/>
    <x v="906"/>
    <s v="08:08"/>
    <x v="22"/>
    <s v="expense"/>
    <s v="rc_cat_1781955063347_5qjb_1781955063347_tezk"/>
    <s v="rc_acc_1781955063347_omhz"/>
    <x v="1"/>
    <s v="-"/>
    <m/>
    <s v="import"/>
    <s v=""/>
    <b v="0"/>
    <s v=""/>
  </r>
  <r>
    <s v="7fb7dd22-c198-44e6-8cce-c5b530c2d6dd"/>
    <x v="906"/>
    <s v="12:42"/>
    <x v="26"/>
    <s v="transfer"/>
    <s v="other"/>
    <s v="kbank"/>
    <x v="2"/>
    <s v="-"/>
    <m/>
    <s v="import"/>
    <s v=""/>
    <b v="0"/>
    <s v=""/>
  </r>
  <r>
    <s v="d95bcb0d-016b-4451-989d-21bea438bc56"/>
    <x v="906"/>
    <s v="13:10"/>
    <x v="1094"/>
    <s v="expense"/>
    <s v="rc_cat_1781955063347_5qjb_1781955063347_tezk"/>
    <s v="rc_acc_1781955063347_uxz4"/>
    <x v="1"/>
    <s v="-"/>
    <m/>
    <s v="import"/>
    <s v=""/>
    <b v="0"/>
    <s v=""/>
  </r>
  <r>
    <s v="65283990-aa5c-466a-bd13-fe6d8d733660"/>
    <x v="906"/>
    <s v="13:43"/>
    <x v="1337"/>
    <s v="expense"/>
    <s v="rc_cat_1781955063347_anhy_1781955063350_fcpb"/>
    <s v="rc_acc_1781955063347_kjxt"/>
    <x v="1"/>
    <s v="t shirt"/>
    <m/>
    <s v="import"/>
    <s v=""/>
    <b v="0"/>
    <s v=""/>
  </r>
  <r>
    <s v="b6b5d673-c1e2-41c6-821f-c8cfc13e4c6f"/>
    <x v="906"/>
    <s v="14:03"/>
    <x v="1338"/>
    <s v="transfer"/>
    <s v="other"/>
    <s v="rc_acc_1781955063348_obza"/>
    <x v="14"/>
    <s v="-"/>
    <m/>
    <s v="import"/>
    <s v=""/>
    <b v="0"/>
    <s v=""/>
  </r>
  <r>
    <s v="be258859-157c-4dcd-adac-378d8631d8f2"/>
    <x v="906"/>
    <s v="14:46"/>
    <x v="1339"/>
    <s v="income"/>
    <s v="other_1781955063347_5s7r"/>
    <s v="rc_acc_1781955063348_w3gp"/>
    <x v="1"/>
    <s v="Difference"/>
    <m/>
    <s v="import"/>
    <s v=""/>
    <b v="0"/>
    <s v=""/>
  </r>
  <r>
    <s v="70e88125-e448-404c-8ae1-555ed2870dcd"/>
    <x v="906"/>
    <s v="14:47"/>
    <x v="1340"/>
    <s v="expense"/>
    <s v="rc_cat_1781955063347_anhy_1781955063347_qnaz"/>
    <s v="rc_acc_1781955063348_w3gp"/>
    <x v="1"/>
    <s v="-"/>
    <m/>
    <s v="import"/>
    <s v=""/>
    <b v="0"/>
    <s v=""/>
  </r>
  <r>
    <s v="404b8c5f-7548-482c-8036-e48e1cb71d21"/>
    <x v="906"/>
    <s v="14:55"/>
    <x v="1341"/>
    <s v="transfer"/>
    <s v="other"/>
    <s v="advance"/>
    <x v="5"/>
    <s v="บัตร uob"/>
    <m/>
    <s v="import"/>
    <s v=""/>
    <b v="0"/>
    <s v=""/>
  </r>
  <r>
    <s v="48308508-f3fd-4df3-b652-4f4f48db54f9"/>
    <x v="906"/>
    <s v="14:57"/>
    <x v="1342"/>
    <s v="transfer"/>
    <s v="other"/>
    <s v="rc_acc_1781955063347_uxz4"/>
    <x v="31"/>
    <s v="-"/>
    <m/>
    <s v="import"/>
    <s v=""/>
    <b v="0"/>
    <s v=""/>
  </r>
  <r>
    <s v="920caf01-6259-4021-a752-25bdb854137d"/>
    <x v="906"/>
    <s v="14:58"/>
    <x v="85"/>
    <s v="expense"/>
    <s v="other_1781955063347_5s7r"/>
    <s v="rc_acc_1781955063348_2vnx"/>
    <x v="1"/>
    <s v="Difference"/>
    <m/>
    <s v="import"/>
    <s v=""/>
    <b v="0"/>
    <s v=""/>
  </r>
  <r>
    <s v="a003a8c9-3060-4dc0-9118-172f2ca17e0d"/>
    <x v="906"/>
    <s v="14:59"/>
    <x v="1050"/>
    <s v="expense"/>
    <s v="other_1781955063347_5s7r"/>
    <s v="rc_acc_1781955063347_pixu"/>
    <x v="1"/>
    <s v="Difference"/>
    <m/>
    <s v="import"/>
    <s v=""/>
    <b v="0"/>
    <s v=""/>
  </r>
  <r>
    <s v="27ec1e13-db29-47ea-84dd-319368766c60"/>
    <x v="906"/>
    <s v="15:04"/>
    <x v="22"/>
    <s v="expense"/>
    <s v="other_1781955063348_27zj"/>
    <s v="advance"/>
    <x v="1"/>
    <s v="คิดผิด"/>
    <m/>
    <s v="import"/>
    <s v=""/>
    <b v="0"/>
    <s v=""/>
  </r>
  <r>
    <s v="b5ec9ef6-ce3e-4325-914a-a45fd748fc6a"/>
    <x v="906"/>
    <s v="15:05"/>
    <x v="1343"/>
    <s v="expense"/>
    <s v="rc_cat_1781955063347_anhy_1781955063350_fcpb"/>
    <s v="advance"/>
    <x v="1"/>
    <s v="จ่ายค่ารถให้"/>
    <m/>
    <s v="import"/>
    <s v=""/>
    <b v="0"/>
    <s v=""/>
  </r>
  <r>
    <s v="b6456425-c7e8-4cd2-919e-26354060fd1d"/>
    <x v="906"/>
    <s v="15:15"/>
    <x v="1344"/>
    <s v="transfer"/>
    <s v="other"/>
    <s v="advance"/>
    <x v="5"/>
    <s v="-"/>
    <m/>
    <s v="import"/>
    <s v=""/>
    <b v="0"/>
    <s v=""/>
  </r>
  <r>
    <s v="5076da16-0958-45d7-a13f-3c6a888b26b8"/>
    <x v="907"/>
    <s v="09:20"/>
    <x v="1345"/>
    <s v="expense"/>
    <s v="rc_cat_1781955063347_5qjb_1781955063347_irl1"/>
    <s v="rc_acc_1781955063347_uxz4"/>
    <x v="1"/>
    <s v="-"/>
    <m/>
    <s v="import"/>
    <s v=""/>
    <b v="0"/>
    <s v=""/>
  </r>
  <r>
    <s v="dcda9671-011f-4ae0-9a11-1e3fc4c7595c"/>
    <x v="907"/>
    <s v="10:00"/>
    <x v="211"/>
    <s v="transfer"/>
    <s v="other"/>
    <s v="rc_acc_1781955063347_uxz4"/>
    <x v="12"/>
    <s v="-"/>
    <m/>
    <s v="import"/>
    <s v=""/>
    <b v="0"/>
    <s v=""/>
  </r>
  <r>
    <s v="3fec285f-2936-4586-bfcf-d0c868c3599a"/>
    <x v="907"/>
    <s v="13:05"/>
    <x v="19"/>
    <s v="transfer"/>
    <s v="other"/>
    <s v="rc_acc_1781955063347_uxz4"/>
    <x v="16"/>
    <s v="-"/>
    <m/>
    <s v="import"/>
    <s v=""/>
    <b v="0"/>
    <s v=""/>
  </r>
  <r>
    <s v="befc6ee2-21d7-4ee8-a134-b95b5a62bfd4"/>
    <x v="907"/>
    <s v="13:35"/>
    <x v="545"/>
    <s v="expense"/>
    <s v="rc_cat_1781955063347_5qjb_1781955063347_irl1"/>
    <s v="rc_acc_1781955063347_uxz4"/>
    <x v="1"/>
    <s v="-"/>
    <m/>
    <s v="import"/>
    <s v=""/>
    <b v="0"/>
    <s v=""/>
  </r>
  <r>
    <s v="0f19d18d-39e8-46c2-8f19-52a280273122"/>
    <x v="907"/>
    <s v="13:43"/>
    <x v="1082"/>
    <s v="transfer"/>
    <s v="other"/>
    <s v="rc_acc_1781955063347_kjxt"/>
    <x v="2"/>
    <s v="momo"/>
    <m/>
    <s v="import"/>
    <s v=""/>
    <b v="0"/>
    <s v=""/>
  </r>
  <r>
    <s v="46712fb6-e246-4012-918e-11518b510ba7"/>
    <x v="907"/>
    <s v="14:09"/>
    <x v="768"/>
    <s v="transfer"/>
    <s v="other"/>
    <s v="rc_acc_1781955063347_omhz"/>
    <x v="2"/>
    <s v="tao bin"/>
    <m/>
    <s v="import"/>
    <s v=""/>
    <b v="0"/>
    <s v=""/>
  </r>
  <r>
    <s v="8206e294-9808-4a4b-949d-145f2cd08429"/>
    <x v="907"/>
    <s v="14:56"/>
    <x v="1346"/>
    <s v="expense"/>
    <s v="rc_cat_1781955063347_5qjb_1781955063347_irl1"/>
    <s v="rc_acc_1781955063347_sv7p"/>
    <x v="1"/>
    <s v="-"/>
    <m/>
    <s v="import"/>
    <s v=""/>
    <b v="0"/>
    <s v=""/>
  </r>
  <r>
    <s v="02306f96-b2a4-4624-b289-9fb052d47989"/>
    <x v="907"/>
    <s v="19:09"/>
    <x v="932"/>
    <s v="transfer"/>
    <s v="other"/>
    <s v="advance"/>
    <x v="5"/>
    <s v="paybck dq 21/2"/>
    <m/>
    <s v="import"/>
    <s v=""/>
    <b v="0"/>
    <s v=""/>
  </r>
  <r>
    <s v="773ef149-8641-4228-9d6a-62b6cba8a43b"/>
    <x v="907"/>
    <s v="19:17"/>
    <x v="304"/>
    <s v="transfer"/>
    <s v="other"/>
    <s v="advance"/>
    <x v="5"/>
    <s v="-"/>
    <m/>
    <s v="import"/>
    <s v=""/>
    <b v="0"/>
    <s v=""/>
  </r>
  <r>
    <s v="6eff7947-46fb-47d8-bb68-b6b804a2ec40"/>
    <x v="907"/>
    <s v="19:59"/>
    <x v="599"/>
    <s v="transfer"/>
    <s v="other"/>
    <s v="advance"/>
    <x v="5"/>
    <s v="-"/>
    <m/>
    <s v="import"/>
    <s v=""/>
    <b v="0"/>
    <s v=""/>
  </r>
  <r>
    <s v="ed0abfb4-59f1-4496-a8d7-5812bd270c2e"/>
    <x v="907"/>
    <s v="20:00"/>
    <x v="1050"/>
    <s v="income"/>
    <s v="income_1781955063347_zblt"/>
    <s v="rc_acc_1781955063347_uxz4"/>
    <x v="1"/>
    <s v="coin"/>
    <m/>
    <s v="import"/>
    <s v=""/>
    <b v="0"/>
    <s v=""/>
  </r>
  <r>
    <s v="3be5a418-4ea1-4f93-b678-37cf6783c47c"/>
    <x v="907"/>
    <s v="20:45"/>
    <x v="199"/>
    <s v="transfer"/>
    <s v="other"/>
    <s v="advance"/>
    <x v="5"/>
    <s v="-"/>
    <m/>
    <s v="import"/>
    <s v=""/>
    <b v="0"/>
    <s v=""/>
  </r>
  <r>
    <s v="16c96652-268f-4446-b729-5ee18614a881"/>
    <x v="908"/>
    <s v="12:00"/>
    <x v="708"/>
    <s v="expense"/>
    <s v="rc_cat_1781955063347_anhy_1781955063348_k5l1"/>
    <s v="rc_acc_1781955063347_e3zv"/>
    <x v="1"/>
    <s v="-"/>
    <m/>
    <s v="import"/>
    <s v=""/>
    <b v="0"/>
    <s v=""/>
  </r>
  <r>
    <s v="57cd9791-0a58-4a37-84ca-73075f9ce309"/>
    <x v="908"/>
    <s v="13:40"/>
    <x v="536"/>
    <s v="expense"/>
    <s v="rc_cat_1781955063347_anhy_1781955063348_k5l1"/>
    <s v="rc_acc_1781955063347_uxz4"/>
    <x v="1"/>
    <s v="-"/>
    <m/>
    <s v="import"/>
    <s v=""/>
    <b v="0"/>
    <s v=""/>
  </r>
  <r>
    <s v="cdd00176-d7d5-4b0e-a3ea-9aed5e260200"/>
    <x v="908"/>
    <s v="14:01"/>
    <x v="1347"/>
    <s v="expense"/>
    <s v="rc_cat_1781955063347_5qjb_1781955063347_irl1"/>
    <s v="rc_acc_1781955063347_hv85"/>
    <x v="1"/>
    <s v="auto tax"/>
    <m/>
    <s v="import"/>
    <s v=""/>
    <b v="0"/>
    <s v=""/>
  </r>
  <r>
    <s v="c23a74eb-5298-4a85-9020-41a1b8aac898"/>
    <x v="908"/>
    <s v="18:17"/>
    <x v="10"/>
    <s v="transfer"/>
    <s v="other"/>
    <s v="rc_acc_1781955063347_omhz"/>
    <x v="2"/>
    <s v="dq"/>
    <m/>
    <s v="import"/>
    <s v=""/>
    <b v="0"/>
    <s v=""/>
  </r>
  <r>
    <s v="c8e03edb-f72d-416c-9468-ea0b0b372248"/>
    <x v="908"/>
    <s v="19:44"/>
    <x v="898"/>
    <s v="transfer"/>
    <s v="other"/>
    <s v="rc_acc_1781955063347_kjxt"/>
    <x v="2"/>
    <s v="big c water"/>
    <m/>
    <s v="import"/>
    <s v=""/>
    <b v="0"/>
    <s v=""/>
  </r>
  <r>
    <s v="b2a9d965-f342-46fc-8855-e126fee3664c"/>
    <x v="908"/>
    <s v="21:30"/>
    <x v="211"/>
    <s v="transfer"/>
    <s v="other"/>
    <s v="rc_acc_1781955063347_uxz4"/>
    <x v="9"/>
    <s v="-"/>
    <m/>
    <s v="import"/>
    <s v=""/>
    <b v="0"/>
    <s v=""/>
  </r>
  <r>
    <s v="0f0e8c3e-9e6c-4854-bf88-f9b53a77cf01"/>
    <x v="909"/>
    <s v="17:25"/>
    <x v="1348"/>
    <s v="transfer"/>
    <s v="other"/>
    <s v="rc_acc_1781955063347_uxz4"/>
    <x v="2"/>
    <s v="-"/>
    <m/>
    <s v="import"/>
    <s v=""/>
    <b v="0"/>
    <s v=""/>
  </r>
  <r>
    <s v="d7703c90-9061-4341-8ae5-21b219e429d6"/>
    <x v="909"/>
    <s v="17:38"/>
    <x v="315"/>
    <s v="transfer"/>
    <s v="other"/>
    <s v="rc_acc_1781955063347_uxz4"/>
    <x v="38"/>
    <s v="-"/>
    <m/>
    <s v="import"/>
    <s v=""/>
    <b v="0"/>
    <s v=""/>
  </r>
  <r>
    <s v="0821630e-58b1-46c5-b2b4-9785563378ca"/>
    <x v="909"/>
    <s v="21:36"/>
    <x v="925"/>
    <s v="expense"/>
    <s v="rc_cat_1781955063347_5qjb_1781955063347_tezk"/>
    <s v="rc_acc_1781955063347_kjxt"/>
    <x v="1"/>
    <s v="lui fire meat"/>
    <m/>
    <s v="import"/>
    <s v=""/>
    <b v="0"/>
    <s v=""/>
  </r>
  <r>
    <s v="a0f0cedd-395c-4d76-b0b8-47a047008d7d"/>
    <x v="910"/>
    <s v="13:23"/>
    <x v="1349"/>
    <s v="transfer"/>
    <s v="other"/>
    <s v="advance"/>
    <x v="5"/>
    <s v="aui paybackfortrip"/>
    <m/>
    <s v="import"/>
    <s v=""/>
    <b v="0"/>
    <s v=""/>
  </r>
  <r>
    <s v="ea987ed3-f5bc-4f12-a55c-69540d84c7da"/>
    <x v="911"/>
    <s v="12:22"/>
    <x v="265"/>
    <s v="expense"/>
    <s v="rc_cat_1781955063347_5qjb_1781955063347_tezk"/>
    <s v="rc_acc_1781955063347_uxz4"/>
    <x v="1"/>
    <s v="-"/>
    <m/>
    <s v="import"/>
    <s v=""/>
    <b v="0"/>
    <s v=""/>
  </r>
  <r>
    <s v="6c4e8cde-b16a-40c5-b116-fb2f3cdcbfd5"/>
    <x v="912"/>
    <s v="00:00"/>
    <x v="387"/>
    <s v="transfer"/>
    <s v="other"/>
    <s v="rc_acc_1781955063347_uxz4"/>
    <x v="17"/>
    <s v="-"/>
    <m/>
    <s v="import"/>
    <s v=""/>
    <b v="0"/>
    <s v=""/>
  </r>
  <r>
    <s v="31cac034-1448-46e6-842a-74c53e944f97"/>
    <x v="912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d7a141ef-e97e-4399-876e-6d49a9d1af09"/>
    <x v="913"/>
    <s v="17:40"/>
    <x v="1350"/>
    <s v="transfer"/>
    <s v="other"/>
    <s v="rc_acc_1781955063347_kjxt"/>
    <x v="2"/>
    <s v="-"/>
    <m/>
    <s v="import"/>
    <s v=""/>
    <b v="0"/>
    <s v=""/>
  </r>
  <r>
    <s v="5a4a4633-f06c-40ee-9571-ed37a387f66f"/>
    <x v="913"/>
    <s v="18:40"/>
    <x v="783"/>
    <s v="transfer"/>
    <s v="other"/>
    <s v="rc_acc_1781955063347_omhz"/>
    <x v="2"/>
    <s v="-"/>
    <m/>
    <s v="import"/>
    <s v=""/>
    <b v="0"/>
    <s v=""/>
  </r>
  <r>
    <s v="8a5681aa-f061-417c-862c-f50b215a67da"/>
    <x v="914"/>
    <s v="10:18"/>
    <x v="783"/>
    <s v="transfer"/>
    <s v="other"/>
    <s v="rc_acc_1781955063347_uxz4"/>
    <x v="2"/>
    <s v="-"/>
    <m/>
    <s v="import"/>
    <s v=""/>
    <b v="0"/>
    <s v=""/>
  </r>
  <r>
    <s v="fa966e1d-8691-4bf6-8fe7-daad56738c23"/>
    <x v="914"/>
    <s v="12:45"/>
    <x v="146"/>
    <s v="transfer"/>
    <s v="other"/>
    <s v="rc_acc_1781955063347_uxz4"/>
    <x v="2"/>
    <s v="กาแฟ ร้านแม่อะไรสักอย่าง"/>
    <m/>
    <s v="import"/>
    <s v=""/>
    <b v="0"/>
    <s v=""/>
  </r>
  <r>
    <s v="4e8f56cd-67a2-431e-9c9f-4685164a8c31"/>
    <x v="914"/>
    <s v="14:04"/>
    <x v="212"/>
    <s v="expense"/>
    <s v="other_1781955063348_yjhe"/>
    <s v="rc_acc_1781955063347_e3zv"/>
    <x v="1"/>
    <s v="ซอง เติ้ล"/>
    <m/>
    <s v="import"/>
    <s v=""/>
    <b v="0"/>
    <s v=""/>
  </r>
  <r>
    <s v="20f14358-fbad-47e9-b2be-94fba4da57ac"/>
    <x v="914"/>
    <s v="14:20"/>
    <x v="1032"/>
    <s v="transfer"/>
    <s v="other"/>
    <s v="rc_acc_1781955063347_uxz4"/>
    <x v="2"/>
    <s v="noodle"/>
    <m/>
    <s v="import"/>
    <s v=""/>
    <b v="0"/>
    <s v=""/>
  </r>
  <r>
    <s v="3d3ccb5d-1a02-42b2-860a-a3f9231c5560"/>
    <x v="914"/>
    <s v="14:45"/>
    <x v="1293"/>
    <s v="transfer"/>
    <s v="other"/>
    <s v="rc_acc_1781955063347_uxz4"/>
    <x v="2"/>
    <s v="379"/>
    <m/>
    <s v="import"/>
    <s v=""/>
    <b v="0"/>
    <s v=""/>
  </r>
  <r>
    <s v="187b0fa7-3dc8-4e86-b2b7-5d8a02d86e52"/>
    <x v="914"/>
    <s v="18:04"/>
    <x v="84"/>
    <s v="expense"/>
    <s v="other_1781955063348_yjhe"/>
    <s v="rc_acc_1781955063347_e3zv"/>
    <x v="1"/>
    <s v="ซอง แมน"/>
    <m/>
    <s v="import"/>
    <s v=""/>
    <b v="0"/>
    <s v=""/>
  </r>
  <r>
    <s v="bfafb837-4150-49f8-a9fe-daf6fdb620e8"/>
    <x v="915"/>
    <s v="12:10"/>
    <x v="1200"/>
    <s v="transfer"/>
    <s v="other"/>
    <s v="rc_acc_1781955063347_uxz4"/>
    <x v="2"/>
    <s v="krua see oae"/>
    <m/>
    <s v="import"/>
    <s v=""/>
    <b v="0"/>
    <s v=""/>
  </r>
  <r>
    <s v="90a9bc32-491c-4931-85b6-da063d18aa43"/>
    <x v="915"/>
    <s v="18:26"/>
    <x v="1064"/>
    <s v="transfer"/>
    <s v="other"/>
    <s v="rc_acc_1781955063349_mitc"/>
    <x v="2"/>
    <s v="-"/>
    <m/>
    <s v="import"/>
    <s v=""/>
    <b v="0"/>
    <s v=""/>
  </r>
  <r>
    <s v="d121aba6-9669-4fd2-91ab-a81f6e2fdff7"/>
    <x v="915"/>
    <s v="19:08"/>
    <x v="84"/>
    <s v="income"/>
    <s v="other_1781955063348_27zj"/>
    <s v="rc_acc_1781955063347_uxz4"/>
    <x v="1"/>
    <s v="man"/>
    <m/>
    <s v="import"/>
    <s v=""/>
    <b v="0"/>
    <s v=""/>
  </r>
  <r>
    <s v="dea34784-f4a3-4006-b97f-aac6c458ad21"/>
    <x v="915"/>
    <s v="20:36"/>
    <x v="211"/>
    <s v="transfer"/>
    <s v="other"/>
    <s v="rc_acc_1781955063347_uxz4"/>
    <x v="9"/>
    <s v="-"/>
    <m/>
    <s v="import"/>
    <s v=""/>
    <b v="0"/>
    <s v=""/>
  </r>
  <r>
    <s v="0fc3371c-0072-4875-8db6-0907ca176f7e"/>
    <x v="915"/>
    <s v="21:23"/>
    <x v="211"/>
    <s v="transfer"/>
    <s v="other"/>
    <s v="rc_acc_1781955063348_no9r"/>
    <x v="30"/>
    <s v="-"/>
    <m/>
    <s v="import"/>
    <s v=""/>
    <b v="0"/>
    <s v=""/>
  </r>
  <r>
    <s v="6f346c86-ebf3-47b0-8d2b-4e3c8d97f41e"/>
    <x v="915"/>
    <s v="21:35"/>
    <x v="87"/>
    <s v="transfer"/>
    <s v="other"/>
    <s v="rc_acc_1781955063349_mitc"/>
    <x v="5"/>
    <s v="-"/>
    <m/>
    <s v="import"/>
    <s v=""/>
    <b v="0"/>
    <s v=""/>
  </r>
  <r>
    <s v="7ffb2fbf-7ca4-4498-95cc-4bac1658323d"/>
    <x v="915"/>
    <s v="21:45"/>
    <x v="31"/>
    <s v="transfer"/>
    <s v="other"/>
    <s v="kbank"/>
    <x v="12"/>
    <s v="-"/>
    <m/>
    <s v="import"/>
    <s v=""/>
    <b v="0"/>
    <s v=""/>
  </r>
  <r>
    <s v="2e25fcb3-3a10-4c61-873c-c3c16ddd8f8b"/>
    <x v="915"/>
    <s v="22:04"/>
    <x v="1064"/>
    <s v="transfer"/>
    <s v="other"/>
    <s v="advance"/>
    <x v="5"/>
    <s v="aui roddeeded"/>
    <m/>
    <s v="import"/>
    <s v=""/>
    <b v="0"/>
    <s v=""/>
  </r>
  <r>
    <s v="3dda8b1e-100e-4672-a41e-e743406116f5"/>
    <x v="915"/>
    <s v="22:50"/>
    <x v="608"/>
    <s v="income"/>
    <s v="income_1781955063347_zblt"/>
    <s v="rc_acc_1781955063347_uxz4"/>
    <x v="1"/>
    <s v="-"/>
    <m/>
    <s v="import"/>
    <s v=""/>
    <b v="0"/>
    <s v=""/>
  </r>
  <r>
    <s v="3c81e39d-bb22-4974-9af9-94018b25b6cc"/>
    <x v="916"/>
    <s v="12:08"/>
    <x v="1275"/>
    <s v="expense"/>
    <s v="rc_cat_1781955063347_5qjb_1781955063347_irl1"/>
    <s v="rc_acc_1781955063347_hv85"/>
    <x v="1"/>
    <s v="(3/6)"/>
    <m/>
    <s v="import"/>
    <s v=""/>
    <b v="0"/>
    <s v=""/>
  </r>
  <r>
    <s v="b00ab6f5-d3c4-4804-86ac-e2d06c1df592"/>
    <x v="916"/>
    <s v="13:33"/>
    <x v="19"/>
    <s v="expense"/>
    <s v="rc_cat_1781955063347_s4sz_1781955063347_deos"/>
    <s v="rc_acc_1781955063347_uxz4"/>
    <x v="1"/>
    <s v="ตัดผม"/>
    <m/>
    <s v="import"/>
    <s v=""/>
    <b v="0"/>
    <s v=""/>
  </r>
  <r>
    <s v="f3e71b3f-c428-4da9-9e36-c660e432f9eb"/>
    <x v="916"/>
    <s v="13:39"/>
    <x v="172"/>
    <s v="transfer"/>
    <s v="other"/>
    <s v="rc_acc_1781955063347_kjxt"/>
    <x v="2"/>
    <s v="-"/>
    <m/>
    <s v="import"/>
    <s v=""/>
    <b v="0"/>
    <s v=""/>
  </r>
  <r>
    <s v="a2e8d43d-1093-416e-ba07-9e458e6eab6b"/>
    <x v="916"/>
    <s v="14:20"/>
    <x v="1351"/>
    <s v="transfer"/>
    <s v="other"/>
    <s v="rc_acc_1781955063347_0qmn"/>
    <x v="16"/>
    <s v="-"/>
    <m/>
    <s v="import"/>
    <s v=""/>
    <b v="0"/>
    <s v=""/>
  </r>
  <r>
    <s v="b1308ddc-a38b-4dd2-a5d0-2477c369eef9"/>
    <x v="916"/>
    <s v="14:38"/>
    <x v="5"/>
    <s v="transfer"/>
    <s v="other"/>
    <s v="rc_acc_1781955063348_hnxg"/>
    <x v="12"/>
    <s v="-"/>
    <m/>
    <s v="import"/>
    <s v=""/>
    <b v="0"/>
    <s v=""/>
  </r>
  <r>
    <s v="54b8778a-79c3-4248-ab91-83cd8c51aaff"/>
    <x v="916"/>
    <s v="15:49"/>
    <x v="1248"/>
    <s v="expense"/>
    <s v="rc_cat_1781955063347_5qjb_1781955063348_wpky"/>
    <s v="rc_acc_1781955063347_hv85"/>
    <x v="1"/>
    <s v="(2/6)"/>
    <m/>
    <s v="import"/>
    <s v=""/>
    <b v="0"/>
    <s v=""/>
  </r>
  <r>
    <s v="98137ce1-97b0-4d30-9dd3-c82b89aad5a7"/>
    <x v="916"/>
    <s v="17:01"/>
    <x v="444"/>
    <s v="expense"/>
    <s v="rc_cat_1781955063347_anhy_1781955063347_qnaz"/>
    <s v="rc_acc_1781955063347_kjxt"/>
    <x v="1"/>
    <s v="kfc"/>
    <m/>
    <s v="import"/>
    <s v=""/>
    <b v="0"/>
    <s v=""/>
  </r>
  <r>
    <s v="7bf83a6c-baf5-4ad4-a9c6-0f3d4a771990"/>
    <x v="916"/>
    <s v="18:05"/>
    <x v="5"/>
    <s v="expense"/>
    <s v="rc_cat_1781955063347_anhy_1781955063347_qnaz"/>
    <s v="rc_acc_1781955063347_e3zv"/>
    <x v="1"/>
    <s v="-"/>
    <m/>
    <s v="import"/>
    <s v=""/>
    <b v="0"/>
    <s v=""/>
  </r>
  <r>
    <s v="720c7ab7-a8f6-40c9-8dd0-b1f9ff190ad0"/>
    <x v="917"/>
    <s v="13:38"/>
    <x v="1220"/>
    <s v="transfer"/>
    <s v="other"/>
    <s v="rc_acc_1781955063347_kjxt"/>
    <x v="2"/>
    <s v="grab daily"/>
    <m/>
    <s v="import"/>
    <s v=""/>
    <b v="0"/>
    <s v=""/>
  </r>
  <r>
    <s v="04ca98ef-d458-47f7-9f5c-30f6d08c7a21"/>
    <x v="918"/>
    <s v="13:37"/>
    <x v="1233"/>
    <s v="transfer"/>
    <s v="other"/>
    <s v="rc_acc_1781955063347_kjxt"/>
    <x v="2"/>
    <s v="grab daily"/>
    <m/>
    <s v="import"/>
    <s v=""/>
    <b v="0"/>
    <s v=""/>
  </r>
  <r>
    <s v="2b2564c5-8516-47f2-9d1b-157c329e128f"/>
    <x v="919"/>
    <s v="11:58"/>
    <x v="599"/>
    <s v="transfer"/>
    <s v="other"/>
    <s v="rc_acc_1781955063347_uxz4"/>
    <x v="2"/>
    <s v="-"/>
    <m/>
    <s v="import"/>
    <s v=""/>
    <b v="0"/>
    <s v=""/>
  </r>
  <r>
    <s v="f18f9676-e680-423d-b4ab-10ddbb99ef75"/>
    <x v="920"/>
    <s v="11:01"/>
    <x v="767"/>
    <s v="expense"/>
    <s v="rc_cat_1781955063347_5qjb_1781955063347_tezk"/>
    <s v="rc_acc_1781955063347_uxz4"/>
    <x v="1"/>
    <s v="-"/>
    <m/>
    <s v="import"/>
    <s v=""/>
    <b v="0"/>
    <s v=""/>
  </r>
  <r>
    <s v="3a050dc7-7d0e-457b-a786-5828cc2fa261"/>
    <x v="920"/>
    <s v="11:24"/>
    <x v="26"/>
    <s v="transfer"/>
    <s v="other"/>
    <s v="rc_acc_1781955063348_no9r"/>
    <x v="30"/>
    <s v="-"/>
    <m/>
    <s v="import"/>
    <s v=""/>
    <b v="0"/>
    <s v=""/>
  </r>
  <r>
    <s v="4c1fdc80-eece-45cf-b53b-ef87849c0cf2"/>
    <x v="920"/>
    <s v="11:30"/>
    <x v="323"/>
    <s v="transfer"/>
    <s v="other"/>
    <s v="rc_acc_1781955063347_uxz4"/>
    <x v="2"/>
    <s v="ของฝาก"/>
    <m/>
    <s v="import"/>
    <s v=""/>
    <b v="0"/>
    <s v=""/>
  </r>
  <r>
    <s v="b8aef0a3-6f17-45d4-a7ac-33003d68aa3b"/>
    <x v="920"/>
    <s v="13:53"/>
    <x v="877"/>
    <s v="transfer"/>
    <s v="other"/>
    <s v="rc_acc_1781955063347_e3zv"/>
    <x v="2"/>
    <s v="-"/>
    <m/>
    <s v="import"/>
    <s v=""/>
    <b v="0"/>
    <s v=""/>
  </r>
  <r>
    <s v="c5729f6a-dfbe-4d37-aae9-3c5e74470ecd"/>
    <x v="920"/>
    <s v="13:54"/>
    <x v="1352"/>
    <s v="transfer"/>
    <s v="other"/>
    <s v="rc_acc_1781955063347_e3zv"/>
    <x v="5"/>
    <s v="-"/>
    <m/>
    <s v="import"/>
    <s v=""/>
    <b v="0"/>
    <s v=""/>
  </r>
  <r>
    <s v="96ca6c3e-4eba-411d-beb7-c8b4a5c907fa"/>
    <x v="920"/>
    <s v="14:10"/>
    <x v="786"/>
    <s v="transfer"/>
    <s v="other"/>
    <s v="rc_acc_1781955063347_uxz4"/>
    <x v="2"/>
    <s v="pk เถียงนา"/>
    <m/>
    <s v="import"/>
    <s v=""/>
    <b v="0"/>
    <s v=""/>
  </r>
  <r>
    <s v="40fc2e67-0f59-43bf-95b4-ed6d9bb13851"/>
    <x v="920"/>
    <s v="15:56"/>
    <x v="1343"/>
    <s v="transfer"/>
    <s v="other"/>
    <s v="rc_acc_1781955063347_uxz4"/>
    <x v="2"/>
    <s v="-"/>
    <m/>
    <s v="import"/>
    <s v=""/>
    <b v="0"/>
    <s v=""/>
  </r>
  <r>
    <s v="00f68a4c-90b2-4df0-a52a-33a381c6a7ed"/>
    <x v="921"/>
    <s v="09:37"/>
    <x v="22"/>
    <s v="transfer"/>
    <s v="other"/>
    <s v="rc_acc_1781955063347_kjxt"/>
    <x v="2"/>
    <s v="pk coffee"/>
    <m/>
    <s v="import"/>
    <s v=""/>
    <b v="0"/>
    <s v=""/>
  </r>
  <r>
    <s v="ca0374f5-08e8-4179-b548-6ff947455a98"/>
    <x v="921"/>
    <s v="13:50"/>
    <x v="34"/>
    <s v="transfer"/>
    <s v="other"/>
    <s v="rc_acc_1781955063347_uxz4"/>
    <x v="2"/>
    <s v="pk ครัวลัดดา"/>
    <m/>
    <s v="import"/>
    <s v=""/>
    <b v="0"/>
    <s v=""/>
  </r>
  <r>
    <s v="7bfb2de3-feb1-4483-b7c2-9bbd9520c9fa"/>
    <x v="921"/>
    <s v="17:03"/>
    <x v="212"/>
    <s v="expense"/>
    <s v="other_1781955063348_yjhe"/>
    <s v="rc_acc_1781955063347_e3zv"/>
    <x v="1"/>
    <s v="pk ซอง"/>
    <m/>
    <s v="import"/>
    <s v=""/>
    <b v="0"/>
    <s v=""/>
  </r>
  <r>
    <s v="79405db6-ab3d-4efe-b5c3-462005ae7bd0"/>
    <x v="921"/>
    <s v="17:09"/>
    <x v="182"/>
    <s v="transfer"/>
    <s v="other"/>
    <s v="rc_acc_1781955063347_e3zv"/>
    <x v="5"/>
    <s v="-"/>
    <m/>
    <s v="import"/>
    <s v=""/>
    <b v="0"/>
    <s v=""/>
  </r>
  <r>
    <s v="8721ca32-0bb0-4f3b-89e7-e57efaf2e2c9"/>
    <x v="922"/>
    <s v="02:46"/>
    <x v="1353"/>
    <s v="income"/>
    <s v="income_1781955063347_zblt"/>
    <s v="rc_acc_1781955063347_uxz4"/>
    <x v="1"/>
    <s v="-"/>
    <m/>
    <s v="import"/>
    <s v=""/>
    <b v="0"/>
    <s v=""/>
  </r>
  <r>
    <s v="c38d97b8-06c8-4c8b-b918-5a7da1d3cbf3"/>
    <x v="922"/>
    <s v="11:47"/>
    <x v="232"/>
    <s v="transfer"/>
    <s v="other"/>
    <s v="rc_acc_1781955063347_uxz4"/>
    <x v="2"/>
    <s v="rbh"/>
    <m/>
    <s v="import"/>
    <s v=""/>
    <b v="0"/>
    <s v=""/>
  </r>
  <r>
    <s v="e6b97647-d344-4a87-998a-0001152c33a5"/>
    <x v="922"/>
    <s v="19:48"/>
    <x v="936"/>
    <s v="transfer"/>
    <s v="other"/>
    <s v="rc_acc_1781955063347_uxz4"/>
    <x v="2"/>
    <s v="pk mac ขาไป"/>
    <m/>
    <s v="import"/>
    <s v=""/>
    <b v="0"/>
    <s v=""/>
  </r>
  <r>
    <s v="db23d1f4-187f-4ee6-8a87-c151e9ba264c"/>
    <x v="923"/>
    <s v="09:08"/>
    <x v="1354"/>
    <s v="expense"/>
    <s v="entertain_1781955063347_8r8e"/>
    <s v="rc_acc_1781955063347_uxz4"/>
    <x v="1"/>
    <s v="-"/>
    <m/>
    <s v="import"/>
    <s v=""/>
    <b v="0"/>
    <s v=""/>
  </r>
  <r>
    <s v="5c5174ce-4579-4902-953a-aece76382f9f"/>
    <x v="923"/>
    <s v="19:38"/>
    <x v="5"/>
    <s v="transfer"/>
    <s v="other"/>
    <s v="rc_acc_1781955063348_hnxg"/>
    <x v="12"/>
    <s v="-"/>
    <m/>
    <s v="import"/>
    <s v=""/>
    <b v="0"/>
    <s v=""/>
  </r>
  <r>
    <s v="6a86049b-dd28-4a17-bd34-f08bb2888a32"/>
    <x v="923"/>
    <s v="19:45"/>
    <x v="1355"/>
    <s v="expense"/>
    <s v="rc_cat_1781955063347_04qb_1781955063347_wt5p"/>
    <s v="rc_acc_1781955063347_uxz4"/>
    <x v="1"/>
    <s v="-"/>
    <m/>
    <s v="import"/>
    <s v=""/>
    <b v="0"/>
    <s v=""/>
  </r>
  <r>
    <s v="1b2d51eb-9a75-4b7f-b140-51b9dba91884"/>
    <x v="924"/>
    <s v="00:00"/>
    <x v="8"/>
    <s v="transfer"/>
    <s v="other"/>
    <s v="rc_acc_1781955063347_uxz4"/>
    <x v="25"/>
    <s v="-"/>
    <m/>
    <s v="import"/>
    <s v=""/>
    <b v="0"/>
    <s v=""/>
  </r>
  <r>
    <s v="fab89f26-21c1-4474-8025-066f6f5ef10f"/>
    <x v="925"/>
    <s v="00:00"/>
    <x v="5"/>
    <s v="expense"/>
    <s v="rc_cat_1781955063347_anhy_1781955063347_qnaz"/>
    <s v="rc_acc_1781955063347_uxz4"/>
    <x v="1"/>
    <s v="-"/>
    <m/>
    <s v="import"/>
    <s v=""/>
    <b v="0"/>
    <s v=""/>
  </r>
  <r>
    <s v="8b543184-99d6-4763-8bca-8f20bc71967f"/>
    <x v="925"/>
    <s v="13:29"/>
    <x v="253"/>
    <s v="transfer"/>
    <s v="other"/>
    <s v="rc_acc_1781955063349_qn1n"/>
    <x v="5"/>
    <s v="Fill"/>
    <m/>
    <s v="import"/>
    <s v=""/>
    <b v="0"/>
    <s v=""/>
  </r>
  <r>
    <s v="96aa3158-4708-41d9-a7eb-d6232686775a"/>
    <x v="925"/>
    <s v="18:50"/>
    <x v="1356"/>
    <s v="transfer"/>
    <s v="other"/>
    <s v="rc_acc_1781955063347_sv7p"/>
    <x v="2"/>
    <s v="ข้าวใช้กับวอยเชอ"/>
    <m/>
    <s v="import"/>
    <s v=""/>
    <b v="0"/>
    <s v=""/>
  </r>
  <r>
    <s v="0a8215c3-8c84-4723-8e0c-54834258b768"/>
    <x v="925"/>
    <s v="19:44"/>
    <x v="896"/>
    <s v="transfer"/>
    <s v="other"/>
    <s v="rc_acc_1781955063347_uxz4"/>
    <x v="2"/>
    <s v="-"/>
    <m/>
    <s v="import"/>
    <s v=""/>
    <b v="0"/>
    <s v=""/>
  </r>
  <r>
    <s v="c4853166-c5df-4108-90ff-e0bbca610777"/>
    <x v="926"/>
    <s v="13:34"/>
    <x v="1357"/>
    <s v="transfer"/>
    <s v="other"/>
    <s v="rc_acc_1781955063347_kjxt"/>
    <x v="2"/>
    <s v="tops ladya"/>
    <m/>
    <s v="import"/>
    <s v=""/>
    <b v="0"/>
    <s v=""/>
  </r>
  <r>
    <s v="9ef94812-6eb9-415f-8990-fe6daca9181c"/>
    <x v="926"/>
    <s v="14:01"/>
    <x v="1224"/>
    <s v="expense"/>
    <s v="entertain_1781955063348_kx2f"/>
    <s v="rc_acc_1781955063347_hv85"/>
    <x v="1"/>
    <s v="-"/>
    <m/>
    <s v="import"/>
    <s v=""/>
    <b v="0"/>
    <s v=""/>
  </r>
  <r>
    <s v="a03651cc-5f0b-42e5-a604-a3b820e06677"/>
    <x v="926"/>
    <s v="17:00"/>
    <x v="150"/>
    <s v="expense"/>
    <s v="rc_cat_1781955063347_5qjb_1781955063347_tezk"/>
    <s v="kbank"/>
    <x v="1"/>
    <s v="-"/>
    <m/>
    <s v="import"/>
    <s v=""/>
    <b v="0"/>
    <s v=""/>
  </r>
  <r>
    <s v="627705de-9bcd-474d-bd69-8e0d1b5fe8a2"/>
    <x v="926"/>
    <s v="17:52"/>
    <x v="5"/>
    <s v="transfer"/>
    <s v="other"/>
    <s v="rc_acc_1781955063348_hnxg"/>
    <x v="12"/>
    <s v="-"/>
    <m/>
    <s v="import"/>
    <s v=""/>
    <b v="0"/>
    <s v=""/>
  </r>
  <r>
    <s v="e3a2960a-39fa-45c4-82f4-8b910b218f48"/>
    <x v="927"/>
    <s v="19:40"/>
    <x v="1358"/>
    <s v="transfer"/>
    <s v="other"/>
    <s v="rc_acc_1781955063347_0qmn"/>
    <x v="5"/>
    <s v="-"/>
    <m/>
    <s v="import"/>
    <s v=""/>
    <b v="0"/>
    <s v=""/>
  </r>
  <r>
    <s v="3e8d00ba-100e-4481-8b6e-3c7862eedc30"/>
    <x v="927"/>
    <s v="19:57"/>
    <x v="239"/>
    <s v="income"/>
    <s v="income_1781955063347_zblt"/>
    <s v="rc_acc_1781955063347_uxz4"/>
    <x v="1"/>
    <s v="คอยน์"/>
    <m/>
    <s v="import"/>
    <s v=""/>
    <b v="0"/>
    <s v=""/>
  </r>
  <r>
    <s v="d8deddff-d1b7-4f43-baf9-d67ea3816530"/>
    <x v="927"/>
    <s v="20:10"/>
    <x v="5"/>
    <s v="transfer"/>
    <s v="other"/>
    <s v="rc_acc_1781955063347_uxz4"/>
    <x v="25"/>
    <s v="-"/>
    <m/>
    <s v="import"/>
    <s v=""/>
    <b v="0"/>
    <s v=""/>
  </r>
  <r>
    <s v="1b9ec244-134a-4778-90d3-b19db9f8adee"/>
    <x v="927"/>
    <s v="20:22"/>
    <x v="1359"/>
    <s v="expense"/>
    <s v="rc_cat_1781955063347_5qjb_1781955063348_wpky"/>
    <s v="rc_acc_1781955063347_kjxt"/>
    <x v="1"/>
    <s v="-"/>
    <m/>
    <s v="import"/>
    <s v=""/>
    <b v="0"/>
    <s v=""/>
  </r>
  <r>
    <s v="48f2e33f-7238-43f6-8845-960197ea3e20"/>
    <x v="927"/>
    <s v="20:22"/>
    <x v="1360"/>
    <s v="expense"/>
    <s v="rc_cat_1781955063347_anhy_1781955063350_fcpb"/>
    <s v="rc_acc_1781955063347_kjxt"/>
    <x v="1"/>
    <s v="-"/>
    <m/>
    <s v="import"/>
    <s v=""/>
    <b v="0"/>
    <s v=""/>
  </r>
  <r>
    <s v="fb4eae41-1a76-4535-b1c5-f11966510514"/>
    <x v="927"/>
    <s v="20:50"/>
    <x v="1361"/>
    <s v="transfer"/>
    <s v="other"/>
    <s v="rc_acc_1781955063347_uxz4"/>
    <x v="6"/>
    <s v="-"/>
    <m/>
    <s v="import"/>
    <s v=""/>
    <b v="0"/>
    <s v=""/>
  </r>
  <r>
    <s v="757e35e4-89e3-4d46-a15e-a1a6a44094eb"/>
    <x v="927"/>
    <s v="20:54"/>
    <x v="902"/>
    <s v="transfer"/>
    <s v="other"/>
    <s v="rc_acc_1781955063347_sv7p"/>
    <x v="5"/>
    <s v="-"/>
    <m/>
    <s v="import"/>
    <s v=""/>
    <b v="0"/>
    <s v=""/>
  </r>
  <r>
    <s v="441b3219-c199-41bc-bc90-5b2ea25f5d51"/>
    <x v="927"/>
    <s v="21:00"/>
    <x v="1362"/>
    <s v="transfer"/>
    <s v="other"/>
    <s v="rc_acc_1781955063347_uxz4"/>
    <x v="14"/>
    <s v="-"/>
    <m/>
    <s v="import"/>
    <s v=""/>
    <b v="0"/>
    <s v=""/>
  </r>
  <r>
    <s v="c31ca644-eeb0-4c61-b3ea-ac7034f42d67"/>
    <x v="928"/>
    <s v="19:51"/>
    <x v="253"/>
    <s v="transfer"/>
    <s v="other"/>
    <s v="rc_acc_1781955063347_uxz4"/>
    <x v="35"/>
    <s v="Fill"/>
    <m/>
    <s v="import"/>
    <s v=""/>
    <b v="0"/>
    <s v=""/>
  </r>
  <r>
    <s v="475c5f38-fd1f-447c-8c7a-f893208db191"/>
    <x v="928"/>
    <s v="20:19"/>
    <x v="799"/>
    <s v="expense"/>
    <s v="entertain_1781955063348_gj0i"/>
    <s v="rc_acc_1781955063347_omhz"/>
    <x v="1"/>
    <s v="-"/>
    <m/>
    <s v="import"/>
    <s v=""/>
    <b v="0"/>
    <s v=""/>
  </r>
  <r>
    <s v="56ac1906-19e6-45bf-84d2-22443dfee1b6"/>
    <x v="929"/>
    <s v="00:00"/>
    <x v="1363"/>
    <s v="transfer"/>
    <s v="other"/>
    <s v="rc_acc_1781955063347_uxz4"/>
    <x v="8"/>
    <s v="-"/>
    <m/>
    <s v="import"/>
    <s v=""/>
    <b v="0"/>
    <s v=""/>
  </r>
  <r>
    <s v="726c73ea-85be-4992-a3e0-aa6d46be310d"/>
    <x v="929"/>
    <s v="00:00"/>
    <x v="1169"/>
    <s v="transfer"/>
    <s v="other"/>
    <s v="rc_acc_1781955063347_uxz4"/>
    <x v="20"/>
    <s v="-"/>
    <m/>
    <s v="import"/>
    <s v=""/>
    <b v="0"/>
    <s v=""/>
  </r>
  <r>
    <s v="b3505d6d-026c-4f5d-bc19-9b6bc61dec53"/>
    <x v="929"/>
    <s v="00:00"/>
    <x v="1364"/>
    <s v="expense"/>
    <s v="rc_cat_1781955063347_04qb_1781955063347_kgnn"/>
    <s v="rc_acc_1781955063347_uxz4"/>
    <x v="1"/>
    <s v="-"/>
    <m/>
    <s v="import"/>
    <s v=""/>
    <b v="0"/>
    <s v=""/>
  </r>
  <r>
    <s v="797779b7-1b0a-4f37-88a6-4493bc6c2cbb"/>
    <x v="929"/>
    <s v="00:00"/>
    <x v="1365"/>
    <s v="expense"/>
    <s v="rc_cat_1781955063347_04qb_1781955063347_lu9b"/>
    <s v="rc_acc_1781955063347_uxz4"/>
    <x v="1"/>
    <s v="-"/>
    <m/>
    <s v="import"/>
    <s v=""/>
    <b v="0"/>
    <s v=""/>
  </r>
  <r>
    <s v="71a55c1b-7f08-4da1-84b8-c5cee3e38f7a"/>
    <x v="929"/>
    <s v="00:00"/>
    <x v="1028"/>
    <s v="income"/>
    <s v="income_1781955063347_5zxt"/>
    <s v="rc_acc_1781955063347_uxz4"/>
    <x v="1"/>
    <s v="-"/>
    <m/>
    <s v="import"/>
    <s v=""/>
    <b v="0"/>
    <s v=""/>
  </r>
  <r>
    <s v="876f38ee-e48c-43fb-8a16-a71289615fe1"/>
    <x v="929"/>
    <s v="00:00"/>
    <x v="128"/>
    <s v="transfer"/>
    <s v="other"/>
    <s v="rc_acc_1781955063347_uxz4"/>
    <x v="21"/>
    <s v="-"/>
    <m/>
    <s v="import"/>
    <s v=""/>
    <b v="0"/>
    <s v=""/>
  </r>
  <r>
    <s v="d856005a-9c03-4e9f-b89c-4eab4710320a"/>
    <x v="929"/>
    <s v="00:00"/>
    <x v="31"/>
    <s v="transfer"/>
    <s v="other"/>
    <s v="rc_acc_1781955063347_uxz4"/>
    <x v="7"/>
    <s v="-"/>
    <m/>
    <s v="import"/>
    <s v=""/>
    <b v="0"/>
    <s v=""/>
  </r>
  <r>
    <s v="d341da9f-a05f-422f-9a94-4590ab88f31b"/>
    <x v="929"/>
    <s v="00:00"/>
    <x v="1366"/>
    <s v="income"/>
    <s v="income_1781955063347_zblt"/>
    <s v="rc_acc_1781955063347_uxz4"/>
    <x v="1"/>
    <s v="vp star + repay"/>
    <m/>
    <s v="import"/>
    <s v=""/>
    <b v="0"/>
    <s v=""/>
  </r>
  <r>
    <s v="ff3f13a3-bcef-452c-8e6f-b00953f5d119"/>
    <x v="929"/>
    <s v="00:00"/>
    <x v="1367"/>
    <s v="expense"/>
    <s v="rc_cat_1781955063347_04qb_1781955063350_acgf"/>
    <s v="rc_acc_1781955063347_uxz4"/>
    <x v="1"/>
    <s v="-"/>
    <m/>
    <s v="import"/>
    <s v=""/>
    <b v="0"/>
    <s v=""/>
  </r>
  <r>
    <s v="1ef111bb-2a69-4c46-b9ff-194489081626"/>
    <x v="929"/>
    <s v="00:00"/>
    <x v="1368"/>
    <s v="income"/>
    <s v="income_1781955063347_zblt"/>
    <s v="rc_acc_1781955063347_uxz4"/>
    <x v="1"/>
    <s v="vp"/>
    <m/>
    <s v="import"/>
    <s v=""/>
    <b v="0"/>
    <s v=""/>
  </r>
  <r>
    <s v="523d9b67-94cb-4f41-ad25-8dfc6108704b"/>
    <x v="929"/>
    <s v="00:11"/>
    <x v="1369"/>
    <s v="expense"/>
    <s v="other_1781955063348_27zj"/>
    <s v="rc_acc_1781955063347_uxz4"/>
    <x v="1"/>
    <s v="-"/>
    <m/>
    <s v="import"/>
    <s v=""/>
    <b v="0"/>
    <s v=""/>
  </r>
  <r>
    <s v="2579294f-b97b-4cc6-b8c8-2cff3c32576f"/>
    <x v="929"/>
    <s v="12:55"/>
    <x v="150"/>
    <s v="expense"/>
    <s v="rc_cat_1781955063347_5qjb_1781955063347_tezk"/>
    <s v="rc_acc_1781955063347_uxz4"/>
    <x v="1"/>
    <s v="YAAK"/>
    <m/>
    <s v="import"/>
    <s v=""/>
    <b v="0"/>
    <s v=""/>
  </r>
  <r>
    <s v="f7a424f9-21f5-4ec7-915a-f90e784c8853"/>
    <x v="929"/>
    <s v="14:34"/>
    <x v="1370"/>
    <s v="expense"/>
    <s v="rc_cat_1781955063347_5qjb_1781955063347_tezk"/>
    <s v="rc_acc_1781955063349_mitc"/>
    <x v="1"/>
    <s v="ถึง 26/2"/>
    <m/>
    <s v="import"/>
    <s v=""/>
    <b v="0"/>
    <s v=""/>
  </r>
  <r>
    <s v="6410c37f-daeb-4274-be73-5038844cc9f1"/>
    <x v="930"/>
    <s v="14:31"/>
    <x v="1371"/>
    <s v="expense"/>
    <s v="rc_cat_1781955063347_5qjb_1781955063347_tezk"/>
    <s v="rc_acc_1781955063349_mitc"/>
    <x v="1"/>
    <s v="-"/>
    <m/>
    <s v="import"/>
    <s v=""/>
    <b v="0"/>
    <s v=""/>
  </r>
  <r>
    <s v="8ea7a7b2-c3b8-447a-8746-957d3ddd5a7f"/>
    <x v="930"/>
    <s v="14:31"/>
    <x v="1018"/>
    <s v="expense"/>
    <s v="rc_cat_1781955063347_5qjb_1781955063347_tezk"/>
    <s v="rc_acc_1781955063349_mitc"/>
    <x v="1"/>
    <s v="-"/>
    <m/>
    <s v="import"/>
    <s v=""/>
    <b v="0"/>
    <s v=""/>
  </r>
  <r>
    <s v="3f965711-beda-4426-beed-cb7deb1996b8"/>
    <x v="931"/>
    <s v="14:30"/>
    <x v="755"/>
    <s v="expense"/>
    <s v="rc_cat_1781955063347_5qjb_1781955063347_tezk"/>
    <s v="rc_acc_1781955063349_mitc"/>
    <x v="1"/>
    <s v="50 35 30"/>
    <m/>
    <s v="import"/>
    <s v=""/>
    <b v="0"/>
    <s v=""/>
  </r>
  <r>
    <s v="ad06d850-3248-4111-a030-0dbbd65f9893"/>
    <x v="931"/>
    <s v="19:55"/>
    <x v="19"/>
    <s v="transfer"/>
    <s v="other"/>
    <s v="rc_acc_1781955063347_uxz4"/>
    <x v="16"/>
    <s v="-"/>
    <m/>
    <s v="import"/>
    <s v=""/>
    <b v="0"/>
    <s v=""/>
  </r>
  <r>
    <s v="18d2d20a-3398-4adb-9217-f39da1cb2ab7"/>
    <x v="931"/>
    <s v="20:00"/>
    <x v="199"/>
    <s v="expense"/>
    <s v="rc_cat_1781955063347_5qjb_1781955063347_tezk"/>
    <s v="rc_acc_1781955063347_uxz4"/>
    <x v="1"/>
    <s v="-"/>
    <m/>
    <s v="import"/>
    <s v=""/>
    <b v="0"/>
    <s v=""/>
  </r>
  <r>
    <s v="e54ff457-4137-433c-b844-09c7a7930a6a"/>
    <x v="931"/>
    <s v="20:17"/>
    <x v="932"/>
    <s v="transfer"/>
    <s v="other"/>
    <s v="rc_acc_1781955063347_omhz"/>
    <x v="2"/>
    <s v="dairy queen"/>
    <m/>
    <s v="import"/>
    <s v=""/>
    <b v="0"/>
    <s v=""/>
  </r>
  <r>
    <s v="6ba3090b-e5a5-4427-8e8e-df3e1feeecd9"/>
    <x v="931"/>
    <s v="20:21"/>
    <x v="1372"/>
    <s v="expense"/>
    <s v="rc_cat_1781955063347_5qjb_1781955063348_wpky"/>
    <s v="rc_acc_1781955063347_kjxt"/>
    <x v="1"/>
    <s v="-"/>
    <m/>
    <s v="import"/>
    <s v=""/>
    <b v="0"/>
    <s v=""/>
  </r>
  <r>
    <s v="79cb1c62-d26f-493a-ae21-a11e14a882b8"/>
    <x v="932"/>
    <s v="09:13"/>
    <x v="1373"/>
    <s v="transfer"/>
    <s v="other"/>
    <s v="rc_acc_1781955063348_no9r"/>
    <x v="30"/>
    <s v="-"/>
    <m/>
    <s v="import"/>
    <s v=""/>
    <b v="0"/>
    <s v=""/>
  </r>
  <r>
    <s v="10fe5b2b-16d7-4f0f-9761-ce33a166813c"/>
    <x v="932"/>
    <s v="16:28"/>
    <x v="1374"/>
    <s v="transfer"/>
    <s v="other"/>
    <s v="rc_acc_1781955063349_mitc"/>
    <x v="2"/>
    <s v="ที่พักทริปเติ้ล"/>
    <m/>
    <s v="import"/>
    <s v=""/>
    <b v="0"/>
    <s v=""/>
  </r>
  <r>
    <s v="c19b09ed-fd5c-4191-9ace-d3457e1668d7"/>
    <x v="933"/>
    <s v="11:35"/>
    <x v="608"/>
    <s v="expense"/>
    <s v="rc_cat_1781955063347_5qjb_1781955063347_tezk"/>
    <s v="rc_acc_1781955063349_mitc"/>
    <x v="1"/>
    <s v="-"/>
    <m/>
    <s v="import"/>
    <s v=""/>
    <b v="0"/>
    <s v=""/>
  </r>
  <r>
    <s v="4b374274-aabc-4a86-bebe-3211a84dc083"/>
    <x v="933"/>
    <s v="15:20"/>
    <x v="1375"/>
    <s v="expense"/>
    <s v="entertain_1781955063348_gj0i"/>
    <s v="rc_acc_1781955063347_uxz4"/>
    <x v="1"/>
    <s v="qed 13"/>
    <m/>
    <s v="import"/>
    <s v=""/>
    <b v="0"/>
    <s v=""/>
  </r>
  <r>
    <s v="938536eb-9582-4b2a-90e3-ec249d6f19ea"/>
    <x v="933"/>
    <s v="19:59"/>
    <x v="185"/>
    <s v="transfer"/>
    <s v="other"/>
    <s v="rc_acc_1781955063347_e3zv"/>
    <x v="5"/>
    <s v="-"/>
    <m/>
    <s v="import"/>
    <s v=""/>
    <b v="0"/>
    <s v=""/>
  </r>
  <r>
    <s v="ed196a11-af5e-4689-bee5-dde906fbd3c0"/>
    <x v="933"/>
    <s v="20:44"/>
    <x v="1376"/>
    <s v="expense"/>
    <s v="other_1781955063348_27zj"/>
    <s v="rc_acc_1781955063347_kjxt"/>
    <x v="1"/>
    <s v="-"/>
    <m/>
    <s v="import"/>
    <s v=""/>
    <b v="0"/>
    <s v=""/>
  </r>
  <r>
    <s v="a556b4d4-885d-4913-8b17-459c62cbf366"/>
    <x v="934"/>
    <s v="18:51"/>
    <x v="932"/>
    <s v="expense"/>
    <s v="rc_cat_1781955063347_5qjb_1781955063347_tezk"/>
    <s v="rc_acc_1781955063347_uxz4"/>
    <x v="1"/>
    <s v="the alley"/>
    <m/>
    <s v="import"/>
    <s v=""/>
    <b v="0"/>
    <s v=""/>
  </r>
  <r>
    <s v="4e7d8aed-80e4-4cb1-94f2-62e88fe8a17e"/>
    <x v="935"/>
    <s v="12:46"/>
    <x v="704"/>
    <s v="expense"/>
    <s v="rc_cat_1781955063347_5qjb_1781955063347_tezk"/>
    <s v="rc_acc_1781955063347_uxz4"/>
    <x v="1"/>
    <s v="-"/>
    <m/>
    <s v="import"/>
    <s v=""/>
    <b v="0"/>
    <s v=""/>
  </r>
  <r>
    <s v="14f32bad-2cd7-4cec-a69e-a1027130661a"/>
    <x v="935"/>
    <s v="13:46"/>
    <x v="199"/>
    <s v="expense"/>
    <s v="rc_cat_1781955063347_5qjb_1781955063347_tezk"/>
    <s v="rc_acc_1781955063347_uxz4"/>
    <x v="1"/>
    <s v="-"/>
    <m/>
    <s v="import"/>
    <s v=""/>
    <b v="0"/>
    <s v=""/>
  </r>
  <r>
    <s v="e90baa95-a5e8-4469-a91c-38ec1427c00e"/>
    <x v="935"/>
    <s v="19:55"/>
    <x v="315"/>
    <s v="expense"/>
    <s v="rc_cat_1781955063347_5qjb_1781955063347_tezk"/>
    <s v="rc_acc_1781955063347_uxz4"/>
    <x v="1"/>
    <s v="isakaya"/>
    <m/>
    <s v="import"/>
    <s v=""/>
    <b v="0"/>
    <s v=""/>
  </r>
  <r>
    <s v="d0238a50-8137-41a3-9955-a9ed206e6344"/>
    <x v="936"/>
    <s v="00:00"/>
    <x v="387"/>
    <s v="transfer"/>
    <s v="other"/>
    <s v="rc_acc_1781955063347_uxz4"/>
    <x v="17"/>
    <s v="-"/>
    <m/>
    <s v="import"/>
    <s v=""/>
    <b v="0"/>
    <s v=""/>
  </r>
  <r>
    <s v="2c78a354-3479-414e-8def-d79b08d9074b"/>
    <x v="936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2fdda738-e13e-42b9-a6f1-ac67b95b75ff"/>
    <x v="936"/>
    <s v="12:51"/>
    <x v="1377"/>
    <s v="expense"/>
    <s v="rc_cat_1781955063347_5qjb_1781955063347_tezk"/>
    <s v="rc_acc_1781955063347_kjxt"/>
    <x v="1"/>
    <s v="-"/>
    <m/>
    <s v="import"/>
    <s v=""/>
    <b v="0"/>
    <s v=""/>
  </r>
  <r>
    <s v="e5c1fbbf-3b66-44de-addd-2fd08ab67dbd"/>
    <x v="936"/>
    <s v="12:51"/>
    <x v="150"/>
    <s v="expense"/>
    <s v="rc_cat_1781955063347_5qjb_1781955063347_tezk"/>
    <s v="rc_acc_1781955063347_e3zv"/>
    <x v="1"/>
    <s v="-"/>
    <m/>
    <s v="import"/>
    <s v=""/>
    <b v="0"/>
    <s v=""/>
  </r>
  <r>
    <s v="09a97fde-e53d-4adc-b84c-79dee7cfcca1"/>
    <x v="937"/>
    <s v="15:37"/>
    <x v="211"/>
    <s v="transfer"/>
    <s v="other"/>
    <s v="rc_acc_1781955063347_uxz4"/>
    <x v="10"/>
    <s v="scb port"/>
    <m/>
    <s v="import"/>
    <s v=""/>
    <b v="0"/>
    <s v=""/>
  </r>
  <r>
    <s v="9b3c8591-ac32-4643-aaff-e48d09ac51e3"/>
    <x v="937"/>
    <s v="15:43"/>
    <x v="1203"/>
    <s v="transfer"/>
    <s v="other"/>
    <s v="rc_acc_1781955063347_uxz4"/>
    <x v="2"/>
    <s v="oui roddeeded"/>
    <m/>
    <s v="import"/>
    <s v=""/>
    <b v="0"/>
    <s v=""/>
  </r>
  <r>
    <s v="d808fa76-f76f-4154-91ac-77e96e2c31c7"/>
    <x v="937"/>
    <s v="16:36"/>
    <x v="1378"/>
    <s v="transfer"/>
    <s v="other"/>
    <s v="rc_acc_1781955063347_0qmn"/>
    <x v="5"/>
    <s v="-"/>
    <m/>
    <s v="import"/>
    <s v=""/>
    <b v="0"/>
    <s v=""/>
  </r>
  <r>
    <s v="43048c0f-064a-4372-9980-a43947b2b367"/>
    <x v="937"/>
    <s v="18:39"/>
    <x v="175"/>
    <s v="transfer"/>
    <s v="other"/>
    <s v="rc_acc_1781955063347_uxz4"/>
    <x v="16"/>
    <s v="-"/>
    <m/>
    <s v="import"/>
    <s v=""/>
    <b v="0"/>
    <s v=""/>
  </r>
  <r>
    <s v="0c4ffce6-6ff8-46ee-aec0-b53d0f40905d"/>
    <x v="937"/>
    <s v="18:43"/>
    <x v="87"/>
    <s v="transfer"/>
    <s v="other"/>
    <s v="rc_acc_1781955063347_omhz"/>
    <x v="5"/>
    <s v="-"/>
    <m/>
    <s v="import"/>
    <s v=""/>
    <b v="0"/>
    <s v=""/>
  </r>
  <r>
    <s v="b62cb474-6f76-41fd-bb4c-01cecbeb9628"/>
    <x v="937"/>
    <s v="18:57"/>
    <x v="1379"/>
    <s v="income"/>
    <s v="other_1781955063347_5s7r"/>
    <s v="rc_acc_1781955063347_omhz"/>
    <x v="1"/>
    <s v="Difference"/>
    <m/>
    <s v="import"/>
    <s v=""/>
    <b v="0"/>
    <s v=""/>
  </r>
  <r>
    <s v="bdc20880-bb26-4d07-b7d0-ee96a70d6d53"/>
    <x v="938"/>
    <s v="15:40"/>
    <x v="1380"/>
    <s v="expense"/>
    <s v="rc_cat_1781955063347_anhy_1781955063347_qnaz"/>
    <s v="rc_acc_1781955063347_uxz4"/>
    <x v="1"/>
    <s v="ของเล่นฟรังโฟริน"/>
    <m/>
    <s v="import"/>
    <s v=""/>
    <b v="0"/>
    <s v=""/>
  </r>
  <r>
    <s v="cf8cebca-7ca7-4876-9589-4c471edf0497"/>
    <x v="938"/>
    <s v="15:45"/>
    <x v="432"/>
    <s v="expense"/>
    <s v="rc_cat_1781955063347_anhy_1781955063350_fcpb"/>
    <s v="rc_acc_1781955063347_kjxt"/>
    <x v="1"/>
    <s v="-"/>
    <m/>
    <s v="import"/>
    <s v=""/>
    <b v="0"/>
    <s v=""/>
  </r>
  <r>
    <s v="b3561092-6512-41bd-951b-05c7081d31e9"/>
    <x v="939"/>
    <s v="12:08"/>
    <x v="1275"/>
    <s v="expense"/>
    <s v="rc_cat_1781955063347_5qjb_1781955063347_irl1"/>
    <s v="rc_acc_1781955063347_hv85"/>
    <x v="1"/>
    <s v="(2/6)"/>
    <m/>
    <s v="import"/>
    <s v=""/>
    <b v="0"/>
    <s v=""/>
  </r>
  <r>
    <s v="b9b19900-505c-4fcf-925e-3966ddba9638"/>
    <x v="939"/>
    <s v="15:49"/>
    <x v="1381"/>
    <s v="expense"/>
    <s v="rc_cat_1781955063347_5qjb_1781955063348_wpky"/>
    <s v="rc_acc_1781955063347_hv85"/>
    <x v="1"/>
    <s v="(1/6)"/>
    <m/>
    <s v="import"/>
    <s v=""/>
    <b v="0"/>
    <s v=""/>
  </r>
  <r>
    <s v="321d1c78-413b-4413-a037-1907f8cb6fae"/>
    <x v="940"/>
    <s v="16:00"/>
    <x v="182"/>
    <s v="income"/>
    <s v="income_1781955063347_zblt"/>
    <s v="rc_acc_1781955063347_sv7p"/>
    <x v="1"/>
    <s v="-"/>
    <m/>
    <s v="import"/>
    <s v=""/>
    <b v="0"/>
    <s v=""/>
  </r>
  <r>
    <s v="ff362bd7-a3b7-4c80-ada9-100d71ce22c1"/>
    <x v="941"/>
    <s v="11:45"/>
    <x v="1094"/>
    <s v="expense"/>
    <s v="rc_cat_1781955063347_5qjb_1781955063347_tezk"/>
    <s v="rc_acc_1781955063347_uxz4"/>
    <x v="1"/>
    <s v="-"/>
    <m/>
    <s v="import"/>
    <s v=""/>
    <b v="0"/>
    <s v=""/>
  </r>
  <r>
    <s v="e0aa3b57-acd4-4877-ab04-7a6b371b48b9"/>
    <x v="942"/>
    <s v="18:50"/>
    <x v="150"/>
    <s v="expense"/>
    <s v="rc_cat_1781955063347_5qjb_1781955063347_tezk"/>
    <s v="rc_acc_1781955063347_omhz"/>
    <x v="1"/>
    <s v="-"/>
    <m/>
    <s v="import"/>
    <s v=""/>
    <b v="0"/>
    <s v=""/>
  </r>
  <r>
    <s v="08981b75-fd90-4546-ab9c-30602df88088"/>
    <x v="943"/>
    <s v="12:40"/>
    <x v="1382"/>
    <s v="expense"/>
    <s v="rc_cat_1781955063347_04qb_1781955063347_wt5p"/>
    <s v="rc_acc_1781955063347_uxz4"/>
    <x v="1"/>
    <s v="-"/>
    <m/>
    <s v="import"/>
    <s v=""/>
    <b v="0"/>
    <s v=""/>
  </r>
  <r>
    <s v="95d3906f-64d7-4205-a8bf-f99214bddd48"/>
    <x v="943"/>
    <s v="14:13"/>
    <x v="78"/>
    <s v="expense"/>
    <s v="rc_cat_1781955063347_5qjb_1781955063348_xqml"/>
    <s v="rc_acc_1781955063347_uxz4"/>
    <x v="1"/>
    <s v="ตู้เยน digital door lock"/>
    <m/>
    <s v="import"/>
    <s v=""/>
    <b v="0"/>
    <s v=""/>
  </r>
  <r>
    <s v="28917754-aab7-421f-9d47-63781d363386"/>
    <x v="943"/>
    <s v="14:14"/>
    <x v="886"/>
    <s v="transfer"/>
    <s v="other"/>
    <s v="rc_acc_1781955063347_kjxt"/>
    <x v="5"/>
    <s v="รับค่าบอร์ดเกมล่วงหน้า"/>
    <m/>
    <s v="import"/>
    <s v=""/>
    <b v="0"/>
    <s v=""/>
  </r>
  <r>
    <s v="072aabfb-a42e-4ec5-9e0d-3dcf0ed51452"/>
    <x v="943"/>
    <s v="14:19"/>
    <x v="1383"/>
    <s v="expense"/>
    <s v="entertain_1781955063347_8r8e"/>
    <s v="rc_acc_1781955063347_kjxt"/>
    <x v="1"/>
    <s v="boardgame"/>
    <m/>
    <s v="import"/>
    <s v=""/>
    <b v="0"/>
    <s v=""/>
  </r>
  <r>
    <s v="7074b0bc-4f3c-403f-9a28-c022974efb33"/>
    <x v="943"/>
    <s v="18:48"/>
    <x v="146"/>
    <s v="expense"/>
    <s v="entertain_1781955063348_kx2f"/>
    <s v="rc_acc_1781955063347_omhz"/>
    <x v="1"/>
    <s v="ฐาน ฟิล์ม"/>
    <m/>
    <s v="import"/>
    <s v=""/>
    <b v="0"/>
    <s v=""/>
  </r>
  <r>
    <s v="d135644a-8bca-47c8-a21b-4959b15b471c"/>
    <x v="943"/>
    <s v="18:57"/>
    <x v="265"/>
    <s v="transfer"/>
    <s v="other"/>
    <s v="rc_acc_1781955063347_omhz"/>
    <x v="5"/>
    <s v="-"/>
    <m/>
    <s v="import"/>
    <s v=""/>
    <b v="0"/>
    <s v=""/>
  </r>
  <r>
    <s v="b37451f5-80f1-4200-a082-1e5f80d9eb0e"/>
    <x v="943"/>
    <s v="19:08"/>
    <x v="1379"/>
    <s v="expense"/>
    <s v="rc_cat_1781955063347_5qjb_1781955063348_xqml"/>
    <s v="rc_acc_1781955063347_omhz"/>
    <x v="1"/>
    <s v="-"/>
    <m/>
    <s v="import"/>
    <s v=""/>
    <b v="0"/>
    <s v=""/>
  </r>
  <r>
    <s v="063f177c-91ee-413c-8473-48e0211d1552"/>
    <x v="943"/>
    <s v="19:09"/>
    <x v="19"/>
    <s v="transfer"/>
    <s v="other"/>
    <s v="rc_acc_1781955063347_uxz4"/>
    <x v="16"/>
    <s v="-"/>
    <m/>
    <s v="import"/>
    <s v=""/>
    <b v="0"/>
    <s v=""/>
  </r>
  <r>
    <s v="97974b5e-21b1-4017-8757-6f54091e9af8"/>
    <x v="943"/>
    <s v="20:58"/>
    <x v="1384"/>
    <s v="transfer"/>
    <s v="other"/>
    <s v="rc_acc_1781955063347_0qmn"/>
    <x v="14"/>
    <s v="-"/>
    <m/>
    <s v="import"/>
    <s v=""/>
    <b v="0"/>
    <s v=""/>
  </r>
  <r>
    <s v="4bd21363-a70a-410f-ac9c-bf3f14317f36"/>
    <x v="944"/>
    <s v="00:00"/>
    <x v="8"/>
    <s v="transfer"/>
    <s v="other"/>
    <s v="rc_acc_1781955063347_uxz4"/>
    <x v="25"/>
    <s v="-"/>
    <m/>
    <s v="import"/>
    <s v=""/>
    <b v="0"/>
    <s v=""/>
  </r>
  <r>
    <s v="71e84dc4-6806-4737-8b9a-96ca37418f67"/>
    <x v="944"/>
    <s v="08:47"/>
    <x v="1385"/>
    <s v="transfer"/>
    <s v="other"/>
    <s v="rc_acc_1781955063348_obza"/>
    <x v="14"/>
    <s v="-"/>
    <m/>
    <s v="import"/>
    <s v=""/>
    <b v="0"/>
    <s v=""/>
  </r>
  <r>
    <s v="84abbbdc-d71a-4a02-b5ab-1613c0ce387a"/>
    <x v="944"/>
    <s v="18:48"/>
    <x v="1386"/>
    <s v="transfer"/>
    <s v="other"/>
    <s v="rc_acc_1781955063347_uxz4"/>
    <x v="12"/>
    <s v="-"/>
    <m/>
    <s v="import"/>
    <s v=""/>
    <b v="0"/>
    <s v=""/>
  </r>
  <r>
    <s v="07f7a4a6-05da-44a3-9dfd-b7a3a15f4a01"/>
    <x v="944"/>
    <s v="20:00"/>
    <x v="545"/>
    <s v="expense"/>
    <s v="rc_cat_1781955063347_5qjb_1781955063347_tezk"/>
    <s v="rc_acc_1781955063347_uxz4"/>
    <x v="1"/>
    <s v="-"/>
    <m/>
    <s v="import"/>
    <s v=""/>
    <b v="0"/>
    <s v=""/>
  </r>
  <r>
    <s v="2db6c395-f4bb-4564-a1ba-d622aa6dbd7b"/>
    <x v="945"/>
    <s v="20:47"/>
    <x v="1387"/>
    <s v="expense"/>
    <s v="rc_cat_1781955063347_anhy_1781955063350_fcpb"/>
    <s v="rc_acc_1781955063347_kjxt"/>
    <x v="1"/>
    <s v="barbgon"/>
    <m/>
    <s v="import"/>
    <s v=""/>
    <b v="0"/>
    <s v=""/>
  </r>
  <r>
    <s v="84ec7caa-4241-44d3-8628-e1c68a2f2f2d"/>
    <x v="946"/>
    <s v="14:17"/>
    <x v="199"/>
    <s v="expense"/>
    <s v="rc_cat_1781955063347_5qjb_1781955063347_tezk"/>
    <s v="rc_acc_1781955063347_uxz4"/>
    <x v="1"/>
    <s v="-"/>
    <m/>
    <s v="import"/>
    <s v=""/>
    <b v="0"/>
    <s v=""/>
  </r>
  <r>
    <s v="5d3d0797-559e-47bc-b59e-57daadd98ca6"/>
    <x v="946"/>
    <s v="14:17"/>
    <x v="35"/>
    <s v="expense"/>
    <s v="rc_cat_1781955063347_anhy_1781955063347_qnaz"/>
    <s v="rc_acc_1781955063347_uxz4"/>
    <x v="1"/>
    <s v="แต๊ะเอีย"/>
    <m/>
    <s v="import"/>
    <s v=""/>
    <b v="0"/>
    <s v=""/>
  </r>
  <r>
    <s v="ea08c72b-0101-4002-8980-e1f3c1cd7ce2"/>
    <x v="947"/>
    <s v="00:00"/>
    <x v="5"/>
    <s v="expense"/>
    <s v="rc_cat_1781955063347_anhy_1781955063347_qnaz"/>
    <s v="rc_acc_1781955063347_uxz4"/>
    <x v="1"/>
    <s v="-"/>
    <m/>
    <s v="import"/>
    <s v=""/>
    <b v="0"/>
    <s v=""/>
  </r>
  <r>
    <s v="092b61a8-afb0-49a9-ba24-1628d7add4a4"/>
    <x v="948"/>
    <s v="13:46"/>
    <x v="1094"/>
    <s v="expense"/>
    <s v="rc_cat_1781955063347_5qjb_1781955063347_tezk"/>
    <s v="rc_acc_1781955063347_uxz4"/>
    <x v="1"/>
    <s v="เกาเหลา"/>
    <m/>
    <s v="import"/>
    <s v=""/>
    <b v="0"/>
    <s v=""/>
  </r>
  <r>
    <s v="c3d61e94-7ba3-415d-bb0f-1be60dd80c28"/>
    <x v="949"/>
    <s v="00:00"/>
    <x v="1388"/>
    <s v="expense"/>
    <s v="rc_cat_1781955063347_04qb_1781955063347_kgnn"/>
    <s v="rc_acc_1781955063347_uxz4"/>
    <x v="1"/>
    <s v="-"/>
    <m/>
    <s v="import"/>
    <s v=""/>
    <b v="0"/>
    <s v=""/>
  </r>
  <r>
    <s v="7d64ae3f-b14d-426d-9c9c-7025b58a70f4"/>
    <x v="949"/>
    <s v="00:00"/>
    <x v="1389"/>
    <s v="expense"/>
    <s v="rc_cat_1781955063347_04qb_1781955063347_lu9b"/>
    <s v="rc_acc_1781955063347_uxz4"/>
    <x v="1"/>
    <s v="-"/>
    <m/>
    <s v="import"/>
    <s v=""/>
    <b v="0"/>
    <s v=""/>
  </r>
  <r>
    <s v="afc5168b-a90a-4e50-847d-78304ad8235c"/>
    <x v="949"/>
    <s v="00:00"/>
    <x v="1169"/>
    <s v="transfer"/>
    <s v="other"/>
    <s v="rc_acc_1781955063347_uxz4"/>
    <x v="20"/>
    <s v="-"/>
    <m/>
    <s v="import"/>
    <s v=""/>
    <b v="0"/>
    <s v=""/>
  </r>
  <r>
    <s v="c7a0d06a-9cb0-402f-8812-dcddb958a970"/>
    <x v="949"/>
    <s v="00:00"/>
    <x v="128"/>
    <s v="transfer"/>
    <s v="other"/>
    <s v="rc_acc_1781955063347_uxz4"/>
    <x v="21"/>
    <s v="-"/>
    <m/>
    <s v="import"/>
    <s v=""/>
    <b v="0"/>
    <s v=""/>
  </r>
  <r>
    <s v="181d16aa-3326-4f29-b687-9bac952012b6"/>
    <x v="949"/>
    <s v="00:00"/>
    <x v="31"/>
    <s v="transfer"/>
    <s v="other"/>
    <s v="rc_acc_1781955063347_uxz4"/>
    <x v="7"/>
    <s v="-"/>
    <m/>
    <s v="import"/>
    <s v=""/>
    <b v="0"/>
    <s v=""/>
  </r>
  <r>
    <s v="eb4301d1-5e76-43ac-8783-4d886f0e661b"/>
    <x v="949"/>
    <s v="00:00"/>
    <x v="1390"/>
    <s v="transfer"/>
    <s v="other"/>
    <s v="rc_acc_1781955063347_uxz4"/>
    <x v="8"/>
    <s v="-"/>
    <m/>
    <s v="import"/>
    <s v=""/>
    <b v="0"/>
    <s v=""/>
  </r>
  <r>
    <s v="1d16b9ae-5cd9-448b-b2b7-add042c1c718"/>
    <x v="949"/>
    <s v="00:00"/>
    <x v="1391"/>
    <s v="income"/>
    <s v="income_1781955063347_5zxt"/>
    <s v="rc_acc_1781955063347_uxz4"/>
    <x v="1"/>
    <s v="-"/>
    <m/>
    <s v="import"/>
    <s v=""/>
    <b v="0"/>
    <s v=""/>
  </r>
  <r>
    <s v="41969719-1468-4f03-8e3e-5e1fb9b94e86"/>
    <x v="949"/>
    <s v="00:00"/>
    <x v="1392"/>
    <s v="income"/>
    <s v="income_1781955063347_zblt"/>
    <s v="rc_acc_1781955063347_uxz4"/>
    <x v="1"/>
    <s v="-"/>
    <m/>
    <s v="import"/>
    <s v=""/>
    <b v="0"/>
    <s v=""/>
  </r>
  <r>
    <s v="39bf498c-c5ac-4c80-add8-a43507cd238c"/>
    <x v="949"/>
    <s v="08:46"/>
    <x v="759"/>
    <s v="expense"/>
    <s v="rc_cat_1781955063347_5qjb_1781955063348_wpky"/>
    <s v="rc_acc_1781955063347_uxz4"/>
    <x v="1"/>
    <s v="-"/>
    <m/>
    <s v="import"/>
    <s v=""/>
    <b v="0"/>
    <s v=""/>
  </r>
  <r>
    <s v="510e18a3-686a-4c4c-9f21-d01746d1ea23"/>
    <x v="950"/>
    <s v="11:54"/>
    <x v="1393"/>
    <s v="expense"/>
    <s v="other_1781955063347_5s7r"/>
    <s v="rc_acc_1781955063348_w3gp"/>
    <x v="1"/>
    <s v="Difference"/>
    <m/>
    <s v="import"/>
    <s v=""/>
    <b v="0"/>
    <s v=""/>
  </r>
  <r>
    <s v="d7aa40c6-08fd-4b71-94e3-bce1a88a7e53"/>
    <x v="950"/>
    <s v="12:38"/>
    <x v="1394"/>
    <s v="transfer"/>
    <s v="other"/>
    <s v="rc_acc_1781955063347_0qmn"/>
    <x v="5"/>
    <s v="-"/>
    <m/>
    <s v="import"/>
    <s v=""/>
    <b v="0"/>
    <s v=""/>
  </r>
  <r>
    <s v="7a27c764-9c71-4720-97f2-8d0b67a1d193"/>
    <x v="950"/>
    <s v="12:39"/>
    <x v="1395"/>
    <s v="transfer"/>
    <s v="other"/>
    <s v="rc_acc_1781955063347_uxz4"/>
    <x v="31"/>
    <s v="-"/>
    <m/>
    <s v="import"/>
    <s v=""/>
    <b v="0"/>
    <s v=""/>
  </r>
  <r>
    <s v="4941935d-ae50-47f3-955a-20473378298a"/>
    <x v="950"/>
    <s v="12:41"/>
    <x v="757"/>
    <s v="expense"/>
    <s v="rc_cat_1781955063347_5qjb_1781955063347_tezk"/>
    <s v="rc_acc_1781955063347_sv7p"/>
    <x v="1"/>
    <s v="-"/>
    <m/>
    <s v="import"/>
    <s v=""/>
    <b v="0"/>
    <s v=""/>
  </r>
  <r>
    <s v="fe60b663-2396-40b4-9bd8-d613e68c6aaa"/>
    <x v="950"/>
    <s v="12:41"/>
    <x v="1396"/>
    <s v="expense"/>
    <s v="other_1781955063347_5s7r"/>
    <s v="rc_acc_1781955063347_sv7p"/>
    <x v="1"/>
    <s v="Difference"/>
    <m/>
    <s v="import"/>
    <s v=""/>
    <b v="0"/>
    <s v=""/>
  </r>
  <r>
    <s v="669c23ad-a940-4638-a1d8-6512d79f3a70"/>
    <x v="950"/>
    <s v="13:22"/>
    <x v="886"/>
    <s v="income"/>
    <s v="income_1781955063347_zblt"/>
    <s v="rc_acc_1781955063347_uxz4"/>
    <x v="1"/>
    <s v="โคคาจากอุ้ย"/>
    <m/>
    <s v="import"/>
    <s v=""/>
    <b v="0"/>
    <s v=""/>
  </r>
  <r>
    <s v="5611003f-43ee-4a5a-96e5-44dbd9c28f1c"/>
    <x v="950"/>
    <s v="23:11"/>
    <x v="911"/>
    <s v="expense"/>
    <s v="entertain_1781955063348_kx2f"/>
    <s v="rc_acc_1781955063347_hv85"/>
    <x v="1"/>
    <s v="youtube premium"/>
    <m/>
    <s v="import"/>
    <s v=""/>
    <b v="0"/>
    <s v=""/>
  </r>
  <r>
    <s v="0b9c0526-65b3-49a0-a185-e0f0e42fb2ac"/>
    <x v="951"/>
    <s v="11:54"/>
    <x v="317"/>
    <s v="expense"/>
    <s v="entertain_1781955063348_kx2f"/>
    <s v="rc_acc_1781955063348_w3gp"/>
    <x v="1"/>
    <s v="spirit island app"/>
    <m/>
    <s v="import"/>
    <s v=""/>
    <b v="0"/>
    <s v=""/>
  </r>
  <r>
    <s v="2c22721d-4912-4c13-8aae-2f89e1b92926"/>
    <x v="952"/>
    <s v="11:30"/>
    <x v="317"/>
    <s v="expense"/>
    <s v="rc_cat_1781955063347_5qjb_1781955063347_tezk"/>
    <s v="rc_acc_1781955063347_uxz4"/>
    <x v="1"/>
    <s v="-"/>
    <m/>
    <s v="import"/>
    <s v=""/>
    <b v="0"/>
    <s v=""/>
  </r>
  <r>
    <s v="d5723fdb-5206-4f94-98dd-82a9b7b2ed81"/>
    <x v="952"/>
    <s v="19:15"/>
    <x v="1397"/>
    <s v="expense"/>
    <s v="entertain_1781955063348_32wr"/>
    <s v="rc_acc_1781955063347_uxz4"/>
    <x v="1"/>
    <s v="-"/>
    <m/>
    <s v="import"/>
    <s v=""/>
    <b v="0"/>
    <s v=""/>
  </r>
  <r>
    <s v="4b3c60a0-ce32-458c-97b0-e6fcca2830be"/>
    <x v="953"/>
    <s v="11:14"/>
    <x v="1058"/>
    <s v="income"/>
    <s v="income_1781955063347_zblt"/>
    <s v="rc_acc_1781955063347_uxz4"/>
    <x v="1"/>
    <s v="-"/>
    <m/>
    <s v="import"/>
    <s v=""/>
    <b v="0"/>
    <s v=""/>
  </r>
  <r>
    <s v="afe06a96-b3fe-4df5-b4aa-46365b1fc5ef"/>
    <x v="954"/>
    <s v="20:01"/>
    <x v="1398"/>
    <s v="expense"/>
    <s v="rc_cat_1781955063347_s4sz_1781955063347_deos"/>
    <s v="rc_acc_1781955063347_kjxt"/>
    <x v="1"/>
    <s v="mx master 3"/>
    <m/>
    <s v="import"/>
    <s v=""/>
    <b v="0"/>
    <s v=""/>
  </r>
  <r>
    <s v="1c1db7ae-2c56-45da-bc75-7d43169ebd44"/>
    <x v="955"/>
    <s v="12:10"/>
    <x v="1384"/>
    <s v="expense"/>
    <s v="rc_cat_1781955063347_5qjb_1781955063348_wpky"/>
    <s v="rc_acc_1781955063347_hv85"/>
    <x v="1"/>
    <s v="-"/>
    <m/>
    <s v="import"/>
    <s v=""/>
    <b v="0"/>
    <s v=""/>
  </r>
  <r>
    <s v="7a405d5a-8fcd-45c0-a543-ea8684ba488e"/>
    <x v="956"/>
    <s v="15:13"/>
    <x v="1018"/>
    <s v="expense"/>
    <s v="rc_cat_1781955063347_5qjb_1781955063347_tezk"/>
    <s v="rc_acc_1781955063347_uxz4"/>
    <x v="1"/>
    <s v="starbucks"/>
    <m/>
    <s v="import"/>
    <s v=""/>
    <b v="0"/>
    <s v=""/>
  </r>
  <r>
    <s v="5b8e5431-55f2-4737-b684-0083bc48c239"/>
    <x v="956"/>
    <s v="15:49"/>
    <x v="606"/>
    <s v="expense"/>
    <s v="rc_cat_1781955063347_anhy_1781955063347_qnaz"/>
    <s v="rc_acc_1781955063347_e3zv"/>
    <x v="1"/>
    <s v="moderna"/>
    <m/>
    <s v="import"/>
    <s v=""/>
    <b v="0"/>
    <s v=""/>
  </r>
  <r>
    <s v="6cffefd3-2346-484d-861e-99e8d6b39382"/>
    <x v="956"/>
    <s v="15:54"/>
    <x v="315"/>
    <s v="transfer"/>
    <s v="other"/>
    <s v="rc_acc_1781955063347_0qmn"/>
    <x v="4"/>
    <s v="-"/>
    <m/>
    <s v="import"/>
    <s v=""/>
    <b v="0"/>
    <s v=""/>
  </r>
  <r>
    <s v="d1eae704-9a18-483d-8a77-1124893d829a"/>
    <x v="957"/>
    <s v="00:00"/>
    <x v="387"/>
    <s v="transfer"/>
    <s v="other"/>
    <s v="rc_acc_1781955063347_uxz4"/>
    <x v="17"/>
    <s v="-"/>
    <m/>
    <s v="import"/>
    <s v=""/>
    <b v="0"/>
    <s v=""/>
  </r>
  <r>
    <s v="be695deb-bd08-41f0-9556-22dfb09976b0"/>
    <x v="957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d40eb26c-44fe-4130-bb1d-ae710fe50a76"/>
    <x v="958"/>
    <s v="12:17"/>
    <x v="22"/>
    <s v="income"/>
    <s v="income_1781955063347_zblt"/>
    <s v="rc_acc_1781955063347_hv85"/>
    <x v="1"/>
    <s v="-"/>
    <m/>
    <s v="import"/>
    <s v=""/>
    <b v="0"/>
    <s v=""/>
  </r>
  <r>
    <s v="5d767771-0b12-4c56-ab6d-4e67133d2539"/>
    <x v="959"/>
    <s v="12:16"/>
    <x v="317"/>
    <s v="expense"/>
    <s v="rc_cat_1781955063347_5qjb_1781955063347_tezk"/>
    <s v="rc_acc_1781955063347_uxz4"/>
    <x v="1"/>
    <s v="-"/>
    <m/>
    <s v="import"/>
    <s v=""/>
    <b v="0"/>
    <s v=""/>
  </r>
  <r>
    <s v="2e8d7d41-f419-4587-8264-be54a9bd6063"/>
    <x v="959"/>
    <s v="12:40"/>
    <x v="10"/>
    <s v="expense"/>
    <s v="rc_cat_1781955063347_5qjb_1781955063347_tezk"/>
    <s v="rc_acc_1781955063347_sv7p"/>
    <x v="1"/>
    <s v="-"/>
    <m/>
    <s v="import"/>
    <s v=""/>
    <b v="0"/>
    <s v=""/>
  </r>
  <r>
    <s v="3de179e8-99e5-42fb-8a00-eda3fbc93c2f"/>
    <x v="960"/>
    <s v="12:08"/>
    <x v="1275"/>
    <s v="expense"/>
    <s v="rc_cat_1781955063347_5qjb_1781955063347_irl1"/>
    <s v="rc_acc_1781955063347_hv85"/>
    <x v="1"/>
    <s v="(1/6)"/>
    <m/>
    <s v="import"/>
    <s v=""/>
    <b v="0"/>
    <s v=""/>
  </r>
  <r>
    <s v="1dc8cbe9-c6ce-45c2-a2bc-742a905f5ddb"/>
    <x v="961"/>
    <s v="14:18"/>
    <x v="234"/>
    <s v="expense"/>
    <s v="other_1781955063348_yjhe"/>
    <s v="rc_acc_1781955063347_e3zv"/>
    <x v="1"/>
    <s v="ซองงานแต่ง"/>
    <m/>
    <s v="import"/>
    <s v=""/>
    <b v="0"/>
    <s v=""/>
  </r>
  <r>
    <s v="e5587b5d-7b63-4cd4-b258-95233510155d"/>
    <x v="961"/>
    <s v="14:51"/>
    <x v="1113"/>
    <s v="transfer"/>
    <s v="other"/>
    <s v="rc_acc_1781955063347_omhz"/>
    <x v="5"/>
    <s v="-"/>
    <m/>
    <s v="import"/>
    <s v=""/>
    <b v="0"/>
    <s v=""/>
  </r>
  <r>
    <s v="0d7c34e2-24cc-4180-8fe3-2770fae6147a"/>
    <x v="961"/>
    <s v="15:48"/>
    <x v="1399"/>
    <s v="expense"/>
    <s v="rc_cat_1781955063347_5qjb_1781955063347_tezk"/>
    <s v="rc_acc_1781955063347_sv7p"/>
    <x v="1"/>
    <s v="coca"/>
    <m/>
    <s v="import"/>
    <s v=""/>
    <b v="0"/>
    <s v=""/>
  </r>
  <r>
    <s v="f9430763-016a-4071-a733-9bf167c64979"/>
    <x v="962"/>
    <s v="15:12"/>
    <x v="138"/>
    <s v="expense"/>
    <s v="rc_cat_1781955063347_s4sz_1781955063349_sg2w"/>
    <s v="rc_acc_1781955063347_e3zv"/>
    <x v="1"/>
    <s v="ซักแห้ง แพงสัส"/>
    <m/>
    <s v="import"/>
    <s v=""/>
    <b v="0"/>
    <s v=""/>
  </r>
  <r>
    <s v="950e7fd5-6e84-4bde-8d0c-47fac9f41c74"/>
    <x v="962"/>
    <s v="15:50"/>
    <x v="424"/>
    <s v="expense"/>
    <s v="rc_cat_1781955063347_anhy_1781955063347_qnaz"/>
    <s v="rc_acc_1781955063347_uxz4"/>
    <x v="1"/>
    <s v="-"/>
    <m/>
    <s v="import"/>
    <s v=""/>
    <b v="0"/>
    <s v=""/>
  </r>
  <r>
    <s v="5dad88ec-72c8-429e-9333-0110c2a04e29"/>
    <x v="962"/>
    <s v="17:04"/>
    <x v="212"/>
    <s v="expense"/>
    <s v="rc_cat_1781955063347_anhy_1781955063347_qnaz"/>
    <s v="rc_acc_1781955063347_e3zv"/>
    <x v="1"/>
    <s v="-"/>
    <m/>
    <s v="import"/>
    <s v=""/>
    <b v="0"/>
    <s v=""/>
  </r>
  <r>
    <s v="dc508743-d9a5-49cb-9385-bd4e9b65c8a3"/>
    <x v="962"/>
    <s v="17:04"/>
    <x v="515"/>
    <s v="transfer"/>
    <s v="other"/>
    <s v="kbank"/>
    <x v="12"/>
    <s v="-"/>
    <m/>
    <s v="import"/>
    <s v=""/>
    <b v="0"/>
    <s v=""/>
  </r>
  <r>
    <s v="bc1b8f7b-cbfa-4129-bbba-fe10edf9b754"/>
    <x v="963"/>
    <s v="18:57"/>
    <x v="373"/>
    <s v="transfer"/>
    <s v="other"/>
    <s v="rc_acc_1781955063347_pixu"/>
    <x v="5"/>
    <s v="-"/>
    <m/>
    <s v="import"/>
    <s v=""/>
    <b v="0"/>
    <s v=""/>
  </r>
  <r>
    <s v="6a05694c-dfeb-49f8-a2c6-574db1c809f1"/>
    <x v="963"/>
    <s v="19:03"/>
    <x v="178"/>
    <s v="expense"/>
    <s v="other_1781955063347_5s7r"/>
    <s v="rc_acc_1781955063348_2vnx"/>
    <x v="1"/>
    <s v="Difference"/>
    <m/>
    <s v="import"/>
    <s v=""/>
    <b v="0"/>
    <s v=""/>
  </r>
  <r>
    <s v="cd36551b-cbe0-4283-85d3-8b2b1045a570"/>
    <x v="964"/>
    <s v="18:03"/>
    <x v="1400"/>
    <s v="expense"/>
    <s v="entertain_1781955063348_kx2f"/>
    <s v="rc_acc_1781955063347_uxz4"/>
    <x v="1"/>
    <s v="-"/>
    <m/>
    <s v="import"/>
    <s v=""/>
    <b v="0"/>
    <s v=""/>
  </r>
  <r>
    <s v="4e9da82c-e5e1-4c07-ac5e-070b33a9bab7"/>
    <x v="964"/>
    <s v="18:57"/>
    <x v="315"/>
    <s v="transfer"/>
    <s v="other"/>
    <s v="kbank"/>
    <x v="38"/>
    <s v="-"/>
    <m/>
    <s v="import"/>
    <s v=""/>
    <b v="0"/>
    <s v=""/>
  </r>
  <r>
    <s v="850901ce-8aae-4324-ae31-edc8a736ef03"/>
    <x v="965"/>
    <s v="11:39"/>
    <x v="1173"/>
    <s v="expense"/>
    <s v="rc_cat_1781955063347_anhy_1781955063347_qnaz"/>
    <s v="rc_acc_1781955063348_w3gp"/>
    <x v="1"/>
    <s v="ค่าโทรศัพม์จ่ายล่วงหน้า"/>
    <m/>
    <s v="import"/>
    <s v=""/>
    <b v="0"/>
    <s v=""/>
  </r>
  <r>
    <s v="5d410405-0077-475f-bc82-3795b4aad5c6"/>
    <x v="966"/>
    <s v="18:49"/>
    <x v="1401"/>
    <s v="expense"/>
    <s v="rc_cat_1781955063347_04qb_1781955063347_wt5p"/>
    <s v="rc_acc_1781955063347_uxz4"/>
    <x v="1"/>
    <s v="-"/>
    <m/>
    <s v="import"/>
    <s v=""/>
    <b v="0"/>
    <s v=""/>
  </r>
  <r>
    <s v="fdc82208-d400-405c-aae7-90b31abe8b57"/>
    <x v="966"/>
    <s v="18:51"/>
    <x v="31"/>
    <s v="income"/>
    <s v="income_1781955063347_zblt"/>
    <s v="rc_acc_1781955063347_uxz4"/>
    <x v="1"/>
    <s v="-"/>
    <m/>
    <s v="import"/>
    <s v=""/>
    <b v="0"/>
    <s v=""/>
  </r>
  <r>
    <s v="3e3d0368-40ff-42f1-b382-8339155bb259"/>
    <x v="966"/>
    <s v="18:51"/>
    <x v="22"/>
    <s v="transfer"/>
    <s v="other"/>
    <s v="rc_acc_1781955063347_pixu"/>
    <x v="5"/>
    <s v="-"/>
    <m/>
    <s v="import"/>
    <s v=""/>
    <b v="0"/>
    <s v=""/>
  </r>
  <r>
    <s v="fee39eff-c97f-4a55-9d18-096c5a85b0d5"/>
    <x v="967"/>
    <s v="14:18"/>
    <x v="1178"/>
    <s v="transfer"/>
    <s v="other"/>
    <s v="rc_acc_1781955063347_e3zv"/>
    <x v="5"/>
    <s v="-"/>
    <m/>
    <s v="import"/>
    <s v=""/>
    <b v="0"/>
    <s v=""/>
  </r>
  <r>
    <s v="214ffbde-c4fd-482d-9b51-5df4a53ffc69"/>
    <x v="967"/>
    <s v="14:18"/>
    <x v="445"/>
    <s v="expense"/>
    <s v="rc_cat_1781955063347_5qjb_1781955063347_tezk"/>
    <s v="rc_acc_1781955063347_e3zv"/>
    <x v="1"/>
    <s v="-"/>
    <m/>
    <s v="import"/>
    <s v=""/>
    <b v="0"/>
    <s v=""/>
  </r>
  <r>
    <s v="482c44b6-039e-4289-96f7-85d8968beea7"/>
    <x v="967"/>
    <s v="17:25"/>
    <x v="53"/>
    <s v="expense"/>
    <s v="rc_cat_1781955063347_s4sz_1781955063347_9tpp"/>
    <s v="rc_acc_1781955063347_hv85"/>
    <x v="1"/>
    <s v="-"/>
    <m/>
    <s v="import"/>
    <s v=""/>
    <b v="0"/>
    <s v=""/>
  </r>
  <r>
    <s v="c0939264-ea22-49da-8476-610c51a9409d"/>
    <x v="967"/>
    <s v="20:33"/>
    <x v="1094"/>
    <s v="expense"/>
    <s v="rc_cat_1781955063347_5qjb_1781955063347_tezk"/>
    <s v="rc_acc_1781955063347_uxz4"/>
    <x v="1"/>
    <s v="เกาเกลาเนื้อ"/>
    <m/>
    <s v="import"/>
    <s v=""/>
    <b v="0"/>
    <s v=""/>
  </r>
  <r>
    <s v="17d3010a-1620-429f-b8ea-faa1bf04d076"/>
    <x v="968"/>
    <s v="09:35"/>
    <x v="565"/>
    <s v="transfer"/>
    <s v="other"/>
    <s v="kbank"/>
    <x v="12"/>
    <s v="-"/>
    <m/>
    <s v="import"/>
    <s v=""/>
    <b v="0"/>
    <s v=""/>
  </r>
  <r>
    <s v="dbc8de6b-eb39-41b4-935d-23d33d83bf4c"/>
    <x v="968"/>
    <s v="20:34"/>
    <x v="805"/>
    <s v="transfer"/>
    <s v="other"/>
    <s v="rc_acc_1781955063347_omhz"/>
    <x v="5"/>
    <s v="dairy queen"/>
    <m/>
    <s v="import"/>
    <s v=""/>
    <b v="0"/>
    <s v=""/>
  </r>
  <r>
    <s v="84d29d1f-951d-48cb-b6d4-3525bbd3b721"/>
    <x v="969"/>
    <s v="00:00"/>
    <x v="8"/>
    <s v="transfer"/>
    <s v="other"/>
    <s v="rc_acc_1781955063347_uxz4"/>
    <x v="25"/>
    <s v="-"/>
    <m/>
    <s v="import"/>
    <s v=""/>
    <b v="0"/>
    <s v=""/>
  </r>
  <r>
    <s v="c4eabaee-a1d5-4f46-9587-e8c48f44f2b9"/>
    <x v="969"/>
    <s v="19:05"/>
    <x v="185"/>
    <s v="expense"/>
    <s v="rc_cat_1781955063347_5qjb_1781955063347_tezk"/>
    <s v="rc_acc_1781955063348_w3gp"/>
    <x v="1"/>
    <s v="magnum"/>
    <m/>
    <s v="import"/>
    <s v=""/>
    <b v="0"/>
    <s v=""/>
  </r>
  <r>
    <s v="bbe3e263-6d6d-46af-b627-e9260a4728b8"/>
    <x v="970"/>
    <s v="14:18"/>
    <x v="1402"/>
    <s v="expense"/>
    <s v="other_1781955063347_5s7r"/>
    <s v="rc_acc_1781955063347_sv7p"/>
    <x v="1"/>
    <s v="Difference"/>
    <m/>
    <s v="import"/>
    <s v=""/>
    <b v="0"/>
    <s v=""/>
  </r>
  <r>
    <s v="343eec4f-6cdd-4065-a173-96af9fba8ecf"/>
    <x v="970"/>
    <s v="14:49"/>
    <x v="150"/>
    <s v="expense"/>
    <s v="rc_cat_1781955063347_5qjb_1781955063347_tezk"/>
    <s v="rc_acc_1781955063347_e3zv"/>
    <x v="1"/>
    <s v="-"/>
    <m/>
    <s v="import"/>
    <s v=""/>
    <b v="0"/>
    <s v=""/>
  </r>
  <r>
    <s v="dec3c9ea-f921-4474-9ff9-88ddb3dafb9d"/>
    <x v="970"/>
    <s v="19:16"/>
    <x v="1403"/>
    <s v="expense"/>
    <s v="other_1781955063347_5s7r"/>
    <s v="rc_acc_1781955063347_0qmn"/>
    <x v="1"/>
    <s v="Difference"/>
    <m/>
    <s v="import"/>
    <s v=""/>
    <b v="0"/>
    <s v=""/>
  </r>
  <r>
    <s v="4865afce-803e-46b7-bceb-cadeb2f3f744"/>
    <x v="970"/>
    <s v="23:01"/>
    <x v="685"/>
    <s v="transfer"/>
    <s v="other"/>
    <s v="rc_acc_1781955063347_kjxt"/>
    <x v="5"/>
    <s v="-"/>
    <m/>
    <s v="import"/>
    <s v=""/>
    <b v="0"/>
    <s v=""/>
  </r>
  <r>
    <s v="f62b0b32-4e22-4ec8-a992-9a660b59e3c5"/>
    <x v="970"/>
    <s v="23:01"/>
    <x v="1404"/>
    <s v="transfer"/>
    <s v="other"/>
    <s v="rc_acc_1781955063347_pixu"/>
    <x v="5"/>
    <s v="-"/>
    <m/>
    <s v="import"/>
    <s v=""/>
    <b v="0"/>
    <s v=""/>
  </r>
  <r>
    <s v="9b07d334-d1e6-4ea8-a9c1-625ee0cd60e6"/>
    <x v="970"/>
    <s v="23:02"/>
    <x v="1405"/>
    <s v="transfer"/>
    <s v="other"/>
    <s v="rc_acc_1781955063347_omhz"/>
    <x v="5"/>
    <s v="-"/>
    <m/>
    <s v="import"/>
    <s v=""/>
    <b v="0"/>
    <s v=""/>
  </r>
  <r>
    <s v="2ad3819a-83c2-42a6-be45-84bf9159dcee"/>
    <x v="970"/>
    <s v="23:04"/>
    <x v="234"/>
    <s v="expense"/>
    <s v="other_1781955063347_5s7r"/>
    <s v="rc_acc_1781955063348_2vnx"/>
    <x v="1"/>
    <s v="Difference"/>
    <m/>
    <s v="import"/>
    <s v=""/>
    <b v="0"/>
    <s v=""/>
  </r>
  <r>
    <s v="a3c3717e-00a1-4f3c-9304-b2353a359bee"/>
    <x v="970"/>
    <s v="23:04"/>
    <x v="545"/>
    <s v="income"/>
    <s v="other_1781955063347_5s7r"/>
    <s v="rc_acc_1781955063347_pixu"/>
    <x v="1"/>
    <s v="Difference"/>
    <m/>
    <s v="import"/>
    <s v=""/>
    <b v="0"/>
    <s v=""/>
  </r>
  <r>
    <s v="c4d43f9f-577c-4810-8e72-7385abc8cd35"/>
    <x v="970"/>
    <s v="23:05"/>
    <x v="26"/>
    <s v="expense"/>
    <s v="rc_cat_1781955063347_anhy_1781955063347_qnaz"/>
    <s v="rc_acc_1781955063347_e3zv"/>
    <x v="1"/>
    <s v="-"/>
    <m/>
    <s v="import"/>
    <s v=""/>
    <b v="0"/>
    <s v=""/>
  </r>
  <r>
    <s v="fb5622a7-9401-41dd-8a37-05ed6e98887f"/>
    <x v="970"/>
    <s v="23:05"/>
    <x v="1052"/>
    <s v="expense"/>
    <s v="rc_cat_1781955063347_anhy_1781955063347_qnaz"/>
    <s v="rc_acc_1781955063347_e3zv"/>
    <x v="1"/>
    <s v="-"/>
    <m/>
    <s v="import"/>
    <s v=""/>
    <b v="0"/>
    <s v=""/>
  </r>
  <r>
    <s v="95cbff11-e00d-4044-be32-7ad0a93b66f7"/>
    <x v="970"/>
    <s v="23:06"/>
    <x v="1109"/>
    <s v="expense"/>
    <s v="other_1781955063347_5s7r"/>
    <s v="rc_acc_1781955063347_omhz"/>
    <x v="1"/>
    <s v="Difference"/>
    <m/>
    <s v="import"/>
    <s v=""/>
    <b v="0"/>
    <s v=""/>
  </r>
  <r>
    <s v="22e1b299-8a76-48d7-85c8-1688c7f67f25"/>
    <x v="970"/>
    <s v="23:13"/>
    <x v="1406"/>
    <s v="income"/>
    <s v="other_1781955063347_5s7r"/>
    <s v="rc_acc_1781955063347_uxz4"/>
    <x v="1"/>
    <s v="Difference"/>
    <m/>
    <s v="import"/>
    <s v=""/>
    <b v="0"/>
    <s v=""/>
  </r>
  <r>
    <s v="f680055d-edb0-4454-8d38-6348e3f5ff04"/>
    <x v="970"/>
    <s v="23:14"/>
    <x v="1407"/>
    <s v="income"/>
    <s v="other_1781955063347_5s7r"/>
    <s v="rc_acc_1781955063348_obza"/>
    <x v="1"/>
    <s v="Difference"/>
    <m/>
    <s v="import"/>
    <s v=""/>
    <b v="0"/>
    <s v=""/>
  </r>
  <r>
    <s v="9b178efa-ecf7-4447-916a-e790e4fc8b0f"/>
    <x v="970"/>
    <s v="23:22"/>
    <x v="1408"/>
    <s v="expense"/>
    <s v="other_1781955063347_5s7r"/>
    <s v="rc_acc_1781955063347_hv85"/>
    <x v="1"/>
    <s v="Difference"/>
    <m/>
    <s v="import"/>
    <s v=""/>
    <b v="0"/>
    <s v=""/>
  </r>
  <r>
    <s v="c9a827da-90be-4643-b2bd-fecfdee7390e"/>
    <x v="970"/>
    <s v="23:23"/>
    <x v="1409"/>
    <s v="income"/>
    <s v="other_1781955063347_5s7r"/>
    <s v="rc_acc_1781955063348_hnxg"/>
    <x v="1"/>
    <s v="Difference"/>
    <m/>
    <s v="import"/>
    <s v=""/>
    <b v="0"/>
    <s v=""/>
  </r>
  <r>
    <s v="e55fbec3-e6e0-4470-8aff-17e74c942729"/>
    <x v="970"/>
    <s v="23:25"/>
    <x v="1410"/>
    <s v="income"/>
    <s v="other_1781955063347_5s7r"/>
    <s v="kbank"/>
    <x v="1"/>
    <s v="Difference"/>
    <m/>
    <s v="import"/>
    <s v=""/>
    <b v="0"/>
    <s v=""/>
  </r>
  <r>
    <s v="978c20be-0d46-4fcc-8ed1-fc4d79f0b81d"/>
    <x v="970"/>
    <s v="23:25"/>
    <x v="1411"/>
    <s v="expense"/>
    <s v="other_1781955063347_5s7r"/>
    <s v="rc_acc_1781955063347_e3zv"/>
    <x v="1"/>
    <s v="Difference"/>
    <m/>
    <s v="import"/>
    <s v=""/>
    <b v="0"/>
    <s v=""/>
  </r>
  <r>
    <s v="f8120496-fde9-49b8-a27c-dd04d5173777"/>
    <x v="970"/>
    <s v="23:27"/>
    <x v="1412"/>
    <s v="expense"/>
    <s v="other_1781955063347_5s7r"/>
    <s v="rc_acc_1781955063348_w3gp"/>
    <x v="1"/>
    <s v="Difference"/>
    <m/>
    <s v="import"/>
    <s v=""/>
    <b v="0"/>
    <s v=""/>
  </r>
  <r>
    <s v="f5ed1a9b-6844-4af9-a208-7445205859eb"/>
    <x v="970"/>
    <s v="23:28"/>
    <x v="1037"/>
    <s v="income"/>
    <s v="other_1781955063347_5s7r"/>
    <s v="rc_acc_1781955063347_tvnx"/>
    <x v="1"/>
    <s v="Difference"/>
    <m/>
    <s v="import"/>
    <s v=""/>
    <b v="0"/>
    <s v=""/>
  </r>
  <r>
    <s v="d3eded62-b619-4b88-b9c1-04aaa45ef40c"/>
    <x v="971"/>
    <s v="19:10"/>
    <x v="1018"/>
    <s v="expense"/>
    <s v="rc_cat_1781955063347_5qjb_1781955063347_tezk"/>
    <s v="rc_acc_1781955063347_uxz4"/>
    <x v="1"/>
    <s v="standard burger"/>
    <m/>
    <s v="import"/>
    <s v=""/>
    <b v="0"/>
    <s v=""/>
  </r>
  <r>
    <s v="0985969d-cd92-4407-a880-dd7cca1afc5a"/>
    <x v="972"/>
    <s v="08:09"/>
    <x v="315"/>
    <s v="transfer"/>
    <s v="other"/>
    <s v="rc_acc_1781955063347_uxz4"/>
    <x v="38"/>
    <s v="-"/>
    <m/>
    <s v="import"/>
    <s v=""/>
    <b v="0"/>
    <s v=""/>
  </r>
  <r>
    <s v="25e9eb3c-c4a3-4223-8ca5-552cd0acb8f3"/>
    <x v="972"/>
    <s v="12:54"/>
    <x v="317"/>
    <s v="expense"/>
    <s v="rc_cat_1781955063347_5qjb_1781955063347_tezk"/>
    <s v="rc_acc_1781955063347_uxz4"/>
    <x v="1"/>
    <s v="-"/>
    <m/>
    <s v="import"/>
    <s v=""/>
    <b v="0"/>
    <s v=""/>
  </r>
  <r>
    <s v="93b39844-e211-41bf-8091-24f9f05f0167"/>
    <x v="972"/>
    <s v="14:53"/>
    <x v="1413"/>
    <s v="transfer"/>
    <s v="other"/>
    <s v="rc_acc_1781955063347_uxz4"/>
    <x v="4"/>
    <s v="-"/>
    <m/>
    <s v="import"/>
    <s v=""/>
    <b v="0"/>
    <s v=""/>
  </r>
  <r>
    <s v="02eac684-3254-4e2d-a145-b7888e361489"/>
    <x v="972"/>
    <s v="14:53"/>
    <x v="81"/>
    <s v="transfer"/>
    <s v="other"/>
    <s v="kbank"/>
    <x v="10"/>
    <s v="-"/>
    <m/>
    <s v="import"/>
    <s v=""/>
    <b v="0"/>
    <s v=""/>
  </r>
  <r>
    <s v="d1cffbc2-73e5-4c9a-84bb-6b287177d48a"/>
    <x v="972"/>
    <s v="15:03"/>
    <x v="604"/>
    <s v="transfer"/>
    <s v="other"/>
    <s v="rc_acc_1781955063347_pixu"/>
    <x v="5"/>
    <s v="-"/>
    <m/>
    <s v="import"/>
    <s v=""/>
    <b v="0"/>
    <s v=""/>
  </r>
  <r>
    <s v="0ab5d1ce-c5f2-463c-a6e4-482585d2e0fd"/>
    <x v="972"/>
    <s v="17:34"/>
    <x v="1414"/>
    <s v="expense"/>
    <s v="rc_cat_1781955063347_5qjb_1781955063347_tezk"/>
    <s v="rc_acc_1781955063347_uxz4"/>
    <x v="1"/>
    <s v="steve"/>
    <m/>
    <s v="import"/>
    <s v=""/>
    <b v="0"/>
    <s v=""/>
  </r>
  <r>
    <s v="d92c6f03-b4c1-46c4-b71a-0c8bbc6878d4"/>
    <x v="973"/>
    <s v="12:37"/>
    <x v="5"/>
    <s v="expense"/>
    <s v="rc_cat_1781955063347_anhy_1781955063347_qnaz"/>
    <s v="rc_acc_1781955063347_uxz4"/>
    <x v="1"/>
    <s v="-"/>
    <m/>
    <s v="import"/>
    <s v=""/>
    <b v="0"/>
    <s v=""/>
  </r>
  <r>
    <s v="b1b56d4c-e553-45c8-a14c-55da8ce947db"/>
    <x v="974"/>
    <s v="00:00"/>
    <x v="128"/>
    <s v="transfer"/>
    <s v="other"/>
    <s v="rc_acc_1781955063347_uxz4"/>
    <x v="21"/>
    <s v="-"/>
    <m/>
    <s v="import"/>
    <s v=""/>
    <b v="0"/>
    <s v=""/>
  </r>
  <r>
    <s v="e541692e-fbc3-4e0e-bd0c-2c93e45d16b5"/>
    <x v="974"/>
    <s v="00:00"/>
    <x v="1415"/>
    <s v="transfer"/>
    <s v="other"/>
    <s v="rc_acc_1781955063347_uxz4"/>
    <x v="20"/>
    <s v="-"/>
    <m/>
    <s v="import"/>
    <s v=""/>
    <b v="0"/>
    <s v=""/>
  </r>
  <r>
    <s v="0140c5e5-c305-4835-b3f9-efb4f62a9853"/>
    <x v="974"/>
    <s v="00:00"/>
    <x v="31"/>
    <s v="transfer"/>
    <s v="other"/>
    <s v="rc_acc_1781955063347_uxz4"/>
    <x v="7"/>
    <s v="-"/>
    <m/>
    <s v="import"/>
    <s v=""/>
    <b v="0"/>
    <s v=""/>
  </r>
  <r>
    <s v="35ac8670-7e70-4111-b53a-2cf5e118f9dd"/>
    <x v="974"/>
    <s v="00:00"/>
    <x v="1390"/>
    <s v="transfer"/>
    <s v="other"/>
    <s v="rc_acc_1781955063347_uxz4"/>
    <x v="8"/>
    <s v="-"/>
    <m/>
    <s v="import"/>
    <s v=""/>
    <b v="0"/>
    <s v=""/>
  </r>
  <r>
    <s v="e0d25efa-e027-4c9e-b3b4-369b7a9657e6"/>
    <x v="974"/>
    <s v="00:00"/>
    <x v="1391"/>
    <s v="income"/>
    <s v="income_1781955063347_5zxt"/>
    <s v="rc_acc_1781955063347_uxz4"/>
    <x v="1"/>
    <s v="-"/>
    <m/>
    <s v="import"/>
    <s v=""/>
    <b v="0"/>
    <s v=""/>
  </r>
  <r>
    <s v="95e92683-28c2-49cb-85ee-1e5d7c94dd37"/>
    <x v="974"/>
    <s v="00:00"/>
    <x v="1416"/>
    <s v="expense"/>
    <s v="rc_cat_1781955063347_04qb_1781955063347_kgnn"/>
    <s v="rc_acc_1781955063347_uxz4"/>
    <x v="1"/>
    <s v="-"/>
    <m/>
    <s v="import"/>
    <s v=""/>
    <b v="0"/>
    <s v=""/>
  </r>
  <r>
    <s v="85520a6c-6e8f-43fd-a088-d77ee713604b"/>
    <x v="974"/>
    <s v="00:00"/>
    <x v="1417"/>
    <s v="expense"/>
    <s v="rc_cat_1781955063347_04qb_1781955063347_lu9b"/>
    <s v="rc_acc_1781955063347_uxz4"/>
    <x v="1"/>
    <s v="-"/>
    <m/>
    <s v="import"/>
    <s v=""/>
    <b v="0"/>
    <s v=""/>
  </r>
  <r>
    <s v="a98c1f2b-54b5-4d06-acdf-4e3041b5777a"/>
    <x v="974"/>
    <s v="12:38"/>
    <x v="31"/>
    <s v="transfer"/>
    <s v="other"/>
    <s v="rc_acc_1781955063347_uxz4"/>
    <x v="12"/>
    <s v="-"/>
    <m/>
    <s v="import"/>
    <s v=""/>
    <b v="0"/>
    <s v=""/>
  </r>
  <r>
    <s v="2c85de65-8cd5-4fa2-b4f2-6d8259913635"/>
    <x v="975"/>
    <s v="09:26"/>
    <x v="5"/>
    <s v="transfer"/>
    <s v="other"/>
    <s v="rc_acc_1781955063347_uxz4"/>
    <x v="25"/>
    <s v="-"/>
    <m/>
    <s v="import"/>
    <s v=""/>
    <b v="0"/>
    <s v=""/>
  </r>
  <r>
    <s v="8f1d4df1-3fbc-4a69-837f-2fea47b70bc4"/>
    <x v="975"/>
    <s v="12:57"/>
    <x v="1418"/>
    <s v="income"/>
    <s v="other_1781955063348_27zj"/>
    <s v="rc_acc_1781955063347_uxz4"/>
    <x v="1"/>
    <s v="ค่าห้องสำรองจ่าย"/>
    <m/>
    <s v="import"/>
    <s v=""/>
    <b v="0"/>
    <s v=""/>
  </r>
  <r>
    <s v="fa072dd2-f7a4-46c7-8d08-5e456d6d2e1f"/>
    <x v="975"/>
    <s v="21:27"/>
    <x v="150"/>
    <s v="expense"/>
    <s v="rc_cat_1781955063347_5qjb_1781955063347_tezk"/>
    <s v="rc_acc_1781955063347_e3zv"/>
    <x v="1"/>
    <s v="-"/>
    <m/>
    <s v="import"/>
    <s v=""/>
    <b v="0"/>
    <s v=""/>
  </r>
  <r>
    <s v="f10df95f-39da-47c1-ab5a-59902ae386a6"/>
    <x v="976"/>
    <s v="00:55"/>
    <x v="1419"/>
    <s v="income"/>
    <s v="income_1781955063347_zblt"/>
    <s v="rc_acc_1781955063347_uxz4"/>
    <x v="1"/>
    <s v="-"/>
    <m/>
    <s v="import"/>
    <s v=""/>
    <b v="0"/>
    <s v=""/>
  </r>
  <r>
    <s v="1d41a679-ecbd-465c-8a20-7db14d1b6ab4"/>
    <x v="976"/>
    <s v="22:00"/>
    <x v="1420"/>
    <s v="transfer"/>
    <s v="other"/>
    <s v="rc_acc_1781955063347_uxz4"/>
    <x v="14"/>
    <s v="-"/>
    <m/>
    <s v="import"/>
    <s v=""/>
    <b v="0"/>
    <s v=""/>
  </r>
  <r>
    <s v="63f8a713-6c2c-4256-b1ea-96c6e284a569"/>
    <x v="976"/>
    <s v="22:22"/>
    <x v="980"/>
    <s v="transfer"/>
    <s v="other"/>
    <s v="rc_acc_1781955063348_w3gp"/>
    <x v="5"/>
    <s v="-"/>
    <m/>
    <s v="import"/>
    <s v=""/>
    <b v="0"/>
    <s v=""/>
  </r>
  <r>
    <s v="7a09d942-bd96-4075-87e9-148104b8cda1"/>
    <x v="976"/>
    <s v="22:27"/>
    <x v="353"/>
    <s v="transfer"/>
    <s v="other"/>
    <s v="rc_acc_1781955063348_w3gp"/>
    <x v="5"/>
    <s v="-"/>
    <m/>
    <s v="import"/>
    <s v=""/>
    <b v="0"/>
    <s v=""/>
  </r>
  <r>
    <s v="09ad4940-982d-4c4c-a4b7-a861a2ea0b0d"/>
    <x v="976"/>
    <s v="22:33"/>
    <x v="1421"/>
    <s v="transfer"/>
    <s v="other"/>
    <s v="rc_acc_1781955063347_uxz4"/>
    <x v="31"/>
    <s v="-"/>
    <m/>
    <s v="import"/>
    <s v=""/>
    <b v="0"/>
    <s v=""/>
  </r>
  <r>
    <s v="6a6847c4-e3d3-45e3-a467-399301fc52ed"/>
    <x v="976"/>
    <s v="22:54"/>
    <x v="607"/>
    <s v="expense"/>
    <s v="other_1781955063347_5s7r"/>
    <s v="rc_acc_1781955063347_uxz4"/>
    <x v="1"/>
    <s v="Difference"/>
    <m/>
    <s v="import"/>
    <s v=""/>
    <b v="0"/>
    <s v=""/>
  </r>
  <r>
    <s v="c97153b5-3f42-4a9d-bd40-a20939c7406c"/>
    <x v="977"/>
    <s v="14:27"/>
    <x v="1422"/>
    <s v="expense"/>
    <s v="rc_cat_1781955063347_s4sz_1781955063347_deos"/>
    <s v="rc_acc_1781955063347_uxz4"/>
    <x v="1"/>
    <s v="jabra elite"/>
    <m/>
    <s v="import"/>
    <s v=""/>
    <b v="0"/>
    <s v=""/>
  </r>
  <r>
    <s v="66062e92-2430-43d9-80bb-00d1c0297910"/>
    <x v="977"/>
    <s v="14:28"/>
    <x v="35"/>
    <s v="transfer"/>
    <s v="other"/>
    <s v="rc_acc_1781955063347_uxz4"/>
    <x v="4"/>
    <s v="-"/>
    <m/>
    <s v="import"/>
    <s v=""/>
    <b v="0"/>
    <s v=""/>
  </r>
  <r>
    <s v="4d9151bb-dbe3-41bd-80a7-f43ea9db4fea"/>
    <x v="977"/>
    <s v="14:28"/>
    <x v="1423"/>
    <s v="expense"/>
    <s v="rc_cat_1781955063347_anhy_1781955063348_k5l1"/>
    <s v="rc_acc_1781955063347_uxz4"/>
    <x v="1"/>
    <s v="ranee"/>
    <m/>
    <s v="import"/>
    <s v=""/>
    <b v="0"/>
    <s v=""/>
  </r>
  <r>
    <s v="aa6e16a5-9144-4985-a2ec-704dbbaf848f"/>
    <x v="977"/>
    <s v="14:29"/>
    <x v="1424"/>
    <s v="expense"/>
    <s v="entertain_1781955063347_8r8e"/>
    <s v="rc_acc_1781955063347_uxz4"/>
    <x v="1"/>
    <s v="-"/>
    <m/>
    <s v="import"/>
    <s v=""/>
    <b v="0"/>
    <s v=""/>
  </r>
  <r>
    <s v="9c21a2a7-c76d-4913-9902-91ac985629c3"/>
    <x v="978"/>
    <s v="14:27"/>
    <x v="199"/>
    <s v="expense"/>
    <s v="rc_cat_1781955063347_5qjb_1781955063347_tezk"/>
    <s v="rc_acc_1781955063347_uxz4"/>
    <x v="1"/>
    <s v="-"/>
    <m/>
    <s v="import"/>
    <s v=""/>
    <b v="0"/>
    <s v=""/>
  </r>
  <r>
    <s v="a7f305fe-7a02-48f4-a3d4-f21d849aac26"/>
    <x v="978"/>
    <s v="21:56"/>
    <x v="185"/>
    <s v="expense"/>
    <s v="entertain_1781955063348_kx2f"/>
    <s v="rc_acc_1781955063347_hv85"/>
    <x v="1"/>
    <s v="-"/>
    <m/>
    <s v="import"/>
    <s v=""/>
    <b v="0"/>
    <s v=""/>
  </r>
  <r>
    <s v="9b632795-3d34-4103-a13a-596a3dc1b66d"/>
    <x v="979"/>
    <s v="12:26"/>
    <x v="536"/>
    <s v="expense"/>
    <s v="rc_cat_1781955063347_5qjb_1781955063347_tezk"/>
    <s v="rc_acc_1781955063347_uxz4"/>
    <x v="1"/>
    <s v="-"/>
    <m/>
    <s v="import"/>
    <s v=""/>
    <b v="0"/>
    <s v=""/>
  </r>
  <r>
    <s v="96a9d56a-a2a0-4f20-8967-604a1e5a30f1"/>
    <x v="979"/>
    <s v="22:03"/>
    <x v="317"/>
    <s v="expense"/>
    <s v="entertain_1781955063348_kx2f"/>
    <s v="rc_acc_1781955063348_w3gp"/>
    <x v="1"/>
    <s v="spirit island app"/>
    <m/>
    <s v="import"/>
    <s v=""/>
    <b v="0"/>
    <s v=""/>
  </r>
  <r>
    <s v="ed83500d-c868-4ea8-8a1a-00cce939b66a"/>
    <x v="980"/>
    <s v="14:25"/>
    <x v="1423"/>
    <s v="expense"/>
    <s v="rc_cat_1781955063347_anhy_1781955063348_k5l1"/>
    <s v="kbank"/>
    <x v="1"/>
    <s v="-"/>
    <m/>
    <s v="import"/>
    <s v=""/>
    <b v="0"/>
    <s v=""/>
  </r>
  <r>
    <s v="fba9062f-5afd-43f1-aa4d-888e92e475b7"/>
    <x v="981"/>
    <s v="12:20"/>
    <x v="87"/>
    <s v="expense"/>
    <s v="rc_cat_1781955063347_5qjb_1781955063347_tezk"/>
    <s v="rc_acc_1781955063347_uxz4"/>
    <x v="1"/>
    <s v="-"/>
    <m/>
    <s v="import"/>
    <s v=""/>
    <b v="0"/>
    <s v=""/>
  </r>
  <r>
    <s v="083e75f5-a6d0-4c62-971a-8e7ab703e50a"/>
    <x v="982"/>
    <s v="21:58"/>
    <x v="1049"/>
    <s v="expense"/>
    <s v="entertain_1781955063347_8r8e"/>
    <s v="rc_acc_1781955063347_hv85"/>
    <x v="1"/>
    <s v="ห่อปก b2s"/>
    <m/>
    <s v="import"/>
    <s v=""/>
    <b v="0"/>
    <s v=""/>
  </r>
  <r>
    <s v="3a44c446-9410-447b-92df-b720f29e1c11"/>
    <x v="983"/>
    <s v="10:18"/>
    <x v="74"/>
    <s v="expense"/>
    <s v="rc_cat_1781955063347_5qjb_1781955063347_tezk"/>
    <s v="rc_acc_1781955063347_uxz4"/>
    <x v="1"/>
    <s v="-"/>
    <m/>
    <s v="import"/>
    <s v=""/>
    <b v="0"/>
    <s v=""/>
  </r>
  <r>
    <s v="c70df632-480e-4819-af49-14af76e82f20"/>
    <x v="983"/>
    <s v="14:18"/>
    <x v="315"/>
    <s v="transfer"/>
    <s v="other"/>
    <s v="rc_acc_1781955063347_uxz4"/>
    <x v="12"/>
    <s v="-"/>
    <m/>
    <s v="import"/>
    <s v=""/>
    <b v="0"/>
    <s v=""/>
  </r>
  <r>
    <s v="ef21dbca-8931-4637-a9d3-236b1ca8dc83"/>
    <x v="983"/>
    <s v="19:19"/>
    <x v="1425"/>
    <s v="expense"/>
    <s v="rc_cat_1781955063347_anhy_1781955063347_qnaz"/>
    <s v="rc_acc_1781955063347_uxz4"/>
    <x v="1"/>
    <s v="mk"/>
    <m/>
    <s v="import"/>
    <s v=""/>
    <b v="0"/>
    <s v=""/>
  </r>
  <r>
    <s v="4a945276-5d03-4ddd-ab86-be7acd6fcee0"/>
    <x v="984"/>
    <s v="12:15"/>
    <x v="150"/>
    <s v="expense"/>
    <s v="rc_cat_1781955063347_5qjb_1781955063347_tezk"/>
    <s v="rc_acc_1781955063347_uxz4"/>
    <x v="1"/>
    <s v="-"/>
    <m/>
    <s v="import"/>
    <s v=""/>
    <b v="0"/>
    <s v=""/>
  </r>
  <r>
    <s v="c418800b-4710-4073-8ce1-12bc2a2170dc"/>
    <x v="984"/>
    <s v="12:35"/>
    <x v="150"/>
    <s v="expense"/>
    <s v="rc_cat_1781955063347_5qjb_1781955063347_tezk"/>
    <s v="rc_acc_1781955063347_uxz4"/>
    <x v="1"/>
    <s v="YAAK"/>
    <m/>
    <s v="import"/>
    <s v=""/>
    <b v="0"/>
    <s v=""/>
  </r>
  <r>
    <s v="c95a951e-64ca-4215-8b7f-a86f5e79179c"/>
    <x v="985"/>
    <s v="13:35"/>
    <x v="1426"/>
    <s v="transfer"/>
    <s v="other"/>
    <s v="rc_acc_1781955063347_uxz4"/>
    <x v="31"/>
    <s v="-"/>
    <m/>
    <s v="import"/>
    <s v=""/>
    <b v="0"/>
    <s v=""/>
  </r>
  <r>
    <s v="7ef3c811-8e12-4d7f-bdf9-1aaf6b37c300"/>
    <x v="986"/>
    <s v="14:09"/>
    <x v="769"/>
    <s v="expense"/>
    <s v="rc_cat_1781955063347_5qjb_1781955063347_tezk"/>
    <s v="rc_acc_1781955063347_uxz4"/>
    <x v="1"/>
    <s v="ก๋วยเตี๋ยวสุโขทัย"/>
    <m/>
    <s v="import"/>
    <s v=""/>
    <b v="0"/>
    <s v=""/>
  </r>
  <r>
    <s v="f064f598-9e67-4ae6-960c-9ee0d49ae962"/>
    <x v="986"/>
    <s v="14:10"/>
    <x v="150"/>
    <s v="expense"/>
    <s v="rc_cat_1781955063347_5qjb_1781955063347_tezk"/>
    <s v="rc_acc_1781955063347_uxz4"/>
    <x v="1"/>
    <s v="YAAK"/>
    <m/>
    <s v="import"/>
    <s v=""/>
    <b v="0"/>
    <s v=""/>
  </r>
  <r>
    <s v="9c3679b6-10a8-4a16-a8b3-6e4f14058f2f"/>
    <x v="986"/>
    <s v="20:35"/>
    <x v="181"/>
    <s v="expense"/>
    <s v="entertain_1781955063347_8r8e"/>
    <s v="rc_acc_1781955063347_uxz4"/>
    <x v="1"/>
    <s v="-"/>
    <m/>
    <s v="import"/>
    <s v=""/>
    <b v="0"/>
    <s v=""/>
  </r>
  <r>
    <s v="f780618d-e0a6-4294-8e38-e669b60a0fdd"/>
    <x v="987"/>
    <s v="00:00"/>
    <x v="691"/>
    <s v="transfer"/>
    <s v="other"/>
    <s v="rc_acc_1781955063347_uxz4"/>
    <x v="17"/>
    <s v="-"/>
    <m/>
    <s v="import"/>
    <s v=""/>
    <b v="0"/>
    <s v=""/>
  </r>
  <r>
    <s v="efe61277-064f-412f-8361-0b2d62d55672"/>
    <x v="987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e4900c46-8611-42c9-8a69-4dbd76db0112"/>
    <x v="987"/>
    <s v="21:03"/>
    <x v="265"/>
    <s v="transfer"/>
    <s v="other"/>
    <s v="rc_acc_1781955063347_uxz4"/>
    <x v="17"/>
    <s v="-"/>
    <m/>
    <s v="import"/>
    <s v=""/>
    <b v="0"/>
    <s v=""/>
  </r>
  <r>
    <s v="d1c6c5e8-10a0-4943-a2c8-994f584e9296"/>
    <x v="988"/>
    <s v="12:07"/>
    <x v="87"/>
    <s v="expense"/>
    <s v="rc_cat_1781955063347_5qjb_1781955063347_tezk"/>
    <s v="rc_acc_1781955063347_uxz4"/>
    <x v="1"/>
    <s v="-"/>
    <m/>
    <s v="import"/>
    <s v=""/>
    <b v="0"/>
    <s v=""/>
  </r>
  <r>
    <s v="e82b81fd-47e9-4227-8674-45c235755cba"/>
    <x v="988"/>
    <s v="14:08"/>
    <x v="769"/>
    <s v="expense"/>
    <s v="rc_cat_1781955063347_5qjb_1781955063347_tezk"/>
    <s v="rc_acc_1781955063347_uxz4"/>
    <x v="1"/>
    <s v="-"/>
    <m/>
    <s v="import"/>
    <s v=""/>
    <b v="0"/>
    <s v=""/>
  </r>
  <r>
    <s v="a788f37d-9f5d-48a3-902c-3eeb548ac62b"/>
    <x v="989"/>
    <s v="13:15"/>
    <x v="8"/>
    <s v="transfer"/>
    <s v="other"/>
    <s v="rc_acc_1781955063347_uxz4"/>
    <x v="16"/>
    <s v="-"/>
    <m/>
    <s v="import"/>
    <s v=""/>
    <b v="0"/>
    <s v=""/>
  </r>
  <r>
    <s v="4dfc1617-8f53-4c6b-868a-d486eb05cc93"/>
    <x v="989"/>
    <s v="13:15"/>
    <x v="1427"/>
    <s v="expense"/>
    <s v="rc_cat_1781955063347_s4sz_1781955063347_deos"/>
    <s v="rc_acc_1781955063347_omhz"/>
    <x v="1"/>
    <s v="GQ"/>
    <m/>
    <s v="import"/>
    <s v=""/>
    <b v="0"/>
    <s v=""/>
  </r>
  <r>
    <s v="79ad4a1c-8e4e-4a14-9994-7d60126c2669"/>
    <x v="989"/>
    <s v="13:16"/>
    <x v="1428"/>
    <s v="expense"/>
    <s v="entertain_1781955063347_8r8e"/>
    <s v="rc_acc_1781955063347_omhz"/>
    <x v="1"/>
    <s v="maracaibo lostruinofarnak centurygolem"/>
    <m/>
    <s v="import"/>
    <s v=""/>
    <b v="0"/>
    <s v=""/>
  </r>
  <r>
    <s v="b231c20f-dd16-4a6e-a7c9-232c345fe0f3"/>
    <x v="989"/>
    <s v="20:50"/>
    <x v="602"/>
    <s v="transfer"/>
    <s v="other"/>
    <s v="rc_acc_1781955063347_uxz4"/>
    <x v="16"/>
    <s v="-"/>
    <m/>
    <s v="import"/>
    <s v=""/>
    <b v="0"/>
    <s v=""/>
  </r>
  <r>
    <s v="910310ff-a7e7-4962-917c-af2661d1c4b7"/>
    <x v="989"/>
    <s v="21:11"/>
    <x v="211"/>
    <s v="transfer"/>
    <s v="other"/>
    <s v="rc_acc_1781955063347_uxz4"/>
    <x v="16"/>
    <s v="-"/>
    <m/>
    <s v="import"/>
    <s v=""/>
    <b v="0"/>
    <s v=""/>
  </r>
  <r>
    <s v="b1133275-6a6b-46cb-8e2b-e1651b6511a0"/>
    <x v="989"/>
    <s v="21:13"/>
    <x v="1429"/>
    <s v="expense"/>
    <s v="rc_cat_1781955063347_5qjb_1781955063348_wpky"/>
    <s v="rc_acc_1781955063347_omhz"/>
    <x v="1"/>
    <s v="-"/>
    <m/>
    <s v="import"/>
    <s v=""/>
    <b v="0"/>
    <s v=""/>
  </r>
  <r>
    <s v="9d991f80-667e-4754-ba50-5d36b3409639"/>
    <x v="989"/>
    <s v="21:14"/>
    <x v="1430"/>
    <s v="expense"/>
    <s v="entertain_1781955063347_8r8e"/>
    <s v="rc_acc_1781955063347_omhz"/>
    <x v="1"/>
    <s v="seasons"/>
    <m/>
    <s v="import"/>
    <s v=""/>
    <b v="0"/>
    <s v=""/>
  </r>
  <r>
    <s v="d4a91b62-f346-4ecb-90fb-e05f93ccd7bd"/>
    <x v="989"/>
    <s v="22:30"/>
    <x v="1431"/>
    <s v="expense"/>
    <s v="rc_cat_1781955063347_s4sz_1781955063347_deos"/>
    <s v="rc_acc_1781955063347_sv7p"/>
    <x v="1"/>
    <s v="datacamp"/>
    <m/>
    <s v="import"/>
    <s v=""/>
    <b v="0"/>
    <s v=""/>
  </r>
  <r>
    <s v="2bc531ff-7586-4acc-a98d-c8832addd72c"/>
    <x v="990"/>
    <s v="16:59"/>
    <x v="1094"/>
    <s v="expense"/>
    <s v="rc_cat_1781955063347_5qjb_1781955063347_tezk"/>
    <s v="rc_acc_1781955063347_uxz4"/>
    <x v="1"/>
    <s v="เกาเหลา"/>
    <m/>
    <s v="import"/>
    <s v=""/>
    <b v="0"/>
    <s v=""/>
  </r>
  <r>
    <s v="5c2c0054-1aa8-4206-9d0d-185419709956"/>
    <x v="990"/>
    <s v="17:08"/>
    <x v="31"/>
    <s v="transfer"/>
    <s v="other"/>
    <s v="rc_acc_1781955063347_uxz4"/>
    <x v="13"/>
    <s v="-"/>
    <m/>
    <s v="import"/>
    <s v=""/>
    <b v="0"/>
    <s v=""/>
  </r>
  <r>
    <s v="453b7f1c-3608-45d1-9712-40a0e1efb7a0"/>
    <x v="990"/>
    <s v="19:03"/>
    <x v="1036"/>
    <s v="transfer"/>
    <s v="other"/>
    <s v="rc_acc_1781955063348_998o"/>
    <x v="5"/>
    <s v="-"/>
    <m/>
    <s v="import"/>
    <s v=""/>
    <b v="0"/>
    <s v=""/>
  </r>
  <r>
    <s v="ebd34e1c-e410-43da-bdfe-9a4b694fbcd4"/>
    <x v="990"/>
    <s v="21:09"/>
    <x v="704"/>
    <s v="transfer"/>
    <s v="other"/>
    <s v="rc_acc_1781955063347_e3zv"/>
    <x v="5"/>
    <s v="krispycream"/>
    <m/>
    <s v="import"/>
    <s v=""/>
    <b v="0"/>
    <s v=""/>
  </r>
  <r>
    <s v="6c699e65-6249-49f6-874a-9036c19dd182"/>
    <x v="990"/>
    <s v="21:17"/>
    <x v="1432"/>
    <s v="expense"/>
    <s v="entertain_1781955063347_8r8e"/>
    <s v="rc_acc_1781955063347_kjxt"/>
    <x v="1"/>
    <s v="carthographer"/>
    <m/>
    <s v="import"/>
    <s v=""/>
    <b v="0"/>
    <s v=""/>
  </r>
  <r>
    <s v="ac6562f0-6ca0-4e2f-9276-198a487b8ec5"/>
    <x v="991"/>
    <s v="11:44"/>
    <x v="1433"/>
    <s v="transfer"/>
    <s v="other"/>
    <s v="rc_acc_1781955063347_uxz4"/>
    <x v="6"/>
    <s v="-"/>
    <m/>
    <s v="import"/>
    <s v=""/>
    <b v="0"/>
    <s v=""/>
  </r>
  <r>
    <s v="18f34bc0-ed64-477d-940e-47d35b608cb5"/>
    <x v="991"/>
    <s v="11:55"/>
    <x v="1434"/>
    <s v="income"/>
    <s v="income_1781955063347_zblt"/>
    <s v="rc_acc_1781955063347_uxz4"/>
    <x v="1"/>
    <s v="มั"/>
    <m/>
    <s v="import"/>
    <s v=""/>
    <b v="0"/>
    <s v=""/>
  </r>
  <r>
    <s v="060e3355-533e-49b2-aed7-3789c8515e65"/>
    <x v="991"/>
    <s v="13:04"/>
    <x v="1435"/>
    <s v="expense"/>
    <s v="rc_cat_1781955063347_5qjb_1781955063347_irl1"/>
    <s v="rc_acc_1781955063347_hv85"/>
    <x v="1"/>
    <s v="เครื่องซักผ้า LG(6/6)"/>
    <m/>
    <s v="import"/>
    <s v=""/>
    <b v="0"/>
    <s v=""/>
  </r>
  <r>
    <s v="5deda905-cbb7-4d42-8bd5-2f50951aed72"/>
    <x v="991"/>
    <s v="13:04"/>
    <x v="1436"/>
    <s v="expense"/>
    <s v="rc_cat_1781955063347_5qjb_1781955063347_irl1"/>
    <s v="rc_acc_1781955063347_hv85"/>
    <x v="1"/>
    <s v="ชั้น พัดลม homepro(6/6)"/>
    <m/>
    <s v="import"/>
    <s v=""/>
    <b v="0"/>
    <s v=""/>
  </r>
  <r>
    <s v="080518a9-c7ea-4ec7-a79e-6ad288c3846e"/>
    <x v="991"/>
    <s v="13:12"/>
    <x v="1421"/>
    <s v="transfer"/>
    <s v="other"/>
    <s v="rc_acc_1781955063347_uxz4"/>
    <x v="17"/>
    <s v="-"/>
    <m/>
    <s v="import"/>
    <s v=""/>
    <b v="0"/>
    <s v=""/>
  </r>
  <r>
    <s v="f2b266bf-8898-4861-89ea-caadf87aa03c"/>
    <x v="991"/>
    <s v="22:46"/>
    <x v="1421"/>
    <s v="income"/>
    <s v="income_1781955063347_zblt"/>
    <s v="rc_acc_1781955063347_uxz4"/>
    <x v="1"/>
    <s v="-"/>
    <m/>
    <s v="import"/>
    <s v=""/>
    <b v="0"/>
    <s v=""/>
  </r>
  <r>
    <s v="09909e58-7603-40bf-9dcc-a4233dc9f99a"/>
    <x v="992"/>
    <s v="00:00"/>
    <x v="1437"/>
    <s v="expense"/>
    <s v="rc_cat_1781955063347_04qb_1781955063347_wt5p"/>
    <s v="rc_acc_1781955063347_uxz4"/>
    <x v="1"/>
    <s v="-"/>
    <m/>
    <s v="import"/>
    <s v=""/>
    <b v="0"/>
    <s v=""/>
  </r>
  <r>
    <s v="eb73aed2-c11b-400b-8839-402bee9b7b9d"/>
    <x v="992"/>
    <s v="13:49"/>
    <x v="1433"/>
    <s v="expense"/>
    <s v="rc_cat_1781955063347_anhy_1781955063348_k5l1"/>
    <s v="rc_acc_1781955063347_kjxt"/>
    <x v="1"/>
    <s v="-"/>
    <m/>
    <s v="import"/>
    <s v=""/>
    <b v="0"/>
    <s v=""/>
  </r>
  <r>
    <s v="3bb6f369-c285-4bbc-b2e2-76ff03087fa1"/>
    <x v="993"/>
    <s v="00:00"/>
    <x v="1438"/>
    <s v="expense"/>
    <s v="entertain_1781955063347_8r8e"/>
    <s v="rc_acc_1781955063347_uxz4"/>
    <x v="1"/>
    <s v="-"/>
    <m/>
    <s v="import"/>
    <s v=""/>
    <b v="0"/>
    <s v=""/>
  </r>
  <r>
    <s v="91321d6b-e482-4b1d-99e5-d6ec940a958e"/>
    <x v="993"/>
    <s v="16:09"/>
    <x v="1439"/>
    <s v="expense"/>
    <s v="entertain_1781955063348_32wr"/>
    <s v="rc_acc_1781955063347_sv7p"/>
    <x v="1"/>
    <s v="-"/>
    <m/>
    <s v="import"/>
    <s v=""/>
    <b v="0"/>
    <s v=""/>
  </r>
  <r>
    <s v="63b29835-151a-4d83-8753-31eb2b99d161"/>
    <x v="993"/>
    <s v="16:09"/>
    <x v="155"/>
    <s v="expense"/>
    <s v="entertain_1781955063347_8r8e"/>
    <s v="kbank"/>
    <x v="1"/>
    <s v="-"/>
    <m/>
    <s v="import"/>
    <s v=""/>
    <b v="0"/>
    <s v=""/>
  </r>
  <r>
    <s v="5948922a-5ec6-4eec-8617-ed49a4649097"/>
    <x v="994"/>
    <s v="00:00"/>
    <x v="138"/>
    <s v="transfer"/>
    <s v="other"/>
    <s v="rc_acc_1781955063347_uxz4"/>
    <x v="16"/>
    <s v="-"/>
    <m/>
    <s v="import"/>
    <s v=""/>
    <b v="0"/>
    <s v=""/>
  </r>
  <r>
    <s v="19dec8aa-c816-4fb6-9409-8cbfab4dc37d"/>
    <x v="994"/>
    <s v="09:51"/>
    <x v="1440"/>
    <s v="transfer"/>
    <s v="other"/>
    <s v="rc_acc_1781955063347_uxz4"/>
    <x v="6"/>
    <s v="รวมที่ออกล่วงหน้า 5300 ค่าตรวจสุขภาพ"/>
    <m/>
    <s v="import"/>
    <s v=""/>
    <b v="0"/>
    <s v=""/>
  </r>
  <r>
    <s v="bff4dce9-0bd5-4917-964f-69dca620190d"/>
    <x v="994"/>
    <s v="14:16"/>
    <x v="1421"/>
    <s v="expense"/>
    <s v="other_1781955063347_5s7r"/>
    <s v="rc_acc_1781955063347_sv7p"/>
    <x v="1"/>
    <s v="ออกล่วงหน้า evenboy"/>
    <m/>
    <s v="import"/>
    <s v=""/>
    <b v="0"/>
    <s v=""/>
  </r>
  <r>
    <s v="69be1d4f-63c0-4b40-9876-a02b8868cffd"/>
    <x v="994"/>
    <s v="22:44"/>
    <x v="1441"/>
    <s v="transfer"/>
    <s v="other"/>
    <s v="rc_acc_1781955063347_0qmn"/>
    <x v="5"/>
    <s v="-"/>
    <m/>
    <s v="import"/>
    <s v=""/>
    <b v="0"/>
    <s v=""/>
  </r>
  <r>
    <s v="9605c362-5c97-4539-b79c-249356bbb513"/>
    <x v="995"/>
    <s v="10:27"/>
    <x v="199"/>
    <s v="expense"/>
    <s v="rc_cat_1781955063347_5qjb_1781955063347_tezk"/>
    <s v="rc_acc_1781955063347_uxz4"/>
    <x v="1"/>
    <s v="-"/>
    <m/>
    <s v="import"/>
    <s v=""/>
    <b v="0"/>
    <s v=""/>
  </r>
  <r>
    <s v="d0125b01-b59c-4346-9783-d748dbd4fa5d"/>
    <x v="995"/>
    <s v="23:08"/>
    <x v="1442"/>
    <s v="transfer"/>
    <s v="other"/>
    <s v="kbank"/>
    <x v="10"/>
    <s v="-"/>
    <m/>
    <s v="import"/>
    <s v=""/>
    <b v="0"/>
    <s v=""/>
  </r>
  <r>
    <s v="5077d14f-a3c5-432b-92c5-6c184ac9382e"/>
    <x v="996"/>
    <s v="00:00"/>
    <x v="8"/>
    <s v="transfer"/>
    <s v="other"/>
    <s v="rc_acc_1781955063347_uxz4"/>
    <x v="25"/>
    <s v="-"/>
    <m/>
    <s v="import"/>
    <s v=""/>
    <b v="0"/>
    <s v=""/>
  </r>
  <r>
    <s v="1bfccab5-8fe5-4eeb-b99c-072afe331a6f"/>
    <x v="996"/>
    <s v="00:00"/>
    <x v="19"/>
    <s v="transfer"/>
    <s v="other"/>
    <s v="rc_acc_1781955063347_uxz4"/>
    <x v="16"/>
    <s v="-"/>
    <m/>
    <s v="import"/>
    <s v=""/>
    <b v="0"/>
    <s v=""/>
  </r>
  <r>
    <s v="9322b698-ea7e-4460-b596-79c811f743e9"/>
    <x v="996"/>
    <s v="11:25"/>
    <x v="8"/>
    <s v="transfer"/>
    <s v="other"/>
    <s v="rc_acc_1781955063349_qn1n"/>
    <x v="5"/>
    <s v="Yuang"/>
    <m/>
    <s v="import"/>
    <s v=""/>
    <b v="0"/>
    <s v=""/>
  </r>
  <r>
    <s v="66d0c9ff-29ac-41f4-9809-0f91ec7ab479"/>
    <x v="997"/>
    <s v="08:18"/>
    <x v="1251"/>
    <s v="expense"/>
    <s v="rc_cat_1781955063347_5qjb_1781955063347_tezk"/>
    <s v="rc_acc_1781955063347_uxz4"/>
    <x v="1"/>
    <s v="เกาเหลา"/>
    <m/>
    <s v="import"/>
    <s v=""/>
    <b v="0"/>
    <s v=""/>
  </r>
  <r>
    <s v="efa26ad6-6bf6-4c3c-8444-e80d8a61a158"/>
    <x v="997"/>
    <s v="08:27"/>
    <x v="19"/>
    <s v="transfer"/>
    <s v="other"/>
    <s v="rc_acc_1781955063347_uxz4"/>
    <x v="16"/>
    <s v="-"/>
    <m/>
    <s v="import"/>
    <s v=""/>
    <b v="0"/>
    <s v=""/>
  </r>
  <r>
    <s v="e2dea58e-1139-48db-b87d-239e94db9afd"/>
    <x v="997"/>
    <s v="11:23"/>
    <x v="1096"/>
    <s v="expense"/>
    <s v="rc_cat_1781955063347_5qjb_1781955063347_tezk"/>
    <s v="rc_acc_1781955063347_uxz4"/>
    <x v="1"/>
    <s v="เบอร์เกอร์ rbh"/>
    <m/>
    <s v="import"/>
    <s v=""/>
    <b v="0"/>
    <s v=""/>
  </r>
  <r>
    <s v="56f45d28-020a-4b8a-b904-9e6eaec5b8e3"/>
    <x v="997"/>
    <s v="11:38"/>
    <x v="323"/>
    <s v="expense"/>
    <s v="entertain_1781955063347_2t5k"/>
    <s v="rc_acc_1781955063347_hv85"/>
    <x v="1"/>
    <s v="spirit island app"/>
    <m/>
    <s v="import"/>
    <s v=""/>
    <b v="0"/>
    <s v=""/>
  </r>
  <r>
    <s v="600fba41-6139-46d7-820f-9e03cacf5f09"/>
    <x v="997"/>
    <s v="17:17"/>
    <x v="35"/>
    <s v="transfer"/>
    <s v="other"/>
    <s v="rc_acc_1781955063347_uxz4"/>
    <x v="4"/>
    <s v="-"/>
    <m/>
    <s v="import"/>
    <s v=""/>
    <b v="0"/>
    <s v=""/>
  </r>
  <r>
    <s v="633689e5-cb01-4f7a-a943-1909510b2ae5"/>
    <x v="997"/>
    <s v="19:17"/>
    <x v="1443"/>
    <s v="expense"/>
    <s v="rc_cat_1781955063347_04qb_1781955063347_wt5p"/>
    <s v="kbank"/>
    <x v="1"/>
    <s v="-"/>
    <m/>
    <s v="import"/>
    <s v=""/>
    <b v="0"/>
    <s v=""/>
  </r>
  <r>
    <s v="5f620f7c-773e-41e2-a11e-9e4813c550fb"/>
    <x v="997"/>
    <s v="19:25"/>
    <x v="1444"/>
    <s v="expense"/>
    <s v="rc_cat_1781955063347_5qjb_1781955063347_tezk"/>
    <s v="rc_acc_1781955063347_0qmn"/>
    <x v="1"/>
    <s v="สั่งข้าว shopee 91 70 70 57"/>
    <m/>
    <s v="import"/>
    <s v=""/>
    <b v="0"/>
    <s v=""/>
  </r>
  <r>
    <s v="34757089-397e-4922-9033-ee2d1beeea52"/>
    <x v="997"/>
    <s v="19:27"/>
    <x v="1444"/>
    <s v="transfer"/>
    <s v="other"/>
    <s v="rc_acc_1781955063347_omhz"/>
    <x v="5"/>
    <s v="-"/>
    <m/>
    <s v="import"/>
    <s v=""/>
    <b v="0"/>
    <s v=""/>
  </r>
  <r>
    <s v="792a5b85-ef5b-42c7-b947-761ca41415be"/>
    <x v="997"/>
    <s v="19:29"/>
    <x v="1113"/>
    <s v="expense"/>
    <s v="rc_cat_1781955063347_5qjb_1781955063347_tezk"/>
    <s v="rc_acc_1781955063347_0qmn"/>
    <x v="1"/>
    <s v="coffilism"/>
    <m/>
    <s v="import"/>
    <s v=""/>
    <b v="0"/>
    <s v=""/>
  </r>
  <r>
    <s v="fbee98c2-c152-4ad2-be01-18a33c42ff4b"/>
    <x v="997"/>
    <s v="19:30"/>
    <x v="1113"/>
    <s v="transfer"/>
    <s v="other"/>
    <s v="rc_acc_1781955063347_omhz"/>
    <x v="5"/>
    <s v="-"/>
    <m/>
    <s v="import"/>
    <s v=""/>
    <b v="0"/>
    <s v=""/>
  </r>
  <r>
    <s v="68181516-66d9-4e53-93b8-3a545cca0874"/>
    <x v="997"/>
    <s v="19:31"/>
    <x v="1445"/>
    <s v="transfer"/>
    <s v="other"/>
    <s v="rc_acc_1781955063347_0qmn"/>
    <x v="5"/>
    <s v="-"/>
    <m/>
    <s v="import"/>
    <s v=""/>
    <b v="0"/>
    <s v=""/>
  </r>
  <r>
    <s v="9a6228b7-d94f-4351-8e9d-085dcc95378b"/>
    <x v="997"/>
    <s v="19:35"/>
    <x v="8"/>
    <s v="income"/>
    <s v="income_1781955063347_5zxt"/>
    <s v="rc_acc_1781955063347_0qmn"/>
    <x v="1"/>
    <s v="หงโอน"/>
    <m/>
    <s v="import"/>
    <s v=""/>
    <b v="0"/>
    <s v=""/>
  </r>
  <r>
    <s v="63860bb7-49a6-409e-a6be-842f4a1ceb53"/>
    <x v="997"/>
    <s v="19:45"/>
    <x v="5"/>
    <s v="transfer"/>
    <s v="other"/>
    <s v="rc_acc_1781955063347_0qmn"/>
    <x v="12"/>
    <s v="-"/>
    <m/>
    <s v="import"/>
    <s v=""/>
    <b v="0"/>
    <s v=""/>
  </r>
  <r>
    <s v="9702b124-0e2c-4661-95ed-8760a73bb75a"/>
    <x v="997"/>
    <s v="19:52"/>
    <x v="1446"/>
    <s v="expense"/>
    <s v="entertain_1781955063347_8r8e"/>
    <s v="rc_acc_1781955063347_kjxt"/>
    <x v="1"/>
    <s v="kraftwagen boardgame"/>
    <m/>
    <s v="import"/>
    <s v=""/>
    <b v="0"/>
    <s v=""/>
  </r>
  <r>
    <s v="1fa1081d-9334-46d1-b75c-e1d33d0c4956"/>
    <x v="997"/>
    <s v="23:04"/>
    <x v="694"/>
    <s v="transfer"/>
    <s v="other"/>
    <s v="rc_acc_1781955063347_uxz4"/>
    <x v="4"/>
    <s v="-"/>
    <m/>
    <s v="import"/>
    <s v=""/>
    <b v="0"/>
    <s v=""/>
  </r>
  <r>
    <s v="f43302a8-07bc-483c-b35b-3b06717c68f4"/>
    <x v="998"/>
    <s v="19:34"/>
    <x v="558"/>
    <s v="expense"/>
    <s v="rc_cat_1781955063347_5qjb_1781955063347_tezk"/>
    <s v="rc_acc_1781955063347_0qmn"/>
    <x v="1"/>
    <s v="-"/>
    <m/>
    <s v="import"/>
    <s v=""/>
    <b v="0"/>
    <s v=""/>
  </r>
  <r>
    <s v="cbe4d3a6-1736-4b0b-8f6d-b84766b90a38"/>
    <x v="999"/>
    <s v="10:01"/>
    <x v="5"/>
    <s v="expense"/>
    <s v="rc_cat_1781955063347_anhy_1781955063347_qnaz"/>
    <s v="rc_acc_1781955063347_uxz4"/>
    <x v="1"/>
    <s v="-"/>
    <m/>
    <s v="import"/>
    <s v=""/>
    <b v="0"/>
    <s v=""/>
  </r>
  <r>
    <s v="193a8287-5f8d-4386-83f1-f771eac27de5"/>
    <x v="999"/>
    <s v="10:24"/>
    <x v="1447"/>
    <s v="expense"/>
    <s v="rc_cat_1781955063347_5qjb_1781955063347_tezk"/>
    <s v="rc_acc_1781955063347_0qmn"/>
    <x v="1"/>
    <s v="RBH 24 - 28"/>
    <m/>
    <s v="import"/>
    <s v=""/>
    <b v="0"/>
    <s v=""/>
  </r>
  <r>
    <s v="f332436d-84d6-4405-80df-7a3411d24a05"/>
    <x v="999"/>
    <s v="11:56"/>
    <x v="8"/>
    <s v="transfer"/>
    <s v="other"/>
    <s v="rc_acc_1781955063347_uxz4"/>
    <x v="25"/>
    <s v="โอนเพิ่ม"/>
    <m/>
    <s v="import"/>
    <s v=""/>
    <b v="0"/>
    <s v=""/>
  </r>
  <r>
    <s v="398f9c7f-57df-49bb-9b70-2b0bf47e8ff1"/>
    <x v="999"/>
    <s v="12:07"/>
    <x v="1448"/>
    <s v="transfer"/>
    <s v="other"/>
    <s v="rc_acc_1781955063347_pixu"/>
    <x v="5"/>
    <s v="-"/>
    <m/>
    <s v="import"/>
    <s v=""/>
    <b v="0"/>
    <s v=""/>
  </r>
  <r>
    <s v="9274146b-3c91-431f-9828-ef2463e1c2b7"/>
    <x v="999"/>
    <s v="12:07"/>
    <x v="31"/>
    <s v="transfer"/>
    <s v="other"/>
    <s v="rc_acc_1781955063348_2vnx"/>
    <x v="5"/>
    <s v="-"/>
    <m/>
    <s v="import"/>
    <s v=""/>
    <b v="0"/>
    <s v=""/>
  </r>
  <r>
    <s v="19f6b6a9-f9e5-471b-bef8-2fdea273d6e0"/>
    <x v="999"/>
    <s v="14:21"/>
    <x v="1225"/>
    <s v="transfer"/>
    <s v="other"/>
    <s v="rc_acc_1781955063347_e3zv"/>
    <x v="5"/>
    <s v="-"/>
    <m/>
    <s v="import"/>
    <s v=""/>
    <b v="0"/>
    <s v=""/>
  </r>
  <r>
    <s v="199095b5-7a92-4f7d-9c38-5a36dfb979e0"/>
    <x v="999"/>
    <s v="14:21"/>
    <x v="1225"/>
    <s v="expense"/>
    <s v="rc_cat_1781955063347_5qjb_1781955063347_tezk"/>
    <s v="rc_acc_1781955063347_0qmn"/>
    <x v="1"/>
    <s v="mk"/>
    <m/>
    <s v="import"/>
    <s v=""/>
    <b v="0"/>
    <s v=""/>
  </r>
  <r>
    <s v="d8ea300c-1960-45de-bb73-a2f2d78debca"/>
    <x v="999"/>
    <s v="14:36"/>
    <x v="87"/>
    <s v="expense"/>
    <s v="rc_cat_1781955063347_5qjb_1781955063348_wpky"/>
    <s v="rc_acc_1781955063347_0qmn"/>
    <x v="1"/>
    <s v="กล่องขนม"/>
    <m/>
    <s v="import"/>
    <s v=""/>
    <b v="0"/>
    <s v=""/>
  </r>
  <r>
    <s v="40198838-214e-43da-a383-b3f1c4b9cc48"/>
    <x v="999"/>
    <s v="14:47"/>
    <x v="1449"/>
    <s v="expense"/>
    <s v="rc_cat_1781955063347_5qjb_1781955063347_tezk"/>
    <s v="rc_acc_1781955063347_0qmn"/>
    <x v="1"/>
    <s v="grab"/>
    <m/>
    <s v="import"/>
    <s v=""/>
    <b v="0"/>
    <s v=""/>
  </r>
  <r>
    <s v="7de6b927-5f97-4d7e-9df1-58a3d4042fc5"/>
    <x v="999"/>
    <s v="19:28"/>
    <x v="26"/>
    <s v="expense"/>
    <s v="rc_cat_1781955063347_5qjb_1781955063347_tezk"/>
    <s v="rc_acc_1781955063347_uxz4"/>
    <x v="1"/>
    <s v="เบอร์เกอร์วันบอดเกม"/>
    <m/>
    <s v="import"/>
    <s v=""/>
    <b v="0"/>
    <s v=""/>
  </r>
  <r>
    <s v="49b79ef6-11f8-4434-b5ab-bbcfaad23b5c"/>
    <x v="999"/>
    <s v="19:36"/>
    <x v="1450"/>
    <s v="expense"/>
    <s v="rc_cat_1781955063347_5qjb_1781955063348_wpky"/>
    <s v="rc_acc_1781955063347_0qmn"/>
    <x v="1"/>
    <s v="macro"/>
    <m/>
    <s v="import"/>
    <s v=""/>
    <b v="0"/>
    <s v=""/>
  </r>
  <r>
    <s v="530f2703-140d-423d-b9ef-ac33419aa35d"/>
    <x v="1000"/>
    <s v="11:37"/>
    <x v="1451"/>
    <s v="expense"/>
    <s v="entertain_1781955063347_2t5k"/>
    <s v="rc_acc_1781955063347_hv85"/>
    <x v="1"/>
    <s v="steam game"/>
    <m/>
    <s v="import"/>
    <s v=""/>
    <b v="0"/>
    <s v=""/>
  </r>
  <r>
    <s v="4bdca62f-1e36-4d45-8c28-9691dfa23712"/>
    <x v="1001"/>
    <s v="08:07"/>
    <x v="150"/>
    <s v="expense"/>
    <s v="rc_cat_1781955063347_5qjb_1781955063347_tezk"/>
    <s v="rc_acc_1781955063348_u1qk"/>
    <x v="1"/>
    <s v="-"/>
    <m/>
    <s v="import"/>
    <s v=""/>
    <b v="0"/>
    <s v=""/>
  </r>
  <r>
    <s v="75d35c83-7df7-4521-a482-8d1dc793208a"/>
    <x v="1001"/>
    <s v="12:56"/>
    <x v="1452"/>
    <s v="expense"/>
    <s v="rc_cat_1781955063347_5qjb_1781955063347_tezk"/>
    <s v="rc_acc_1781955063347_uxz4"/>
    <x v="1"/>
    <s v="เยนตาโฟ และกาแฟ"/>
    <m/>
    <s v="import"/>
    <s v=""/>
    <b v="0"/>
    <s v=""/>
  </r>
  <r>
    <s v="1c1c4a0d-971f-4815-8dc3-b79237a43153"/>
    <x v="1001"/>
    <s v="18:51"/>
    <x v="1453"/>
    <s v="expense"/>
    <s v="rc_cat_1781955063347_5qjb_1781955063347_tezk"/>
    <s v="rc_acc_1781955063347_0qmn"/>
    <x v="1"/>
    <s v="บาบิก้อน"/>
    <m/>
    <s v="import"/>
    <s v=""/>
    <b v="0"/>
    <s v=""/>
  </r>
  <r>
    <s v="a5166be6-b152-4bcd-b2d7-89de7ac1513e"/>
    <x v="1002"/>
    <s v="00:00"/>
    <x v="1454"/>
    <s v="expense"/>
    <s v="rc_cat_1781955063347_04qb_1781955063347_lu9b"/>
    <s v="rc_acc_1781955063347_uxz4"/>
    <x v="1"/>
    <s v="-"/>
    <m/>
    <s v="import"/>
    <s v=""/>
    <b v="0"/>
    <s v=""/>
  </r>
  <r>
    <s v="735b308b-8aa6-4be1-be8c-68975b94a81e"/>
    <x v="1002"/>
    <s v="00:00"/>
    <x v="1455"/>
    <s v="expense"/>
    <s v="rc_cat_1781955063347_04qb_1781955063347_kgnn"/>
    <s v="rc_acc_1781955063347_uxz4"/>
    <x v="1"/>
    <s v="-"/>
    <m/>
    <s v="import"/>
    <s v=""/>
    <b v="0"/>
    <s v=""/>
  </r>
  <r>
    <s v="09488fb1-6b96-4c7b-a955-b17adf1d136f"/>
    <x v="1002"/>
    <s v="00:00"/>
    <x v="1169"/>
    <s v="transfer"/>
    <s v="other"/>
    <s v="rc_acc_1781955063347_uxz4"/>
    <x v="20"/>
    <s v="-"/>
    <m/>
    <s v="import"/>
    <s v=""/>
    <b v="0"/>
    <s v=""/>
  </r>
  <r>
    <s v="6b25c43d-e246-4552-94ba-772dc34ed6d1"/>
    <x v="1002"/>
    <s v="00:00"/>
    <x v="128"/>
    <s v="transfer"/>
    <s v="other"/>
    <s v="rc_acc_1781955063347_uxz4"/>
    <x v="21"/>
    <s v="-"/>
    <m/>
    <s v="import"/>
    <s v=""/>
    <b v="0"/>
    <s v=""/>
  </r>
  <r>
    <s v="33b18d39-052e-4b19-a7ab-24d7f16fd700"/>
    <x v="1002"/>
    <s v="00:00"/>
    <x v="31"/>
    <s v="transfer"/>
    <s v="other"/>
    <s v="rc_acc_1781955063347_uxz4"/>
    <x v="7"/>
    <s v="-"/>
    <m/>
    <s v="import"/>
    <s v=""/>
    <b v="0"/>
    <s v=""/>
  </r>
  <r>
    <s v="21f0fcdb-887c-497b-b6b6-805cb50fb87e"/>
    <x v="1002"/>
    <s v="00:00"/>
    <x v="1390"/>
    <s v="transfer"/>
    <s v="other"/>
    <s v="rc_acc_1781955063347_uxz4"/>
    <x v="8"/>
    <s v="-"/>
    <m/>
    <s v="import"/>
    <s v=""/>
    <b v="0"/>
    <s v=""/>
  </r>
  <r>
    <s v="8d114dee-3559-49c1-ba21-5c15a30c2574"/>
    <x v="1002"/>
    <s v="00:00"/>
    <x v="1391"/>
    <s v="income"/>
    <s v="income_1781955063347_5zxt"/>
    <s v="rc_acc_1781955063347_uxz4"/>
    <x v="1"/>
    <s v="-"/>
    <m/>
    <s v="import"/>
    <s v=""/>
    <b v="0"/>
    <s v=""/>
  </r>
  <r>
    <s v="bd378511-419a-4c38-b573-6945cca6b5d8"/>
    <x v="1003"/>
    <s v="10:34"/>
    <x v="1018"/>
    <s v="expense"/>
    <s v="rc_cat_1781955063347_5qjb_1781955063347_tezk"/>
    <s v="rc_acc_1781955063347_0qmn"/>
    <x v="1"/>
    <s v="จี้ฮอง"/>
    <m/>
    <s v="import"/>
    <s v=""/>
    <b v="0"/>
    <s v=""/>
  </r>
  <r>
    <s v="e188a055-7a52-4820-8738-674c6c3f54ab"/>
    <x v="1003"/>
    <s v="13:00"/>
    <x v="1456"/>
    <s v="expense"/>
    <s v="entertain_1781955063349_gok1"/>
    <s v="rc_acc_1781955063349_mitc"/>
    <x v="1"/>
    <s v="ของฝาก"/>
    <m/>
    <s v="import"/>
    <s v=""/>
    <b v="0"/>
    <s v=""/>
  </r>
  <r>
    <s v="27004924-2e14-4301-8b8e-ce3f24cd883d"/>
    <x v="1003"/>
    <s v="13:03"/>
    <x v="1457"/>
    <s v="expense"/>
    <s v="rc_cat_1781955063347_5qjb_1781955063347_tezk"/>
    <s v="rc_acc_1781955063349_mitc"/>
    <x v="1"/>
    <s v="กาฟ asterisk"/>
    <m/>
    <s v="import"/>
    <s v=""/>
    <b v="0"/>
    <s v=""/>
  </r>
  <r>
    <s v="22e763ba-efa2-467f-b3f1-4794de39ca11"/>
    <x v="1003"/>
    <s v="16:16"/>
    <x v="199"/>
    <s v="expense"/>
    <s v="rc_cat_1781955063347_5qjb_1781955063347_tezk"/>
    <s v="rc_acc_1781955063347_0qmn"/>
    <x v="1"/>
    <s v="โรตี"/>
    <m/>
    <s v="import"/>
    <s v=""/>
    <b v="0"/>
    <s v=""/>
  </r>
  <r>
    <s v="be19b26e-a304-4c01-8e23-ea7da398c6b9"/>
    <x v="1003"/>
    <s v="18:16"/>
    <x v="1458"/>
    <s v="expense"/>
    <s v="rc_cat_1781955063347_5qjb_1781955063348_edf6"/>
    <s v="rc_acc_1781955063347_kjxt"/>
    <x v="1"/>
    <s v="-"/>
    <m/>
    <s v="import"/>
    <s v=""/>
    <b v="0"/>
    <s v=""/>
  </r>
  <r>
    <s v="6ce2f05b-ca78-45d0-96dd-34d0fb68829d"/>
    <x v="1003"/>
    <s v="18:22"/>
    <x v="359"/>
    <s v="expense"/>
    <s v="rc_cat_1781955063347_5qjb_1781955063347_tezk"/>
    <s v="rc_acc_1781955063347_0qmn"/>
    <x v="1"/>
    <s v="foodcourt airport"/>
    <m/>
    <s v="import"/>
    <s v=""/>
    <b v="0"/>
    <s v=""/>
  </r>
  <r>
    <s v="1e1966cb-656e-4e74-a1d5-c104adca013c"/>
    <x v="1003"/>
    <s v="21:30"/>
    <x v="182"/>
    <s v="expense"/>
    <s v="entertain_1781955063349_gok1"/>
    <s v="rc_acc_1781955063347_e3zv"/>
    <x v="1"/>
    <s v="carpark fee"/>
    <m/>
    <s v="import"/>
    <s v=""/>
    <b v="0"/>
    <s v=""/>
  </r>
  <r>
    <s v="5fde4967-22cd-4d41-94a8-c19ade9e4d24"/>
    <x v="1004"/>
    <s v="11:24"/>
    <x v="536"/>
    <s v="expense"/>
    <s v="rc_cat_1781955063347_5qjb_1781955063347_tezk"/>
    <s v="rc_acc_1781955063347_0qmn"/>
    <x v="1"/>
    <s v="มาลาติ่มซำ"/>
    <m/>
    <s v="import"/>
    <s v=""/>
    <b v="0"/>
    <s v=""/>
  </r>
  <r>
    <s v="90eb1ef9-9fae-41bc-b02b-4fb7a58ca4c7"/>
    <x v="1004"/>
    <s v="11:57"/>
    <x v="317"/>
    <s v="expense"/>
    <s v="entertain_1781955063348_kx2f"/>
    <s v="rc_acc_1781955063348_w3gp"/>
    <x v="1"/>
    <s v="spirit island app"/>
    <m/>
    <s v="import"/>
    <s v=""/>
    <b v="0"/>
    <s v=""/>
  </r>
  <r>
    <s v="1ddd92da-eec5-43c8-bdb8-af3dafdf394a"/>
    <x v="1004"/>
    <s v="12:25"/>
    <x v="549"/>
    <s v="expense"/>
    <s v="rc_cat_1781955063347_5qjb_1781955063347_tezk"/>
    <s v="rc_acc_1781955063347_0qmn"/>
    <x v="1"/>
    <s v="cafe hill"/>
    <m/>
    <s v="import"/>
    <s v=""/>
    <b v="0"/>
    <s v=""/>
  </r>
  <r>
    <s v="a2f31fb9-42af-4bfb-aef8-087512ef9604"/>
    <x v="1004"/>
    <s v="13:25"/>
    <x v="26"/>
    <s v="expense"/>
    <s v="entertain_1781955063349_gok1"/>
    <s v="rc_acc_1781955063347_e3zv"/>
    <x v="1"/>
    <s v="ค่ารถขึ้นเขา"/>
    <m/>
    <s v="import"/>
    <s v=""/>
    <b v="0"/>
    <s v=""/>
  </r>
  <r>
    <s v="78644fe1-aed7-40d3-a5e8-3a92ab3e0488"/>
    <x v="1004"/>
    <s v="18:03"/>
    <x v="503"/>
    <s v="expense"/>
    <s v="rc_cat_1781955063347_5qjb_1781955063347_tezk"/>
    <s v="rc_acc_1781955063347_e3zv"/>
    <x v="1"/>
    <s v="ฮ้องข้าวต้มปลา"/>
    <m/>
    <s v="import"/>
    <s v=""/>
    <b v="0"/>
    <s v=""/>
  </r>
  <r>
    <s v="e0a1259b-cef5-4288-a305-80e25d786b7a"/>
    <x v="1004"/>
    <s v="20:32"/>
    <x v="1303"/>
    <s v="expense"/>
    <s v="rc_cat_1781955063347_5qjb_1781955063347_tezk"/>
    <s v="rc_acc_1781955063347_0qmn"/>
    <x v="1"/>
    <s v="หวานละมุน"/>
    <m/>
    <s v="import"/>
    <s v=""/>
    <b v="0"/>
    <s v=""/>
  </r>
  <r>
    <s v="3ae8798d-1345-483b-a74e-da9c04c0624a"/>
    <x v="1005"/>
    <s v="14:19"/>
    <x v="323"/>
    <s v="expense"/>
    <s v="rc_cat_1781955063347_5qjb_1781955063347_tezk"/>
    <s v="rc_acc_1781955063347_0qmn"/>
    <x v="1"/>
    <s v="โรตี"/>
    <m/>
    <s v="import"/>
    <s v=""/>
    <b v="0"/>
    <s v=""/>
  </r>
  <r>
    <s v="64f33a3e-8745-4f5e-867f-58e5b85a0d45"/>
    <x v="1005"/>
    <s v="14:20"/>
    <x v="87"/>
    <s v="expense"/>
    <s v="rc_cat_1781955063347_5qjb_1781955063347_tezk"/>
    <s v="rc_acc_1781955063348_w3gp"/>
    <x v="1"/>
    <s v="กาแฟเซเว่น"/>
    <m/>
    <s v="import"/>
    <s v=""/>
    <b v="0"/>
    <s v=""/>
  </r>
  <r>
    <s v="b64a6bca-3855-4647-bed6-d9fc66b3ac8e"/>
    <x v="1005"/>
    <s v="16:30"/>
    <x v="886"/>
    <s v="expense"/>
    <s v="entertain_1781955063349_gok1"/>
    <s v="rc_acc_1781955063347_e3zv"/>
    <x v="1"/>
    <s v="pkt2021 ค่าเรือ"/>
    <m/>
    <s v="import"/>
    <s v=""/>
    <b v="0"/>
    <s v=""/>
  </r>
  <r>
    <s v="8c3aa2ce-c1ad-4153-b3de-763736fe594e"/>
    <x v="1005"/>
    <s v="18:10"/>
    <x v="1459"/>
    <s v="expense"/>
    <s v="entertain_1781955063349_gok1"/>
    <s v="rc_acc_1781955063347_kjxt"/>
    <x v="1"/>
    <s v="ซีฟูด"/>
    <m/>
    <s v="import"/>
    <s v=""/>
    <b v="0"/>
    <s v=""/>
  </r>
  <r>
    <s v="bde18acc-265a-4c57-923a-b767c704b980"/>
    <x v="1005"/>
    <s v="19:09"/>
    <x v="886"/>
    <s v="transfer"/>
    <s v="other"/>
    <s v="rc_acc_1781955063347_kjxt"/>
    <x v="12"/>
    <s v="-"/>
    <m/>
    <s v="import"/>
    <s v=""/>
    <b v="0"/>
    <s v=""/>
  </r>
  <r>
    <s v="6058e322-f33f-441c-80a4-e7a19472cf4a"/>
    <x v="1005"/>
    <s v="19:39"/>
    <x v="764"/>
    <s v="expense"/>
    <s v="rc_cat_1781955063347_5qjb_1781955063347_tezk"/>
    <s v="rc_acc_1781955063347_uxz4"/>
    <x v="1"/>
    <s v="ไอติม"/>
    <m/>
    <s v="import"/>
    <s v=""/>
    <b v="0"/>
    <s v=""/>
  </r>
  <r>
    <s v="93375e4c-4c3e-41e0-8b83-ee2e638e56e8"/>
    <x v="1005"/>
    <s v="20:20"/>
    <x v="783"/>
    <s v="expense"/>
    <s v="rc_cat_1781955063347_5qjb_1781955063347_tezk"/>
    <s v="rc_acc_1781955063347_uxz4"/>
    <x v="1"/>
    <s v="หมูย่าง"/>
    <m/>
    <s v="import"/>
    <s v=""/>
    <b v="0"/>
    <s v=""/>
  </r>
  <r>
    <s v="a77680b8-e814-47c5-b59a-14c3aab89989"/>
    <x v="1006"/>
    <s v="09:45"/>
    <x v="146"/>
    <s v="expense"/>
    <s v="rc_cat_1781955063347_5qjb_1781955063347_tezk"/>
    <s v="rc_acc_1781955063347_e3zv"/>
    <x v="1"/>
    <s v="amazon"/>
    <m/>
    <s v="import"/>
    <s v=""/>
    <b v="0"/>
    <s v=""/>
  </r>
  <r>
    <s v="826ed18e-2c2e-46b7-899a-238473d60510"/>
    <x v="1006"/>
    <s v="09:50"/>
    <x v="1460"/>
    <s v="expense"/>
    <s v="entertain_1781955063349_gok1"/>
    <s v="rc_acc_1781955063347_uxz4"/>
    <x v="1"/>
    <s v="ค่ารถ"/>
    <m/>
    <s v="import"/>
    <s v=""/>
    <b v="0"/>
    <s v=""/>
  </r>
  <r>
    <s v="c68858c2-5786-4e2b-9bb8-906bf7fa27fc"/>
    <x v="1006"/>
    <s v="10:26"/>
    <x v="185"/>
    <s v="expense"/>
    <s v="entertain_1781955063349_gok1"/>
    <s v="rc_acc_1781955063347_e3zv"/>
    <x v="1"/>
    <s v="ค่ารถ"/>
    <m/>
    <s v="import"/>
    <s v=""/>
    <b v="0"/>
    <s v=""/>
  </r>
  <r>
    <s v="f2b3c08d-fd63-4e80-a836-e8b46ef7fa95"/>
    <x v="1006"/>
    <s v="13:26"/>
    <x v="604"/>
    <s v="expense"/>
    <s v="rc_cat_1781955063347_5qjb_1781955063347_tezk"/>
    <s v="rc_acc_1781955063347_e3zv"/>
    <x v="1"/>
    <s v="เยนตาโฟ"/>
    <m/>
    <s v="import"/>
    <s v=""/>
    <b v="0"/>
    <s v=""/>
  </r>
  <r>
    <s v="6afbb511-71b0-401b-9bca-81f23e122600"/>
    <x v="1006"/>
    <s v="14:05"/>
    <x v="169"/>
    <s v="expense"/>
    <s v="rc_cat_1781955063347_5qjb_1781955063347_tezk"/>
    <s v="rc_acc_1781955063347_uxz4"/>
    <x v="1"/>
    <s v="shelter coffee"/>
    <m/>
    <s v="import"/>
    <s v=""/>
    <b v="0"/>
    <s v=""/>
  </r>
  <r>
    <s v="beec11b4-8544-4d6e-85bd-cbe19adffbc4"/>
    <x v="1006"/>
    <s v="15:14"/>
    <x v="932"/>
    <s v="expense"/>
    <s v="rc_cat_1781955063347_5qjb_1781955063347_tezk"/>
    <s v="rc_acc_1781955063347_0qmn"/>
    <x v="1"/>
    <s v="สุชาติไอติมทอด"/>
    <m/>
    <s v="import"/>
    <s v=""/>
    <b v="0"/>
    <s v=""/>
  </r>
  <r>
    <s v="18f920bb-10f0-44bc-98a1-c33a36598e99"/>
    <x v="1006"/>
    <s v="18:16"/>
    <x v="232"/>
    <s v="expense"/>
    <s v="rc_cat_1781955063347_5qjb_1781955063347_tezk"/>
    <s v="rc_acc_1781955063347_0qmn"/>
    <x v="1"/>
    <s v="ทอดมันกุ้ง หมูปิ้ง เกี้ยวซ่า วาฟเฟิล ชานม เนื้อ"/>
    <m/>
    <s v="import"/>
    <s v=""/>
    <b v="0"/>
    <s v=""/>
  </r>
  <r>
    <s v="a8104430-7921-4f2c-b641-36697bc65522"/>
    <x v="1006"/>
    <s v="20:18"/>
    <x v="435"/>
    <s v="expense"/>
    <s v="entertain_1781955063349_gok1"/>
    <s v="rc_acc_1781955063348_w3gp"/>
    <x v="1"/>
    <s v="ของเซเว่น"/>
    <m/>
    <s v="import"/>
    <s v=""/>
    <b v="0"/>
    <s v=""/>
  </r>
  <r>
    <s v="7109222e-8a7f-49a2-93e3-a8bc35361151"/>
    <x v="1007"/>
    <s v="16:49"/>
    <x v="503"/>
    <s v="expense"/>
    <s v="rc_cat_1781955063347_5qjb_1781955063347_tezk"/>
    <s v="rc_acc_1781955063347_0qmn"/>
    <x v="1"/>
    <s v="rbh 14-19"/>
    <m/>
    <s v="import"/>
    <s v=""/>
    <b v="0"/>
    <s v=""/>
  </r>
  <r>
    <s v="ab265a89-4303-4e16-a9b1-1fdcb68ccf91"/>
    <x v="1007"/>
    <s v="18:42"/>
    <x v="1461"/>
    <s v="expense"/>
    <s v="rc_cat_1781955063347_anhy_1781955063347_qnaz"/>
    <s v="rc_acc_1781955063347_uxz4"/>
    <x v="1"/>
    <s v="-"/>
    <m/>
    <s v="import"/>
    <s v=""/>
    <b v="0"/>
    <s v=""/>
  </r>
  <r>
    <s v="a97b389f-13f7-4415-bda2-e61806d307b1"/>
    <x v="1008"/>
    <s v="10:18"/>
    <x v="558"/>
    <s v="expense"/>
    <s v="rc_cat_1781955063347_5qjb_1781955063347_tezk"/>
    <s v="rc_acc_1781955063347_0qmn"/>
    <x v="1"/>
    <s v="blackcanyon"/>
    <m/>
    <s v="import"/>
    <s v=""/>
    <b v="0"/>
    <s v=""/>
  </r>
  <r>
    <s v="640a5b35-7d4f-4d9d-8e09-a10a8b93ba62"/>
    <x v="1008"/>
    <s v="10:43"/>
    <x v="1441"/>
    <s v="expense"/>
    <s v="other_1781955063348_27zj"/>
    <s v="rc_acc_1781955063347_kjxt"/>
    <x v="1"/>
    <s v="ตรวจสุขภาพ 5300 จ่ายแล้ว"/>
    <m/>
    <s v="import"/>
    <s v=""/>
    <b v="0"/>
    <s v=""/>
  </r>
  <r>
    <s v="0d46ee04-087f-4d02-9565-c18523f41753"/>
    <x v="1008"/>
    <s v="12:18"/>
    <x v="354"/>
    <s v="expense"/>
    <s v="rc_cat_1781955063347_5qjb_1781955063347_tezk"/>
    <s v="rc_acc_1781955063347_0qmn"/>
    <x v="1"/>
    <s v="tong rimtang"/>
    <m/>
    <s v="import"/>
    <s v=""/>
    <b v="0"/>
    <s v=""/>
  </r>
  <r>
    <s v="b33639ee-891c-410f-b7be-0ea4cb7f29b0"/>
    <x v="1008"/>
    <s v="18:33"/>
    <x v="22"/>
    <s v="expense"/>
    <s v="other_1781955063348_27zj"/>
    <s v="rc_acc_1781955063347_e3zv"/>
    <x v="1"/>
    <s v="ตัดผม"/>
    <m/>
    <s v="import"/>
    <s v=""/>
    <b v="0"/>
    <s v=""/>
  </r>
  <r>
    <s v="49d188c2-4846-49d9-a247-6a82a9b5c0b6"/>
    <x v="1008"/>
    <s v="19:33"/>
    <x v="87"/>
    <s v="expense"/>
    <s v="rc_cat_1781955063347_5qjb_1781955063347_tezk"/>
    <s v="rc_acc_1781955063347_e3zv"/>
    <x v="1"/>
    <s v="amazon kitkat"/>
    <m/>
    <s v="import"/>
    <s v=""/>
    <b v="0"/>
    <s v=""/>
  </r>
  <r>
    <s v="09253424-be9b-49b2-b46d-09d00e5220ee"/>
    <x v="1009"/>
    <s v="00:00"/>
    <x v="906"/>
    <s v="transfer"/>
    <s v="other"/>
    <s v="rc_acc_1781955063347_uxz4"/>
    <x v="17"/>
    <s v="-"/>
    <m/>
    <s v="import"/>
    <s v=""/>
    <b v="0"/>
    <s v=""/>
  </r>
  <r>
    <s v="eb8f6dd0-c66e-4c34-a92b-f9798c68e54a"/>
    <x v="1010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a6069927-0a52-4f0f-9062-4ad3ad540854"/>
    <x v="1010"/>
    <s v="10:08"/>
    <x v="1462"/>
    <s v="expense"/>
    <s v="rc_cat_1781955063347_5qjb_1781955063348_hrbf"/>
    <s v="rc_acc_1781955063347_0qmn"/>
    <x v="1"/>
    <s v="ค่าไฟ"/>
    <m/>
    <s v="import"/>
    <s v=""/>
    <b v="0"/>
    <s v=""/>
  </r>
  <r>
    <s v="1c915b49-fea2-4438-a800-2cd0f5eae371"/>
    <x v="1010"/>
    <s v="11:55"/>
    <x v="1233"/>
    <s v="expense"/>
    <s v="rc_cat_1781955063347_5qjb_1781955063347_tezk"/>
    <s v="rc_acc_1781955063348_w3gp"/>
    <x v="1"/>
    <s v="ของเซเว่น"/>
    <m/>
    <s v="import"/>
    <s v=""/>
    <b v="0"/>
    <s v=""/>
  </r>
  <r>
    <s v="7e344bc7-b274-4b09-9211-5e5b0d61e1e8"/>
    <x v="1010"/>
    <s v="12:04"/>
    <x v="1463"/>
    <s v="expense"/>
    <s v="rc_cat_1781955063347_anhy_1781955063347_qnaz"/>
    <s v="rc_acc_1781955063347_hv85"/>
    <x v="1"/>
    <s v="-"/>
    <m/>
    <s v="import"/>
    <s v=""/>
    <b v="0"/>
    <s v=""/>
  </r>
  <r>
    <s v="267377c3-39e8-4736-ae36-865295eb3245"/>
    <x v="1010"/>
    <s v="17:17"/>
    <x v="1318"/>
    <s v="expense"/>
    <s v="rc_cat_1781955063347_5qjb_1781955063347_tezk"/>
    <s v="rc_acc_1781955063347_0qmn"/>
    <x v="1"/>
    <s v="kagi + spa trufle"/>
    <m/>
    <s v="import"/>
    <s v=""/>
    <b v="0"/>
    <s v=""/>
  </r>
  <r>
    <s v="b0428423-84c7-4c1d-bc35-5b084484b6ed"/>
    <x v="1010"/>
    <s v="18:16"/>
    <x v="607"/>
    <s v="expense"/>
    <s v="rc_cat_1781955063347_5qjb_1781955063347_tezk"/>
    <s v="rc_acc_1781955063347_0qmn"/>
    <x v="1"/>
    <s v="cha tra mue + whtstory"/>
    <m/>
    <s v="import"/>
    <s v=""/>
    <b v="0"/>
    <s v=""/>
  </r>
  <r>
    <s v="f522bab0-ad4e-45a6-9793-125768f52f98"/>
    <x v="1010"/>
    <s v="18:43"/>
    <x v="1464"/>
    <s v="expense"/>
    <s v="rc_cat_1781955063347_5qjb_1781955063348_wpky"/>
    <s v="rc_acc_1781955063347_kjxt"/>
    <x v="1"/>
    <s v="TOPs ปิ่นเกล้า"/>
    <m/>
    <s v="import"/>
    <s v=""/>
    <b v="0"/>
    <s v=""/>
  </r>
  <r>
    <s v="3a47d469-bb25-4eb6-bd4e-edab790ae543"/>
    <x v="1011"/>
    <s v="10:50"/>
    <x v="1432"/>
    <s v="transfer"/>
    <s v="other"/>
    <s v="rc_acc_1781955063347_pixu"/>
    <x v="5"/>
    <s v="-"/>
    <m/>
    <s v="import"/>
    <s v=""/>
    <b v="0"/>
    <s v=""/>
  </r>
  <r>
    <s v="b011d483-76c0-4770-b9cd-d8daf02cc790"/>
    <x v="1011"/>
    <s v="10:51"/>
    <x v="315"/>
    <s v="transfer"/>
    <s v="other"/>
    <s v="rc_acc_1781955063348_2vnx"/>
    <x v="5"/>
    <s v="-"/>
    <m/>
    <s v="import"/>
    <s v=""/>
    <b v="0"/>
    <s v=""/>
  </r>
  <r>
    <s v="7995bab5-97a0-4e80-8274-247f5ec0bb07"/>
    <x v="1011"/>
    <s v="11:23"/>
    <x v="516"/>
    <s v="transfer"/>
    <s v="other"/>
    <s v="rc_acc_1781955063347_uxz4"/>
    <x v="6"/>
    <s v="-"/>
    <m/>
    <s v="import"/>
    <s v=""/>
    <b v="0"/>
    <s v=""/>
  </r>
  <r>
    <s v="b78b23f7-736b-4269-9d08-fb92d4463624"/>
    <x v="1011"/>
    <s v="11:51"/>
    <x v="1465"/>
    <s v="transfer"/>
    <s v="other"/>
    <s v="rc_acc_1781955063347_uxz4"/>
    <x v="17"/>
    <s v="-"/>
    <m/>
    <s v="import"/>
    <s v=""/>
    <b v="0"/>
    <s v=""/>
  </r>
  <r>
    <s v="7cdb7c36-0140-4088-ae23-e5f1f831ef62"/>
    <x v="1011"/>
    <s v="11:52"/>
    <x v="1466"/>
    <s v="expense"/>
    <s v="other_1781955063347_5s7r"/>
    <s v="rc_acc_1781955063348_w3gp"/>
    <x v="1"/>
    <s v="Difference"/>
    <m/>
    <s v="import"/>
    <s v=""/>
    <b v="0"/>
    <s v=""/>
  </r>
  <r>
    <s v="b89c473b-84f4-4d18-a67f-893ceff1c3ea"/>
    <x v="1011"/>
    <s v="11:56"/>
    <x v="1467"/>
    <s v="expense"/>
    <s v="rc_cat_1781955063347_5qjb_1781955063347_tezk"/>
    <s v="rc_acc_1781955063347_0qmn"/>
    <x v="1"/>
    <s v="robinhood"/>
    <m/>
    <s v="import"/>
    <s v=""/>
    <b v="0"/>
    <s v=""/>
  </r>
  <r>
    <s v="cceecaa7-ef54-42b4-806c-c4f78d818500"/>
    <x v="1011"/>
    <s v="11:56"/>
    <x v="1468"/>
    <s v="expense"/>
    <s v="rc_cat_1781955063347_5qjb_1781955063347_tezk"/>
    <s v="rc_acc_1781955063347_0qmn"/>
    <x v="1"/>
    <s v="grab"/>
    <m/>
    <s v="import"/>
    <s v=""/>
    <b v="0"/>
    <s v=""/>
  </r>
  <r>
    <s v="a399166b-48ec-40a0-93fc-611b576d0832"/>
    <x v="1011"/>
    <s v="11:58"/>
    <x v="1469"/>
    <s v="expense"/>
    <s v="rc_cat_1781955063347_5qjb_1781955063348_xqml"/>
    <s v="rc_acc_1781955063347_0qmn"/>
    <x v="1"/>
    <s v="ของโลตัส"/>
    <m/>
    <s v="import"/>
    <s v=""/>
    <b v="0"/>
    <s v=""/>
  </r>
  <r>
    <s v="5f561217-db9e-4bc6-953a-9b3dce76cc48"/>
    <x v="1011"/>
    <s v="11:59"/>
    <x v="1172"/>
    <s v="expense"/>
    <s v="rc_cat_1781955063347_5qjb_1781955063347_tezk"/>
    <s v="rc_acc_1781955063347_0qmn"/>
    <x v="1"/>
    <s v="pizza"/>
    <m/>
    <s v="import"/>
    <s v=""/>
    <b v="0"/>
    <s v=""/>
  </r>
  <r>
    <s v="837b9816-b37d-42f2-8b67-3771cd951bc6"/>
    <x v="1011"/>
    <s v="12:00"/>
    <x v="1192"/>
    <s v="expense"/>
    <s v="rc_cat_1781955063347_5qjb_1781955063347_tezk"/>
    <s v="rc_acc_1781955063347_0qmn"/>
    <x v="1"/>
    <s v="ของเซเว่น"/>
    <m/>
    <s v="import"/>
    <s v=""/>
    <b v="0"/>
    <s v=""/>
  </r>
  <r>
    <s v="5948107b-3688-4f86-bb6c-e9efbb047ef3"/>
    <x v="1011"/>
    <s v="12:00"/>
    <x v="186"/>
    <s v="expense"/>
    <s v="rc_cat_1781955063347_5qjb_1781955063348_hrbf"/>
    <s v="rc_acc_1781955063347_0qmn"/>
    <x v="1"/>
    <s v="เนต"/>
    <m/>
    <s v="import"/>
    <s v=""/>
    <b v="0"/>
    <s v=""/>
  </r>
  <r>
    <s v="0cd89a9b-b34a-42f3-87f3-8bf895c21737"/>
    <x v="1011"/>
    <s v="12:08"/>
    <x v="1470"/>
    <s v="expense"/>
    <s v="other_1781955063347_5s7r"/>
    <s v="rc_acc_1781955063347_0qmn"/>
    <x v="1"/>
    <s v="Difference"/>
    <m/>
    <s v="import"/>
    <s v=""/>
    <b v="0"/>
    <s v=""/>
  </r>
  <r>
    <s v="669203f5-83f9-4409-8a6e-17a5dd2c38d9"/>
    <x v="1011"/>
    <s v="12:10"/>
    <x v="211"/>
    <s v="transfer"/>
    <s v="other"/>
    <s v="rc_acc_1781955063348_no9r"/>
    <x v="30"/>
    <s v="-"/>
    <m/>
    <s v="import"/>
    <s v=""/>
    <b v="0"/>
    <s v=""/>
  </r>
  <r>
    <s v="8d31d7d2-6fd4-429b-b6a9-cb0dc65686ab"/>
    <x v="1011"/>
    <s v="12:11"/>
    <x v="1471"/>
    <s v="expense"/>
    <s v="entertain_1781955063349_gok1"/>
    <s v="rc_acc_1781955063349_mitc"/>
    <x v="1"/>
    <s v="pkt2021"/>
    <m/>
    <s v="import"/>
    <s v=""/>
    <b v="0"/>
    <s v=""/>
  </r>
  <r>
    <s v="933dd399-91e4-4cdf-82f2-f01a471b19fd"/>
    <x v="1011"/>
    <s v="18:44"/>
    <x v="558"/>
    <s v="expense"/>
    <s v="rc_cat_1781955063347_5qjb_1781955063347_tezk"/>
    <s v="rc_acc_1781955063347_kjxt"/>
    <x v="1"/>
    <s v="-"/>
    <m/>
    <s v="import"/>
    <s v=""/>
    <b v="0"/>
    <s v=""/>
  </r>
  <r>
    <s v="29c96927-a4c8-4813-a68c-136225e8be2b"/>
    <x v="1011"/>
    <s v="23:14"/>
    <x v="1472"/>
    <s v="income"/>
    <s v="income_1781955063347_zblt"/>
    <s v="kbank"/>
    <x v="1"/>
    <s v="-"/>
    <m/>
    <s v="import"/>
    <s v=""/>
    <b v="0"/>
    <s v=""/>
  </r>
  <r>
    <s v="693fa0fd-5d42-431e-bd26-71c7f0c172ee"/>
    <x v="1012"/>
    <s v="10:33"/>
    <x v="1473"/>
    <s v="income"/>
    <s v="income_1781955063347_zblt"/>
    <s v="rc_acc_1781955063347_uxz4"/>
    <x v="1"/>
    <s v="ขายแรม"/>
    <m/>
    <s v="import"/>
    <s v=""/>
    <b v="0"/>
    <s v=""/>
  </r>
  <r>
    <s v="cd8ae28a-7763-4e68-87f5-4d211daf3aa8"/>
    <x v="1013"/>
    <s v="10:32"/>
    <x v="138"/>
    <s v="transfer"/>
    <s v="other"/>
    <s v="rc_acc_1781955063347_uxz4"/>
    <x v="16"/>
    <s v="-"/>
    <m/>
    <s v="import"/>
    <s v=""/>
    <b v="0"/>
    <s v=""/>
  </r>
  <r>
    <s v="7d7c27b3-8597-443a-b42f-da9821b969c4"/>
    <x v="1013"/>
    <s v="11:21"/>
    <x v="516"/>
    <s v="expense"/>
    <s v="entertain_1781955063349_gok1"/>
    <s v="rc_acc_1781955063347_kjxt"/>
    <x v="1"/>
    <s v="pkt2021"/>
    <m/>
    <s v="import"/>
    <s v=""/>
    <b v="0"/>
    <s v=""/>
  </r>
  <r>
    <s v="365b77ec-1ce6-44e7-87b8-d9b22b03cde0"/>
    <x v="1013"/>
    <s v="14:31"/>
    <x v="212"/>
    <s v="transfer"/>
    <s v="other"/>
    <s v="rc_acc_1781955063347_uxz4"/>
    <x v="9"/>
    <s v="-"/>
    <m/>
    <s v="import"/>
    <s v=""/>
    <b v="0"/>
    <s v=""/>
  </r>
  <r>
    <s v="75c64798-6112-42ff-aa39-ee3cf17820e9"/>
    <x v="1014"/>
    <s v="13:04"/>
    <x v="1435"/>
    <s v="expense"/>
    <s v="rc_cat_1781955063347_5qjb_1781955063347_irl1"/>
    <s v="rc_acc_1781955063347_hv85"/>
    <x v="1"/>
    <s v="เครื่องซักผ้า LG(5/6)"/>
    <m/>
    <s v="import"/>
    <s v=""/>
    <b v="0"/>
    <s v=""/>
  </r>
  <r>
    <s v="563e7c22-67d2-4d57-ae28-48eeabe11185"/>
    <x v="1014"/>
    <s v="13:04"/>
    <x v="1436"/>
    <s v="expense"/>
    <s v="rc_cat_1781955063347_5qjb_1781955063347_irl1"/>
    <s v="rc_acc_1781955063347_hv85"/>
    <x v="1"/>
    <s v="ชั้น พัดลม homepro(5/6)"/>
    <m/>
    <s v="import"/>
    <s v=""/>
    <b v="0"/>
    <s v=""/>
  </r>
  <r>
    <s v="04ead29b-19a9-450b-8c44-842be299aa7e"/>
    <x v="1015"/>
    <s v="12:38"/>
    <x v="1474"/>
    <s v="expense"/>
    <s v="rc_cat_1781955063347_04qb_1781955063347_wt5p"/>
    <s v="rc_acc_1781955063347_uxz4"/>
    <x v="1"/>
    <s v="-"/>
    <m/>
    <s v="import"/>
    <s v=""/>
    <b v="0"/>
    <s v=""/>
  </r>
  <r>
    <s v="898cab27-2199-468a-8eeb-e2c9c0013be5"/>
    <x v="1016"/>
    <s v="08:55"/>
    <x v="150"/>
    <s v="expense"/>
    <s v="rc_cat_1781955063347_5qjb_1781955063347_tezk"/>
    <s v="rc_acc_1781955063347_0qmn"/>
    <x v="1"/>
    <s v="กาแฟ"/>
    <m/>
    <s v="import"/>
    <s v=""/>
    <b v="0"/>
    <s v=""/>
  </r>
  <r>
    <s v="6a4e72ce-d3cb-4eef-aa16-43daf5a93bda"/>
    <x v="1016"/>
    <s v="18:34"/>
    <x v="87"/>
    <s v="transfer"/>
    <s v="other"/>
    <s v="rc_acc_1781955063347_omhz"/>
    <x v="5"/>
    <s v="-"/>
    <m/>
    <s v="import"/>
    <s v=""/>
    <b v="0"/>
    <s v=""/>
  </r>
  <r>
    <s v="e2facded-769d-4f3c-91d3-a06579962d72"/>
    <x v="1016"/>
    <s v="18:55"/>
    <x v="1475"/>
    <s v="expense"/>
    <s v="rc_cat_1781955063347_5qjb_1781955063347_tezk"/>
    <s v="rc_acc_1781955063347_0qmn"/>
    <x v="1"/>
    <s v="ippudo+krispy cream"/>
    <m/>
    <s v="import"/>
    <s v=""/>
    <b v="0"/>
    <s v=""/>
  </r>
  <r>
    <s v="65131530-41e8-487e-a34b-3861f9df3ec1"/>
    <x v="1017"/>
    <s v="08:00"/>
    <x v="764"/>
    <s v="expense"/>
    <s v="rc_cat_1781955063347_5qjb_1781955063347_tezk"/>
    <s v="rc_acc_1781955063347_uxz4"/>
    <x v="1"/>
    <s v="-"/>
    <m/>
    <s v="import"/>
    <s v=""/>
    <b v="0"/>
    <s v=""/>
  </r>
  <r>
    <s v="3219fc66-1485-42b1-848a-22ef54ef25ee"/>
    <x v="1017"/>
    <s v="15:59"/>
    <x v="175"/>
    <s v="expense"/>
    <s v="rc_cat_1781955063347_5qjb_1781955063347_tezk"/>
    <s v="rc_acc_1781955063347_uxz4"/>
    <x v="1"/>
    <s v="-"/>
    <m/>
    <s v="import"/>
    <s v=""/>
    <b v="0"/>
    <s v=""/>
  </r>
  <r>
    <s v="e079dfa6-10a9-4144-97d8-1cfd142747b9"/>
    <x v="1017"/>
    <s v="18:54"/>
    <x v="1476"/>
    <s v="expense"/>
    <s v="rc_cat_1781955063347_5qjb_1781955063347_tezk"/>
    <s v="rc_acc_1781955063347_0qmn"/>
    <x v="1"/>
    <s v="mk"/>
    <m/>
    <s v="import"/>
    <s v=""/>
    <b v="0"/>
    <s v=""/>
  </r>
  <r>
    <s v="426facc8-7daa-4c23-bb8c-ac5b0e64ba98"/>
    <x v="1018"/>
    <s v="23:13"/>
    <x v="8"/>
    <s v="transfer"/>
    <s v="other"/>
    <s v="kbank"/>
    <x v="10"/>
    <s v="-"/>
    <m/>
    <s v="import"/>
    <s v=""/>
    <b v="0"/>
    <s v=""/>
  </r>
  <r>
    <s v="01658902-d771-49fd-ac95-7414b79345f0"/>
    <x v="1019"/>
    <s v="21:05"/>
    <x v="8"/>
    <s v="transfer"/>
    <s v="other"/>
    <s v="rc_acc_1781955063347_uxz4"/>
    <x v="4"/>
    <s v="-"/>
    <m/>
    <s v="import"/>
    <s v=""/>
    <b v="0"/>
    <s v=""/>
  </r>
  <r>
    <s v="4d7b507b-6349-448a-8908-53f40595f92b"/>
    <x v="1020"/>
    <s v="08:53"/>
    <x v="8"/>
    <s v="income"/>
    <s v="income_1781955063347_5zxt"/>
    <s v="rc_acc_1781955063347_0qmn"/>
    <x v="1"/>
    <s v="from hong"/>
    <m/>
    <s v="import"/>
    <s v=""/>
    <b v="0"/>
    <s v=""/>
  </r>
  <r>
    <s v="7a4ce256-677a-42b9-9af6-c3fa324865a9"/>
    <x v="1020"/>
    <s v="19:00"/>
    <x v="232"/>
    <s v="expense"/>
    <s v="rc_cat_1781955063347_5qjb_1781955063347_tezk"/>
    <s v="rc_acc_1781955063347_0qmn"/>
    <x v="1"/>
    <s v="mk"/>
    <m/>
    <s v="import"/>
    <s v=""/>
    <b v="0"/>
    <s v=""/>
  </r>
  <r>
    <s v="37ff5c01-8a33-458c-9bee-ec0e183b348a"/>
    <x v="1021"/>
    <s v="10:14"/>
    <x v="764"/>
    <s v="expense"/>
    <s v="rc_cat_1781955063347_5qjb_1781955063347_tezk"/>
    <s v="rc_acc_1781955063347_e3zv"/>
    <x v="1"/>
    <s v="-"/>
    <m/>
    <s v="import"/>
    <s v=""/>
    <b v="0"/>
    <s v=""/>
  </r>
  <r>
    <s v="415a8010-f5a8-4dfb-9c7c-d848c137a52f"/>
    <x v="1021"/>
    <s v="14:14"/>
    <x v="8"/>
    <s v="transfer"/>
    <s v="other"/>
    <s v="rc_acc_1781955063347_uxz4"/>
    <x v="25"/>
    <s v="-"/>
    <m/>
    <s v="import"/>
    <s v=""/>
    <b v="0"/>
    <s v=""/>
  </r>
  <r>
    <s v="1a483c59-4c5b-4020-b760-833787d7c5d2"/>
    <x v="1021"/>
    <s v="14:16"/>
    <x v="1477"/>
    <s v="expense"/>
    <s v="rc_cat_1781955063347_5qjb_1781955063347_tezk"/>
    <s v="rc_acc_1781955063347_0qmn"/>
    <x v="1"/>
    <s v="coca suki"/>
    <m/>
    <s v="import"/>
    <s v=""/>
    <b v="0"/>
    <s v=""/>
  </r>
  <r>
    <s v="69e23ff7-5b9a-47b1-a692-687903cb35d2"/>
    <x v="1021"/>
    <s v="14:17"/>
    <x v="372"/>
    <s v="transfer"/>
    <s v="other"/>
    <s v="rc_acc_1781955063347_omhz"/>
    <x v="5"/>
    <s v="-"/>
    <m/>
    <s v="import"/>
    <s v=""/>
    <b v="0"/>
    <s v=""/>
  </r>
  <r>
    <s v="c2aed346-6d3c-41b7-9d4c-4511e50f3842"/>
    <x v="1021"/>
    <s v="16:39"/>
    <x v="22"/>
    <s v="expense"/>
    <s v="rc_cat_1781955063347_5qjb_1781955063347_tezk"/>
    <s v="rc_acc_1781955063347_0qmn"/>
    <x v="1"/>
    <s v="ชานม"/>
    <m/>
    <s v="import"/>
    <s v=""/>
    <b v="0"/>
    <s v=""/>
  </r>
  <r>
    <s v="f54360ab-52fa-4085-be0c-84162c58f595"/>
    <x v="1021"/>
    <s v="19:41"/>
    <x v="501"/>
    <s v="expense"/>
    <s v="rc_cat_1781955063347_s4sz_1781955063347_deos"/>
    <s v="rc_acc_1781955063347_e3zv"/>
    <x v="1"/>
    <s v="เป๋าตัง"/>
    <m/>
    <s v="import"/>
    <s v=""/>
    <b v="0"/>
    <s v=""/>
  </r>
  <r>
    <s v="ef6289ca-bb62-4759-950d-3359c988da31"/>
    <x v="1021"/>
    <s v="19:42"/>
    <x v="1472"/>
    <s v="expense"/>
    <s v="rc_cat_1781955063347_5qjb_1781955063347_tezk"/>
    <s v="rc_acc_1781955063347_0qmn"/>
    <x v="1"/>
    <s v="mk"/>
    <m/>
    <s v="import"/>
    <s v=""/>
    <b v="0"/>
    <s v=""/>
  </r>
  <r>
    <s v="31297cfc-5842-4463-a3b1-a4a928bfa760"/>
    <x v="1022"/>
    <s v="09:29"/>
    <x v="78"/>
    <s v="transfer"/>
    <s v="other"/>
    <s v="rc_acc_1781955063347_uxz4"/>
    <x v="15"/>
    <s v="-"/>
    <m/>
    <s v="import"/>
    <s v=""/>
    <b v="0"/>
    <s v=""/>
  </r>
  <r>
    <s v="40473974-61a8-4e55-9200-adb4984ca3ed"/>
    <x v="1022"/>
    <s v="09:31"/>
    <x v="1478"/>
    <s v="transfer"/>
    <s v="other"/>
    <s v="rc_acc_1781955063348_obza"/>
    <x v="14"/>
    <s v="-"/>
    <m/>
    <s v="import"/>
    <s v=""/>
    <b v="0"/>
    <s v=""/>
  </r>
  <r>
    <s v="0da0b308-f742-4107-ac80-60a39f587f65"/>
    <x v="1022"/>
    <s v="11:06"/>
    <x v="1479"/>
    <s v="transfer"/>
    <s v="other"/>
    <s v="rc_acc_1781955063347_uxz4"/>
    <x v="14"/>
    <s v="-"/>
    <m/>
    <s v="import"/>
    <s v=""/>
    <b v="0"/>
    <s v=""/>
  </r>
  <r>
    <s v="5c1f0d67-5f69-44e8-8720-052ad6f65bc6"/>
    <x v="1022"/>
    <s v="13:20"/>
    <x v="1480"/>
    <s v="expense"/>
    <s v="rc_cat_1781955063347_5qjb_1781955063348_xqml"/>
    <s v="rc_acc_1781955063347_0qmn"/>
    <x v="1"/>
    <s v="-"/>
    <m/>
    <s v="import"/>
    <s v=""/>
    <b v="0"/>
    <s v=""/>
  </r>
  <r>
    <s v="15c0f504-95c0-4354-acb1-35e985f30473"/>
    <x v="1022"/>
    <s v="14:13"/>
    <x v="1096"/>
    <s v="expense"/>
    <s v="rc_cat_1781955063347_5qjb_1781955063347_tezk"/>
    <s v="rc_acc_1781955063347_0qmn"/>
    <x v="1"/>
    <s v="ก๋วยเตี๋ยวพระนคร"/>
    <m/>
    <s v="import"/>
    <s v=""/>
    <b v="0"/>
    <s v=""/>
  </r>
  <r>
    <s v="c8459675-3d92-416a-8e29-0a8f829c11a4"/>
    <x v="1022"/>
    <s v="14:42"/>
    <x v="317"/>
    <s v="expense"/>
    <s v="entertain_1781955063348_kx2f"/>
    <s v="rc_acc_1781955063347_uxz4"/>
    <x v="1"/>
    <s v="game"/>
    <m/>
    <s v="import"/>
    <s v=""/>
    <b v="0"/>
    <s v=""/>
  </r>
  <r>
    <s v="4a62d723-d90d-4856-ae54-1b6899544a8b"/>
    <x v="1022"/>
    <s v="15:08"/>
    <x v="5"/>
    <s v="transfer"/>
    <s v="other"/>
    <s v="rc_acc_1781955063347_uxz4"/>
    <x v="15"/>
    <s v="-"/>
    <m/>
    <s v="import"/>
    <s v=""/>
    <b v="0"/>
    <s v=""/>
  </r>
  <r>
    <s v="9a12bb74-33c0-4374-824d-5c4c9e4613fd"/>
    <x v="1022"/>
    <s v="15:12"/>
    <x v="1481"/>
    <s v="transfer"/>
    <s v="other"/>
    <s v="rc_acc_1781955063347_uxz4"/>
    <x v="6"/>
    <s v="-"/>
    <m/>
    <s v="import"/>
    <s v=""/>
    <b v="0"/>
    <s v=""/>
  </r>
  <r>
    <s v="7ddb8863-0568-4a92-b621-012607104552"/>
    <x v="1022"/>
    <s v="15:21"/>
    <x v="1482"/>
    <s v="expense"/>
    <s v="rc_cat_1781955063347_5qjb_1781955063348_edf6"/>
    <s v="rc_acc_1781955063347_0qmn"/>
    <x v="1"/>
    <s v="-"/>
    <m/>
    <s v="import"/>
    <s v=""/>
    <b v="0"/>
    <s v=""/>
  </r>
  <r>
    <s v="5d91e977-cf77-4531-abdd-b801de2444f6"/>
    <x v="1022"/>
    <s v="15:22"/>
    <x v="26"/>
    <s v="income"/>
    <s v="other_1781955063347_5s7r"/>
    <s v="rc_acc_1781955063348_u1qk"/>
    <x v="1"/>
    <s v="Difference"/>
    <m/>
    <s v="import"/>
    <s v=""/>
    <b v="0"/>
    <s v=""/>
  </r>
  <r>
    <s v="a31a838c-0a7d-42bb-860b-4f4c3f8d1aa2"/>
    <x v="1022"/>
    <s v="15:23"/>
    <x v="1483"/>
    <s v="income"/>
    <s v="income_1781955063347_zblt"/>
    <s v="rc_acc_1781955063347_27fe"/>
    <x v="1"/>
    <s v="-"/>
    <m/>
    <s v="import"/>
    <s v=""/>
    <b v="0"/>
    <s v=""/>
  </r>
  <r>
    <s v="9d10bb61-22f1-4b42-a188-9ad1aefe5941"/>
    <x v="1022"/>
    <s v="15:25"/>
    <x v="273"/>
    <s v="transfer"/>
    <s v="other"/>
    <s v="rc_acc_1781955063347_e3zv"/>
    <x v="5"/>
    <s v="เท็กซัส"/>
    <m/>
    <s v="import"/>
    <s v=""/>
    <b v="0"/>
    <s v=""/>
  </r>
  <r>
    <s v="458f3f80-f653-4714-b27d-94666ed480f6"/>
    <x v="1022"/>
    <s v="15:30"/>
    <x v="1484"/>
    <s v="expense"/>
    <s v="other_1781955063347_5s7r"/>
    <s v="rc_acc_1781955063347_0qmn"/>
    <x v="1"/>
    <s v="Difference"/>
    <m/>
    <s v="import"/>
    <s v=""/>
    <b v="0"/>
    <s v=""/>
  </r>
  <r>
    <s v="bc1065ef-6688-40b3-b8e9-9a0202909c26"/>
    <x v="1023"/>
    <s v="10:09"/>
    <x v="1050"/>
    <s v="expense"/>
    <s v="rc_cat_1781955063347_5qjb_1781955063347_tezk"/>
    <s v="rc_acc_1781955063347_0qmn"/>
    <x v="1"/>
    <s v="หมูปิ้ง"/>
    <m/>
    <s v="import"/>
    <s v=""/>
    <b v="0"/>
    <s v=""/>
  </r>
  <r>
    <s v="4cd54d4d-08de-449a-ba80-08eb5572fbdf"/>
    <x v="1023"/>
    <s v="14:10"/>
    <x v="150"/>
    <s v="expense"/>
    <s v="rc_cat_1781955063347_5qjb_1781955063347_tezk"/>
    <s v="rc_acc_1781955063347_uxz4"/>
    <x v="1"/>
    <s v="pacamara"/>
    <m/>
    <s v="import"/>
    <s v=""/>
    <b v="0"/>
    <s v=""/>
  </r>
  <r>
    <s v="f4329975-bc7e-488c-9ff1-2b0857a0c3bb"/>
    <x v="1023"/>
    <s v="14:23"/>
    <x v="863"/>
    <s v="transfer"/>
    <s v="other"/>
    <s v="rc_acc_1781955063347_pixu"/>
    <x v="5"/>
    <s v="-"/>
    <m/>
    <s v="import"/>
    <s v=""/>
    <b v="0"/>
    <s v=""/>
  </r>
  <r>
    <s v="eec4acd3-2291-4838-a266-3b270368ccf8"/>
    <x v="1023"/>
    <s v="14:24"/>
    <x v="22"/>
    <s v="transfer"/>
    <s v="other"/>
    <s v="rc_acc_1781955063348_2vnx"/>
    <x v="5"/>
    <s v="-"/>
    <m/>
    <s v="import"/>
    <s v=""/>
    <b v="0"/>
    <s v=""/>
  </r>
  <r>
    <s v="eecf2d94-a80d-4d28-9d5b-89a831ee2520"/>
    <x v="1023"/>
    <s v="18:11"/>
    <x v="1414"/>
    <s v="expense"/>
    <s v="rc_cat_1781955063347_5qjb_1781955063347_tezk"/>
    <s v="rc_acc_1781955063347_0qmn"/>
    <x v="1"/>
    <s v="ของตลาดพลู"/>
    <m/>
    <s v="import"/>
    <s v=""/>
    <b v="0"/>
    <s v=""/>
  </r>
  <r>
    <s v="57bd3fde-14de-4059-a145-01bdf3e2b990"/>
    <x v="1024"/>
    <s v="09:10"/>
    <x v="5"/>
    <s v="expense"/>
    <s v="rc_cat_1781955063347_anhy_1781955063347_qnaz"/>
    <s v="rc_acc_1781955063347_uxz4"/>
    <x v="1"/>
    <s v="-"/>
    <m/>
    <s v="import"/>
    <s v=""/>
    <b v="0"/>
    <s v=""/>
  </r>
  <r>
    <s v="540753cf-d09f-469a-8cff-551586e4e53a"/>
    <x v="1024"/>
    <s v="11:57"/>
    <x v="502"/>
    <s v="expense"/>
    <s v="rc_cat_1781955063347_5qjb_1781955063347_tezk"/>
    <s v="rc_acc_1781955063347_0qmn"/>
    <x v="1"/>
    <s v="-"/>
    <m/>
    <s v="import"/>
    <s v=""/>
    <b v="0"/>
    <s v=""/>
  </r>
  <r>
    <s v="f1258b77-c5d9-4f3e-b80e-8d2ae5ff3ec1"/>
    <x v="1024"/>
    <s v="11:58"/>
    <x v="502"/>
    <s v="transfer"/>
    <s v="other"/>
    <s v="rc_acc_1781955063347_pixu"/>
    <x v="5"/>
    <s v="-"/>
    <m/>
    <s v="import"/>
    <s v=""/>
    <b v="0"/>
    <s v=""/>
  </r>
  <r>
    <s v="eab32cb6-cab2-4db2-a481-a1fcc888dfef"/>
    <x v="1024"/>
    <s v="11:59"/>
    <x v="22"/>
    <s v="transfer"/>
    <s v="other"/>
    <s v="rc_acc_1781955063348_2vnx"/>
    <x v="5"/>
    <s v="-"/>
    <m/>
    <s v="import"/>
    <s v=""/>
    <b v="0"/>
    <s v=""/>
  </r>
  <r>
    <s v="7c5bc7e6-8e2d-4ae3-aac7-36b849a4496a"/>
    <x v="1024"/>
    <s v="13:06"/>
    <x v="1485"/>
    <s v="expense"/>
    <s v="rc_cat_1781955063347_5qjb_1781955063347_tezk"/>
    <s v="rc_acc_1781955063347_0qmn"/>
    <x v="1"/>
    <s v="ของเซเว่น citi"/>
    <m/>
    <s v="import"/>
    <s v=""/>
    <b v="0"/>
    <s v=""/>
  </r>
  <r>
    <s v="893d4170-2611-4d93-afb1-6e2fbd0de6d1"/>
    <x v="1024"/>
    <s v="13:10"/>
    <x v="1171"/>
    <s v="expense"/>
    <s v="rc_cat_1781955063347_5qjb_1781955063347_tezk"/>
    <s v="rc_acc_1781955063347_0qmn"/>
    <x v="1"/>
    <s v="amz"/>
    <m/>
    <s v="import"/>
    <s v=""/>
    <b v="0"/>
    <s v=""/>
  </r>
  <r>
    <s v="8ea94881-b4f5-4dc7-90c7-26f61646832d"/>
    <x v="1024"/>
    <s v="18:36"/>
    <x v="1486"/>
    <s v="expense"/>
    <s v="rc_cat_1781955063347_5qjb_1781955063347_tezk"/>
    <s v="rc_acc_1781955063347_0qmn"/>
    <x v="1"/>
    <s v="kfc grab"/>
    <m/>
    <s v="import"/>
    <s v=""/>
    <b v="0"/>
    <s v=""/>
  </r>
  <r>
    <s v="9164fd0c-45b5-49d3-bd2f-64498ea64ddd"/>
    <x v="1025"/>
    <s v="11:25"/>
    <x v="685"/>
    <s v="expense"/>
    <s v="rc_cat_1781955063347_5qjb_1781955063347_tezk"/>
    <s v="rc_acc_1781955063347_0qmn"/>
    <x v="1"/>
    <s v="-"/>
    <m/>
    <s v="import"/>
    <s v=""/>
    <b v="0"/>
    <s v=""/>
  </r>
  <r>
    <s v="1220a841-b5bc-4581-8405-29dd6af291e9"/>
    <x v="1026"/>
    <s v="09:08"/>
    <x v="146"/>
    <s v="expense"/>
    <s v="rc_cat_1781955063347_5qjb_1781955063347_tezk"/>
    <s v="rc_acc_1781955063347_0qmn"/>
    <x v="1"/>
    <s v="ชาพะยอม"/>
    <m/>
    <s v="import"/>
    <s v=""/>
    <b v="0"/>
    <s v=""/>
  </r>
  <r>
    <s v="7128b5a2-bd91-4dad-a113-20a8b7d86767"/>
    <x v="1026"/>
    <s v="11:11"/>
    <x v="10"/>
    <s v="expense"/>
    <s v="rc_cat_1781955063347_5qjb_1781955063347_tezk"/>
    <s v="rc_acc_1781955063347_0qmn"/>
    <x v="1"/>
    <s v="-"/>
    <m/>
    <s v="import"/>
    <s v=""/>
    <b v="0"/>
    <s v=""/>
  </r>
  <r>
    <s v="d07abc0b-2cc4-43dc-83de-d6e249b70bdc"/>
    <x v="1026"/>
    <s v="17:56"/>
    <x v="1220"/>
    <s v="expense"/>
    <s v="rc_cat_1781955063347_5qjb_1781955063347_tezk"/>
    <s v="rc_acc_1781955063347_0qmn"/>
    <x v="1"/>
    <s v="-"/>
    <m/>
    <s v="import"/>
    <s v=""/>
    <b v="0"/>
    <s v=""/>
  </r>
  <r>
    <s v="d18e61df-3346-4c2b-9c3f-53bd363242d1"/>
    <x v="1027"/>
    <s v="00:00"/>
    <x v="1487"/>
    <s v="expense"/>
    <s v="rc_cat_1781955063347_04qb_1781955063347_lu9b"/>
    <s v="rc_acc_1781955063347_uxz4"/>
    <x v="1"/>
    <s v="-"/>
    <m/>
    <s v="import"/>
    <s v=""/>
    <b v="0"/>
    <s v=""/>
  </r>
  <r>
    <s v="968ce319-6d31-4325-b38f-61bd6a08eee8"/>
    <x v="1027"/>
    <s v="00:00"/>
    <x v="1488"/>
    <s v="expense"/>
    <s v="rc_cat_1781955063347_04qb_1781955063347_kgnn"/>
    <s v="rc_acc_1781955063347_uxz4"/>
    <x v="1"/>
    <s v="-"/>
    <m/>
    <s v="import"/>
    <s v=""/>
    <b v="0"/>
    <s v=""/>
  </r>
  <r>
    <s v="edad1744-759d-4006-aac1-e6ae169cf71a"/>
    <x v="1027"/>
    <s v="00:00"/>
    <x v="1169"/>
    <s v="transfer"/>
    <s v="other"/>
    <s v="rc_acc_1781955063347_uxz4"/>
    <x v="20"/>
    <s v="-"/>
    <m/>
    <s v="import"/>
    <s v=""/>
    <b v="0"/>
    <s v=""/>
  </r>
  <r>
    <s v="a85e1750-4c7c-4973-9aae-ebf2a1d84a25"/>
    <x v="1027"/>
    <s v="00:00"/>
    <x v="128"/>
    <s v="transfer"/>
    <s v="other"/>
    <s v="rc_acc_1781955063347_uxz4"/>
    <x v="21"/>
    <s v="-"/>
    <m/>
    <s v="import"/>
    <s v=""/>
    <b v="0"/>
    <s v=""/>
  </r>
  <r>
    <s v="4134c2fd-91b1-42a1-8426-4c0ee52510dc"/>
    <x v="1027"/>
    <s v="00:00"/>
    <x v="31"/>
    <s v="transfer"/>
    <s v="other"/>
    <s v="rc_acc_1781955063347_uxz4"/>
    <x v="7"/>
    <s v="-"/>
    <m/>
    <s v="import"/>
    <s v=""/>
    <b v="0"/>
    <s v=""/>
  </r>
  <r>
    <s v="7c762e16-4635-4231-bc70-02b479846c9d"/>
    <x v="1027"/>
    <s v="00:00"/>
    <x v="1390"/>
    <s v="transfer"/>
    <s v="other"/>
    <s v="rc_acc_1781955063347_uxz4"/>
    <x v="8"/>
    <s v="-"/>
    <m/>
    <s v="import"/>
    <s v=""/>
    <b v="0"/>
    <s v=""/>
  </r>
  <r>
    <s v="dcd54f4d-9654-4f78-823c-819ca384d5a4"/>
    <x v="1027"/>
    <s v="00:00"/>
    <x v="1391"/>
    <s v="income"/>
    <s v="income_1781955063347_5zxt"/>
    <s v="rc_acc_1781955063347_uxz4"/>
    <x v="1"/>
    <s v="-"/>
    <m/>
    <s v="import"/>
    <s v=""/>
    <b v="0"/>
    <s v=""/>
  </r>
  <r>
    <s v="6903c033-4a28-4fdb-a1d8-131b995dca59"/>
    <x v="1027"/>
    <s v="11:00"/>
    <x v="1489"/>
    <s v="expense"/>
    <s v="rc_cat_1781955063347_5qjb_1781955063347_tezk"/>
    <s v="rc_acc_1781955063347_0qmn"/>
    <x v="1"/>
    <s v="-"/>
    <m/>
    <s v="import"/>
    <s v=""/>
    <b v="0"/>
    <s v=""/>
  </r>
  <r>
    <s v="13286dd7-6f95-493f-acbd-7a48c935babd"/>
    <x v="1028"/>
    <s v="13:07"/>
    <x v="1490"/>
    <s v="expense"/>
    <s v="rc_cat_1781955063347_5qjb_1781955063347_tezk"/>
    <s v="rc_acc_1781955063347_0qmn"/>
    <x v="1"/>
    <s v="ของเซเว่น citi"/>
    <m/>
    <s v="import"/>
    <s v=""/>
    <b v="0"/>
    <s v=""/>
  </r>
  <r>
    <s v="f2b28f6d-bbcb-472c-ab6e-64e2af2580d7"/>
    <x v="1028"/>
    <s v="17:07"/>
    <x v="1491"/>
    <s v="expense"/>
    <s v="rc_cat_1781955063347_5qjb_1781955063348_xqml"/>
    <s v="rc_acc_1781955063347_0qmn"/>
    <x v="1"/>
    <s v="villa market"/>
    <m/>
    <s v="import"/>
    <s v=""/>
    <b v="0"/>
    <s v=""/>
  </r>
  <r>
    <s v="bd900d1b-5b46-4b7d-b61d-11bf44f18d07"/>
    <x v="1028"/>
    <s v="17:28"/>
    <x v="273"/>
    <s v="expense"/>
    <s v="rc_cat_1781955063347_5qjb_1781955063347_tezk"/>
    <s v="rc_acc_1781955063347_0qmn"/>
    <x v="1"/>
    <s v="-"/>
    <m/>
    <s v="import"/>
    <s v=""/>
    <b v="0"/>
    <s v=""/>
  </r>
  <r>
    <s v="9e13d4d9-2498-4d00-84f4-a3db59eb7e8b"/>
    <x v="1029"/>
    <s v="13:03"/>
    <x v="1492"/>
    <s v="expense"/>
    <s v="rc_cat_1781955063347_5qjb_1781955063348_xqml"/>
    <s v="rc_acc_1781955063347_0qmn"/>
    <x v="1"/>
    <s v="โลตัส"/>
    <m/>
    <s v="import"/>
    <s v=""/>
    <b v="0"/>
    <s v=""/>
  </r>
  <r>
    <s v="9c7e49c3-1b0a-4bdb-b21f-4a9f840ff7bb"/>
    <x v="1030"/>
    <s v="09:07"/>
    <x v="146"/>
    <s v="expense"/>
    <s v="rc_cat_1781955063347_5qjb_1781955063347_tezk"/>
    <s v="rc_acc_1781955063347_0qmn"/>
    <x v="1"/>
    <s v="ชาพะยอม"/>
    <m/>
    <s v="import"/>
    <s v=""/>
    <b v="0"/>
    <s v=""/>
  </r>
  <r>
    <s v="c50d7aaa-7077-49e2-85c9-72663e23d8d1"/>
    <x v="1030"/>
    <s v="09:08"/>
    <x v="22"/>
    <s v="expense"/>
    <s v="rc_cat_1781955063347_5qjb_1781955063347_tezk"/>
    <s v="rc_acc_1781955063347_0qmn"/>
    <x v="1"/>
    <s v="หมูปิ้ง"/>
    <m/>
    <s v="import"/>
    <s v=""/>
    <b v="0"/>
    <s v=""/>
  </r>
  <r>
    <s v="5385d14d-75bf-4e0b-b205-31068f3bd720"/>
    <x v="1030"/>
    <s v="11:35"/>
    <x v="22"/>
    <s v="transfer"/>
    <s v="other"/>
    <s v="rc_acc_1781955063348_2vnx"/>
    <x v="5"/>
    <s v="-"/>
    <m/>
    <s v="import"/>
    <s v=""/>
    <b v="0"/>
    <s v=""/>
  </r>
  <r>
    <s v="0c92e3c4-3264-4ab9-b699-33a90078d639"/>
    <x v="1030"/>
    <s v="11:35"/>
    <x v="1493"/>
    <s v="transfer"/>
    <s v="other"/>
    <s v="rc_acc_1781955063347_pixu"/>
    <x v="5"/>
    <s v="-"/>
    <m/>
    <s v="import"/>
    <s v=""/>
    <b v="0"/>
    <s v=""/>
  </r>
  <r>
    <s v="fc9a2635-7c4d-4a04-baa7-6b9108805ecd"/>
    <x v="1030"/>
    <s v="11:55"/>
    <x v="1494"/>
    <s v="expense"/>
    <s v="rc_cat_1781955063347_5qjb_1781955063347_tezk"/>
    <s v="rc_acc_1781955063347_0qmn"/>
    <x v="1"/>
    <s v="-"/>
    <m/>
    <s v="import"/>
    <s v=""/>
    <b v="0"/>
    <s v=""/>
  </r>
  <r>
    <s v="d3b84ab8-76ee-4cab-8c22-2dada3526594"/>
    <x v="1030"/>
    <s v="18:12"/>
    <x v="1495"/>
    <s v="expense"/>
    <s v="rc_cat_1781955063347_5qjb_1781955063347_tezk"/>
    <s v="rc_acc_1781955063347_0qmn"/>
    <x v="1"/>
    <s v="สุกี้นินจา"/>
    <m/>
    <s v="import"/>
    <s v=""/>
    <b v="0"/>
    <s v=""/>
  </r>
  <r>
    <s v="c79fa1f2-ebef-42eb-9c1e-d2d6e1b8269b"/>
    <x v="1031"/>
    <s v="10:54"/>
    <x v="760"/>
    <s v="expense"/>
    <s v="rc_cat_1781955063347_5qjb_1781955063347_tezk"/>
    <s v="rc_acc_1781955063347_0qmn"/>
    <x v="1"/>
    <s v="-"/>
    <m/>
    <s v="import"/>
    <s v=""/>
    <b v="0"/>
    <s v=""/>
  </r>
  <r>
    <s v="e9a914cc-14ab-425a-8f10-316abd063d6a"/>
    <x v="1031"/>
    <s v="13:11"/>
    <x v="1496"/>
    <s v="expense"/>
    <s v="rc_cat_1781955063347_5qjb_1781955063347_irl1"/>
    <s v="rc_acc_1781955063347_sv7p"/>
    <x v="1"/>
    <s v="sb build in(4/4)"/>
    <m/>
    <s v="import"/>
    <s v=""/>
    <b v="0"/>
    <s v=""/>
  </r>
  <r>
    <s v="e471d708-d638-498a-a2d9-8dcc5c65c135"/>
    <x v="1031"/>
    <s v="16:10"/>
    <x v="155"/>
    <s v="expense"/>
    <s v="rc_cat_1781955063347_5qjb_1781955063347_tezk"/>
    <s v="rc_acc_1781955063347_0qmn"/>
    <x v="1"/>
    <s v="-"/>
    <m/>
    <s v="import"/>
    <s v=""/>
    <b v="0"/>
    <s v=""/>
  </r>
  <r>
    <s v="4fe635de-c998-4580-bc0b-3cd3a5d887c7"/>
    <x v="1032"/>
    <s v="08:56"/>
    <x v="1134"/>
    <s v="expense"/>
    <s v="rc_cat_1781955063347_5qjb_1781955063347_tezk"/>
    <s v="rc_acc_1781955063347_uxz4"/>
    <x v="1"/>
    <s v="-"/>
    <m/>
    <s v="import"/>
    <s v=""/>
    <b v="0"/>
    <s v=""/>
  </r>
  <r>
    <s v="d8680b23-5497-4a5f-a836-15e1585aa891"/>
    <x v="1032"/>
    <s v="16:30"/>
    <x v="1497"/>
    <s v="expense"/>
    <s v="rc_cat_1781955063347_5qjb_1781955063347_irl1"/>
    <s v="rc_acc_1781955063347_hv85"/>
    <x v="1"/>
    <s v="-"/>
    <m/>
    <s v="import"/>
    <s v=""/>
    <b v="0"/>
    <s v=""/>
  </r>
  <r>
    <s v="dfad8ccc-aa03-4086-95bc-910c8d280e9e"/>
    <x v="1032"/>
    <s v="17:55"/>
    <x v="10"/>
    <s v="expense"/>
    <s v="rc_cat_1781955063347_5qjb_1781955063347_tezk"/>
    <s v="rc_acc_1781955063347_0qmn"/>
    <x v="1"/>
    <s v="ข้าวมะฝันไก่"/>
    <m/>
    <s v="import"/>
    <s v=""/>
    <b v="0"/>
    <s v=""/>
  </r>
  <r>
    <s v="6c3686a3-1fde-43fc-9e15-0daf0441d85b"/>
    <x v="1032"/>
    <s v="17:56"/>
    <x v="1498"/>
    <s v="expense"/>
    <s v="rc_cat_1781955063347_5qjb_1781955063347_tezk"/>
    <s v="rc_acc_1781955063347_0qmn"/>
    <x v="1"/>
    <s v="แอนคั่วไก่"/>
    <m/>
    <s v="import"/>
    <s v=""/>
    <b v="0"/>
    <s v=""/>
  </r>
  <r>
    <s v="e27c4d62-1713-4cc5-818a-1d960aec9865"/>
    <x v="1033"/>
    <s v="09:15"/>
    <x v="159"/>
    <s v="expense"/>
    <s v="rc_cat_1781955063347_5qjb_1781955063347_tezk"/>
    <s v="rc_acc_1781955063347_e3zv"/>
    <x v="1"/>
    <s v="-"/>
    <m/>
    <s v="import"/>
    <s v=""/>
    <b v="0"/>
    <s v=""/>
  </r>
  <r>
    <s v="cd315a27-a25b-43b1-a1fb-65c559b1606e"/>
    <x v="1033"/>
    <s v="11:14"/>
    <x v="606"/>
    <s v="transfer"/>
    <s v="other"/>
    <s v="rc_acc_1781955063347_e3zv"/>
    <x v="5"/>
    <s v="-"/>
    <m/>
    <s v="import"/>
    <s v=""/>
    <b v="0"/>
    <s v=""/>
  </r>
  <r>
    <s v="75153676-36a5-4ae7-ab78-15485e791135"/>
    <x v="1033"/>
    <s v="13:38"/>
    <x v="1167"/>
    <s v="expense"/>
    <s v="rc_cat_1781955063347_5qjb_1781955063347_tezk"/>
    <s v="rc_acc_1781955063347_0qmn"/>
    <x v="1"/>
    <s v="โจ๊ก"/>
    <m/>
    <s v="import"/>
    <s v=""/>
    <b v="0"/>
    <s v=""/>
  </r>
  <r>
    <s v="8a8d2836-c431-442f-b032-a300a5a19d81"/>
    <x v="1033"/>
    <s v="13:38"/>
    <x v="1499"/>
    <s v="expense"/>
    <s v="rc_cat_1781955063347_5qjb_1781955063347_tezk"/>
    <s v="rc_acc_1781955063347_0qmn"/>
    <x v="1"/>
    <s v="บะหมี่"/>
    <m/>
    <s v="import"/>
    <s v=""/>
    <b v="0"/>
    <s v=""/>
  </r>
  <r>
    <s v="57a8ac02-2ec7-4655-b90a-a21e865a4d14"/>
    <x v="1034"/>
    <s v="08:31"/>
    <x v="1500"/>
    <s v="expense"/>
    <s v="rc_cat_1781955063347_5qjb_1781955063347_tezk"/>
    <s v="rc_acc_1781955063347_0qmn"/>
    <x v="1"/>
    <s v="หมูปิ้ง"/>
    <m/>
    <s v="import"/>
    <s v=""/>
    <b v="0"/>
    <s v=""/>
  </r>
  <r>
    <s v="063de549-5100-43fc-8edf-cfe44543d9ae"/>
    <x v="1034"/>
    <s v="09:12"/>
    <x v="1501"/>
    <s v="transfer"/>
    <s v="other"/>
    <s v="rc_acc_1781955063347_uxz4"/>
    <x v="12"/>
    <s v="-"/>
    <m/>
    <s v="import"/>
    <s v=""/>
    <b v="0"/>
    <s v=""/>
  </r>
  <r>
    <s v="959c5b60-e459-4bf2-9d8b-d635a451e66e"/>
    <x v="1034"/>
    <s v="12:31"/>
    <x v="606"/>
    <s v="expense"/>
    <s v="rc_cat_1781955063347_5qjb_1781955063347_tezk"/>
    <s v="rc_acc_1781955063347_0qmn"/>
    <x v="1"/>
    <s v="YAYOI"/>
    <m/>
    <s v="import"/>
    <s v=""/>
    <b v="0"/>
    <s v=""/>
  </r>
  <r>
    <s v="c515790a-4cb8-4ccc-99a9-995b5f44318f"/>
    <x v="1034"/>
    <s v="12:40"/>
    <x v="464"/>
    <s v="expense"/>
    <s v="rc_cat_1781955063347_5qjb_1781955063347_tezk"/>
    <s v="rc_acc_1781955063347_0qmn"/>
    <x v="1"/>
    <s v="ขนมปัง เกี้ยว"/>
    <m/>
    <s v="import"/>
    <s v=""/>
    <b v="0"/>
    <s v=""/>
  </r>
  <r>
    <s v="855833e6-6675-4f07-9695-013330091aef"/>
    <x v="1034"/>
    <s v="13:35"/>
    <x v="779"/>
    <s v="expense"/>
    <s v="entertain_1781955063348_gj0i"/>
    <s v="rc_acc_1781955063347_uxz4"/>
    <x v="1"/>
    <s v="-"/>
    <m/>
    <s v="import"/>
    <s v=""/>
    <b v="0"/>
    <s v=""/>
  </r>
  <r>
    <s v="f157b6eb-25f9-4d35-9c82-035b335da666"/>
    <x v="1034"/>
    <s v="13:35"/>
    <x v="239"/>
    <s v="expense"/>
    <s v="rc_cat_1781955063347_5qjb_1781955063347_tezk"/>
    <s v="rc_acc_1781955063347_uxz4"/>
    <x v="1"/>
    <s v="บราวนี่"/>
    <m/>
    <s v="import"/>
    <s v=""/>
    <b v="0"/>
    <s v=""/>
  </r>
  <r>
    <s v="cb54d0e6-ad5d-4823-a591-834a60c45d1d"/>
    <x v="1034"/>
    <s v="13:37"/>
    <x v="1162"/>
    <s v="expense"/>
    <s v="rc_cat_1781955063347_5qjb_1781955063347_tezk"/>
    <s v="rc_acc_1781955063347_0qmn"/>
    <x v="1"/>
    <s v="amz grab"/>
    <m/>
    <s v="import"/>
    <s v=""/>
    <b v="0"/>
    <s v=""/>
  </r>
  <r>
    <s v="a73f357b-86ef-4ab2-910d-2d86db1e29d5"/>
    <x v="1035"/>
    <s v="09:40"/>
    <x v="239"/>
    <s v="expense"/>
    <s v="rc_cat_1781955063347_5qjb_1781955063347_tezk"/>
    <s v="rc_acc_1781955063347_0qmn"/>
    <x v="1"/>
    <s v="at ladya"/>
    <m/>
    <s v="import"/>
    <s v=""/>
    <b v="0"/>
    <s v=""/>
  </r>
  <r>
    <s v="ff08dea7-9b11-4f5d-bf68-09f2b2469c34"/>
    <x v="1035"/>
    <s v="13:12"/>
    <x v="1502"/>
    <s v="expense"/>
    <s v="rc_cat_1781955063347_5qjb_1781955063348_hrbf"/>
    <s v="rc_acc_1781955063347_0qmn"/>
    <x v="1"/>
    <s v="ค่าไฟ กย"/>
    <m/>
    <s v="import"/>
    <s v=""/>
    <b v="0"/>
    <s v=""/>
  </r>
  <r>
    <s v="976818d8-899a-4c76-b80e-023b4e848a96"/>
    <x v="1035"/>
    <s v="13:38"/>
    <x v="1503"/>
    <s v="transfer"/>
    <s v="other"/>
    <s v="rc_acc_1781955063347_pixu"/>
    <x v="5"/>
    <s v="-"/>
    <m/>
    <s v="import"/>
    <s v=""/>
    <b v="0"/>
    <s v=""/>
  </r>
  <r>
    <s v="048e09e0-e212-4756-9dec-457b0ac9f028"/>
    <x v="1035"/>
    <s v="13:39"/>
    <x v="26"/>
    <s v="transfer"/>
    <s v="other"/>
    <s v="rc_acc_1781955063348_2vnx"/>
    <x v="5"/>
    <s v="-"/>
    <m/>
    <s v="import"/>
    <s v=""/>
    <b v="0"/>
    <s v=""/>
  </r>
  <r>
    <s v="1afbb6ae-55ac-4308-a276-46f165c0ea13"/>
    <x v="1035"/>
    <s v="13:40"/>
    <x v="239"/>
    <s v="transfer"/>
    <s v="other"/>
    <s v="rc_acc_1781955063347_e3zv"/>
    <x v="5"/>
    <s v="-"/>
    <m/>
    <s v="import"/>
    <s v=""/>
    <b v="0"/>
    <s v=""/>
  </r>
  <r>
    <s v="e1ba4b96-d4d6-477c-a35e-443ac63ad64c"/>
    <x v="1036"/>
    <s v="00:00"/>
    <x v="691"/>
    <s v="transfer"/>
    <s v="other"/>
    <s v="rc_acc_1781955063347_uxz4"/>
    <x v="33"/>
    <s v="-"/>
    <m/>
    <s v="import"/>
    <s v=""/>
    <b v="0"/>
    <s v=""/>
  </r>
  <r>
    <s v="6e342cbf-5c61-4bf8-887b-4d5f8bdb3ed7"/>
    <x v="1036"/>
    <s v="00:06"/>
    <x v="265"/>
    <s v="expense"/>
    <s v="rc_cat_1781955063347_5qjb_1781955063348_laj8"/>
    <s v="rc_acc_1781955063347_uxz4"/>
    <x v="1"/>
    <s v="-"/>
    <m/>
    <s v="import"/>
    <s v=""/>
    <b v="0"/>
    <s v=""/>
  </r>
  <r>
    <s v="bafabe70-caee-4207-86c9-999359336efc"/>
    <x v="1036"/>
    <s v="08:33"/>
    <x v="372"/>
    <s v="expense"/>
    <s v="rc_cat_1781955063347_5qjb_1781955063347_tezk"/>
    <s v="rc_acc_1781955063347_0qmn"/>
    <x v="1"/>
    <s v="โจ๊ก"/>
    <m/>
    <s v="import"/>
    <s v=""/>
    <b v="0"/>
    <s v=""/>
  </r>
  <r>
    <s v="686f1c55-7b14-49ba-8d6c-203a22c0c5d0"/>
    <x v="1036"/>
    <s v="13:34"/>
    <x v="1504"/>
    <s v="expense"/>
    <s v="rc_cat_1781955063347_5qjb_1781955063347_tezk"/>
    <s v="rc_acc_1781955063347_0qmn"/>
    <x v="1"/>
    <s v="บาบิก้อน"/>
    <m/>
    <s v="import"/>
    <s v=""/>
    <b v="0"/>
    <s v=""/>
  </r>
  <r>
    <s v="4a47f751-2b3f-47c4-be12-2c659308fc84"/>
    <x v="1036"/>
    <s v="15:24"/>
    <x v="608"/>
    <s v="expense"/>
    <s v="rc_cat_1781955063347_5qjb_1781955063347_tezk"/>
    <s v="rc_acc_1781955063347_omhz"/>
    <x v="1"/>
    <s v="-"/>
    <m/>
    <s v="import"/>
    <s v=""/>
    <b v="0"/>
    <s v=""/>
  </r>
  <r>
    <s v="23446394-43ba-42bd-b90d-1150fb381ce5"/>
    <x v="1036"/>
    <s v="17:05"/>
    <x v="212"/>
    <s v="income"/>
    <s v="income_1781955063347_zblt"/>
    <s v="rc_acc_1781955063347_uxz4"/>
    <x v="1"/>
    <s v="-"/>
    <m/>
    <s v="import"/>
    <s v=""/>
    <b v="0"/>
    <s v=""/>
  </r>
  <r>
    <s v="e296b7b9-f9ec-4332-a467-8c422761a73d"/>
    <x v="1036"/>
    <s v="17:41"/>
    <x v="608"/>
    <s v="expense"/>
    <s v="rc_cat_1781955063347_5qjb_1781955063347_tezk"/>
    <s v="rc_acc_1781955063347_0qmn"/>
    <x v="1"/>
    <s v="manoi"/>
    <m/>
    <s v="import"/>
    <s v=""/>
    <b v="0"/>
    <s v=""/>
  </r>
  <r>
    <s v="088084ab-6a2b-45f0-889d-7fb6f6b22992"/>
    <x v="1036"/>
    <s v="17:41"/>
    <x v="608"/>
    <s v="transfer"/>
    <s v="other"/>
    <s v="rc_acc_1781955063347_omhz"/>
    <x v="5"/>
    <s v="-"/>
    <m/>
    <s v="import"/>
    <s v=""/>
    <b v="0"/>
    <s v=""/>
  </r>
  <r>
    <s v="2524b19f-3610-459b-931f-7f1245791519"/>
    <x v="1037"/>
    <s v="17:23"/>
    <x v="1031"/>
    <s v="expense"/>
    <s v="rc_cat_1781955063347_5qjb_1781955063347_tezk"/>
    <s v="rc_acc_1781955063347_0qmn"/>
    <x v="1"/>
    <s v="ขาหมู"/>
    <m/>
    <s v="import"/>
    <s v=""/>
    <b v="0"/>
    <s v=""/>
  </r>
  <r>
    <s v="61b16e0e-1e65-4a58-9e7f-a12a7d97961e"/>
    <x v="1038"/>
    <s v="15:06"/>
    <x v="602"/>
    <s v="transfer"/>
    <s v="other"/>
    <s v="rc_acc_1781955063348_obza"/>
    <x v="12"/>
    <s v="-"/>
    <m/>
    <s v="import"/>
    <s v=""/>
    <b v="0"/>
    <s v=""/>
  </r>
  <r>
    <s v="c433e784-534c-499b-8f66-23e0811d686f"/>
    <x v="1038"/>
    <s v="17:13"/>
    <x v="780"/>
    <s v="expense"/>
    <s v="rc_cat_1781955063347_5qjb_1781955063347_irl1"/>
    <s v="rc_acc_1781955063347_uxz4"/>
    <x v="1"/>
    <s v="-"/>
    <m/>
    <s v="import"/>
    <s v=""/>
    <b v="0"/>
    <s v=""/>
  </r>
  <r>
    <s v="5e84554a-ca22-48a9-b6a3-1b3bda4ccb1a"/>
    <x v="1038"/>
    <s v="19:11"/>
    <x v="1505"/>
    <s v="expense"/>
    <s v="rc_cat_1781955063347_5qjb_1781955063347_tezk"/>
    <s v="rc_acc_1781955063347_0qmn"/>
    <x v="1"/>
    <s v="kingkong"/>
    <m/>
    <s v="import"/>
    <s v=""/>
    <b v="0"/>
    <s v=""/>
  </r>
  <r>
    <s v="b69fe47d-6a9e-4073-af71-fa78ac2ff441"/>
    <x v="1039"/>
    <s v="09:15"/>
    <x v="783"/>
    <s v="expense"/>
    <s v="rc_cat_1781955063347_5qjb_1781955063347_tezk"/>
    <s v="rc_acc_1781955063347_0qmn"/>
    <x v="1"/>
    <s v="ชาพะยอม"/>
    <m/>
    <s v="import"/>
    <s v=""/>
    <b v="0"/>
    <s v=""/>
  </r>
  <r>
    <s v="98bb8152-3120-4186-841f-a6d370c52924"/>
    <x v="1039"/>
    <s v="11:32"/>
    <x v="1506"/>
    <s v="expense"/>
    <s v="rc_cat_1781955063347_5qjb_1781955063347_tezk"/>
    <s v="rc_acc_1781955063347_0qmn"/>
    <x v="1"/>
    <s v="aroi dee"/>
    <m/>
    <s v="import"/>
    <s v=""/>
    <b v="0"/>
    <s v=""/>
  </r>
  <r>
    <s v="a2e7ccc3-b4e6-4135-8e8d-e92cd46a2707"/>
    <x v="1040"/>
    <s v="17:31"/>
    <x v="1076"/>
    <s v="expense"/>
    <s v="rc_cat_1781955063347_5qjb_1781955063347_tezk"/>
    <s v="rc_acc_1781955063347_0qmn"/>
    <x v="1"/>
    <s v="กะเพราถาด"/>
    <m/>
    <s v="import"/>
    <s v=""/>
    <b v="0"/>
    <s v=""/>
  </r>
  <r>
    <s v="796fe4ee-a12b-4413-9eee-adb3881ca859"/>
    <x v="1041"/>
    <s v="10:25"/>
    <x v="783"/>
    <s v="expense"/>
    <s v="rc_cat_1781955063347_5qjb_1781955063347_tezk"/>
    <s v="rc_acc_1781955063347_0qmn"/>
    <x v="1"/>
    <s v="ชาพะยอม"/>
    <m/>
    <s v="import"/>
    <s v=""/>
    <b v="0"/>
    <s v=""/>
  </r>
  <r>
    <s v="7e2ee34e-a976-4d47-9baf-ab87a72a3e28"/>
    <x v="1041"/>
    <s v="13:04"/>
    <x v="1435"/>
    <s v="expense"/>
    <s v="rc_cat_1781955063347_5qjb_1781955063347_irl1"/>
    <s v="rc_acc_1781955063347_hv85"/>
    <x v="1"/>
    <s v="เครื่องซักผ้า LG(4/6)"/>
    <m/>
    <s v="import"/>
    <s v=""/>
    <b v="0"/>
    <s v=""/>
  </r>
  <r>
    <s v="be1c406a-010f-4e3c-b321-7b1007ace6ab"/>
    <x v="1041"/>
    <s v="13:04"/>
    <x v="1436"/>
    <s v="expense"/>
    <s v="rc_cat_1781955063347_5qjb_1781955063347_irl1"/>
    <s v="rc_acc_1781955063347_hv85"/>
    <x v="1"/>
    <s v="ชั้น พัดลม homepro(4/6)"/>
    <m/>
    <s v="import"/>
    <s v=""/>
    <b v="0"/>
    <s v=""/>
  </r>
  <r>
    <s v="12bad312-75af-4919-af92-785b965a0054"/>
    <x v="1041"/>
    <s v="15:31"/>
    <x v="1507"/>
    <s v="expense"/>
    <s v="entertain_1781955063347_8r8e"/>
    <s v="rc_acc_1781955063347_kjxt"/>
    <x v="1"/>
    <s v="-"/>
    <m/>
    <s v="import"/>
    <s v=""/>
    <b v="0"/>
    <s v=""/>
  </r>
  <r>
    <s v="185c02bc-155c-44bf-8d89-f964a2c01e83"/>
    <x v="1041"/>
    <s v="15:31"/>
    <x v="1508"/>
    <s v="expense"/>
    <s v="rc_cat_1781955063347_s4sz_1781955063347_deos"/>
    <s v="rc_acc_1781955063347_kjxt"/>
    <x v="1"/>
    <s v="-"/>
    <m/>
    <s v="import"/>
    <s v=""/>
    <b v="0"/>
    <s v=""/>
  </r>
  <r>
    <s v="ce3db80e-2ff7-43df-8b3b-1a050c585a8a"/>
    <x v="1041"/>
    <s v="15:32"/>
    <x v="1509"/>
    <s v="expense"/>
    <s v="entertain_1781955063348_32wr"/>
    <s v="rc_acc_1781955063347_kjxt"/>
    <x v="1"/>
    <s v="-"/>
    <m/>
    <s v="import"/>
    <s v=""/>
    <b v="0"/>
    <s v=""/>
  </r>
  <r>
    <s v="4b0d28a8-9ad0-4cbe-a4c4-c6cb57a285d1"/>
    <x v="1041"/>
    <s v="15:34"/>
    <x v="1510"/>
    <s v="expense"/>
    <s v="rc_cat_1781955063347_s4sz_1781955063347_9tpp"/>
    <s v="rc_acc_1781955063347_omhz"/>
    <x v="1"/>
    <s v="ของ shopee หูฟัง แฟ้ม กางเกง เกงใน ที่วาง"/>
    <m/>
    <s v="import"/>
    <s v=""/>
    <b v="0"/>
    <s v=""/>
  </r>
  <r>
    <s v="ef8ac5d1-dd74-4513-803a-65c968cc7a8c"/>
    <x v="1041"/>
    <s v="15:47"/>
    <x v="138"/>
    <s v="transfer"/>
    <s v="other"/>
    <s v="rc_acc_1781955063347_uxz4"/>
    <x v="16"/>
    <s v="-"/>
    <m/>
    <s v="import"/>
    <s v=""/>
    <b v="0"/>
    <s v=""/>
  </r>
  <r>
    <s v="64634caf-a905-4d00-a3e8-3d8f5e2f4409"/>
    <x v="1041"/>
    <s v="16:07"/>
    <x v="1100"/>
    <s v="expense"/>
    <s v="rc_cat_1781955063347_5qjb_1781955063348_wpky"/>
    <s v="rc_acc_1781955063347_0qmn"/>
    <x v="1"/>
    <s v="หม้อหุงข้าว"/>
    <m/>
    <s v="import"/>
    <s v=""/>
    <b v="0"/>
    <s v=""/>
  </r>
  <r>
    <s v="f582f3a5-ea97-4c69-a212-25c7889666a0"/>
    <x v="1042"/>
    <s v="13:09"/>
    <x v="1486"/>
    <s v="expense"/>
    <s v="rc_cat_1781955063347_5qjb_1781955063347_tezk"/>
    <s v="rc_acc_1781955063347_0qmn"/>
    <x v="1"/>
    <s v="kfc ยอด ptt kbank"/>
    <m/>
    <s v="import"/>
    <s v=""/>
    <b v="0"/>
    <s v=""/>
  </r>
  <r>
    <s v="bc6ee446-9bcb-4623-b3cb-cb153cdeee3d"/>
    <x v="1042"/>
    <s v="16:03"/>
    <x v="322"/>
    <s v="expense"/>
    <s v="rc_cat_1781955063347_5qjb_1781955063347_irl1"/>
    <s v="rc_acc_1781955063347_uxz4"/>
    <x v="1"/>
    <s v="bts"/>
    <m/>
    <s v="import"/>
    <s v=""/>
    <b v="0"/>
    <s v=""/>
  </r>
  <r>
    <s v="b86c52b2-4a42-434f-b5d1-5e3b1bb50f2d"/>
    <x v="1042"/>
    <s v="18:06"/>
    <x v="1211"/>
    <s v="expense"/>
    <s v="rc_cat_1781955063347_5qjb_1781955063347_tezk"/>
    <s v="rc_acc_1781955063347_0qmn"/>
    <x v="1"/>
    <s v="din tai fong"/>
    <m/>
    <s v="import"/>
    <s v=""/>
    <b v="0"/>
    <s v=""/>
  </r>
  <r>
    <s v="e73d9e4c-57e2-47ec-8a7f-5d7a810c86ba"/>
    <x v="1042"/>
    <s v="19:08"/>
    <x v="199"/>
    <s v="expense"/>
    <s v="rc_cat_1781955063347_5qjb_1781955063347_tezk"/>
    <s v="rc_acc_1781955063347_0qmn"/>
    <x v="1"/>
    <s v="noi bakery"/>
    <m/>
    <s v="import"/>
    <s v=""/>
    <b v="0"/>
    <s v=""/>
  </r>
  <r>
    <s v="31a11325-521d-43e6-b066-3f418d725eb2"/>
    <x v="1043"/>
    <s v="09:06"/>
    <x v="169"/>
    <s v="expense"/>
    <s v="rc_cat_1781955063347_5qjb_1781955063347_tezk"/>
    <s v="rc_acc_1781955063347_0qmn"/>
    <x v="1"/>
    <s v="ชาพะยอม"/>
    <m/>
    <s v="import"/>
    <s v=""/>
    <b v="0"/>
    <s v=""/>
  </r>
  <r>
    <s v="47ade04e-a6a3-4a09-be4b-bc6d67565bf3"/>
    <x v="1044"/>
    <s v="09:05"/>
    <x v="705"/>
    <s v="expense"/>
    <s v="rc_cat_1781955063347_5qjb_1781955063347_tezk"/>
    <s v="rc_acc_1781955063347_0qmn"/>
    <x v="1"/>
    <s v="หมูปิ้ง"/>
    <m/>
    <s v="import"/>
    <s v=""/>
    <b v="0"/>
    <s v=""/>
  </r>
  <r>
    <s v="4ca259fe-e141-4c8a-b15b-5b180e245987"/>
    <x v="1045"/>
    <s v="12:14"/>
    <x v="185"/>
    <s v="expense"/>
    <s v="rc_cat_1781955063347_5qjb_1781955063347_tezk"/>
    <s v="rc_acc_1781955063347_0qmn"/>
    <x v="1"/>
    <s v="-"/>
    <m/>
    <s v="import"/>
    <s v=""/>
    <b v="0"/>
    <s v=""/>
  </r>
  <r>
    <s v="be262d98-49dd-4eee-8709-a7a14df2f130"/>
    <x v="1045"/>
    <s v="12:19"/>
    <x v="26"/>
    <s v="expense"/>
    <s v="rc_cat_1781955063347_5qjb_1781955063347_tezk"/>
    <s v="rc_acc_1781955063347_0qmn"/>
    <x v="1"/>
    <s v="บิกซี"/>
    <m/>
    <s v="import"/>
    <s v=""/>
    <b v="0"/>
    <s v=""/>
  </r>
  <r>
    <s v="00d992b6-b51b-443d-bb77-ea3d722f69c0"/>
    <x v="1045"/>
    <s v="16:28"/>
    <x v="26"/>
    <s v="transfer"/>
    <s v="other"/>
    <s v="rc_acc_1781955063347_e3zv"/>
    <x v="5"/>
    <s v="-"/>
    <m/>
    <s v="import"/>
    <s v=""/>
    <b v="0"/>
    <s v=""/>
  </r>
  <r>
    <s v="1241a08f-01b8-45cb-a795-7c3a8468ca03"/>
    <x v="1046"/>
    <s v="13:50"/>
    <x v="808"/>
    <s v="expense"/>
    <s v="rc_cat_1781955063347_5qjb_1781955063348_edf6"/>
    <s v="rc_acc_1781955063347_0qmn"/>
    <x v="1"/>
    <s v="-"/>
    <m/>
    <s v="import"/>
    <s v=""/>
    <b v="0"/>
    <s v=""/>
  </r>
  <r>
    <s v="98af4103-54cc-4b9b-ba8e-3f591d7b7664"/>
    <x v="1046"/>
    <s v="15:28"/>
    <x v="232"/>
    <s v="expense"/>
    <s v="entertain_1781955063348_32wr"/>
    <s v="rc_acc_1781955063347_uxz4"/>
    <x v="1"/>
    <s v="-"/>
    <m/>
    <s v="import"/>
    <s v=""/>
    <b v="0"/>
    <s v=""/>
  </r>
  <r>
    <s v="66b5f64f-a08d-4f87-84b2-2279217edbba"/>
    <x v="1046"/>
    <s v="17:00"/>
    <x v="1511"/>
    <s v="expense"/>
    <s v="rc_cat_1781955063347_5qjb_1781955063348_xqml"/>
    <s v="rc_acc_1781955063347_0qmn"/>
    <x v="1"/>
    <s v="-"/>
    <m/>
    <s v="import"/>
    <s v=""/>
    <b v="0"/>
    <s v=""/>
  </r>
  <r>
    <s v="273c95f9-a757-4222-8147-200a9dfb6ef8"/>
    <x v="1046"/>
    <s v="17:08"/>
    <x v="317"/>
    <s v="expense"/>
    <s v="rc_cat_1781955063347_5qjb_1781955063347_tezk"/>
    <s v="rc_acc_1781955063347_e3zv"/>
    <x v="1"/>
    <s v="ไก่ทอด"/>
    <m/>
    <s v="import"/>
    <s v=""/>
    <b v="0"/>
    <s v=""/>
  </r>
  <r>
    <s v="fe4c411a-f50b-480c-ada3-56091f8bfe47"/>
    <x v="1046"/>
    <s v="17:15"/>
    <x v="239"/>
    <s v="expense"/>
    <s v="rc_cat_1781955063347_5qjb_1781955063347_tezk"/>
    <s v="rc_acc_1781955063347_0qmn"/>
    <x v="1"/>
    <s v="inthanin"/>
    <m/>
    <s v="import"/>
    <s v=""/>
    <b v="0"/>
    <s v=""/>
  </r>
  <r>
    <s v="5b03b4f0-815a-4f0a-9068-d047a1d73838"/>
    <x v="1046"/>
    <s v="17:30"/>
    <x v="22"/>
    <s v="expense"/>
    <s v="rc_cat_1781955063347_s4sz_1781955063347_9tpp"/>
    <s v="rc_acc_1781955063347_e3zv"/>
    <x v="1"/>
    <s v="-"/>
    <m/>
    <s v="import"/>
    <s v=""/>
    <b v="0"/>
    <s v=""/>
  </r>
  <r>
    <s v="36560a5f-96a3-4fa1-9886-bb5ed17f37a3"/>
    <x v="1047"/>
    <s v="09:53"/>
    <x v="935"/>
    <s v="expense"/>
    <s v="rc_cat_1781955063347_5qjb_1781955063347_tezk"/>
    <s v="rc_acc_1781955063347_0qmn"/>
    <x v="1"/>
    <s v="ของเซเว่น"/>
    <m/>
    <s v="import"/>
    <s v=""/>
    <b v="0"/>
    <s v=""/>
  </r>
  <r>
    <s v="3421a647-da75-49c5-b39f-b0f365dbc388"/>
    <x v="1047"/>
    <s v="12:03"/>
    <x v="8"/>
    <s v="transfer"/>
    <s v="other"/>
    <s v="rc_acc_1781955063347_uxz4"/>
    <x v="25"/>
    <s v="-"/>
    <m/>
    <s v="import"/>
    <s v=""/>
    <b v="0"/>
    <s v=""/>
  </r>
  <r>
    <s v="5fe9fe7c-d192-4de7-8c26-dc640a828cee"/>
    <x v="1047"/>
    <s v="12:12"/>
    <x v="169"/>
    <s v="expense"/>
    <s v="rc_cat_1781955063347_5qjb_1781955063347_tezk"/>
    <s v="rc_acc_1781955063347_0qmn"/>
    <x v="1"/>
    <s v="ชาตรามือ"/>
    <m/>
    <s v="import"/>
    <s v=""/>
    <b v="0"/>
    <s v=""/>
  </r>
  <r>
    <s v="cea0884a-16af-43f6-9133-0a2aabf22cd7"/>
    <x v="1047"/>
    <s v="12:13"/>
    <x v="769"/>
    <s v="expense"/>
    <s v="rc_cat_1781955063347_5qjb_1781955063347_tezk"/>
    <s v="rc_acc_1781955063347_0qmn"/>
    <x v="1"/>
    <s v="-"/>
    <m/>
    <s v="import"/>
    <s v=""/>
    <b v="0"/>
    <s v=""/>
  </r>
  <r>
    <s v="35a811c2-ceca-4a3e-8132-7e877e8da484"/>
    <x v="1047"/>
    <s v="13:46"/>
    <x v="19"/>
    <s v="transfer"/>
    <s v="other"/>
    <s v="rc_acc_1781955063347_uxz4"/>
    <x v="13"/>
    <s v="-"/>
    <m/>
    <s v="import"/>
    <s v=""/>
    <b v="0"/>
    <s v=""/>
  </r>
  <r>
    <s v="d995331a-d48d-40c9-87f5-ed983792db5e"/>
    <x v="1047"/>
    <s v="16:34"/>
    <x v="1512"/>
    <s v="transfer"/>
    <s v="other"/>
    <s v="rc_acc_1781955063347_uxz4"/>
    <x v="17"/>
    <s v="-"/>
    <m/>
    <s v="import"/>
    <s v=""/>
    <b v="0"/>
    <s v=""/>
  </r>
  <r>
    <s v="d4954386-49b0-4b36-beb9-8cb811749727"/>
    <x v="1047"/>
    <s v="16:38"/>
    <x v="1513"/>
    <s v="transfer"/>
    <s v="other"/>
    <s v="rc_acc_1781955063347_0qmn"/>
    <x v="39"/>
    <s v="-"/>
    <m/>
    <s v="import"/>
    <s v=""/>
    <b v="0"/>
    <s v=""/>
  </r>
  <r>
    <s v="cf0bfcf1-c50a-4c26-8064-15357d9c35dd"/>
    <x v="1047"/>
    <s v="16:42"/>
    <x v="1514"/>
    <s v="expense"/>
    <s v="rc_cat_1781955063347_5qjb_1781955063348_xqml"/>
    <s v="rc_acc_1781955063347_0qmn"/>
    <x v="1"/>
    <s v="เดอะมอล"/>
    <m/>
    <s v="import"/>
    <s v=""/>
    <b v="0"/>
    <s v=""/>
  </r>
  <r>
    <s v="0ceeffce-678b-44c1-b00d-5d2c4dddf77a"/>
    <x v="1047"/>
    <s v="16:44"/>
    <x v="22"/>
    <s v="expense"/>
    <s v="rc_cat_1781955063347_5qjb_1781955063347_tezk"/>
    <s v="rc_acc_1781955063348_998o"/>
    <x v="1"/>
    <s v="ขนมปัง"/>
    <m/>
    <s v="import"/>
    <s v=""/>
    <b v="0"/>
    <s v=""/>
  </r>
  <r>
    <s v="f179901a-5d42-4240-b334-3daa2478c8cc"/>
    <x v="1047"/>
    <s v="16:45"/>
    <x v="769"/>
    <s v="transfer"/>
    <s v="other"/>
    <s v="rc_acc_1781955063348_998o"/>
    <x v="5"/>
    <s v="-"/>
    <m/>
    <s v="import"/>
    <s v=""/>
    <b v="0"/>
    <s v=""/>
  </r>
  <r>
    <s v="84e75d56-f3bf-48fa-a23a-ed00d18a50d3"/>
    <x v="1047"/>
    <s v="19:34"/>
    <x v="1515"/>
    <s v="expense"/>
    <s v="rc_cat_1781955063347_anhy_1781955063347_qnaz"/>
    <s v="rc_acc_1781955063347_uxz4"/>
    <x v="1"/>
    <s v="แม่ทำฟัน"/>
    <m/>
    <s v="import"/>
    <s v=""/>
    <b v="0"/>
    <s v=""/>
  </r>
  <r>
    <s v="96000f4c-6a63-41ed-adcc-7402acc96678"/>
    <x v="1047"/>
    <s v="19:34"/>
    <x v="1516"/>
    <s v="expense"/>
    <s v="rc_cat_1781955063347_5qjb_1781955063347_tezk"/>
    <s v="rc_acc_1781955063347_uxz4"/>
    <x v="1"/>
    <s v="บาบิก้อน"/>
    <m/>
    <s v="import"/>
    <s v=""/>
    <b v="0"/>
    <s v=""/>
  </r>
  <r>
    <s v="f8fc5b6e-e4a1-4d20-ad5b-60da295a6671"/>
    <x v="1047"/>
    <s v="19:46"/>
    <x v="1517"/>
    <s v="transfer"/>
    <s v="other"/>
    <s v="rc_acc_1781955063347_pixu"/>
    <x v="5"/>
    <s v="ตั้งแต่ 26 sep-2 oct"/>
    <m/>
    <s v="import"/>
    <s v=""/>
    <b v="0"/>
    <s v=""/>
  </r>
  <r>
    <s v="c9fb0221-0b27-4a4e-ac55-653db6f3c820"/>
    <x v="1047"/>
    <s v="19:49"/>
    <x v="315"/>
    <s v="transfer"/>
    <s v="other"/>
    <s v="rc_acc_1781955063348_2vnx"/>
    <x v="5"/>
    <s v="-"/>
    <m/>
    <s v="import"/>
    <s v=""/>
    <b v="0"/>
    <s v=""/>
  </r>
  <r>
    <s v="443eeac2-677b-4bec-9367-67abc444e69b"/>
    <x v="1047"/>
    <s v="20:00"/>
    <x v="607"/>
    <s v="transfer"/>
    <s v="other"/>
    <s v="rc_acc_1781955063347_omhz"/>
    <x v="5"/>
    <s v="-"/>
    <m/>
    <s v="import"/>
    <s v=""/>
    <b v="0"/>
    <s v=""/>
  </r>
  <r>
    <s v="f43df14a-8efd-4e54-bac6-6cf1c0b82a72"/>
    <x v="1047"/>
    <s v="20:01"/>
    <x v="1518"/>
    <s v="expense"/>
    <s v="other_1781955063347_5s7r"/>
    <s v="rc_acc_1781955063347_uxz4"/>
    <x v="1"/>
    <s v="Difference"/>
    <m/>
    <s v="import"/>
    <s v=""/>
    <b v="0"/>
    <s v=""/>
  </r>
  <r>
    <s v="06d5ad55-4c00-4837-aaae-d41858f22f1a"/>
    <x v="1047"/>
    <s v="20:02"/>
    <x v="1519"/>
    <s v="expense"/>
    <s v="other_1781955063347_5s7r"/>
    <s v="rc_acc_1781955063347_kjxt"/>
    <x v="1"/>
    <s v="Difference"/>
    <m/>
    <s v="import"/>
    <s v=""/>
    <b v="0"/>
    <s v=""/>
  </r>
  <r>
    <s v="f1585067-67de-49f2-96ad-a6842e6a0ba9"/>
    <x v="1047"/>
    <s v="20:04"/>
    <x v="1520"/>
    <s v="expense"/>
    <s v="other_1781955063347_5s7r"/>
    <s v="rc_acc_1781955063348_no9r"/>
    <x v="1"/>
    <s v="Difference"/>
    <m/>
    <s v="import"/>
    <s v=""/>
    <b v="0"/>
    <s v=""/>
  </r>
  <r>
    <s v="ff067f91-c509-4000-8e99-8e9a8d64a11f"/>
    <x v="1047"/>
    <s v="20:08"/>
    <x v="1521"/>
    <s v="transfer"/>
    <s v="other"/>
    <s v="rc_acc_1781955063347_uxz4"/>
    <x v="31"/>
    <s v="-"/>
    <m/>
    <s v="import"/>
    <s v=""/>
    <b v="0"/>
    <s v=""/>
  </r>
  <r>
    <s v="4b3a245c-c544-4d12-bb74-2372e353f980"/>
    <x v="1047"/>
    <s v="20:18"/>
    <x v="113"/>
    <s v="expense"/>
    <s v="rc_cat_1781955063347_5qjb_1781955063348_laj8"/>
    <s v="rc_acc_1781955063347_uxz4"/>
    <x v="1"/>
    <s v="-"/>
    <m/>
    <s v="import"/>
    <s v=""/>
    <b v="0"/>
    <s v=""/>
  </r>
  <r>
    <s v="68e22390-151f-4db6-8e64-d6bb665d539b"/>
    <x v="1047"/>
    <s v="20:19"/>
    <x v="315"/>
    <s v="expense"/>
    <s v="rc_cat_1781955063347_5qjb_1781955063348_hrbf"/>
    <s v="rc_acc_1781955063347_0qmn"/>
    <x v="1"/>
    <s v="internet"/>
    <m/>
    <s v="import"/>
    <s v=""/>
    <b v="0"/>
    <s v=""/>
  </r>
  <r>
    <s v="6a049b5f-8aa5-443d-b014-dc4510b93248"/>
    <x v="1047"/>
    <s v="20:23"/>
    <x v="647"/>
    <s v="expense"/>
    <s v="other_1781955063347_5s7r"/>
    <s v="kbank"/>
    <x v="1"/>
    <s v="Difference"/>
    <m/>
    <s v="import"/>
    <s v=""/>
    <b v="0"/>
    <s v=""/>
  </r>
  <r>
    <s v="a43e3e19-4018-4076-be64-408adf5e2d9a"/>
    <x v="1047"/>
    <s v="20:26"/>
    <x v="22"/>
    <s v="expense"/>
    <s v="other_1781955063347_5s7r"/>
    <s v="rc_acc_1781955063348_2vnx"/>
    <x v="1"/>
    <s v="Difference"/>
    <m/>
    <s v="import"/>
    <s v=""/>
    <b v="0"/>
    <s v=""/>
  </r>
  <r>
    <s v="b7984503-7b96-462b-a989-2407478fc665"/>
    <x v="1047"/>
    <s v="20:26"/>
    <x v="1522"/>
    <s v="expense"/>
    <s v="other_1781955063347_5s7r"/>
    <s v="rc_acc_1781955063347_omhz"/>
    <x v="1"/>
    <s v="Difference"/>
    <m/>
    <s v="import"/>
    <s v=""/>
    <b v="0"/>
    <s v=""/>
  </r>
  <r>
    <s v="5f441ab9-2c6f-43cd-9a60-f6884f152dd7"/>
    <x v="1047"/>
    <s v="20:27"/>
    <x v="1523"/>
    <s v="expense"/>
    <s v="other_1781955063347_5s7r"/>
    <s v="rc_acc_1781955063347_e3zv"/>
    <x v="1"/>
    <s v="Difference"/>
    <m/>
    <s v="import"/>
    <s v=""/>
    <b v="0"/>
    <s v=""/>
  </r>
  <r>
    <s v="e2b8e04d-44f5-4932-920b-259a66e0cf19"/>
    <x v="1048"/>
    <s v="08:49"/>
    <x v="1500"/>
    <s v="expense"/>
    <s v="rc_cat_1781955063347_5qjb_1781955063347_tezk"/>
    <s v="rc_acc_1781955063347_0qmn"/>
    <x v="1"/>
    <s v="หมูปิ้ง"/>
    <m/>
    <s v="import"/>
    <s v=""/>
    <b v="0"/>
    <s v=""/>
  </r>
  <r>
    <s v="ddf04dee-fdba-490f-831f-34cad5aa0863"/>
    <x v="1048"/>
    <s v="16:36"/>
    <x v="1524"/>
    <s v="transfer"/>
    <s v="other"/>
    <s v="rc_acc_1781955063348_obza"/>
    <x v="14"/>
    <s v="-"/>
    <m/>
    <s v="import"/>
    <s v=""/>
    <b v="0"/>
    <s v=""/>
  </r>
  <r>
    <s v="a5403a22-0a86-4cc4-8acb-6e8724b5a8c6"/>
    <x v="1048"/>
    <s v="16:38"/>
    <x v="8"/>
    <s v="income"/>
    <s v="income_1781955063347_5zxt"/>
    <s v="rc_acc_1781955063347_0qmn"/>
    <x v="1"/>
    <s v="frm hong"/>
    <m/>
    <s v="import"/>
    <s v=""/>
    <b v="0"/>
    <s v=""/>
  </r>
  <r>
    <s v="fd4dc9e5-ba4a-4e73-a2af-dfcd89e44716"/>
    <x v="1048"/>
    <s v="16:40"/>
    <x v="432"/>
    <s v="expense"/>
    <s v="rc_cat_1781955063347_5qjb_1781955063348_xqml"/>
    <s v="rc_acc_1781955063347_0qmn"/>
    <x v="1"/>
    <s v="ของสด tops"/>
    <m/>
    <s v="import"/>
    <s v=""/>
    <b v="0"/>
    <s v=""/>
  </r>
  <r>
    <s v="c015257a-7b91-4693-80eb-11d8de9d5e35"/>
    <x v="1049"/>
    <s v="12:00"/>
    <x v="607"/>
    <s v="expense"/>
    <s v="rc_cat_1781955063347_5qjb_1781955063347_tezk"/>
    <s v="rc_acc_1781955063347_0qmn"/>
    <x v="1"/>
    <s v="บะหมี่"/>
    <m/>
    <s v="import"/>
    <s v=""/>
    <b v="0"/>
    <s v=""/>
  </r>
  <r>
    <s v="f9fe8e00-02d9-4fd1-b47a-9fa2c9a49bb1"/>
    <x v="1049"/>
    <s v="18:27"/>
    <x v="1525"/>
    <s v="expense"/>
    <s v="rc_cat_1781955063347_anhy_1781955063348_k5l1"/>
    <s v="rc_acc_1781955063347_uxz4"/>
    <x v="1"/>
    <s v="ดอกไม้ให้พี่แอน"/>
    <m/>
    <s v="import"/>
    <s v=""/>
    <b v="0"/>
    <s v=""/>
  </r>
  <r>
    <s v="0dbdfd0d-098d-4ed8-b13e-a66b273355be"/>
    <x v="1050"/>
    <s v="18:26"/>
    <x v="1526"/>
    <s v="expense"/>
    <s v="rc_cat_1781955063347_04qb_1781955063347_wt5p"/>
    <s v="rc_acc_1781955063347_uxz4"/>
    <x v="1"/>
    <s v="ดอกเบี้ย ออก กย"/>
    <m/>
    <s v="import"/>
    <s v=""/>
    <b v="0"/>
    <s v=""/>
  </r>
  <r>
    <s v="e0f23005-1eaf-4932-821f-0e903b46bac1"/>
    <x v="1051"/>
    <s v="11:58"/>
    <x v="569"/>
    <s v="expense"/>
    <s v="rc_cat_1781955063347_5qjb_1781955063347_tezk"/>
    <s v="rc_acc_1781955063347_0qmn"/>
    <x v="1"/>
    <s v="กาแฟพันธุ์ไทย"/>
    <m/>
    <s v="import"/>
    <s v=""/>
    <b v="0"/>
    <s v=""/>
  </r>
  <r>
    <s v="84632f2b-016d-45e3-96bb-558f481c0104"/>
    <x v="1051"/>
    <s v="11:58"/>
    <x v="232"/>
    <s v="expense"/>
    <s v="rc_cat_1781955063347_5qjb_1781955063347_tezk"/>
    <s v="rc_acc_1781955063347_0qmn"/>
    <x v="1"/>
    <s v="Tokyo bowl"/>
    <m/>
    <s v="import"/>
    <s v=""/>
    <b v="0"/>
    <s v=""/>
  </r>
  <r>
    <s v="0be67ab8-e55f-47a2-99c5-7cdd6861147e"/>
    <x v="1051"/>
    <s v="12:03"/>
    <x v="5"/>
    <s v="expense"/>
    <s v="rc_cat_1781955063347_anhy_1781955063347_qnaz"/>
    <s v="rc_acc_1781955063347_uxz4"/>
    <x v="1"/>
    <s v="-"/>
    <m/>
    <s v="import"/>
    <s v=""/>
    <b v="0"/>
    <s v=""/>
  </r>
  <r>
    <s v="66c1bae6-6cc6-4cc8-afbd-45abba0ace7d"/>
    <x v="1052"/>
    <s v="11:56"/>
    <x v="1527"/>
    <s v="expense"/>
    <s v="rc_cat_1781955063347_5qjb_1781955063347_tezk"/>
    <s v="rc_acc_1781955063347_0qmn"/>
    <x v="1"/>
    <s v="บาบิก้อน"/>
    <m/>
    <s v="import"/>
    <s v=""/>
    <b v="0"/>
    <s v=""/>
  </r>
  <r>
    <s v="d1ae1189-c07e-49f6-9680-df80937bd849"/>
    <x v="1052"/>
    <s v="11:57"/>
    <x v="14"/>
    <s v="expense"/>
    <s v="rc_cat_1781955063347_5qjb_1781955063347_tezk"/>
    <s v="rc_acc_1781955063347_0qmn"/>
    <x v="1"/>
    <s v="เขียง"/>
    <m/>
    <s v="import"/>
    <s v=""/>
    <b v="0"/>
    <s v=""/>
  </r>
  <r>
    <s v="f2b7ce9e-9427-4143-b3c5-0e3c6f3b8457"/>
    <x v="1053"/>
    <s v="09:53"/>
    <x v="769"/>
    <s v="expense"/>
    <s v="rc_cat_1781955063347_5qjb_1781955063347_tezk"/>
    <s v="rc_acc_1781955063347_0qmn"/>
    <x v="1"/>
    <s v="ซั่งไห่"/>
    <m/>
    <s v="import"/>
    <s v=""/>
    <b v="0"/>
    <s v=""/>
  </r>
  <r>
    <s v="4ca9f1e0-5a7c-4df6-a547-b02ba7761b57"/>
    <x v="1053"/>
    <s v="09:54"/>
    <x v="150"/>
    <s v="expense"/>
    <s v="rc_cat_1781955063347_5qjb_1781955063347_tezk"/>
    <s v="rc_acc_1781955063347_e3zv"/>
    <x v="1"/>
    <s v="amazon"/>
    <m/>
    <s v="import"/>
    <s v=""/>
    <b v="0"/>
    <s v=""/>
  </r>
  <r>
    <s v="2b8c1649-f70d-47bb-a987-5981a82528e7"/>
    <x v="1053"/>
    <s v="11:55"/>
    <x v="22"/>
    <s v="expense"/>
    <s v="rc_cat_1781955063347_5qjb_1781955063347_tezk"/>
    <s v="rc_acc_1781955063347_e3zv"/>
    <x v="1"/>
    <s v="-"/>
    <m/>
    <s v="import"/>
    <s v=""/>
    <b v="0"/>
    <s v=""/>
  </r>
  <r>
    <s v="ede6a3d6-c413-40d6-b2ea-38c10dbde672"/>
    <x v="1053"/>
    <s v="15:01"/>
    <x v="769"/>
    <s v="expense"/>
    <s v="rc_cat_1781955063347_5qjb_1781955063347_tezk"/>
    <s v="rc_acc_1781955063347_0qmn"/>
    <x v="1"/>
    <s v="dacashi"/>
    <m/>
    <s v="import"/>
    <s v=""/>
    <b v="0"/>
    <s v=""/>
  </r>
  <r>
    <s v="f5149142-49c9-4278-bbb6-52a13e296a3c"/>
    <x v="1053"/>
    <s v="15:02"/>
    <x v="769"/>
    <s v="transfer"/>
    <s v="other"/>
    <s v="rc_acc_1781955063347_omhz"/>
    <x v="5"/>
    <s v="-"/>
    <m/>
    <s v="import"/>
    <s v=""/>
    <b v="0"/>
    <s v=""/>
  </r>
  <r>
    <s v="20d73399-157f-4fa6-ba63-b30f4dc581ad"/>
    <x v="1053"/>
    <s v="15:59"/>
    <x v="1303"/>
    <s v="expense"/>
    <s v="rc_cat_1781955063347_5qjb_1781955063347_tezk"/>
    <s v="rc_acc_1781955063347_0qmn"/>
    <x v="1"/>
    <s v="-"/>
    <m/>
    <s v="import"/>
    <s v=""/>
    <b v="0"/>
    <s v=""/>
  </r>
  <r>
    <s v="7926cc6c-b296-4ba7-b403-3c21db4e1af9"/>
    <x v="1053"/>
    <s v="17:54"/>
    <x v="1054"/>
    <s v="expense"/>
    <s v="rc_cat_1781955063347_5qjb_1781955063347_tezk"/>
    <s v="rc_acc_1781955063347_0qmn"/>
    <x v="1"/>
    <s v="ตรอกโรงหมู"/>
    <m/>
    <s v="import"/>
    <s v=""/>
    <b v="0"/>
    <s v=""/>
  </r>
  <r>
    <s v="3e9ca269-f38a-4a9f-8deb-01d42a755c39"/>
    <x v="1054"/>
    <s v="00:00"/>
    <x v="1528"/>
    <s v="expense"/>
    <s v="rc_cat_1781955063347_04qb_1781955063347_lu9b"/>
    <s v="rc_acc_1781955063347_uxz4"/>
    <x v="1"/>
    <s v="-"/>
    <m/>
    <s v="import"/>
    <s v=""/>
    <b v="0"/>
    <s v=""/>
  </r>
  <r>
    <s v="c2460432-2344-454d-8cf7-0c4f667c35b0"/>
    <x v="1054"/>
    <s v="00:00"/>
    <x v="1529"/>
    <s v="expense"/>
    <s v="rc_cat_1781955063347_04qb_1781955063347_kgnn"/>
    <s v="rc_acc_1781955063347_uxz4"/>
    <x v="1"/>
    <s v="-"/>
    <m/>
    <s v="import"/>
    <s v=""/>
    <b v="0"/>
    <s v=""/>
  </r>
  <r>
    <s v="48b10cc5-2f3c-4eb8-a7fb-1d1c70c0becc"/>
    <x v="1054"/>
    <s v="00:00"/>
    <x v="128"/>
    <s v="transfer"/>
    <s v="other"/>
    <s v="rc_acc_1781955063347_uxz4"/>
    <x v="21"/>
    <s v="-"/>
    <m/>
    <s v="import"/>
    <s v=""/>
    <b v="0"/>
    <s v=""/>
  </r>
  <r>
    <s v="83bfdd2b-1c9f-4652-94c5-ca77d034cf0c"/>
    <x v="1054"/>
    <s v="00:00"/>
    <x v="1390"/>
    <s v="transfer"/>
    <s v="other"/>
    <s v="rc_acc_1781955063347_uxz4"/>
    <x v="8"/>
    <s v="-"/>
    <m/>
    <s v="import"/>
    <s v=""/>
    <b v="0"/>
    <s v=""/>
  </r>
  <r>
    <s v="00352396-65f4-47e4-944a-225eacf5ae0f"/>
    <x v="1054"/>
    <s v="00:00"/>
    <x v="1391"/>
    <s v="income"/>
    <s v="income_1781955063347_5zxt"/>
    <s v="rc_acc_1781955063347_uxz4"/>
    <x v="1"/>
    <s v="-"/>
    <m/>
    <s v="import"/>
    <s v=""/>
    <b v="0"/>
    <s v=""/>
  </r>
  <r>
    <s v="81fda9dd-28d2-44a1-8fc4-624b3306659a"/>
    <x v="1054"/>
    <s v="00:00"/>
    <x v="1415"/>
    <s v="transfer"/>
    <s v="other"/>
    <s v="rc_acc_1781955063347_uxz4"/>
    <x v="20"/>
    <s v="-"/>
    <m/>
    <s v="import"/>
    <s v=""/>
    <b v="0"/>
    <s v=""/>
  </r>
  <r>
    <s v="d8dabc4a-7ca8-4859-b6de-d9d1cc2328d3"/>
    <x v="1054"/>
    <s v="00:00"/>
    <x v="31"/>
    <s v="transfer"/>
    <s v="other"/>
    <s v="rc_acc_1781955063347_uxz4"/>
    <x v="7"/>
    <s v="-"/>
    <m/>
    <s v="import"/>
    <s v=""/>
    <b v="0"/>
    <s v=""/>
  </r>
  <r>
    <s v="280781df-58aa-44e4-91ba-e2a27dcab169"/>
    <x v="1054"/>
    <s v="11:32"/>
    <x v="607"/>
    <s v="expense"/>
    <s v="rc_cat_1781955063347_5qjb_1781955063347_tezk"/>
    <s v="rc_acc_1781955063347_0qmn"/>
    <x v="1"/>
    <s v="บัวลอยปริญญา"/>
    <m/>
    <s v="import"/>
    <s v=""/>
    <b v="0"/>
    <s v=""/>
  </r>
  <r>
    <s v="de86e641-6a61-45a9-84e4-86e6ccbfd409"/>
    <x v="1054"/>
    <s v="12:54"/>
    <x v="26"/>
    <s v="transfer"/>
    <s v="other"/>
    <s v="rc_acc_1781955063348_u1qk"/>
    <x v="12"/>
    <s v="-"/>
    <m/>
    <s v="import"/>
    <s v=""/>
    <b v="0"/>
    <s v=""/>
  </r>
  <r>
    <s v="63fd974f-b727-4362-8527-d9e837897a8f"/>
    <x v="1054"/>
    <s v="18:31"/>
    <x v="1291"/>
    <s v="expense"/>
    <s v="rc_cat_1781955063347_5qjb_1781955063347_tezk"/>
    <s v="rc_acc_1781955063347_0qmn"/>
    <x v="1"/>
    <s v="ถ้วยถัง"/>
    <m/>
    <s v="import"/>
    <s v=""/>
    <b v="0"/>
    <s v=""/>
  </r>
  <r>
    <s v="044694bb-b2c2-44d9-8dce-926275ac96e4"/>
    <x v="1054"/>
    <s v="20:24"/>
    <x v="967"/>
    <s v="expense"/>
    <s v="rc_cat_1781955063347_5qjb_1781955063348_wpky"/>
    <s v="rc_acc_1781955063347_omhz"/>
    <x v="1"/>
    <s v="-"/>
    <m/>
    <s v="import"/>
    <s v=""/>
    <b v="0"/>
    <s v=""/>
  </r>
  <r>
    <s v="30dfcf10-8ab8-4844-b047-9d437fbc3ab6"/>
    <x v="1055"/>
    <s v="16:51"/>
    <x v="74"/>
    <s v="expense"/>
    <s v="rc_cat_1781955063347_5qjb_1781955063347_tezk"/>
    <s v="rc_acc_1781955063347_e3zv"/>
    <x v="1"/>
    <s v="amazon"/>
    <m/>
    <s v="import"/>
    <s v=""/>
    <b v="0"/>
    <s v=""/>
  </r>
  <r>
    <s v="b49e5334-3528-4449-be82-03f9cd3311d8"/>
    <x v="1055"/>
    <s v="16:52"/>
    <x v="1495"/>
    <s v="transfer"/>
    <s v="other"/>
    <s v="rc_acc_1781955063347_e3zv"/>
    <x v="5"/>
    <s v="-"/>
    <m/>
    <s v="import"/>
    <s v=""/>
    <b v="0"/>
    <s v=""/>
  </r>
  <r>
    <s v="222373ba-feea-4b0f-a0ec-a89cbb53eeea"/>
    <x v="1055"/>
    <s v="16:52"/>
    <x v="1495"/>
    <s v="expense"/>
    <s v="rc_cat_1781955063347_5qjb_1781955063347_tezk"/>
    <s v="rc_acc_1781955063347_0qmn"/>
    <x v="1"/>
    <s v="mk"/>
    <m/>
    <s v="import"/>
    <s v=""/>
    <b v="0"/>
    <s v=""/>
  </r>
  <r>
    <s v="72c7b8c7-602c-47ee-8172-25febf37443e"/>
    <x v="1055"/>
    <s v="17:05"/>
    <x v="1530"/>
    <s v="transfer"/>
    <s v="other"/>
    <s v="rc_acc_1781955063347_pixu"/>
    <x v="5"/>
    <s v="23+67+210+72"/>
    <m/>
    <s v="import"/>
    <s v=""/>
    <b v="0"/>
    <s v=""/>
  </r>
  <r>
    <s v="275bac92-bf50-47e7-b7d7-130c7b2236e0"/>
    <x v="1055"/>
    <s v="17:07"/>
    <x v="315"/>
    <s v="transfer"/>
    <s v="other"/>
    <s v="rc_acc_1781955063348_2vnx"/>
    <x v="5"/>
    <s v="-"/>
    <m/>
    <s v="import"/>
    <s v=""/>
    <b v="0"/>
    <s v=""/>
  </r>
  <r>
    <s v="46525ee5-84a0-4f38-ada9-5a0ee60f00d6"/>
    <x v="1055"/>
    <s v="17:28"/>
    <x v="1531"/>
    <s v="expense"/>
    <s v="rc_cat_1781955063347_5qjb_1781955063348_xqml"/>
    <s v="rc_acc_1781955063347_0qmn"/>
    <x v="1"/>
    <s v="โลตัส"/>
    <m/>
    <s v="import"/>
    <s v=""/>
    <b v="0"/>
    <s v=""/>
  </r>
  <r>
    <s v="76e52d84-410c-467d-bde3-26ee1520a029"/>
    <x v="1056"/>
    <s v="16:51"/>
    <x v="199"/>
    <s v="expense"/>
    <s v="rc_cat_1781955063347_5qjb_1781955063347_tezk"/>
    <s v="rc_acc_1781955063347_0qmn"/>
    <x v="1"/>
    <s v="-"/>
    <m/>
    <s v="import"/>
    <s v=""/>
    <b v="0"/>
    <s v=""/>
  </r>
  <r>
    <s v="e0a434cd-d5f7-4e15-9daa-f0b3b87a0b79"/>
    <x v="1056"/>
    <s v="16:51"/>
    <x v="265"/>
    <s v="expense"/>
    <s v="rc_cat_1781955063347_5qjb_1781955063347_tezk"/>
    <s v="rc_acc_1781955063347_0qmn"/>
    <x v="1"/>
    <s v="รสเด็ดคลองสาน"/>
    <m/>
    <s v="import"/>
    <s v=""/>
    <b v="0"/>
    <s v=""/>
  </r>
  <r>
    <s v="1590b22c-b5be-4985-9fda-6c38874b4aec"/>
    <x v="1057"/>
    <s v="08:50"/>
    <x v="356"/>
    <s v="expense"/>
    <s v="rc_cat_1781955063347_5qjb_1781955063347_tezk"/>
    <s v="rc_acc_1781955063347_0qmn"/>
    <x v="1"/>
    <s v="ชาพะยอม"/>
    <m/>
    <s v="import"/>
    <s v=""/>
    <b v="0"/>
    <s v=""/>
  </r>
  <r>
    <s v="2fd193ee-dfcc-4dd1-b415-d396583a8e20"/>
    <x v="1058"/>
    <s v="16:58"/>
    <x v="157"/>
    <s v="expense"/>
    <s v="rc_cat_1781955063347_5qjb_1781955063347_tezk"/>
    <s v="rc_acc_1781955063347_0qmn"/>
    <x v="1"/>
    <s v="เป่าชิง"/>
    <m/>
    <s v="import"/>
    <s v=""/>
    <b v="0"/>
    <s v=""/>
  </r>
  <r>
    <s v="1bc50ab1-2e3c-4e14-84c7-d4f27785e0cf"/>
    <x v="1059"/>
    <s v="08:56"/>
    <x v="1076"/>
    <s v="expense"/>
    <s v="rc_cat_1781955063347_5qjb_1781955063347_tezk"/>
    <s v="rc_acc_1781955063347_0qmn"/>
    <x v="1"/>
    <s v="amazon"/>
    <m/>
    <s v="import"/>
    <s v=""/>
    <b v="0"/>
    <s v=""/>
  </r>
  <r>
    <s v="b4cc742f-e094-4bd4-af3f-d1e209efe993"/>
    <x v="1059"/>
    <s v="13:11"/>
    <x v="1496"/>
    <s v="expense"/>
    <s v="rc_cat_1781955063347_5qjb_1781955063347_irl1"/>
    <s v="rc_acc_1781955063347_sv7p"/>
    <x v="1"/>
    <s v="sb build in(3/4)"/>
    <m/>
    <s v="import"/>
    <s v=""/>
    <b v="0"/>
    <s v=""/>
  </r>
  <r>
    <s v="bcf46c85-b6f7-4e06-ac29-6a1855d3d0a5"/>
    <x v="1059"/>
    <s v="16:57"/>
    <x v="1134"/>
    <s v="expense"/>
    <s v="rc_cat_1781955063347_5qjb_1781955063347_tezk"/>
    <s v="rc_acc_1781955063347_0qmn"/>
    <x v="1"/>
    <s v="ครัวคุณยาย"/>
    <m/>
    <s v="import"/>
    <s v=""/>
    <b v="0"/>
    <s v=""/>
  </r>
  <r>
    <s v="06dad742-4ab2-4357-97d1-472ab963de86"/>
    <x v="1059"/>
    <s v="16:57"/>
    <x v="1195"/>
    <s v="expense"/>
    <s v="rc_cat_1781955063347_5qjb_1781955063347_tezk"/>
    <s v="rc_acc_1781955063347_0qmn"/>
    <x v="1"/>
    <s v="เชสเตอร์"/>
    <m/>
    <s v="import"/>
    <s v=""/>
    <b v="0"/>
    <s v=""/>
  </r>
  <r>
    <s v="fbff4a65-bf8e-4685-b422-d8155cd52de3"/>
    <x v="1060"/>
    <s v="09:48"/>
    <x v="1134"/>
    <s v="expense"/>
    <s v="rc_cat_1781955063347_5qjb_1781955063347_tezk"/>
    <s v="rc_acc_1781955063347_0qmn"/>
    <x v="1"/>
    <s v="ปังเปา"/>
    <m/>
    <s v="import"/>
    <s v=""/>
    <b v="0"/>
    <s v=""/>
  </r>
  <r>
    <s v="1182474b-b27b-4455-a17f-6c9077f10f1e"/>
    <x v="1060"/>
    <s v="11:10"/>
    <x v="1532"/>
    <s v="transfer"/>
    <s v="other"/>
    <s v="rc_acc_1781955063347_uxz4"/>
    <x v="38"/>
    <s v="-"/>
    <m/>
    <s v="import"/>
    <s v=""/>
    <b v="0"/>
    <s v=""/>
  </r>
  <r>
    <s v="279c41d3-10f4-4797-909b-f253d4cddef7"/>
    <x v="1060"/>
    <s v="11:14"/>
    <x v="188"/>
    <s v="income"/>
    <s v="other_1781955063347_5s7r"/>
    <s v="rc_acc_1781955063348_2vnx"/>
    <x v="1"/>
    <s v="Difference"/>
    <m/>
    <s v="import"/>
    <s v=""/>
    <b v="0"/>
    <s v=""/>
  </r>
  <r>
    <s v="98f17873-e333-4f63-9bea-7a154902a3fc"/>
    <x v="1060"/>
    <s v="11:48"/>
    <x v="1533"/>
    <s v="expense"/>
    <s v="rc_cat_1781955063347_5qjb_1781955063347_tezk"/>
    <s v="rc_acc_1781955063347_0qmn"/>
    <x v="1"/>
    <s v="amazon"/>
    <m/>
    <s v="import"/>
    <s v=""/>
    <b v="0"/>
    <s v=""/>
  </r>
  <r>
    <s v="5455cf94-6e33-4120-b1bb-182bad373a5c"/>
    <x v="1060"/>
    <s v="11:56"/>
    <x v="1534"/>
    <s v="transfer"/>
    <s v="other"/>
    <s v="rc_acc_1781955063347_uxz4"/>
    <x v="40"/>
    <s v="-"/>
    <m/>
    <s v="import"/>
    <s v=""/>
    <b v="0"/>
    <s v=""/>
  </r>
  <r>
    <s v="47902f6a-d130-4b40-83bf-a5d818a051c1"/>
    <x v="1060"/>
    <s v="11:59"/>
    <x v="701"/>
    <s v="transfer"/>
    <s v="other"/>
    <s v="rc_acc_1781955063347_pixu"/>
    <x v="5"/>
    <s v="-"/>
    <m/>
    <s v="import"/>
    <s v=""/>
    <b v="0"/>
    <s v=""/>
  </r>
  <r>
    <s v="e9f3fabc-7a35-44c4-8187-b6ffd156222d"/>
    <x v="1060"/>
    <s v="12:00"/>
    <x v="26"/>
    <s v="transfer"/>
    <s v="other"/>
    <s v="rc_acc_1781955063348_2vnx"/>
    <x v="5"/>
    <s v="-"/>
    <m/>
    <s v="import"/>
    <s v=""/>
    <b v="0"/>
    <s v=""/>
  </r>
  <r>
    <s v="02db79d7-6b1d-4593-804c-1a741006a69f"/>
    <x v="1060"/>
    <s v="12:50"/>
    <x v="200"/>
    <s v="transfer"/>
    <s v="other"/>
    <s v="rc_acc_1781955063347_uxz4"/>
    <x v="17"/>
    <s v="-"/>
    <m/>
    <s v="import"/>
    <s v=""/>
    <b v="0"/>
    <s v=""/>
  </r>
  <r>
    <s v="577b7a88-7f19-49bb-9b4b-e44816f34578"/>
    <x v="1060"/>
    <s v="14:02"/>
    <x v="22"/>
    <s v="expense"/>
    <s v="rc_cat_1781955063347_5qjb_1781955063347_tezk"/>
    <s v="rc_acc_1781955063347_0qmn"/>
    <x v="1"/>
    <s v="เกี้ยวหมู"/>
    <m/>
    <s v="import"/>
    <s v=""/>
    <b v="0"/>
    <s v=""/>
  </r>
  <r>
    <s v="e323243e-5ec4-4599-8952-90b7a59b8cf8"/>
    <x v="1060"/>
    <s v="14:03"/>
    <x v="185"/>
    <s v="expense"/>
    <s v="rc_cat_1781955063347_5qjb_1781955063347_tezk"/>
    <s v="rc_acc_1781955063347_0qmn"/>
    <x v="1"/>
    <s v="ชิ้นทอด"/>
    <m/>
    <s v="import"/>
    <s v=""/>
    <b v="0"/>
    <s v=""/>
  </r>
  <r>
    <s v="c4137da1-7fca-4f57-8807-f8a297113727"/>
    <x v="1060"/>
    <s v="17:00"/>
    <x v="768"/>
    <s v="expense"/>
    <s v="rc_cat_1781955063347_5qjb_1781955063347_tezk"/>
    <s v="rc_acc_1781955063347_0qmn"/>
    <x v="1"/>
    <s v="ขาหมู"/>
    <m/>
    <s v="import"/>
    <s v=""/>
    <b v="0"/>
    <s v=""/>
  </r>
  <r>
    <s v="51d5e804-8b76-4534-9b46-13180447b9e7"/>
    <x v="1060"/>
    <s v="17:00"/>
    <x v="317"/>
    <s v="expense"/>
    <s v="rc_cat_1781955063347_5qjb_1781955063347_tezk"/>
    <s v="rc_acc_1781955063347_0qmn"/>
    <x v="1"/>
    <s v="D bake"/>
    <m/>
    <s v="import"/>
    <s v=""/>
    <b v="0"/>
    <s v=""/>
  </r>
  <r>
    <s v="5fb7e040-b7c1-42fe-a523-8f3e75b0dc0a"/>
    <x v="1061"/>
    <s v="11:49"/>
    <x v="1535"/>
    <s v="expense"/>
    <s v="rc_cat_1781955063347_5qjb_1781955063347_tezk"/>
    <s v="rc_acc_1781955063347_0qmn"/>
    <x v="1"/>
    <s v="ราดหน้า"/>
    <m/>
    <s v="import"/>
    <s v=""/>
    <b v="0"/>
    <s v=""/>
  </r>
  <r>
    <s v="5988eb5b-e217-4403-8751-f0985573a663"/>
    <x v="1061"/>
    <s v="11:49"/>
    <x v="176"/>
    <s v="expense"/>
    <s v="rc_cat_1781955063347_5qjb_1781955063347_tezk"/>
    <s v="rc_acc_1781955063347_0qmn"/>
    <x v="1"/>
    <s v="ochaya"/>
    <m/>
    <s v="import"/>
    <s v=""/>
    <b v="0"/>
    <s v=""/>
  </r>
  <r>
    <s v="34bd378f-0256-4f47-984e-365e8ff4e23b"/>
    <x v="1061"/>
    <s v="17:47"/>
    <x v="464"/>
    <s v="expense"/>
    <s v="rc_cat_1781955063347_5qjb_1781955063347_tezk"/>
    <s v="rc_acc_1781955063347_0qmn"/>
    <x v="1"/>
    <s v="เล้งลาดหญ้า"/>
    <m/>
    <s v="import"/>
    <s v=""/>
    <b v="0"/>
    <s v=""/>
  </r>
  <r>
    <s v="792aebc8-74c6-4687-ada1-e09431e06325"/>
    <x v="1062"/>
    <s v="11:01"/>
    <x v="709"/>
    <s v="expense"/>
    <s v="entertain_1781955063348_kx2f"/>
    <s v="rc_acc_1781955063347_uxz4"/>
    <x v="1"/>
    <s v="yt premium"/>
    <m/>
    <s v="import"/>
    <s v=""/>
    <b v="0"/>
    <s v=""/>
  </r>
  <r>
    <s v="414a6b1d-938e-469a-b168-de331bfad5cd"/>
    <x v="1062"/>
    <s v="11:02"/>
    <x v="806"/>
    <s v="expense"/>
    <s v="rc_cat_1781955063347_5qjb_1781955063347_tezk"/>
    <s v="rc_acc_1781955063347_0qmn"/>
    <x v="1"/>
    <s v="711"/>
    <m/>
    <s v="import"/>
    <s v=""/>
    <b v="0"/>
    <s v=""/>
  </r>
  <r>
    <s v="53c375d4-332f-49f7-bbc8-1ec30c6988b5"/>
    <x v="1062"/>
    <s v="11:47"/>
    <x v="607"/>
    <s v="expense"/>
    <s v="rc_cat_1781955063347_5qjb_1781955063347_tezk"/>
    <s v="rc_acc_1781955063347_0qmn"/>
    <x v="1"/>
    <s v="ขาหมู"/>
    <m/>
    <s v="import"/>
    <s v=""/>
    <b v="0"/>
    <s v=""/>
  </r>
  <r>
    <s v="d64a796c-f1d8-4383-a2aa-f3f6a836371b"/>
    <x v="1063"/>
    <s v="09:48"/>
    <x v="607"/>
    <s v="expense"/>
    <s v="rc_cat_1781955063347_5qjb_1781955063347_tezk"/>
    <s v="rc_acc_1781955063347_0qmn"/>
    <x v="1"/>
    <s v="ต้มเลืดหมู"/>
    <m/>
    <s v="import"/>
    <s v=""/>
    <b v="0"/>
    <s v=""/>
  </r>
  <r>
    <s v="66094025-1756-4178-9bf8-951f501576b5"/>
    <x v="1063"/>
    <s v="10:48"/>
    <x v="1113"/>
    <s v="expense"/>
    <s v="rc_cat_1781955063347_5qjb_1781955063347_tezk"/>
    <s v="rc_acc_1781955063347_0qmn"/>
    <x v="1"/>
    <s v="coffee journey"/>
    <m/>
    <s v="import"/>
    <s v=""/>
    <b v="0"/>
    <s v=""/>
  </r>
  <r>
    <s v="89f3d78b-ef90-4a12-b6cf-600b770f8d0a"/>
    <x v="1063"/>
    <s v="11:46"/>
    <x v="222"/>
    <s v="expense"/>
    <s v="rc_cat_1781955063347_5qjb_1781955063347_tezk"/>
    <s v="rc_acc_1781955063347_0qmn"/>
    <x v="1"/>
    <s v="-"/>
    <m/>
    <s v="import"/>
    <s v=""/>
    <b v="0"/>
    <s v=""/>
  </r>
  <r>
    <s v="48dcdc4e-260a-45d1-af43-aad242527611"/>
    <x v="1064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f20d5788-ccfd-4c43-9913-077bbfe16c76"/>
    <x v="1064"/>
    <s v="08:45"/>
    <x v="31"/>
    <s v="transfer"/>
    <s v="other"/>
    <s v="rc_acc_1781955063347_uxz4"/>
    <x v="16"/>
    <s v="-"/>
    <m/>
    <s v="import"/>
    <s v=""/>
    <b v="0"/>
    <s v=""/>
  </r>
  <r>
    <s v="5617dd8c-03bc-4422-b929-658ea2042600"/>
    <x v="1064"/>
    <s v="11:07"/>
    <x v="26"/>
    <s v="expense"/>
    <s v="rc_cat_1781955063347_5qjb_1781955063347_tezk"/>
    <s v="rc_acc_1781955063347_0qmn"/>
    <x v="1"/>
    <s v="senban"/>
    <m/>
    <s v="import"/>
    <s v=""/>
    <b v="0"/>
    <s v=""/>
  </r>
  <r>
    <s v="2fe0281f-0bae-4576-a8ef-5e8cda0e1856"/>
    <x v="1065"/>
    <s v="17:53"/>
    <x v="769"/>
    <s v="expense"/>
    <s v="rc_cat_1781955063347_5qjb_1781955063347_tezk"/>
    <s v="rc_acc_1781955063347_0qmn"/>
    <x v="1"/>
    <s v="เยนตาโฟ ชานม"/>
    <m/>
    <s v="import"/>
    <s v=""/>
    <b v="0"/>
    <s v=""/>
  </r>
  <r>
    <s v="33259745-15cc-4fbb-b60b-b228c74224ba"/>
    <x v="1066"/>
    <s v="10:26"/>
    <x v="1536"/>
    <s v="expense"/>
    <s v="rc_cat_1781955063347_5qjb_1781955063347_tezk"/>
    <s v="rc_acc_1781955063347_0qmn"/>
    <x v="1"/>
    <s v="ลุงหนึ่ง"/>
    <m/>
    <s v="import"/>
    <s v=""/>
    <b v="0"/>
    <s v=""/>
  </r>
  <r>
    <s v="f7056825-607d-4a8b-bec2-d8411496bf9f"/>
    <x v="1066"/>
    <s v="12:43"/>
    <x v="372"/>
    <s v="expense"/>
    <s v="rc_cat_1781955063347_5qjb_1781955063347_tezk"/>
    <s v="rc_acc_1781955063347_0qmn"/>
    <x v="1"/>
    <s v="-"/>
    <m/>
    <s v="import"/>
    <s v=""/>
    <b v="0"/>
    <s v=""/>
  </r>
  <r>
    <s v="5842ab15-d123-4385-b4d2-cbd51d0766c2"/>
    <x v="1066"/>
    <s v="13:52"/>
    <x v="602"/>
    <s v="expense"/>
    <s v="rc_cat_1781955063347_5qjb_1781955063348_edf6"/>
    <s v="rc_acc_1781955063347_0qmn"/>
    <x v="1"/>
    <s v="-"/>
    <m/>
    <s v="import"/>
    <s v=""/>
    <b v="0"/>
    <s v=""/>
  </r>
  <r>
    <s v="292942bd-756d-4efe-92b5-2a9ca36fa034"/>
    <x v="1066"/>
    <s v="14:57"/>
    <x v="193"/>
    <s v="expense"/>
    <s v="rc_cat_1781955063347_5qjb_1781955063348_xqml"/>
    <s v="rc_acc_1781955063347_0qmn"/>
    <x v="1"/>
    <s v="lotus"/>
    <m/>
    <s v="import"/>
    <s v=""/>
    <b v="0"/>
    <s v=""/>
  </r>
  <r>
    <s v="3ef881d4-518e-479b-8d70-29e5ff30b7d5"/>
    <x v="1067"/>
    <s v="10:33"/>
    <x v="1537"/>
    <s v="expense"/>
    <s v="rc_cat_1781955063347_5qjb_1781955063347_tezk"/>
    <s v="rc_acc_1781955063347_0qmn"/>
    <x v="1"/>
    <s v="bellinis"/>
    <m/>
    <s v="import"/>
    <s v=""/>
    <b v="0"/>
    <s v=""/>
  </r>
  <r>
    <s v="febb8edd-897c-43f5-8f64-5786ca78ad03"/>
    <x v="1067"/>
    <s v="11:18"/>
    <x v="8"/>
    <s v="income"/>
    <s v="income_1781955063347_5zxt"/>
    <s v="rc_acc_1781955063347_0qmn"/>
    <x v="1"/>
    <s v="-"/>
    <m/>
    <s v="import"/>
    <s v=""/>
    <b v="0"/>
    <s v=""/>
  </r>
  <r>
    <s v="acdff9f5-a12a-4d06-9816-4377e8717b6d"/>
    <x v="1067"/>
    <s v="11:26"/>
    <x v="87"/>
    <s v="transfer"/>
    <s v="other"/>
    <s v="rc_acc_1781955063347_e3zv"/>
    <x v="5"/>
    <s v="-"/>
    <m/>
    <s v="import"/>
    <s v=""/>
    <b v="0"/>
    <s v=""/>
  </r>
  <r>
    <s v="02df5c45-814d-47b5-80a5-a070809c6260"/>
    <x v="1067"/>
    <s v="12:35"/>
    <x v="1031"/>
    <s v="expense"/>
    <s v="rc_cat_1781955063347_5qjb_1781955063347_tezk"/>
    <s v="rc_acc_1781955063347_0qmn"/>
    <x v="1"/>
    <s v="เจ้กเม้ง grab"/>
    <m/>
    <s v="import"/>
    <s v=""/>
    <b v="0"/>
    <s v=""/>
  </r>
  <r>
    <s v="9e7afe45-1e44-478a-a5eb-36b6725fe8bb"/>
    <x v="1067"/>
    <s v="14:41"/>
    <x v="8"/>
    <s v="expense"/>
    <s v="other_1781955063348_27zj"/>
    <s v="rc_acc_1781955063347_uxz4"/>
    <x v="1"/>
    <s v="bdg"/>
    <m/>
    <s v="import"/>
    <s v=""/>
    <b v="0"/>
    <s v=""/>
  </r>
  <r>
    <s v="084b0a09-1b46-40c1-b58c-f47c131a061f"/>
    <x v="1068"/>
    <s v="11:47"/>
    <x v="1494"/>
    <s v="expense"/>
    <s v="rc_cat_1781955063347_5qjb_1781955063347_tezk"/>
    <s v="rc_acc_1781955063347_0qmn"/>
    <x v="1"/>
    <s v="คุ้มสึ"/>
    <m/>
    <s v="import"/>
    <s v=""/>
    <b v="0"/>
    <s v=""/>
  </r>
  <r>
    <s v="33846114-622b-424f-adc4-f73081d4fb19"/>
    <x v="1068"/>
    <s v="11:48"/>
    <x v="513"/>
    <s v="expense"/>
    <s v="rc_cat_1781955063347_5qjb_1781955063347_tezk"/>
    <s v="rc_acc_1781955063347_0qmn"/>
    <x v="1"/>
    <s v="ดอยตุง"/>
    <m/>
    <s v="import"/>
    <s v=""/>
    <b v="0"/>
    <s v=""/>
  </r>
  <r>
    <s v="d76cb404-744c-4a78-9182-e699f9536097"/>
    <x v="1068"/>
    <s v="11:48"/>
    <x v="569"/>
    <s v="expense"/>
    <s v="rc_cat_1781955063347_5qjb_1781955063347_tezk"/>
    <s v="rc_acc_1781955063347_0qmn"/>
    <x v="1"/>
    <s v="senban"/>
    <m/>
    <s v="import"/>
    <s v=""/>
    <b v="0"/>
    <s v=""/>
  </r>
  <r>
    <s v="eaf4e481-51c6-478c-9450-045b2e8dfe2c"/>
    <x v="1068"/>
    <s v="13:02"/>
    <x v="1538"/>
    <s v="expense"/>
    <s v="rc_cat_1781955063347_5qjb_1781955063347_irl1"/>
    <s v="rc_acc_1781955063347_hv85"/>
    <x v="1"/>
    <s v="เตา teka(4/4)"/>
    <m/>
    <s v="import"/>
    <s v=""/>
    <b v="0"/>
    <s v=""/>
  </r>
  <r>
    <s v="109f8485-a60a-4918-a81c-574b719f5506"/>
    <x v="1068"/>
    <s v="13:04"/>
    <x v="1435"/>
    <s v="expense"/>
    <s v="rc_cat_1781955063347_5qjb_1781955063347_irl1"/>
    <s v="rc_acc_1781955063347_hv85"/>
    <x v="1"/>
    <s v="เครื่องซักผ้า LG(3/6)"/>
    <m/>
    <s v="import"/>
    <s v=""/>
    <b v="0"/>
    <s v=""/>
  </r>
  <r>
    <s v="633eb125-6509-4c58-b157-155f9eec069d"/>
    <x v="1068"/>
    <s v="13:04"/>
    <x v="1436"/>
    <s v="expense"/>
    <s v="rc_cat_1781955063347_5qjb_1781955063347_irl1"/>
    <s v="rc_acc_1781955063347_hv85"/>
    <x v="1"/>
    <s v="ชั้น พัดลม homepro(3/6)"/>
    <m/>
    <s v="import"/>
    <s v=""/>
    <b v="0"/>
    <s v=""/>
  </r>
  <r>
    <s v="cbe5f6b3-d4e1-4c61-98da-d127fac046d9"/>
    <x v="1069"/>
    <s v="08:45"/>
    <x v="10"/>
    <s v="expense"/>
    <s v="rc_cat_1781955063347_5qjb_1781955063347_tezk"/>
    <s v="rc_acc_1781955063347_0qmn"/>
    <x v="1"/>
    <s v="โจ๊ก"/>
    <m/>
    <s v="import"/>
    <s v=""/>
    <b v="0"/>
    <s v=""/>
  </r>
  <r>
    <s v="be939dbd-4003-471a-bbad-8562c08ed787"/>
    <x v="1069"/>
    <s v="09:57"/>
    <x v="594"/>
    <s v="transfer"/>
    <s v="other"/>
    <s v="rc_acc_1781955063347_uxz4"/>
    <x v="16"/>
    <s v="-"/>
    <m/>
    <s v="import"/>
    <s v=""/>
    <b v="0"/>
    <s v=""/>
  </r>
  <r>
    <s v="3b3b15ff-b993-4cb2-8397-538c1f7d70a1"/>
    <x v="1069"/>
    <s v="11:46"/>
    <x v="233"/>
    <s v="expense"/>
    <s v="rc_cat_1781955063347_5qjb_1781955063347_tezk"/>
    <s v="rc_acc_1781955063347_0qmn"/>
    <x v="1"/>
    <s v="สีมรกต"/>
    <m/>
    <s v="import"/>
    <s v=""/>
    <b v="0"/>
    <s v=""/>
  </r>
  <r>
    <s v="fc5707ba-770f-4fcc-af40-72740e0340a1"/>
    <x v="1069"/>
    <s v="11:46"/>
    <x v="1539"/>
    <s v="expense"/>
    <s v="rc_cat_1781955063347_5qjb_1781955063347_tezk"/>
    <s v="rc_acc_1781955063347_0qmn"/>
    <x v="1"/>
    <s v="aroidee"/>
    <m/>
    <s v="import"/>
    <s v=""/>
    <b v="0"/>
    <s v=""/>
  </r>
  <r>
    <s v="27a62f1a-d4f7-47ff-8ae4-a5a881eb3290"/>
    <x v="1069"/>
    <s v="13:16"/>
    <x v="1117"/>
    <s v="expense"/>
    <s v="rc_cat_1781955063347_5qjb_1781955063348_wpky"/>
    <s v="rc_acc_1781955063347_omhz"/>
    <x v="1"/>
    <s v="-"/>
    <m/>
    <s v="import"/>
    <s v=""/>
    <b v="0"/>
    <s v=""/>
  </r>
  <r>
    <s v="40e6191f-c939-4350-b409-3fda060ff69e"/>
    <x v="1069"/>
    <s v="13:18"/>
    <x v="886"/>
    <s v="expense"/>
    <s v="entertain_1781955063347_8r8e"/>
    <s v="rc_acc_1781955063347_kjxt"/>
    <x v="1"/>
    <s v="-"/>
    <m/>
    <s v="import"/>
    <s v=""/>
    <b v="0"/>
    <s v=""/>
  </r>
  <r>
    <s v="2095bb2d-579e-43d7-9ce4-3b36b4049b70"/>
    <x v="1069"/>
    <s v="13:19"/>
    <x v="1540"/>
    <s v="expense"/>
    <s v="entertain_1781955063348_32wr"/>
    <s v="rc_acc_1781955063347_kjxt"/>
    <x v="1"/>
    <s v="-"/>
    <m/>
    <s v="import"/>
    <s v=""/>
    <b v="0"/>
    <s v=""/>
  </r>
  <r>
    <s v="1e723120-d398-49c8-9a3b-d6fb36b5b6d2"/>
    <x v="1070"/>
    <s v="10:40"/>
    <x v="17"/>
    <s v="expense"/>
    <s v="rc_cat_1781955063347_5qjb_1781955063347_irl1"/>
    <s v="rc_acc_1781955063347_0qmn"/>
    <x v="1"/>
    <s v="ค่าน้ำ"/>
    <m/>
    <s v="import"/>
    <s v=""/>
    <b v="0"/>
    <s v=""/>
  </r>
  <r>
    <s v="b9a84e2a-5fa2-4bf6-8457-03e51605523f"/>
    <x v="1070"/>
    <s v="11:45"/>
    <x v="1485"/>
    <s v="expense"/>
    <s v="rc_cat_1781955063347_5qjb_1781955063347_tezk"/>
    <s v="rc_acc_1781955063347_0qmn"/>
    <x v="1"/>
    <s v="เจ้กเม้ง"/>
    <m/>
    <s v="import"/>
    <s v=""/>
    <b v="0"/>
    <s v=""/>
  </r>
  <r>
    <s v="8a5904f5-8c41-4f37-bb70-3184d1fd3d6f"/>
    <x v="1070"/>
    <s v="18:42"/>
    <x v="751"/>
    <s v="expense"/>
    <s v="rc_cat_1781955063347_5qjb_1781955063347_tezk"/>
    <s v="rc_acc_1781955063347_0qmn"/>
    <x v="1"/>
    <s v="manoi"/>
    <m/>
    <s v="import"/>
    <s v=""/>
    <b v="0"/>
    <s v=""/>
  </r>
  <r>
    <s v="1721ab79-00d5-44e1-9ded-1abebf931a2e"/>
    <x v="1070"/>
    <s v="18:43"/>
    <x v="751"/>
    <s v="transfer"/>
    <s v="other"/>
    <s v="rc_acc_1781955063347_omhz"/>
    <x v="5"/>
    <s v="-"/>
    <m/>
    <s v="import"/>
    <s v=""/>
    <b v="0"/>
    <s v=""/>
  </r>
  <r>
    <s v="af17f13e-4d7a-48e0-a487-63450ad65c8e"/>
    <x v="1071"/>
    <s v="11:44"/>
    <x v="1541"/>
    <s v="expense"/>
    <s v="rc_cat_1781955063347_5qjb_1781955063347_tezk"/>
    <s v="rc_acc_1781955063347_0qmn"/>
    <x v="1"/>
    <s v="เชสเตอร์"/>
    <m/>
    <s v="import"/>
    <s v=""/>
    <b v="0"/>
    <s v=""/>
  </r>
  <r>
    <s v="caf8afe8-99dd-4723-bfe1-c44a8f4b6e69"/>
    <x v="1072"/>
    <s v="10:32"/>
    <x v="87"/>
    <s v="expense"/>
    <s v="rc_cat_1781955063347_5qjb_1781955063347_tezk"/>
    <s v="rc_acc_1781955063347_0qmn"/>
    <x v="1"/>
    <s v="ชาพะยอม"/>
    <m/>
    <s v="import"/>
    <s v=""/>
    <b v="0"/>
    <s v=""/>
  </r>
  <r>
    <s v="985c50f8-7ae9-4b9f-8f88-ec8a26455cd7"/>
    <x v="1072"/>
    <s v="10:41"/>
    <x v="1542"/>
    <s v="expense"/>
    <s v="rc_cat_1781955063347_5qjb_1781955063348_edf6"/>
    <s v="rc_acc_1781955063347_0qmn"/>
    <x v="1"/>
    <s v="น้ำมัน"/>
    <m/>
    <s v="import"/>
    <s v=""/>
    <b v="0"/>
    <s v=""/>
  </r>
  <r>
    <s v="5a516847-6183-483d-9da6-781b480c0555"/>
    <x v="1072"/>
    <s v="11:43"/>
    <x v="1134"/>
    <s v="expense"/>
    <s v="rc_cat_1781955063347_5qjb_1781955063347_tezk"/>
    <s v="rc_acc_1781955063347_0qmn"/>
    <x v="1"/>
    <s v="คุ้มสึ"/>
    <m/>
    <s v="import"/>
    <s v=""/>
    <b v="0"/>
    <s v=""/>
  </r>
  <r>
    <s v="b884fbc4-febe-4af6-bc21-63b33967b028"/>
    <x v="1072"/>
    <s v="11:43"/>
    <x v="759"/>
    <s v="expense"/>
    <s v="rc_cat_1781955063347_5qjb_1781955063347_tezk"/>
    <s v="rc_acc_1781955063347_0qmn"/>
    <x v="1"/>
    <s v="kfc"/>
    <m/>
    <s v="import"/>
    <s v=""/>
    <b v="0"/>
    <s v=""/>
  </r>
  <r>
    <s v="df8e6d55-0ae2-4117-95a9-9de00b98b2f2"/>
    <x v="1072"/>
    <s v="12:14"/>
    <x v="199"/>
    <s v="income"/>
    <s v="income_1781955063347_zblt"/>
    <s v="rc_acc_1781955063347_uxz4"/>
    <x v="1"/>
    <s v="-"/>
    <m/>
    <s v="import"/>
    <s v=""/>
    <b v="0"/>
    <s v=""/>
  </r>
  <r>
    <s v="1a1685c4-957c-45dd-8c8f-4a188e421273"/>
    <x v="1072"/>
    <s v="13:17"/>
    <x v="1543"/>
    <s v="expense"/>
    <s v="rc_cat_1781955063347_5qjb_1781955063348_wpky"/>
    <s v="rc_acc_1781955063347_kjxt"/>
    <x v="1"/>
    <s v="-"/>
    <m/>
    <s v="import"/>
    <s v=""/>
    <b v="0"/>
    <s v=""/>
  </r>
  <r>
    <s v="3347f361-41e4-47cd-a8c2-3cd4e08fdc07"/>
    <x v="1073"/>
    <s v="10:39"/>
    <x v="87"/>
    <s v="expense"/>
    <s v="rc_cat_1781955063347_5qjb_1781955063347_tezk"/>
    <s v="rc_acc_1781955063347_0qmn"/>
    <x v="1"/>
    <s v="ข้าวมันไก่ซ่างไห่"/>
    <m/>
    <s v="import"/>
    <s v=""/>
    <b v="0"/>
    <s v=""/>
  </r>
  <r>
    <s v="39c1894d-12bc-40d9-a0a4-0a904b542e1f"/>
    <x v="1073"/>
    <s v="11:42"/>
    <x v="549"/>
    <s v="expense"/>
    <s v="rc_cat_1781955063347_5qjb_1781955063347_tezk"/>
    <s v="rc_acc_1781955063347_0qmn"/>
    <x v="1"/>
    <s v="tim hortons"/>
    <m/>
    <s v="import"/>
    <s v=""/>
    <b v="0"/>
    <s v=""/>
  </r>
  <r>
    <s v="e33b2cd0-ec19-4dae-a686-7cf2d4f8b2d0"/>
    <x v="1073"/>
    <s v="12:43"/>
    <x v="185"/>
    <s v="expense"/>
    <s v="rc_cat_1781955063347_5qjb_1781955063347_tezk"/>
    <s v="rc_acc_1781955063347_omhz"/>
    <x v="1"/>
    <s v="-"/>
    <m/>
    <s v="import"/>
    <s v=""/>
    <b v="0"/>
    <s v=""/>
  </r>
  <r>
    <s v="9e7ee9f4-d89c-492f-86c1-320083eb5995"/>
    <x v="1073"/>
    <s v="13:19"/>
    <x v="405"/>
    <s v="expense"/>
    <s v="rc_cat_1781955063347_anhy_1781955063347_qnaz"/>
    <s v="rc_acc_1781955063347_kjxt"/>
    <x v="1"/>
    <s v="mk สามย่าน"/>
    <m/>
    <s v="import"/>
    <s v=""/>
    <b v="0"/>
    <s v=""/>
  </r>
  <r>
    <s v="619c88d5-c75f-4c55-983c-251236374bc7"/>
    <x v="1074"/>
    <s v="09:23"/>
    <x v="150"/>
    <s v="expense"/>
    <s v="rc_cat_1781955063347_5qjb_1781955063347_tezk"/>
    <s v="rc_acc_1781955063347_0qmn"/>
    <x v="1"/>
    <s v="กาแฟข้าง รพ"/>
    <m/>
    <s v="import"/>
    <s v=""/>
    <b v="0"/>
    <s v=""/>
  </r>
  <r>
    <s v="16d0a57d-a805-4ede-b46f-4793a215f9ac"/>
    <x v="1074"/>
    <s v="09:30"/>
    <x v="87"/>
    <s v="transfer"/>
    <s v="other"/>
    <s v="rc_acc_1781955063347_0qmn"/>
    <x v="5"/>
    <s v="ไก่ทอด ข้าวเหนียว ข้าวสวย"/>
    <m/>
    <s v="import"/>
    <s v=""/>
    <b v="0"/>
    <s v=""/>
  </r>
  <r>
    <s v="d13fad68-f700-4f27-8285-f94bc5bb9a04"/>
    <x v="1074"/>
    <s v="11:30"/>
    <x v="22"/>
    <s v="expense"/>
    <s v="rc_cat_1781955063347_5qjb_1781955063347_tezk"/>
    <s v="rc_acc_1781955063348_bs00"/>
    <x v="1"/>
    <s v="-"/>
    <m/>
    <s v="import"/>
    <s v=""/>
    <b v="0"/>
    <s v=""/>
  </r>
  <r>
    <s v="38019fd3-4715-47cb-a584-d06bebca4bcc"/>
    <x v="1074"/>
    <s v="11:32"/>
    <x v="1544"/>
    <s v="expense"/>
    <s v="rc_cat_1781955063347_04qb_1781955063347_wt5p"/>
    <s v="rc_acc_1781955063347_uxz4"/>
    <x v="1"/>
    <s v="ทบยอดดอกเบี้ย"/>
    <m/>
    <s v="import"/>
    <s v=""/>
    <b v="0"/>
    <s v=""/>
  </r>
  <r>
    <s v="4720e8fd-1ee0-4f68-9940-0f5adfb0a689"/>
    <x v="1074"/>
    <s v="12:07"/>
    <x v="1545"/>
    <s v="expense"/>
    <s v="rc_cat_1781955063347_5qjb_1781955063347_tezk"/>
    <s v="rc_acc_1781955063347_0qmn"/>
    <x v="1"/>
    <s v="lotus"/>
    <m/>
    <s v="import"/>
    <s v=""/>
    <b v="0"/>
    <s v=""/>
  </r>
  <r>
    <s v="e7cd6cf0-eefb-4c0a-a955-ccf47b105597"/>
    <x v="1074"/>
    <s v="12:08"/>
    <x v="442"/>
    <s v="expense"/>
    <s v="rc_cat_1781955063347_5qjb_1781955063347_irl1"/>
    <s v="rc_acc_1781955063347_0qmn"/>
    <x v="1"/>
    <s v="watson"/>
    <m/>
    <s v="import"/>
    <s v=""/>
    <b v="0"/>
    <s v=""/>
  </r>
  <r>
    <s v="f15aa609-908d-492c-a4d2-8932c6cf96a3"/>
    <x v="1074"/>
    <s v="12:45"/>
    <x v="1546"/>
    <s v="expense"/>
    <s v="rc_cat_1781955063347_5qjb_1781955063348_wpky"/>
    <s v="rc_acc_1781955063347_omhz"/>
    <x v="1"/>
    <s v="-"/>
    <m/>
    <s v="import"/>
    <s v=""/>
    <b v="0"/>
    <s v=""/>
  </r>
  <r>
    <s v="f22dafad-53cb-4bda-9291-795a9e648119"/>
    <x v="1074"/>
    <s v="16:41"/>
    <x v="1547"/>
    <s v="expense"/>
    <s v="rc_cat_1781955063347_5qjb_1781955063347_tezk"/>
    <s v="rc_acc_1781955063347_0qmn"/>
    <x v="1"/>
    <s v="บาบิก้อน"/>
    <m/>
    <s v="import"/>
    <s v=""/>
    <b v="0"/>
    <s v=""/>
  </r>
  <r>
    <s v="a1f97735-ffce-4f4a-ba2c-f0bb0785b714"/>
    <x v="1075"/>
    <s v="00:00"/>
    <x v="150"/>
    <s v="expense"/>
    <s v="rc_cat_1781955063347_5qjb_1781955063347_tezk"/>
    <s v="rc_acc_1781955063347_0qmn"/>
    <x v="1"/>
    <s v="กาแฟข้างรพ"/>
    <m/>
    <s v="import"/>
    <s v=""/>
    <b v="0"/>
    <s v=""/>
  </r>
  <r>
    <s v="86a6feec-0f62-48f8-b556-cecb79439b1f"/>
    <x v="1075"/>
    <s v="07:29"/>
    <x v="1501"/>
    <s v="transfer"/>
    <s v="other"/>
    <s v="rc_acc_1781955063348_hnxg"/>
    <x v="12"/>
    <s v="-"/>
    <m/>
    <s v="import"/>
    <s v=""/>
    <b v="0"/>
    <s v=""/>
  </r>
  <r>
    <s v="7b57a149-de33-437f-8c3e-58658fcb8a86"/>
    <x v="1075"/>
    <s v="11:28"/>
    <x v="26"/>
    <s v="expense"/>
    <s v="rc_cat_1781955063347_5qjb_1781955063347_tezk"/>
    <s v="rc_acc_1781955063347_0qmn"/>
    <x v="1"/>
    <s v="เอลวิสสุกี้"/>
    <m/>
    <s v="import"/>
    <s v=""/>
    <b v="0"/>
    <s v=""/>
  </r>
  <r>
    <s v="66b1dd7d-476c-47aa-a49c-a0444b82594d"/>
    <x v="1075"/>
    <s v="11:28"/>
    <x v="26"/>
    <s v="transfer"/>
    <s v="other"/>
    <s v="rc_acc_1781955063347_e3zv"/>
    <x v="5"/>
    <s v="เอลวิส"/>
    <m/>
    <s v="import"/>
    <s v=""/>
    <b v="0"/>
    <s v=""/>
  </r>
  <r>
    <s v="c6d4cb4b-fe2b-4880-85e2-73885d4e5e70"/>
    <x v="1076"/>
    <s v="08:40"/>
    <x v="1033"/>
    <s v="expense"/>
    <s v="rc_cat_1781955063347_5qjb_1781955063347_tezk"/>
    <s v="rc_acc_1781955063347_0qmn"/>
    <x v="1"/>
    <s v="bellini rbh"/>
    <m/>
    <s v="import"/>
    <s v=""/>
    <b v="0"/>
    <s v=""/>
  </r>
  <r>
    <s v="19df38c2-0e2f-4d2f-8414-27ed3b14e8d5"/>
    <x v="1076"/>
    <s v="13:14"/>
    <x v="1400"/>
    <s v="expense"/>
    <s v="rc_cat_1781955063347_5qjb_1781955063347_tezk"/>
    <s v="rc_acc_1781955063347_0qmn"/>
    <x v="1"/>
    <s v="บะหมี่"/>
    <m/>
    <s v="import"/>
    <s v=""/>
    <b v="0"/>
    <s v=""/>
  </r>
  <r>
    <s v="911ceb7d-5e1d-4c65-adf0-5cf71c666206"/>
    <x v="1076"/>
    <s v="13:15"/>
    <x v="549"/>
    <s v="expense"/>
    <s v="rc_cat_1781955063347_5qjb_1781955063347_tezk"/>
    <s v="rc_acc_1781955063347_0qmn"/>
    <x v="1"/>
    <s v="46333"/>
    <m/>
    <s v="import"/>
    <s v=""/>
    <b v="0"/>
    <s v=""/>
  </r>
  <r>
    <s v="ca65aec8-9f2a-40a5-8fac-31fe10606ba8"/>
    <x v="1076"/>
    <s v="16:18"/>
    <x v="1548"/>
    <s v="transfer"/>
    <s v="other"/>
    <s v="rc_acc_1781955063347_0qmn"/>
    <x v="39"/>
    <s v="-"/>
    <m/>
    <s v="import"/>
    <s v=""/>
    <b v="0"/>
    <s v=""/>
  </r>
  <r>
    <s v="3077cd82-1bb1-472e-aedf-1440a78ca656"/>
    <x v="1076"/>
    <s v="18:53"/>
    <x v="1549"/>
    <s v="expense"/>
    <s v="rc_cat_1781955063347_5qjb_1781955063347_tezk"/>
    <s v="rc_acc_1781955063347_0qmn"/>
    <x v="1"/>
    <s v="YAYOI"/>
    <m/>
    <s v="import"/>
    <s v=""/>
    <b v="0"/>
    <s v=""/>
  </r>
  <r>
    <s v="fb57f7af-702f-42e1-9f92-741820d8c0f0"/>
    <x v="1077"/>
    <s v="10:43"/>
    <x v="8"/>
    <s v="transfer"/>
    <s v="other"/>
    <s v="rc_acc_1781955063347_uxz4"/>
    <x v="25"/>
    <s v="-"/>
    <m/>
    <s v="import"/>
    <s v=""/>
    <b v="0"/>
    <s v=""/>
  </r>
  <r>
    <s v="190fc799-fc5b-4a8c-841b-0f22be51a341"/>
    <x v="1077"/>
    <s v="12:03"/>
    <x v="193"/>
    <s v="expense"/>
    <s v="rc_cat_1781955063347_anhy_1781955063347_qnaz"/>
    <s v="rc_acc_1781955063348_w3gp"/>
    <x v="1"/>
    <s v="-"/>
    <m/>
    <s v="import"/>
    <s v=""/>
    <b v="0"/>
    <s v=""/>
  </r>
  <r>
    <s v="dcc8699a-1d49-4af7-9abb-398993fbf949"/>
    <x v="1078"/>
    <s v="10:48"/>
    <x v="867"/>
    <s v="expense"/>
    <s v="rc_cat_1781955063347_5qjb_1781955063347_tezk"/>
    <s v="rc_acc_1781955063347_0qmn"/>
    <x v="1"/>
    <s v="kai coffee"/>
    <m/>
    <s v="import"/>
    <s v=""/>
    <b v="0"/>
    <s v=""/>
  </r>
  <r>
    <s v="fefc67ad-ccdf-4ab3-9df5-fe709e74f80a"/>
    <x v="1079"/>
    <s v="10:47"/>
    <x v="1550"/>
    <s v="expense"/>
    <s v="rc_cat_1781955063347_5qjb_1781955063347_tezk"/>
    <s v="rc_acc_1781955063347_0qmn"/>
    <x v="1"/>
    <s v="bellinis"/>
    <m/>
    <s v="import"/>
    <s v=""/>
    <b v="0"/>
    <s v=""/>
  </r>
  <r>
    <s v="686465dc-887e-41d4-aaba-0a4a6db575b0"/>
    <x v="1079"/>
    <s v="11:40"/>
    <x v="1085"/>
    <s v="expense"/>
    <s v="rc_cat_1781955063347_5qjb_1781955063347_tezk"/>
    <s v="rc_acc_1781955063347_0qmn"/>
    <x v="1"/>
    <s v="mk grab"/>
    <m/>
    <s v="import"/>
    <s v=""/>
    <b v="0"/>
    <s v=""/>
  </r>
  <r>
    <s v="519f4aaf-5111-4a9e-ab9f-edd68510c1c8"/>
    <x v="1079"/>
    <s v="12:05"/>
    <x v="199"/>
    <s v="income"/>
    <s v="income_1781955063347_zblt"/>
    <s v="rc_acc_1781955063347_uxz4"/>
    <x v="1"/>
    <s v="-"/>
    <m/>
    <s v="import"/>
    <s v=""/>
    <b v="0"/>
    <s v=""/>
  </r>
  <r>
    <s v="a69cfb24-8e38-4385-8557-fb05ff28a70b"/>
    <x v="1079"/>
    <s v="13:20"/>
    <x v="182"/>
    <s v="expense"/>
    <s v="rc_cat_1781955063347_5qjb_1781955063347_irl1"/>
    <s v="rc_acc_1781955063347_e3zv"/>
    <x v="1"/>
    <s v="tips"/>
    <m/>
    <s v="import"/>
    <s v=""/>
    <b v="0"/>
    <s v=""/>
  </r>
  <r>
    <s v="18615997-e97c-4f45-8a4c-0bbd38611cdf"/>
    <x v="1080"/>
    <s v="10:47"/>
    <x v="1550"/>
    <s v="expense"/>
    <s v="rc_cat_1781955063347_5qjb_1781955063347_tezk"/>
    <s v="rc_acc_1781955063347_0qmn"/>
    <x v="1"/>
    <s v="-"/>
    <m/>
    <s v="import"/>
    <s v=""/>
    <b v="0"/>
    <s v=""/>
  </r>
  <r>
    <s v="787db7b2-00a3-4105-8991-369f4289d3fe"/>
    <x v="1080"/>
    <s v="14:50"/>
    <x v="926"/>
    <s v="expense"/>
    <s v="rc_cat_1781955063347_anhy_1781955063347_qnaz"/>
    <s v="rc_acc_1781955063347_uxz4"/>
    <x v="1"/>
    <s v="jade garden"/>
    <m/>
    <s v="import"/>
    <s v=""/>
    <b v="0"/>
    <s v=""/>
  </r>
  <r>
    <s v="0c81d7a5-997f-46c2-95be-d20289ec4875"/>
    <x v="1080"/>
    <s v="17:57"/>
    <x v="515"/>
    <s v="transfer"/>
    <s v="other"/>
    <s v="kbank"/>
    <x v="12"/>
    <s v="-"/>
    <m/>
    <s v="import"/>
    <s v=""/>
    <b v="0"/>
    <s v=""/>
  </r>
  <r>
    <s v="c4a2319f-0d50-4cb1-a772-ba35d36adf8d"/>
    <x v="1080"/>
    <s v="18:20"/>
    <x v="5"/>
    <s v="expense"/>
    <s v="rc_cat_1781955063347_anhy_1781955063347_qnaz"/>
    <s v="rc_acc_1781955063347_e3zv"/>
    <x v="1"/>
    <s v="-"/>
    <m/>
    <s v="import"/>
    <s v=""/>
    <b v="0"/>
    <s v=""/>
  </r>
  <r>
    <s v="285f8db0-26e3-4aed-b8d0-fd50c4f640e6"/>
    <x v="1081"/>
    <s v="12:51"/>
    <x v="1551"/>
    <s v="expense"/>
    <s v="rc_cat_1781955063347_5qjb_1781955063347_tezk"/>
    <s v="rc_acc_1781955063347_0qmn"/>
    <x v="1"/>
    <s v="ข้าว icon"/>
    <m/>
    <s v="import"/>
    <s v=""/>
    <b v="0"/>
    <s v=""/>
  </r>
  <r>
    <s v="8c5daf11-1753-4168-be0d-8f4dfc26d65f"/>
    <x v="1081"/>
    <s v="13:51"/>
    <x v="1552"/>
    <s v="expense"/>
    <s v="rc_cat_1781955063347_5qjb_1781955063347_irl1"/>
    <s v="rc_acc_1781955063347_0qmn"/>
    <x v="1"/>
    <s v="ปลั๊กไฟ"/>
    <m/>
    <s v="import"/>
    <s v=""/>
    <b v="0"/>
    <s v=""/>
  </r>
  <r>
    <s v="5bbea92d-80e6-473e-83f1-1d1829209e8b"/>
    <x v="1081"/>
    <s v="15:49"/>
    <x v="1553"/>
    <s v="expense"/>
    <s v="rc_cat_1781955063347_5qjb_1781955063347_tezk"/>
    <s v="rc_acc_1781955063347_0qmn"/>
    <x v="1"/>
    <s v="ของโลตัส"/>
    <m/>
    <s v="import"/>
    <s v=""/>
    <b v="0"/>
    <s v=""/>
  </r>
  <r>
    <s v="c416f89f-8e89-4cab-ae19-0646b1fc5467"/>
    <x v="1081"/>
    <s v="19:33"/>
    <x v="1554"/>
    <s v="expense"/>
    <s v="rc_cat_1781955063347_s4sz_1781955063347_deos"/>
    <s v="rc_acc_1781955063347_kjxt"/>
    <x v="1"/>
    <s v="aftershockz openmove"/>
    <m/>
    <s v="import"/>
    <s v=""/>
    <b v="0"/>
    <s v=""/>
  </r>
  <r>
    <s v="a33bda5e-e778-424f-b537-ecb3a9932b57"/>
    <x v="1081"/>
    <s v="19:47"/>
    <x v="1555"/>
    <s v="transfer"/>
    <s v="other"/>
    <s v="rc_acc_1781955063347_uxz4"/>
    <x v="14"/>
    <s v="-"/>
    <m/>
    <s v="import"/>
    <s v=""/>
    <b v="0"/>
    <s v=""/>
  </r>
  <r>
    <s v="fda8e879-7289-4745-be16-b93ebed1d1a1"/>
    <x v="1081"/>
    <s v="23:56"/>
    <x v="1171"/>
    <s v="expense"/>
    <s v="other_1781955063347_5s7r"/>
    <s v="rc_acc_1781955063347_0qmn"/>
    <x v="1"/>
    <s v="Difference"/>
    <m/>
    <s v="import"/>
    <s v=""/>
    <b v="0"/>
    <s v=""/>
  </r>
  <r>
    <s v="30acc3e4-0fb7-4bde-9e82-583f6566fce3"/>
    <x v="1082"/>
    <s v="22:00"/>
    <x v="22"/>
    <s v="expense"/>
    <s v="rc_cat_1781955063347_5qjb_1781955063347_tezk"/>
    <s v="rc_acc_1781955063347_0qmn"/>
    <x v="1"/>
    <s v="กระทะลั่น แถวคอนโด"/>
    <m/>
    <s v="import"/>
    <s v=""/>
    <b v="0"/>
    <s v=""/>
  </r>
  <r>
    <s v="c4f605de-b039-4c8d-9c7b-8e7df60d1bd5"/>
    <x v="1082"/>
    <s v="22:00"/>
    <x v="74"/>
    <s v="expense"/>
    <s v="rc_cat_1781955063347_5qjb_1781955063347_tezk"/>
    <s v="rc_acc_1781955063347_0qmn"/>
    <x v="1"/>
    <s v="ชา manoi"/>
    <m/>
    <s v="import"/>
    <s v=""/>
    <b v="0"/>
    <s v=""/>
  </r>
  <r>
    <s v="c34c9854-2e43-4269-81bc-ecedd93d1e33"/>
    <x v="1083"/>
    <s v="00:00"/>
    <x v="128"/>
    <s v="transfer"/>
    <s v="other"/>
    <s v="rc_acc_1781955063347_uxz4"/>
    <x v="21"/>
    <s v="-"/>
    <m/>
    <s v="import"/>
    <s v=""/>
    <b v="0"/>
    <s v=""/>
  </r>
  <r>
    <s v="8ec8c722-201f-46c3-90ed-b24160f95347"/>
    <x v="1083"/>
    <s v="00:00"/>
    <x v="1415"/>
    <s v="transfer"/>
    <s v="other"/>
    <s v="rc_acc_1781955063347_uxz4"/>
    <x v="20"/>
    <s v="-"/>
    <m/>
    <s v="import"/>
    <s v=""/>
    <b v="0"/>
    <s v=""/>
  </r>
  <r>
    <s v="54273499-14e1-4346-b3e2-0c55b01aed69"/>
    <x v="1083"/>
    <s v="00:00"/>
    <x v="31"/>
    <s v="transfer"/>
    <s v="other"/>
    <s v="rc_acc_1781955063347_uxz4"/>
    <x v="7"/>
    <s v="-"/>
    <m/>
    <s v="import"/>
    <s v=""/>
    <b v="0"/>
    <s v=""/>
  </r>
  <r>
    <s v="ef5e8add-6aa0-41bb-9889-c6885747867b"/>
    <x v="1083"/>
    <s v="00:00"/>
    <x v="1390"/>
    <s v="transfer"/>
    <s v="other"/>
    <s v="rc_acc_1781955063347_uxz4"/>
    <x v="8"/>
    <s v="-"/>
    <m/>
    <s v="import"/>
    <s v=""/>
    <b v="0"/>
    <s v=""/>
  </r>
  <r>
    <s v="54d41f40-3f54-4ec0-ba08-e26d20ebfbaa"/>
    <x v="1083"/>
    <s v="00:00"/>
    <x v="1391"/>
    <s v="income"/>
    <s v="income_1781955063347_5zxt"/>
    <s v="rc_acc_1781955063347_uxz4"/>
    <x v="1"/>
    <s v="-"/>
    <m/>
    <s v="import"/>
    <s v=""/>
    <b v="0"/>
    <s v=""/>
  </r>
  <r>
    <s v="533a7a8c-777a-45ff-a96f-677ba682a7a7"/>
    <x v="1083"/>
    <s v="00:00"/>
    <x v="1417"/>
    <s v="expense"/>
    <s v="rc_cat_1781955063347_04qb_1781955063347_lu9b"/>
    <s v="rc_acc_1781955063347_uxz4"/>
    <x v="1"/>
    <s v="-"/>
    <m/>
    <s v="import"/>
    <s v=""/>
    <b v="0"/>
    <s v=""/>
  </r>
  <r>
    <s v="8f195092-1820-4f8d-b48f-278b5f9b743d"/>
    <x v="1083"/>
    <s v="00:00"/>
    <x v="1416"/>
    <s v="expense"/>
    <s v="rc_cat_1781955063347_04qb_1781955063347_kgnn"/>
    <s v="rc_acc_1781955063347_uxz4"/>
    <x v="1"/>
    <s v="-"/>
    <m/>
    <s v="import"/>
    <s v=""/>
    <b v="0"/>
    <s v=""/>
  </r>
  <r>
    <s v="33291b7c-6ab6-49ee-b7b2-070f6dc40ef8"/>
    <x v="1083"/>
    <s v="00:30"/>
    <x v="1556"/>
    <s v="income"/>
    <s v="income_1781955063347_zblt"/>
    <s v="rc_acc_1781955063347_uxz4"/>
    <x v="1"/>
    <s v="vp"/>
    <m/>
    <s v="import"/>
    <s v=""/>
    <b v="0"/>
    <s v=""/>
  </r>
  <r>
    <s v="31c556bc-911c-428f-b2a6-659445d5226b"/>
    <x v="1083"/>
    <s v="08:33"/>
    <x v="1550"/>
    <s v="expense"/>
    <s v="rc_cat_1781955063347_5qjb_1781955063347_tezk"/>
    <s v="rc_acc_1781955063347_0qmn"/>
    <x v="1"/>
    <s v="bellini rbh"/>
    <m/>
    <s v="import"/>
    <s v=""/>
    <b v="0"/>
    <s v=""/>
  </r>
  <r>
    <s v="0d2709d6-64f7-4c2c-a879-a5d382bba0ee"/>
    <x v="1083"/>
    <s v="12:28"/>
    <x v="1499"/>
    <s v="expense"/>
    <s v="rc_cat_1781955063347_5qjb_1781955063347_tezk"/>
    <s v="rc_acc_1781955063347_0qmn"/>
    <x v="1"/>
    <s v="katsuya grab"/>
    <m/>
    <s v="import"/>
    <s v=""/>
    <b v="0"/>
    <s v=""/>
  </r>
  <r>
    <s v="5c4158c4-e508-4262-8c4c-ec4d59fa0d3b"/>
    <x v="1083"/>
    <s v="17:26"/>
    <x v="1008"/>
    <s v="expense"/>
    <s v="rc_cat_1781955063347_5qjb_1781955063347_tezk"/>
    <s v="rc_acc_1781955063347_0qmn"/>
    <x v="1"/>
    <s v="ครัวคุณยาย grsb"/>
    <m/>
    <s v="import"/>
    <s v=""/>
    <b v="0"/>
    <s v=""/>
  </r>
  <r>
    <s v="029831bb-9011-473d-ae3e-27ba16256e54"/>
    <x v="1083"/>
    <s v="19:08"/>
    <x v="1557"/>
    <s v="expense"/>
    <s v="entertain_1781955063348_gj0i"/>
    <s v="rc_acc_1781955063347_uxz4"/>
    <x v="1"/>
    <s v="-"/>
    <m/>
    <s v="import"/>
    <s v=""/>
    <b v="0"/>
    <s v=""/>
  </r>
  <r>
    <s v="cd6ddc3c-a08a-4167-b512-038e0cf6a409"/>
    <x v="1084"/>
    <s v="08:20"/>
    <x v="1558"/>
    <s v="expense"/>
    <s v="rc_cat_1781955063347_5qjb_1781955063347_tezk"/>
    <s v="rc_acc_1781955063347_0qmn"/>
    <x v="1"/>
    <s v="annie passtries rbh"/>
    <m/>
    <s v="import"/>
    <s v=""/>
    <b v="0"/>
    <s v=""/>
  </r>
  <r>
    <s v="77abc370-27d0-4c2f-b996-cd1236b3062e"/>
    <x v="1084"/>
    <s v="11:27"/>
    <x v="1153"/>
    <s v="expense"/>
    <s v="rc_cat_1781955063347_5qjb_1781955063347_tezk"/>
    <s v="rc_acc_1781955063347_0qmn"/>
    <x v="1"/>
    <s v="ข้าวหมูแดงวังบูรพา Grab"/>
    <m/>
    <s v="import"/>
    <s v=""/>
    <b v="0"/>
    <s v=""/>
  </r>
  <r>
    <s v="047c61f7-1e4f-4d8c-9e34-f929a75cd463"/>
    <x v="1084"/>
    <s v="17:21"/>
    <x v="806"/>
    <s v="expense"/>
    <s v="rc_cat_1781955063347_5qjb_1781955063347_tezk"/>
    <s v="rc_acc_1781955063347_0qmn"/>
    <x v="1"/>
    <s v="ครัวลาดหญ้า RBH"/>
    <m/>
    <s v="import"/>
    <s v=""/>
    <b v="0"/>
    <s v=""/>
  </r>
  <r>
    <s v="c0d55fa8-14ad-4cd2-8860-e54df29baa37"/>
    <x v="1085"/>
    <s v="12:32"/>
    <x v="1559"/>
    <s v="expense"/>
    <s v="rc_cat_1781955063347_5qjb_1781955063347_tezk"/>
    <s v="rc_acc_1781955063347_0qmn"/>
    <x v="1"/>
    <s v="hknoodle"/>
    <m/>
    <s v="import"/>
    <s v=""/>
    <b v="0"/>
    <s v=""/>
  </r>
  <r>
    <s v="6a367763-71f5-4180-b64a-0e159264b43e"/>
    <x v="1085"/>
    <s v="19:30"/>
    <x v="798"/>
    <s v="expense"/>
    <s v="rc_cat_1781955063347_5qjb_1781955063347_tezk"/>
    <s v="rc_acc_1781955063347_0qmn"/>
    <x v="1"/>
    <s v="หวานลิ้น"/>
    <m/>
    <s v="import"/>
    <s v=""/>
    <b v="0"/>
    <s v=""/>
  </r>
  <r>
    <s v="1690ad18-47d9-4e3e-863f-85a4563ce21e"/>
    <x v="1085"/>
    <s v="19:30"/>
    <x v="199"/>
    <s v="income"/>
    <s v="income_1781955063347_zblt"/>
    <s v="rc_acc_1781955063347_uxz4"/>
    <x v="1"/>
    <s v="-"/>
    <m/>
    <s v="import"/>
    <s v=""/>
    <b v="0"/>
    <s v=""/>
  </r>
  <r>
    <s v="efbce3df-e156-481c-9c90-d62751115628"/>
    <x v="1086"/>
    <s v="09:53"/>
    <x v="1034"/>
    <s v="expense"/>
    <s v="rc_cat_1781955063347_5qjb_1781955063347_tezk"/>
    <s v="rc_acc_1781955063347_uxz4"/>
    <x v="1"/>
    <s v="rbh ชงสุข"/>
    <m/>
    <s v="import"/>
    <s v=""/>
    <b v="0"/>
    <s v=""/>
  </r>
  <r>
    <s v="21e83b5e-0750-4e51-8a28-f2db84b10979"/>
    <x v="1086"/>
    <s v="12:01"/>
    <x v="1560"/>
    <s v="expense"/>
    <s v="rc_cat_1781955063347_5qjb_1781955063347_tezk"/>
    <s v="rc_acc_1781955063347_0qmn"/>
    <x v="1"/>
    <s v="นายอ้วน"/>
    <m/>
    <s v="import"/>
    <s v=""/>
    <b v="0"/>
    <s v=""/>
  </r>
  <r>
    <s v="d216abae-f68e-4598-a5f2-d7288cf68837"/>
    <x v="1086"/>
    <s v="14:29"/>
    <x v="1561"/>
    <s v="expense"/>
    <s v="other_1781955063348_27zj"/>
    <s v="rc_acc_1781955063347_omhz"/>
    <x v="1"/>
    <s v="-"/>
    <m/>
    <s v="import"/>
    <s v=""/>
    <b v="0"/>
    <s v=""/>
  </r>
  <r>
    <s v="ee891153-a2d1-4706-8bb1-235b2685cdf3"/>
    <x v="1086"/>
    <s v="14:50"/>
    <x v="19"/>
    <s v="transfer"/>
    <s v="other"/>
    <s v="rc_acc_1781955063347_uxz4"/>
    <x v="16"/>
    <s v="-"/>
    <m/>
    <s v="import"/>
    <s v=""/>
    <b v="0"/>
    <s v=""/>
  </r>
  <r>
    <s v="52fb4610-f54b-4a25-82eb-a0771891626d"/>
    <x v="1086"/>
    <s v="18:02"/>
    <x v="866"/>
    <s v="expense"/>
    <s v="rc_cat_1781955063347_5qjb_1781955063347_tezk"/>
    <s v="rc_acc_1781955063347_0qmn"/>
    <x v="1"/>
    <s v="summers"/>
    <m/>
    <s v="import"/>
    <s v=""/>
    <b v="0"/>
    <s v=""/>
  </r>
  <r>
    <s v="90d9b8b9-1b34-43f7-8be4-fcda188b220a"/>
    <x v="1086"/>
    <s v="18:03"/>
    <x v="199"/>
    <s v="income"/>
    <s v="income_1781955063347_zblt"/>
    <s v="rc_acc_1781955063347_uxz4"/>
    <x v="1"/>
    <s v="-"/>
    <m/>
    <s v="import"/>
    <s v=""/>
    <b v="0"/>
    <s v=""/>
  </r>
  <r>
    <s v="6d0406db-2077-4b80-9f6e-9a97ce6d6b92"/>
    <x v="1087"/>
    <s v="08:38"/>
    <x v="175"/>
    <s v="expense"/>
    <s v="rc_cat_1781955063347_5qjb_1781955063347_tezk"/>
    <s v="rc_acc_1781955063348_w3gp"/>
    <x v="1"/>
    <s v="-"/>
    <m/>
    <s v="import"/>
    <s v=""/>
    <b v="0"/>
    <s v=""/>
  </r>
  <r>
    <s v="2d35f201-41ec-4644-ba94-47f2a069a647"/>
    <x v="1087"/>
    <s v="08:38"/>
    <x v="616"/>
    <s v="expense"/>
    <s v="rc_cat_1781955063347_5qjb_1781955063347_tezk"/>
    <s v="rc_acc_1781955063347_uxz4"/>
    <x v="1"/>
    <s v="auntie ant"/>
    <m/>
    <s v="import"/>
    <s v=""/>
    <b v="0"/>
    <s v=""/>
  </r>
  <r>
    <s v="20c59574-3a2d-4b1e-adb7-085e164f8518"/>
    <x v="1087"/>
    <s v="12:47"/>
    <x v="150"/>
    <s v="expense"/>
    <s v="rc_cat_1781955063347_5qjb_1781955063347_tezk"/>
    <s v="rc_acc_1781955063348_w3gp"/>
    <x v="1"/>
    <s v="-"/>
    <m/>
    <s v="import"/>
    <s v=""/>
    <b v="0"/>
    <s v=""/>
  </r>
  <r>
    <s v="47d58445-a154-4e52-ad48-02951e65c6ae"/>
    <x v="1087"/>
    <s v="14:18"/>
    <x v="464"/>
    <s v="expense"/>
    <s v="rc_cat_1781955063347_5qjb_1781955063347_tezk"/>
    <s v="rc_acc_1781955063347_kjxt"/>
    <x v="1"/>
    <s v="-"/>
    <m/>
    <s v="import"/>
    <s v=""/>
    <b v="0"/>
    <s v=""/>
  </r>
  <r>
    <s v="1f993b3c-c18b-4efb-ab13-94166ef33c5c"/>
    <x v="1088"/>
    <s v="12:43"/>
    <x v="169"/>
    <s v="transfer"/>
    <s v="other"/>
    <s v="rc_acc_1781955063347_omhz"/>
    <x v="5"/>
    <s v="-"/>
    <m/>
    <s v="import"/>
    <s v=""/>
    <b v="0"/>
    <s v=""/>
  </r>
  <r>
    <s v="f1454a99-c8e2-4ed7-8292-93da03d75a17"/>
    <x v="1088"/>
    <s v="12:43"/>
    <x v="169"/>
    <s v="expense"/>
    <s v="rc_cat_1781955063347_5qjb_1781955063347_tezk"/>
    <s v="rc_acc_1781955063347_0qmn"/>
    <x v="1"/>
    <s v="ชาตรามือ"/>
    <m/>
    <s v="import"/>
    <s v=""/>
    <b v="0"/>
    <s v=""/>
  </r>
  <r>
    <s v="fedfafc5-739c-46c4-a0c4-06b185ba09be"/>
    <x v="1088"/>
    <s v="13:55"/>
    <x v="22"/>
    <s v="expense"/>
    <s v="rc_cat_1781955063347_5qjb_1781955063347_tezk"/>
    <s v="rc_acc_1781955063347_0qmn"/>
    <x v="1"/>
    <s v="Mister dougnut"/>
    <m/>
    <s v="import"/>
    <s v=""/>
    <b v="0"/>
    <s v=""/>
  </r>
  <r>
    <s v="90e0cf25-0770-4190-bfb7-32b4c0ec5751"/>
    <x v="1088"/>
    <s v="17:46"/>
    <x v="536"/>
    <s v="transfer"/>
    <s v="other"/>
    <s v="rc_acc_1781955063347_uxz4"/>
    <x v="22"/>
    <s v="advpay"/>
    <m/>
    <s v="import"/>
    <s v=""/>
    <b v="0"/>
    <s v=""/>
  </r>
  <r>
    <s v="459c35e1-6dd3-4941-a1e7-6df236a6b36b"/>
    <x v="1088"/>
    <s v="17:57"/>
    <x v="1562"/>
    <s v="expense"/>
    <s v="rc_cat_1781955063347_5qjb_1781955063347_tezk"/>
    <s v="rc_acc_1781955063347_0qmn"/>
    <x v="1"/>
    <s v="lotus 21 aug"/>
    <m/>
    <s v="import"/>
    <s v=""/>
    <b v="0"/>
    <s v=""/>
  </r>
  <r>
    <s v="f9d677ef-e1c8-404a-a825-e800eefa394e"/>
    <x v="1088"/>
    <s v="18:56"/>
    <x v="1496"/>
    <s v="transfer"/>
    <s v="other"/>
    <s v="rc_acc_1781955063347_uxz4"/>
    <x v="31"/>
    <s v="sb build in"/>
    <m/>
    <s v="import"/>
    <s v=""/>
    <b v="0"/>
    <s v=""/>
  </r>
  <r>
    <s v="ee76dc9c-7ac1-4910-a102-146d88d8bbdb"/>
    <x v="1088"/>
    <s v="19:01"/>
    <x v="5"/>
    <s v="transfer"/>
    <s v="other"/>
    <s v="rc_acc_1781955063347_uxz4"/>
    <x v="25"/>
    <s v="additional"/>
    <m/>
    <s v="import"/>
    <s v=""/>
    <b v="0"/>
    <s v=""/>
  </r>
  <r>
    <s v="a3187e72-26b2-41bc-91ab-cc6cdc0ee3c5"/>
    <x v="1088"/>
    <s v="19:24"/>
    <x v="1303"/>
    <s v="transfer"/>
    <s v="other"/>
    <s v="rc_acc_1781955063347_pixu"/>
    <x v="6"/>
    <s v="-"/>
    <m/>
    <s v="import"/>
    <s v=""/>
    <b v="0"/>
    <s v=""/>
  </r>
  <r>
    <s v="a446d33e-6803-4d71-97af-a9cf4439ed1f"/>
    <x v="1088"/>
    <s v="19:29"/>
    <x v="1293"/>
    <s v="transfer"/>
    <s v="other"/>
    <s v="rc_acc_1781955063347_pixu"/>
    <x v="5"/>
    <s v="-"/>
    <m/>
    <s v="import"/>
    <s v=""/>
    <b v="0"/>
    <s v=""/>
  </r>
  <r>
    <s v="d5d13ecd-4e56-4120-8784-fcf5f51bc90c"/>
    <x v="1088"/>
    <s v="19:29"/>
    <x v="199"/>
    <s v="income"/>
    <s v="income_1781955063347_zblt"/>
    <s v="rc_acc_1781955063347_uxz4"/>
    <x v="1"/>
    <s v="-"/>
    <m/>
    <s v="import"/>
    <s v=""/>
    <b v="0"/>
    <s v=""/>
  </r>
  <r>
    <s v="b2ed2e07-128c-40dd-8788-6a5742719e5b"/>
    <x v="1088"/>
    <s v="20:01"/>
    <x v="1563"/>
    <s v="expense"/>
    <s v="rc_cat_1781955063347_5qjb_1781955063348_laj8"/>
    <s v="rc_acc_1781955063347_uxz4"/>
    <x v="1"/>
    <s v="-"/>
    <m/>
    <s v="import"/>
    <s v=""/>
    <b v="0"/>
    <s v=""/>
  </r>
  <r>
    <s v="5b244104-ec26-4153-8589-98edadc32049"/>
    <x v="1088"/>
    <s v="20:20"/>
    <x v="536"/>
    <s v="transfer"/>
    <s v="other"/>
    <s v="rc_acc_1781955063348_xd87"/>
    <x v="5"/>
    <s v="hong payback"/>
    <m/>
    <s v="import"/>
    <s v=""/>
    <b v="0"/>
    <s v=""/>
  </r>
  <r>
    <s v="24455a2b-7b5a-431e-a10a-6f8be158b6f7"/>
    <x v="1088"/>
    <s v="20:27"/>
    <x v="5"/>
    <s v="income"/>
    <s v="income_1781955063347_zblt"/>
    <s v="rc_acc_1781955063347_0qmn"/>
    <x v="1"/>
    <s v="หงโอน"/>
    <m/>
    <s v="import"/>
    <s v=""/>
    <b v="0"/>
    <s v=""/>
  </r>
  <r>
    <s v="e46cd20b-37ad-4880-9d7d-bef74cda7f05"/>
    <x v="1088"/>
    <s v="20:28"/>
    <x v="184"/>
    <s v="expense"/>
    <s v="rc_cat_1781955063347_5qjb_1781955063348_laj8"/>
    <s v="rc_acc_1781955063347_0qmn"/>
    <x v="1"/>
    <s v="ค่าเนต กค"/>
    <m/>
    <s v="import"/>
    <s v=""/>
    <b v="0"/>
    <s v=""/>
  </r>
  <r>
    <s v="f3fcd4d0-661f-4315-814d-ef9d8d1dad38"/>
    <x v="1088"/>
    <s v="20:28"/>
    <x v="1564"/>
    <s v="expense"/>
    <s v="rc_cat_1781955063347_5qjb_1781955063347_irl1"/>
    <s v="rc_acc_1781955063347_0qmn"/>
    <x v="1"/>
    <s v="ของจุกจิก shopee"/>
    <m/>
    <s v="import"/>
    <s v=""/>
    <b v="0"/>
    <s v=""/>
  </r>
  <r>
    <s v="5957b326-d875-4e20-bf5d-67c63068006d"/>
    <x v="1088"/>
    <s v="22:17"/>
    <x v="1565"/>
    <s v="income"/>
    <s v="other_1781955063348_27zj"/>
    <s v="rc_acc_1781955063347_uxz4"/>
    <x v="1"/>
    <s v="-"/>
    <m/>
    <s v="import"/>
    <s v=""/>
    <b v="0"/>
    <s v=""/>
  </r>
  <r>
    <s v="895ad301-16a7-4168-a5d5-533859619293"/>
    <x v="1089"/>
    <s v="12:23"/>
    <x v="1566"/>
    <s v="expense"/>
    <s v="rc_cat_1781955063347_5qjb_1781955063347_tezk"/>
    <s v="rc_acc_1781955063347_0qmn"/>
    <x v="1"/>
    <s v="บะหมี่ปู"/>
    <m/>
    <s v="import"/>
    <s v=""/>
    <b v="0"/>
    <s v=""/>
  </r>
  <r>
    <s v="5cd82016-9376-49e8-9bfc-3306dece4695"/>
    <x v="1089"/>
    <s v="13:11"/>
    <x v="1496"/>
    <s v="expense"/>
    <s v="rc_cat_1781955063347_5qjb_1781955063347_irl1"/>
    <s v="rc_acc_1781955063347_sv7p"/>
    <x v="1"/>
    <s v="sb build in(2/4)"/>
    <m/>
    <s v="import"/>
    <s v=""/>
    <b v="0"/>
    <s v=""/>
  </r>
  <r>
    <s v="f27e9d1e-828c-47ef-b7e1-b27484b7bb0d"/>
    <x v="1090"/>
    <s v="08:51"/>
    <x v="1567"/>
    <s v="expense"/>
    <s v="rc_cat_1781955063347_5qjb_1781955063347_tezk"/>
    <s v="rc_acc_1781955063347_0qmn"/>
    <x v="1"/>
    <s v="RBH bellini"/>
    <m/>
    <s v="import"/>
    <s v=""/>
    <b v="0"/>
    <s v=""/>
  </r>
  <r>
    <s v="c6361a76-c68f-49f3-8a43-c05c7e21c87d"/>
    <x v="1090"/>
    <s v="12:22"/>
    <x v="1568"/>
    <s v="expense"/>
    <s v="rc_cat_1781955063347_5qjb_1781955063347_tezk"/>
    <s v="rc_acc_1781955063347_0qmn"/>
    <x v="1"/>
    <s v="pepper lunch"/>
    <m/>
    <s v="import"/>
    <s v=""/>
    <b v="0"/>
    <s v=""/>
  </r>
  <r>
    <s v="8fc691db-da4d-4413-ad8e-413589ad4d30"/>
    <x v="1090"/>
    <s v="17:22"/>
    <x v="1569"/>
    <s v="expense"/>
    <s v="rc_cat_1781955063347_5qjb_1781955063347_tezk"/>
    <s v="rc_acc_1781955063347_0qmn"/>
    <x v="1"/>
    <s v="don aki"/>
    <m/>
    <s v="import"/>
    <s v=""/>
    <b v="0"/>
    <s v=""/>
  </r>
  <r>
    <s v="8a7acf26-54a6-4ff0-9237-6288f2fd2b20"/>
    <x v="1090"/>
    <s v="19:21"/>
    <x v="22"/>
    <s v="income"/>
    <s v="income_1781955063347_zblt"/>
    <s v="rc_acc_1781955063347_uxz4"/>
    <x v="1"/>
    <s v="-"/>
    <m/>
    <s v="import"/>
    <s v=""/>
    <b v="0"/>
    <s v=""/>
  </r>
  <r>
    <s v="5e1341fb-845b-4671-88ae-2b559d386d58"/>
    <x v="1091"/>
    <s v="11:17"/>
    <x v="683"/>
    <s v="expense"/>
    <s v="rc_cat_1781955063347_5qjb_1781955063347_tezk"/>
    <s v="rc_acc_1781955063347_0qmn"/>
    <x v="1"/>
    <s v="ข้าวมันไก่เฉิงกง"/>
    <m/>
    <s v="import"/>
    <s v=""/>
    <b v="0"/>
    <s v=""/>
  </r>
  <r>
    <s v="06b70bd9-8ad3-4c3f-acd3-2cad07e1b57f"/>
    <x v="1091"/>
    <s v="11:18"/>
    <x v="199"/>
    <s v="income"/>
    <s v="income_1781955063347_zblt"/>
    <s v="rc_acc_1781955063347_uxz4"/>
    <x v="1"/>
    <s v="-"/>
    <m/>
    <s v="import"/>
    <s v=""/>
    <b v="0"/>
    <s v=""/>
  </r>
  <r>
    <s v="f7d1c244-74ae-405c-87fd-66f966a0ae73"/>
    <x v="1091"/>
    <s v="17:44"/>
    <x v="1570"/>
    <s v="expense"/>
    <s v="other_1781955063348_yjhe"/>
    <s v="rc_acc_1781955063347_uxz4"/>
    <x v="1"/>
    <s v="keycron"/>
    <m/>
    <s v="import"/>
    <s v=""/>
    <b v="0"/>
    <s v=""/>
  </r>
  <r>
    <s v="1270a42b-4b7f-45f6-abff-bf97565987f7"/>
    <x v="1091"/>
    <s v="19:10"/>
    <x v="22"/>
    <s v="expense"/>
    <s v="rc_cat_1781955063347_5qjb_1781955063347_tezk"/>
    <s v="rc_acc_1781955063347_0qmn"/>
    <x v="1"/>
    <s v="เจ๊วรรณ"/>
    <m/>
    <s v="import"/>
    <s v=""/>
    <b v="0"/>
    <s v=""/>
  </r>
  <r>
    <s v="fd4ec43c-9d15-4cb4-8482-e634bd845d4b"/>
    <x v="1091"/>
    <s v="20:29"/>
    <x v="1571"/>
    <s v="expense"/>
    <s v="rc_cat_1781955063347_5qjb_1781955063347_tezk"/>
    <s v="rc_acc_1781955063347_0qmn"/>
    <x v="1"/>
    <s v="711"/>
    <m/>
    <s v="import"/>
    <s v=""/>
    <b v="0"/>
    <s v=""/>
  </r>
  <r>
    <s v="2dbed55e-32e4-4589-b5fa-433645eedb35"/>
    <x v="1092"/>
    <s v="08:50"/>
    <x v="1572"/>
    <s v="expense"/>
    <s v="rc_cat_1781955063347_5qjb_1781955063347_tezk"/>
    <s v="rc_acc_1781955063347_0qmn"/>
    <x v="1"/>
    <s v="bellini"/>
    <m/>
    <s v="import"/>
    <s v=""/>
    <b v="0"/>
    <s v=""/>
  </r>
  <r>
    <s v="bdbbf9ae-fc7c-48c6-8d6c-3924beb3603c"/>
    <x v="1092"/>
    <s v="11:31"/>
    <x v="1571"/>
    <s v="expense"/>
    <s v="rc_cat_1781955063347_5qjb_1781955063347_tezk"/>
    <s v="rc_acc_1781955063348_w3gp"/>
    <x v="1"/>
    <s v="-"/>
    <m/>
    <s v="import"/>
    <s v=""/>
    <b v="0"/>
    <s v=""/>
  </r>
  <r>
    <s v="69de7135-c19c-48bf-8fe4-f0bf40d3a44f"/>
    <x v="1092"/>
    <s v="19:15"/>
    <x v="199"/>
    <s v="income"/>
    <s v="income_1781955063347_zblt"/>
    <s v="rc_acc_1781955063347_uxz4"/>
    <x v="1"/>
    <s v="-"/>
    <m/>
    <s v="import"/>
    <s v=""/>
    <b v="0"/>
    <s v=""/>
  </r>
  <r>
    <s v="0b0c88b2-1760-486a-a30d-129f0e8037e4"/>
    <x v="1092"/>
    <s v="19:15"/>
    <x v="1444"/>
    <s v="expense"/>
    <s v="rc_cat_1781955063347_5qjb_1781955063347_tezk"/>
    <s v="rc_acc_1781955063347_0qmn"/>
    <x v="1"/>
    <s v="ตามสั่งประตูผี"/>
    <m/>
    <s v="import"/>
    <s v=""/>
    <b v="0"/>
    <s v=""/>
  </r>
  <r>
    <s v="c7204b19-880e-4234-88a1-40cdb1e25a5a"/>
    <x v="1093"/>
    <s v="16:47"/>
    <x v="1559"/>
    <s v="expense"/>
    <s v="rc_cat_1781955063347_5qjb_1781955063347_tezk"/>
    <s v="rc_acc_1781955063347_0qmn"/>
    <x v="1"/>
    <s v="RBH มนต์นมสด"/>
    <m/>
    <s v="import"/>
    <s v=""/>
    <b v="0"/>
    <s v=""/>
  </r>
  <r>
    <s v="275e80c3-a02d-48a1-a789-26e31247e125"/>
    <x v="1093"/>
    <s v="17:25"/>
    <x v="769"/>
    <s v="expense"/>
    <s v="rc_cat_1781955063347_5qjb_1781955063347_tezk"/>
    <s v="rc_acc_1781955063347_0qmn"/>
    <x v="1"/>
    <s v="RBH ครัวลาดหญ้า"/>
    <m/>
    <s v="import"/>
    <s v=""/>
    <b v="0"/>
    <s v=""/>
  </r>
  <r>
    <s v="2a8a6cca-cbfc-4f15-a369-ccee02bbaad5"/>
    <x v="1093"/>
    <s v="18:00"/>
    <x v="1573"/>
    <s v="transfer"/>
    <s v="other"/>
    <s v="rc_acc_1781955063347_pixu"/>
    <x v="5"/>
    <s v="-"/>
    <m/>
    <s v="import"/>
    <s v=""/>
    <b v="0"/>
    <s v=""/>
  </r>
  <r>
    <s v="a3f55fdf-d36d-438b-9b82-66f3780a5e5f"/>
    <x v="1093"/>
    <s v="18:00"/>
    <x v="199"/>
    <s v="income"/>
    <s v="income_1781955063347_zblt"/>
    <s v="rc_acc_1781955063347_uxz4"/>
    <x v="1"/>
    <s v="-"/>
    <m/>
    <s v="import"/>
    <s v=""/>
    <b v="0"/>
    <s v=""/>
  </r>
  <r>
    <s v="3f5bf5a7-aa60-4084-adda-d0e2bee1c7dd"/>
    <x v="1093"/>
    <s v="19:06"/>
    <x v="352"/>
    <s v="expense"/>
    <s v="rc_cat_1781955063347_5qjb_1781955063347_tezk"/>
    <s v="rc_acc_1781955063347_0qmn"/>
    <x v="1"/>
    <s v="อองตองข้าวซอย"/>
    <m/>
    <s v="import"/>
    <s v=""/>
    <b v="0"/>
    <s v=""/>
  </r>
  <r>
    <s v="c43fac7a-4d1b-4da5-b39d-80a781ecb1c0"/>
    <x v="1094"/>
    <s v="14:31"/>
    <x v="169"/>
    <s v="expense"/>
    <s v="rc_cat_1781955063347_5qjb_1781955063347_tezk"/>
    <s v="rc_acc_1781955063347_0qmn"/>
    <x v="1"/>
    <s v="inthanin"/>
    <m/>
    <s v="import"/>
    <s v=""/>
    <b v="0"/>
    <s v=""/>
  </r>
  <r>
    <s v="3a4041c0-4f2f-4261-ba83-e6994b48d64a"/>
    <x v="1094"/>
    <s v="14:31"/>
    <x v="169"/>
    <s v="transfer"/>
    <s v="other"/>
    <s v="rc_acc_1781955063347_e3zv"/>
    <x v="5"/>
    <s v="-"/>
    <m/>
    <s v="import"/>
    <s v=""/>
    <b v="0"/>
    <s v=""/>
  </r>
  <r>
    <s v="034c2656-9d99-4f15-8ff7-dd3f34b1caf7"/>
    <x v="1094"/>
    <s v="20:07"/>
    <x v="1574"/>
    <s v="expense"/>
    <s v="entertain_1781955063348_gj0i"/>
    <s v="rc_acc_1781955063347_omhz"/>
    <x v="1"/>
    <s v="-"/>
    <m/>
    <s v="import"/>
    <s v=""/>
    <b v="0"/>
    <s v=""/>
  </r>
  <r>
    <s v="aca9ff7d-4202-4457-818a-1ba2f4a204a8"/>
    <x v="1094"/>
    <s v="20:08"/>
    <x v="1564"/>
    <s v="transfer"/>
    <s v="other"/>
    <s v="rc_acc_1781955063347_omhz"/>
    <x v="5"/>
    <s v="-"/>
    <m/>
    <s v="import"/>
    <s v=""/>
    <b v="0"/>
    <s v=""/>
  </r>
  <r>
    <s v="96c2c1c3-eb56-4a4f-9613-4142d709a917"/>
    <x v="1094"/>
    <s v="21:33"/>
    <x v="19"/>
    <s v="transfer"/>
    <s v="other"/>
    <s v="rc_acc_1781955063347_uxz4"/>
    <x v="16"/>
    <s v="-"/>
    <m/>
    <s v="import"/>
    <s v=""/>
    <b v="0"/>
    <s v=""/>
  </r>
  <r>
    <s v="062dc411-85ff-4c27-9a4f-fe52eb9b28be"/>
    <x v="1095"/>
    <s v="00:00"/>
    <x v="387"/>
    <s v="expense"/>
    <s v="rc_cat_1781955063347_5qjb_1781955063348_laj8"/>
    <s v="rc_acc_1781955063348_w3gp"/>
    <x v="1"/>
    <s v="-"/>
    <m/>
    <s v="import"/>
    <s v=""/>
    <b v="0"/>
    <s v=""/>
  </r>
  <r>
    <s v="f13f0adc-7afe-44c5-8ce8-b006f4cf542b"/>
    <x v="1095"/>
    <s v="09:59"/>
    <x v="1575"/>
    <s v="expense"/>
    <s v="rc_cat_1781955063347_5qjb_1781955063347_tezk"/>
    <s v="rc_acc_1781955063347_0qmn"/>
    <x v="1"/>
    <s v="RBH bellini"/>
    <m/>
    <s v="import"/>
    <s v=""/>
    <b v="0"/>
    <s v=""/>
  </r>
  <r>
    <s v="3fb1c1f6-85c5-44fb-8b6a-a301ef5b94e8"/>
    <x v="1096"/>
    <s v="09:44"/>
    <x v="1576"/>
    <s v="expense"/>
    <s v="rc_cat_1781955063347_5qjb_1781955063347_tezk"/>
    <s v="rc_acc_1781955063347_0qmn"/>
    <x v="1"/>
    <s v="กอดแก้วกาแฟ"/>
    <m/>
    <s v="import"/>
    <s v=""/>
    <b v="0"/>
    <s v=""/>
  </r>
  <r>
    <s v="e091f13e-7f31-40f0-a2c1-601efa5690af"/>
    <x v="1096"/>
    <s v="12:44"/>
    <x v="876"/>
    <s v="expense"/>
    <s v="rc_cat_1781955063347_5qjb_1781955063347_tezk"/>
    <s v="rc_acc_1781955063347_0qmn"/>
    <x v="1"/>
    <s v="เชสเตอร์"/>
    <m/>
    <s v="import"/>
    <s v=""/>
    <b v="0"/>
    <s v=""/>
  </r>
  <r>
    <s v="20562d3a-e37f-4c0a-8fb6-0d22674e03c2"/>
    <x v="1096"/>
    <s v="20:32"/>
    <x v="1576"/>
    <s v="transfer"/>
    <s v="other"/>
    <s v="rc_acc_1781955063347_pixu"/>
    <x v="5"/>
    <s v="-"/>
    <m/>
    <s v="import"/>
    <s v=""/>
    <b v="0"/>
    <s v=""/>
  </r>
  <r>
    <s v="06a8ee4c-e528-4c01-833c-8a3961fd3611"/>
    <x v="1096"/>
    <s v="20:38"/>
    <x v="87"/>
    <s v="expense"/>
    <s v="rc_cat_1781955063347_5qjb_1781955063347_tezk"/>
    <s v="rc_acc_1781955063348_w3gp"/>
    <x v="1"/>
    <s v="-"/>
    <m/>
    <s v="import"/>
    <s v=""/>
    <b v="0"/>
    <s v=""/>
  </r>
  <r>
    <s v="58da90ca-fd2c-4113-8b27-2a52bd7e391a"/>
    <x v="1096"/>
    <s v="20:44"/>
    <x v="199"/>
    <s v="income"/>
    <s v="income_1781955063347_zblt"/>
    <s v="rc_acc_1781955063347_uxz4"/>
    <x v="1"/>
    <s v="-"/>
    <m/>
    <s v="import"/>
    <s v=""/>
    <b v="0"/>
    <s v=""/>
  </r>
  <r>
    <s v="af261310-3913-41a3-8ae5-cab4f81b85a2"/>
    <x v="1096"/>
    <s v="20:45"/>
    <x v="315"/>
    <s v="expense"/>
    <s v="rc_cat_1781955063347_5qjb_1781955063347_tezk"/>
    <s v="rc_acc_1781955063347_0qmn"/>
    <x v="1"/>
    <s v="mk"/>
    <m/>
    <s v="import"/>
    <s v=""/>
    <b v="0"/>
    <s v=""/>
  </r>
  <r>
    <s v="1c382578-e9dc-461a-83f2-d9775210b5f4"/>
    <x v="1097"/>
    <s v="11:04"/>
    <x v="22"/>
    <s v="expense"/>
    <s v="rc_cat_1781955063347_5qjb_1781955063347_tezk"/>
    <s v="rc_acc_1781955063347_0qmn"/>
    <x v="1"/>
    <s v="-"/>
    <m/>
    <s v="import"/>
    <s v=""/>
    <b v="0"/>
    <s v=""/>
  </r>
  <r>
    <s v="9c3853d9-6953-486d-ac4d-a4745a9091aa"/>
    <x v="1097"/>
    <s v="11:40"/>
    <x v="134"/>
    <s v="expense"/>
    <s v="rc_cat_1781955063347_anhy_1781955063347_qnaz"/>
    <s v="rc_acc_1781955063347_0qmn"/>
    <x v="1"/>
    <s v="briocher"/>
    <m/>
    <s v="import"/>
    <s v=""/>
    <b v="0"/>
    <s v=""/>
  </r>
  <r>
    <s v="bf944815-f193-4b3d-bf9d-3ccbe3ce57fe"/>
    <x v="1097"/>
    <s v="15:16"/>
    <x v="1577"/>
    <s v="expense"/>
    <s v="rc_cat_1781955063347_anhy_1781955063347_qnaz"/>
    <s v="rc_acc_1781955063347_e3zv"/>
    <x v="1"/>
    <s v="-"/>
    <m/>
    <s v="import"/>
    <s v=""/>
    <b v="0"/>
    <s v=""/>
  </r>
  <r>
    <s v="d8f93deb-f575-4456-8c38-4cae307e226c"/>
    <x v="1097"/>
    <s v="18:02"/>
    <x v="1578"/>
    <s v="expense"/>
    <s v="rc_cat_1781955063347_5qjb_1781955063347_tezk"/>
    <s v="rc_acc_1781955063347_0qmn"/>
    <x v="1"/>
    <s v="tops"/>
    <m/>
    <s v="import"/>
    <s v=""/>
    <b v="0"/>
    <s v=""/>
  </r>
  <r>
    <s v="38fa7ae5-a9fd-4f63-98ce-0660442217b8"/>
    <x v="1097"/>
    <s v="19:04"/>
    <x v="1578"/>
    <s v="transfer"/>
    <s v="other"/>
    <s v="rc_acc_1781955063347_e3zv"/>
    <x v="5"/>
    <s v="-"/>
    <m/>
    <s v="import"/>
    <s v=""/>
    <b v="0"/>
    <s v=""/>
  </r>
  <r>
    <s v="1d83d33b-fd7d-42d9-a8fb-b47d42dc6340"/>
    <x v="1098"/>
    <s v="12:52"/>
    <x v="1579"/>
    <s v="expense"/>
    <s v="rc_cat_1781955063347_5qjb_1781955063347_tezk"/>
    <s v="rc_acc_1781955063347_0qmn"/>
    <x v="1"/>
    <s v="mk"/>
    <m/>
    <s v="import"/>
    <s v=""/>
    <b v="0"/>
    <s v=""/>
  </r>
  <r>
    <s v="044d5aa0-8086-401a-98ee-e6d36fb92713"/>
    <x v="1098"/>
    <s v="15:25"/>
    <x v="1580"/>
    <s v="expense"/>
    <s v="entertain_1781955063347_2t5k"/>
    <s v="rc_acc_1781955063347_uxz4"/>
    <x v="1"/>
    <s v="-"/>
    <m/>
    <s v="import"/>
    <s v=""/>
    <b v="0"/>
    <s v=""/>
  </r>
  <r>
    <s v="834ec037-427c-4c06-b39c-453ffdad03d3"/>
    <x v="1098"/>
    <s v="15:30"/>
    <x v="22"/>
    <s v="transfer"/>
    <s v="other"/>
    <s v="rc_acc_1781955063347_e3zv"/>
    <x v="5"/>
    <s v="mk"/>
    <m/>
    <s v="import"/>
    <s v=""/>
    <b v="0"/>
    <s v=""/>
  </r>
  <r>
    <s v="58645a34-ec06-4e01-b3b7-f7b019924117"/>
    <x v="1098"/>
    <s v="15:30"/>
    <x v="601"/>
    <s v="expense"/>
    <s v="rc_cat_1781955063347_5qjb_1781955063347_tezk"/>
    <s v="rc_acc_1781955063347_e3zv"/>
    <x v="1"/>
    <s v="-"/>
    <m/>
    <s v="import"/>
    <s v=""/>
    <b v="0"/>
    <s v=""/>
  </r>
  <r>
    <s v="a9671f9c-4634-4209-9960-0e0b9d58b70f"/>
    <x v="1098"/>
    <s v="19:06"/>
    <x v="1581"/>
    <s v="expense"/>
    <s v="rc_cat_1781955063347_5qjb_1781955063347_tezk"/>
    <s v="rc_acc_1781955063347_0qmn"/>
    <x v="1"/>
    <s v="46333"/>
    <m/>
    <s v="import"/>
    <s v=""/>
    <b v="0"/>
    <s v=""/>
  </r>
  <r>
    <s v="c96ed933-3437-4a5d-a507-caf314f266cf"/>
    <x v="1098"/>
    <s v="19:51"/>
    <x v="536"/>
    <s v="income"/>
    <s v="income_1781955063347_zblt"/>
    <s v="rc_acc_1781955063347_uxz4"/>
    <x v="1"/>
    <s v="-"/>
    <m/>
    <s v="import"/>
    <s v=""/>
    <b v="0"/>
    <s v=""/>
  </r>
  <r>
    <s v="dd86ed88-e128-4ccb-984f-8bda4c38d260"/>
    <x v="1098"/>
    <s v="19:56"/>
    <x v="244"/>
    <s v="income"/>
    <s v="income_1781955063347_zblt"/>
    <s v="rc_acc_1781955063347_uxz4"/>
    <x v="1"/>
    <s v="-"/>
    <m/>
    <s v="import"/>
    <s v=""/>
    <b v="0"/>
    <s v=""/>
  </r>
  <r>
    <s v="aabfd7d2-bc61-4f53-8db9-94ad1a2c7d57"/>
    <x v="1098"/>
    <s v="20:14"/>
    <x v="1110"/>
    <s v="income"/>
    <s v="income_1781955063347_zblt"/>
    <s v="kbank"/>
    <x v="1"/>
    <s v="-"/>
    <m/>
    <s v="import"/>
    <s v=""/>
    <b v="0"/>
    <s v=""/>
  </r>
  <r>
    <s v="83997364-7157-4a95-af36-1904de8cd954"/>
    <x v="1098"/>
    <s v="20:17"/>
    <x v="751"/>
    <s v="expense"/>
    <s v="other_1781955063347_5s7r"/>
    <s v="rc_acc_1781955063347_0qmn"/>
    <x v="1"/>
    <s v="Difference"/>
    <m/>
    <s v="import"/>
    <s v=""/>
    <b v="0"/>
    <s v=""/>
  </r>
  <r>
    <s v="8b1fc3a6-748c-404a-9172-26216a9ac00e"/>
    <x v="1099"/>
    <s v="00:00"/>
    <x v="1171"/>
    <s v="expense"/>
    <s v="rc_cat_1781955063347_5qjb_1781955063347_tezk"/>
    <s v="rc_acc_1781955063347_0qmn"/>
    <x v="1"/>
    <s v="blackcanyon"/>
    <m/>
    <s v="import"/>
    <s v=""/>
    <b v="0"/>
    <s v=""/>
  </r>
  <r>
    <s v="e76300df-61a4-45c6-8fee-ded9111b819c"/>
    <x v="1099"/>
    <s v="13:02"/>
    <x v="1538"/>
    <s v="expense"/>
    <s v="rc_cat_1781955063347_5qjb_1781955063347_irl1"/>
    <s v="rc_acc_1781955063347_hv85"/>
    <x v="1"/>
    <s v="เตา teka(3/4)"/>
    <m/>
    <s v="import"/>
    <s v=""/>
    <b v="0"/>
    <s v=""/>
  </r>
  <r>
    <s v="f1ccdf44-81f7-48e3-8781-605bd20e301c"/>
    <x v="1099"/>
    <s v="13:04"/>
    <x v="1435"/>
    <s v="expense"/>
    <s v="rc_cat_1781955063347_5qjb_1781955063347_irl1"/>
    <s v="rc_acc_1781955063347_hv85"/>
    <x v="1"/>
    <s v="เครื่องซักผ้า LG(2/6)"/>
    <m/>
    <s v="import"/>
    <s v=""/>
    <b v="0"/>
    <s v=""/>
  </r>
  <r>
    <s v="dc19313f-ee61-435f-877f-fdd50a90a8e3"/>
    <x v="1099"/>
    <s v="13:04"/>
    <x v="1436"/>
    <s v="expense"/>
    <s v="rc_cat_1781955063347_5qjb_1781955063347_irl1"/>
    <s v="rc_acc_1781955063347_hv85"/>
    <x v="1"/>
    <s v="ชั้น พัดลม homepro(2/6)"/>
    <m/>
    <s v="import"/>
    <s v=""/>
    <b v="0"/>
    <s v=""/>
  </r>
  <r>
    <s v="2693e0c6-8336-4ca3-809a-3d2bd716164c"/>
    <x v="1099"/>
    <s v="17:19"/>
    <x v="1582"/>
    <s v="expense"/>
    <s v="rc_cat_1781955063347_5qjb_1781955063347_tezk"/>
    <s v="rc_acc_1781955063347_0qmn"/>
    <x v="1"/>
    <s v="bkk grill"/>
    <m/>
    <s v="import"/>
    <s v=""/>
    <b v="0"/>
    <s v=""/>
  </r>
  <r>
    <s v="f771dfb0-9a41-48a5-a36f-e02ee2f2dce4"/>
    <x v="1099"/>
    <s v="17:19"/>
    <x v="1233"/>
    <s v="expense"/>
    <s v="rc_cat_1781955063347_5qjb_1781955063347_tezk"/>
    <s v="rc_acc_1781955063347_0qmn"/>
    <x v="1"/>
    <s v="หวานลิ้น"/>
    <m/>
    <s v="import"/>
    <s v=""/>
    <b v="0"/>
    <s v=""/>
  </r>
  <r>
    <s v="d6aa59fd-6d13-4a35-9cce-f761600fc890"/>
    <x v="1099"/>
    <s v="20:11"/>
    <x v="273"/>
    <s v="transfer"/>
    <s v="other"/>
    <s v="kbank"/>
    <x v="38"/>
    <s v="-"/>
    <m/>
    <s v="import"/>
    <s v=""/>
    <b v="0"/>
    <s v=""/>
  </r>
  <r>
    <s v="f70296d3-258f-47c0-8a5e-3d2b172fbc0e"/>
    <x v="1099"/>
    <s v="23:14"/>
    <x v="608"/>
    <s v="expense"/>
    <s v="rc_cat_1781955063347_5qjb_1781955063347_tezk"/>
    <s v="rc_acc_1781955063347_e3zv"/>
    <x v="1"/>
    <s v="-"/>
    <m/>
    <s v="import"/>
    <s v=""/>
    <b v="0"/>
    <s v=""/>
  </r>
  <r>
    <s v="2595537f-f28d-478e-afde-f6757533b8a4"/>
    <x v="1100"/>
    <s v="00:00"/>
    <x v="1171"/>
    <s v="expense"/>
    <s v="rc_cat_1781955063347_5qjb_1781955063347_tezk"/>
    <s v="rc_acc_1781955063347_0qmn"/>
    <x v="1"/>
    <s v="YAYOI"/>
    <m/>
    <s v="import"/>
    <s v=""/>
    <b v="0"/>
    <s v=""/>
  </r>
  <r>
    <s v="54ddac50-d096-4920-a8e8-69cae6dedffa"/>
    <x v="1100"/>
    <s v="00:00"/>
    <x v="593"/>
    <s v="expense"/>
    <s v="rc_cat_1781955063347_5qjb_1781955063347_tezk"/>
    <s v="rc_acc_1781955063347_0qmn"/>
    <x v="1"/>
    <s v="prajak"/>
    <m/>
    <s v="import"/>
    <s v=""/>
    <b v="0"/>
    <s v=""/>
  </r>
  <r>
    <s v="60e60c79-7559-46b6-98b0-4f23bd32c24c"/>
    <x v="1100"/>
    <s v="09:18"/>
    <x v="1098"/>
    <s v="expense"/>
    <s v="rc_cat_1781955063347_5qjb_1781955063347_tezk"/>
    <s v="rc_acc_1781955063347_0qmn"/>
    <x v="1"/>
    <s v="triple s cafe"/>
    <m/>
    <s v="import"/>
    <s v=""/>
    <b v="0"/>
    <s v=""/>
  </r>
  <r>
    <s v="34f468a9-0ab6-4fdc-9ad1-a4b0fb612900"/>
    <x v="1101"/>
    <s v="00:05"/>
    <x v="1583"/>
    <s v="transfer"/>
    <s v="other"/>
    <s v="rc_acc_1781955063347_omhz"/>
    <x v="5"/>
    <s v="-"/>
    <m/>
    <s v="import"/>
    <s v=""/>
    <b v="0"/>
    <s v=""/>
  </r>
  <r>
    <s v="6caa8d53-fb4b-42ea-a737-b5d502128fdb"/>
    <x v="1101"/>
    <s v="08:13"/>
    <x v="1550"/>
    <s v="expense"/>
    <s v="rc_cat_1781955063347_5qjb_1781955063347_tezk"/>
    <s v="rc_acc_1781955063347_0qmn"/>
    <x v="1"/>
    <s v="bellinis"/>
    <m/>
    <s v="import"/>
    <s v=""/>
    <b v="0"/>
    <s v=""/>
  </r>
  <r>
    <s v="fcf26062-5574-4ecf-8e90-5ba186f1937d"/>
    <x v="1101"/>
    <s v="09:08"/>
    <x v="1584"/>
    <s v="expense"/>
    <s v="entertain_1781955063347_8r8e"/>
    <s v="rc_acc_1781955063347_omhz"/>
    <x v="1"/>
    <s v="sheriff of nottingham"/>
    <m/>
    <s v="import"/>
    <s v=""/>
    <b v="0"/>
    <s v=""/>
  </r>
  <r>
    <s v="0a85f70f-1c5d-4689-a39b-3aab5fdf0f9e"/>
    <x v="1101"/>
    <s v="15:15"/>
    <x v="8"/>
    <s v="income"/>
    <s v="income_1781955063347_zblt"/>
    <s v="rc_acc_1781955063347_0qmn"/>
    <x v="1"/>
    <s v="from hong"/>
    <m/>
    <s v="import"/>
    <s v=""/>
    <b v="0"/>
    <s v=""/>
  </r>
  <r>
    <s v="be8baa0d-ec59-4650-a148-0c3808974998"/>
    <x v="1101"/>
    <s v="15:20"/>
    <x v="31"/>
    <s v="income"/>
    <s v="income_1781955063347_zblt"/>
    <s v="rc_acc_1781955063347_uxz4"/>
    <x v="1"/>
    <s v="เหรียญ shopee"/>
    <m/>
    <s v="import"/>
    <s v=""/>
    <b v="0"/>
    <s v=""/>
  </r>
  <r>
    <s v="ceb832fb-2a3b-4fcd-80ec-cf0166c9ef5e"/>
    <x v="1101"/>
    <s v="16:09"/>
    <x v="87"/>
    <s v="expense"/>
    <s v="rc_cat_1781955063347_5qjb_1781955063347_tezk"/>
    <s v="rc_acc_1781955063347_omhz"/>
    <x v="1"/>
    <s v="carousel coffee"/>
    <m/>
    <s v="import"/>
    <s v=""/>
    <b v="0"/>
    <s v=""/>
  </r>
  <r>
    <s v="13d5cc67-5e2a-4e93-9263-ac21f89f2821"/>
    <x v="1101"/>
    <s v="16:55"/>
    <x v="1585"/>
    <s v="expense"/>
    <s v="rc_cat_1781955063347_5qjb_1781955063347_irl1"/>
    <s v="rc_acc_1781955063347_0qmn"/>
    <x v="1"/>
    <s v="เตาอบ"/>
    <m/>
    <s v="import"/>
    <s v=""/>
    <b v="0"/>
    <s v=""/>
  </r>
  <r>
    <s v="8d97ef97-a51c-4290-951b-f9c4a3eeb686"/>
    <x v="1101"/>
    <s v="17:00"/>
    <x v="1586"/>
    <s v="expense"/>
    <s v="rc_cat_1781955063347_5qjb_1781955063347_irl1"/>
    <s v="rc_acc_1781955063347_0qmn"/>
    <x v="1"/>
    <s v="tops"/>
    <m/>
    <s v="import"/>
    <s v=""/>
    <b v="0"/>
    <s v=""/>
  </r>
  <r>
    <s v="2414a9d4-ce4d-4d8d-96a1-922d884ade1a"/>
    <x v="1101"/>
    <s v="19:11"/>
    <x v="607"/>
    <s v="expense"/>
    <s v="rc_cat_1781955063347_s4sz_1781955063347_9tpp"/>
    <s v="rc_acc_1781955063347_omhz"/>
    <x v="1"/>
    <s v="กางเกง arrow"/>
    <m/>
    <s v="import"/>
    <s v=""/>
    <b v="0"/>
    <s v=""/>
  </r>
  <r>
    <s v="e4eb9ffc-1642-45dd-81d2-27683efe216b"/>
    <x v="1101"/>
    <s v="19:13"/>
    <x v="362"/>
    <s v="expense"/>
    <s v="rc_cat_1781955063347_s4sz_1781955063347_deos"/>
    <s v="rc_acc_1781955063347_omhz"/>
    <x v="1"/>
    <s v="แผ่นรอง bluetooth และชั้น"/>
    <m/>
    <s v="import"/>
    <s v=""/>
    <b v="0"/>
    <s v=""/>
  </r>
  <r>
    <s v="7d3b2ee8-e7b3-430e-9af7-e6898491cda8"/>
    <x v="1101"/>
    <s v="19:15"/>
    <x v="1459"/>
    <s v="transfer"/>
    <s v="other"/>
    <s v="rc_acc_1781955063347_omhz"/>
    <x v="5"/>
    <s v="-"/>
    <m/>
    <s v="import"/>
    <s v=""/>
    <b v="0"/>
    <s v=""/>
  </r>
  <r>
    <s v="57c5bce1-ccde-4b09-8aa1-af4d619a19c0"/>
    <x v="1101"/>
    <s v="19:37"/>
    <x v="1459"/>
    <s v="expense"/>
    <s v="rc_cat_1781955063347_5qjb_1781955063347_irl1"/>
    <s v="rc_acc_1781955063347_0qmn"/>
    <x v="1"/>
    <s v="ของจุกจิก shopee"/>
    <m/>
    <s v="import"/>
    <s v=""/>
    <b v="0"/>
    <s v=""/>
  </r>
  <r>
    <s v="89e70f2e-2f3f-42d3-8822-dc46e4e83526"/>
    <x v="1102"/>
    <s v="14:17"/>
    <x v="22"/>
    <s v="expense"/>
    <s v="rc_cat_1781955063347_5qjb_1781955063347_tezk"/>
    <s v="rc_acc_1781955063347_uxz4"/>
    <x v="1"/>
    <s v="roast runner"/>
    <m/>
    <s v="import"/>
    <s v=""/>
    <b v="0"/>
    <s v=""/>
  </r>
  <r>
    <s v="f0933190-8429-4696-9c0a-5e4cc522d04a"/>
    <x v="1102"/>
    <s v="22:50"/>
    <x v="515"/>
    <s v="transfer"/>
    <s v="other"/>
    <s v="rc_acc_1781955063347_uxz4"/>
    <x v="16"/>
    <s v="-"/>
    <m/>
    <s v="import"/>
    <s v=""/>
    <b v="0"/>
    <s v=""/>
  </r>
  <r>
    <s v="e2aaf197-5ef5-458f-83d6-294a265be279"/>
    <x v="1103"/>
    <s v="00:00"/>
    <x v="1267"/>
    <s v="expense"/>
    <s v="rc_cat_1781955063347_5qjb_1781955063347_tezk"/>
    <s v="rc_acc_1781955063347_0qmn"/>
    <x v="1"/>
    <s v="เขียง"/>
    <m/>
    <s v="import"/>
    <s v=""/>
    <b v="0"/>
    <s v=""/>
  </r>
  <r>
    <s v="0ff37046-294f-4720-8a81-666ed04e2a13"/>
    <x v="1103"/>
    <s v="17:12"/>
    <x v="1587"/>
    <s v="expense"/>
    <s v="rc_cat_1781955063347_5qjb_1781955063347_tezk"/>
    <s v="rc_acc_1781955063347_0qmn"/>
    <x v="1"/>
    <s v="เนื้อหอมคาเฟ่"/>
    <m/>
    <s v="import"/>
    <s v=""/>
    <b v="0"/>
    <s v=""/>
  </r>
  <r>
    <s v="f70ddd91-e491-4937-9854-0f79f6585418"/>
    <x v="1104"/>
    <s v="07:11"/>
    <x v="22"/>
    <s v="expense"/>
    <s v="rc_cat_1781955063347_5qjb_1781955063347_tezk"/>
    <s v="rc_acc_1781955063347_0qmn"/>
    <x v="1"/>
    <s v="โจ๊ก"/>
    <m/>
    <s v="import"/>
    <s v=""/>
    <b v="0"/>
    <s v=""/>
  </r>
  <r>
    <s v="b960eb42-de8d-4ae2-827b-ae8c1f4ce9e7"/>
    <x v="1104"/>
    <s v="08:11"/>
    <x v="898"/>
    <s v="expense"/>
    <s v="rc_cat_1781955063347_5qjb_1781955063347_tezk"/>
    <s v="rc_acc_1781955063347_0qmn"/>
    <x v="1"/>
    <s v="กาแฟชงสุข"/>
    <m/>
    <s v="import"/>
    <s v=""/>
    <b v="0"/>
    <s v=""/>
  </r>
  <r>
    <s v="1e4cbdee-aaf7-4cbb-93aa-fa9112cea062"/>
    <x v="1104"/>
    <s v="12:00"/>
    <x v="1588"/>
    <s v="expense"/>
    <s v="rc_cat_1781955063347_5qjb_1781955063347_tezk"/>
    <s v="rc_acc_1781955063347_0qmn"/>
    <x v="1"/>
    <s v="hknoodle"/>
    <m/>
    <s v="import"/>
    <s v=""/>
    <b v="0"/>
    <s v=""/>
  </r>
  <r>
    <s v="73430b0a-57c2-4475-a6d8-b2ab2ce0c5f7"/>
    <x v="1104"/>
    <s v="12:51"/>
    <x v="1172"/>
    <s v="expense"/>
    <s v="rc_cat_1781955063347_5qjb_1781955063347_tezk"/>
    <s v="rc_acc_1781955063347_0qmn"/>
    <x v="1"/>
    <s v="pizza"/>
    <m/>
    <s v="import"/>
    <s v=""/>
    <b v="0"/>
    <s v=""/>
  </r>
  <r>
    <s v="4f6d29b5-50b6-4835-bf45-a7ffa756b60a"/>
    <x v="1105"/>
    <s v="12:10"/>
    <x v="1589"/>
    <s v="expense"/>
    <s v="rc_cat_1781955063347_5qjb_1781955063347_tezk"/>
    <s v="rc_acc_1781955063347_0qmn"/>
    <x v="1"/>
    <s v="ขาหมูตรอกซุง"/>
    <m/>
    <s v="import"/>
    <s v=""/>
    <b v="0"/>
    <s v=""/>
  </r>
  <r>
    <s v="5efc1ba1-84af-4cba-8b47-d1c9d8912ad9"/>
    <x v="1105"/>
    <s v="17:00"/>
    <x v="964"/>
    <s v="expense"/>
    <s v="rc_cat_1781955063347_5qjb_1781955063347_tezk"/>
    <s v="rc_acc_1781955063347_0qmn"/>
    <x v="1"/>
    <s v="senban"/>
    <m/>
    <s v="import"/>
    <s v=""/>
    <b v="0"/>
    <s v=""/>
  </r>
  <r>
    <s v="97af627f-4c47-4718-83d9-e323d76a9048"/>
    <x v="1106"/>
    <s v="00:00"/>
    <x v="464"/>
    <s v="expense"/>
    <s v="rc_cat_1781955063347_5qjb_1781955063347_tezk"/>
    <s v="rc_acc_1781955063347_0qmn"/>
    <x v="1"/>
    <s v="yoshinoya"/>
    <m/>
    <s v="import"/>
    <s v=""/>
    <b v="0"/>
    <s v=""/>
  </r>
  <r>
    <s v="afc55f12-edeb-42d9-a366-274e1d9df034"/>
    <x v="1106"/>
    <s v="00:00"/>
    <x v="677"/>
    <s v="expense"/>
    <s v="rc_cat_1781955063347_5qjb_1781955063347_tezk"/>
    <s v="rc_acc_1781955063347_0qmn"/>
    <x v="1"/>
    <s v="akiyoshi"/>
    <m/>
    <s v="import"/>
    <s v=""/>
    <b v="0"/>
    <s v=""/>
  </r>
  <r>
    <s v="2939d2bd-9dcf-4315-99bb-dd96d98bf4cf"/>
    <x v="1106"/>
    <s v="18:14"/>
    <x v="244"/>
    <s v="expense"/>
    <s v="rc_cat_1781955063347_5qjb_1781955063347_irl1"/>
    <s v="rc_acc_1781955063347_0qmn"/>
    <x v="1"/>
    <s v="ค่าไฟ กค"/>
    <m/>
    <s v="import"/>
    <s v=""/>
    <b v="0"/>
    <s v=""/>
  </r>
  <r>
    <s v="4c2a542e-633f-4f2b-a909-d2d0ccc6affd"/>
    <x v="1107"/>
    <s v="12:17"/>
    <x v="1590"/>
    <s v="expense"/>
    <s v="rc_cat_1781955063347_5qjb_1781955063347_irl1"/>
    <s v="rc_acc_1781955063347_0qmn"/>
    <x v="1"/>
    <s v="ชั้น โต๊ะ"/>
    <m/>
    <s v="import"/>
    <s v=""/>
    <b v="0"/>
    <s v=""/>
  </r>
  <r>
    <s v="9d807576-0c32-466c-8ad0-a0c22d44452a"/>
    <x v="1107"/>
    <s v="12:17"/>
    <x v="569"/>
    <s v="expense"/>
    <s v="rc_cat_1781955063347_5qjb_1781955063347_tezk"/>
    <s v="rc_acc_1781955063347_0qmn"/>
    <x v="1"/>
    <s v="กาแฟชงสุข"/>
    <m/>
    <s v="import"/>
    <s v=""/>
    <b v="0"/>
    <s v=""/>
  </r>
  <r>
    <s v="b6655131-dce4-458e-9bd1-1c70012f986f"/>
    <x v="1107"/>
    <s v="12:18"/>
    <x v="536"/>
    <s v="expense"/>
    <s v="rc_cat_1781955063347_5qjb_1781955063347_tezk"/>
    <s v="rc_acc_1781955063347_0qmn"/>
    <x v="1"/>
    <s v="ข้าวมันไก่"/>
    <m/>
    <s v="import"/>
    <s v=""/>
    <b v="0"/>
    <s v=""/>
  </r>
  <r>
    <s v="3f0c1b3b-8331-46c5-b441-11326bfcfc16"/>
    <x v="1107"/>
    <s v="12:18"/>
    <x v="1591"/>
    <s v="expense"/>
    <s v="rc_cat_1781955063347_5qjb_1781955063347_tezk"/>
    <s v="rc_acc_1781955063347_0qmn"/>
    <x v="1"/>
    <s v="แมคโคร"/>
    <m/>
    <s v="import"/>
    <s v=""/>
    <b v="0"/>
    <s v=""/>
  </r>
  <r>
    <s v="efa91dc7-f238-4fe4-9597-4e6e05bdfe22"/>
    <x v="1107"/>
    <s v="12:18"/>
    <x v="1592"/>
    <s v="expense"/>
    <s v="rc_cat_1781955063347_5qjb_1781955063347_tezk"/>
    <s v="rc_acc_1781955063347_0qmn"/>
    <x v="1"/>
    <s v="bigc"/>
    <m/>
    <s v="import"/>
    <s v=""/>
    <b v="0"/>
    <s v=""/>
  </r>
  <r>
    <s v="8b92947e-5147-4e2c-9c86-7090e9c17b88"/>
    <x v="1107"/>
    <s v="12:19"/>
    <x v="1591"/>
    <s v="transfer"/>
    <s v="other"/>
    <s v="rc_acc_1781955063347_e3zv"/>
    <x v="5"/>
    <s v="-"/>
    <m/>
    <s v="import"/>
    <s v=""/>
    <b v="0"/>
    <s v=""/>
  </r>
  <r>
    <s v="ede4160f-f4fb-40c8-a300-1c7df96da203"/>
    <x v="1107"/>
    <s v="12:20"/>
    <x v="582"/>
    <s v="expense"/>
    <s v="rc_cat_1781955063347_5qjb_1781955063347_tezk"/>
    <s v="rc_acc_1781955063347_uxz4"/>
    <x v="1"/>
    <s v="bellini"/>
    <m/>
    <s v="import"/>
    <s v=""/>
    <b v="0"/>
    <s v=""/>
  </r>
  <r>
    <s v="7177f4bc-4a78-4db7-ae30-f46e721b3858"/>
    <x v="1107"/>
    <s v="16:08"/>
    <x v="436"/>
    <s v="expense"/>
    <s v="rc_cat_1781955063347_5qjb_1781955063347_tezk"/>
    <s v="rc_acc_1781955063347_0qmn"/>
    <x v="1"/>
    <s v="หมูตั่วเฮีย"/>
    <m/>
    <s v="import"/>
    <s v=""/>
    <b v="0"/>
    <s v=""/>
  </r>
  <r>
    <s v="e5653ac1-4c9b-4b45-82b3-aa1e088023e0"/>
    <x v="1107"/>
    <s v="16:10"/>
    <x v="22"/>
    <s v="income"/>
    <s v="income_1781955063347_zblt"/>
    <s v="rc_acc_1781955063347_uxz4"/>
    <x v="1"/>
    <s v="-"/>
    <m/>
    <s v="import"/>
    <s v=""/>
    <b v="0"/>
    <s v=""/>
  </r>
  <r>
    <s v="7f2d6e7d-a5fe-40ae-b16c-fc95232b8a26"/>
    <x v="1108"/>
    <s v="08:05"/>
    <x v="8"/>
    <s v="income"/>
    <s v="other_1781955063347_5s7r"/>
    <s v="rc_acc_1781955063347_0qmn"/>
    <x v="1"/>
    <s v="Difference"/>
    <m/>
    <s v="import"/>
    <s v=""/>
    <b v="0"/>
    <s v=""/>
  </r>
  <r>
    <s v="e42df94b-3b72-4196-9d99-2ff04820dacd"/>
    <x v="1108"/>
    <s v="08:06"/>
    <x v="1593"/>
    <s v="expense"/>
    <s v="rc_cat_1781955063347_5qjb_1781955063347_tezk"/>
    <s v="rc_acc_1781955063347_0qmn"/>
    <x v="1"/>
    <s v="robinhood น้ำและวัฟเฟิล"/>
    <m/>
    <s v="import"/>
    <s v=""/>
    <b v="0"/>
    <s v=""/>
  </r>
  <r>
    <s v="49baeac7-4f86-47ce-b7c4-833609a54577"/>
    <x v="1108"/>
    <s v="13:19"/>
    <x v="1036"/>
    <s v="expense"/>
    <s v="rc_cat_1781955063347_5qjb_1781955063347_tezk"/>
    <s v="rc_acc_1781955063347_0qmn"/>
    <x v="1"/>
    <s v="kimukatsu"/>
    <m/>
    <s v="import"/>
    <s v=""/>
    <b v="0"/>
    <s v=""/>
  </r>
  <r>
    <s v="0a9076b3-af93-43d2-818f-a5414ee7e416"/>
    <x v="1108"/>
    <s v="13:19"/>
    <x v="759"/>
    <s v="expense"/>
    <s v="rc_cat_1781955063347_5qjb_1781955063347_irl1"/>
    <s v="rc_acc_1781955063347_0qmn"/>
    <x v="1"/>
    <s v="superlock"/>
    <m/>
    <s v="import"/>
    <s v=""/>
    <b v="0"/>
    <s v=""/>
  </r>
  <r>
    <s v="2ec87397-ac0d-4088-be80-565907ee5568"/>
    <x v="1108"/>
    <s v="13:20"/>
    <x v="1167"/>
    <s v="expense"/>
    <s v="rc_cat_1781955063347_5qjb_1781955063347_tezk"/>
    <s v="rc_acc_1781955063347_0qmn"/>
    <x v="1"/>
    <s v="j bakery"/>
    <m/>
    <s v="import"/>
    <s v=""/>
    <b v="0"/>
    <s v=""/>
  </r>
  <r>
    <s v="36c8fdf0-9c7e-4056-893d-4960af3fa032"/>
    <x v="1108"/>
    <s v="13:21"/>
    <x v="1167"/>
    <s v="transfer"/>
    <s v="other"/>
    <s v="rc_acc_1781955063347_e3zv"/>
    <x v="5"/>
    <s v="-"/>
    <m/>
    <s v="import"/>
    <s v=""/>
    <b v="0"/>
    <s v=""/>
  </r>
  <r>
    <s v="e9993d29-4762-436d-9801-148917a2d922"/>
    <x v="1108"/>
    <s v="13:38"/>
    <x v="74"/>
    <s v="expense"/>
    <s v="rc_cat_1781955063347_5qjb_1781955063347_tezk"/>
    <s v="kbank"/>
    <x v="1"/>
    <s v="-"/>
    <m/>
    <s v="import"/>
    <s v=""/>
    <b v="0"/>
    <s v=""/>
  </r>
  <r>
    <s v="7b1b33f5-b7ba-4dfd-a1c2-f9386e6280e1"/>
    <x v="1109"/>
    <s v="14:21"/>
    <x v="1594"/>
    <s v="income"/>
    <s v="income_1781955063347_zblt"/>
    <s v="rc_acc_1781955063347_27fe"/>
    <x v="1"/>
    <s v="-"/>
    <m/>
    <s v="import"/>
    <s v=""/>
    <b v="0"/>
    <s v=""/>
  </r>
  <r>
    <s v="80b71b4e-db4f-4d20-844b-eb385779a4b4"/>
    <x v="1109"/>
    <s v="14:41"/>
    <x v="1595"/>
    <s v="income"/>
    <s v="income_1781955063347_zblt"/>
    <s v="rc_acc_1781955063347_tvnx"/>
    <x v="1"/>
    <s v="-"/>
    <m/>
    <s v="import"/>
    <s v=""/>
    <b v="0"/>
    <s v=""/>
  </r>
  <r>
    <s v="91f29cdc-7d8b-4399-80ab-c4bff2dd5a25"/>
    <x v="1109"/>
    <s v="14:53"/>
    <x v="1596"/>
    <s v="income"/>
    <s v="other_1781955063347_5s7r"/>
    <s v="rc_acc_1781955063347_27fe"/>
    <x v="1"/>
    <s v="Difference"/>
    <m/>
    <s v="import"/>
    <s v=""/>
    <b v="0"/>
    <s v=""/>
  </r>
  <r>
    <s v="33da42ce-a5f0-44df-aa82-845c939ac75a"/>
    <x v="1109"/>
    <s v="15:00"/>
    <x v="1597"/>
    <s v="income"/>
    <s v="other_1781955063347_5s7r"/>
    <s v="rc_acc_1781955063347_uxz4"/>
    <x v="1"/>
    <s v="Difference"/>
    <m/>
    <s v="import"/>
    <s v=""/>
    <b v="0"/>
    <s v=""/>
  </r>
  <r>
    <s v="2eb90a59-2267-4153-b668-84894b688ec7"/>
    <x v="1110"/>
    <s v="00:00"/>
    <x v="234"/>
    <s v="expense"/>
    <s v="rc_cat_1781955063347_anhy_1781955063347_qnaz"/>
    <s v="rc_acc_1781955063347_uxz4"/>
    <x v="1"/>
    <s v="-"/>
    <m/>
    <s v="import"/>
    <s v=""/>
    <b v="0"/>
    <s v=""/>
  </r>
  <r>
    <s v="08030dec-eeb1-4c30-adfb-d5cf53a6c878"/>
    <x v="1111"/>
    <s v="14:40"/>
    <x v="1598"/>
    <s v="transfer"/>
    <s v="other"/>
    <s v="rc_acc_1781955063347_uxz4"/>
    <x v="31"/>
    <s v="-"/>
    <m/>
    <s v="import"/>
    <s v=""/>
    <b v="0"/>
    <s v=""/>
  </r>
  <r>
    <s v="28b7e648-e997-4644-9f4a-c60ef52f73a1"/>
    <x v="1112"/>
    <s v="10:57"/>
    <x v="8"/>
    <s v="transfer"/>
    <s v="other"/>
    <s v="rc_acc_1781955063347_uxz4"/>
    <x v="4"/>
    <s v="-"/>
    <m/>
    <s v="import"/>
    <s v=""/>
    <b v="0"/>
    <s v=""/>
  </r>
  <r>
    <s v="e5f464da-9350-4bfa-8cd8-19e1780656ee"/>
    <x v="1112"/>
    <s v="10:57"/>
    <x v="1599"/>
    <s v="expense"/>
    <s v="rc_cat_1781955063347_04qb_1781955063347_wt5p"/>
    <s v="kbank"/>
    <x v="1"/>
    <s v="finance"/>
    <m/>
    <s v="import"/>
    <s v=""/>
    <b v="0"/>
    <s v=""/>
  </r>
  <r>
    <s v="52ed3bc6-ca05-421e-b422-3c9a4aa6d2c1"/>
    <x v="1113"/>
    <s v="00:00"/>
    <x v="1417"/>
    <s v="expense"/>
    <s v="rc_cat_1781955063347_04qb_1781955063347_lu9b"/>
    <s v="rc_acc_1781955063347_uxz4"/>
    <x v="1"/>
    <s v="-"/>
    <m/>
    <s v="import"/>
    <s v=""/>
    <b v="0"/>
    <s v=""/>
  </r>
  <r>
    <s v="9edfb151-e20b-415c-9aaf-c6206d87bd97"/>
    <x v="1113"/>
    <s v="00:00"/>
    <x v="1416"/>
    <s v="expense"/>
    <s v="rc_cat_1781955063347_04qb_1781955063347_kgnn"/>
    <s v="rc_acc_1781955063347_uxz4"/>
    <x v="1"/>
    <s v="-"/>
    <m/>
    <s v="import"/>
    <s v=""/>
    <b v="0"/>
    <s v=""/>
  </r>
  <r>
    <s v="7b21072e-beeb-4a03-b01e-1d9785803362"/>
    <x v="1113"/>
    <s v="00:00"/>
    <x v="128"/>
    <s v="transfer"/>
    <s v="other"/>
    <s v="rc_acc_1781955063347_uxz4"/>
    <x v="21"/>
    <s v="-"/>
    <m/>
    <s v="import"/>
    <s v=""/>
    <b v="0"/>
    <s v=""/>
  </r>
  <r>
    <s v="bc72c954-e849-43b3-950c-d5fbbbec7bac"/>
    <x v="1113"/>
    <s v="00:00"/>
    <x v="1415"/>
    <s v="transfer"/>
    <s v="other"/>
    <s v="rc_acc_1781955063347_uxz4"/>
    <x v="20"/>
    <s v="-"/>
    <m/>
    <s v="import"/>
    <s v=""/>
    <b v="0"/>
    <s v=""/>
  </r>
  <r>
    <s v="19ba71b5-ab27-4172-bb4b-504fdcf77c12"/>
    <x v="1113"/>
    <s v="00:00"/>
    <x v="31"/>
    <s v="transfer"/>
    <s v="other"/>
    <s v="rc_acc_1781955063347_uxz4"/>
    <x v="7"/>
    <s v="-"/>
    <m/>
    <s v="import"/>
    <s v=""/>
    <b v="0"/>
    <s v=""/>
  </r>
  <r>
    <s v="151ae2cc-0b42-4974-a773-8fff4f88cf3d"/>
    <x v="1113"/>
    <s v="00:00"/>
    <x v="1390"/>
    <s v="transfer"/>
    <s v="other"/>
    <s v="rc_acc_1781955063347_uxz4"/>
    <x v="8"/>
    <s v="-"/>
    <m/>
    <s v="import"/>
    <s v=""/>
    <b v="0"/>
    <s v=""/>
  </r>
  <r>
    <s v="d54ea5ed-e5b7-4d38-b7cd-774658e611d0"/>
    <x v="1113"/>
    <s v="00:00"/>
    <x v="1391"/>
    <s v="income"/>
    <s v="income_1781955063347_5zxt"/>
    <s v="rc_acc_1781955063347_uxz4"/>
    <x v="1"/>
    <s v="-"/>
    <m/>
    <s v="import"/>
    <s v=""/>
    <b v="0"/>
    <s v=""/>
  </r>
  <r>
    <s v="e5b09a15-196e-490a-8763-29a3c6b07566"/>
    <x v="1113"/>
    <s v="19:35"/>
    <x v="932"/>
    <s v="transfer"/>
    <s v="other"/>
    <s v="rc_acc_1781955063347_omhz"/>
    <x v="5"/>
    <s v="บัวลอย"/>
    <m/>
    <s v="import"/>
    <s v=""/>
    <b v="0"/>
    <s v=""/>
  </r>
  <r>
    <s v="59d78eda-9243-45f7-b1f0-e1526cd7604a"/>
    <x v="1113"/>
    <s v="19:36"/>
    <x v="244"/>
    <s v="expense"/>
    <s v="rc_cat_1781955063347_5qjb_1781955063347_tezk"/>
    <s v="rc_acc_1781955063347_omhz"/>
    <x v="1"/>
    <s v="auntyann"/>
    <m/>
    <s v="import"/>
    <s v=""/>
    <b v="0"/>
    <s v=""/>
  </r>
  <r>
    <s v="be5e32e5-78e0-431b-848a-3edc526f3f80"/>
    <x v="1114"/>
    <s v="13:11"/>
    <x v="1496"/>
    <s v="expense"/>
    <s v="rc_cat_1781955063347_5qjb_1781955063347_irl1"/>
    <s v="rc_acc_1781955063347_sv7p"/>
    <x v="1"/>
    <s v="sb build in(1/4)"/>
    <m/>
    <s v="import"/>
    <s v=""/>
    <b v="0"/>
    <s v=""/>
  </r>
  <r>
    <s v="814b53ff-2261-4d31-8ad2-a566f5c17285"/>
    <x v="1115"/>
    <s v="13:16"/>
    <x v="1600"/>
    <s v="expense"/>
    <s v="rc_cat_1781955063347_5qjb_1781955063347_irl1"/>
    <s v="rc_acc_1781955063347_uxz4"/>
    <x v="1"/>
    <s v="โซฟา15000 เก้าอี้ 10476"/>
    <m/>
    <s v="import"/>
    <s v=""/>
    <b v="0"/>
    <s v=""/>
  </r>
  <r>
    <s v="b934bafb-2d2f-4a32-b2db-27020f609687"/>
    <x v="1115"/>
    <s v="13:21"/>
    <x v="1601"/>
    <s v="expense"/>
    <s v="rc_cat_1781955063347_5qjb_1781955063347_irl1"/>
    <s v="rc_acc_1781955063347_hv85"/>
    <x v="1"/>
    <s v="ชั้นเพิ่ม โต๊ะ"/>
    <m/>
    <s v="import"/>
    <s v=""/>
    <b v="0"/>
    <s v=""/>
  </r>
  <r>
    <s v="10d3afc9-bdc6-4138-893d-6d85a5ff8eab"/>
    <x v="1116"/>
    <s v="00:00"/>
    <x v="691"/>
    <s v="transfer"/>
    <s v="other"/>
    <s v="rc_acc_1781955063347_uxz4"/>
    <x v="33"/>
    <s v="-"/>
    <m/>
    <s v="import"/>
    <s v=""/>
    <b v="0"/>
    <s v=""/>
  </r>
  <r>
    <s v="6144fd39-33ba-4614-b44c-489835ff3988"/>
    <x v="1117"/>
    <s v="13:18"/>
    <x v="1602"/>
    <s v="expense"/>
    <s v="rc_cat_1781955063347_5qjb_1781955063347_irl1"/>
    <s v="rc_acc_1781955063347_uxz4"/>
    <x v="1"/>
    <s v="แรกเข้าเนต"/>
    <m/>
    <s v="import"/>
    <s v=""/>
    <b v="0"/>
    <s v=""/>
  </r>
  <r>
    <s v="4fe9b67f-77c1-4522-b35a-9eb842eb04ad"/>
    <x v="1118"/>
    <s v="14:26"/>
    <x v="1603"/>
    <s v="transfer"/>
    <s v="other"/>
    <s v="rc_acc_1781955063347_uxz4"/>
    <x v="14"/>
    <s v="ยอดจริง 13543.17"/>
    <m/>
    <s v="import"/>
    <s v=""/>
    <b v="0"/>
    <s v=""/>
  </r>
  <r>
    <s v="8cf62d86-f288-4ca3-a84d-ed98c33597c5"/>
    <x v="1118"/>
    <s v="19:53"/>
    <x v="1604"/>
    <s v="expense"/>
    <s v="rc_cat_1781955063347_5qjb_1781955063347_irl1"/>
    <s v="rc_acc_1781955063347_hv85"/>
    <x v="1"/>
    <s v="โต๊ะ"/>
    <m/>
    <s v="import"/>
    <s v=""/>
    <b v="0"/>
    <s v=""/>
  </r>
  <r>
    <s v="c8993f8b-c5fd-4f46-9628-1c32a46843ce"/>
    <x v="1119"/>
    <s v="13:02"/>
    <x v="1538"/>
    <s v="expense"/>
    <s v="rc_cat_1781955063347_5qjb_1781955063347_irl1"/>
    <s v="rc_acc_1781955063347_hv85"/>
    <x v="1"/>
    <s v="เตา teka(2/4)"/>
    <m/>
    <s v="import"/>
    <s v=""/>
    <b v="0"/>
    <s v=""/>
  </r>
  <r>
    <s v="a2cfd483-38fa-4585-926b-e6d84b48ca15"/>
    <x v="1119"/>
    <s v="13:04"/>
    <x v="1435"/>
    <s v="expense"/>
    <s v="rc_cat_1781955063347_5qjb_1781955063347_irl1"/>
    <s v="rc_acc_1781955063347_hv85"/>
    <x v="1"/>
    <s v="เครื่องซักผ้า LG(1/6)"/>
    <m/>
    <s v="import"/>
    <s v=""/>
    <b v="0"/>
    <s v=""/>
  </r>
  <r>
    <s v="e90752dd-8531-4bef-9409-520740bb939b"/>
    <x v="1119"/>
    <s v="13:04"/>
    <x v="1436"/>
    <s v="expense"/>
    <s v="rc_cat_1781955063347_5qjb_1781955063347_irl1"/>
    <s v="rc_acc_1781955063347_hv85"/>
    <x v="1"/>
    <s v="ชั้น พัดลม homepro(1/6)"/>
    <m/>
    <s v="import"/>
    <s v=""/>
    <b v="0"/>
    <s v=""/>
  </r>
  <r>
    <s v="072484a3-f68d-46e4-99e7-1418ac5ae797"/>
    <x v="1120"/>
    <s v="13:15"/>
    <x v="1605"/>
    <s v="expense"/>
    <s v="rc_cat_1781955063347_5qjb_1781955063347_irl1"/>
    <s v="rc_acc_1781955063347_kjxt"/>
    <x v="1"/>
    <s v="เตียง"/>
    <m/>
    <s v="import"/>
    <s v=""/>
    <b v="0"/>
    <s v=""/>
  </r>
  <r>
    <s v="320b6333-0f09-4c3d-8095-62386b96dcfc"/>
    <x v="1121"/>
    <s v="13:19"/>
    <x v="1606"/>
    <s v="expense"/>
    <s v="rc_cat_1781955063347_5qjb_1781955063347_irl1"/>
    <s v="rc_acc_1781955063347_hv85"/>
    <x v="1"/>
    <s v="ราวตากผ้า"/>
    <m/>
    <s v="import"/>
    <s v=""/>
    <b v="0"/>
    <s v=""/>
  </r>
  <r>
    <s v="4c070a56-53bd-4ea2-ae96-5e5ed04dc4d2"/>
    <x v="1122"/>
    <s v="13:18"/>
    <x v="24"/>
    <s v="expense"/>
    <s v="rc_cat_1781955063347_5qjb_1781955063347_irl1"/>
    <s v="rc_acc_1781955063347_uxz4"/>
    <x v="1"/>
    <s v="ติดตั้งเตา"/>
    <m/>
    <s v="import"/>
    <s v=""/>
    <b v="0"/>
    <s v=""/>
  </r>
  <r>
    <s v="f77b046b-9450-49f2-a297-0133689c41ae"/>
    <x v="1122"/>
    <s v="13:20"/>
    <x v="85"/>
    <s v="expense"/>
    <s v="rc_cat_1781955063347_5qjb_1781955063347_irl1"/>
    <s v="rc_acc_1781955063347_uxz4"/>
    <x v="1"/>
    <s v="เครื่องฟอก xiaomi"/>
    <m/>
    <s v="import"/>
    <s v=""/>
    <b v="0"/>
    <s v=""/>
  </r>
  <r>
    <s v="8bebbdb0-fab4-4705-b6e1-1b989275c587"/>
    <x v="1123"/>
    <s v="13:02"/>
    <x v="1538"/>
    <s v="expense"/>
    <s v="rc_cat_1781955063347_5qjb_1781955063347_irl1"/>
    <s v="rc_acc_1781955063347_hv85"/>
    <x v="1"/>
    <s v="เตา teka(1/4)"/>
    <m/>
    <s v="import"/>
    <s v=""/>
    <b v="0"/>
    <s v=""/>
  </r>
  <r>
    <m/>
    <x v="1124"/>
    <m/>
    <x v="1607"/>
    <m/>
    <m/>
    <m/>
    <x v="4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65">
  <r>
    <s v="656736fb-a4cc-4b3c-a5df-c1769a7d2f92"/>
    <s v="2026-06-02"/>
    <x v="0"/>
    <x v="0"/>
    <n v="2"/>
    <s v="00:00"/>
    <n v="1050"/>
    <x v="0"/>
    <s v="other_1781955063348_27zj"/>
    <x v="0"/>
    <s v="kbank"/>
    <x v="0"/>
    <s v=""/>
    <m/>
    <s v="-"/>
    <m/>
    <s v="import"/>
    <s v=""/>
    <b v="0"/>
    <s v=""/>
  </r>
  <r>
    <s v="d388c81f-20af-4afa-9b0e-c87900888aa7"/>
    <s v="2026-06-02"/>
    <x v="0"/>
    <x v="0"/>
    <n v="2"/>
    <s v="00:00"/>
    <n v="1151"/>
    <x v="1"/>
    <s v="transfer"/>
    <x v="1"/>
    <s v="rc_acc_1781955063347_kjxt"/>
    <x v="1"/>
    <s v="advance"/>
    <s v="Advance Paid"/>
    <s v="note"/>
    <m/>
    <s v="import"/>
    <s v=""/>
    <b v="0"/>
    <s v=""/>
  </r>
  <r>
    <s v="9c221fa6-b353-42e2-a21e-9c21fb714676"/>
    <s v="2026-06-01"/>
    <x v="0"/>
    <x v="0"/>
    <n v="1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d994cf74-4956-4882-9a36-52c12f675e8f"/>
    <s v="2026-06-01"/>
    <x v="0"/>
    <x v="0"/>
    <n v="1"/>
    <s v="00:00"/>
    <n v="5000"/>
    <x v="1"/>
    <s v="other"/>
    <x v="1"/>
    <s v="kbank"/>
    <x v="0"/>
    <s v="rc_acc_1781955063357_rvam"/>
    <s v="Make Kbank"/>
    <s v="-"/>
    <m/>
    <s v="import"/>
    <s v=""/>
    <b v="0"/>
    <s v=""/>
  </r>
  <r>
    <s v="5a8cdebc-95d1-4c36-8903-8e7d599a921d"/>
    <s v="2026-06-01"/>
    <x v="0"/>
    <x v="0"/>
    <n v="1"/>
    <s v="00:00"/>
    <n v="7071"/>
    <x v="0"/>
    <s v="rc_cat_1781955063347_04qb_1781955063347_wt5p"/>
    <x v="3"/>
    <s v="kbank"/>
    <x v="0"/>
    <s v=""/>
    <m/>
    <s v="-"/>
    <m/>
    <s v="import"/>
    <s v=""/>
    <b v="0"/>
    <s v=""/>
  </r>
  <r>
    <s v="ddcb7cdc-fa12-45ac-a029-fa25a6e2361c"/>
    <s v="2026-06-01"/>
    <x v="0"/>
    <x v="0"/>
    <n v="1"/>
    <s v="00:00"/>
    <n v="3480"/>
    <x v="0"/>
    <s v="entertain_1781955063348_kx2f"/>
    <x v="0"/>
    <s v="advance"/>
    <x v="2"/>
    <s v=""/>
    <m/>
    <s v="ss26ultra 03/10"/>
    <m/>
    <s v="import"/>
    <s v=""/>
    <b v="0"/>
    <s v=""/>
  </r>
  <r>
    <s v="20dc8885-1beb-4397-bf2c-96843349dfc9"/>
    <s v="2026-06-01"/>
    <x v="0"/>
    <x v="0"/>
    <n v="1"/>
    <s v="00:00"/>
    <n v="10000"/>
    <x v="0"/>
    <s v="rc_cat_1781955063347_anhy_1781955063347_qnaz"/>
    <x v="4"/>
    <s v="kbank"/>
    <x v="0"/>
    <s v=""/>
    <m/>
    <s v="-"/>
    <m/>
    <s v="import"/>
    <s v=""/>
    <b v="0"/>
    <s v=""/>
  </r>
  <r>
    <s v="b3f8c1ef-16d0-4a0f-adc4-e6135b16c6af"/>
    <s v="2026-05-31"/>
    <x v="0"/>
    <x v="1"/>
    <n v="31"/>
    <s v="14:51"/>
    <n v="2717"/>
    <x v="1"/>
    <s v="other"/>
    <x v="1"/>
    <s v="advance"/>
    <x v="2"/>
    <s v="kbank"/>
    <s v="KBank"/>
    <s v="-"/>
    <m/>
    <s v="import"/>
    <s v=""/>
    <b v="0"/>
    <s v=""/>
  </r>
  <r>
    <s v="f6a45dd4-3e99-40b1-bfc8-04920b126cc2"/>
    <s v="2026-05-31"/>
    <x v="0"/>
    <x v="1"/>
    <n v="31"/>
    <s v="14:54"/>
    <n v="125"/>
    <x v="0"/>
    <s v="rc_cat_1781955063347_5qjb_1781955063347_tezk"/>
    <x v="5"/>
    <s v="advance"/>
    <x v="2"/>
    <s v=""/>
    <m/>
    <s v="-"/>
    <m/>
    <s v="import"/>
    <s v=""/>
    <b v="0"/>
    <s v=""/>
  </r>
  <r>
    <s v="ae2677b6-002d-48ce-8b16-6b6f8aa63d20"/>
    <s v="2026-05-31"/>
    <x v="0"/>
    <x v="1"/>
    <n v="31"/>
    <s v="14:54"/>
    <n v="878"/>
    <x v="0"/>
    <s v="rc_cat_1781955063347_s4sz_1781955063347_deos"/>
    <x v="6"/>
    <s v="advance"/>
    <x v="2"/>
    <s v=""/>
    <m/>
    <s v="-"/>
    <m/>
    <s v="import"/>
    <s v=""/>
    <b v="0"/>
    <s v=""/>
  </r>
  <r>
    <s v="b19b6491-d25e-4cf0-bfd3-0978c11f7dc5"/>
    <s v="2026-05-31"/>
    <x v="0"/>
    <x v="1"/>
    <n v="31"/>
    <s v="14:55"/>
    <n v="412"/>
    <x v="0"/>
    <s v="entertain_1781955063359_cf7f"/>
    <x v="7"/>
    <s v="advance"/>
    <x v="2"/>
    <s v=""/>
    <m/>
    <s v="-"/>
    <m/>
    <s v="import"/>
    <s v=""/>
    <b v="0"/>
    <s v=""/>
  </r>
  <r>
    <s v="16afbb20-5352-41d3-9652-449a24dffa81"/>
    <s v="2026-05-31"/>
    <x v="0"/>
    <x v="1"/>
    <n v="31"/>
    <s v="14:55"/>
    <n v="529"/>
    <x v="0"/>
    <s v="entertain_1781955063347_8r8e"/>
    <x v="8"/>
    <s v="advance"/>
    <x v="2"/>
    <s v=""/>
    <m/>
    <s v="-"/>
    <m/>
    <s v="import"/>
    <s v=""/>
    <b v="0"/>
    <s v=""/>
  </r>
  <r>
    <s v="3c9192d1-54c1-40de-b59d-a2f6c37125eb"/>
    <s v="2026-05-31"/>
    <x v="0"/>
    <x v="1"/>
    <n v="31"/>
    <s v="14:56"/>
    <n v="241"/>
    <x v="0"/>
    <s v="rc_cat_1781955063347_s4sz_1781955063347_9tpp"/>
    <x v="9"/>
    <s v="advance"/>
    <x v="2"/>
    <s v=""/>
    <m/>
    <s v="-"/>
    <m/>
    <s v="import"/>
    <s v=""/>
    <b v="0"/>
    <s v=""/>
  </r>
  <r>
    <s v="f2cc5004-9ce4-4290-88d8-198fe972fe0b"/>
    <s v="2026-05-31"/>
    <x v="0"/>
    <x v="1"/>
    <n v="31"/>
    <s v="14:56"/>
    <n v="272"/>
    <x v="0"/>
    <s v="other_1781955063348_27zj"/>
    <x v="0"/>
    <s v="advance"/>
    <x v="2"/>
    <s v=""/>
    <m/>
    <s v="-"/>
    <m/>
    <s v="import"/>
    <s v=""/>
    <b v="0"/>
    <s v=""/>
  </r>
  <r>
    <s v="5de22862-3e94-4dbf-8036-178b2dc863bc"/>
    <s v="2026-05-31"/>
    <x v="0"/>
    <x v="1"/>
    <n v="31"/>
    <s v="15:20"/>
    <n v="1680"/>
    <x v="1"/>
    <s v="other"/>
    <x v="1"/>
    <s v="advance"/>
    <x v="2"/>
    <s v="kbank"/>
    <s v="KBank"/>
    <s v="คืน kiwamiya"/>
    <m/>
    <s v="import"/>
    <s v=""/>
    <b v="0"/>
    <s v=""/>
  </r>
  <r>
    <s v="048f23f8-4d8e-41a8-a1e8-244e57216091"/>
    <s v="2026-05-31"/>
    <x v="0"/>
    <x v="1"/>
    <n v="31"/>
    <s v="15:23"/>
    <n v="320"/>
    <x v="0"/>
    <s v="rc_cat_1781955063347_anhy_1781955063347_qnaz"/>
    <x v="4"/>
    <s v="advance"/>
    <x v="2"/>
    <s v=""/>
    <m/>
    <s v="phone"/>
    <m/>
    <s v="import"/>
    <s v=""/>
    <b v="0"/>
    <s v=""/>
  </r>
  <r>
    <s v="a2f98d38-f517-43e4-af53-02672834877e"/>
    <s v="2026-05-31"/>
    <x v="0"/>
    <x v="1"/>
    <n v="31"/>
    <s v="15:23"/>
    <n v="485"/>
    <x v="0"/>
    <s v="entertain_1781955063352_1jgx"/>
    <x v="10"/>
    <s v="advance"/>
    <x v="2"/>
    <s v=""/>
    <m/>
    <s v="-"/>
    <m/>
    <s v="import"/>
    <s v=""/>
    <b v="0"/>
    <s v=""/>
  </r>
  <r>
    <s v="daf52cb3-6b69-47ae-b5ab-4aa12d182530"/>
    <s v="2026-05-31"/>
    <x v="0"/>
    <x v="1"/>
    <n v="31"/>
    <s v="15:24"/>
    <n v="300"/>
    <x v="0"/>
    <s v="other_1781955063348_27zj"/>
    <x v="0"/>
    <s v="advance"/>
    <x v="2"/>
    <s v=""/>
    <m/>
    <s v="cellphone"/>
    <m/>
    <s v="import"/>
    <s v=""/>
    <b v="0"/>
    <s v=""/>
  </r>
  <r>
    <s v="c5112d40-af64-4775-8a7e-ec22928c8fcc"/>
    <s v="2026-05-31"/>
    <x v="0"/>
    <x v="1"/>
    <n v="31"/>
    <s v="15:24"/>
    <n v="2108"/>
    <x v="0"/>
    <s v="rc_cat_1781955063347_5qjb_1781955063347_tezk"/>
    <x v="5"/>
    <s v="advance"/>
    <x v="2"/>
    <s v=""/>
    <m/>
    <s v="-"/>
    <m/>
    <s v="import"/>
    <s v=""/>
    <b v="0"/>
    <s v=""/>
  </r>
  <r>
    <s v="1177d4d7-71ce-4d3d-b66d-6d52c19353ea"/>
    <s v="2026-05-31"/>
    <x v="0"/>
    <x v="1"/>
    <n v="31"/>
    <s v="15:26"/>
    <n v="31486.37"/>
    <x v="1"/>
    <s v="other"/>
    <x v="1"/>
    <s v="advance"/>
    <x v="2"/>
    <s v="kbank"/>
    <s v="KBank"/>
    <s v="-"/>
    <m/>
    <s v="import"/>
    <s v=""/>
    <b v="0"/>
    <s v=""/>
  </r>
  <r>
    <s v="612a5adf-c0f5-439d-abc9-d483359fa7c7"/>
    <s v="2026-05-31"/>
    <x v="0"/>
    <x v="1"/>
    <n v="31"/>
    <s v="15:57"/>
    <n v="100"/>
    <x v="1"/>
    <s v="other"/>
    <x v="1"/>
    <s v="kbank"/>
    <x v="0"/>
    <s v="rc_acc_1781955063347_uxz4"/>
    <s v="SCB"/>
    <s v="-"/>
    <m/>
    <s v="import"/>
    <s v=""/>
    <b v="0"/>
    <s v=""/>
  </r>
  <r>
    <s v="d983d28c-19e7-4a2c-be96-300af78cece5"/>
    <s v="2026-05-31"/>
    <x v="0"/>
    <x v="1"/>
    <n v="31"/>
    <s v="17:14"/>
    <n v="3743"/>
    <x v="1"/>
    <s v="other"/>
    <x v="1"/>
    <s v="advance"/>
    <x v="2"/>
    <s v="rc_acc_1781955063347_kjxt"/>
    <s v="KTC JCB"/>
    <s v="คืนยอด toyoko 18030"/>
    <m/>
    <s v="import"/>
    <s v=""/>
    <b v="0"/>
    <s v=""/>
  </r>
  <r>
    <s v="e58db440-6cc7-4083-9e34-10cfa59e8d80"/>
    <s v="2026-05-31"/>
    <x v="0"/>
    <x v="1"/>
    <n v="31"/>
    <s v="18:46"/>
    <n v="3900"/>
    <x v="0"/>
    <s v="rc_cat_1781955063347_5qjb_1781955063347_tezk"/>
    <x v="5"/>
    <s v="rc_acc_1781955063357_rvam"/>
    <x v="3"/>
    <s v=""/>
    <m/>
    <s v="-"/>
    <m/>
    <s v="import"/>
    <s v=""/>
    <b v="0"/>
    <s v=""/>
  </r>
  <r>
    <s v="2c5e0494-002c-43ed-ba38-be29488a0442"/>
    <s v="2026-05-31"/>
    <x v="0"/>
    <x v="1"/>
    <n v="31"/>
    <s v="19:49"/>
    <n v="1085"/>
    <x v="0"/>
    <s v="entertain_1781955063348_kx2f"/>
    <x v="0"/>
    <s v="rc_acc_1781955063347_kjxt"/>
    <x v="1"/>
    <s v=""/>
    <m/>
    <s v="joshin gunpla"/>
    <m/>
    <s v="import"/>
    <s v=""/>
    <b v="0"/>
    <s v=""/>
  </r>
  <r>
    <s v="4b662376-35c2-41fd-a93a-582577599447"/>
    <s v="2026-05-27"/>
    <x v="0"/>
    <x v="1"/>
    <n v="27"/>
    <s v="12:29"/>
    <n v="200"/>
    <x v="0"/>
    <s v="other_1781955063348_27zj"/>
    <x v="0"/>
    <s v="kbank"/>
    <x v="0"/>
    <s v=""/>
    <m/>
    <s v="-"/>
    <m/>
    <s v="import"/>
    <s v=""/>
    <b v="0"/>
    <s v=""/>
  </r>
  <r>
    <s v="00d796c2-67f6-426d-b96c-b049679113f7"/>
    <s v="2026-05-27"/>
    <x v="0"/>
    <x v="1"/>
    <n v="27"/>
    <s v="14:31"/>
    <n v="45029.79"/>
    <x v="1"/>
    <s v="other"/>
    <x v="1"/>
    <s v="kbank"/>
    <x v="0"/>
    <s v="advance"/>
    <s v="Advance Paid"/>
    <s v="kbank shopee+ UOB"/>
    <m/>
    <s v="import"/>
    <s v=""/>
    <b v="0"/>
    <s v=""/>
  </r>
  <r>
    <s v="3b319eb2-155c-4b7d-8e33-54dfb6991557"/>
    <s v="2026-05-25"/>
    <x v="0"/>
    <x v="1"/>
    <n v="25"/>
    <s v="00:00"/>
    <n v="6894.8"/>
    <x v="0"/>
    <s v="rc_cat_1781955063347_04qb_1781955063350_acgf"/>
    <x v="11"/>
    <s v="kbank"/>
    <x v="0"/>
    <s v=""/>
    <m/>
    <s v="-"/>
    <m/>
    <s v="import"/>
    <s v=""/>
    <b v="0"/>
    <s v=""/>
  </r>
  <r>
    <s v="64db2ea7-1507-42bc-991e-25881a6ab354"/>
    <s v="2026-05-25"/>
    <x v="0"/>
    <x v="1"/>
    <n v="25"/>
    <s v="00:00"/>
    <n v="9790"/>
    <x v="0"/>
    <s v="rc_cat_1781955063347_04qb_1781955063360_ocha"/>
    <x v="12"/>
    <s v="kbank"/>
    <x v="0"/>
    <s v=""/>
    <m/>
    <s v="-"/>
    <m/>
    <s v="import"/>
    <s v=""/>
    <b v="0"/>
    <s v=""/>
  </r>
  <r>
    <s v="5594158f-9f2a-413c-bd41-c8400dd2287a"/>
    <s v="2026-05-25"/>
    <x v="0"/>
    <x v="1"/>
    <n v="25"/>
    <s v="00:00"/>
    <n v="1917.52"/>
    <x v="0"/>
    <s v="rc_cat_1781955063347_04qb_1781955063347_kgnn"/>
    <x v="13"/>
    <s v="kbank"/>
    <x v="0"/>
    <s v=""/>
    <m/>
    <s v="-"/>
    <m/>
    <s v="import"/>
    <s v=""/>
    <b v="0"/>
    <s v=""/>
  </r>
  <r>
    <s v="39ea103d-6000-4c6d-9c10-33ef14b923a3"/>
    <s v="2026-05-25"/>
    <x v="0"/>
    <x v="1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641d7157-dc66-493d-9689-75b258cff1f7"/>
    <s v="2026-05-25"/>
    <x v="0"/>
    <x v="1"/>
    <n v="25"/>
    <s v="00:00"/>
    <n v="3357"/>
    <x v="1"/>
    <s v="other"/>
    <x v="1"/>
    <s v="kbank"/>
    <x v="0"/>
    <s v="rc_acc_1781955063347_r9dz"/>
    <s v="Provident Fund"/>
    <s v="33"/>
    <m/>
    <s v="import"/>
    <s v=""/>
    <b v="0"/>
    <s v=""/>
  </r>
  <r>
    <s v="d361eda9-d995-4066-8eeb-5874546eaf20"/>
    <s v="2026-05-25"/>
    <x v="0"/>
    <x v="1"/>
    <n v="25"/>
    <s v="00:00"/>
    <n v="167890"/>
    <x v="2"/>
    <s v="income_1781955063347_5zxt"/>
    <x v="14"/>
    <s v="kbank"/>
    <x v="0"/>
    <s v=""/>
    <m/>
    <s v="-"/>
    <m/>
    <s v="import"/>
    <s v=""/>
    <b v="0"/>
    <s v=""/>
  </r>
  <r>
    <s v="eb40710a-68ae-4745-a7b2-27dc5107b93a"/>
    <s v="2026-05-13"/>
    <x v="0"/>
    <x v="1"/>
    <n v="13"/>
    <s v="12:29"/>
    <n v="260"/>
    <x v="0"/>
    <s v="rc_cat_1781955063347_5qjb_1781955063347_tezk"/>
    <x v="5"/>
    <s v="kbank"/>
    <x v="0"/>
    <s v=""/>
    <m/>
    <s v="-"/>
    <m/>
    <s v="import"/>
    <s v=""/>
    <b v="0"/>
    <s v=""/>
  </r>
  <r>
    <s v="5fefcd35-e2c7-4c62-bd26-bcaa3126f828"/>
    <s v="2026-05-12"/>
    <x v="0"/>
    <x v="1"/>
    <n v="12"/>
    <s v="12:28"/>
    <n v="20000"/>
    <x v="1"/>
    <s v="other"/>
    <x v="1"/>
    <s v="kbank"/>
    <x v="0"/>
    <s v="rc_acc_1781955063348_no9r"/>
    <s v="Krungthai Next"/>
    <s v="-"/>
    <m/>
    <s v="import"/>
    <s v=""/>
    <b v="0"/>
    <s v=""/>
  </r>
  <r>
    <s v="ac406d76-52eb-4c95-85af-8784245dabbb"/>
    <s v="2026-05-05"/>
    <x v="0"/>
    <x v="1"/>
    <n v="5"/>
    <s v="12:28"/>
    <n v="305000"/>
    <x v="1"/>
    <s v="other"/>
    <x v="1"/>
    <s v="kbank"/>
    <x v="0"/>
    <s v="rc_acc_1781955063349_yz2g"/>
    <s v="Investment"/>
    <s v="-"/>
    <m/>
    <s v="import"/>
    <s v=""/>
    <b v="0"/>
    <s v=""/>
  </r>
  <r>
    <s v="c4c8f33a-a4c6-4d47-8ac3-10064381d3c8"/>
    <s v="2026-05-04"/>
    <x v="0"/>
    <x v="1"/>
    <n v="4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573611ac-1c3e-41b8-8c7c-656b631f2dbb"/>
    <s v="2026-05-04"/>
    <x v="0"/>
    <x v="1"/>
    <n v="4"/>
    <s v="12:38"/>
    <n v="7264"/>
    <x v="0"/>
    <s v="rc_cat_1781955063347_04qb_1781955063347_wt5p"/>
    <x v="3"/>
    <s v="kbank"/>
    <x v="0"/>
    <s v=""/>
    <m/>
    <s v="-"/>
    <m/>
    <s v="import"/>
    <s v=""/>
    <b v="0"/>
    <s v=""/>
  </r>
  <r>
    <s v="dfe80027-8454-4e13-adb3-271958a3e2d3"/>
    <s v="2026-05-04"/>
    <x v="0"/>
    <x v="1"/>
    <n v="4"/>
    <s v="12:46"/>
    <n v="3480"/>
    <x v="0"/>
    <s v="entertain_1781955063348_kx2f"/>
    <x v="0"/>
    <s v="kbank"/>
    <x v="0"/>
    <s v=""/>
    <m/>
    <s v="ss 2/10"/>
    <m/>
    <s v="import"/>
    <s v=""/>
    <b v="0"/>
    <s v=""/>
  </r>
  <r>
    <s v="71b682e3-db26-48b2-851f-7d818f2cefae"/>
    <s v="2026-05-04"/>
    <x v="0"/>
    <x v="1"/>
    <n v="4"/>
    <s v="12:47"/>
    <n v="320"/>
    <x v="0"/>
    <s v="rc_cat_1781955063347_anhy_1781955063347_qnaz"/>
    <x v="4"/>
    <s v="kbank"/>
    <x v="0"/>
    <s v=""/>
    <m/>
    <s v="-"/>
    <m/>
    <s v="import"/>
    <s v=""/>
    <b v="0"/>
    <s v=""/>
  </r>
  <r>
    <s v="75b7eaae-71c2-438f-acd6-eaf07bcb9cfd"/>
    <s v="2026-05-04"/>
    <x v="0"/>
    <x v="1"/>
    <n v="4"/>
    <s v="12:48"/>
    <n v="849"/>
    <x v="0"/>
    <s v="entertain_1781955063352_1jgx"/>
    <x v="10"/>
    <s v="kbank"/>
    <x v="0"/>
    <s v=""/>
    <m/>
    <s v="-"/>
    <m/>
    <s v="import"/>
    <s v=""/>
    <b v="0"/>
    <s v=""/>
  </r>
  <r>
    <s v="8f9bbe79-7814-4fa6-83c3-bca3d930c5cd"/>
    <s v="2026-05-04"/>
    <x v="0"/>
    <x v="1"/>
    <n v="4"/>
    <s v="12:49"/>
    <n v="923"/>
    <x v="1"/>
    <s v="other"/>
    <x v="1"/>
    <s v="advance"/>
    <x v="2"/>
    <s v="kbank"/>
    <s v="KBank"/>
    <s v="คืนค่าไฟ"/>
    <m/>
    <s v="import"/>
    <s v=""/>
    <b v="0"/>
    <s v=""/>
  </r>
  <r>
    <s v="2da586c8-871a-46b0-a22e-6420942549ea"/>
    <s v="2026-05-04"/>
    <x v="0"/>
    <x v="1"/>
    <n v="4"/>
    <s v="20:27"/>
    <n v="30015"/>
    <x v="1"/>
    <s v="other"/>
    <x v="1"/>
    <s v="kbank"/>
    <x v="0"/>
    <s v="advance"/>
    <s v="Advance Paid"/>
    <s v="แลกเงิน JPY"/>
    <m/>
    <s v="import"/>
    <s v=""/>
    <b v="0"/>
    <s v=""/>
  </r>
  <r>
    <s v="2674e201-0242-4831-8950-5baf50abb9f9"/>
    <s v="2026-05-04"/>
    <x v="0"/>
    <x v="1"/>
    <n v="4"/>
    <s v="20:53"/>
    <n v="15015"/>
    <x v="1"/>
    <s v="other"/>
    <x v="1"/>
    <s v="advance"/>
    <x v="2"/>
    <s v="rc_acc_1781955063358_cs4m"/>
    <s v="JPY cash"/>
    <s v="-"/>
    <m/>
    <s v="import"/>
    <s v=""/>
    <b v="0"/>
    <s v=""/>
  </r>
  <r>
    <s v="da6d4487-85b3-4091-8dc9-17d92e4e4f5c"/>
    <s v="2026-05-03"/>
    <x v="0"/>
    <x v="1"/>
    <n v="3"/>
    <s v="12:38"/>
    <n v="200"/>
    <x v="0"/>
    <s v="rc_cat_1781955063347_anhy_1781955063347_qnaz"/>
    <x v="4"/>
    <s v="kbank"/>
    <x v="0"/>
    <s v=""/>
    <m/>
    <s v="-"/>
    <m/>
    <s v="import"/>
    <s v=""/>
    <b v="0"/>
    <s v=""/>
  </r>
  <r>
    <s v="8f23d47c-478d-4829-9503-bd7f0d6789ad"/>
    <s v="2026-05-03"/>
    <x v="0"/>
    <x v="1"/>
    <n v="3"/>
    <s v="12:38"/>
    <n v="8000"/>
    <x v="0"/>
    <s v="rc_cat_1781955063347_anhy_1781955063347_qnaz"/>
    <x v="4"/>
    <s v="kbank"/>
    <x v="0"/>
    <s v=""/>
    <m/>
    <s v="-"/>
    <m/>
    <s v="import"/>
    <s v=""/>
    <b v="0"/>
    <s v=""/>
  </r>
  <r>
    <s v="5009f186-4ac0-487b-84d8-ea8b43056591"/>
    <s v="2026-05-02"/>
    <x v="0"/>
    <x v="1"/>
    <n v="2"/>
    <s v="12:37"/>
    <n v="690"/>
    <x v="0"/>
    <s v="rc_cat_1781955063347_anhy_1781955063347_qnaz"/>
    <x v="4"/>
    <s v="kbank"/>
    <x v="0"/>
    <s v=""/>
    <m/>
    <s v="เค้ก"/>
    <m/>
    <s v="import"/>
    <s v=""/>
    <b v="0"/>
    <s v=""/>
  </r>
  <r>
    <s v="a5ea460c-a848-48a4-8246-c804f974f41b"/>
    <s v="2026-05-01"/>
    <x v="0"/>
    <x v="1"/>
    <n v="1"/>
    <s v="12:37"/>
    <n v="5000"/>
    <x v="1"/>
    <s v="other"/>
    <x v="1"/>
    <s v="kbank"/>
    <x v="0"/>
    <s v="rc_acc_1781955063357_rvam"/>
    <s v="Make Kbank"/>
    <s v="-"/>
    <m/>
    <s v="import"/>
    <s v=""/>
    <b v="0"/>
    <s v=""/>
  </r>
  <r>
    <s v="cbed083e-90fb-4097-ba2c-235a13d87f28"/>
    <s v="2026-04-30"/>
    <x v="0"/>
    <x v="2"/>
    <n v="30"/>
    <s v="12:55"/>
    <n v="4863"/>
    <x v="0"/>
    <s v="rc_cat_1781955063347_5qjb_1781955063347_tezk"/>
    <x v="5"/>
    <s v="rc_acc_1781955063357_rvam"/>
    <x v="3"/>
    <s v=""/>
    <m/>
    <s v="-"/>
    <m/>
    <s v="import"/>
    <s v=""/>
    <b v="0"/>
    <s v=""/>
  </r>
  <r>
    <s v="910eda16-f113-4630-97ac-e2130021e4bc"/>
    <s v="2026-04-30"/>
    <x v="0"/>
    <x v="2"/>
    <n v="30"/>
    <s v="13:06"/>
    <n v="2618"/>
    <x v="1"/>
    <s v="other"/>
    <x v="1"/>
    <s v="rc_acc_1781955063347_kjxt"/>
    <x v="1"/>
    <s v="kbank"/>
    <s v="KBank"/>
    <s v="-"/>
    <m/>
    <s v="import"/>
    <s v=""/>
    <b v="0"/>
    <s v=""/>
  </r>
  <r>
    <s v="17b444f1-1309-4a0b-b439-30e08e1d9aa6"/>
    <s v="2026-04-30"/>
    <x v="0"/>
    <x v="2"/>
    <n v="30"/>
    <s v="13:09"/>
    <n v="1064"/>
    <x v="0"/>
    <s v="rc_cat_1781955063347_5qjb_1781955063347_tezk"/>
    <x v="5"/>
    <s v="kbank"/>
    <x v="0"/>
    <s v=""/>
    <m/>
    <s v="-"/>
    <m/>
    <s v="import"/>
    <s v=""/>
    <b v="0"/>
    <s v=""/>
  </r>
  <r>
    <s v="f41de673-a1ea-4462-9088-16b555aaa443"/>
    <s v="2026-04-30"/>
    <x v="0"/>
    <x v="2"/>
    <n v="30"/>
    <s v="19:48"/>
    <n v="-715"/>
    <x v="0"/>
    <s v="other_1781955063347_5s7r"/>
    <x v="15"/>
    <s v="rc_acc_1781955063347_kjxt"/>
    <x v="1"/>
    <s v=""/>
    <m/>
    <s v="Difference"/>
    <m/>
    <s v="import"/>
    <s v=""/>
    <b v="0"/>
    <s v=""/>
  </r>
  <r>
    <s v="dc8ab973-8f45-406a-8881-e3b471658c3c"/>
    <s v="2026-04-29"/>
    <x v="0"/>
    <x v="2"/>
    <n v="29"/>
    <s v="12:27"/>
    <n v="541"/>
    <x v="0"/>
    <s v="rc_cat_1781955063347_anhy_1781955063348_k5l1"/>
    <x v="16"/>
    <s v="kbank"/>
    <x v="0"/>
    <s v=""/>
    <m/>
    <s v="เลี้ยงฝน"/>
    <m/>
    <s v="import"/>
    <s v=""/>
    <b v="0"/>
    <s v=""/>
  </r>
  <r>
    <s v="ad4ebf64-9077-4a5e-aaee-c169e1174c6c"/>
    <s v="2026-04-25"/>
    <x v="0"/>
    <x v="2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d81f1c2c-f8b1-4566-8049-111162fbd720"/>
    <s v="2026-04-25"/>
    <x v="0"/>
    <x v="2"/>
    <n v="25"/>
    <s v="00:00"/>
    <n v="2127.98"/>
    <x v="0"/>
    <s v="rc_cat_1781955063347_04qb_1781955063347_kgnn"/>
    <x v="13"/>
    <s v="kbank"/>
    <x v="0"/>
    <s v=""/>
    <m/>
    <s v="-"/>
    <m/>
    <s v="import"/>
    <s v=""/>
    <b v="0"/>
    <s v=""/>
  </r>
  <r>
    <s v="f07b080b-53e6-4b19-bbc3-9ed5c8960b2d"/>
    <s v="2026-04-25"/>
    <x v="0"/>
    <x v="2"/>
    <n v="25"/>
    <s v="00:00"/>
    <n v="9790"/>
    <x v="0"/>
    <s v="rc_cat_1781955063347_04qb_1781955063360_ocha"/>
    <x v="12"/>
    <s v="kbank"/>
    <x v="0"/>
    <s v=""/>
    <m/>
    <s v="-"/>
    <m/>
    <s v="import"/>
    <s v=""/>
    <b v="0"/>
    <s v=""/>
  </r>
  <r>
    <s v="a30dd100-5433-4b03-8416-79c69c92bd23"/>
    <s v="2026-04-25"/>
    <x v="0"/>
    <x v="2"/>
    <n v="25"/>
    <s v="00:00"/>
    <n v="7127.68"/>
    <x v="0"/>
    <s v="rc_cat_1781955063347_04qb_1781955063350_acgf"/>
    <x v="11"/>
    <s v="kbank"/>
    <x v="0"/>
    <s v=""/>
    <m/>
    <s v="-"/>
    <m/>
    <s v="import"/>
    <s v=""/>
    <b v="0"/>
    <s v=""/>
  </r>
  <r>
    <s v="1d21d44a-5eaa-49fb-81f9-af6273f75762"/>
    <s v="2026-04-25"/>
    <x v="0"/>
    <x v="2"/>
    <n v="25"/>
    <s v="00:00"/>
    <n v="3357.8"/>
    <x v="1"/>
    <s v="other"/>
    <x v="1"/>
    <s v="kbank"/>
    <x v="0"/>
    <s v="rc_acc_1781955063347_r9dz"/>
    <s v="Provident Fund"/>
    <s v="-"/>
    <m/>
    <s v="import"/>
    <s v=""/>
    <b v="0"/>
    <s v=""/>
  </r>
  <r>
    <s v="69dbe281-78c8-48b5-8796-9fc7aebbb6b5"/>
    <s v="2026-04-25"/>
    <x v="0"/>
    <x v="2"/>
    <n v="25"/>
    <s v="00:00"/>
    <n v="167890"/>
    <x v="2"/>
    <s v="income_1781955063347_5zxt"/>
    <x v="14"/>
    <s v="kbank"/>
    <x v="0"/>
    <s v=""/>
    <m/>
    <s v="-"/>
    <m/>
    <s v="import"/>
    <s v=""/>
    <b v="0"/>
    <s v=""/>
  </r>
  <r>
    <s v="8c01ee50-18e2-4537-94f4-d9f90695ca0c"/>
    <s v="2026-04-24"/>
    <x v="0"/>
    <x v="2"/>
    <n v="24"/>
    <s v="12:26"/>
    <n v="2816"/>
    <x v="0"/>
    <s v="rc_cat_1781955063347_anhy_1781955063348_k5l1"/>
    <x v="16"/>
    <s v="kbank"/>
    <x v="0"/>
    <s v=""/>
    <m/>
    <s v="เลี้ยงทีม น้ำและข้าว"/>
    <m/>
    <s v="import"/>
    <s v=""/>
    <b v="0"/>
    <s v=""/>
  </r>
  <r>
    <s v="4616b5d9-92d8-4495-a08d-3f1450fc6295"/>
    <s v="2026-04-24"/>
    <x v="0"/>
    <x v="2"/>
    <n v="24"/>
    <s v="12:26"/>
    <n v="590"/>
    <x v="0"/>
    <s v="rc_cat_1781955063347_anhy_1781955063350_fcpb"/>
    <x v="2"/>
    <s v="kbank"/>
    <x v="0"/>
    <s v=""/>
    <m/>
    <s v="เคส 425degree"/>
    <m/>
    <s v="import"/>
    <s v=""/>
    <b v="0"/>
    <s v=""/>
  </r>
  <r>
    <s v="e92cdfa8-e2f9-4bc9-b011-1aada204a766"/>
    <s v="2026-04-23"/>
    <x v="0"/>
    <x v="2"/>
    <n v="23"/>
    <s v="12:25"/>
    <n v="456"/>
    <x v="0"/>
    <s v="rc_cat_1781955063347_anhy_1781955063348_k5l1"/>
    <x v="16"/>
    <s v="kbank"/>
    <x v="0"/>
    <s v=""/>
    <m/>
    <s v="Mentoring"/>
    <m/>
    <s v="import"/>
    <s v=""/>
    <b v="0"/>
    <s v=""/>
  </r>
  <r>
    <s v="0bf0efe2-4796-4eb7-a41a-f854271c9511"/>
    <s v="2026-04-21"/>
    <x v="0"/>
    <x v="2"/>
    <n v="21"/>
    <s v="12:24"/>
    <n v="3995"/>
    <x v="2"/>
    <s v="income_1781955063347_zblt"/>
    <x v="17"/>
    <s v="kbank"/>
    <x v="0"/>
    <s v=""/>
    <m/>
    <s v="-"/>
    <m/>
    <s v="import"/>
    <s v=""/>
    <b v="0"/>
    <s v=""/>
  </r>
  <r>
    <s v="0752f577-5006-46cc-9fe0-0cfa751fbb53"/>
    <s v="2026-04-15"/>
    <x v="0"/>
    <x v="2"/>
    <n v="15"/>
    <s v="12:23"/>
    <n v="923.77"/>
    <x v="1"/>
    <s v="other"/>
    <x v="1"/>
    <s v="kbank"/>
    <x v="0"/>
    <s v="advance"/>
    <s v="Advance Paid"/>
    <s v="ค่าไฟ คืนแล้ว"/>
    <m/>
    <s v="import"/>
    <s v=""/>
    <b v="0"/>
    <s v=""/>
  </r>
  <r>
    <s v="d525fbe6-961d-4229-99d2-5d9505eafb51"/>
    <s v="2026-04-15"/>
    <x v="0"/>
    <x v="2"/>
    <n v="15"/>
    <s v="12:24"/>
    <n v="2355"/>
    <x v="0"/>
    <s v="rc_cat_1781955063347_anhy_1781955063347_qnaz"/>
    <x v="4"/>
    <s v="kbank"/>
    <x v="0"/>
    <s v=""/>
    <m/>
    <s v="-"/>
    <m/>
    <s v="import"/>
    <s v=""/>
    <b v="0"/>
    <s v=""/>
  </r>
  <r>
    <s v="6aa0d776-217d-4c7c-9691-2273e9fe7269"/>
    <s v="2026-04-06"/>
    <x v="0"/>
    <x v="2"/>
    <n v="6"/>
    <s v="19:31"/>
    <n v="3834"/>
    <x v="1"/>
    <s v="other"/>
    <x v="1"/>
    <s v="advance"/>
    <x v="2"/>
    <s v="rc_acc_1781955063347_kjxt"/>
    <s v="KTC JCB"/>
    <s v="-"/>
    <m/>
    <s v="import"/>
    <s v=""/>
    <b v="0"/>
    <s v=""/>
  </r>
  <r>
    <s v="827be5f2-dd1b-4676-857c-e94f6f1e4bd5"/>
    <s v="2026-04-06"/>
    <x v="0"/>
    <x v="2"/>
    <n v="6"/>
    <s v="19:32"/>
    <n v="795"/>
    <x v="0"/>
    <s v="rc_cat_1781955063347_5qjb_1781955063347_tezk"/>
    <x v="5"/>
    <s v="rc_acc_1781955063347_kjxt"/>
    <x v="1"/>
    <s v=""/>
    <m/>
    <s v="-"/>
    <m/>
    <s v="import"/>
    <s v=""/>
    <b v="0"/>
    <s v=""/>
  </r>
  <r>
    <s v="3e0fa2d4-4ade-4ee9-b853-c06ec1b286b0"/>
    <s v="2026-04-06"/>
    <x v="0"/>
    <x v="2"/>
    <n v="6"/>
    <s v="19:34"/>
    <n v="1820"/>
    <x v="1"/>
    <s v="other"/>
    <x v="1"/>
    <s v="rc_acc_1781955063347_kjxt"/>
    <x v="1"/>
    <s v="advance"/>
    <s v="Advance Paid"/>
    <s v="กองกลางค้าง"/>
    <m/>
    <s v="import"/>
    <s v=""/>
    <b v="0"/>
    <s v=""/>
  </r>
  <r>
    <s v="92c75425-c94f-4381-b9bd-2a3a78cf0d9e"/>
    <s v="2026-04-04"/>
    <x v="0"/>
    <x v="2"/>
    <n v="4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c6b03119-e780-4926-a5a4-166922027dbf"/>
    <s v="2026-04-04"/>
    <x v="0"/>
    <x v="2"/>
    <n v="4"/>
    <s v="13:46"/>
    <n v="2208"/>
    <x v="0"/>
    <s v="entertain_1781955063352_1jgx"/>
    <x v="10"/>
    <s v="kbank"/>
    <x v="0"/>
    <s v=""/>
    <m/>
    <s v="ยอด shopee เคส กาตูน กิน"/>
    <m/>
    <s v="import"/>
    <s v=""/>
    <b v="0"/>
    <s v=""/>
  </r>
  <r>
    <s v="54cd23a9-ee84-4f3d-b2ed-74bd83cb729b"/>
    <s v="2026-04-04"/>
    <x v="0"/>
    <x v="2"/>
    <n v="4"/>
    <s v="13:48"/>
    <n v="6213"/>
    <x v="1"/>
    <s v="other"/>
    <x v="1"/>
    <s v="advance"/>
    <x v="2"/>
    <s v="kbank"/>
    <s v="KBank"/>
    <s v="ค่า รร นาโกย่า ยกเลิกยอด 6378 /30760 yen ขาดทุน 165 บาท"/>
    <m/>
    <s v="import"/>
    <s v=""/>
    <b v="0"/>
    <s v=""/>
  </r>
  <r>
    <s v="b2016e7c-30d7-4c25-af55-8efd61860e52"/>
    <s v="2026-04-04"/>
    <x v="0"/>
    <x v="2"/>
    <n v="4"/>
    <s v="13:49"/>
    <n v="7269"/>
    <x v="0"/>
    <s v="rc_cat_1781955063347_04qb_1781955063347_wt5p"/>
    <x v="3"/>
    <s v="kbank"/>
    <x v="0"/>
    <s v=""/>
    <m/>
    <s v="-"/>
    <m/>
    <s v="import"/>
    <s v=""/>
    <b v="0"/>
    <s v=""/>
  </r>
  <r>
    <s v="2e6dc8cc-1160-4234-aa26-3731deb89d55"/>
    <s v="2026-04-04"/>
    <x v="0"/>
    <x v="2"/>
    <n v="4"/>
    <s v="13:50"/>
    <n v="1599"/>
    <x v="1"/>
    <s v="other"/>
    <x v="1"/>
    <s v="advance"/>
    <x v="2"/>
    <s v="kbank"/>
    <s v="KBank"/>
    <s v="คืนค่าไฟ"/>
    <m/>
    <s v="import"/>
    <s v=""/>
    <b v="0"/>
    <s v=""/>
  </r>
  <r>
    <s v="18098542-b981-4762-bcb5-905108adb17e"/>
    <s v="2026-04-04"/>
    <x v="0"/>
    <x v="2"/>
    <n v="4"/>
    <s v="14:02"/>
    <n v="1122"/>
    <x v="0"/>
    <s v="rc_cat_1781955063347_anhy_1781955063348_k5l1"/>
    <x v="16"/>
    <s v="kbank"/>
    <x v="0"/>
    <s v=""/>
    <m/>
    <s v="เลี้ยงฝน"/>
    <m/>
    <s v="import"/>
    <s v=""/>
    <b v="0"/>
    <s v=""/>
  </r>
  <r>
    <s v="00c8a123-310f-40e3-ac3e-56c489ea7988"/>
    <s v="2026-04-04"/>
    <x v="0"/>
    <x v="2"/>
    <n v="4"/>
    <s v="14:02"/>
    <n v="3481"/>
    <x v="0"/>
    <s v="entertain_1781955063348_kx2f"/>
    <x v="0"/>
    <s v="kbank"/>
    <x v="0"/>
    <s v=""/>
    <m/>
    <s v="-"/>
    <m/>
    <s v="import"/>
    <s v=""/>
    <b v="0"/>
    <s v=""/>
  </r>
  <r>
    <s v="5df0fbd4-e207-45cb-9fd6-5d7470da9e3f"/>
    <s v="2026-04-04"/>
    <x v="0"/>
    <x v="2"/>
    <n v="4"/>
    <s v="14:03"/>
    <n v="719"/>
    <x v="0"/>
    <s v="entertain_1781955063352_1jgx"/>
    <x v="10"/>
    <s v="kbank"/>
    <x v="0"/>
    <s v=""/>
    <m/>
    <s v="-"/>
    <m/>
    <s v="import"/>
    <s v=""/>
    <b v="0"/>
    <s v=""/>
  </r>
  <r>
    <s v="aed3f5fe-d2a7-477b-9688-aadfacd7bfaf"/>
    <s v="2026-04-04"/>
    <x v="0"/>
    <x v="2"/>
    <n v="4"/>
    <s v="14:03"/>
    <n v="508"/>
    <x v="0"/>
    <s v="rc_cat_1781955063347_anhy_1781955063348_k5l1"/>
    <x v="16"/>
    <s v="kbank"/>
    <x v="0"/>
    <s v=""/>
    <m/>
    <s v="timbits"/>
    <m/>
    <s v="import"/>
    <s v=""/>
    <b v="0"/>
    <s v=""/>
  </r>
  <r>
    <s v="98d31883-a399-4092-8710-7a9831828853"/>
    <s v="2026-04-04"/>
    <x v="0"/>
    <x v="2"/>
    <n v="4"/>
    <s v="14:04"/>
    <n v="1576"/>
    <x v="0"/>
    <s v="other_1781955063348_27zj"/>
    <x v="0"/>
    <s v="kbank"/>
    <x v="0"/>
    <s v=""/>
    <m/>
    <s v="-"/>
    <m/>
    <s v="import"/>
    <s v=""/>
    <b v="0"/>
    <s v=""/>
  </r>
  <r>
    <s v="9ef62a2b-4e80-4ff7-817d-b8c0c0c28f03"/>
    <s v="2026-04-04"/>
    <x v="0"/>
    <x v="2"/>
    <n v="4"/>
    <s v="14:11"/>
    <n v="7560"/>
    <x v="1"/>
    <s v="other"/>
    <x v="1"/>
    <s v="kbank"/>
    <x v="0"/>
    <s v="advance"/>
    <s v="Advance Paid"/>
    <s v="ยอดค้างจากเดือน กพ ทยอยจ่ายคืน"/>
    <m/>
    <s v="import"/>
    <s v=""/>
    <b v="0"/>
    <s v=""/>
  </r>
  <r>
    <s v="bd85a977-8b89-4d0d-ad93-1d73c17190ff"/>
    <s v="2026-04-04"/>
    <x v="0"/>
    <x v="2"/>
    <n v="4"/>
    <s v="18:07"/>
    <n v="3675"/>
    <x v="1"/>
    <s v="other"/>
    <x v="1"/>
    <s v="kbank"/>
    <x v="0"/>
    <s v="advance"/>
    <s v="Advance Paid"/>
    <s v="ที่พัก kanayama 18030 คืนแล้ว"/>
    <m/>
    <s v="import"/>
    <s v=""/>
    <b v="0"/>
    <s v=""/>
  </r>
  <r>
    <s v="4769b7b1-2845-4b0c-b62b-ca5c4f490004"/>
    <s v="2026-04-04"/>
    <x v="0"/>
    <x v="2"/>
    <n v="4"/>
    <s v="18:07"/>
    <n v="3642"/>
    <x v="1"/>
    <s v="other"/>
    <x v="1"/>
    <s v="kbank"/>
    <x v="0"/>
    <s v="advance"/>
    <s v="Advance Paid"/>
    <s v="ที่พัก toyama 17868 ไปรวมกับ travelcard"/>
    <m/>
    <s v="import"/>
    <s v=""/>
    <b v="0"/>
    <s v=""/>
  </r>
  <r>
    <s v="d424331c-55ff-4120-ae59-7c097fb5b3b8"/>
    <s v="2026-04-02"/>
    <x v="0"/>
    <x v="2"/>
    <n v="2"/>
    <s v="13:38"/>
    <n v="3238"/>
    <x v="2"/>
    <s v="income_1781955063347_zblt"/>
    <x v="17"/>
    <s v="kbank"/>
    <x v="0"/>
    <s v=""/>
    <m/>
    <s v="-"/>
    <m/>
    <s v="import"/>
    <s v=""/>
    <b v="0"/>
    <s v=""/>
  </r>
  <r>
    <s v="899f10ad-3ee1-4203-896d-476f6b180a61"/>
    <s v="2026-04-01"/>
    <x v="0"/>
    <x v="2"/>
    <n v="1"/>
    <s v="13:39"/>
    <n v="5000"/>
    <x v="1"/>
    <s v="other"/>
    <x v="1"/>
    <s v="kbank"/>
    <x v="0"/>
    <s v="rc_acc_1781955063357_rvam"/>
    <s v="Make Kbank"/>
    <s v="-"/>
    <m/>
    <s v="import"/>
    <s v=""/>
    <b v="0"/>
    <s v=""/>
  </r>
  <r>
    <s v="11086ccc-7485-42f0-9308-d9cb4b273b95"/>
    <s v="2026-03-31"/>
    <x v="0"/>
    <x v="3"/>
    <n v="31"/>
    <s v="13:35"/>
    <n v="45"/>
    <x v="0"/>
    <s v="rc_cat_1781955063347_5qjb_1781955063347_tezk"/>
    <x v="5"/>
    <s v="kbank"/>
    <x v="0"/>
    <s v=""/>
    <m/>
    <s v="-"/>
    <m/>
    <s v="import"/>
    <s v=""/>
    <b v="0"/>
    <s v=""/>
  </r>
  <r>
    <s v="985f360c-02a5-471f-b7fe-b04f98d2b74b"/>
    <s v="2026-03-31"/>
    <x v="0"/>
    <x v="3"/>
    <n v="31"/>
    <s v="18:47"/>
    <n v="3460"/>
    <x v="0"/>
    <s v="rc_cat_1781955063347_5qjb_1781955063347_tezk"/>
    <x v="5"/>
    <s v="rc_acc_1781955063357_rvam"/>
    <x v="3"/>
    <s v=""/>
    <m/>
    <s v="-"/>
    <m/>
    <s v="import"/>
    <s v=""/>
    <b v="0"/>
    <s v=""/>
  </r>
  <r>
    <s v="7193d857-54c1-42ad-9da9-ade8f51444fd"/>
    <s v="2026-03-29"/>
    <x v="0"/>
    <x v="3"/>
    <n v="29"/>
    <s v="13:33"/>
    <n v="5986"/>
    <x v="0"/>
    <s v="entertain_1781955063349_gok1"/>
    <x v="18"/>
    <s v="kbank"/>
    <x v="0"/>
    <s v=""/>
    <m/>
    <s v="ทริปพัทยา"/>
    <m/>
    <s v="import"/>
    <s v=""/>
    <b v="0"/>
    <s v=""/>
  </r>
  <r>
    <s v="0c3b8c56-2685-4f45-acd2-bb253bdfdbab"/>
    <s v="2026-03-29"/>
    <x v="0"/>
    <x v="3"/>
    <n v="29"/>
    <s v="13:34"/>
    <n v="398"/>
    <x v="0"/>
    <s v="entertain_1781955063359_cf7f"/>
    <x v="7"/>
    <s v="kbank"/>
    <x v="0"/>
    <s v=""/>
    <m/>
    <s v="WCF onepiece"/>
    <m/>
    <s v="import"/>
    <s v=""/>
    <b v="0"/>
    <s v=""/>
  </r>
  <r>
    <s v="dd6c34a3-055a-4d40-9c4d-05e654d8e774"/>
    <s v="2026-03-27"/>
    <x v="0"/>
    <x v="3"/>
    <n v="27"/>
    <s v="13:31"/>
    <n v="15000"/>
    <x v="0"/>
    <s v="rc_cat_1781955063347_anhy_1781955063347_qnaz"/>
    <x v="4"/>
    <s v="kbank"/>
    <x v="0"/>
    <s v=""/>
    <m/>
    <s v="-"/>
    <m/>
    <s v="import"/>
    <s v=""/>
    <b v="0"/>
    <s v=""/>
  </r>
  <r>
    <s v="34ff7a41-6d38-4f8a-bbbb-86d30c214104"/>
    <s v="2026-03-25"/>
    <x v="0"/>
    <x v="3"/>
    <n v="25"/>
    <s v="00:00"/>
    <n v="3357"/>
    <x v="1"/>
    <s v="other"/>
    <x v="1"/>
    <s v="kbank"/>
    <x v="0"/>
    <s v="rc_acc_1781955063347_r9dz"/>
    <s v="Provident Fund"/>
    <s v="-"/>
    <m/>
    <s v="import"/>
    <s v=""/>
    <b v="0"/>
    <s v=""/>
  </r>
  <r>
    <s v="be0b821e-9b1e-4a2b-b460-0a5b89cddba6"/>
    <s v="2026-03-25"/>
    <x v="0"/>
    <x v="3"/>
    <n v="25"/>
    <s v="00:00"/>
    <n v="6894"/>
    <x v="0"/>
    <s v="rc_cat_1781955063347_04qb_1781955063350_acgf"/>
    <x v="11"/>
    <s v="kbank"/>
    <x v="0"/>
    <s v=""/>
    <m/>
    <s v="-"/>
    <m/>
    <s v="import"/>
    <s v=""/>
    <b v="0"/>
    <s v=""/>
  </r>
  <r>
    <s v="a1c05d0d-6a3c-4f18-8f61-f14714b11b10"/>
    <s v="2026-03-25"/>
    <x v="0"/>
    <x v="3"/>
    <n v="25"/>
    <s v="00:00"/>
    <n v="2134"/>
    <x v="0"/>
    <s v="rc_cat_1781955063347_04qb_1781955063347_kgnn"/>
    <x v="13"/>
    <s v="kbank"/>
    <x v="0"/>
    <s v=""/>
    <m/>
    <s v="-"/>
    <m/>
    <s v="import"/>
    <s v=""/>
    <b v="0"/>
    <s v=""/>
  </r>
  <r>
    <s v="ad98b55b-58cd-484d-9034-19e63a929703"/>
    <s v="2026-03-25"/>
    <x v="0"/>
    <x v="3"/>
    <n v="25"/>
    <s v="00:00"/>
    <n v="9790"/>
    <x v="0"/>
    <s v="rc_cat_1781955063347_04qb_1781955063360_ocha"/>
    <x v="12"/>
    <s v="kbank"/>
    <x v="0"/>
    <s v=""/>
    <m/>
    <s v="-"/>
    <m/>
    <s v="import"/>
    <s v=""/>
    <b v="0"/>
    <s v=""/>
  </r>
  <r>
    <s v="f8f4f68f-f817-4244-985a-7ec298f9c444"/>
    <s v="2026-03-25"/>
    <x v="0"/>
    <x v="3"/>
    <n v="25"/>
    <s v="00:00"/>
    <n v="167890"/>
    <x v="2"/>
    <s v="income_1781955063347_5zxt"/>
    <x v="14"/>
    <s v="kbank"/>
    <x v="0"/>
    <s v=""/>
    <m/>
    <s v="-"/>
    <m/>
    <s v="import"/>
    <s v=""/>
    <b v="0"/>
    <s v=""/>
  </r>
  <r>
    <s v="67b0d882-1f5d-4bdf-9956-40f521586e82"/>
    <s v="2026-03-25"/>
    <x v="0"/>
    <x v="3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7a6de6f2-cba4-464e-88bf-519dc2338b70"/>
    <s v="2026-03-24"/>
    <x v="0"/>
    <x v="3"/>
    <n v="24"/>
    <s v="13:28"/>
    <n v="300"/>
    <x v="0"/>
    <s v="rc_cat_1781955063347_5qjb_1781955063347_tezk"/>
    <x v="5"/>
    <s v="kbank"/>
    <x v="0"/>
    <s v=""/>
    <m/>
    <s v="-"/>
    <m/>
    <s v="import"/>
    <s v=""/>
    <b v="0"/>
    <s v=""/>
  </r>
  <r>
    <s v="3cf61470-3472-4907-9067-395a6a5ceb94"/>
    <s v="2026-03-21"/>
    <x v="0"/>
    <x v="3"/>
    <n v="21"/>
    <s v="13:28"/>
    <n v="20000"/>
    <x v="1"/>
    <s v="other"/>
    <x v="1"/>
    <s v="kbank"/>
    <x v="0"/>
    <s v="advance"/>
    <s v="Advance Paid"/>
    <s v="ค่าตั๋ว sendai"/>
    <m/>
    <s v="import"/>
    <s v=""/>
    <b v="0"/>
    <s v=""/>
  </r>
  <r>
    <s v="96372b09-5ec7-4372-a60a-f4b9f2f4bbcd"/>
    <s v="2026-03-19"/>
    <x v="0"/>
    <x v="3"/>
    <n v="19"/>
    <s v="13:19"/>
    <n v="90000"/>
    <x v="1"/>
    <s v="other"/>
    <x v="1"/>
    <s v="kbank"/>
    <x v="0"/>
    <s v="rc_acc_1781955063358_cs4m"/>
    <s v="JPY cash"/>
    <s v="rate 0.207"/>
    <m/>
    <s v="import"/>
    <s v=""/>
    <b v="0"/>
    <s v=""/>
  </r>
  <r>
    <s v="10732acc-2398-4a86-8f8b-fd689e0b11b5"/>
    <s v="2026-03-19"/>
    <x v="0"/>
    <x v="3"/>
    <n v="19"/>
    <s v="14:36"/>
    <n v="7500"/>
    <x v="1"/>
    <s v="other"/>
    <x v="1"/>
    <s v="rc_acc_1781955063347_uxz4"/>
    <x v="4"/>
    <s v="advance"/>
    <s v="Advance Paid"/>
    <s v="ค่าตั๋ว sendai"/>
    <m/>
    <s v="import"/>
    <s v=""/>
    <b v="0"/>
    <s v=""/>
  </r>
  <r>
    <s v="aaef82fe-e7c2-415b-b60b-8edace00da92"/>
    <s v="2026-03-16"/>
    <x v="0"/>
    <x v="3"/>
    <n v="16"/>
    <s v="13:18"/>
    <n v="210"/>
    <x v="0"/>
    <s v="rc_cat_1781955063347_5qjb_1781955063347_tezk"/>
    <x v="5"/>
    <s v="kbank"/>
    <x v="0"/>
    <s v=""/>
    <m/>
    <s v="-"/>
    <m/>
    <s v="import"/>
    <s v=""/>
    <b v="0"/>
    <s v=""/>
  </r>
  <r>
    <s v="a5b90719-78d3-40fe-b82d-f0ac81d8f6b0"/>
    <s v="2026-03-15"/>
    <x v="0"/>
    <x v="3"/>
    <n v="15"/>
    <s v="13:36"/>
    <n v="1599"/>
    <x v="1"/>
    <s v="other"/>
    <x v="1"/>
    <s v="kbank"/>
    <x v="0"/>
    <s v="advance"/>
    <s v="Advance Paid"/>
    <s v="ค่าไฟ คืนแล้ว"/>
    <m/>
    <s v="import"/>
    <s v=""/>
    <b v="0"/>
    <s v=""/>
  </r>
  <r>
    <s v="ab400646-03c9-435e-86a6-fe57ebea75f0"/>
    <s v="2026-03-13"/>
    <x v="0"/>
    <x v="3"/>
    <n v="13"/>
    <s v="13:16"/>
    <n v="300"/>
    <x v="0"/>
    <s v="rc_cat_1781955063347_anhy_1781955063348_k5l1"/>
    <x v="16"/>
    <s v="kbank"/>
    <x v="0"/>
    <s v=""/>
    <m/>
    <s v="ของฝากชุมพร"/>
    <m/>
    <s v="import"/>
    <s v=""/>
    <b v="0"/>
    <s v=""/>
  </r>
  <r>
    <s v="51939385-ddde-454b-ba6b-7e1db5d921cd"/>
    <s v="2026-03-13"/>
    <x v="0"/>
    <x v="3"/>
    <n v="13"/>
    <s v="13:17"/>
    <n v="300"/>
    <x v="0"/>
    <s v="rc_cat_1781955063347_s4sz_1781955063347_9tpp"/>
    <x v="9"/>
    <s v="kbank"/>
    <x v="0"/>
    <s v=""/>
    <m/>
    <s v="ตัดผม"/>
    <m/>
    <s v="import"/>
    <s v=""/>
    <b v="0"/>
    <s v=""/>
  </r>
  <r>
    <s v="52a8bcd8-2d13-44f8-b780-1f0da88e948b"/>
    <s v="2026-03-09"/>
    <x v="0"/>
    <x v="3"/>
    <n v="9"/>
    <s v="13:15"/>
    <n v="1500"/>
    <x v="0"/>
    <s v="rc_cat_1781955063347_anhy_1781955063348_k5l1"/>
    <x v="16"/>
    <s v="kbank"/>
    <x v="0"/>
    <s v=""/>
    <m/>
    <s v="-"/>
    <m/>
    <s v="import"/>
    <s v=""/>
    <b v="0"/>
    <s v=""/>
  </r>
  <r>
    <s v="2e4eb55e-56e4-4a27-985f-8e70c30c56c3"/>
    <s v="2026-03-07"/>
    <x v="0"/>
    <x v="3"/>
    <n v="7"/>
    <s v="13:13"/>
    <n v="2400"/>
    <x v="0"/>
    <s v="entertain_1781955063348_kx2f"/>
    <x v="0"/>
    <s v="kbank"/>
    <x v="0"/>
    <s v=""/>
    <m/>
    <s v="trade in  lost"/>
    <m/>
    <s v="import"/>
    <s v=""/>
    <b v="0"/>
    <s v=""/>
  </r>
  <r>
    <s v="be4ad88d-8a1c-4fa0-87c1-b540a68add76"/>
    <s v="2026-03-07"/>
    <x v="0"/>
    <x v="3"/>
    <n v="7"/>
    <s v="13:14"/>
    <n v="129"/>
    <x v="0"/>
    <s v="rc_cat_1781955063347_5qjb_1781955063347_tezk"/>
    <x v="5"/>
    <s v="kbank"/>
    <x v="0"/>
    <s v=""/>
    <m/>
    <s v="-"/>
    <m/>
    <s v="import"/>
    <s v=""/>
    <b v="0"/>
    <s v=""/>
  </r>
  <r>
    <s v="a6d5096e-d603-46ca-aa84-b2d56f50de15"/>
    <s v="2026-03-01"/>
    <x v="0"/>
    <x v="3"/>
    <n v="1"/>
    <s v="13:10"/>
    <n v="5000"/>
    <x v="1"/>
    <s v="other"/>
    <x v="1"/>
    <s v="kbank"/>
    <x v="0"/>
    <s v="rc_acc_1781955063357_rvam"/>
    <s v="Make Kbank"/>
    <s v="-"/>
    <m/>
    <s v="import"/>
    <s v=""/>
    <b v="0"/>
    <s v=""/>
  </r>
  <r>
    <s v="14e7b6aa-2e7f-45f8-b496-b09c778a0124"/>
    <s v="2026-02-28"/>
    <x v="0"/>
    <x v="4"/>
    <n v="28"/>
    <s v="13:09"/>
    <n v="70"/>
    <x v="0"/>
    <s v="rc_cat_1781955063347_5qjb_1781955063347_tezk"/>
    <x v="5"/>
    <s v="kbank"/>
    <x v="0"/>
    <s v=""/>
    <m/>
    <s v="-"/>
    <m/>
    <s v="import"/>
    <s v=""/>
    <b v="0"/>
    <s v=""/>
  </r>
  <r>
    <s v="c4f71300-b915-429d-9cf9-891b1eef92c9"/>
    <s v="2026-02-28"/>
    <x v="0"/>
    <x v="4"/>
    <n v="28"/>
    <s v="13:10"/>
    <n v="7151"/>
    <x v="0"/>
    <s v="rc_cat_1781955063347_04qb_1781955063347_wt5p"/>
    <x v="3"/>
    <s v="kbank"/>
    <x v="0"/>
    <s v=""/>
    <m/>
    <s v="-"/>
    <m/>
    <s v="import"/>
    <s v=""/>
    <b v="0"/>
    <s v=""/>
  </r>
  <r>
    <s v="d62305e8-1389-4cd8-ab49-0333731ce6e1"/>
    <s v="2026-02-28"/>
    <x v="0"/>
    <x v="4"/>
    <n v="28"/>
    <s v="18:48"/>
    <n v="3258"/>
    <x v="0"/>
    <s v="rc_cat_1781955063347_5qjb_1781955063347_tezk"/>
    <x v="5"/>
    <s v="rc_acc_1781955063357_rvam"/>
    <x v="3"/>
    <s v=""/>
    <m/>
    <s v="-"/>
    <m/>
    <s v="import"/>
    <s v=""/>
    <b v="0"/>
    <s v=""/>
  </r>
  <r>
    <s v="f6e62f2d-f837-4549-8617-4878caca4d17"/>
    <s v="2026-02-25"/>
    <x v="0"/>
    <x v="4"/>
    <n v="25"/>
    <s v="00:00"/>
    <n v="9790"/>
    <x v="0"/>
    <s v="rc_cat_1781955063347_04qb_1781955063360_ocha"/>
    <x v="12"/>
    <s v="kbank"/>
    <x v="0"/>
    <s v=""/>
    <m/>
    <s v="-"/>
    <m/>
    <s v="import"/>
    <s v=""/>
    <b v="0"/>
    <s v=""/>
  </r>
  <r>
    <s v="1cd5ea28-1bcb-4033-9c80-7b99c6277178"/>
    <s v="2026-02-25"/>
    <x v="0"/>
    <x v="4"/>
    <n v="25"/>
    <s v="00:00"/>
    <n v="2003"/>
    <x v="0"/>
    <s v="rc_cat_1781955063347_04qb_1781955063347_kgnn"/>
    <x v="13"/>
    <s v="kbank"/>
    <x v="0"/>
    <s v=""/>
    <m/>
    <s v="-"/>
    <m/>
    <s v="import"/>
    <s v=""/>
    <b v="0"/>
    <s v=""/>
  </r>
  <r>
    <s v="f2eb459e-5a8d-44c6-9a44-cdda104192b3"/>
    <s v="2026-02-25"/>
    <x v="0"/>
    <x v="4"/>
    <n v="25"/>
    <s v="00:00"/>
    <n v="3690"/>
    <x v="1"/>
    <s v="other"/>
    <x v="1"/>
    <s v="kbank"/>
    <x v="0"/>
    <s v="rc_acc_1781955063347_r9dz"/>
    <s v="Provident Fund"/>
    <s v="-"/>
    <m/>
    <s v="import"/>
    <s v=""/>
    <b v="0"/>
    <s v=""/>
  </r>
  <r>
    <s v="9c6cf25f-930f-4333-bedc-90c2def4a092"/>
    <s v="2026-02-25"/>
    <x v="0"/>
    <x v="4"/>
    <n v="25"/>
    <s v="00:00"/>
    <n v="47200"/>
    <x v="0"/>
    <s v="rc_cat_1781955063347_04qb_1781955063350_acgf"/>
    <x v="11"/>
    <s v="kbank"/>
    <x v="0"/>
    <s v=""/>
    <m/>
    <s v="-"/>
    <m/>
    <s v="import"/>
    <s v=""/>
    <b v="0"/>
    <s v=""/>
  </r>
  <r>
    <s v="7f6eb2e7-7ddb-49a3-b0f6-c0485fe55077"/>
    <s v="2026-02-25"/>
    <x v="0"/>
    <x v="4"/>
    <n v="25"/>
    <s v="00:00"/>
    <n v="167890"/>
    <x v="2"/>
    <s v="income_1781955063347_5zxt"/>
    <x v="14"/>
    <s v="kbank"/>
    <x v="0"/>
    <s v=""/>
    <m/>
    <s v="-"/>
    <m/>
    <s v="import"/>
    <s v=""/>
    <b v="0"/>
    <s v=""/>
  </r>
  <r>
    <s v="73c158ed-aef4-451c-be22-6092d0d994f0"/>
    <s v="2026-02-25"/>
    <x v="0"/>
    <x v="4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78995ba8-dcff-4b9b-922c-d6437866b0d3"/>
    <s v="2026-02-25"/>
    <x v="0"/>
    <x v="4"/>
    <n v="25"/>
    <s v="16:56"/>
    <n v="242016"/>
    <x v="2"/>
    <s v="income_1781955063347_zblt"/>
    <x v="17"/>
    <s v="kbank"/>
    <x v="0"/>
    <s v=""/>
    <m/>
    <s v="-"/>
    <m/>
    <s v="import"/>
    <s v=""/>
    <b v="0"/>
    <s v=""/>
  </r>
  <r>
    <s v="66933848-da24-4152-87bd-4d9664f3d80c"/>
    <s v="2026-02-25"/>
    <x v="0"/>
    <x v="4"/>
    <n v="25"/>
    <s v="16:56"/>
    <n v="16630"/>
    <x v="2"/>
    <s v="income_1781955063347_5zxt"/>
    <x v="14"/>
    <s v="kbank"/>
    <x v="0"/>
    <s v=""/>
    <m/>
    <s v="-"/>
    <m/>
    <s v="import"/>
    <s v=""/>
    <b v="0"/>
    <s v=""/>
  </r>
  <r>
    <s v="c9f786db-095c-476f-9d81-468e05734dd6"/>
    <s v="2026-02-22"/>
    <x v="0"/>
    <x v="4"/>
    <n v="22"/>
    <s v="16:54"/>
    <n v="23294"/>
    <x v="0"/>
    <s v="rc_cat_1781955063347_04qb_1781955063363_voa0"/>
    <x v="19"/>
    <s v="kbank"/>
    <x v="0"/>
    <s v=""/>
    <m/>
    <s v="AIA"/>
    <m/>
    <s v="import"/>
    <s v=""/>
    <b v="0"/>
    <s v=""/>
  </r>
  <r>
    <s v="ff0f85e5-8092-4cb9-8ab5-328dc661a64f"/>
    <s v="2026-02-22"/>
    <x v="0"/>
    <x v="4"/>
    <n v="22"/>
    <s v="17:06"/>
    <n v="1446"/>
    <x v="0"/>
    <s v="entertain_1781955063352_1jgx"/>
    <x v="10"/>
    <s v="kbank"/>
    <x v="0"/>
    <s v=""/>
    <m/>
    <s v="octopath"/>
    <m/>
    <s v="import"/>
    <s v=""/>
    <b v="0"/>
    <s v=""/>
  </r>
  <r>
    <s v="b639fc99-544d-4d90-be36-46bf6f6afec7"/>
    <s v="2026-02-22"/>
    <x v="0"/>
    <x v="4"/>
    <n v="22"/>
    <s v="17:06"/>
    <n v="1359"/>
    <x v="0"/>
    <s v="rc_cat_1781955063347_anhy_1781955063348_k5l1"/>
    <x v="16"/>
    <s v="kbank"/>
    <x v="0"/>
    <s v=""/>
    <m/>
    <s v="เปลี่ยนตั๋วขากลับ EDP"/>
    <m/>
    <s v="import"/>
    <s v=""/>
    <b v="0"/>
    <s v=""/>
  </r>
  <r>
    <s v="752abf3d-9df3-4e52-a6a5-8e3c0afda301"/>
    <s v="2026-02-21"/>
    <x v="0"/>
    <x v="4"/>
    <n v="21"/>
    <s v="16:53"/>
    <n v="500"/>
    <x v="0"/>
    <s v="rc_cat_1781955063347_anhy_1781955063348_k5l1"/>
    <x v="16"/>
    <s v="kbank"/>
    <x v="0"/>
    <s v=""/>
    <m/>
    <s v="เงินรุ่น edp"/>
    <m/>
    <s v="import"/>
    <s v=""/>
    <b v="0"/>
    <s v=""/>
  </r>
  <r>
    <s v="8c919855-06f0-46d7-9047-421536309401"/>
    <s v="2026-02-05"/>
    <x v="0"/>
    <x v="4"/>
    <n v="5"/>
    <s v="16:53"/>
    <n v="28740"/>
    <x v="1"/>
    <s v="other"/>
    <x v="1"/>
    <s v="kbank"/>
    <x v="0"/>
    <s v="advance"/>
    <s v="Advance Paid"/>
    <s v="ค่าตั๋ว trip.com nagoya"/>
    <m/>
    <s v="import"/>
    <s v=""/>
    <b v="0"/>
    <s v=""/>
  </r>
  <r>
    <s v="f0293e31-577a-475f-a662-6e053c68e478"/>
    <s v="2026-02-04"/>
    <x v="0"/>
    <x v="4"/>
    <n v="4"/>
    <s v="16:52"/>
    <n v="100000"/>
    <x v="1"/>
    <s v="other"/>
    <x v="1"/>
    <s v="kbank"/>
    <x v="0"/>
    <s v="rc_acc_1781955063347_e3zv"/>
    <s v="Cash"/>
    <s v="-"/>
    <m/>
    <s v="import"/>
    <s v=""/>
    <b v="0"/>
    <s v=""/>
  </r>
  <r>
    <s v="341970a0-907d-435f-bb6d-e5dd80f03a35"/>
    <s v="2026-02-03"/>
    <x v="0"/>
    <x v="4"/>
    <n v="3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5c5de9f1-14f9-43a7-9d61-5555e5bfcc99"/>
    <s v="2026-02-03"/>
    <x v="0"/>
    <x v="4"/>
    <n v="3"/>
    <s v="16:52"/>
    <n v="7489"/>
    <x v="0"/>
    <s v="rc_cat_1781955063347_04qb_1781955063347_wt5p"/>
    <x v="3"/>
    <s v="kbank"/>
    <x v="0"/>
    <s v=""/>
    <m/>
    <s v="-"/>
    <m/>
    <s v="import"/>
    <s v=""/>
    <b v="0"/>
    <s v=""/>
  </r>
  <r>
    <s v="0328f646-2ec5-45d7-8dcb-15ff2c916ac0"/>
    <s v="2026-02-02"/>
    <x v="0"/>
    <x v="4"/>
    <n v="2"/>
    <s v="16:51"/>
    <n v="4646"/>
    <x v="0"/>
    <s v="rc_cat_1781955063347_5qjb_1781955063347_tezk"/>
    <x v="5"/>
    <s v="kbank"/>
    <x v="0"/>
    <s v=""/>
    <m/>
    <s v="shopee ยังไม่ได้เช็ค"/>
    <m/>
    <s v="import"/>
    <s v=""/>
    <b v="0"/>
    <s v=""/>
  </r>
  <r>
    <s v="8e52708c-8c66-4ca5-8bf2-fdee4404e076"/>
    <s v="2026-02-01"/>
    <x v="0"/>
    <x v="4"/>
    <n v="1"/>
    <s v="16:51"/>
    <n v="5000"/>
    <x v="1"/>
    <s v="other"/>
    <x v="1"/>
    <s v="kbank"/>
    <x v="0"/>
    <s v="rc_acc_1781955063357_rvam"/>
    <s v="Make Kbank"/>
    <s v="-"/>
    <m/>
    <s v="import"/>
    <s v=""/>
    <b v="0"/>
    <s v=""/>
  </r>
  <r>
    <s v="d41a171b-d8a1-499e-a681-0afb01c2a7e4"/>
    <s v="2026-01-31"/>
    <x v="0"/>
    <x v="5"/>
    <n v="31"/>
    <s v="16:50"/>
    <n v="27000"/>
    <x v="1"/>
    <s v="other"/>
    <x v="1"/>
    <s v="kbank"/>
    <x v="0"/>
    <s v="rc_acc_1781955063347_e3zv"/>
    <s v="Cash"/>
    <s v="-"/>
    <m/>
    <s v="import"/>
    <s v=""/>
    <b v="0"/>
    <s v=""/>
  </r>
  <r>
    <s v="f2525921-5859-44f2-b6ad-9b34e8318763"/>
    <s v="2026-01-31"/>
    <x v="0"/>
    <x v="5"/>
    <n v="31"/>
    <s v="18:48"/>
    <n v="5307.25"/>
    <x v="0"/>
    <s v="rc_cat_1781955063347_5qjb_1781955063347_tezk"/>
    <x v="5"/>
    <s v="rc_acc_1781955063357_rvam"/>
    <x v="3"/>
    <s v=""/>
    <m/>
    <s v="-"/>
    <m/>
    <s v="import"/>
    <s v=""/>
    <b v="0"/>
    <s v=""/>
  </r>
  <r>
    <s v="c621fefa-632b-4d21-86f7-9ba363d425ee"/>
    <s v="2026-01-29"/>
    <x v="0"/>
    <x v="5"/>
    <n v="29"/>
    <s v="16:49"/>
    <n v="5000"/>
    <x v="1"/>
    <s v="other"/>
    <x v="1"/>
    <s v="kbank"/>
    <x v="0"/>
    <s v="rc_acc_1781955063349_yz2g"/>
    <s v="Investment"/>
    <s v="-"/>
    <m/>
    <s v="import"/>
    <s v=""/>
    <b v="0"/>
    <s v=""/>
  </r>
  <r>
    <s v="626368ab-0fc4-41a2-904c-5b69ac1f44fd"/>
    <s v="2026-01-25"/>
    <x v="0"/>
    <x v="5"/>
    <n v="25"/>
    <s v="00:00"/>
    <n v="12.15"/>
    <x v="0"/>
    <s v="rc_cat_1781955063347_04qb_1781955063347_lu9b"/>
    <x v="20"/>
    <s v="kbank"/>
    <x v="0"/>
    <s v=""/>
    <m/>
    <s v="-"/>
    <m/>
    <s v="import"/>
    <s v=""/>
    <b v="0"/>
    <s v=""/>
  </r>
  <r>
    <s v="19c82a20-936e-4ae6-bf2a-d4e0424cb027"/>
    <s v="2026-01-25"/>
    <x v="0"/>
    <x v="5"/>
    <n v="25"/>
    <s v="00:00"/>
    <n v="2374"/>
    <x v="0"/>
    <s v="rc_cat_1781955063347_04qb_1781955063347_kgnn"/>
    <x v="13"/>
    <s v="kbank"/>
    <x v="0"/>
    <s v=""/>
    <m/>
    <s v="-"/>
    <m/>
    <s v="import"/>
    <s v=""/>
    <b v="0"/>
    <s v=""/>
  </r>
  <r>
    <s v="93dd5382-795b-466f-bc8d-b923386ba398"/>
    <s v="2026-01-25"/>
    <x v="0"/>
    <x v="5"/>
    <n v="25"/>
    <s v="00:00"/>
    <n v="8960"/>
    <x v="0"/>
    <s v="rc_cat_1781955063347_04qb_1781955063360_g684"/>
    <x v="21"/>
    <s v="kbank"/>
    <x v="0"/>
    <s v=""/>
    <m/>
    <s v="-"/>
    <m/>
    <s v="import"/>
    <s v=""/>
    <b v="0"/>
    <s v=""/>
  </r>
  <r>
    <s v="7508d425-6418-4275-9f92-aa219e69786e"/>
    <s v="2026-01-25"/>
    <x v="0"/>
    <x v="5"/>
    <n v="25"/>
    <s v="00:00"/>
    <n v="4345"/>
    <x v="0"/>
    <s v="rc_cat_1781955063347_04qb_1781955063350_acgf"/>
    <x v="11"/>
    <s v="kbank"/>
    <x v="0"/>
    <s v=""/>
    <m/>
    <s v="-"/>
    <m/>
    <s v="import"/>
    <s v=""/>
    <b v="0"/>
    <s v=""/>
  </r>
  <r>
    <s v="73cb7c82-4d2b-4742-902a-ed265bef916a"/>
    <s v="2026-01-25"/>
    <x v="0"/>
    <x v="5"/>
    <n v="25"/>
    <s v="00:00"/>
    <n v="9790"/>
    <x v="0"/>
    <s v="rc_cat_1781955063347_04qb_1781955063360_ocha"/>
    <x v="12"/>
    <s v="kbank"/>
    <x v="0"/>
    <s v=""/>
    <m/>
    <s v="-"/>
    <m/>
    <s v="import"/>
    <s v=""/>
    <b v="0"/>
    <s v=""/>
  </r>
  <r>
    <s v="0560a9a7-fda8-4d03-ac45-998b6ee84934"/>
    <s v="2026-01-25"/>
    <x v="0"/>
    <x v="5"/>
    <n v="25"/>
    <s v="00:00"/>
    <n v="3025.2"/>
    <x v="1"/>
    <s v="other"/>
    <x v="1"/>
    <s v="kbank"/>
    <x v="0"/>
    <s v="rc_acc_1781955063347_r9dz"/>
    <s v="Provident Fund"/>
    <s v="-"/>
    <m/>
    <s v="import"/>
    <s v=""/>
    <b v="0"/>
    <s v=""/>
  </r>
  <r>
    <s v="8c6c65b0-b15c-491f-b49c-9d2cea89a9b4"/>
    <s v="2026-01-25"/>
    <x v="0"/>
    <x v="5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dc09af4c-e29c-4b16-8cd1-fb2a166fd8bd"/>
    <s v="2026-01-25"/>
    <x v="0"/>
    <x v="5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9b3d1c56-1730-4c32-a1cd-9bc3fd9de604"/>
    <s v="2026-01-24"/>
    <x v="0"/>
    <x v="5"/>
    <n v="24"/>
    <s v="00:00"/>
    <n v="29"/>
    <x v="0"/>
    <s v="rc_cat_1781955063347_5qjb_1781955063347_tezk"/>
    <x v="5"/>
    <s v="kbank"/>
    <x v="0"/>
    <s v=""/>
    <m/>
    <s v="-"/>
    <m/>
    <s v="import"/>
    <s v=""/>
    <b v="0"/>
    <s v=""/>
  </r>
  <r>
    <s v="a0eef9a0-97e0-48e7-8915-7bca6e344316"/>
    <s v="2026-01-24"/>
    <x v="0"/>
    <x v="5"/>
    <n v="24"/>
    <s v="18:08"/>
    <n v="3834"/>
    <x v="1"/>
    <s v="other"/>
    <x v="1"/>
    <s v="rc_acc_1781955063347_kjxt"/>
    <x v="1"/>
    <s v="advance"/>
    <s v="Advance Paid"/>
    <s v="เช่ารถ ngo26 คืนแล้ว"/>
    <m/>
    <s v="import"/>
    <s v=""/>
    <b v="0"/>
    <s v=""/>
  </r>
  <r>
    <s v="474fceff-fe45-4529-badf-098adecbc944"/>
    <s v="2026-01-24"/>
    <x v="0"/>
    <x v="5"/>
    <n v="24"/>
    <s v="18:09"/>
    <n v="6378"/>
    <x v="1"/>
    <s v="other"/>
    <x v="1"/>
    <s v="rc_acc_1781955063347_kjxt"/>
    <x v="1"/>
    <s v="advance"/>
    <s v="Advance Paid"/>
    <s v="ngo26 toyoko คืนแล้ว"/>
    <m/>
    <s v="import"/>
    <s v=""/>
    <b v="0"/>
    <s v=""/>
  </r>
  <r>
    <s v="e3b1b43f-dc69-4c07-ac78-44bf212e338b"/>
    <s v="2026-01-24"/>
    <x v="0"/>
    <x v="5"/>
    <n v="24"/>
    <s v="18:13"/>
    <n v="12465"/>
    <x v="1"/>
    <s v="other"/>
    <x v="1"/>
    <s v="advance"/>
    <x v="2"/>
    <s v="rc_acc_1781955063347_kjxt"/>
    <s v="KTC JCB"/>
    <s v="คืน toyoko"/>
    <m/>
    <s v="import"/>
    <s v=""/>
    <b v="0"/>
    <s v=""/>
  </r>
  <r>
    <s v="f81a55d2-3853-477a-a4f5-70dc86b9f81e"/>
    <s v="2026-01-24"/>
    <x v="0"/>
    <x v="5"/>
    <n v="24"/>
    <s v="18:13"/>
    <n v="354"/>
    <x v="0"/>
    <s v="other_1781955063348_27zj"/>
    <x v="0"/>
    <s v="rc_acc_1781955063347_kjxt"/>
    <x v="1"/>
    <s v=""/>
    <m/>
    <s v="-"/>
    <m/>
    <s v="import"/>
    <s v=""/>
    <b v="0"/>
    <s v=""/>
  </r>
  <r>
    <s v="e1ec8746-4d0c-493d-9e00-0815c028401b"/>
    <s v="2026-01-24"/>
    <x v="0"/>
    <x v="5"/>
    <n v="24"/>
    <s v="18:30"/>
    <n v="7696"/>
    <x v="1"/>
    <s v="other"/>
    <x v="1"/>
    <s v="advance"/>
    <x v="2"/>
    <s v="kbank"/>
    <s v="KBank"/>
    <s v="-"/>
    <m/>
    <s v="import"/>
    <s v=""/>
    <b v="0"/>
    <s v=""/>
  </r>
  <r>
    <s v="6f64c04f-51bd-4469-9ae1-a219325e668a"/>
    <s v="2026-01-23"/>
    <x v="0"/>
    <x v="5"/>
    <n v="23"/>
    <s v="18:22"/>
    <n v="8506"/>
    <x v="0"/>
    <s v="rc_cat_1781955063347_anhy_1781955063350_fcpb"/>
    <x v="2"/>
    <s v="kbank"/>
    <x v="0"/>
    <s v=""/>
    <m/>
    <s v="-"/>
    <m/>
    <s v="import"/>
    <s v=""/>
    <b v="0"/>
    <s v=""/>
  </r>
  <r>
    <s v="30a9bff2-5d75-476c-87f8-3a6381ad4139"/>
    <s v="2026-01-23"/>
    <x v="0"/>
    <x v="5"/>
    <n v="23"/>
    <s v="18:24"/>
    <n v="5979"/>
    <x v="1"/>
    <s v="other"/>
    <x v="1"/>
    <s v="kbank"/>
    <x v="0"/>
    <s v="advance"/>
    <s v="Advance Paid"/>
    <s v="คืนแล้ว"/>
    <m/>
    <s v="import"/>
    <s v=""/>
    <b v="0"/>
    <s v=""/>
  </r>
  <r>
    <s v="d371ffcc-5ca6-4352-8f0f-74b55b6ef8a3"/>
    <s v="2026-01-23"/>
    <x v="0"/>
    <x v="5"/>
    <n v="23"/>
    <s v="18:24"/>
    <n v="22082.5"/>
    <x v="1"/>
    <s v="other"/>
    <x v="1"/>
    <s v="kbank"/>
    <x v="0"/>
    <s v="advance"/>
    <s v="Advance Paid"/>
    <s v="ngo26 flightviet"/>
    <m/>
    <s v="import"/>
    <s v=""/>
    <b v="0"/>
    <s v=""/>
  </r>
  <r>
    <s v="6f525b65-7ce2-4140-a8b3-54ce848b8288"/>
    <s v="2026-01-22"/>
    <x v="0"/>
    <x v="5"/>
    <n v="22"/>
    <s v="18:00"/>
    <n v="5979"/>
    <x v="1"/>
    <s v="other"/>
    <x v="1"/>
    <s v="advance"/>
    <x v="2"/>
    <s v="kbank"/>
    <s v="KBank"/>
    <s v="-"/>
    <m/>
    <s v="import"/>
    <s v=""/>
    <b v="0"/>
    <s v=""/>
  </r>
  <r>
    <s v="a6cf3e73-540d-45a3-ae6e-cc4c9de50315"/>
    <s v="2026-01-20"/>
    <x v="0"/>
    <x v="5"/>
    <n v="20"/>
    <s v="17:59"/>
    <n v="7696"/>
    <x v="1"/>
    <s v="other"/>
    <x v="1"/>
    <s v="kbank"/>
    <x v="0"/>
    <s v="advance"/>
    <s v="Advance Paid"/>
    <s v="คืนแล้ว"/>
    <m/>
    <s v="import"/>
    <s v=""/>
    <b v="0"/>
    <s v=""/>
  </r>
  <r>
    <s v="f2c30507-85e8-454e-8563-08a4cb66fe05"/>
    <s v="2026-01-13"/>
    <x v="0"/>
    <x v="5"/>
    <n v="13"/>
    <s v="17:54"/>
    <n v="100"/>
    <x v="0"/>
    <s v="rc_cat_1781955063347_5qjb_1781955063347_tezk"/>
    <x v="5"/>
    <s v="kbank"/>
    <x v="0"/>
    <s v=""/>
    <m/>
    <s v="-"/>
    <m/>
    <s v="import"/>
    <s v=""/>
    <b v="0"/>
    <s v=""/>
  </r>
  <r>
    <s v="2702b317-bf9f-4dd2-a76c-ca6aae91ef40"/>
    <s v="2026-01-11"/>
    <x v="0"/>
    <x v="5"/>
    <n v="11"/>
    <s v="17:53"/>
    <n v="569"/>
    <x v="0"/>
    <s v="rc_cat_1781955063347_anhy_1781955063347_qnaz"/>
    <x v="4"/>
    <s v="kbank"/>
    <x v="0"/>
    <s v=""/>
    <m/>
    <s v="หนึ่งนมนัว"/>
    <m/>
    <s v="import"/>
    <s v=""/>
    <b v="0"/>
    <s v=""/>
  </r>
  <r>
    <s v="754897be-ced4-4c04-b575-e00ce4391266"/>
    <s v="2026-01-06"/>
    <x v="0"/>
    <x v="5"/>
    <n v="6"/>
    <s v="17:52"/>
    <n v="7420"/>
    <x v="0"/>
    <s v="rc_cat_1781955063347_04qb_1781955063347_wt5p"/>
    <x v="3"/>
    <s v="kbank"/>
    <x v="0"/>
    <s v=""/>
    <m/>
    <s v="-"/>
    <m/>
    <s v="import"/>
    <s v=""/>
    <b v="0"/>
    <s v=""/>
  </r>
  <r>
    <s v="6c813798-a426-4a81-93ff-10f640d5be71"/>
    <s v="2026-01-06"/>
    <x v="0"/>
    <x v="5"/>
    <n v="6"/>
    <s v="17:53"/>
    <n v="1190"/>
    <x v="0"/>
    <s v="rc_cat_1781955063347_anhy_1781955063350_fcpb"/>
    <x v="2"/>
    <s v="kbank"/>
    <x v="0"/>
    <s v=""/>
    <m/>
    <s v="-"/>
    <m/>
    <s v="import"/>
    <s v=""/>
    <b v="0"/>
    <s v=""/>
  </r>
  <r>
    <s v="3202dbfa-b98d-4ea9-af1e-a26c4f744957"/>
    <s v="2026-01-01"/>
    <x v="0"/>
    <x v="5"/>
    <n v="1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6b7f659d-f73d-4ed6-a7c1-f12e08632255"/>
    <s v="2026-01-01"/>
    <x v="0"/>
    <x v="5"/>
    <n v="1"/>
    <s v="17:52"/>
    <n v="5000"/>
    <x v="1"/>
    <s v="other"/>
    <x v="1"/>
    <s v="kbank"/>
    <x v="0"/>
    <s v="rc_acc_1781955063357_rvam"/>
    <s v="Make Kbank"/>
    <s v="-"/>
    <m/>
    <s v="import"/>
    <s v=""/>
    <b v="0"/>
    <s v=""/>
  </r>
  <r>
    <s v="b66c97ea-6a99-40e6-b126-f0f1ebc4aec8"/>
    <s v="2025-12-31"/>
    <x v="1"/>
    <x v="6"/>
    <n v="31"/>
    <s v="10:02"/>
    <n v="4656"/>
    <x v="0"/>
    <s v="rc_cat_1781955063347_5qjb_1781955063347_tezk"/>
    <x v="5"/>
    <s v="rc_acc_1781955063357_rvam"/>
    <x v="3"/>
    <s v=""/>
    <m/>
    <s v="-"/>
    <m/>
    <s v="import"/>
    <s v=""/>
    <b v="0"/>
    <s v=""/>
  </r>
  <r>
    <s v="f410a2cd-18a9-44c4-8d9c-6a2cdbe6bde3"/>
    <s v="2025-12-28"/>
    <x v="1"/>
    <x v="6"/>
    <n v="28"/>
    <s v="17:50"/>
    <n v="8000"/>
    <x v="0"/>
    <s v="rc_cat_1781955063347_anhy_1781955063347_qnaz"/>
    <x v="4"/>
    <s v="kbank"/>
    <x v="0"/>
    <s v=""/>
    <m/>
    <s v="-"/>
    <m/>
    <s v="import"/>
    <s v=""/>
    <b v="0"/>
    <s v=""/>
  </r>
  <r>
    <s v="17cdcdb1-e7a0-4927-9290-f4a5fdcc2763"/>
    <s v="2025-12-28"/>
    <x v="1"/>
    <x v="6"/>
    <n v="28"/>
    <s v="17:50"/>
    <n v="2193"/>
    <x v="0"/>
    <s v="entertain_1781955063348_kx2f"/>
    <x v="0"/>
    <s v="kbank"/>
    <x v="0"/>
    <s v=""/>
    <m/>
    <s v="gunpla"/>
    <m/>
    <s v="import"/>
    <s v=""/>
    <b v="0"/>
    <s v=""/>
  </r>
  <r>
    <s v="34081f50-d68b-4a3c-bee6-372bf933bd63"/>
    <s v="2025-12-27"/>
    <x v="1"/>
    <x v="6"/>
    <n v="27"/>
    <s v="15:40"/>
    <n v="3777"/>
    <x v="1"/>
    <s v="other"/>
    <x v="1"/>
    <s v="kbank"/>
    <x v="0"/>
    <s v="advance"/>
    <s v="Advance Paid"/>
    <s v="เช่ารถเชียงใหม่ ยังไม่คืน"/>
    <m/>
    <s v="import"/>
    <s v=""/>
    <b v="0"/>
    <s v=""/>
  </r>
  <r>
    <s v="c5200465-c58a-4dee-a42f-b910d5ebe305"/>
    <s v="2025-12-27"/>
    <x v="1"/>
    <x v="6"/>
    <n v="27"/>
    <s v="17:45"/>
    <n v="12465"/>
    <x v="1"/>
    <s v="other"/>
    <x v="1"/>
    <s v="kbank"/>
    <x v="0"/>
    <s v="advance"/>
    <s v="Advance Paid"/>
    <s v="toyoko คืนแล้ว"/>
    <m/>
    <s v="import"/>
    <s v=""/>
    <b v="0"/>
    <s v=""/>
  </r>
  <r>
    <s v="8caf188d-301a-4cb9-8cdf-bd2f3f52b3a5"/>
    <s v="2025-12-27"/>
    <x v="1"/>
    <x v="6"/>
    <n v="27"/>
    <s v="17:47"/>
    <n v="28956"/>
    <x v="1"/>
    <s v="other"/>
    <x v="1"/>
    <s v="advance"/>
    <x v="2"/>
    <s v="kbank"/>
    <s v="KBank"/>
    <s v="-"/>
    <m/>
    <s v="import"/>
    <s v=""/>
    <b v="0"/>
    <s v=""/>
  </r>
  <r>
    <s v="414388c9-376f-4d07-a65a-6241591c2e96"/>
    <s v="2025-12-25"/>
    <x v="1"/>
    <x v="6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0c7d5182-3ae0-4ec6-9048-dc9d4dd033c1"/>
    <s v="2025-12-25"/>
    <x v="1"/>
    <x v="6"/>
    <n v="25"/>
    <s v="00:00"/>
    <n v="3306.4"/>
    <x v="1"/>
    <s v="other"/>
    <x v="1"/>
    <s v="kbank"/>
    <x v="0"/>
    <s v="rc_acc_1781955063347_r9dz"/>
    <s v="Provident Fund"/>
    <s v="-"/>
    <m/>
    <s v="import"/>
    <s v=""/>
    <b v="0"/>
    <s v=""/>
  </r>
  <r>
    <s v="bc38332b-b0c7-49a7-83b7-83fa3dd4943d"/>
    <s v="2025-12-25"/>
    <x v="1"/>
    <x v="6"/>
    <n v="25"/>
    <s v="00:00"/>
    <n v="3123.74"/>
    <x v="0"/>
    <s v="rc_cat_1781955063347_04qb_1781955063350_acgf"/>
    <x v="11"/>
    <s v="kbank"/>
    <x v="0"/>
    <s v=""/>
    <m/>
    <s v="-"/>
    <m/>
    <s v="import"/>
    <s v=""/>
    <b v="0"/>
    <s v=""/>
  </r>
  <r>
    <s v="7c9b4daa-d1d5-4069-8ac8-2502db81a403"/>
    <s v="2025-12-25"/>
    <x v="1"/>
    <x v="6"/>
    <n v="25"/>
    <s v="00:00"/>
    <n v="2857.94"/>
    <x v="0"/>
    <s v="rc_cat_1781955063347_04qb_1781955063347_kgnn"/>
    <x v="13"/>
    <s v="kbank"/>
    <x v="0"/>
    <s v=""/>
    <m/>
    <s v="-"/>
    <m/>
    <s v="import"/>
    <s v=""/>
    <b v="0"/>
    <s v=""/>
  </r>
  <r>
    <s v="57294f2a-523f-4350-9036-1d18a808fb2f"/>
    <s v="2025-12-25"/>
    <x v="1"/>
    <x v="6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8c4a427b-9e7c-40bc-9c43-1620aec072b2"/>
    <s v="2025-12-25"/>
    <x v="1"/>
    <x v="6"/>
    <n v="25"/>
    <s v="00:00"/>
    <n v="9165"/>
    <x v="0"/>
    <s v="rc_cat_1781955063347_04qb_1781955063360_ocha"/>
    <x v="12"/>
    <s v="kbank"/>
    <x v="0"/>
    <s v=""/>
    <m/>
    <s v="-"/>
    <m/>
    <s v="import"/>
    <s v=""/>
    <b v="0"/>
    <s v=""/>
  </r>
  <r>
    <s v="aade6f1a-c7a7-4eb9-a9ac-8738c17d0b43"/>
    <s v="2025-12-25"/>
    <x v="1"/>
    <x v="6"/>
    <n v="25"/>
    <s v="00:00"/>
    <n v="170.54"/>
    <x v="0"/>
    <s v="rc_cat_1781955063347_04qb_1781955063347_lu9b"/>
    <x v="20"/>
    <s v="kbank"/>
    <x v="0"/>
    <s v=""/>
    <m/>
    <s v="-"/>
    <m/>
    <s v="import"/>
    <s v=""/>
    <b v="0"/>
    <s v=""/>
  </r>
  <r>
    <s v="7353de5b-d89d-4e72-a5e0-9cb54e58e33a"/>
    <s v="2025-12-25"/>
    <x v="1"/>
    <x v="6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c116b15a-8ff9-4e9d-a404-baa60f9aa584"/>
    <s v="2025-12-25"/>
    <x v="1"/>
    <x v="6"/>
    <n v="25"/>
    <s v="15:36"/>
    <n v="1017"/>
    <x v="0"/>
    <s v="other_1781955063348_27zj"/>
    <x v="0"/>
    <s v="kbank"/>
    <x v="0"/>
    <s v=""/>
    <m/>
    <s v="-"/>
    <m/>
    <s v="import"/>
    <s v=""/>
    <b v="0"/>
    <s v=""/>
  </r>
  <r>
    <s v="d1a06f41-e18a-430a-a929-b39943d14278"/>
    <s v="2025-12-23"/>
    <x v="1"/>
    <x v="6"/>
    <n v="23"/>
    <s v="15:35"/>
    <n v="15000"/>
    <x v="0"/>
    <s v="rc_cat_1781955063347_anhy_1781955063350_fcpb"/>
    <x v="2"/>
    <s v="kbank"/>
    <x v="0"/>
    <s v=""/>
    <m/>
    <s v="-"/>
    <m/>
    <s v="import"/>
    <s v=""/>
    <b v="0"/>
    <s v=""/>
  </r>
  <r>
    <s v="c0e7b13b-e147-47b3-a197-c963246bdd64"/>
    <s v="2025-12-21"/>
    <x v="1"/>
    <x v="6"/>
    <n v="21"/>
    <s v="15:34"/>
    <n v="580"/>
    <x v="0"/>
    <s v="entertain_1781955063349_gok1"/>
    <x v="18"/>
    <s v="kbank"/>
    <x v="0"/>
    <s v=""/>
    <m/>
    <s v="เชียงใหม่"/>
    <m/>
    <s v="import"/>
    <s v=""/>
    <b v="0"/>
    <s v=""/>
  </r>
  <r>
    <s v="3bd02485-9a94-486b-9769-0f0413d6c14e"/>
    <s v="2025-12-19"/>
    <x v="1"/>
    <x v="6"/>
    <n v="19"/>
    <s v="15:34"/>
    <n v="2100"/>
    <x v="2"/>
    <s v="income_1781955063351_3ab8"/>
    <x v="22"/>
    <s v="kbank"/>
    <x v="0"/>
    <s v=""/>
    <m/>
    <s v="-"/>
    <m/>
    <s v="import"/>
    <s v=""/>
    <b v="0"/>
    <s v=""/>
  </r>
  <r>
    <s v="237cd5e2-b48e-442c-98d1-cdae512ed6ff"/>
    <s v="2025-12-19"/>
    <x v="1"/>
    <x v="6"/>
    <n v="19"/>
    <s v="17:46"/>
    <n v="28956"/>
    <x v="1"/>
    <s v="other"/>
    <x v="1"/>
    <s v="kbank"/>
    <x v="0"/>
    <s v="advance"/>
    <s v="Advance Paid"/>
    <s v="ค่าส่วนกลาง"/>
    <m/>
    <s v="import"/>
    <s v=""/>
    <b v="0"/>
    <s v=""/>
  </r>
  <r>
    <s v="008e5b39-8c41-4218-acc4-af263580d0ec"/>
    <s v="2025-12-18"/>
    <x v="1"/>
    <x v="6"/>
    <n v="18"/>
    <s v="17:48"/>
    <n v="640"/>
    <x v="0"/>
    <s v="rc_cat_1781955063347_anhy_1781955063348_k5l1"/>
    <x v="16"/>
    <s v="kbank"/>
    <x v="0"/>
    <s v=""/>
    <m/>
    <s v="-"/>
    <m/>
    <s v="import"/>
    <s v=""/>
    <b v="0"/>
    <s v=""/>
  </r>
  <r>
    <s v="ac947dc4-8f0e-4450-8177-11210c8afc8c"/>
    <s v="2025-12-14"/>
    <x v="1"/>
    <x v="6"/>
    <n v="14"/>
    <s v="15:32"/>
    <n v="8000"/>
    <x v="0"/>
    <s v="rc_cat_1781955063347_anhy_1781955063347_qnaz"/>
    <x v="4"/>
    <s v="kbank"/>
    <x v="0"/>
    <s v=""/>
    <m/>
    <s v="-"/>
    <m/>
    <s v="import"/>
    <s v=""/>
    <b v="0"/>
    <s v=""/>
  </r>
  <r>
    <s v="9bf8027d-99cf-45c8-adb4-165ca721b2e6"/>
    <s v="2025-12-13"/>
    <x v="1"/>
    <x v="6"/>
    <n v="13"/>
    <s v="15:32"/>
    <n v="6791"/>
    <x v="0"/>
    <s v="rc_cat_1781955063347_04qb_1781955063347_wt5p"/>
    <x v="3"/>
    <s v="kbank"/>
    <x v="0"/>
    <s v=""/>
    <m/>
    <s v="-"/>
    <m/>
    <s v="import"/>
    <s v=""/>
    <b v="0"/>
    <s v=""/>
  </r>
  <r>
    <s v="28033301-9ae2-4362-8e64-a037232a60b2"/>
    <s v="2025-12-01"/>
    <x v="1"/>
    <x v="6"/>
    <n v="1"/>
    <s v="15:32"/>
    <n v="5000"/>
    <x v="1"/>
    <s v="other"/>
    <x v="1"/>
    <s v="kbank"/>
    <x v="0"/>
    <s v="rc_acc_1781955063357_rvam"/>
    <s v="Make Kbank"/>
    <s v="-"/>
    <m/>
    <s v="import"/>
    <s v=""/>
    <b v="0"/>
    <s v=""/>
  </r>
  <r>
    <s v="5dddf291-4e70-4805-8091-097ec6e84bcb"/>
    <s v="2025-11-30"/>
    <x v="1"/>
    <x v="7"/>
    <n v="30"/>
    <s v="17:04"/>
    <n v="1500"/>
    <x v="0"/>
    <s v="rc_cat_1781955063347_s4sz_1781955063347_deos"/>
    <x v="6"/>
    <s v="kbank"/>
    <x v="0"/>
    <s v=""/>
    <m/>
    <s v="-"/>
    <m/>
    <s v="import"/>
    <s v=""/>
    <b v="0"/>
    <s v=""/>
  </r>
  <r>
    <s v="a79d65d7-7ae7-4bf3-b78d-5527d893132d"/>
    <s v="2025-11-30"/>
    <x v="1"/>
    <x v="7"/>
    <n v="30"/>
    <s v="17:04"/>
    <n v="3016"/>
    <x v="0"/>
    <s v="rc_cat_1781955063347_5qjb_1781955063347_tezk"/>
    <x v="5"/>
    <s v="kbank"/>
    <x v="0"/>
    <s v=""/>
    <m/>
    <s v="-"/>
    <m/>
    <s v="import"/>
    <s v=""/>
    <b v="0"/>
    <s v=""/>
  </r>
  <r>
    <s v="64c9024a-dcad-48ed-985c-4ef5f1d0a999"/>
    <s v="2025-11-30"/>
    <x v="1"/>
    <x v="7"/>
    <n v="30"/>
    <s v="17:04"/>
    <n v="2424"/>
    <x v="0"/>
    <s v="rc_cat_1781955063347_5qjb_1781955063347_tezk"/>
    <x v="5"/>
    <s v="kbank"/>
    <x v="0"/>
    <s v=""/>
    <m/>
    <s v="-"/>
    <m/>
    <s v="import"/>
    <s v=""/>
    <b v="0"/>
    <s v=""/>
  </r>
  <r>
    <s v="766bd864-e51b-436d-8d2d-d7a39563d24c"/>
    <s v="2025-11-30"/>
    <x v="1"/>
    <x v="7"/>
    <n v="30"/>
    <s v="17:05"/>
    <n v="600"/>
    <x v="0"/>
    <s v="other_1781955063348_27zj"/>
    <x v="0"/>
    <s v="kbank"/>
    <x v="0"/>
    <s v=""/>
    <m/>
    <s v="ค่าโทรศัพท์"/>
    <m/>
    <s v="import"/>
    <s v=""/>
    <b v="0"/>
    <s v=""/>
  </r>
  <r>
    <s v="9bf63871-f467-45f8-adda-3abf45360b47"/>
    <s v="2025-11-30"/>
    <x v="1"/>
    <x v="7"/>
    <n v="30"/>
    <s v="17:10"/>
    <n v="19000"/>
    <x v="0"/>
    <s v="rc_cat_1781955063347_anhy_1781955063350_fcpb"/>
    <x v="2"/>
    <s v="kbank"/>
    <x v="0"/>
    <s v=""/>
    <m/>
    <s v="-"/>
    <m/>
    <s v="import"/>
    <s v=""/>
    <b v="0"/>
    <s v=""/>
  </r>
  <r>
    <s v="fb3ca6e6-f51b-46ce-9bc6-87c71faad691"/>
    <s v="2025-11-30"/>
    <x v="1"/>
    <x v="7"/>
    <n v="30"/>
    <s v="18:51"/>
    <n v="3048.87"/>
    <x v="0"/>
    <s v="rc_cat_1781955063347_5qjb_1781955063347_tezk"/>
    <x v="5"/>
    <s v="rc_acc_1781955063357_rvam"/>
    <x v="3"/>
    <s v=""/>
    <m/>
    <s v="Difference"/>
    <m/>
    <s v="import"/>
    <s v=""/>
    <b v="0"/>
    <s v=""/>
  </r>
  <r>
    <s v="7e56f4ac-d277-41ff-a371-334b6bbd73aa"/>
    <s v="2025-11-30"/>
    <x v="1"/>
    <x v="7"/>
    <n v="30"/>
    <s v="23:31"/>
    <n v="141"/>
    <x v="0"/>
    <s v="rc_cat_1781955063347_5qjb_1781955063347_tezk"/>
    <x v="5"/>
    <s v="kbank"/>
    <x v="0"/>
    <s v=""/>
    <m/>
    <s v="-"/>
    <m/>
    <s v="import"/>
    <s v=""/>
    <b v="0"/>
    <s v=""/>
  </r>
  <r>
    <s v="097fb1d7-59a3-4cf6-955b-e3cf5d7f7164"/>
    <s v="2025-11-25"/>
    <x v="1"/>
    <x v="7"/>
    <n v="25"/>
    <s v="00:00"/>
    <n v="2159"/>
    <x v="0"/>
    <s v="rc_cat_1781955063347_04qb_1781955063347_kgnn"/>
    <x v="13"/>
    <s v="kbank"/>
    <x v="0"/>
    <s v=""/>
    <m/>
    <s v="-"/>
    <m/>
    <s v="import"/>
    <s v=""/>
    <b v="0"/>
    <s v=""/>
  </r>
  <r>
    <s v="9cf2ea6f-361a-4258-a45c-14413bc16a9d"/>
    <s v="2025-11-25"/>
    <x v="1"/>
    <x v="7"/>
    <n v="25"/>
    <s v="00:00"/>
    <n v="9750"/>
    <x v="0"/>
    <s v="rc_cat_1781955063347_04qb_1781955063360_ocha"/>
    <x v="12"/>
    <s v="kbank"/>
    <x v="0"/>
    <s v=""/>
    <m/>
    <s v="-"/>
    <m/>
    <s v="import"/>
    <s v=""/>
    <b v="0"/>
    <s v=""/>
  </r>
  <r>
    <s v="f0606972-8685-4a45-a90f-d51ba69ad508"/>
    <s v="2025-11-25"/>
    <x v="1"/>
    <x v="7"/>
    <n v="25"/>
    <s v="00:00"/>
    <n v="4500.68"/>
    <x v="0"/>
    <s v="rc_cat_1781955063347_04qb_1781955063350_acgf"/>
    <x v="11"/>
    <s v="kbank"/>
    <x v="0"/>
    <s v=""/>
    <m/>
    <s v="-"/>
    <m/>
    <s v="import"/>
    <s v=""/>
    <b v="0"/>
    <s v=""/>
  </r>
  <r>
    <s v="f1eaad32-dd94-435b-b0ef-a165675a43ee"/>
    <s v="2025-11-25"/>
    <x v="1"/>
    <x v="7"/>
    <n v="25"/>
    <s v="00:00"/>
    <n v="3025"/>
    <x v="1"/>
    <s v="other"/>
    <x v="1"/>
    <s v="kbank"/>
    <x v="0"/>
    <s v="rc_acc_1781955063347_r9dz"/>
    <s v="Provident Fund"/>
    <s v="-"/>
    <m/>
    <s v="import"/>
    <s v=""/>
    <b v="0"/>
    <s v=""/>
  </r>
  <r>
    <s v="579023c4-0695-4310-a598-cae377eb663c"/>
    <s v="2025-11-25"/>
    <x v="1"/>
    <x v="7"/>
    <n v="25"/>
    <s v="00:00"/>
    <n v="34"/>
    <x v="0"/>
    <s v="rc_cat_1781955063347_04qb_1781955063347_lu9b"/>
    <x v="20"/>
    <s v="kbank"/>
    <x v="0"/>
    <s v=""/>
    <m/>
    <s v="-"/>
    <m/>
    <s v="import"/>
    <s v=""/>
    <b v="0"/>
    <s v=""/>
  </r>
  <r>
    <s v="64d8d01b-3b09-40a4-b5ac-b3c97358432c"/>
    <s v="2025-11-25"/>
    <x v="1"/>
    <x v="7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5094cfce-e36b-4425-9a29-4f7577206aa2"/>
    <s v="2025-11-25"/>
    <x v="1"/>
    <x v="7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f4350fb8-63f1-4078-9254-24dfe6495679"/>
    <s v="2025-11-25"/>
    <x v="1"/>
    <x v="7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1bad03c5-4d03-4736-88ed-e5880f193eed"/>
    <s v="2025-11-21"/>
    <x v="1"/>
    <x v="7"/>
    <n v="21"/>
    <s v="17:08"/>
    <n v="150"/>
    <x v="0"/>
    <s v="other_1781955063348_27zj"/>
    <x v="0"/>
    <s v="kbank"/>
    <x v="0"/>
    <s v=""/>
    <m/>
    <s v="-"/>
    <m/>
    <s v="import"/>
    <s v=""/>
    <b v="0"/>
    <s v=""/>
  </r>
  <r>
    <s v="39bdbc1a-4883-4196-afe3-cefdde9d65b6"/>
    <s v="2025-11-14"/>
    <x v="1"/>
    <x v="7"/>
    <n v="14"/>
    <s v="17:07"/>
    <n v="47223.68"/>
    <x v="0"/>
    <s v="rc_cat_1781955063347_04qb_1781955063350_acgf"/>
    <x v="11"/>
    <s v="kbank"/>
    <x v="0"/>
    <s v=""/>
    <m/>
    <s v="-"/>
    <m/>
    <s v="import"/>
    <s v=""/>
    <b v="0"/>
    <s v=""/>
  </r>
  <r>
    <s v="aff65383-ea92-4c67-a8bb-c0db5fbc709d"/>
    <s v="2025-11-03"/>
    <x v="1"/>
    <x v="7"/>
    <n v="3"/>
    <s v="17:07"/>
    <n v="7153"/>
    <x v="0"/>
    <s v="rc_cat_1781955063347_04qb_1781955063347_wt5p"/>
    <x v="3"/>
    <s v="kbank"/>
    <x v="0"/>
    <s v=""/>
    <m/>
    <s v="-"/>
    <m/>
    <s v="import"/>
    <s v=""/>
    <b v="0"/>
    <s v=""/>
  </r>
  <r>
    <s v="19b2c29f-eecd-402e-9e9f-7f9f75d62d5a"/>
    <s v="2025-11-03"/>
    <x v="1"/>
    <x v="7"/>
    <n v="3"/>
    <s v="17:08"/>
    <n v="100000"/>
    <x v="1"/>
    <s v="other"/>
    <x v="1"/>
    <s v="kbank"/>
    <x v="0"/>
    <s v="rc_acc_1781955063349_yz2g"/>
    <s v="Investment"/>
    <s v="-"/>
    <m/>
    <s v="import"/>
    <s v=""/>
    <b v="0"/>
    <s v=""/>
  </r>
  <r>
    <s v="6f9cf0d7-de21-4d94-b098-c350582ecba9"/>
    <s v="2025-11-01"/>
    <x v="1"/>
    <x v="7"/>
    <n v="1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0875fd6f-92b3-4dd6-b618-2f64615c4821"/>
    <s v="2025-11-01"/>
    <x v="1"/>
    <x v="7"/>
    <n v="1"/>
    <s v="13:51"/>
    <n v="5000"/>
    <x v="1"/>
    <s v="other"/>
    <x v="1"/>
    <s v="kbank"/>
    <x v="0"/>
    <s v="rc_acc_1781955063357_rvam"/>
    <s v="Make Kbank"/>
    <s v="-"/>
    <m/>
    <s v="import"/>
    <s v=""/>
    <b v="0"/>
    <s v=""/>
  </r>
  <r>
    <s v="15ca7cff-e0ff-48a6-b7d9-888f2c05e8fd"/>
    <s v="2025-10-31"/>
    <x v="1"/>
    <x v="8"/>
    <n v="31"/>
    <s v="13:53"/>
    <n v="4211"/>
    <x v="0"/>
    <s v="rc_cat_1781955063347_5qjb_1781955063347_tezk"/>
    <x v="5"/>
    <s v="rc_acc_1781955063357_rvam"/>
    <x v="3"/>
    <s v=""/>
    <m/>
    <s v="-"/>
    <m/>
    <s v="import"/>
    <s v=""/>
    <b v="0"/>
    <s v=""/>
  </r>
  <r>
    <s v="78209c17-10a7-4fc6-ac6b-fcb6bcb1846f"/>
    <s v="2025-10-25"/>
    <x v="1"/>
    <x v="8"/>
    <n v="25"/>
    <s v="00:00"/>
    <n v="55"/>
    <x v="0"/>
    <s v="rc_cat_1781955063347_04qb_1781955063347_lu9b"/>
    <x v="20"/>
    <s v="kbank"/>
    <x v="0"/>
    <s v=""/>
    <m/>
    <s v="-"/>
    <m/>
    <s v="import"/>
    <s v=""/>
    <b v="0"/>
    <s v=""/>
  </r>
  <r>
    <s v="3e53b8ed-980b-448d-b330-d725dd875985"/>
    <s v="2025-10-25"/>
    <x v="1"/>
    <x v="8"/>
    <n v="25"/>
    <s v="00:00"/>
    <n v="2159"/>
    <x v="0"/>
    <s v="rc_cat_1781955063347_04qb_1781955063347_kgnn"/>
    <x v="13"/>
    <s v="kbank"/>
    <x v="0"/>
    <s v=""/>
    <m/>
    <s v="-"/>
    <m/>
    <s v="import"/>
    <s v=""/>
    <b v="0"/>
    <s v=""/>
  </r>
  <r>
    <s v="f3cc0892-64cc-4ba2-a352-fe63f2697634"/>
    <s v="2025-10-25"/>
    <x v="1"/>
    <x v="8"/>
    <n v="25"/>
    <s v="00:00"/>
    <n v="3025.2"/>
    <x v="1"/>
    <s v="other"/>
    <x v="1"/>
    <s v="kbank"/>
    <x v="0"/>
    <s v="rc_acc_1781955063347_r9dz"/>
    <s v="Provident Fund"/>
    <s v="-"/>
    <m/>
    <s v="import"/>
    <s v=""/>
    <b v="0"/>
    <s v=""/>
  </r>
  <r>
    <s v="3a66157f-0e88-4e40-b31d-a4c79e26722c"/>
    <s v="2025-10-25"/>
    <x v="1"/>
    <x v="8"/>
    <n v="25"/>
    <s v="00:00"/>
    <n v="4500.68"/>
    <x v="0"/>
    <s v="rc_cat_1781955063347_04qb_1781955063350_acgf"/>
    <x v="11"/>
    <s v="kbank"/>
    <x v="0"/>
    <s v=""/>
    <m/>
    <s v="-"/>
    <m/>
    <s v="import"/>
    <s v=""/>
    <b v="0"/>
    <s v=""/>
  </r>
  <r>
    <s v="b12faa69-4190-4d8b-a97f-c6cbf4e08c35"/>
    <s v="2025-10-25"/>
    <x v="1"/>
    <x v="8"/>
    <n v="25"/>
    <s v="00:00"/>
    <n v="9790"/>
    <x v="0"/>
    <s v="rc_cat_1781955063347_04qb_1781955063360_ocha"/>
    <x v="12"/>
    <s v="kbank"/>
    <x v="0"/>
    <s v=""/>
    <m/>
    <s v="-"/>
    <m/>
    <s v="import"/>
    <s v=""/>
    <b v="0"/>
    <s v=""/>
  </r>
  <r>
    <s v="c0aace87-ad08-4764-82d6-8626e1069f6a"/>
    <s v="2025-10-25"/>
    <x v="1"/>
    <x v="8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224084ea-c64b-441f-ad3d-0dfb06464666"/>
    <s v="2025-10-25"/>
    <x v="1"/>
    <x v="8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920e11f7-19b5-4f7d-b43d-b1e89b6147bc"/>
    <s v="2025-10-25"/>
    <x v="1"/>
    <x v="8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e09719a5-f3d2-4fa8-98a5-d8a9f0de0de8"/>
    <s v="2025-10-25"/>
    <x v="1"/>
    <x v="8"/>
    <n v="25"/>
    <s v="17:06"/>
    <n v="398"/>
    <x v="0"/>
    <s v="other_1781955063348_27zj"/>
    <x v="0"/>
    <s v="kbank"/>
    <x v="0"/>
    <s v=""/>
    <m/>
    <s v="-"/>
    <m/>
    <s v="import"/>
    <s v=""/>
    <b v="0"/>
    <s v=""/>
  </r>
  <r>
    <s v="a3120228-1981-462c-aeb2-76410c0d44d4"/>
    <s v="2025-10-24"/>
    <x v="1"/>
    <x v="8"/>
    <n v="24"/>
    <s v="12:20"/>
    <n v="1257"/>
    <x v="0"/>
    <s v="rc_cat_1781955063347_anhy_1781955063348_k5l1"/>
    <x v="16"/>
    <s v="kbank"/>
    <x v="0"/>
    <s v=""/>
    <m/>
    <s v="-"/>
    <m/>
    <s v="import"/>
    <s v=""/>
    <b v="0"/>
    <s v=""/>
  </r>
  <r>
    <s v="131cb5eb-b2a0-413a-8264-3094935f7664"/>
    <s v="2025-10-24"/>
    <x v="1"/>
    <x v="8"/>
    <n v="24"/>
    <s v="12:22"/>
    <n v="973.7"/>
    <x v="2"/>
    <s v="income_1781955063347_zblt"/>
    <x v="17"/>
    <s v="kbank"/>
    <x v="0"/>
    <s v=""/>
    <m/>
    <s v="-"/>
    <m/>
    <s v="import"/>
    <s v=""/>
    <b v="0"/>
    <s v=""/>
  </r>
  <r>
    <s v="84c62caa-0690-4b6e-b386-47bd4dccfbf9"/>
    <s v="2025-10-24"/>
    <x v="1"/>
    <x v="8"/>
    <n v="24"/>
    <s v="13:05"/>
    <n v="6534"/>
    <x v="0"/>
    <s v="entertain_1781955063349_gok1"/>
    <x v="18"/>
    <s v="kbank"/>
    <x v="0"/>
    <s v=""/>
    <m/>
    <s v="เชียงใหม่"/>
    <m/>
    <s v="import"/>
    <s v=""/>
    <b v="0"/>
    <s v=""/>
  </r>
  <r>
    <s v="5cb8e07c-c013-4ba2-ac40-3054ac78eea8"/>
    <s v="2025-10-24"/>
    <x v="1"/>
    <x v="8"/>
    <n v="24"/>
    <s v="13:06"/>
    <n v="1047"/>
    <x v="0"/>
    <s v="rc_cat_1781955063347_5qjb_1781955063347_tezk"/>
    <x v="5"/>
    <s v="kbank"/>
    <x v="0"/>
    <s v=""/>
    <m/>
    <s v="-"/>
    <m/>
    <s v="import"/>
    <s v=""/>
    <b v="0"/>
    <s v=""/>
  </r>
  <r>
    <s v="89425dc5-3d57-4a3f-9b74-6cf85797b149"/>
    <s v="2025-10-22"/>
    <x v="1"/>
    <x v="8"/>
    <n v="22"/>
    <s v="12:19"/>
    <n v="240"/>
    <x v="0"/>
    <s v="rc_cat_1781955063347_anhy_1781955063350_fcpb"/>
    <x v="2"/>
    <s v="kbank"/>
    <x v="0"/>
    <s v=""/>
    <m/>
    <s v="-"/>
    <m/>
    <s v="import"/>
    <s v=""/>
    <b v="0"/>
    <s v=""/>
  </r>
  <r>
    <s v="38ad215f-6d9d-46bf-b653-34795ab9551c"/>
    <s v="2025-10-19"/>
    <x v="1"/>
    <x v="8"/>
    <n v="19"/>
    <s v="12:15"/>
    <n v="7276"/>
    <x v="0"/>
    <s v="rc_cat_1781955063347_04qb_1781955063347_wt5p"/>
    <x v="3"/>
    <s v="kbank"/>
    <x v="0"/>
    <s v=""/>
    <m/>
    <s v="-"/>
    <m/>
    <s v="import"/>
    <s v=""/>
    <b v="0"/>
    <s v=""/>
  </r>
  <r>
    <s v="26f079de-9432-4089-98c4-4ac85781e74c"/>
    <s v="2025-10-19"/>
    <x v="1"/>
    <x v="8"/>
    <n v="19"/>
    <s v="12:16"/>
    <n v="5000"/>
    <x v="1"/>
    <s v="other"/>
    <x v="1"/>
    <s v="kbank"/>
    <x v="0"/>
    <s v="rc_acc_1781955063357_rvam"/>
    <s v="Make Kbank"/>
    <s v="-"/>
    <m/>
    <s v="import"/>
    <s v=""/>
    <b v="0"/>
    <s v=""/>
  </r>
  <r>
    <s v="5d1bdf02-d38d-4b60-b47e-7888c7e28fe0"/>
    <s v="2025-10-17"/>
    <x v="1"/>
    <x v="8"/>
    <n v="17"/>
    <s v="12:15"/>
    <n v="310"/>
    <x v="0"/>
    <s v="rc_cat_1781955063347_anhy_1781955063348_k5l1"/>
    <x v="16"/>
    <s v="kbank"/>
    <x v="0"/>
    <s v=""/>
    <m/>
    <s v="-"/>
    <m/>
    <s v="import"/>
    <s v=""/>
    <b v="0"/>
    <s v=""/>
  </r>
  <r>
    <s v="b4827b8e-9697-48b7-91e4-698b2fc7225e"/>
    <s v="2025-10-15"/>
    <x v="1"/>
    <x v="8"/>
    <n v="15"/>
    <s v="12:14"/>
    <n v="742"/>
    <x v="0"/>
    <s v="entertain_1781955063348_32wr"/>
    <x v="23"/>
    <s v="kbank"/>
    <x v="0"/>
    <s v=""/>
    <m/>
    <s v="-"/>
    <m/>
    <s v="import"/>
    <s v=""/>
    <b v="0"/>
    <s v=""/>
  </r>
  <r>
    <s v="1c315547-2d8d-41d7-8a44-fb9a1c8719c1"/>
    <s v="2025-10-14"/>
    <x v="1"/>
    <x v="8"/>
    <n v="14"/>
    <s v="12:14"/>
    <n v="650"/>
    <x v="0"/>
    <s v="entertain_1781955063359_cf7f"/>
    <x v="7"/>
    <s v="kbank"/>
    <x v="0"/>
    <s v=""/>
    <m/>
    <s v="-"/>
    <m/>
    <s v="import"/>
    <s v=""/>
    <b v="0"/>
    <s v=""/>
  </r>
  <r>
    <s v="1695765e-522b-4fb0-b30d-be2205c4266c"/>
    <s v="2025-10-08"/>
    <x v="1"/>
    <x v="8"/>
    <n v="8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81af73b9-cd17-4f91-ac68-876a25a0ade0"/>
    <s v="2025-10-08"/>
    <x v="1"/>
    <x v="8"/>
    <n v="8"/>
    <s v="10:47"/>
    <n v="778"/>
    <x v="1"/>
    <s v="other"/>
    <x v="1"/>
    <s v="kbank"/>
    <x v="0"/>
    <s v="advance"/>
    <s v="Advance Paid"/>
    <s v="สมุดหงฝากแลก"/>
    <m/>
    <s v="import"/>
    <s v=""/>
    <b v="0"/>
    <s v=""/>
  </r>
  <r>
    <s v="85f25ac2-8cb8-4d7a-b40d-23e2bf0f64aa"/>
    <s v="2025-10-08"/>
    <x v="1"/>
    <x v="8"/>
    <n v="8"/>
    <s v="12:20"/>
    <n v="7864.81"/>
    <x v="0"/>
    <s v="rc_cat_1781955063347_5qjb_1781955063347_tezk"/>
    <x v="5"/>
    <s v="kbank"/>
    <x v="0"/>
    <s v=""/>
    <m/>
    <s v="-"/>
    <m/>
    <s v="import"/>
    <s v=""/>
    <b v="0"/>
    <s v=""/>
  </r>
  <r>
    <s v="25df11d1-bb6e-4b76-afb4-4ca141ccc8cf"/>
    <s v="2025-10-05"/>
    <x v="1"/>
    <x v="8"/>
    <n v="5"/>
    <s v="10:46"/>
    <n v="8000"/>
    <x v="0"/>
    <s v="rc_cat_1781955063347_anhy_1781955063347_qnaz"/>
    <x v="4"/>
    <s v="kbank"/>
    <x v="0"/>
    <s v=""/>
    <m/>
    <s v="-"/>
    <m/>
    <s v="import"/>
    <s v=""/>
    <b v="0"/>
    <s v=""/>
  </r>
  <r>
    <s v="dae45749-f66e-4123-831f-b97d21303d47"/>
    <s v="2025-09-30"/>
    <x v="1"/>
    <x v="9"/>
    <n v="30"/>
    <s v="12:28"/>
    <n v="4671"/>
    <x v="0"/>
    <s v="rc_cat_1781955063347_5qjb_1781955063347_tezk"/>
    <x v="5"/>
    <s v="rc_acc_1781955063357_rvam"/>
    <x v="3"/>
    <s v=""/>
    <m/>
    <s v="-"/>
    <m/>
    <s v="import"/>
    <s v=""/>
    <b v="0"/>
    <s v=""/>
  </r>
  <r>
    <s v="5b428d03-127d-4ef1-8af3-2ecabbe90bad"/>
    <s v="2025-09-25"/>
    <x v="1"/>
    <x v="9"/>
    <n v="25"/>
    <s v="00:00"/>
    <n v="2706.08"/>
    <x v="0"/>
    <s v="rc_cat_1781955063347_04qb_1781955063347_kgnn"/>
    <x v="13"/>
    <s v="kbank"/>
    <x v="0"/>
    <s v=""/>
    <m/>
    <s v="-"/>
    <m/>
    <s v="import"/>
    <s v=""/>
    <b v="0"/>
    <s v=""/>
  </r>
  <r>
    <s v="cef42bff-d68a-40c4-bd34-4b83a91d0f1a"/>
    <s v="2025-09-25"/>
    <x v="1"/>
    <x v="9"/>
    <n v="25"/>
    <s v="00:00"/>
    <n v="4500.68"/>
    <x v="0"/>
    <s v="rc_cat_1781955063347_04qb_1781955063350_acgf"/>
    <x v="11"/>
    <s v="kbank"/>
    <x v="0"/>
    <s v=""/>
    <m/>
    <s v="-"/>
    <m/>
    <s v="import"/>
    <s v=""/>
    <b v="0"/>
    <s v=""/>
  </r>
  <r>
    <s v="a2ee70c7-3e7d-4524-9f8b-ee27ff526927"/>
    <s v="2025-09-25"/>
    <x v="1"/>
    <x v="9"/>
    <n v="25"/>
    <s v="00:00"/>
    <n v="3025.2"/>
    <x v="1"/>
    <s v="other"/>
    <x v="1"/>
    <s v="kbank"/>
    <x v="0"/>
    <s v="rc_acc_1781955063347_r9dz"/>
    <s v="Provident Fund"/>
    <s v="-"/>
    <m/>
    <s v="import"/>
    <s v=""/>
    <b v="0"/>
    <s v=""/>
  </r>
  <r>
    <s v="b4cd7df7-0dbb-4812-8b49-e70153574a9c"/>
    <s v="2025-09-25"/>
    <x v="1"/>
    <x v="9"/>
    <n v="25"/>
    <s v="00:00"/>
    <n v="69.45"/>
    <x v="0"/>
    <s v="rc_cat_1781955063347_04qb_1781955063347_lu9b"/>
    <x v="20"/>
    <s v="kbank"/>
    <x v="0"/>
    <s v=""/>
    <m/>
    <s v="-"/>
    <m/>
    <s v="import"/>
    <s v=""/>
    <b v="0"/>
    <s v=""/>
  </r>
  <r>
    <s v="615efec5-66a1-4022-9de8-02a53396b603"/>
    <s v="2025-09-25"/>
    <x v="1"/>
    <x v="9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ef539ce6-ac97-4491-bd7c-ab4f8bcabb36"/>
    <s v="2025-09-25"/>
    <x v="1"/>
    <x v="9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9a8eb216-07c2-4621-bb18-f69fac7cd3f5"/>
    <s v="2025-09-25"/>
    <x v="1"/>
    <x v="9"/>
    <n v="25"/>
    <s v="00:00"/>
    <n v="9165"/>
    <x v="0"/>
    <s v="rc_cat_1781955063347_04qb_1781955063360_ocha"/>
    <x v="12"/>
    <s v="kbank"/>
    <x v="0"/>
    <s v=""/>
    <m/>
    <s v="-"/>
    <m/>
    <s v="import"/>
    <s v=""/>
    <b v="0"/>
    <s v=""/>
  </r>
  <r>
    <s v="b0732c36-0334-4638-b4f4-919a1af9c75a"/>
    <s v="2025-09-25"/>
    <x v="1"/>
    <x v="9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8e9d43ed-ec0c-4330-a3e1-3b86ba8d9337"/>
    <s v="2025-09-16"/>
    <x v="1"/>
    <x v="9"/>
    <n v="16"/>
    <s v="10:29"/>
    <n v="600"/>
    <x v="2"/>
    <s v="income_1781955063351_3ab8"/>
    <x v="22"/>
    <s v="kbank"/>
    <x v="0"/>
    <s v=""/>
    <m/>
    <s v="-"/>
    <m/>
    <s v="import"/>
    <s v=""/>
    <b v="0"/>
    <s v=""/>
  </r>
  <r>
    <s v="fc802a92-113d-4cb6-9095-5aee77ee3b2f"/>
    <s v="2025-09-14"/>
    <x v="1"/>
    <x v="9"/>
    <n v="14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2aa237f5-0666-4ee4-bad2-2a4279049340"/>
    <s v="2025-09-14"/>
    <x v="1"/>
    <x v="9"/>
    <n v="14"/>
    <s v="19:18"/>
    <n v="959"/>
    <x v="0"/>
    <s v="rc_cat_1781955063347_5qjb_1781955063347_tezk"/>
    <x v="5"/>
    <s v="kbank"/>
    <x v="0"/>
    <s v=""/>
    <m/>
    <s v="-"/>
    <m/>
    <s v="import"/>
    <s v=""/>
    <b v="0"/>
    <s v=""/>
  </r>
  <r>
    <s v="6f76b709-3fb0-4b42-af53-49cd0739048c"/>
    <s v="2025-09-14"/>
    <x v="1"/>
    <x v="9"/>
    <n v="14"/>
    <s v="19:31"/>
    <n v="3243"/>
    <x v="1"/>
    <s v="other"/>
    <x v="1"/>
    <s v="advance"/>
    <x v="2"/>
    <s v="kbank"/>
    <s v="KBank"/>
    <s v="-"/>
    <m/>
    <s v="import"/>
    <s v=""/>
    <b v="0"/>
    <s v=""/>
  </r>
  <r>
    <s v="51f5a6c6-f12a-4764-9f02-e1fbf14db5d7"/>
    <s v="2025-09-13"/>
    <x v="1"/>
    <x v="9"/>
    <n v="13"/>
    <s v="19:17"/>
    <n v="7452"/>
    <x v="0"/>
    <s v="rc_cat_1781955063347_04qb_1781955063347_wt5p"/>
    <x v="3"/>
    <s v="kbank"/>
    <x v="0"/>
    <s v=""/>
    <m/>
    <s v="-"/>
    <m/>
    <s v="import"/>
    <s v=""/>
    <b v="0"/>
    <s v=""/>
  </r>
  <r>
    <s v="942b35f5-b3dc-4c17-b6c2-3e0d02c57b2c"/>
    <s v="2025-09-12"/>
    <x v="1"/>
    <x v="9"/>
    <n v="12"/>
    <s v="19:15"/>
    <n v="100000"/>
    <x v="1"/>
    <s v="other"/>
    <x v="1"/>
    <s v="kbank"/>
    <x v="0"/>
    <s v="rc_acc_1781955063349_yz2g"/>
    <s v="Investment"/>
    <s v="-"/>
    <m/>
    <s v="import"/>
    <s v=""/>
    <b v="0"/>
    <s v=""/>
  </r>
  <r>
    <s v="a7d667fc-b675-4ebd-a89d-a8d88f34201b"/>
    <s v="2025-09-12"/>
    <x v="1"/>
    <x v="9"/>
    <n v="12"/>
    <s v="19:16"/>
    <n v="652"/>
    <x v="0"/>
    <s v="rc_cat_1781955063347_anhy_1781955063348_k5l1"/>
    <x v="16"/>
    <s v="kbank"/>
    <x v="0"/>
    <s v=""/>
    <m/>
    <s v="เลี้ยงเชน"/>
    <m/>
    <s v="import"/>
    <s v=""/>
    <b v="0"/>
    <s v=""/>
  </r>
  <r>
    <s v="d9b3d12d-0e69-4192-aee0-cac743644eaa"/>
    <s v="2025-09-12"/>
    <x v="1"/>
    <x v="9"/>
    <n v="12"/>
    <s v="19:17"/>
    <n v="80"/>
    <x v="0"/>
    <s v="entertain_1781955063348_32wr"/>
    <x v="23"/>
    <s v="kbank"/>
    <x v="0"/>
    <s v=""/>
    <m/>
    <s v="-"/>
    <m/>
    <s v="import"/>
    <s v=""/>
    <b v="0"/>
    <s v=""/>
  </r>
  <r>
    <s v="f2ee7794-c5dc-4554-a2a3-c97d8269dc0b"/>
    <s v="2025-09-11"/>
    <x v="1"/>
    <x v="9"/>
    <n v="11"/>
    <s v="19:15"/>
    <n v="10000"/>
    <x v="1"/>
    <s v="other"/>
    <x v="1"/>
    <s v="kbank"/>
    <x v="0"/>
    <s v="rc_acc_1781955063357_rvam"/>
    <s v="Make Kbank"/>
    <s v="-"/>
    <m/>
    <s v="import"/>
    <s v=""/>
    <b v="0"/>
    <s v=""/>
  </r>
  <r>
    <s v="5841c408-f30b-489a-887c-04b2f03dd2b3"/>
    <s v="2025-09-06"/>
    <x v="1"/>
    <x v="9"/>
    <n v="6"/>
    <s v="19:14"/>
    <n v="329"/>
    <x v="0"/>
    <s v="other_1781955063348_27zj"/>
    <x v="0"/>
    <s v="kbank"/>
    <x v="0"/>
    <s v=""/>
    <m/>
    <s v="-"/>
    <m/>
    <s v="import"/>
    <s v=""/>
    <b v="0"/>
    <s v=""/>
  </r>
  <r>
    <s v="7bc99059-31c1-4f43-a3e9-91178af9957a"/>
    <s v="2025-09-06"/>
    <x v="1"/>
    <x v="9"/>
    <n v="6"/>
    <s v="19:14"/>
    <n v="125"/>
    <x v="0"/>
    <s v="rc_cat_1781955063347_5qjb_1781955063347_tezk"/>
    <x v="5"/>
    <s v="kbank"/>
    <x v="0"/>
    <s v=""/>
    <m/>
    <s v="-"/>
    <m/>
    <s v="import"/>
    <s v=""/>
    <b v="0"/>
    <s v=""/>
  </r>
  <r>
    <s v="3431aba6-5287-4c10-b78f-528ea58390f4"/>
    <s v="2025-09-05"/>
    <x v="1"/>
    <x v="9"/>
    <n v="5"/>
    <s v="19:13"/>
    <n v="3243"/>
    <x v="1"/>
    <s v="other"/>
    <x v="1"/>
    <s v="kbank"/>
    <x v="0"/>
    <s v="advance"/>
    <s v="Advance Paid"/>
    <s v="kbank shopee"/>
    <m/>
    <s v="import"/>
    <s v=""/>
    <b v="0"/>
    <s v=""/>
  </r>
  <r>
    <s v="849e4e02-52fe-43c1-892f-af7eaf556c9d"/>
    <s v="2025-08-31"/>
    <x v="1"/>
    <x v="10"/>
    <n v="31"/>
    <s v="12:24"/>
    <n v="10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15f26d4d-c60d-4c01-b742-f2e9dfb7e322"/>
    <s v="2025-08-31"/>
    <x v="1"/>
    <x v="10"/>
    <n v="31"/>
    <s v="12:27"/>
    <n v="3774.88"/>
    <x v="0"/>
    <s v="rc_cat_1781955063347_5qjb_1781955063347_tezk"/>
    <x v="5"/>
    <s v="rc_acc_1781955063357_rvam"/>
    <x v="3"/>
    <s v=""/>
    <m/>
    <s v="-"/>
    <m/>
    <s v="import"/>
    <s v=""/>
    <b v="0"/>
    <s v=""/>
  </r>
  <r>
    <s v="d0bbf936-162f-47de-b406-93419b042e71"/>
    <s v="2025-08-31"/>
    <x v="1"/>
    <x v="10"/>
    <n v="31"/>
    <s v="19:12"/>
    <n v="10000"/>
    <x v="1"/>
    <s v="other"/>
    <x v="1"/>
    <s v="kbank"/>
    <x v="0"/>
    <s v="rc_acc_1781955063347_uxz4"/>
    <s v="SCB"/>
    <s v="-"/>
    <m/>
    <s v="import"/>
    <s v=""/>
    <b v="0"/>
    <s v=""/>
  </r>
  <r>
    <s v="0f883b2c-2c14-45dc-8ee7-5bc92d705686"/>
    <s v="2025-08-27"/>
    <x v="1"/>
    <x v="10"/>
    <n v="27"/>
    <s v="19:11"/>
    <n v="1210"/>
    <x v="0"/>
    <s v="rc_cat_1781955063347_anhy_1781955063348_k5l1"/>
    <x v="16"/>
    <s v="kbank"/>
    <x v="0"/>
    <s v=""/>
    <m/>
    <s v="เลี้ยงสำนัก"/>
    <m/>
    <s v="import"/>
    <s v=""/>
    <b v="0"/>
    <s v=""/>
  </r>
  <r>
    <s v="e8284a39-d8b9-4374-a86e-40920e671497"/>
    <s v="2025-08-26"/>
    <x v="1"/>
    <x v="10"/>
    <n v="26"/>
    <s v="19:22"/>
    <n v="70"/>
    <x v="0"/>
    <s v="rc_cat_1781955063347_5qjb_1781955063347_tezk"/>
    <x v="5"/>
    <s v="kbank"/>
    <x v="0"/>
    <s v=""/>
    <m/>
    <s v="-"/>
    <m/>
    <s v="import"/>
    <s v=""/>
    <b v="0"/>
    <s v=""/>
  </r>
  <r>
    <s v="d45f8cd3-033f-40f6-b010-034670206919"/>
    <s v="2025-08-25"/>
    <x v="1"/>
    <x v="10"/>
    <n v="25"/>
    <s v="00:00"/>
    <n v="4500.68"/>
    <x v="0"/>
    <s v="rc_cat_1781955063347_04qb_1781955063350_acgf"/>
    <x v="11"/>
    <s v="kbank"/>
    <x v="0"/>
    <s v=""/>
    <m/>
    <s v="-"/>
    <m/>
    <s v="import"/>
    <s v=""/>
    <b v="0"/>
    <s v=""/>
  </r>
  <r>
    <s v="c6b7b8bd-9bb0-41a1-bf9a-f18b8e7a64dd"/>
    <s v="2025-08-25"/>
    <x v="1"/>
    <x v="10"/>
    <n v="25"/>
    <s v="00:00"/>
    <n v="3025"/>
    <x v="1"/>
    <s v="other"/>
    <x v="1"/>
    <s v="kbank"/>
    <x v="0"/>
    <s v="rc_acc_1781955063347_r9dz"/>
    <s v="Provident Fund"/>
    <s v="-"/>
    <m/>
    <s v="import"/>
    <s v=""/>
    <b v="0"/>
    <s v=""/>
  </r>
  <r>
    <s v="f5c43a69-258e-41b3-af88-8d4dd75744e7"/>
    <s v="2025-08-25"/>
    <x v="1"/>
    <x v="10"/>
    <n v="25"/>
    <s v="00:00"/>
    <n v="2901.27"/>
    <x v="0"/>
    <s v="rc_cat_1781955063347_04qb_1781955063347_kgnn"/>
    <x v="13"/>
    <s v="kbank"/>
    <x v="0"/>
    <s v=""/>
    <m/>
    <s v="-"/>
    <m/>
    <s v="import"/>
    <s v=""/>
    <b v="0"/>
    <s v=""/>
  </r>
  <r>
    <s v="c1554ede-3e7f-4bbd-b7ce-ec8680d01587"/>
    <s v="2025-08-25"/>
    <x v="1"/>
    <x v="10"/>
    <n v="25"/>
    <s v="00:00"/>
    <n v="88.98"/>
    <x v="0"/>
    <s v="rc_cat_1781955063347_04qb_1781955063347_lu9b"/>
    <x v="20"/>
    <s v="kbank"/>
    <x v="0"/>
    <s v=""/>
    <m/>
    <s v="-"/>
    <m/>
    <s v="import"/>
    <s v=""/>
    <b v="0"/>
    <s v=""/>
  </r>
  <r>
    <s v="4c5cde8b-3830-455d-935c-3cba3375adea"/>
    <s v="2025-08-25"/>
    <x v="1"/>
    <x v="10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3f8db9ae-a363-4231-b6b8-9e0cc8d93dd8"/>
    <s v="2025-08-25"/>
    <x v="1"/>
    <x v="10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a6976a05-2637-4b06-911a-6737794f7ab3"/>
    <s v="2025-08-25"/>
    <x v="1"/>
    <x v="10"/>
    <n v="25"/>
    <s v="00:00"/>
    <n v="9165"/>
    <x v="0"/>
    <s v="rc_cat_1781955063347_04qb_1781955063360_ocha"/>
    <x v="12"/>
    <s v="kbank"/>
    <x v="0"/>
    <s v=""/>
    <m/>
    <s v="-"/>
    <m/>
    <s v="import"/>
    <s v=""/>
    <b v="0"/>
    <s v=""/>
  </r>
  <r>
    <s v="8e8a1395-4819-466b-9752-fc9d20a60dbf"/>
    <s v="2025-08-25"/>
    <x v="1"/>
    <x v="10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15adea08-421e-457d-a7eb-be6f25510045"/>
    <s v="2025-08-25"/>
    <x v="1"/>
    <x v="10"/>
    <n v="25"/>
    <s v="19:07"/>
    <n v="25"/>
    <x v="0"/>
    <s v="other_1781955063348_27zj"/>
    <x v="0"/>
    <s v="kbank"/>
    <x v="0"/>
    <s v=""/>
    <m/>
    <s v="-"/>
    <m/>
    <s v="import"/>
    <s v=""/>
    <b v="0"/>
    <s v=""/>
  </r>
  <r>
    <s v="c681822a-d5ab-41da-96c3-8cb9d2aff3f8"/>
    <s v="2025-08-24"/>
    <x v="1"/>
    <x v="10"/>
    <n v="24"/>
    <s v="10:20"/>
    <n v="73"/>
    <x v="0"/>
    <s v="rc_cat_1781955063347_5qjb_1781955063347_tezk"/>
    <x v="5"/>
    <s v="kbank"/>
    <x v="0"/>
    <s v=""/>
    <m/>
    <s v="-"/>
    <m/>
    <s v="import"/>
    <s v=""/>
    <b v="0"/>
    <s v=""/>
  </r>
  <r>
    <s v="16e13041-b9a9-428c-b8f0-b65e21876aed"/>
    <s v="2025-08-24"/>
    <x v="1"/>
    <x v="10"/>
    <n v="24"/>
    <s v="10:23"/>
    <n v="15914"/>
    <x v="1"/>
    <s v="other"/>
    <x v="1"/>
    <s v="kbank"/>
    <x v="0"/>
    <s v="advance"/>
    <s v="Advance Paid"/>
    <s v="-"/>
    <m/>
    <s v="import"/>
    <s v=""/>
    <b v="0"/>
    <s v=""/>
  </r>
  <r>
    <s v="c7b714fc-46ba-42d4-b75b-e6d723e87aec"/>
    <s v="2025-08-24"/>
    <x v="1"/>
    <x v="10"/>
    <n v="24"/>
    <s v="11:18"/>
    <n v="1100"/>
    <x v="0"/>
    <s v="rc_cat_1781955063347_5qjb_1781955063347_tezk"/>
    <x v="5"/>
    <s v="kbank"/>
    <x v="0"/>
    <s v=""/>
    <m/>
    <s v="เค้ก จจ"/>
    <m/>
    <s v="import"/>
    <s v=""/>
    <b v="0"/>
    <s v=""/>
  </r>
  <r>
    <s v="6d2b06eb-ba6f-4caf-ae5a-3d29ebd29969"/>
    <s v="2025-08-24"/>
    <x v="1"/>
    <x v="10"/>
    <n v="24"/>
    <s v="11:21"/>
    <n v="1075"/>
    <x v="1"/>
    <s v="other"/>
    <x v="1"/>
    <s v="advance"/>
    <x v="2"/>
    <s v="kbank"/>
    <s v="KBank"/>
    <s v="-"/>
    <m/>
    <s v="import"/>
    <s v=""/>
    <b v="0"/>
    <s v=""/>
  </r>
  <r>
    <s v="59993fad-dc75-4d32-8fdf-649ef74cd0d3"/>
    <s v="2025-08-24"/>
    <x v="1"/>
    <x v="10"/>
    <n v="24"/>
    <s v="19:03"/>
    <n v="5457"/>
    <x v="1"/>
    <s v="other"/>
    <x v="1"/>
    <s v="kbank"/>
    <x v="0"/>
    <s v="advance"/>
    <s v="Advance Paid"/>
    <s v="บัตร uob"/>
    <m/>
    <s v="import"/>
    <s v=""/>
    <b v="0"/>
    <s v=""/>
  </r>
  <r>
    <s v="7f719e4c-ce10-47a4-876d-ceb1e5d1f79f"/>
    <s v="2025-08-24"/>
    <x v="1"/>
    <x v="10"/>
    <n v="24"/>
    <s v="19:04"/>
    <n v="1760"/>
    <x v="1"/>
    <s v="other"/>
    <x v="1"/>
    <s v="kbank"/>
    <x v="0"/>
    <s v="advance"/>
    <s v="Advance Paid"/>
    <s v="ข้าวต้มเพ่งเพง"/>
    <m/>
    <s v="import"/>
    <s v=""/>
    <b v="0"/>
    <s v=""/>
  </r>
  <r>
    <s v="0b76f45a-bcdf-4e1a-add8-7721e0073348"/>
    <s v="2025-08-21"/>
    <x v="1"/>
    <x v="10"/>
    <n v="21"/>
    <s v="11:17"/>
    <n v="1000"/>
    <x v="2"/>
    <s v="income_1781955063347_zblt"/>
    <x v="17"/>
    <s v="kbank"/>
    <x v="0"/>
    <s v=""/>
    <m/>
    <s v="-"/>
    <m/>
    <s v="import"/>
    <s v=""/>
    <b v="0"/>
    <s v=""/>
  </r>
  <r>
    <s v="798b7ce1-5e8f-445a-9ca5-dd01ace649c8"/>
    <s v="2025-08-21"/>
    <x v="1"/>
    <x v="10"/>
    <n v="21"/>
    <s v="11:18"/>
    <n v="790"/>
    <x v="0"/>
    <s v="rc_cat_1781955063347_5qjb_1781955063347_tezk"/>
    <x v="5"/>
    <s v="kbank"/>
    <x v="0"/>
    <s v=""/>
    <m/>
    <s v="เลี้ยงเจ้"/>
    <m/>
    <s v="import"/>
    <s v=""/>
    <b v="0"/>
    <s v=""/>
  </r>
  <r>
    <s v="47e12c1e-18ce-40f4-aefd-4b8017b5268e"/>
    <s v="2025-08-20"/>
    <x v="1"/>
    <x v="10"/>
    <n v="20"/>
    <s v="11:17"/>
    <n v="300"/>
    <x v="1"/>
    <s v="other"/>
    <x v="1"/>
    <s v="kbank"/>
    <x v="0"/>
    <s v="rc_acc_1781955063348_998o"/>
    <s v="Line Pay"/>
    <s v="-"/>
    <m/>
    <s v="import"/>
    <s v=""/>
    <b v="0"/>
    <s v=""/>
  </r>
  <r>
    <s v="53f36baf-f1b2-4efc-83df-877c1aa06e3b"/>
    <s v="2025-08-18"/>
    <x v="1"/>
    <x v="10"/>
    <n v="18"/>
    <s v="11:16"/>
    <n v="550"/>
    <x v="0"/>
    <s v="rc_cat_1781955063347_5qjb_1781955063347_tezk"/>
    <x v="5"/>
    <s v="kbank"/>
    <x v="0"/>
    <s v=""/>
    <m/>
    <s v="เลี้ยงปาล์ม"/>
    <m/>
    <s v="import"/>
    <s v=""/>
    <b v="0"/>
    <s v=""/>
  </r>
  <r>
    <s v="5c06795f-b7e7-4de4-8999-d150ce8e12c9"/>
    <s v="2025-08-18"/>
    <x v="1"/>
    <x v="10"/>
    <n v="18"/>
    <s v="11:17"/>
    <n v="40"/>
    <x v="0"/>
    <s v="rc_cat_1781955063347_5qjb_1781955063347_tezk"/>
    <x v="5"/>
    <s v="kbank"/>
    <x v="0"/>
    <s v=""/>
    <m/>
    <s v="-"/>
    <m/>
    <s v="import"/>
    <s v=""/>
    <b v="0"/>
    <s v=""/>
  </r>
  <r>
    <s v="b28a9a2a-0935-4402-86e5-ae369a3f8de3"/>
    <s v="2025-08-14"/>
    <x v="1"/>
    <x v="10"/>
    <n v="14"/>
    <s v="11:21"/>
    <n v="750"/>
    <x v="0"/>
    <s v="rc_cat_1781955063347_s4sz_1781955063347_deos"/>
    <x v="6"/>
    <s v="kbank"/>
    <x v="0"/>
    <s v=""/>
    <m/>
    <s v="-"/>
    <m/>
    <s v="import"/>
    <s v=""/>
    <b v="0"/>
    <s v=""/>
  </r>
  <r>
    <s v="7f057e6c-9ac4-49ea-9cbb-74cb344d18ce"/>
    <s v="2025-08-05"/>
    <x v="1"/>
    <x v="10"/>
    <n v="5"/>
    <s v="10:20"/>
    <n v="600.91"/>
    <x v="2"/>
    <s v="income_1781955063351_3ab8"/>
    <x v="22"/>
    <s v="kbank"/>
    <x v="0"/>
    <s v=""/>
    <m/>
    <s v="-"/>
    <m/>
    <s v="import"/>
    <s v=""/>
    <b v="0"/>
    <s v=""/>
  </r>
  <r>
    <s v="161e374c-dc59-43f9-962d-c36544563351"/>
    <s v="2025-08-04"/>
    <x v="1"/>
    <x v="10"/>
    <n v="4"/>
    <s v="10:25"/>
    <n v="1075"/>
    <x v="1"/>
    <s v="other"/>
    <x v="1"/>
    <s v="kbank"/>
    <x v="0"/>
    <s v="advance"/>
    <s v="Advance Paid"/>
    <s v="-"/>
    <m/>
    <s v="import"/>
    <s v=""/>
    <b v="0"/>
    <s v=""/>
  </r>
  <r>
    <s v="20aa3ba7-a35e-482d-88fc-d83435200354"/>
    <s v="2025-08-03"/>
    <x v="1"/>
    <x v="10"/>
    <n v="3"/>
    <s v="10:20"/>
    <n v="8000"/>
    <x v="0"/>
    <s v="rc_cat_1781955063347_anhy_1781955063347_qnaz"/>
    <x v="4"/>
    <s v="kbank"/>
    <x v="0"/>
    <s v=""/>
    <m/>
    <s v="-"/>
    <m/>
    <s v="import"/>
    <s v=""/>
    <b v="0"/>
    <s v=""/>
  </r>
  <r>
    <s v="e4404fa1-3f0c-4228-a3a7-6f1024109db4"/>
    <s v="2025-08-02"/>
    <x v="1"/>
    <x v="10"/>
    <n v="2"/>
    <s v="12:26"/>
    <n v="7300"/>
    <x v="0"/>
    <s v="rc_cat_1781955063347_04qb_1781955063347_wt5p"/>
    <x v="3"/>
    <s v="kbank"/>
    <x v="0"/>
    <s v=""/>
    <m/>
    <s v="-"/>
    <m/>
    <s v="import"/>
    <s v=""/>
    <b v="0"/>
    <s v=""/>
  </r>
  <r>
    <s v="caeb1b11-8a0b-4d1b-b832-6be9accef08b"/>
    <s v="2025-08-01"/>
    <x v="1"/>
    <x v="10"/>
    <n v="1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ec791584-bf3b-4a42-8b65-aa4ed66f6e44"/>
    <s v="2025-08-01"/>
    <x v="1"/>
    <x v="10"/>
    <n v="1"/>
    <s v="12:26"/>
    <n v="933"/>
    <x v="0"/>
    <s v="other_1781955063348_27zj"/>
    <x v="0"/>
    <s v="kbank"/>
    <x v="0"/>
    <s v=""/>
    <m/>
    <s v="เลี้ยงชา"/>
    <m/>
    <s v="import"/>
    <s v=""/>
    <b v="0"/>
    <s v=""/>
  </r>
  <r>
    <s v="08930f20-cd01-4759-b5d2-62766fcd5f9b"/>
    <s v="2025-07-31"/>
    <x v="1"/>
    <x v="11"/>
    <n v="31"/>
    <s v="12:27"/>
    <n v="600"/>
    <x v="0"/>
    <s v="rc_cat_1781955063347_5qjb_1781955063347_tezk"/>
    <x v="5"/>
    <s v="kbank"/>
    <x v="0"/>
    <s v=""/>
    <m/>
    <s v="-"/>
    <m/>
    <s v="import"/>
    <s v=""/>
    <b v="0"/>
    <s v=""/>
  </r>
  <r>
    <s v="630e077a-d2dd-42bb-aa8e-146f2a38e395"/>
    <s v="2025-07-30"/>
    <x v="1"/>
    <x v="11"/>
    <n v="30"/>
    <s v="12:28"/>
    <n v="842"/>
    <x v="0"/>
    <s v="rc_cat_1781955063347_5qjb_1781955063347_tezk"/>
    <x v="5"/>
    <s v="kbank"/>
    <x v="0"/>
    <s v=""/>
    <m/>
    <s v="-"/>
    <m/>
    <s v="import"/>
    <s v=""/>
    <b v="0"/>
    <s v=""/>
  </r>
  <r>
    <s v="90a72bb0-5f36-487a-b036-e242581dee9f"/>
    <s v="2025-07-26"/>
    <x v="1"/>
    <x v="11"/>
    <n v="26"/>
    <s v="20:20"/>
    <n v="1690"/>
    <x v="0"/>
    <s v="entertain_1781955063352_1jgx"/>
    <x v="10"/>
    <s v="kbank"/>
    <x v="0"/>
    <s v=""/>
    <m/>
    <s v="-"/>
    <m/>
    <s v="import"/>
    <s v=""/>
    <b v="0"/>
    <s v=""/>
  </r>
  <r>
    <s v="9d61e519-e23c-48ab-86ab-fcf35d43786e"/>
    <s v="2025-07-26"/>
    <x v="1"/>
    <x v="11"/>
    <n v="26"/>
    <s v="20:20"/>
    <n v="3065"/>
    <x v="0"/>
    <s v="rc_cat_1781955063347_s4sz_1781955063347_deos"/>
    <x v="6"/>
    <s v="kbank"/>
    <x v="0"/>
    <s v=""/>
    <m/>
    <s v="-"/>
    <m/>
    <s v="import"/>
    <s v=""/>
    <b v="0"/>
    <s v=""/>
  </r>
  <r>
    <s v="932e9541-00bd-407f-b790-08d1d93e256a"/>
    <s v="2025-07-26"/>
    <x v="1"/>
    <x v="11"/>
    <n v="26"/>
    <s v="20:21"/>
    <n v="477"/>
    <x v="0"/>
    <s v="rc_cat_1781955063347_5qjb_1781955063347_tezk"/>
    <x v="5"/>
    <s v="kbank"/>
    <x v="0"/>
    <s v=""/>
    <m/>
    <s v="-"/>
    <m/>
    <s v="import"/>
    <s v=""/>
    <b v="0"/>
    <s v=""/>
  </r>
  <r>
    <s v="9bdc799b-81ef-419c-bfe1-a57faf40188c"/>
    <s v="2025-07-26"/>
    <x v="1"/>
    <x v="11"/>
    <n v="26"/>
    <s v="20:22"/>
    <n v="2890"/>
    <x v="1"/>
    <s v="other"/>
    <x v="1"/>
    <s v="kbank"/>
    <x v="0"/>
    <s v="rc_acc_1781955063347_hv85"/>
    <s v="HOMEPRO"/>
    <s v="-"/>
    <m/>
    <s v="import"/>
    <s v=""/>
    <b v="0"/>
    <s v=""/>
  </r>
  <r>
    <s v="021d3969-b849-407f-97f3-e697347e080d"/>
    <s v="2025-07-26"/>
    <x v="1"/>
    <x v="11"/>
    <n v="26"/>
    <s v="20:22"/>
    <n v="1963.32"/>
    <x v="0"/>
    <s v="other_1781955063347_5s7r"/>
    <x v="15"/>
    <s v="rc_acc_1781955063347_hv85"/>
    <x v="5"/>
    <s v=""/>
    <m/>
    <s v="Difference"/>
    <m/>
    <s v="import"/>
    <s v=""/>
    <b v="0"/>
    <s v=""/>
  </r>
  <r>
    <s v="c24f65d7-9e60-4312-ba46-04631a30f34d"/>
    <s v="2025-07-26"/>
    <x v="1"/>
    <x v="11"/>
    <n v="26"/>
    <s v="20:25"/>
    <n v="515"/>
    <x v="0"/>
    <s v="other_1781955063347_5s7r"/>
    <x v="15"/>
    <s v="rc_acc_1781955063348_w3gp"/>
    <x v="6"/>
    <s v=""/>
    <m/>
    <s v="Difference"/>
    <m/>
    <s v="import"/>
    <s v=""/>
    <b v="0"/>
    <s v=""/>
  </r>
  <r>
    <s v="aedcf558-7eed-4986-a6aa-50933b352b88"/>
    <s v="2025-07-25"/>
    <x v="1"/>
    <x v="11"/>
    <n v="25"/>
    <s v="00:00"/>
    <n v="97.39"/>
    <x v="0"/>
    <s v="rc_cat_1781955063347_04qb_1781955063347_lu9b"/>
    <x v="20"/>
    <s v="kbank"/>
    <x v="0"/>
    <s v=""/>
    <m/>
    <s v="-"/>
    <m/>
    <s v="import"/>
    <s v=""/>
    <b v="0"/>
    <s v=""/>
  </r>
  <r>
    <s v="2dfe32fe-6072-4f29-8ccf-2e7a785dfa5a"/>
    <s v="2025-07-25"/>
    <x v="1"/>
    <x v="11"/>
    <n v="25"/>
    <s v="00:00"/>
    <n v="3025.2"/>
    <x v="1"/>
    <s v="other"/>
    <x v="1"/>
    <s v="kbank"/>
    <x v="0"/>
    <s v="rc_acc_1781955063347_r9dz"/>
    <s v="Provident Fund"/>
    <s v="-"/>
    <m/>
    <s v="import"/>
    <s v=""/>
    <b v="0"/>
    <s v=""/>
  </r>
  <r>
    <s v="a38ce2bb-b8e1-4659-89e2-0a5547b3db1d"/>
    <s v="2025-07-25"/>
    <x v="1"/>
    <x v="11"/>
    <n v="25"/>
    <s v="00:00"/>
    <n v="4500.68"/>
    <x v="0"/>
    <s v="rc_cat_1781955063347_04qb_1781955063350_acgf"/>
    <x v="11"/>
    <s v="kbank"/>
    <x v="0"/>
    <s v=""/>
    <m/>
    <s v="-"/>
    <m/>
    <s v="import"/>
    <s v=""/>
    <b v="0"/>
    <s v=""/>
  </r>
  <r>
    <s v="db03aa6f-a984-4cde-b792-9e50545058ca"/>
    <s v="2025-07-25"/>
    <x v="1"/>
    <x v="11"/>
    <n v="25"/>
    <s v="00:00"/>
    <n v="2733"/>
    <x v="0"/>
    <s v="rc_cat_1781955063347_04qb_1781955063347_kgnn"/>
    <x v="13"/>
    <s v="kbank"/>
    <x v="0"/>
    <s v=""/>
    <m/>
    <s v="-"/>
    <m/>
    <s v="import"/>
    <s v=""/>
    <b v="0"/>
    <s v=""/>
  </r>
  <r>
    <s v="ea22a9ed-d209-484f-84a0-3d5fabbd8786"/>
    <s v="2025-07-25"/>
    <x v="1"/>
    <x v="11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5c54e58c-b32c-4947-b40f-3f4a0a7764a2"/>
    <s v="2025-07-25"/>
    <x v="1"/>
    <x v="11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1b04cd3d-f262-4b98-b9aa-6dce418307d8"/>
    <s v="2025-07-25"/>
    <x v="1"/>
    <x v="11"/>
    <n v="25"/>
    <s v="00:00"/>
    <n v="9165"/>
    <x v="0"/>
    <s v="rc_cat_1781955063347_04qb_1781955063360_ocha"/>
    <x v="12"/>
    <s v="kbank"/>
    <x v="0"/>
    <s v=""/>
    <m/>
    <s v="-"/>
    <m/>
    <s v="import"/>
    <s v=""/>
    <b v="0"/>
    <s v=""/>
  </r>
  <r>
    <s v="dc94dfc7-022c-4f18-b706-d32029acac60"/>
    <s v="2025-07-25"/>
    <x v="1"/>
    <x v="11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f651b07b-332c-4175-8bee-fec2d6deb79c"/>
    <s v="2025-07-25"/>
    <x v="1"/>
    <x v="11"/>
    <n v="25"/>
    <s v="10:16"/>
    <n v="50"/>
    <x v="0"/>
    <s v="rc_cat_1781955063347_5qjb_1781955063347_tezk"/>
    <x v="5"/>
    <s v="kbank"/>
    <x v="0"/>
    <s v=""/>
    <m/>
    <s v="-"/>
    <m/>
    <s v="import"/>
    <s v=""/>
    <b v="0"/>
    <s v=""/>
  </r>
  <r>
    <s v="16768bf1-14df-49ba-b0a2-7c0954dfdc88"/>
    <s v="2025-07-20"/>
    <x v="1"/>
    <x v="11"/>
    <n v="20"/>
    <s v="16:24"/>
    <n v="415"/>
    <x v="0"/>
    <s v="rc_cat_1781955063347_5qjb_1781955063347_tezk"/>
    <x v="5"/>
    <s v="kbank"/>
    <x v="0"/>
    <s v=""/>
    <m/>
    <s v="-"/>
    <m/>
    <s v="import"/>
    <s v=""/>
    <b v="0"/>
    <s v=""/>
  </r>
  <r>
    <s v="e4b14a02-fc16-42ba-bd55-f3dc8e6d1f0c"/>
    <s v="2025-07-20"/>
    <x v="1"/>
    <x v="11"/>
    <n v="20"/>
    <s v="16:28"/>
    <n v="7.09"/>
    <x v="2"/>
    <s v="other_1781955063347_5s7r"/>
    <x v="15"/>
    <s v="rc_acc_1781955063348_no9r"/>
    <x v="7"/>
    <s v=""/>
    <m/>
    <s v="Difference"/>
    <m/>
    <s v="import"/>
    <s v=""/>
    <b v="0"/>
    <s v=""/>
  </r>
  <r>
    <s v="16f1ea76-992d-4c03-8f32-e3953de92ac6"/>
    <s v="2025-07-20"/>
    <x v="1"/>
    <x v="11"/>
    <n v="20"/>
    <s v="16:29"/>
    <n v="5.46"/>
    <x v="2"/>
    <s v="other_1781955063347_5s7r"/>
    <x v="15"/>
    <s v="rc_acc_1781955063348_obza"/>
    <x v="8"/>
    <s v=""/>
    <m/>
    <s v="Difference"/>
    <m/>
    <s v="import"/>
    <s v=""/>
    <b v="0"/>
    <s v=""/>
  </r>
  <r>
    <s v="9cc67b43-f571-4b49-ad46-753eb75d5a8b"/>
    <s v="2025-07-20"/>
    <x v="1"/>
    <x v="11"/>
    <n v="20"/>
    <s v="16:36"/>
    <n v="6309"/>
    <x v="1"/>
    <s v="other"/>
    <x v="1"/>
    <s v="kbank"/>
    <x v="0"/>
    <s v="rc_acc_1781955063348_no9r"/>
    <s v="Krungthai Next"/>
    <s v="-"/>
    <m/>
    <s v="import"/>
    <s v=""/>
    <b v="0"/>
    <s v=""/>
  </r>
  <r>
    <s v="66e71667-63de-44fb-b3bb-d135165b4783"/>
    <s v="2025-07-20"/>
    <x v="1"/>
    <x v="11"/>
    <n v="20"/>
    <s v="16:37"/>
    <n v="6153"/>
    <x v="1"/>
    <s v="other"/>
    <x v="1"/>
    <s v="kbank"/>
    <x v="0"/>
    <s v="rc_acc_1781955063348_obza"/>
    <s v="KRUNGSRI"/>
    <s v="-"/>
    <m/>
    <s v="import"/>
    <s v=""/>
    <b v="0"/>
    <s v=""/>
  </r>
  <r>
    <s v="bfb1198a-8046-4ff2-ab1e-f1ed54cf3542"/>
    <s v="2025-07-17"/>
    <x v="1"/>
    <x v="11"/>
    <n v="17"/>
    <s v="16:23"/>
    <n v="5000"/>
    <x v="0"/>
    <s v="rc_cat_1781955063347_5qjb_1781955063347_tezk"/>
    <x v="5"/>
    <s v="kbank"/>
    <x v="0"/>
    <s v=""/>
    <m/>
    <s v="-"/>
    <m/>
    <s v="import"/>
    <s v=""/>
    <b v="0"/>
    <s v=""/>
  </r>
  <r>
    <s v="8a675a3c-e271-4134-92f8-01f8bec5216f"/>
    <s v="2025-07-12"/>
    <x v="1"/>
    <x v="11"/>
    <n v="12"/>
    <s v="22:05"/>
    <n v="3201.86"/>
    <x v="2"/>
    <s v="other_1781955063347_5s7r"/>
    <x v="15"/>
    <s v="rc_acc_1781955063347_uxz4"/>
    <x v="4"/>
    <s v=""/>
    <m/>
    <s v="Difference"/>
    <m/>
    <s v="import"/>
    <s v=""/>
    <b v="0"/>
    <s v=""/>
  </r>
  <r>
    <s v="a43687ae-ada1-4aaf-8e9e-c2bee0edaa06"/>
    <s v="2025-07-12"/>
    <x v="1"/>
    <x v="11"/>
    <n v="12"/>
    <s v="22:11"/>
    <n v="200"/>
    <x v="0"/>
    <s v="rc_cat_1781955063347_5qjb_1781955063347_tezk"/>
    <x v="5"/>
    <s v="kbank"/>
    <x v="0"/>
    <s v=""/>
    <m/>
    <s v="-"/>
    <m/>
    <s v="import"/>
    <s v=""/>
    <b v="0"/>
    <s v=""/>
  </r>
  <r>
    <s v="5d91e099-03df-4218-a7cb-b464203aaaa8"/>
    <s v="2025-07-10"/>
    <x v="1"/>
    <x v="11"/>
    <n v="10"/>
    <s v="20:53"/>
    <n v="2890"/>
    <x v="0"/>
    <s v="entertain_1781955063348_kx2f"/>
    <x v="0"/>
    <s v="rc_acc_1781955063347_hv85"/>
    <x v="5"/>
    <s v=""/>
    <m/>
    <s v="tablet(10/10)"/>
    <m/>
    <s v="import"/>
    <s v=""/>
    <b v="0"/>
    <s v=""/>
  </r>
  <r>
    <s v="97fe836a-fd12-4982-bd33-5096367e82e2"/>
    <s v="2025-07-10"/>
    <x v="1"/>
    <x v="11"/>
    <n v="10"/>
    <s v="22:10"/>
    <n v="270"/>
    <x v="0"/>
    <s v="rc_cat_1781955063347_5qjb_1781955063347_tezk"/>
    <x v="5"/>
    <s v="kbank"/>
    <x v="0"/>
    <s v=""/>
    <m/>
    <s v="ภคกร"/>
    <m/>
    <s v="import"/>
    <s v=""/>
    <b v="0"/>
    <s v=""/>
  </r>
  <r>
    <s v="91da82f7-eb59-41d5-ada0-3786f859decc"/>
    <s v="2025-07-08"/>
    <x v="1"/>
    <x v="11"/>
    <n v="8"/>
    <s v="22:09"/>
    <n v="1050"/>
    <x v="0"/>
    <s v="entertain_1781955063359_cf7f"/>
    <x v="7"/>
    <s v="kbank"/>
    <x v="0"/>
    <s v=""/>
    <m/>
    <s v="-"/>
    <m/>
    <s v="import"/>
    <s v=""/>
    <b v="0"/>
    <s v=""/>
  </r>
  <r>
    <s v="d7cb1986-281d-4d2c-a5b3-8f2dbeaeb4ac"/>
    <s v="2025-07-08"/>
    <x v="1"/>
    <x v="11"/>
    <n v="8"/>
    <s v="22:10"/>
    <n v="8000"/>
    <x v="0"/>
    <s v="rc_cat_1781955063347_anhy_1781955063347_qnaz"/>
    <x v="4"/>
    <s v="kbank"/>
    <x v="0"/>
    <s v=""/>
    <m/>
    <s v="-"/>
    <m/>
    <s v="import"/>
    <s v=""/>
    <b v="0"/>
    <s v=""/>
  </r>
  <r>
    <s v="06be7fd4-137f-4846-92ac-d8a147fd4dd0"/>
    <s v="2025-07-06"/>
    <x v="1"/>
    <x v="11"/>
    <n v="6"/>
    <s v="17:09"/>
    <n v="19000"/>
    <x v="0"/>
    <s v="rc_cat_1781955063347_anhy_1781955063350_fcpb"/>
    <x v="2"/>
    <s v="kbank"/>
    <x v="0"/>
    <s v=""/>
    <m/>
    <s v="-"/>
    <m/>
    <s v="import"/>
    <s v=""/>
    <b v="0"/>
    <s v=""/>
  </r>
  <r>
    <s v="b8abb7dd-28b5-4b89-92f6-e88fd094fbf2"/>
    <s v="2025-07-06"/>
    <x v="1"/>
    <x v="11"/>
    <n v="6"/>
    <s v="17:09"/>
    <n v="7331"/>
    <x v="0"/>
    <s v="rc_cat_1781955063347_04qb_1781955063347_wt5p"/>
    <x v="3"/>
    <s v="kbank"/>
    <x v="0"/>
    <s v=""/>
    <m/>
    <s v="-"/>
    <m/>
    <s v="import"/>
    <s v=""/>
    <b v="0"/>
    <s v=""/>
  </r>
  <r>
    <s v="d985fb32-31a5-46fe-8535-c5400b36ff41"/>
    <s v="2025-07-06"/>
    <x v="1"/>
    <x v="11"/>
    <n v="6"/>
    <s v="17:38"/>
    <n v="986"/>
    <x v="1"/>
    <s v="other"/>
    <x v="1"/>
    <s v="advance"/>
    <x v="2"/>
    <s v="kbank"/>
    <s v="KBank"/>
    <s v="-"/>
    <m/>
    <s v="import"/>
    <s v=""/>
    <b v="0"/>
    <s v=""/>
  </r>
  <r>
    <s v="e92b99d8-dc4c-48f1-88b2-1890b0f9b31a"/>
    <s v="2025-07-06"/>
    <x v="1"/>
    <x v="11"/>
    <n v="6"/>
    <s v="17:47"/>
    <n v="7187"/>
    <x v="1"/>
    <s v="other"/>
    <x v="1"/>
    <s v="kbank"/>
    <x v="0"/>
    <s v="advance"/>
    <s v="Advance Paid"/>
    <s v="รอเคลียร์"/>
    <m/>
    <s v="import"/>
    <s v=""/>
    <b v="0"/>
    <s v=""/>
  </r>
  <r>
    <s v="a731198b-3915-4de1-a751-baab9d282021"/>
    <s v="2025-07-06"/>
    <x v="1"/>
    <x v="11"/>
    <n v="6"/>
    <s v="17:55"/>
    <n v="6853"/>
    <x v="1"/>
    <s v="other"/>
    <x v="1"/>
    <s v="advance"/>
    <x v="2"/>
    <s v="kbank"/>
    <s v="KBank"/>
    <s v="คืนยอดเซี่ยงไฮ้"/>
    <m/>
    <s v="import"/>
    <s v=""/>
    <b v="0"/>
    <s v=""/>
  </r>
  <r>
    <s v="79af8583-af74-41d0-896e-523a13e3f9c2"/>
    <s v="2025-07-05"/>
    <x v="1"/>
    <x v="11"/>
    <n v="5"/>
    <s v="16:48"/>
    <n v="600"/>
    <x v="1"/>
    <s v="other"/>
    <x v="1"/>
    <s v="kbank"/>
    <x v="0"/>
    <s v="rc_acc_1781955063348_998o"/>
    <s v="Line Pay"/>
    <s v="-"/>
    <m/>
    <s v="import"/>
    <s v=""/>
    <b v="0"/>
    <s v=""/>
  </r>
  <r>
    <s v="7c463f84-ab9f-4a6c-97ab-5a7a12909570"/>
    <s v="2025-07-05"/>
    <x v="1"/>
    <x v="11"/>
    <n v="5"/>
    <s v="17:28"/>
    <n v="2000"/>
    <x v="1"/>
    <s v="other"/>
    <x v="1"/>
    <s v="advance"/>
    <x v="2"/>
    <s v="kbank"/>
    <s v="KBank"/>
    <s v="ยอด shopee เดือน พค 6011"/>
    <m/>
    <s v="import"/>
    <s v=""/>
    <b v="0"/>
    <s v=""/>
  </r>
  <r>
    <s v="f3be3714-aae9-4399-83e5-2ab3f8dc4543"/>
    <s v="2025-07-05"/>
    <x v="1"/>
    <x v="11"/>
    <n v="5"/>
    <s v="17:29"/>
    <n v="3000"/>
    <x v="0"/>
    <s v="rc_cat_1781955063347_5qjb_1781955063347_tezk"/>
    <x v="5"/>
    <s v="advance"/>
    <x v="2"/>
    <s v=""/>
    <m/>
    <s v="6011"/>
    <m/>
    <s v="import"/>
    <s v=""/>
    <b v="0"/>
    <s v=""/>
  </r>
  <r>
    <s v="839df49d-c539-42da-86ee-2b7671d22c71"/>
    <s v="2025-07-05"/>
    <x v="1"/>
    <x v="11"/>
    <n v="5"/>
    <s v="17:29"/>
    <n v="1011"/>
    <x v="0"/>
    <s v="entertain_1781955063347_8r8e"/>
    <x v="8"/>
    <s v="advance"/>
    <x v="2"/>
    <s v=""/>
    <m/>
    <s v="-"/>
    <m/>
    <s v="import"/>
    <s v=""/>
    <b v="0"/>
    <s v=""/>
  </r>
  <r>
    <s v="f99ce2cc-f4e7-45ea-a1ee-71b2e8fd71e7"/>
    <s v="2025-07-03"/>
    <x v="1"/>
    <x v="11"/>
    <n v="3"/>
    <s v="16:50"/>
    <n v="3357"/>
    <x v="1"/>
    <s v="other"/>
    <x v="1"/>
    <s v="kbank"/>
    <x v="0"/>
    <s v="advance"/>
    <s v="Advance Paid"/>
    <s v="shopee เดือนก่อน"/>
    <m/>
    <s v="import"/>
    <s v=""/>
    <b v="0"/>
    <s v=""/>
  </r>
  <r>
    <s v="a0722c07-d30f-46be-b424-05d3fa2a274b"/>
    <s v="2025-07-03"/>
    <x v="1"/>
    <x v="11"/>
    <n v="3"/>
    <s v="16:50"/>
    <n v="5"/>
    <x v="0"/>
    <s v="rc_cat_1781955063347_5qjb_1781955063347_tezk"/>
    <x v="5"/>
    <s v="kbank"/>
    <x v="0"/>
    <s v=""/>
    <m/>
    <s v="-"/>
    <m/>
    <s v="import"/>
    <s v=""/>
    <b v="0"/>
    <s v=""/>
  </r>
  <r>
    <s v="9212bde3-96f3-4cfd-ab8c-8c1a4d79a847"/>
    <s v="2025-07-03"/>
    <x v="1"/>
    <x v="11"/>
    <n v="3"/>
    <s v="17:13"/>
    <n v="768"/>
    <x v="1"/>
    <s v="other"/>
    <x v="1"/>
    <s v="advance"/>
    <x v="2"/>
    <s v="kbank"/>
    <s v="KBank"/>
    <s v="-"/>
    <m/>
    <s v="import"/>
    <s v=""/>
    <b v="0"/>
    <s v=""/>
  </r>
  <r>
    <s v="50ec563d-1317-46a7-a9e4-52229590290b"/>
    <s v="2025-07-03"/>
    <x v="1"/>
    <x v="11"/>
    <n v="3"/>
    <s v="17:13"/>
    <n v="2589"/>
    <x v="0"/>
    <s v="rc_cat_1781955063347_5qjb_1781955063347_tezk"/>
    <x v="5"/>
    <s v="advance"/>
    <x v="2"/>
    <s v=""/>
    <m/>
    <s v="-"/>
    <m/>
    <s v="import"/>
    <s v=""/>
    <b v="0"/>
    <s v=""/>
  </r>
  <r>
    <s v="56cf2169-be84-4e8b-92cd-0a5e81e2eed0"/>
    <s v="2025-06-29"/>
    <x v="1"/>
    <x v="0"/>
    <n v="29"/>
    <s v="16:49"/>
    <n v="200"/>
    <x v="0"/>
    <s v="entertain_1781955063348_kx2f"/>
    <x v="0"/>
    <s v="kbank"/>
    <x v="0"/>
    <s v=""/>
    <m/>
    <s v="-"/>
    <m/>
    <s v="import"/>
    <s v=""/>
    <b v="0"/>
    <s v=""/>
  </r>
  <r>
    <s v="45ad555f-08d6-4819-a74a-a204e7223a48"/>
    <s v="2025-06-29"/>
    <x v="1"/>
    <x v="0"/>
    <n v="29"/>
    <s v="16:55"/>
    <n v="1000"/>
    <x v="1"/>
    <s v="other"/>
    <x v="1"/>
    <s v="rc_acc_1781955063348_w3gp"/>
    <x v="6"/>
    <s v="rc_acc_1781955063347_uxz4"/>
    <s v="SCB"/>
    <s v="จากเฟิน"/>
    <m/>
    <s v="import"/>
    <s v=""/>
    <b v="0"/>
    <s v=""/>
  </r>
  <r>
    <s v="eb60e6cc-c6a7-438b-b5a8-5a21bf228e0b"/>
    <s v="2025-06-28"/>
    <x v="1"/>
    <x v="0"/>
    <n v="28"/>
    <s v="16:49"/>
    <n v="300"/>
    <x v="0"/>
    <s v="rc_cat_1781955063347_s4sz_1781955063360_d7jr"/>
    <x v="0"/>
    <s v="kbank"/>
    <x v="0"/>
    <s v=""/>
    <m/>
    <s v="ตัดผม"/>
    <m/>
    <s v="import"/>
    <s v=""/>
    <b v="0"/>
    <s v=""/>
  </r>
  <r>
    <s v="c609771f-37cd-4352-90ce-843e6c9b1763"/>
    <s v="2025-06-28"/>
    <x v="1"/>
    <x v="0"/>
    <n v="28"/>
    <s v="16:54"/>
    <n v="336"/>
    <x v="2"/>
    <s v="income_1781955063347_zblt"/>
    <x v="17"/>
    <s v="rc_acc_1781955063347_uxz4"/>
    <x v="4"/>
    <s v=""/>
    <m/>
    <s v="-"/>
    <m/>
    <s v="import"/>
    <s v=""/>
    <b v="0"/>
    <s v=""/>
  </r>
  <r>
    <s v="d304f99e-e79b-4409-ad55-8414cb5d91c9"/>
    <s v="2025-06-26"/>
    <x v="1"/>
    <x v="0"/>
    <n v="26"/>
    <s v="16:45"/>
    <n v="300000"/>
    <x v="1"/>
    <s v="other"/>
    <x v="1"/>
    <s v="kbank"/>
    <x v="0"/>
    <s v="rc_acc_1781955063349_yz2g"/>
    <s v="Investment"/>
    <s v="-"/>
    <m/>
    <s v="import"/>
    <s v=""/>
    <b v="0"/>
    <s v=""/>
  </r>
  <r>
    <s v="83612570-f51e-40ec-94cd-5131ddb7ace7"/>
    <s v="2025-06-26"/>
    <x v="1"/>
    <x v="0"/>
    <n v="26"/>
    <s v="16:47"/>
    <n v="985.99"/>
    <x v="1"/>
    <s v="other"/>
    <x v="1"/>
    <s v="kbank"/>
    <x v="0"/>
    <s v="advance"/>
    <s v="Advance Paid"/>
    <s v="-"/>
    <m/>
    <s v="import"/>
    <s v=""/>
    <b v="0"/>
    <s v=""/>
  </r>
  <r>
    <s v="326f3f20-6ff7-464a-bb9b-cc0fe89b7a58"/>
    <s v="2025-06-25"/>
    <x v="1"/>
    <x v="0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2790a462-3d1c-4629-9ba1-31543678565e"/>
    <s v="2025-06-25"/>
    <x v="1"/>
    <x v="0"/>
    <n v="25"/>
    <s v="00:00"/>
    <n v="3306.4"/>
    <x v="1"/>
    <s v="other"/>
    <x v="1"/>
    <s v="kbank"/>
    <x v="0"/>
    <s v="rc_acc_1781955063347_r9dz"/>
    <s v="Provident Fund"/>
    <s v="-"/>
    <m/>
    <s v="import"/>
    <s v=""/>
    <b v="0"/>
    <s v=""/>
  </r>
  <r>
    <s v="a793e180-39d4-4b07-92cd-82372b839c19"/>
    <s v="2025-06-25"/>
    <x v="1"/>
    <x v="0"/>
    <n v="25"/>
    <s v="00:00"/>
    <n v="3123.74"/>
    <x v="0"/>
    <s v="rc_cat_1781955063347_04qb_1781955063350_acgf"/>
    <x v="11"/>
    <s v="kbank"/>
    <x v="0"/>
    <s v=""/>
    <m/>
    <s v="-"/>
    <m/>
    <s v="import"/>
    <s v=""/>
    <b v="0"/>
    <s v=""/>
  </r>
  <r>
    <s v="6016d42b-8cbf-4307-9cca-8f31c9839dbc"/>
    <s v="2025-06-25"/>
    <x v="1"/>
    <x v="0"/>
    <n v="25"/>
    <s v="00:00"/>
    <n v="2857.94"/>
    <x v="0"/>
    <s v="rc_cat_1781955063347_04qb_1781955063347_kgnn"/>
    <x v="13"/>
    <s v="kbank"/>
    <x v="0"/>
    <s v=""/>
    <m/>
    <s v="-"/>
    <m/>
    <s v="import"/>
    <s v=""/>
    <b v="0"/>
    <s v=""/>
  </r>
  <r>
    <s v="0163f4b6-0ee2-415c-aebc-0a6fbdf0e5ae"/>
    <s v="2025-06-25"/>
    <x v="1"/>
    <x v="0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3a99f5f9-532e-4989-8df8-26fe1fa1e976"/>
    <s v="2025-06-25"/>
    <x v="1"/>
    <x v="0"/>
    <n v="25"/>
    <s v="00:00"/>
    <n v="9165"/>
    <x v="0"/>
    <s v="rc_cat_1781955063347_04qb_1781955063360_ocha"/>
    <x v="12"/>
    <s v="kbank"/>
    <x v="0"/>
    <s v=""/>
    <m/>
    <s v="-"/>
    <m/>
    <s v="import"/>
    <s v=""/>
    <b v="0"/>
    <s v=""/>
  </r>
  <r>
    <s v="64233533-8694-42ae-a94e-8383eef4e0e8"/>
    <s v="2025-06-25"/>
    <x v="1"/>
    <x v="0"/>
    <n v="25"/>
    <s v="00:00"/>
    <n v="170.54"/>
    <x v="0"/>
    <s v="rc_cat_1781955063347_04qb_1781955063347_lu9b"/>
    <x v="20"/>
    <s v="kbank"/>
    <x v="0"/>
    <s v=""/>
    <m/>
    <s v="-"/>
    <m/>
    <s v="import"/>
    <s v=""/>
    <b v="0"/>
    <s v=""/>
  </r>
  <r>
    <s v="df1ab9fe-a469-468c-b52c-6d36b1d7e827"/>
    <s v="2025-06-25"/>
    <x v="1"/>
    <x v="0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6463c318-5087-4276-9ed1-cea432ef7bf7"/>
    <s v="2025-06-25"/>
    <x v="1"/>
    <x v="0"/>
    <n v="25"/>
    <s v="16:43"/>
    <n v="62427.1"/>
    <x v="2"/>
    <s v="income_1781955063347_zblt"/>
    <x v="17"/>
    <s v="kbank"/>
    <x v="0"/>
    <s v=""/>
    <m/>
    <s v="-"/>
    <m/>
    <s v="import"/>
    <s v=""/>
    <b v="0"/>
    <s v=""/>
  </r>
  <r>
    <s v="c2cca90a-98a9-4067-8e9c-f061036990c3"/>
    <s v="2025-06-25"/>
    <x v="1"/>
    <x v="0"/>
    <n v="25"/>
    <s v="16:45"/>
    <n v="50"/>
    <x v="0"/>
    <s v="rc_cat_1781955063347_5qjb_1781955063347_tezk"/>
    <x v="5"/>
    <s v="kbank"/>
    <x v="0"/>
    <s v=""/>
    <m/>
    <s v="-"/>
    <m/>
    <s v="import"/>
    <s v=""/>
    <b v="0"/>
    <s v=""/>
  </r>
  <r>
    <s v="a709f001-4ee0-410b-9fe2-b48461813b6e"/>
    <s v="2025-06-25"/>
    <x v="1"/>
    <x v="0"/>
    <n v="25"/>
    <s v="19:44"/>
    <n v="31"/>
    <x v="2"/>
    <s v="income_1781955063351_3ab8"/>
    <x v="22"/>
    <s v="rc_acc_1781955063348_hnxg"/>
    <x v="9"/>
    <s v=""/>
    <m/>
    <s v="-"/>
    <m/>
    <s v="import"/>
    <s v=""/>
    <b v="0"/>
    <s v=""/>
  </r>
  <r>
    <s v="71860c39-a021-4c1b-8374-91d8651e0fd8"/>
    <s v="2025-06-23"/>
    <x v="1"/>
    <x v="0"/>
    <n v="23"/>
    <s v="16:41"/>
    <n v="200"/>
    <x v="0"/>
    <s v="rc_cat_1781955063347_5qjb_1781955063347_tezk"/>
    <x v="5"/>
    <s v="kbank"/>
    <x v="0"/>
    <s v=""/>
    <m/>
    <s v="-"/>
    <m/>
    <s v="import"/>
    <s v=""/>
    <b v="0"/>
    <s v=""/>
  </r>
  <r>
    <s v="c1a77d5a-4092-4dfd-a223-4f86903065ee"/>
    <s v="2025-06-23"/>
    <x v="1"/>
    <x v="0"/>
    <n v="23"/>
    <s v="16:54"/>
    <n v="27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057f425-59c7-48f3-98c0-4de4ae837e4d"/>
    <s v="2025-06-22"/>
    <x v="1"/>
    <x v="0"/>
    <n v="22"/>
    <s v="16:40"/>
    <n v="2890"/>
    <x v="1"/>
    <s v="other"/>
    <x v="1"/>
    <s v="kbank"/>
    <x v="0"/>
    <s v="rc_acc_1781955063347_hv85"/>
    <s v="HOMEPRO"/>
    <s v="-"/>
    <m/>
    <s v="import"/>
    <s v=""/>
    <b v="0"/>
    <s v=""/>
  </r>
  <r>
    <s v="c0905649-bcb5-4b03-b36b-4996fe0ea162"/>
    <s v="2025-06-22"/>
    <x v="1"/>
    <x v="0"/>
    <n v="22"/>
    <s v="16:41"/>
    <n v="11222"/>
    <x v="1"/>
    <s v="other"/>
    <x v="1"/>
    <s v="kbank"/>
    <x v="0"/>
    <s v="rc_acc_1781955063347_kjxt"/>
    <s v="KTC JCB"/>
    <s v="-"/>
    <m/>
    <s v="import"/>
    <s v=""/>
    <b v="0"/>
    <s v=""/>
  </r>
  <r>
    <s v="3a73a8f9-5f1b-4aa1-8cb3-e093187d5d45"/>
    <s v="2025-06-22"/>
    <x v="1"/>
    <x v="0"/>
    <n v="22"/>
    <s v="17:15"/>
    <n v="50993.04"/>
    <x v="1"/>
    <s v="other"/>
    <x v="1"/>
    <s v="rc_acc_1781955063358_d7gc"/>
    <x v="10"/>
    <s v="advance"/>
    <s v="Advance Paid"/>
    <s v="-"/>
    <m/>
    <s v="import"/>
    <s v=""/>
    <b v="0"/>
    <s v=""/>
  </r>
  <r>
    <s v="da5363ef-e8ae-4938-aa09-66eee7485c46"/>
    <s v="2025-06-22"/>
    <x v="1"/>
    <x v="0"/>
    <n v="22"/>
    <s v="17:35"/>
    <n v="9229"/>
    <x v="1"/>
    <s v="other"/>
    <x v="1"/>
    <s v="rc_acc_1781955063347_kjxt"/>
    <x v="1"/>
    <s v="advance"/>
    <s v="Advance Paid"/>
    <s v="-"/>
    <m/>
    <s v="import"/>
    <s v=""/>
    <b v="0"/>
    <s v=""/>
  </r>
  <r>
    <s v="34503005-d0bd-4dcc-902f-35e3687650b5"/>
    <s v="2025-06-22"/>
    <x v="1"/>
    <x v="0"/>
    <n v="22"/>
    <s v="21:39"/>
    <n v="40312"/>
    <x v="1"/>
    <s v="other"/>
    <x v="1"/>
    <s v="advance"/>
    <x v="2"/>
    <s v="kbank"/>
    <s v="KBank"/>
    <s v="ยอด ญป"/>
    <m/>
    <s v="import"/>
    <s v=""/>
    <b v="0"/>
    <s v=""/>
  </r>
  <r>
    <s v="264b93d1-7628-4658-a82a-422ed74cfc18"/>
    <s v="2025-06-22"/>
    <x v="1"/>
    <x v="0"/>
    <n v="22"/>
    <s v="21:53"/>
    <n v="19910"/>
    <x v="0"/>
    <s v="entertain_1781955063349_gok1"/>
    <x v="18"/>
    <s v="advance"/>
    <x v="2"/>
    <s v=""/>
    <m/>
    <s v="TK2025"/>
    <m/>
    <s v="import"/>
    <s v=""/>
    <b v="0"/>
    <s v=""/>
  </r>
  <r>
    <s v="78a2e09b-0c92-40f1-b960-54e12dda1a1a"/>
    <s v="2025-06-20"/>
    <x v="1"/>
    <x v="0"/>
    <n v="20"/>
    <s v="16:36"/>
    <n v="200"/>
    <x v="0"/>
    <s v="rc_cat_1781955063347_5qjb_1781955063347_tezk"/>
    <x v="5"/>
    <s v="kbank"/>
    <x v="0"/>
    <s v=""/>
    <m/>
    <s v="-"/>
    <m/>
    <s v="import"/>
    <s v=""/>
    <b v="0"/>
    <s v=""/>
  </r>
  <r>
    <s v="44bf757b-9099-43ad-b0cb-b6813b086f30"/>
    <s v="2025-06-20"/>
    <x v="1"/>
    <x v="0"/>
    <n v="20"/>
    <s v="16:37"/>
    <n v="1194"/>
    <x v="2"/>
    <s v="income_1781955063351_3ab8"/>
    <x v="22"/>
    <s v="kbank"/>
    <x v="0"/>
    <s v=""/>
    <m/>
    <s v="-"/>
    <m/>
    <s v="import"/>
    <s v=""/>
    <b v="0"/>
    <s v=""/>
  </r>
  <r>
    <s v="7a92ca8a-01b8-4959-9469-e6c9aedf8375"/>
    <s v="2025-06-19"/>
    <x v="1"/>
    <x v="0"/>
    <n v="19"/>
    <s v="16:01"/>
    <n v="2000"/>
    <x v="1"/>
    <s v="other"/>
    <x v="1"/>
    <s v="kbank"/>
    <x v="0"/>
    <s v="advance"/>
    <s v="Advance Paid"/>
    <s v="-"/>
    <m/>
    <s v="import"/>
    <s v=""/>
    <b v="0"/>
    <s v=""/>
  </r>
  <r>
    <s v="ef14b276-07e4-41df-b2f5-dc15ebdca297"/>
    <s v="2025-06-19"/>
    <x v="1"/>
    <x v="0"/>
    <n v="19"/>
    <s v="17:18"/>
    <n v="2000"/>
    <x v="0"/>
    <s v="rc_cat_1781955063347_5qjb_1781955063347_tezk"/>
    <x v="5"/>
    <s v="rc_acc_1781955063347_kjxt"/>
    <x v="1"/>
    <s v=""/>
    <m/>
    <s v="-"/>
    <m/>
    <s v="import"/>
    <s v=""/>
    <b v="0"/>
    <s v=""/>
  </r>
  <r>
    <s v="3956f90e-f400-4844-8845-ab483066f470"/>
    <s v="2025-06-19"/>
    <x v="1"/>
    <x v="0"/>
    <n v="19"/>
    <s v="17:39"/>
    <n v="2000"/>
    <x v="1"/>
    <s v="other"/>
    <x v="1"/>
    <s v="advance"/>
    <x v="2"/>
    <s v="kbank"/>
    <s v="KBank"/>
    <s v="-"/>
    <m/>
    <s v="import"/>
    <s v=""/>
    <b v="0"/>
    <s v=""/>
  </r>
  <r>
    <s v="007f3027-7213-45b2-9612-410508b5110c"/>
    <s v="2025-06-15"/>
    <x v="1"/>
    <x v="0"/>
    <n v="15"/>
    <s v="16:00"/>
    <n v="8000"/>
    <x v="0"/>
    <s v="rc_cat_1781955063347_anhy_1781955063347_qnaz"/>
    <x v="4"/>
    <s v="kbank"/>
    <x v="0"/>
    <s v=""/>
    <m/>
    <s v="-"/>
    <m/>
    <s v="import"/>
    <s v=""/>
    <b v="0"/>
    <s v=""/>
  </r>
  <r>
    <s v="39cacfa5-0ba2-43d6-8d7b-c03433bca36f"/>
    <s v="2025-06-14"/>
    <x v="1"/>
    <x v="0"/>
    <n v="14"/>
    <s v="15:58"/>
    <n v="10000"/>
    <x v="1"/>
    <s v="other"/>
    <x v="1"/>
    <s v="rc_acc_1781955063348_no9r"/>
    <x v="7"/>
    <s v="kbank"/>
    <s v="KBank"/>
    <s v="-"/>
    <m/>
    <s v="import"/>
    <s v=""/>
    <b v="0"/>
    <s v=""/>
  </r>
  <r>
    <s v="47dc323a-2ef0-4953-a6d1-4ff908dab696"/>
    <s v="2025-06-14"/>
    <x v="1"/>
    <x v="0"/>
    <n v="14"/>
    <s v="15:58"/>
    <n v="39000"/>
    <x v="1"/>
    <s v="other"/>
    <x v="1"/>
    <s v="rc_acc_1781955063348_hnxg"/>
    <x v="9"/>
    <s v="kbank"/>
    <s v="KBank"/>
    <s v="-"/>
    <m/>
    <s v="import"/>
    <s v=""/>
    <b v="0"/>
    <s v=""/>
  </r>
  <r>
    <s v="2bed1b6b-e709-4a63-8e8c-52d6c559f967"/>
    <s v="2025-06-14"/>
    <x v="1"/>
    <x v="0"/>
    <n v="14"/>
    <s v="15:59"/>
    <n v="34811"/>
    <x v="1"/>
    <s v="other"/>
    <x v="1"/>
    <s v="advance"/>
    <x v="2"/>
    <s v="kbank"/>
    <s v="KBank"/>
    <s v="youtrip"/>
    <m/>
    <s v="import"/>
    <s v=""/>
    <b v="0"/>
    <s v=""/>
  </r>
  <r>
    <s v="7669ea91-7486-4d50-872c-6e48fce9edce"/>
    <s v="2025-06-14"/>
    <x v="1"/>
    <x v="0"/>
    <n v="14"/>
    <s v="17:20"/>
    <n v="5189"/>
    <x v="0"/>
    <s v="entertain_1781955063349_gok1"/>
    <x v="18"/>
    <s v="advance"/>
    <x v="2"/>
    <s v=""/>
    <m/>
    <s v="TK2025"/>
    <m/>
    <s v="import"/>
    <s v=""/>
    <b v="0"/>
    <s v=""/>
  </r>
  <r>
    <s v="2974be33-4570-473d-af96-73a7f269ce93"/>
    <s v="2025-06-10"/>
    <x v="1"/>
    <x v="0"/>
    <n v="10"/>
    <s v="15:56"/>
    <n v="230"/>
    <x v="0"/>
    <s v="rc_cat_1781955063347_5qjb_1781955063347_tezk"/>
    <x v="5"/>
    <s v="kbank"/>
    <x v="0"/>
    <s v=""/>
    <m/>
    <s v="-"/>
    <m/>
    <s v="import"/>
    <s v=""/>
    <b v="0"/>
    <s v=""/>
  </r>
  <r>
    <s v="e34c99f2-a678-4677-9944-b3cebb5126bd"/>
    <s v="2025-06-10"/>
    <x v="1"/>
    <x v="0"/>
    <n v="10"/>
    <s v="20:53"/>
    <n v="2890"/>
    <x v="0"/>
    <s v="entertain_1781955063348_kx2f"/>
    <x v="0"/>
    <s v="rc_acc_1781955063347_hv85"/>
    <x v="5"/>
    <s v=""/>
    <m/>
    <s v="tablet(9/10)"/>
    <m/>
    <s v="import"/>
    <s v=""/>
    <b v="0"/>
    <s v=""/>
  </r>
  <r>
    <s v="3c317644-79a8-4889-b4fc-33b920504a63"/>
    <s v="2025-06-09"/>
    <x v="1"/>
    <x v="0"/>
    <n v="9"/>
    <s v="16:53"/>
    <n v="600"/>
    <x v="1"/>
    <s v="other"/>
    <x v="1"/>
    <s v="rc_acc_1781955063347_uxz4"/>
    <x v="4"/>
    <s v="rc_acc_1781955063347_omhz"/>
    <s v="Shopee"/>
    <s v="shopee pay"/>
    <m/>
    <s v="import"/>
    <s v=""/>
    <b v="0"/>
    <s v=""/>
  </r>
  <r>
    <s v="8578c6ea-2767-4bb8-971d-0e611ab89471"/>
    <s v="2025-06-05"/>
    <x v="1"/>
    <x v="0"/>
    <n v="5"/>
    <s v="15:45"/>
    <n v="147"/>
    <x v="0"/>
    <s v="rc_cat_1781955063347_5qjb_1781955063347_tezk"/>
    <x v="5"/>
    <s v="kbank"/>
    <x v="0"/>
    <s v=""/>
    <m/>
    <s v="-"/>
    <m/>
    <s v="import"/>
    <s v=""/>
    <b v="0"/>
    <s v=""/>
  </r>
  <r>
    <s v="65bf9469-0865-4b2c-bd0f-d17d90558ebd"/>
    <s v="2025-06-05"/>
    <x v="1"/>
    <x v="0"/>
    <n v="5"/>
    <s v="15:53"/>
    <n v="5000"/>
    <x v="0"/>
    <s v="rc_cat_1781955063347_5qjb_1781955063347_tezk"/>
    <x v="5"/>
    <s v="kbank"/>
    <x v="0"/>
    <s v=""/>
    <m/>
    <s v="-"/>
    <m/>
    <s v="import"/>
    <s v=""/>
    <b v="0"/>
    <s v=""/>
  </r>
  <r>
    <s v="e5db8138-d048-4a52-925a-c0ba96e78afe"/>
    <s v="2025-06-05"/>
    <x v="1"/>
    <x v="0"/>
    <n v="5"/>
    <s v="15:53"/>
    <n v="210"/>
    <x v="0"/>
    <s v="rc_cat_1781955063347_5qjb_1781955063347_tezk"/>
    <x v="5"/>
    <s v="kbank"/>
    <x v="0"/>
    <s v=""/>
    <m/>
    <s v="-"/>
    <m/>
    <s v="import"/>
    <s v=""/>
    <b v="0"/>
    <s v=""/>
  </r>
  <r>
    <s v="c712f45b-fdff-4f34-aa95-8aa6bd167c9f"/>
    <s v="2025-06-04"/>
    <x v="1"/>
    <x v="0"/>
    <n v="4"/>
    <s v="15:48"/>
    <n v="4000"/>
    <x v="0"/>
    <s v="other_1781955063348_27zj"/>
    <x v="0"/>
    <s v="kbank"/>
    <x v="0"/>
    <s v=""/>
    <m/>
    <s v="-"/>
    <m/>
    <s v="import"/>
    <s v=""/>
    <b v="0"/>
    <s v=""/>
  </r>
  <r>
    <s v="f18f4eae-c679-4c44-9821-75a377b1e4fb"/>
    <s v="2025-06-04"/>
    <x v="1"/>
    <x v="0"/>
    <n v="4"/>
    <s v="19:41"/>
    <n v="9409"/>
    <x v="2"/>
    <s v="income_1781955063351_3ab8"/>
    <x v="22"/>
    <s v="rc_acc_1781955063348_hnxg"/>
    <x v="9"/>
    <s v=""/>
    <m/>
    <s v="-"/>
    <m/>
    <s v="import"/>
    <s v=""/>
    <b v="0"/>
    <s v=""/>
  </r>
  <r>
    <s v="c910a38c-76a5-4cbc-ae93-67e2c2a44211"/>
    <s v="2025-05-28"/>
    <x v="1"/>
    <x v="1"/>
    <n v="28"/>
    <s v="15:48"/>
    <n v="300"/>
    <x v="1"/>
    <s v="other"/>
    <x v="1"/>
    <s v="kbank"/>
    <x v="0"/>
    <s v="rc_acc_1781955063348_998o"/>
    <s v="Line Pay"/>
    <s v="-"/>
    <m/>
    <s v="import"/>
    <s v=""/>
    <b v="0"/>
    <s v=""/>
  </r>
  <r>
    <s v="53ef8ac2-324f-46c8-b34d-b40b397d09a8"/>
    <s v="2025-05-27"/>
    <x v="1"/>
    <x v="1"/>
    <n v="27"/>
    <s v="00:00"/>
    <n v="3073.69"/>
    <x v="0"/>
    <s v="rc_cat_1781955063347_04qb_1781955063347_kgnn"/>
    <x v="13"/>
    <s v="kbank"/>
    <x v="0"/>
    <s v=""/>
    <m/>
    <s v="-"/>
    <m/>
    <s v="import"/>
    <s v=""/>
    <b v="0"/>
    <s v=""/>
  </r>
  <r>
    <s v="f4ced80a-47bf-45fe-9374-958fccc0bc26"/>
    <s v="2025-05-27"/>
    <x v="1"/>
    <x v="1"/>
    <n v="27"/>
    <s v="00:00"/>
    <n v="4500"/>
    <x v="0"/>
    <s v="rc_cat_1781955063347_04qb_1781955063350_acgf"/>
    <x v="11"/>
    <s v="kbank"/>
    <x v="0"/>
    <s v=""/>
    <m/>
    <s v="-"/>
    <m/>
    <s v="import"/>
    <s v=""/>
    <b v="0"/>
    <s v=""/>
  </r>
  <r>
    <s v="84f16c2a-deb1-4532-831e-a26a8aeeedea"/>
    <s v="2025-05-27"/>
    <x v="1"/>
    <x v="1"/>
    <n v="27"/>
    <s v="00:00"/>
    <n v="3025.2"/>
    <x v="1"/>
    <s v="other"/>
    <x v="1"/>
    <s v="kbank"/>
    <x v="0"/>
    <s v="rc_acc_1781955063347_r9dz"/>
    <s v="Provident Fund"/>
    <s v="-"/>
    <m/>
    <s v="import"/>
    <s v=""/>
    <b v="0"/>
    <s v=""/>
  </r>
  <r>
    <s v="37f38d1f-f509-482a-a632-f96585813e74"/>
    <s v="2025-05-27"/>
    <x v="1"/>
    <x v="1"/>
    <n v="27"/>
    <s v="00:00"/>
    <n v="139.51"/>
    <x v="0"/>
    <s v="rc_cat_1781955063347_04qb_1781955063347_lu9b"/>
    <x v="20"/>
    <s v="kbank"/>
    <x v="0"/>
    <s v=""/>
    <m/>
    <s v="-"/>
    <m/>
    <s v="import"/>
    <s v=""/>
    <b v="0"/>
    <s v=""/>
  </r>
  <r>
    <s v="d4521d48-ff18-41c7-8c59-1e9bf086f027"/>
    <s v="2025-05-27"/>
    <x v="1"/>
    <x v="1"/>
    <n v="27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77e90ed7-707a-4393-892c-cf2c5cc1de7a"/>
    <s v="2025-05-27"/>
    <x v="1"/>
    <x v="1"/>
    <n v="27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94683b50-d6d4-4e17-914a-f798bdebbb63"/>
    <s v="2025-05-27"/>
    <x v="1"/>
    <x v="1"/>
    <n v="27"/>
    <s v="00:00"/>
    <n v="9165"/>
    <x v="0"/>
    <s v="rc_cat_1781955063347_04qb_1781955063360_ocha"/>
    <x v="12"/>
    <s v="kbank"/>
    <x v="0"/>
    <s v=""/>
    <m/>
    <s v="-"/>
    <m/>
    <s v="import"/>
    <s v=""/>
    <b v="0"/>
    <s v=""/>
  </r>
  <r>
    <s v="2f18ecf6-abd3-4136-b2a4-b7ed268b480e"/>
    <s v="2025-05-27"/>
    <x v="1"/>
    <x v="1"/>
    <n v="27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c4443064-e77f-4ffe-afd8-452a29ecbb3e"/>
    <s v="2025-05-26"/>
    <x v="1"/>
    <x v="1"/>
    <n v="26"/>
    <s v="15:45"/>
    <n v="95"/>
    <x v="0"/>
    <s v="rc_cat_1781955063347_5qjb_1781955063347_tezk"/>
    <x v="5"/>
    <s v="kbank"/>
    <x v="0"/>
    <s v=""/>
    <m/>
    <s v="-"/>
    <m/>
    <s v="import"/>
    <s v=""/>
    <b v="0"/>
    <s v=""/>
  </r>
  <r>
    <s v="45f570c9-0af6-4b7d-b947-4577f5695f34"/>
    <s v="2025-05-26"/>
    <x v="1"/>
    <x v="1"/>
    <n v="26"/>
    <s v="19:41"/>
    <n v="6736"/>
    <x v="2"/>
    <s v="income_1781955063351_3ab8"/>
    <x v="22"/>
    <s v="rc_acc_1781955063348_hnxg"/>
    <x v="9"/>
    <s v=""/>
    <m/>
    <s v="-"/>
    <m/>
    <s v="import"/>
    <s v=""/>
    <b v="0"/>
    <s v=""/>
  </r>
  <r>
    <s v="38ec453f-a6cc-4762-9bc3-a86fbc3d952e"/>
    <s v="2025-05-25"/>
    <x v="1"/>
    <x v="1"/>
    <n v="25"/>
    <s v="15:43"/>
    <n v="300"/>
    <x v="1"/>
    <s v="other"/>
    <x v="1"/>
    <s v="kbank"/>
    <x v="0"/>
    <s v="rc_acc_1781955063348_998o"/>
    <s v="Line Pay"/>
    <s v="-"/>
    <m/>
    <s v="import"/>
    <s v=""/>
    <b v="0"/>
    <s v=""/>
  </r>
  <r>
    <s v="88070e2f-7217-4c26-ad75-ba189781617f"/>
    <s v="2025-05-25"/>
    <x v="1"/>
    <x v="1"/>
    <n v="25"/>
    <s v="15:46"/>
    <n v="6011"/>
    <x v="1"/>
    <s v="other"/>
    <x v="1"/>
    <s v="kbank"/>
    <x v="0"/>
    <s v="advance"/>
    <s v="Advance Paid"/>
    <s v="kbank card 4282"/>
    <m/>
    <s v="import"/>
    <s v=""/>
    <b v="0"/>
    <s v=""/>
  </r>
  <r>
    <s v="e7009f4e-672e-4cdc-98ca-14fa603db1a5"/>
    <s v="2025-05-24"/>
    <x v="1"/>
    <x v="1"/>
    <n v="24"/>
    <s v="18:27"/>
    <n v="9120"/>
    <x v="1"/>
    <s v="other"/>
    <x v="1"/>
    <s v="kbank"/>
    <x v="0"/>
    <s v="rc_acc_1781955063358_cs4m"/>
    <s v="JPY cash"/>
    <s v="-"/>
    <m/>
    <s v="import"/>
    <s v=""/>
    <b v="0"/>
    <s v=""/>
  </r>
  <r>
    <s v="8b9c7c13-6a4d-4f00-9f14-0201a2ea706e"/>
    <s v="2025-05-24"/>
    <x v="1"/>
    <x v="1"/>
    <n v="24"/>
    <s v="18:38"/>
    <n v="4737.89"/>
    <x v="1"/>
    <s v="other"/>
    <x v="1"/>
    <s v="rc_acc_1781955063348_obza"/>
    <x v="8"/>
    <s v="rc_acc_1781955063347_hv85"/>
    <s v="HOMEPRO"/>
    <s v="-"/>
    <m/>
    <s v="import"/>
    <s v=""/>
    <b v="0"/>
    <s v=""/>
  </r>
  <r>
    <s v="673f4adb-a664-4e2d-9fe2-b4d29c559024"/>
    <s v="2025-05-19"/>
    <x v="1"/>
    <x v="1"/>
    <n v="19"/>
    <s v="18:11"/>
    <n v="118"/>
    <x v="0"/>
    <s v="rc_cat_1781955063347_5qjb_1781955063347_tezk"/>
    <x v="5"/>
    <s v="kbank"/>
    <x v="0"/>
    <s v=""/>
    <m/>
    <s v="-"/>
    <m/>
    <s v="import"/>
    <s v=""/>
    <b v="0"/>
    <s v=""/>
  </r>
  <r>
    <s v="c6de4575-fbdd-49ef-97c6-5e5c2438c12c"/>
    <s v="2025-05-17"/>
    <x v="1"/>
    <x v="1"/>
    <n v="17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4fe3e474-52ef-4286-b69a-3253eff04f1d"/>
    <s v="2025-05-17"/>
    <x v="1"/>
    <x v="1"/>
    <n v="17"/>
    <s v="18:09"/>
    <n v="4580.41"/>
    <x v="1"/>
    <s v="other"/>
    <x v="1"/>
    <s v="kbank"/>
    <x v="0"/>
    <s v="rc_acc_1781955063358_cs4m"/>
    <s v="JPY cash"/>
    <s v="-"/>
    <m/>
    <s v="import"/>
    <s v=""/>
    <b v="0"/>
    <s v=""/>
  </r>
  <r>
    <s v="1c94cc7c-281d-4ba9-8961-bdff26acfc2e"/>
    <s v="2025-05-11"/>
    <x v="1"/>
    <x v="1"/>
    <n v="11"/>
    <s v="18:01"/>
    <n v="8000"/>
    <x v="0"/>
    <s v="rc_cat_1781955063347_anhy_1781955063347_qnaz"/>
    <x v="4"/>
    <s v="rc_acc_1781955063348_no9r"/>
    <x v="7"/>
    <s v=""/>
    <m/>
    <s v="-"/>
    <m/>
    <s v="import"/>
    <s v=""/>
    <b v="0"/>
    <s v=""/>
  </r>
  <r>
    <s v="ef345c48-97bf-4b70-a90f-4e588bec80c5"/>
    <s v="2025-05-11"/>
    <x v="1"/>
    <x v="1"/>
    <n v="11"/>
    <s v="18:07"/>
    <n v="7442"/>
    <x v="0"/>
    <s v="rc_cat_1781955063347_04qb_1781955063347_wt5p"/>
    <x v="3"/>
    <s v="kbank"/>
    <x v="0"/>
    <s v=""/>
    <m/>
    <s v="-"/>
    <m/>
    <s v="import"/>
    <s v=""/>
    <b v="0"/>
    <s v=""/>
  </r>
  <r>
    <s v="9adbdd67-6558-4f79-bbe1-66ca2d04c694"/>
    <s v="2025-05-11"/>
    <x v="1"/>
    <x v="1"/>
    <n v="11"/>
    <s v="18:29"/>
    <n v="7068"/>
    <x v="1"/>
    <s v="other"/>
    <x v="1"/>
    <s v="rc_acc_1781955063348_no9r"/>
    <x v="7"/>
    <s v="rc_acc_1781955063347_uxz4"/>
    <s v="SCB"/>
    <s v="-"/>
    <m/>
    <s v="import"/>
    <s v=""/>
    <b v="0"/>
    <s v=""/>
  </r>
  <r>
    <s v="8a8f822e-c751-4027-82f8-7ec855418a6e"/>
    <s v="2025-05-10"/>
    <x v="1"/>
    <x v="1"/>
    <n v="10"/>
    <s v="20:53"/>
    <n v="2890"/>
    <x v="0"/>
    <s v="entertain_1781955063348_kx2f"/>
    <x v="0"/>
    <s v="rc_acc_1781955063347_hv85"/>
    <x v="5"/>
    <s v=""/>
    <m/>
    <s v="tablet(8/10)"/>
    <m/>
    <s v="import"/>
    <s v=""/>
    <b v="0"/>
    <s v=""/>
  </r>
  <r>
    <s v="395bef3f-5136-433b-b89d-0674dd28d175"/>
    <s v="2025-05-08"/>
    <x v="1"/>
    <x v="1"/>
    <n v="8"/>
    <s v="18:29"/>
    <n v="5016.79"/>
    <x v="2"/>
    <s v="income_1781955063351_3ab8"/>
    <x v="22"/>
    <s v="rc_acc_1781955063347_uxz4"/>
    <x v="4"/>
    <s v=""/>
    <m/>
    <s v="-"/>
    <m/>
    <s v="import"/>
    <s v=""/>
    <b v="0"/>
    <s v=""/>
  </r>
  <r>
    <s v="55515609-ff4d-421b-a65f-c2e3848d7435"/>
    <s v="2025-05-05"/>
    <x v="1"/>
    <x v="1"/>
    <n v="5"/>
    <s v="18:11"/>
    <n v="6853.32"/>
    <x v="1"/>
    <s v="other"/>
    <x v="1"/>
    <s v="kbank"/>
    <x v="0"/>
    <s v="advance"/>
    <s v="Advance Paid"/>
    <s v="รอเคลียร์"/>
    <m/>
    <s v="import"/>
    <s v=""/>
    <b v="0"/>
    <s v=""/>
  </r>
  <r>
    <s v="74ee456b-8609-4e8d-ad8d-75b8cd28b6cb"/>
    <s v="2025-05-05"/>
    <x v="1"/>
    <x v="1"/>
    <n v="5"/>
    <s v="21:35"/>
    <n v="3247.55"/>
    <x v="0"/>
    <s v="entertain_1781955063349_gok1"/>
    <x v="18"/>
    <s v="rc_acc_1781955063348_no9r"/>
    <x v="7"/>
    <s v=""/>
    <m/>
    <s v="shanghai trip"/>
    <m/>
    <s v="import"/>
    <s v=""/>
    <b v="0"/>
    <s v=""/>
  </r>
  <r>
    <s v="d8c77897-d02a-4485-9a74-3666f1b6077f"/>
    <s v="2025-04-30"/>
    <x v="1"/>
    <x v="2"/>
    <n v="30"/>
    <s v="18:03"/>
    <n v="904"/>
    <x v="2"/>
    <s v="income_1781955063347_zblt"/>
    <x v="17"/>
    <s v="kbank"/>
    <x v="0"/>
    <s v=""/>
    <m/>
    <s v="left in youtrip"/>
    <m/>
    <s v="import"/>
    <s v=""/>
    <b v="0"/>
    <s v=""/>
  </r>
  <r>
    <s v="8f5e7117-f61e-4ffa-a67f-827b74c5c196"/>
    <s v="2025-04-30"/>
    <x v="1"/>
    <x v="2"/>
    <n v="30"/>
    <s v="18:04"/>
    <n v="30000"/>
    <x v="1"/>
    <s v="other"/>
    <x v="1"/>
    <s v="kbank"/>
    <x v="0"/>
    <s v="rc_acc_1781955063348_no9r"/>
    <s v="Krungthai Next"/>
    <s v="-"/>
    <m/>
    <s v="import"/>
    <s v=""/>
    <b v="0"/>
    <s v=""/>
  </r>
  <r>
    <s v="e61e214b-03bc-4f89-baf2-6b1cee7268f1"/>
    <s v="2025-04-30"/>
    <x v="1"/>
    <x v="2"/>
    <n v="30"/>
    <s v="18:04"/>
    <n v="40000"/>
    <x v="1"/>
    <s v="other"/>
    <x v="1"/>
    <s v="kbank"/>
    <x v="0"/>
    <s v="advance"/>
    <s v="Advance Paid"/>
    <s v="youtrip"/>
    <m/>
    <s v="import"/>
    <s v=""/>
    <b v="0"/>
    <s v=""/>
  </r>
  <r>
    <s v="570ebda8-ddbc-40a1-bfd6-b3f8cd6cc69f"/>
    <s v="2025-04-29"/>
    <x v="1"/>
    <x v="2"/>
    <n v="29"/>
    <s v="19:42"/>
    <n v="2000"/>
    <x v="1"/>
    <s v="other"/>
    <x v="1"/>
    <s v="rc_acc_1781955063348_hnxg"/>
    <x v="9"/>
    <s v="rc_acc_1781955063347_e3zv"/>
    <s v="Cash"/>
    <s v="-"/>
    <m/>
    <s v="import"/>
    <s v=""/>
    <b v="0"/>
    <s v=""/>
  </r>
  <r>
    <s v="3dbc10ef-414a-4506-aa78-0cf0c163b6cd"/>
    <s v="2025-04-29"/>
    <x v="1"/>
    <x v="2"/>
    <n v="29"/>
    <s v="19:43"/>
    <n v="1027"/>
    <x v="2"/>
    <s v="income_1781955063351_3ab8"/>
    <x v="22"/>
    <s v="rc_acc_1781955063348_hnxg"/>
    <x v="9"/>
    <s v=""/>
    <m/>
    <s v="-"/>
    <m/>
    <s v="import"/>
    <s v=""/>
    <b v="0"/>
    <s v=""/>
  </r>
  <r>
    <s v="2ad5d141-3f0a-4850-971e-a78c60966a38"/>
    <s v="2025-04-26"/>
    <x v="1"/>
    <x v="2"/>
    <n v="26"/>
    <s v="18:01"/>
    <n v="1245"/>
    <x v="1"/>
    <s v="other"/>
    <x v="1"/>
    <s v="advance"/>
    <x v="2"/>
    <s v="kbank"/>
    <s v="KBank"/>
    <s v="-"/>
    <m/>
    <s v="import"/>
    <s v=""/>
    <b v="0"/>
    <s v=""/>
  </r>
  <r>
    <s v="4d06a5a0-7c85-46e8-b613-079c41762c28"/>
    <s v="2025-04-26"/>
    <x v="1"/>
    <x v="2"/>
    <n v="26"/>
    <s v="18:02"/>
    <n v="1785"/>
    <x v="0"/>
    <s v="other_1781955063348_27zj"/>
    <x v="0"/>
    <s v="advance"/>
    <x v="2"/>
    <s v=""/>
    <m/>
    <s v="-"/>
    <m/>
    <s v="import"/>
    <s v=""/>
    <b v="0"/>
    <s v=""/>
  </r>
  <r>
    <s v="9b7feb77-f961-45cc-9c41-4d2dc3da6aac"/>
    <s v="2025-04-25"/>
    <x v="1"/>
    <x v="2"/>
    <n v="25"/>
    <s v="00:00"/>
    <n v="2896.05"/>
    <x v="0"/>
    <s v="rc_cat_1781955063347_04qb_1781955063347_kgnn"/>
    <x v="13"/>
    <s v="kbank"/>
    <x v="0"/>
    <s v=""/>
    <m/>
    <s v="-"/>
    <m/>
    <s v="import"/>
    <s v=""/>
    <b v="0"/>
    <s v=""/>
  </r>
  <r>
    <s v="72af7fcb-99bd-4899-be64-08455502e76a"/>
    <s v="2025-04-25"/>
    <x v="1"/>
    <x v="2"/>
    <n v="25"/>
    <s v="00:00"/>
    <n v="4500.68"/>
    <x v="0"/>
    <s v="rc_cat_1781955063347_04qb_1781955063350_acgf"/>
    <x v="11"/>
    <s v="kbank"/>
    <x v="0"/>
    <s v=""/>
    <m/>
    <s v="-"/>
    <m/>
    <s v="import"/>
    <s v=""/>
    <b v="0"/>
    <s v=""/>
  </r>
  <r>
    <s v="d7754a39-8779-4e63-a59c-455a0f34c179"/>
    <s v="2025-04-25"/>
    <x v="1"/>
    <x v="2"/>
    <n v="25"/>
    <s v="00:00"/>
    <n v="3025.2"/>
    <x v="1"/>
    <s v="other"/>
    <x v="1"/>
    <s v="kbank"/>
    <x v="0"/>
    <s v="rc_acc_1781955063347_r9dz"/>
    <s v="Provident Fund"/>
    <s v="-"/>
    <m/>
    <s v="import"/>
    <s v=""/>
    <b v="0"/>
    <s v=""/>
  </r>
  <r>
    <s v="a9df26d0-6ed9-42d0-8a69-63771c1ba2e9"/>
    <s v="2025-04-25"/>
    <x v="1"/>
    <x v="2"/>
    <n v="25"/>
    <s v="00:00"/>
    <n v="145.37"/>
    <x v="0"/>
    <s v="rc_cat_1781955063347_04qb_1781955063347_lu9b"/>
    <x v="20"/>
    <s v="kbank"/>
    <x v="0"/>
    <s v=""/>
    <m/>
    <s v="-"/>
    <m/>
    <s v="import"/>
    <s v=""/>
    <b v="0"/>
    <s v=""/>
  </r>
  <r>
    <s v="d1264085-91df-4f3d-b591-c96b13c0785b"/>
    <s v="2025-04-25"/>
    <x v="1"/>
    <x v="2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2e37db8d-3500-4868-a3aa-3f1701973d71"/>
    <s v="2025-04-25"/>
    <x v="1"/>
    <x v="2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f51eb4ee-45e6-4459-8361-078562fa28d6"/>
    <s v="2025-04-25"/>
    <x v="1"/>
    <x v="2"/>
    <n v="25"/>
    <s v="00:00"/>
    <n v="9165"/>
    <x v="0"/>
    <s v="rc_cat_1781955063347_04qb_1781955063360_ocha"/>
    <x v="12"/>
    <s v="kbank"/>
    <x v="0"/>
    <s v=""/>
    <m/>
    <s v="-"/>
    <m/>
    <s v="import"/>
    <s v=""/>
    <b v="0"/>
    <s v=""/>
  </r>
  <r>
    <s v="d1820212-ca91-4c0f-914b-f446c6bb69af"/>
    <s v="2025-04-25"/>
    <x v="1"/>
    <x v="2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eb1dae7b-b16c-4947-a0d0-aac151514b58"/>
    <s v="2025-04-25"/>
    <x v="1"/>
    <x v="2"/>
    <n v="25"/>
    <s v="18:21"/>
    <n v="230"/>
    <x v="0"/>
    <s v="other_1781955063348_27zj"/>
    <x v="0"/>
    <s v="kbank"/>
    <x v="0"/>
    <s v=""/>
    <m/>
    <s v="-"/>
    <m/>
    <s v="import"/>
    <s v=""/>
    <b v="0"/>
    <s v=""/>
  </r>
  <r>
    <s v="0c0d3583-22c9-46d9-9b8c-479ebda6a305"/>
    <s v="2025-04-15"/>
    <x v="1"/>
    <x v="2"/>
    <n v="15"/>
    <s v="12:25"/>
    <n v="3030"/>
    <x v="1"/>
    <s v="other"/>
    <x v="1"/>
    <s v="kbank"/>
    <x v="0"/>
    <s v="advance"/>
    <s v="Advance Paid"/>
    <s v="-"/>
    <m/>
    <s v="import"/>
    <s v=""/>
    <b v="0"/>
    <s v=""/>
  </r>
  <r>
    <s v="af71b38a-0aef-4bc0-996f-bd3bcdfea01c"/>
    <s v="2025-04-12"/>
    <x v="1"/>
    <x v="2"/>
    <n v="12"/>
    <s v="18:39"/>
    <n v="3005.43"/>
    <x v="1"/>
    <s v="other"/>
    <x v="1"/>
    <s v="rc_acc_1781955063348_obza"/>
    <x v="8"/>
    <s v="rc_acc_1781955063347_hv85"/>
    <s v="HOMEPRO"/>
    <s v="-"/>
    <m/>
    <s v="import"/>
    <s v=""/>
    <b v="0"/>
    <s v=""/>
  </r>
  <r>
    <s v="e742db44-3a23-4187-9594-be57ecd13ea2"/>
    <s v="2025-04-10"/>
    <x v="1"/>
    <x v="2"/>
    <n v="10"/>
    <s v="20:53"/>
    <n v="2890"/>
    <x v="0"/>
    <s v="entertain_1781955063348_kx2f"/>
    <x v="0"/>
    <s v="rc_acc_1781955063347_hv85"/>
    <x v="5"/>
    <s v=""/>
    <m/>
    <s v="tablet(7/10)"/>
    <m/>
    <s v="import"/>
    <s v=""/>
    <b v="0"/>
    <s v=""/>
  </r>
  <r>
    <s v="3bda6296-74a9-45bc-9fb8-d6542cda9309"/>
    <s v="2025-04-06"/>
    <x v="1"/>
    <x v="2"/>
    <n v="6"/>
    <s v="12:25"/>
    <n v="300"/>
    <x v="0"/>
    <s v="rc_cat_1781955063347_s4sz_1781955063360_d7jr"/>
    <x v="0"/>
    <s v="kbank"/>
    <x v="0"/>
    <s v=""/>
    <m/>
    <s v="ตัดผม"/>
    <m/>
    <s v="import"/>
    <s v=""/>
    <b v="0"/>
    <s v=""/>
  </r>
  <r>
    <s v="62de0c8b-ab34-4b66-aef6-1ca1af8b5e21"/>
    <s v="2025-04-04"/>
    <x v="1"/>
    <x v="2"/>
    <n v="4"/>
    <s v="12:17"/>
    <n v="970"/>
    <x v="1"/>
    <s v="other"/>
    <x v="1"/>
    <s v="advance"/>
    <x v="2"/>
    <s v="kbank"/>
    <s v="KBank"/>
    <s v="-"/>
    <m/>
    <s v="import"/>
    <s v=""/>
    <b v="0"/>
    <s v=""/>
  </r>
  <r>
    <s v="55c57f50-398a-424a-acc1-2e1f3bdd9062"/>
    <s v="2025-04-04"/>
    <x v="1"/>
    <x v="2"/>
    <n v="4"/>
    <s v="12:18"/>
    <n v="1073"/>
    <x v="1"/>
    <s v="other"/>
    <x v="1"/>
    <s v="advance"/>
    <x v="2"/>
    <s v="kbank"/>
    <s v="KBank"/>
    <s v="-"/>
    <m/>
    <s v="import"/>
    <s v=""/>
    <b v="0"/>
    <s v=""/>
  </r>
  <r>
    <s v="56ed0e91-91b3-4ea1-b899-64100a1064bd"/>
    <s v="2025-04-01"/>
    <x v="1"/>
    <x v="2"/>
    <n v="1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f1b43b58-d3a1-4c3a-88fe-541db4ca0a26"/>
    <s v="2025-03-31"/>
    <x v="1"/>
    <x v="3"/>
    <n v="31"/>
    <s v="09:07"/>
    <n v="3933"/>
    <x v="0"/>
    <s v="rc_cat_1781955063347_5qjb_1781955063347_tezk"/>
    <x v="5"/>
    <s v="kbank"/>
    <x v="0"/>
    <s v=""/>
    <m/>
    <s v="-"/>
    <m/>
    <s v="import"/>
    <s v=""/>
    <b v="0"/>
    <s v=""/>
  </r>
  <r>
    <s v="faa98b8e-f9fe-44e2-83bc-41c1b581e706"/>
    <s v="2025-03-30"/>
    <x v="1"/>
    <x v="3"/>
    <n v="30"/>
    <s v="09:08"/>
    <n v="7481"/>
    <x v="0"/>
    <s v="rc_cat_1781955063347_04qb_1781955063347_wt5p"/>
    <x v="3"/>
    <s v="kbank"/>
    <x v="0"/>
    <s v=""/>
    <m/>
    <s v="-"/>
    <m/>
    <s v="import"/>
    <s v=""/>
    <b v="0"/>
    <s v=""/>
  </r>
  <r>
    <s v="207faf00-466a-4ce1-8f53-5a585d68c886"/>
    <s v="2025-03-30"/>
    <x v="1"/>
    <x v="3"/>
    <n v="30"/>
    <s v="09:10"/>
    <n v="105"/>
    <x v="0"/>
    <s v="rc_cat_1781955063347_5qjb_1781955063347_tezk"/>
    <x v="5"/>
    <s v="kbank"/>
    <x v="0"/>
    <s v=""/>
    <m/>
    <s v="-"/>
    <m/>
    <s v="import"/>
    <s v=""/>
    <b v="0"/>
    <s v=""/>
  </r>
  <r>
    <s v="65862726-ead2-43b8-972c-889f5af99f6f"/>
    <s v="2025-03-30"/>
    <x v="1"/>
    <x v="3"/>
    <n v="30"/>
    <s v="12:18"/>
    <n v="1073"/>
    <x v="1"/>
    <s v="other"/>
    <x v="1"/>
    <s v="kbank"/>
    <x v="0"/>
    <s v="advance"/>
    <s v="Advance Paid"/>
    <s v="-"/>
    <m/>
    <s v="import"/>
    <s v=""/>
    <b v="0"/>
    <s v=""/>
  </r>
  <r>
    <s v="8dc7ec33-e02f-40cf-b31c-dd858c2e6c39"/>
    <s v="2025-03-30"/>
    <x v="1"/>
    <x v="3"/>
    <n v="30"/>
    <s v="13:28"/>
    <n v="1515"/>
    <x v="1"/>
    <s v="other"/>
    <x v="1"/>
    <s v="kbank"/>
    <x v="0"/>
    <s v="advance"/>
    <s v="Advance Paid"/>
    <s v="-"/>
    <m/>
    <s v="import"/>
    <s v=""/>
    <b v="0"/>
    <s v=""/>
  </r>
  <r>
    <s v="9e0e01d4-ec04-4bcd-aaf7-1632be74a52e"/>
    <s v="2025-03-29"/>
    <x v="1"/>
    <x v="3"/>
    <n v="29"/>
    <s v="13:25"/>
    <n v="224"/>
    <x v="0"/>
    <s v="rc_cat_1781955063347_anhy_1781955063347_qnaz"/>
    <x v="4"/>
    <s v="kbank"/>
    <x v="0"/>
    <s v=""/>
    <m/>
    <s v="ซาลาเปาไหว้เชงเม้ง"/>
    <m/>
    <s v="import"/>
    <s v=""/>
    <b v="0"/>
    <s v=""/>
  </r>
  <r>
    <s v="c5aff016-696d-44cd-8cae-a9d4aa35a3a8"/>
    <s v="2025-03-29"/>
    <x v="1"/>
    <x v="3"/>
    <n v="29"/>
    <s v="13:27"/>
    <n v="7000"/>
    <x v="0"/>
    <s v="rc_cat_1781955063347_anhy_1781955063347_qnaz"/>
    <x v="4"/>
    <s v="kbank"/>
    <x v="0"/>
    <s v=""/>
    <m/>
    <s v="-"/>
    <m/>
    <s v="import"/>
    <s v=""/>
    <b v="0"/>
    <s v=""/>
  </r>
  <r>
    <s v="05425e62-c9d9-4b96-8f71-a3051f3c8604"/>
    <s v="2025-03-27"/>
    <x v="1"/>
    <x v="3"/>
    <n v="27"/>
    <s v="12:17"/>
    <n v="970"/>
    <x v="1"/>
    <s v="other"/>
    <x v="1"/>
    <s v="kbank"/>
    <x v="0"/>
    <s v="advance"/>
    <s v="Advance Paid"/>
    <s v="-"/>
    <m/>
    <s v="import"/>
    <s v=""/>
    <b v="0"/>
    <s v=""/>
  </r>
  <r>
    <s v="2d23142b-3460-4f3c-bd11-5bb8716b7b46"/>
    <s v="2025-03-25"/>
    <x v="1"/>
    <x v="3"/>
    <n v="25"/>
    <s v="00:00"/>
    <n v="3025"/>
    <x v="1"/>
    <s v="other"/>
    <x v="1"/>
    <s v="kbank"/>
    <x v="0"/>
    <s v="rc_acc_1781955063347_r9dz"/>
    <s v="Provident Fund"/>
    <s v="-"/>
    <m/>
    <s v="import"/>
    <s v=""/>
    <b v="0"/>
    <s v=""/>
  </r>
  <r>
    <s v="aa573499-5146-4690-a039-078345b641af"/>
    <s v="2025-03-25"/>
    <x v="1"/>
    <x v="3"/>
    <n v="25"/>
    <s v="00:00"/>
    <n v="2945.38"/>
    <x v="0"/>
    <s v="rc_cat_1781955063347_04qb_1781955063347_kgnn"/>
    <x v="13"/>
    <s v="kbank"/>
    <x v="0"/>
    <s v=""/>
    <m/>
    <s v="-"/>
    <m/>
    <s v="import"/>
    <s v=""/>
    <b v="0"/>
    <s v=""/>
  </r>
  <r>
    <s v="5c1136c9-600b-4a73-a961-64b4078728fc"/>
    <s v="2025-03-25"/>
    <x v="1"/>
    <x v="3"/>
    <n v="25"/>
    <s v="00:00"/>
    <n v="4500.68"/>
    <x v="0"/>
    <s v="rc_cat_1781955063347_04qb_1781955063350_acgf"/>
    <x v="11"/>
    <s v="kbank"/>
    <x v="0"/>
    <s v=""/>
    <m/>
    <s v="-"/>
    <m/>
    <s v="import"/>
    <s v=""/>
    <b v="0"/>
    <s v=""/>
  </r>
  <r>
    <s v="3651cdeb-5a3d-4079-8990-ccc80aa74940"/>
    <s v="2025-03-25"/>
    <x v="1"/>
    <x v="3"/>
    <n v="25"/>
    <s v="00:00"/>
    <n v="161.87"/>
    <x v="0"/>
    <s v="rc_cat_1781955063347_04qb_1781955063347_lu9b"/>
    <x v="20"/>
    <s v="kbank"/>
    <x v="0"/>
    <s v=""/>
    <m/>
    <s v="-"/>
    <m/>
    <s v="import"/>
    <s v=""/>
    <b v="0"/>
    <s v=""/>
  </r>
  <r>
    <s v="84aaa1ac-2d18-4c66-bb20-0db1e36f30e7"/>
    <s v="2025-03-25"/>
    <x v="1"/>
    <x v="3"/>
    <n v="25"/>
    <s v="00:00"/>
    <n v="9165"/>
    <x v="0"/>
    <s v="rc_cat_1781955063347_04qb_1781955063360_ocha"/>
    <x v="12"/>
    <s v="kbank"/>
    <x v="0"/>
    <s v=""/>
    <m/>
    <s v="-"/>
    <m/>
    <s v="import"/>
    <s v=""/>
    <b v="0"/>
    <s v=""/>
  </r>
  <r>
    <s v="7b34b131-ff70-4f1f-922e-7ea88954796a"/>
    <s v="2025-03-25"/>
    <x v="1"/>
    <x v="3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8c4aa026-c947-4307-a58d-5adfb55bc793"/>
    <s v="2025-03-25"/>
    <x v="1"/>
    <x v="3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0c5826cb-bd78-48bc-aed3-d7fe58e7ea46"/>
    <s v="2025-03-25"/>
    <x v="1"/>
    <x v="3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2098f84b-d61f-43a7-81cc-c5022aae19f2"/>
    <s v="2025-03-23"/>
    <x v="1"/>
    <x v="3"/>
    <n v="23"/>
    <s v="11:50"/>
    <n v="21082"/>
    <x v="0"/>
    <s v="rc_cat_1781955063347_04qb_1781955063350_acgf"/>
    <x v="11"/>
    <s v="kbank"/>
    <x v="0"/>
    <s v=""/>
    <m/>
    <s v="-"/>
    <m/>
    <s v="import"/>
    <s v=""/>
    <b v="0"/>
    <s v=""/>
  </r>
  <r>
    <s v="cb2bff7e-4eec-4c44-9d94-ea9912089ea5"/>
    <s v="2025-03-23"/>
    <x v="1"/>
    <x v="3"/>
    <n v="23"/>
    <s v="11:52"/>
    <n v="1515"/>
    <x v="1"/>
    <s v="other"/>
    <x v="1"/>
    <s v="kbank"/>
    <x v="0"/>
    <s v="rc_acc_1781955063348_w3gp"/>
    <s v="UOB world"/>
    <s v="-"/>
    <m/>
    <s v="import"/>
    <s v=""/>
    <b v="0"/>
    <s v=""/>
  </r>
  <r>
    <s v="ac7f5b25-0baf-4cef-97d7-cea76463e2dd"/>
    <s v="2025-03-23"/>
    <x v="1"/>
    <x v="3"/>
    <n v="23"/>
    <s v="14:09"/>
    <n v="2890"/>
    <x v="1"/>
    <s v="other"/>
    <x v="1"/>
    <s v="rc_acc_1781955063348_obza"/>
    <x v="8"/>
    <s v="rc_acc_1781955063347_hv85"/>
    <s v="HOMEPRO"/>
    <s v="-"/>
    <m/>
    <s v="import"/>
    <s v=""/>
    <b v="0"/>
    <s v=""/>
  </r>
  <r>
    <s v="2420df06-dd2f-4030-a3d0-fd44eced35a9"/>
    <s v="2025-03-23"/>
    <x v="1"/>
    <x v="3"/>
    <n v="23"/>
    <s v="14:26"/>
    <n v="1755"/>
    <x v="0"/>
    <s v="entertain_1781955063349_gok1"/>
    <x v="18"/>
    <s v="kbank"/>
    <x v="0"/>
    <s v=""/>
    <m/>
    <s v="Tokyo 2025"/>
    <m/>
    <s v="import"/>
    <s v=""/>
    <b v="0"/>
    <s v=""/>
  </r>
  <r>
    <s v="9247c390-53e8-409c-a0e5-265fa4481cc8"/>
    <s v="2025-03-23"/>
    <x v="1"/>
    <x v="3"/>
    <n v="23"/>
    <s v="14:27"/>
    <n v="800"/>
    <x v="0"/>
    <s v="rc_cat_1781955063347_s4sz_1781955063347_deos"/>
    <x v="6"/>
    <s v="kbank"/>
    <x v="0"/>
    <s v=""/>
    <m/>
    <s v="H&amp;M"/>
    <m/>
    <s v="import"/>
    <s v=""/>
    <b v="0"/>
    <s v=""/>
  </r>
  <r>
    <s v="db1acb03-519f-46d9-9936-990511e73bea"/>
    <s v="2025-03-23"/>
    <x v="1"/>
    <x v="3"/>
    <n v="23"/>
    <s v="14:30"/>
    <n v="9650"/>
    <x v="1"/>
    <s v="other"/>
    <x v="1"/>
    <s v="kbank"/>
    <x v="0"/>
    <s v="rc_acc_1781955063348_obza"/>
    <s v="KRUNGSRI"/>
    <s v="-"/>
    <m/>
    <s v="import"/>
    <s v=""/>
    <b v="0"/>
    <s v=""/>
  </r>
  <r>
    <s v="a792390b-5598-46b6-97b5-964a92b1ca03"/>
    <s v="2025-03-23"/>
    <x v="1"/>
    <x v="3"/>
    <n v="23"/>
    <s v="14:30"/>
    <n v="11872"/>
    <x v="0"/>
    <s v="rc_cat_1781955063347_04qb_1781955063361_s1n1"/>
    <x v="24"/>
    <s v="kbank"/>
    <x v="0"/>
    <s v=""/>
    <m/>
    <s v="เบี้ยจริง 23294 บวกหัก 1800 หักคอย 1361.25 บวกจุกจิก 2344"/>
    <m/>
    <s v="import"/>
    <s v=""/>
    <b v="0"/>
    <s v=""/>
  </r>
  <r>
    <s v="65740a53-e09f-4a82-a8e5-2f065fd72237"/>
    <s v="2025-03-23"/>
    <x v="1"/>
    <x v="3"/>
    <n v="23"/>
    <s v="14:36"/>
    <n v="1361.25"/>
    <x v="1"/>
    <s v="other"/>
    <x v="1"/>
    <s v="rc_acc_1781955063348_w3gp"/>
    <x v="6"/>
    <s v="kbank"/>
    <s v="KBank"/>
    <s v="คืนยอด 9 มีค"/>
    <m/>
    <s v="import"/>
    <s v=""/>
    <b v="0"/>
    <s v=""/>
  </r>
  <r>
    <s v="957e8204-9261-429b-bbd0-46be0d1cd5dc"/>
    <s v="2025-03-23"/>
    <x v="1"/>
    <x v="3"/>
    <n v="23"/>
    <s v="14:41"/>
    <n v="5628"/>
    <x v="1"/>
    <s v="other"/>
    <x v="1"/>
    <s v="advance"/>
    <x v="2"/>
    <s v="kbank"/>
    <s v="KBank"/>
    <s v="-"/>
    <m/>
    <s v="import"/>
    <s v=""/>
    <b v="0"/>
    <s v=""/>
  </r>
  <r>
    <s v="ea108092-1c66-4be4-958f-c90a7c3cde7d"/>
    <s v="2025-03-23"/>
    <x v="1"/>
    <x v="3"/>
    <n v="23"/>
    <s v="14:45"/>
    <n v="2342"/>
    <x v="1"/>
    <s v="other"/>
    <x v="1"/>
    <s v="advance"/>
    <x v="2"/>
    <s v="kbank"/>
    <s v="KBank"/>
    <s v="-"/>
    <m/>
    <s v="import"/>
    <s v=""/>
    <b v="0"/>
    <s v=""/>
  </r>
  <r>
    <s v="6f758c79-7b16-421d-ba70-aeac7ff74d47"/>
    <s v="2025-03-10"/>
    <x v="1"/>
    <x v="3"/>
    <n v="10"/>
    <s v="20:53"/>
    <n v="2890"/>
    <x v="0"/>
    <s v="entertain_1781955063348_kx2f"/>
    <x v="0"/>
    <s v="rc_acc_1781955063347_hv85"/>
    <x v="5"/>
    <s v=""/>
    <m/>
    <s v="tablet(6/10)"/>
    <m/>
    <s v="import"/>
    <s v=""/>
    <b v="0"/>
    <s v=""/>
  </r>
  <r>
    <s v="094e8bdd-e2a1-4c06-b535-706cc5ea1020"/>
    <s v="2025-03-09"/>
    <x v="1"/>
    <x v="3"/>
    <n v="9"/>
    <s v="10:53"/>
    <n v="50000"/>
    <x v="1"/>
    <s v="other"/>
    <x v="1"/>
    <s v="kbank"/>
    <x v="0"/>
    <s v="rc_acc_1781955063349_yz2g"/>
    <s v="Investment"/>
    <s v="-"/>
    <m/>
    <s v="import"/>
    <s v=""/>
    <b v="0"/>
    <s v=""/>
  </r>
  <r>
    <s v="52cba671-8f9d-48e9-9cbb-7603b85b52ff"/>
    <s v="2025-03-09"/>
    <x v="1"/>
    <x v="3"/>
    <n v="9"/>
    <s v="11:50"/>
    <n v="1361.25"/>
    <x v="1"/>
    <s v="other"/>
    <x v="1"/>
    <s v="kbank"/>
    <x v="0"/>
    <s v="rc_acc_1781955063348_w3gp"/>
    <s v="UOB world"/>
    <s v="-"/>
    <m/>
    <s v="import"/>
    <s v=""/>
    <b v="0"/>
    <s v=""/>
  </r>
  <r>
    <s v="e0564ff9-e263-4d17-bcf0-f1c01ae30ee2"/>
    <s v="2025-03-08"/>
    <x v="1"/>
    <x v="3"/>
    <n v="8"/>
    <s v="10:47"/>
    <n v="1023.75"/>
    <x v="1"/>
    <s v="other"/>
    <x v="1"/>
    <s v="kbank"/>
    <x v="0"/>
    <s v="advance"/>
    <s v="Advance Paid"/>
    <s v="-"/>
    <m/>
    <s v="import"/>
    <s v=""/>
    <b v="0"/>
    <s v=""/>
  </r>
  <r>
    <s v="139fef94-848e-444e-8fd6-78b1cbcabcdf"/>
    <s v="2025-03-04"/>
    <x v="1"/>
    <x v="3"/>
    <n v="4"/>
    <s v="10:48"/>
    <n v="150000"/>
    <x v="1"/>
    <s v="other"/>
    <x v="1"/>
    <s v="kbank"/>
    <x v="0"/>
    <s v="rc_acc_1781955063349_yz2g"/>
    <s v="Investment"/>
    <s v="kkp"/>
    <m/>
    <s v="import"/>
    <s v=""/>
    <b v="0"/>
    <s v=""/>
  </r>
  <r>
    <s v="43c6c31e-9577-42d3-8150-23708fbaa74d"/>
    <s v="2025-03-04"/>
    <x v="1"/>
    <x v="3"/>
    <n v="4"/>
    <s v="10:51"/>
    <n v="880"/>
    <x v="0"/>
    <s v="rc_cat_1781955063347_anhy_1781955063348_k5l1"/>
    <x v="16"/>
    <s v="kbank"/>
    <x v="0"/>
    <s v=""/>
    <m/>
    <s v="ของพลีส"/>
    <m/>
    <s v="import"/>
    <s v=""/>
    <b v="0"/>
    <s v=""/>
  </r>
  <r>
    <s v="f0357cc1-9e99-4ae3-9707-7e359807b7fb"/>
    <s v="2025-03-02"/>
    <x v="1"/>
    <x v="3"/>
    <n v="2"/>
    <s v="10:49"/>
    <n v="7000"/>
    <x v="0"/>
    <s v="rc_cat_1781955063347_anhy_1781955063347_qnaz"/>
    <x v="4"/>
    <s v="kbank"/>
    <x v="0"/>
    <s v=""/>
    <m/>
    <s v="-"/>
    <m/>
    <s v="import"/>
    <s v=""/>
    <b v="0"/>
    <s v=""/>
  </r>
  <r>
    <s v="ea12945d-75a0-492a-982a-b60b4b671b6d"/>
    <s v="2025-03-02"/>
    <x v="1"/>
    <x v="3"/>
    <n v="2"/>
    <s v="13:40"/>
    <n v="1361.25"/>
    <x v="1"/>
    <s v="other"/>
    <x v="1"/>
    <s v="kbank"/>
    <x v="0"/>
    <s v="advance"/>
    <s v="Advance Paid"/>
    <s v="shopee pay"/>
    <m/>
    <s v="import"/>
    <s v=""/>
    <b v="0"/>
    <s v=""/>
  </r>
  <r>
    <s v="da35e1ea-e0f3-4b58-b3b1-c62d282d0a94"/>
    <s v="2025-03-02"/>
    <x v="1"/>
    <x v="3"/>
    <n v="2"/>
    <s v="13:42"/>
    <n v="1384"/>
    <x v="1"/>
    <s v="other"/>
    <x v="1"/>
    <s v="advance"/>
    <x v="2"/>
    <s v="kbank"/>
    <s v="KBank"/>
    <s v="tonshin ramen ยอดรวม 1730"/>
    <m/>
    <s v="import"/>
    <s v=""/>
    <b v="0"/>
    <s v=""/>
  </r>
  <r>
    <s v="94d82c34-609f-453b-91f7-428e8175e264"/>
    <s v="2025-03-01"/>
    <x v="1"/>
    <x v="3"/>
    <n v="1"/>
    <s v="00:00"/>
    <n v="19000"/>
    <x v="0"/>
    <s v="rc_cat_1781955063347_anhy_1781955063350_fcpb"/>
    <x v="2"/>
    <s v="kbank"/>
    <x v="0"/>
    <s v=""/>
    <m/>
    <s v="-"/>
    <m/>
    <s v="import"/>
    <s v=""/>
    <b v="0"/>
    <s v=""/>
  </r>
  <r>
    <s v="5d642115-18e3-458f-80b7-5838ee70c5eb"/>
    <s v="2025-03-01"/>
    <x v="1"/>
    <x v="3"/>
    <n v="1"/>
    <s v="13:46"/>
    <n v="7402"/>
    <x v="0"/>
    <s v="rc_cat_1781955063347_04qb_1781955063347_wt5p"/>
    <x v="3"/>
    <s v="kbank"/>
    <x v="0"/>
    <s v=""/>
    <m/>
    <s v="-"/>
    <m/>
    <s v="import"/>
    <s v=""/>
    <b v="0"/>
    <s v=""/>
  </r>
  <r>
    <s v="48c6f056-adb6-4193-8a80-469af253036d"/>
    <s v="2025-02-28"/>
    <x v="1"/>
    <x v="4"/>
    <n v="28"/>
    <s v="13:39"/>
    <n v="2507"/>
    <x v="0"/>
    <s v="rc_cat_1781955063347_5qjb_1781955063347_tezk"/>
    <x v="5"/>
    <s v="kbank"/>
    <x v="0"/>
    <s v=""/>
    <m/>
    <s v="-"/>
    <m/>
    <s v="import"/>
    <s v=""/>
    <b v="0"/>
    <s v=""/>
  </r>
  <r>
    <s v="a62daf58-5fa4-40c7-86a1-90475ffa0953"/>
    <s v="2025-02-27"/>
    <x v="1"/>
    <x v="4"/>
    <n v="27"/>
    <s v="13:47"/>
    <n v="50000"/>
    <x v="1"/>
    <s v="other"/>
    <x v="1"/>
    <s v="kbank"/>
    <x v="0"/>
    <s v="rc_acc_1781955063349_yz2g"/>
    <s v="Investment"/>
    <s v="-"/>
    <m/>
    <s v="import"/>
    <s v=""/>
    <b v="0"/>
    <s v=""/>
  </r>
  <r>
    <s v="6872335c-f083-4005-85c2-46433ad213f6"/>
    <s v="2025-02-26"/>
    <x v="1"/>
    <x v="4"/>
    <n v="26"/>
    <s v="10:30"/>
    <n v="633"/>
    <x v="1"/>
    <s v="other"/>
    <x v="1"/>
    <s v="kbank"/>
    <x v="0"/>
    <s v="advance"/>
    <s v="Advance Paid"/>
    <s v="จ่ายค่าไฟ"/>
    <m/>
    <s v="import"/>
    <s v=""/>
    <b v="0"/>
    <s v=""/>
  </r>
  <r>
    <s v="b3d9d314-0bf0-45b3-bc82-717c2b1ba5a2"/>
    <s v="2025-02-25"/>
    <x v="1"/>
    <x v="4"/>
    <n v="25"/>
    <s v="00:00"/>
    <n v="151260"/>
    <x v="2"/>
    <s v="income_1781955063347_5zxt"/>
    <x v="14"/>
    <s v="kbank"/>
    <x v="0"/>
    <s v=""/>
    <m/>
    <s v="-"/>
    <m/>
    <s v="import"/>
    <s v=""/>
    <b v="0"/>
    <s v=""/>
  </r>
  <r>
    <s v="33e09a17-e5a5-416b-bf2f-9e5d40801788"/>
    <s v="2025-02-25"/>
    <x v="1"/>
    <x v="4"/>
    <n v="25"/>
    <s v="00:00"/>
    <n v="170.54"/>
    <x v="0"/>
    <s v="rc_cat_1781955063347_04qb_1781955063347_lu9b"/>
    <x v="20"/>
    <s v="kbank"/>
    <x v="0"/>
    <s v=""/>
    <m/>
    <s v="-"/>
    <m/>
    <s v="import"/>
    <s v=""/>
    <b v="0"/>
    <s v=""/>
  </r>
  <r>
    <s v="8939cbc7-5989-4b60-8ce0-cbf105600b3d"/>
    <s v="2025-02-25"/>
    <x v="1"/>
    <x v="4"/>
    <n v="25"/>
    <s v="00:00"/>
    <n v="9165"/>
    <x v="0"/>
    <s v="rc_cat_1781955063347_04qb_1781955063360_ocha"/>
    <x v="12"/>
    <s v="kbank"/>
    <x v="0"/>
    <s v=""/>
    <m/>
    <s v="-"/>
    <m/>
    <s v="import"/>
    <s v=""/>
    <b v="0"/>
    <s v=""/>
  </r>
  <r>
    <s v="ab510b13-bbdc-4885-bfef-85ba38299116"/>
    <s v="2025-02-25"/>
    <x v="1"/>
    <x v="4"/>
    <n v="25"/>
    <s v="00:00"/>
    <n v="2857.94"/>
    <x v="0"/>
    <s v="rc_cat_1781955063347_04qb_1781955063347_kgnn"/>
    <x v="13"/>
    <s v="kbank"/>
    <x v="0"/>
    <s v=""/>
    <m/>
    <s v="-"/>
    <m/>
    <s v="import"/>
    <s v=""/>
    <b v="0"/>
    <s v=""/>
  </r>
  <r>
    <s v="121fdcad-10d8-44b9-be68-b4143563aac8"/>
    <s v="2025-02-25"/>
    <x v="1"/>
    <x v="4"/>
    <n v="25"/>
    <s v="00:00"/>
    <n v="34589.51"/>
    <x v="0"/>
    <s v="rc_cat_1781955063347_04qb_1781955063350_acgf"/>
    <x v="11"/>
    <s v="kbank"/>
    <x v="0"/>
    <s v=""/>
    <m/>
    <s v="-"/>
    <m/>
    <s v="import"/>
    <s v=""/>
    <b v="0"/>
    <s v=""/>
  </r>
  <r>
    <s v="fb86c2c4-05de-4b70-9f5e-58d93d05f434"/>
    <s v="2025-02-25"/>
    <x v="1"/>
    <x v="4"/>
    <n v="25"/>
    <s v="00:00"/>
    <n v="3306.4"/>
    <x v="1"/>
    <s v="other"/>
    <x v="1"/>
    <s v="kbank"/>
    <x v="0"/>
    <s v="rc_acc_1781955063347_r9dz"/>
    <s v="Provident Fund"/>
    <s v="-"/>
    <m/>
    <s v="import"/>
    <s v=""/>
    <b v="0"/>
    <s v=""/>
  </r>
  <r>
    <s v="cfdfbd8a-62c2-4f29-86e5-e732af825283"/>
    <s v="2025-02-25"/>
    <x v="1"/>
    <x v="4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f209c040-72ac-4a24-85b3-c0b2a12b0da7"/>
    <s v="2025-02-25"/>
    <x v="1"/>
    <x v="4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196fa781-ab34-428f-8c20-213d4c8ea5ef"/>
    <s v="2025-02-25"/>
    <x v="1"/>
    <x v="4"/>
    <n v="25"/>
    <s v="10:29"/>
    <n v="212185"/>
    <x v="2"/>
    <s v="income_1781955063347_zblt"/>
    <x v="17"/>
    <s v="kbank"/>
    <x v="0"/>
    <s v=""/>
    <m/>
    <s v="-"/>
    <m/>
    <s v="import"/>
    <s v=""/>
    <b v="0"/>
    <s v=""/>
  </r>
  <r>
    <s v="8da6c892-d4ab-4fed-8583-cf397a89e4fc"/>
    <s v="2025-02-25"/>
    <x v="1"/>
    <x v="4"/>
    <n v="25"/>
    <s v="10:29"/>
    <n v="14060"/>
    <x v="2"/>
    <s v="income_1781955063347_5zxt"/>
    <x v="14"/>
    <s v="kbank"/>
    <x v="0"/>
    <s v=""/>
    <m/>
    <s v="-"/>
    <m/>
    <s v="import"/>
    <s v=""/>
    <b v="0"/>
    <s v=""/>
  </r>
  <r>
    <s v="da05655f-b023-4056-8cc7-71ed1263e611"/>
    <s v="2025-02-23"/>
    <x v="1"/>
    <x v="4"/>
    <n v="23"/>
    <s v="11:49"/>
    <n v="12450"/>
    <x v="0"/>
    <s v="entertain_1781955063352_1jgx"/>
    <x v="10"/>
    <s v="kbank"/>
    <x v="0"/>
    <s v=""/>
    <m/>
    <s v="การ์ดจอ"/>
    <m/>
    <s v="import"/>
    <s v=""/>
    <b v="0"/>
    <s v=""/>
  </r>
  <r>
    <s v="7993bf36-d325-46cc-98cf-9903e4b7ddcb"/>
    <s v="2025-02-23"/>
    <x v="1"/>
    <x v="4"/>
    <n v="23"/>
    <s v="12:00"/>
    <n v="2890"/>
    <x v="2"/>
    <s v="other_1781955063347_5s7r"/>
    <x v="15"/>
    <s v="rc_acc_1781955063347_hv85"/>
    <x v="5"/>
    <s v=""/>
    <m/>
    <s v="Difference"/>
    <m/>
    <s v="import"/>
    <s v=""/>
    <b v="0"/>
    <s v=""/>
  </r>
  <r>
    <s v="e0a8d95e-125e-438e-8391-1fd73c35392d"/>
    <s v="2025-02-23"/>
    <x v="1"/>
    <x v="4"/>
    <n v="23"/>
    <s v="13:53"/>
    <n v="19000"/>
    <x v="0"/>
    <s v="rc_cat_1781955063347_anhy_1781955063350_fcpb"/>
    <x v="2"/>
    <s v="kbank"/>
    <x v="0"/>
    <s v=""/>
    <m/>
    <s v="-"/>
    <m/>
    <s v="import"/>
    <s v=""/>
    <b v="0"/>
    <s v=""/>
  </r>
  <r>
    <s v="fcefd130-8970-49b9-a77c-faddfac91f4b"/>
    <s v="2025-02-23"/>
    <x v="1"/>
    <x v="4"/>
    <n v="23"/>
    <s v="13:54"/>
    <n v="19181"/>
    <x v="1"/>
    <s v="other"/>
    <x v="1"/>
    <s v="kbank"/>
    <x v="0"/>
    <s v="advance"/>
    <s v="Advance Paid"/>
    <s v="-"/>
    <m/>
    <s v="import"/>
    <s v=""/>
    <b v="0"/>
    <s v=""/>
  </r>
  <r>
    <s v="80569601-4f6b-42a1-8a6e-15b595a31acb"/>
    <s v="2025-02-23"/>
    <x v="1"/>
    <x v="4"/>
    <n v="23"/>
    <s v="15:02"/>
    <n v="5759"/>
    <x v="0"/>
    <s v="entertain_1781955063349_gok1"/>
    <x v="18"/>
    <s v="advance"/>
    <x v="2"/>
    <s v=""/>
    <m/>
    <s v="JP25 Tokyo ตั๋วบินกลับโตเกียว 6913 ได้ส่วนต่าง 1154 หักยอด 19181"/>
    <m/>
    <s v="import"/>
    <s v=""/>
    <b v="0"/>
    <s v=""/>
  </r>
  <r>
    <s v="e55fed45-7d73-4831-abed-c17bb52f6a8b"/>
    <s v="2025-02-23"/>
    <x v="1"/>
    <x v="4"/>
    <n v="23"/>
    <s v="15:03"/>
    <n v="12538.56"/>
    <x v="1"/>
    <s v="other"/>
    <x v="1"/>
    <s v="advance"/>
    <x v="2"/>
    <s v="rc_acc_1781955063358_d7gc"/>
    <s v="Travelcard JPY"/>
    <s v="ยอดกองกลางเงินเยน หักยอด 19181"/>
    <m/>
    <s v="import"/>
    <s v=""/>
    <b v="0"/>
    <s v=""/>
  </r>
  <r>
    <s v="8f9dbdef-da15-46ea-8281-2eca0c059bbc"/>
    <s v="2025-02-23"/>
    <x v="1"/>
    <x v="4"/>
    <n v="23"/>
    <s v="15:11"/>
    <n v="883"/>
    <x v="1"/>
    <s v="other"/>
    <x v="1"/>
    <s v="advance"/>
    <x v="2"/>
    <s v="kbank"/>
    <s v="KBank"/>
    <s v="คืนยอด"/>
    <m/>
    <s v="import"/>
    <s v=""/>
    <b v="0"/>
    <s v=""/>
  </r>
  <r>
    <s v="c3b48f9d-ee88-4768-9b1d-3ff55b23fdb2"/>
    <s v="2025-02-23"/>
    <x v="1"/>
    <x v="4"/>
    <n v="23"/>
    <s v="15:18"/>
    <n v="979"/>
    <x v="0"/>
    <s v="rc_cat_1781955063347_5qjb_1781955063347_tezk"/>
    <x v="5"/>
    <s v="advance"/>
    <x v="2"/>
    <s v=""/>
    <m/>
    <s v="daily food janfeb"/>
    <m/>
    <s v="import"/>
    <s v=""/>
    <b v="0"/>
    <s v=""/>
  </r>
  <r>
    <s v="862f1288-d18a-44bb-af62-f479044bdd28"/>
    <s v="2025-02-23"/>
    <x v="1"/>
    <x v="4"/>
    <n v="23"/>
    <s v="15:22"/>
    <n v="4649"/>
    <x v="0"/>
    <s v="entertain_1781955063352_1jgx"/>
    <x v="10"/>
    <s v="advance"/>
    <x v="2"/>
    <s v=""/>
    <m/>
    <s v="shoping youtube"/>
    <m/>
    <s v="import"/>
    <s v=""/>
    <b v="0"/>
    <s v=""/>
  </r>
  <r>
    <s v="c811914a-aec7-4597-87c1-fa06298eaa6b"/>
    <s v="2025-02-23"/>
    <x v="1"/>
    <x v="4"/>
    <n v="23"/>
    <s v="15:22"/>
    <n v="18000"/>
    <x v="0"/>
    <s v="entertain_1781955063349_gok1"/>
    <x v="18"/>
    <s v="advance"/>
    <x v="2"/>
    <s v=""/>
    <m/>
    <s v="-"/>
    <m/>
    <s v="import"/>
    <s v=""/>
    <b v="0"/>
    <s v=""/>
  </r>
  <r>
    <s v="f25a7a93-535b-48b7-9f15-563318e06ec4"/>
    <s v="2025-02-23"/>
    <x v="1"/>
    <x v="4"/>
    <n v="23"/>
    <s v="15:23"/>
    <n v="4860"/>
    <x v="0"/>
    <s v="entertain_1781955063352_1jgx"/>
    <x v="10"/>
    <s v="advance"/>
    <x v="2"/>
    <s v=""/>
    <m/>
    <s v="shoping youtube"/>
    <m/>
    <s v="import"/>
    <s v=""/>
    <b v="0"/>
    <s v=""/>
  </r>
  <r>
    <s v="29e3c58b-b660-425f-897c-723edd6dca96"/>
    <s v="2025-02-23"/>
    <x v="1"/>
    <x v="4"/>
    <n v="23"/>
    <s v="15:27"/>
    <n v="13236.67"/>
    <x v="0"/>
    <s v="entertain_1781955063349_gok1"/>
    <x v="18"/>
    <s v="rc_acc_1781955063358_cs4m"/>
    <x v="11"/>
    <s v=""/>
    <m/>
    <s v="Difference"/>
    <m/>
    <s v="import"/>
    <s v=""/>
    <b v="0"/>
    <s v=""/>
  </r>
  <r>
    <s v="2906d9bd-e193-4bff-958c-edac7f19006e"/>
    <s v="2025-02-22"/>
    <x v="1"/>
    <x v="4"/>
    <n v="22"/>
    <s v="15:17"/>
    <n v="4860"/>
    <x v="1"/>
    <s v="other"/>
    <x v="1"/>
    <s v="kbank"/>
    <x v="0"/>
    <s v="advance"/>
    <s v="Advance Paid"/>
    <s v="1515 915 1515 915"/>
    <m/>
    <s v="import"/>
    <s v=""/>
    <b v="0"/>
    <s v=""/>
  </r>
  <r>
    <s v="95689aaf-69ba-4a64-ba26-549ed360d22d"/>
    <s v="2025-02-22"/>
    <x v="1"/>
    <x v="4"/>
    <n v="22"/>
    <s v="15:38"/>
    <n v="2067.3"/>
    <x v="0"/>
    <s v="other_1781955063347_5s7r"/>
    <x v="15"/>
    <s v="rc_acc_1781955063348_obza"/>
    <x v="8"/>
    <s v=""/>
    <m/>
    <s v="Difference"/>
    <m/>
    <s v="import"/>
    <s v=""/>
    <b v="0"/>
    <s v=""/>
  </r>
  <r>
    <s v="201a1cbd-d3f1-428f-8631-f50dcc4930e3"/>
    <s v="2025-02-21"/>
    <x v="1"/>
    <x v="4"/>
    <n v="21"/>
    <s v="15:27"/>
    <n v="3421"/>
    <x v="2"/>
    <s v="income_1781955063351_3ab8"/>
    <x v="22"/>
    <s v="rc_acc_1781955063347_uxz4"/>
    <x v="4"/>
    <s v=""/>
    <m/>
    <s v="-"/>
    <m/>
    <s v="import"/>
    <s v=""/>
    <b v="0"/>
    <s v=""/>
  </r>
  <r>
    <s v="bb2739ed-00b2-46c8-82c2-fe02cea4dbb3"/>
    <s v="2025-02-19"/>
    <x v="1"/>
    <x v="4"/>
    <n v="19"/>
    <s v="15:18"/>
    <n v="100"/>
    <x v="1"/>
    <s v="other"/>
    <x v="1"/>
    <s v="kbank"/>
    <x v="0"/>
    <s v="rc_acc_1781955063348_hnxg"/>
    <s v="BBL"/>
    <s v="-"/>
    <m/>
    <s v="import"/>
    <s v=""/>
    <b v="0"/>
    <s v=""/>
  </r>
  <r>
    <s v="61ad7358-108d-4bd6-975a-dfbe49330863"/>
    <s v="2025-02-14"/>
    <x v="1"/>
    <x v="4"/>
    <n v="14"/>
    <s v="15:15"/>
    <n v="422"/>
    <x v="0"/>
    <s v="rc_cat_1781955063347_anhy_1781955063348_k5l1"/>
    <x v="16"/>
    <s v="kbank"/>
    <x v="0"/>
    <s v=""/>
    <m/>
    <s v="cake p surach"/>
    <m/>
    <s v="import"/>
    <s v=""/>
    <b v="0"/>
    <s v=""/>
  </r>
  <r>
    <s v="d10fac0f-824f-4281-a19d-499a42712631"/>
    <s v="2025-02-13"/>
    <x v="1"/>
    <x v="4"/>
    <n v="13"/>
    <s v="15:15"/>
    <n v="7967"/>
    <x v="0"/>
    <s v="rc_cat_1781955063347_04qb_1781955063347_wt5p"/>
    <x v="3"/>
    <s v="kbank"/>
    <x v="0"/>
    <s v=""/>
    <m/>
    <s v="-"/>
    <m/>
    <s v="import"/>
    <s v=""/>
    <b v="0"/>
    <s v=""/>
  </r>
  <r>
    <s v="93038872-027f-49f9-97b6-1f443d37c01e"/>
    <s v="2025-02-13"/>
    <x v="1"/>
    <x v="4"/>
    <n v="13"/>
    <s v="15:16"/>
    <n v="1100"/>
    <x v="0"/>
    <s v="rc_cat_1781955063347_anhy_1781955063348_k5l1"/>
    <x v="16"/>
    <s v="kbank"/>
    <x v="0"/>
    <s v=""/>
    <m/>
    <s v="-"/>
    <m/>
    <s v="import"/>
    <s v=""/>
    <b v="0"/>
    <s v=""/>
  </r>
  <r>
    <s v="65748fb2-ab3f-469c-8b1e-0d4b0bfe681a"/>
    <s v="2025-02-10"/>
    <x v="1"/>
    <x v="4"/>
    <n v="10"/>
    <s v="20:53"/>
    <n v="2890"/>
    <x v="0"/>
    <s v="entertain_1781955063348_kx2f"/>
    <x v="0"/>
    <s v="rc_acc_1781955063347_hv85"/>
    <x v="5"/>
    <s v=""/>
    <m/>
    <s v="tablet(5/10)"/>
    <m/>
    <s v="import"/>
    <s v=""/>
    <b v="0"/>
    <s v=""/>
  </r>
  <r>
    <s v="c02d49d4-5283-41eb-a552-27e086984656"/>
    <s v="2025-02-09"/>
    <x v="1"/>
    <x v="4"/>
    <n v="9"/>
    <s v="15:13"/>
    <n v="18000"/>
    <x v="1"/>
    <s v="other"/>
    <x v="1"/>
    <s v="kbank"/>
    <x v="0"/>
    <s v="advance"/>
    <s v="Advance Paid"/>
    <s v="youtrip"/>
    <m/>
    <s v="import"/>
    <s v=""/>
    <b v="0"/>
    <s v=""/>
  </r>
  <r>
    <s v="894935d3-721c-46ba-90f6-6fbd2261c4b3"/>
    <s v="2025-02-04"/>
    <x v="1"/>
    <x v="4"/>
    <n v="4"/>
    <s v="15:12"/>
    <n v="1000"/>
    <x v="0"/>
    <s v="other_1781955063348_27zj"/>
    <x v="0"/>
    <s v="kbank"/>
    <x v="0"/>
    <s v=""/>
    <m/>
    <s v="-"/>
    <m/>
    <s v="import"/>
    <s v=""/>
    <b v="0"/>
    <s v=""/>
  </r>
  <r>
    <s v="d2120bd9-877e-4a4b-8b6f-c80d5cc61f89"/>
    <s v="2025-02-01"/>
    <x v="1"/>
    <x v="4"/>
    <n v="1"/>
    <s v="15:13"/>
    <n v="5628"/>
    <x v="1"/>
    <s v="other"/>
    <x v="1"/>
    <s v="kbank"/>
    <x v="0"/>
    <s v="advance"/>
    <s v="Advance Paid"/>
    <s v="ชำระยอด shopee มค"/>
    <m/>
    <s v="import"/>
    <s v=""/>
    <b v="0"/>
    <s v=""/>
  </r>
  <r>
    <s v="8a08e641-282e-4198-b156-30559318b246"/>
    <s v="2025-01-30"/>
    <x v="1"/>
    <x v="5"/>
    <n v="30"/>
    <s v="15:14"/>
    <n v="4505"/>
    <x v="0"/>
    <s v="rc_cat_1781955063347_5qjb_1781955063347_tezk"/>
    <x v="5"/>
    <s v="kbank"/>
    <x v="0"/>
    <s v=""/>
    <m/>
    <s v="ค่ากินเดือน มค"/>
    <m/>
    <s v="import"/>
    <s v=""/>
    <b v="0"/>
    <s v=""/>
  </r>
  <r>
    <s v="8dc82f05-de23-4d92-bfba-4d2ca2aa45c8"/>
    <s v="2025-01-28"/>
    <x v="1"/>
    <x v="5"/>
    <n v="28"/>
    <s v="15:11"/>
    <n v="340"/>
    <x v="0"/>
    <s v="other_1781955063348_27zj"/>
    <x v="0"/>
    <s v="kbank"/>
    <x v="0"/>
    <s v=""/>
    <m/>
    <s v="-"/>
    <m/>
    <s v="import"/>
    <s v=""/>
    <b v="0"/>
    <s v=""/>
  </r>
  <r>
    <s v="0edff1f8-0b42-4cf3-abfc-64e109573b54"/>
    <s v="2025-01-26"/>
    <x v="1"/>
    <x v="5"/>
    <n v="26"/>
    <s v="15:33"/>
    <n v="5500"/>
    <x v="0"/>
    <s v="rc_cat_1781955063347_anhy_1781955063347_qnaz"/>
    <x v="4"/>
    <s v="rc_acc_1781955063348_hnxg"/>
    <x v="9"/>
    <s v=""/>
    <m/>
    <s v="-"/>
    <m/>
    <s v="import"/>
    <s v=""/>
    <b v="0"/>
    <s v=""/>
  </r>
  <r>
    <s v="9c227e9b-bd9f-4614-ab8c-225fa8880314"/>
    <s v="2025-01-25"/>
    <x v="1"/>
    <x v="5"/>
    <n v="25"/>
    <s v="00:00"/>
    <n v="9240"/>
    <x v="0"/>
    <s v="rc_cat_1781955063347_04qb_1781955063360_g684"/>
    <x v="21"/>
    <s v="kbank"/>
    <x v="0"/>
    <s v=""/>
    <m/>
    <s v="-"/>
    <m/>
    <s v="import"/>
    <s v=""/>
    <b v="0"/>
    <s v=""/>
  </r>
  <r>
    <s v="5ec36940-36fb-4080-aa12-fd5a020639b6"/>
    <s v="2025-01-25"/>
    <x v="1"/>
    <x v="5"/>
    <n v="25"/>
    <s v="00:00"/>
    <n v="8540"/>
    <x v="0"/>
    <s v="rc_cat_1781955063347_04qb_1781955063360_ocha"/>
    <x v="12"/>
    <s v="kbank"/>
    <x v="0"/>
    <s v=""/>
    <m/>
    <s v="-"/>
    <m/>
    <s v="import"/>
    <s v=""/>
    <b v="0"/>
    <s v=""/>
  </r>
  <r>
    <s v="98194085-51d3-4832-a8ce-2df198bc5924"/>
    <s v="2025-01-25"/>
    <x v="1"/>
    <x v="5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aabfc854-68d4-42cf-ba8f-3f6eaaf09176"/>
    <s v="2025-01-25"/>
    <x v="1"/>
    <x v="5"/>
    <n v="25"/>
    <s v="00:00"/>
    <n v="2744"/>
    <x v="1"/>
    <s v="other"/>
    <x v="1"/>
    <s v="kbank"/>
    <x v="0"/>
    <s v="rc_acc_1781955063347_r9dz"/>
    <s v="Provident Fund"/>
    <s v="-"/>
    <m/>
    <s v="import"/>
    <s v=""/>
    <b v="0"/>
    <s v=""/>
  </r>
  <r>
    <s v="b8055fcb-c101-4e28-a4b6-dc3a40d77ecf"/>
    <s v="2025-01-25"/>
    <x v="1"/>
    <x v="5"/>
    <n v="25"/>
    <s v="00:00"/>
    <n v="3123.74"/>
    <x v="0"/>
    <s v="rc_cat_1781955063347_04qb_1781955063350_acgf"/>
    <x v="11"/>
    <s v="kbank"/>
    <x v="0"/>
    <s v=""/>
    <m/>
    <s v="-"/>
    <m/>
    <s v="import"/>
    <s v=""/>
    <b v="0"/>
    <s v=""/>
  </r>
  <r>
    <s v="1dff4b7e-f303-4043-951c-9bd1592a70f4"/>
    <s v="2025-01-25"/>
    <x v="1"/>
    <x v="5"/>
    <n v="25"/>
    <s v="00:00"/>
    <n v="3243"/>
    <x v="0"/>
    <s v="rc_cat_1781955063347_04qb_1781955063347_kgnn"/>
    <x v="13"/>
    <s v="kbank"/>
    <x v="0"/>
    <s v=""/>
    <m/>
    <s v="-"/>
    <m/>
    <s v="import"/>
    <s v=""/>
    <b v="0"/>
    <s v=""/>
  </r>
  <r>
    <s v="9ebe5773-cda6-45d6-904f-b5e2554380de"/>
    <s v="2025-01-25"/>
    <x v="1"/>
    <x v="5"/>
    <n v="25"/>
    <s v="00:00"/>
    <n v="267.85"/>
    <x v="0"/>
    <s v="rc_cat_1781955063347_04qb_1781955063347_lu9b"/>
    <x v="20"/>
    <s v="kbank"/>
    <x v="0"/>
    <s v=""/>
    <m/>
    <s v="-"/>
    <m/>
    <s v="import"/>
    <s v=""/>
    <b v="0"/>
    <s v=""/>
  </r>
  <r>
    <s v="35150266-08ac-4528-a7dd-0e7abe374647"/>
    <s v="2025-01-25"/>
    <x v="1"/>
    <x v="5"/>
    <n v="25"/>
    <s v="00:00"/>
    <n v="137200"/>
    <x v="2"/>
    <s v="income_1781955063347_5zxt"/>
    <x v="14"/>
    <s v="kbank"/>
    <x v="0"/>
    <s v=""/>
    <m/>
    <s v="-"/>
    <m/>
    <s v="import"/>
    <s v=""/>
    <b v="0"/>
    <s v=""/>
  </r>
  <r>
    <s v="60cf8719-4596-4e66-98e3-557395953fcb"/>
    <s v="2025-01-24"/>
    <x v="1"/>
    <x v="5"/>
    <n v="24"/>
    <s v="23:13"/>
    <n v="7698"/>
    <x v="0"/>
    <s v="rc_cat_1781955063347_04qb_1781955063347_wt5p"/>
    <x v="3"/>
    <s v="kbank"/>
    <x v="0"/>
    <s v=""/>
    <m/>
    <s v="-"/>
    <m/>
    <s v="import"/>
    <s v=""/>
    <b v="0"/>
    <s v=""/>
  </r>
  <r>
    <s v="cb83fe01-ebbb-46d4-afbd-f48aa117358c"/>
    <s v="2025-01-24"/>
    <x v="1"/>
    <x v="5"/>
    <n v="24"/>
    <s v="23:14"/>
    <n v="7800"/>
    <x v="0"/>
    <s v="rc_cat_1781955063347_anhy_1781955063347_qnaz"/>
    <x v="4"/>
    <s v="kbank"/>
    <x v="0"/>
    <s v=""/>
    <m/>
    <s v="แต๊ะเอีย"/>
    <m/>
    <s v="import"/>
    <s v=""/>
    <b v="0"/>
    <s v=""/>
  </r>
  <r>
    <s v="caf8577e-2a03-4ca8-9506-db332fc29318"/>
    <s v="2025-01-24"/>
    <x v="1"/>
    <x v="5"/>
    <n v="24"/>
    <s v="23:15"/>
    <n v="1142"/>
    <x v="0"/>
    <s v="rc_cat_1781955063347_anhy_1781955063347_qnaz"/>
    <x v="4"/>
    <s v="kbank"/>
    <x v="0"/>
    <s v=""/>
    <m/>
    <s v="xing fu tang"/>
    <m/>
    <s v="import"/>
    <s v=""/>
    <b v="0"/>
    <s v=""/>
  </r>
  <r>
    <s v="93b71c6f-b9ed-46c3-a3f7-8135c750f721"/>
    <s v="2025-01-24"/>
    <x v="1"/>
    <x v="5"/>
    <n v="24"/>
    <s v="23:56"/>
    <n v="875"/>
    <x v="1"/>
    <s v="other"/>
    <x v="1"/>
    <s v="advance"/>
    <x v="2"/>
    <s v="kbank"/>
    <s v="KBank"/>
    <s v="-"/>
    <m/>
    <s v="import"/>
    <s v=""/>
    <b v="0"/>
    <s v=""/>
  </r>
  <r>
    <s v="62684e39-88f3-4dc1-b6e3-cefa3cf966d7"/>
    <s v="2025-01-23"/>
    <x v="1"/>
    <x v="5"/>
    <n v="23"/>
    <s v="23:12"/>
    <n v="100"/>
    <x v="0"/>
    <s v="other_1781955063348_27zj"/>
    <x v="0"/>
    <s v="kbank"/>
    <x v="0"/>
    <s v=""/>
    <m/>
    <s v="-"/>
    <m/>
    <s v="import"/>
    <s v=""/>
    <b v="0"/>
    <s v=""/>
  </r>
  <r>
    <s v="0f3b2c8b-7894-4049-986d-504b69c9cee9"/>
    <s v="2025-01-22"/>
    <x v="1"/>
    <x v="5"/>
    <n v="22"/>
    <s v="23:12"/>
    <n v="2000"/>
    <x v="0"/>
    <s v="rc_cat_1781955063347_anhy_1781955063348_k5l1"/>
    <x v="16"/>
    <s v="kbank"/>
    <x v="0"/>
    <s v=""/>
    <m/>
    <s v="สลากงานปีใหม่"/>
    <m/>
    <s v="import"/>
    <s v=""/>
    <b v="0"/>
    <s v=""/>
  </r>
  <r>
    <s v="35a8bb75-05e2-457e-90d7-a69498883cf5"/>
    <s v="2025-01-20"/>
    <x v="1"/>
    <x v="5"/>
    <n v="20"/>
    <s v="23:11"/>
    <n v="134"/>
    <x v="0"/>
    <s v="rc_cat_1781955063347_5qjb_1781955063347_tezk"/>
    <x v="5"/>
    <s v="kbank"/>
    <x v="0"/>
    <s v=""/>
    <m/>
    <s v="-"/>
    <m/>
    <s v="import"/>
    <s v=""/>
    <b v="0"/>
    <s v=""/>
  </r>
  <r>
    <s v="6c3ba4f2-856d-4944-b7d4-f411eb9e01ac"/>
    <s v="2025-01-19"/>
    <x v="1"/>
    <x v="5"/>
    <n v="19"/>
    <s v="20:23"/>
    <n v="19000"/>
    <x v="0"/>
    <s v="rc_cat_1781955063347_anhy_1781955063350_fcpb"/>
    <x v="2"/>
    <s v="kbank"/>
    <x v="0"/>
    <s v=""/>
    <m/>
    <s v="-"/>
    <m/>
    <s v="import"/>
    <s v=""/>
    <b v="0"/>
    <s v=""/>
  </r>
  <r>
    <s v="c9d6abac-d9f4-4687-9cdf-bdd71983ebbe"/>
    <s v="2025-01-19"/>
    <x v="1"/>
    <x v="5"/>
    <n v="19"/>
    <s v="20:23"/>
    <n v="150"/>
    <x v="0"/>
    <s v="rc_cat_1781955063347_s4sz_1781955063360_d7jr"/>
    <x v="0"/>
    <s v="kbank"/>
    <x v="0"/>
    <s v=""/>
    <m/>
    <s v="ตัดผม"/>
    <m/>
    <s v="import"/>
    <s v=""/>
    <b v="0"/>
    <s v=""/>
  </r>
  <r>
    <s v="9862a96d-6d79-4608-9e8b-69cdf3894da8"/>
    <s v="2025-01-19"/>
    <x v="1"/>
    <x v="5"/>
    <n v="19"/>
    <s v="20:24"/>
    <n v="400"/>
    <x v="0"/>
    <s v="entertain_1781955063359_cf7f"/>
    <x v="7"/>
    <s v="kbank"/>
    <x v="0"/>
    <s v=""/>
    <m/>
    <s v="-"/>
    <m/>
    <s v="import"/>
    <s v=""/>
    <b v="0"/>
    <s v=""/>
  </r>
  <r>
    <s v="7d2a3640-66e1-4ad3-b434-6e44c10f37ad"/>
    <s v="2025-01-19"/>
    <x v="1"/>
    <x v="5"/>
    <n v="19"/>
    <s v="20:25"/>
    <n v="5016.79"/>
    <x v="0"/>
    <s v="entertain_1781955063349_gok1"/>
    <x v="18"/>
    <s v="kbank"/>
    <x v="0"/>
    <s v=""/>
    <m/>
    <s v="JP25 Tokyo ตั๋วบินโอซาก้า"/>
    <m/>
    <s v="import"/>
    <s v=""/>
    <b v="0"/>
    <s v=""/>
  </r>
  <r>
    <s v="b5b1a2da-0b8b-4aa1-bbad-ac697e9c48f2"/>
    <s v="2025-01-16"/>
    <x v="1"/>
    <x v="5"/>
    <n v="16"/>
    <s v="20:21"/>
    <n v="2515"/>
    <x v="0"/>
    <s v="rc_cat_1781955063347_s4sz_1781955063347_9tpp"/>
    <x v="9"/>
    <s v="kbank"/>
    <x v="0"/>
    <s v=""/>
    <m/>
    <s v="Columbia snow shoes"/>
    <m/>
    <s v="import"/>
    <s v=""/>
    <b v="0"/>
    <s v=""/>
  </r>
  <r>
    <s v="4b5292e5-2df8-49d7-8b76-5a6d0e6efe04"/>
    <s v="2025-01-12"/>
    <x v="1"/>
    <x v="5"/>
    <n v="12"/>
    <s v="20:20"/>
    <n v="2100"/>
    <x v="0"/>
    <s v="rc_cat_1781955063347_anhy_1781955063348_k5l1"/>
    <x v="16"/>
    <s v="kbank"/>
    <x v="0"/>
    <s v=""/>
    <m/>
    <s v="Monday bruce"/>
    <m/>
    <s v="import"/>
    <s v=""/>
    <b v="0"/>
    <s v=""/>
  </r>
  <r>
    <s v="adc8d9bf-18e0-4a71-bd5c-4d18354f5719"/>
    <s v="2025-01-10"/>
    <x v="1"/>
    <x v="5"/>
    <n v="10"/>
    <s v="15:08"/>
    <n v="60"/>
    <x v="0"/>
    <s v="rc_cat_1781955063347_5qjb_1781955063347_tezk"/>
    <x v="5"/>
    <s v="kbank"/>
    <x v="0"/>
    <s v=""/>
    <m/>
    <s v="-"/>
    <m/>
    <s v="import"/>
    <s v=""/>
    <b v="0"/>
    <s v=""/>
  </r>
  <r>
    <s v="6655bc4b-b733-47db-aee0-810481be780a"/>
    <s v="2025-01-10"/>
    <x v="1"/>
    <x v="5"/>
    <n v="10"/>
    <s v="20:06"/>
    <n v="2890"/>
    <x v="1"/>
    <s v="other"/>
    <x v="1"/>
    <s v="kbank"/>
    <x v="0"/>
    <s v="rc_acc_1781955063347_hv85"/>
    <s v="HOMEPRO"/>
    <s v="-"/>
    <m/>
    <s v="import"/>
    <s v=""/>
    <b v="0"/>
    <s v=""/>
  </r>
  <r>
    <s v="7854b15c-fea5-4d3b-8e5c-0bf5005a461d"/>
    <s v="2025-01-10"/>
    <x v="1"/>
    <x v="5"/>
    <n v="10"/>
    <s v="20:53"/>
    <n v="2890"/>
    <x v="0"/>
    <s v="entertain_1781955063348_kx2f"/>
    <x v="0"/>
    <s v="rc_acc_1781955063347_hv85"/>
    <x v="5"/>
    <s v=""/>
    <m/>
    <s v="tablet(4/10)"/>
    <m/>
    <s v="import"/>
    <s v=""/>
    <b v="0"/>
    <s v=""/>
  </r>
  <r>
    <s v="98ddf453-860b-4647-bc9f-e64bc6eae908"/>
    <s v="2025-01-06"/>
    <x v="1"/>
    <x v="5"/>
    <n v="6"/>
    <s v="15:28"/>
    <n v="500"/>
    <x v="0"/>
    <s v="other_1781955063348_27zj"/>
    <x v="0"/>
    <s v="rc_acc_1781955063347_uxz4"/>
    <x v="4"/>
    <s v=""/>
    <m/>
    <s v="-"/>
    <m/>
    <s v="import"/>
    <s v=""/>
    <b v="0"/>
    <s v=""/>
  </r>
  <r>
    <s v="00084c57-b1f8-4bbd-b7fa-5c8ae9001dfe"/>
    <s v="2024-12-31"/>
    <x v="2"/>
    <x v="6"/>
    <n v="31"/>
    <s v="20:07"/>
    <n v="2716"/>
    <x v="0"/>
    <s v="rc_cat_1781955063347_5qjb_1781955063347_tezk"/>
    <x v="5"/>
    <s v="kbank"/>
    <x v="0"/>
    <s v=""/>
    <m/>
    <s v="-"/>
    <m/>
    <s v="import"/>
    <s v=""/>
    <b v="0"/>
    <s v=""/>
  </r>
  <r>
    <s v="4f8d7f14-e025-477b-9842-b6750302e926"/>
    <s v="2024-12-31"/>
    <x v="2"/>
    <x v="6"/>
    <n v="31"/>
    <s v="20:15"/>
    <n v="766"/>
    <x v="0"/>
    <s v="entertain_1781955063348_32wr"/>
    <x v="23"/>
    <s v="kbank"/>
    <x v="0"/>
    <s v=""/>
    <m/>
    <s v="-"/>
    <m/>
    <s v="import"/>
    <s v=""/>
    <b v="0"/>
    <s v=""/>
  </r>
  <r>
    <s v="a547009f-0acf-4535-bd12-158587084439"/>
    <s v="2024-12-31"/>
    <x v="2"/>
    <x v="6"/>
    <n v="31"/>
    <s v="20:17"/>
    <n v="335"/>
    <x v="0"/>
    <s v="rc_cat_1781955063347_s4sz_1781955063360_d7jr"/>
    <x v="0"/>
    <s v="kbank"/>
    <x v="0"/>
    <s v=""/>
    <m/>
    <s v="แปรงไฟฟ้า"/>
    <m/>
    <s v="import"/>
    <s v=""/>
    <b v="0"/>
    <s v=""/>
  </r>
  <r>
    <s v="40c36f89-d2a4-4290-ad33-c269e1a8e186"/>
    <s v="2024-12-31"/>
    <x v="2"/>
    <x v="6"/>
    <n v="31"/>
    <s v="20:18"/>
    <n v="352"/>
    <x v="0"/>
    <s v="rc_cat_1781955063347_s4sz_1781955063347_9tpp"/>
    <x v="9"/>
    <s v="kbank"/>
    <x v="0"/>
    <s v=""/>
    <m/>
    <s v="เสื้อ h&amp;m"/>
    <m/>
    <s v="import"/>
    <s v=""/>
    <b v="0"/>
    <s v=""/>
  </r>
  <r>
    <s v="98e4dabc-53ae-4873-9d9f-9dc1b68298cd"/>
    <s v="2024-12-30"/>
    <x v="2"/>
    <x v="6"/>
    <n v="30"/>
    <s v="20:05"/>
    <n v="38"/>
    <x v="0"/>
    <s v="entertain_1781955063348_kx2f"/>
    <x v="0"/>
    <s v="kbank"/>
    <x v="0"/>
    <s v=""/>
    <m/>
    <s v="-"/>
    <m/>
    <s v="import"/>
    <s v=""/>
    <b v="0"/>
    <s v=""/>
  </r>
  <r>
    <s v="fbc3c514-e4ff-4d0c-8e83-adbd8ac4cd8a"/>
    <s v="2024-12-28"/>
    <x v="2"/>
    <x v="6"/>
    <n v="28"/>
    <s v="20:04"/>
    <n v="30"/>
    <x v="0"/>
    <s v="rc_cat_1781955063347_5qjb_1781955063347_tezk"/>
    <x v="5"/>
    <s v="kbank"/>
    <x v="0"/>
    <s v=""/>
    <m/>
    <s v="-"/>
    <m/>
    <s v="import"/>
    <s v=""/>
    <b v="0"/>
    <s v=""/>
  </r>
  <r>
    <s v="d37e4e3c-bce1-45f6-88dd-29f86f9144a4"/>
    <s v="2024-12-27"/>
    <x v="2"/>
    <x v="6"/>
    <n v="27"/>
    <s v="10:18"/>
    <n v="11266.62"/>
    <x v="2"/>
    <s v="income_1781955063351_3ab8"/>
    <x v="22"/>
    <s v="rc_acc_1781955063348_hnxg"/>
    <x v="9"/>
    <s v=""/>
    <m/>
    <s v="-"/>
    <m/>
    <s v="import"/>
    <s v=""/>
    <b v="0"/>
    <s v=""/>
  </r>
  <r>
    <s v="ce6190b0-7e60-486a-aca6-ecddd5bd266a"/>
    <s v="2024-12-27"/>
    <x v="2"/>
    <x v="6"/>
    <n v="27"/>
    <s v="15:30"/>
    <n v="601"/>
    <x v="1"/>
    <s v="other"/>
    <x v="1"/>
    <s v="rc_acc_1781955063348_no9r"/>
    <x v="7"/>
    <s v="rc_acc_1781955063347_uxz4"/>
    <s v="SCB"/>
    <s v="-"/>
    <m/>
    <s v="import"/>
    <s v=""/>
    <b v="0"/>
    <s v=""/>
  </r>
  <r>
    <s v="529b66be-4b4f-4333-88ed-e1317a690a0d"/>
    <s v="2024-12-27"/>
    <x v="2"/>
    <x v="6"/>
    <n v="27"/>
    <s v="20:03"/>
    <n v="200"/>
    <x v="0"/>
    <s v="entertain_1781955063348_kx2f"/>
    <x v="0"/>
    <s v="kbank"/>
    <x v="0"/>
    <s v=""/>
    <m/>
    <s v="-"/>
    <m/>
    <s v="import"/>
    <s v=""/>
    <b v="0"/>
    <s v=""/>
  </r>
  <r>
    <s v="45fec448-5f63-4ec1-97fd-40abf408e961"/>
    <s v="2024-12-26"/>
    <x v="2"/>
    <x v="6"/>
    <n v="26"/>
    <s v="10:12"/>
    <n v="10000"/>
    <x v="1"/>
    <s v="other"/>
    <x v="1"/>
    <s v="kbank"/>
    <x v="0"/>
    <s v="rc_acc_1781955063358_cs4m"/>
    <s v="JPY cash"/>
    <s v="เงินสด JPY"/>
    <m/>
    <s v="import"/>
    <s v=""/>
    <b v="0"/>
    <s v=""/>
  </r>
  <r>
    <s v="35880683-6ba2-483c-9480-505121b9fb7f"/>
    <s v="2024-12-25"/>
    <x v="2"/>
    <x v="6"/>
    <n v="25"/>
    <s v="00:00"/>
    <n v="220.5"/>
    <x v="0"/>
    <s v="rc_cat_1781955063347_04qb_1781955063347_lu9b"/>
    <x v="20"/>
    <s v="kbank"/>
    <x v="0"/>
    <s v=""/>
    <m/>
    <s v="-"/>
    <m/>
    <s v="import"/>
    <s v=""/>
    <b v="0"/>
    <s v=""/>
  </r>
  <r>
    <s v="c27e2fbc-8168-49c4-ad70-6d7d89889dbc"/>
    <s v="2024-12-25"/>
    <x v="2"/>
    <x v="6"/>
    <n v="25"/>
    <s v="00:00"/>
    <n v="3197"/>
    <x v="0"/>
    <s v="rc_cat_1781955063347_04qb_1781955063347_kgnn"/>
    <x v="13"/>
    <s v="kbank"/>
    <x v="0"/>
    <s v=""/>
    <m/>
    <s v="-"/>
    <m/>
    <s v="import"/>
    <s v=""/>
    <b v="0"/>
    <s v=""/>
  </r>
  <r>
    <s v="cbfa0b83-c11e-4b98-85d4-3c47c510f4a7"/>
    <s v="2024-12-25"/>
    <x v="2"/>
    <x v="6"/>
    <n v="25"/>
    <s v="00:00"/>
    <n v="9165"/>
    <x v="1"/>
    <s v="other"/>
    <x v="1"/>
    <s v="kbank"/>
    <x v="0"/>
    <s v="rc_acc_1781955063347_bwow"/>
    <s v="Home chomthong Loan"/>
    <s v="-"/>
    <m/>
    <s v="import"/>
    <s v=""/>
    <b v="0"/>
    <s v=""/>
  </r>
  <r>
    <s v="83cef1e5-dadb-43fa-aefa-b9ec7757805f"/>
    <s v="2024-12-25"/>
    <x v="2"/>
    <x v="6"/>
    <n v="25"/>
    <s v="00:00"/>
    <n v="9240"/>
    <x v="1"/>
    <s v="other"/>
    <x v="1"/>
    <s v="kbank"/>
    <x v="0"/>
    <s v="rc_acc_1781955063347_mzbn"/>
    <s v="Car Loan"/>
    <s v="-"/>
    <m/>
    <s v="import"/>
    <s v=""/>
    <b v="0"/>
    <s v=""/>
  </r>
  <r>
    <s v="6b05405e-7abe-4bf8-ad12-2f8d3b07f647"/>
    <s v="2024-12-25"/>
    <x v="2"/>
    <x v="6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5e5b2c2f-d62e-48c3-8234-2da9abbd2d86"/>
    <s v="2024-12-25"/>
    <x v="2"/>
    <x v="6"/>
    <n v="25"/>
    <s v="00:00"/>
    <n v="2744"/>
    <x v="1"/>
    <s v="other"/>
    <x v="1"/>
    <s v="kbank"/>
    <x v="0"/>
    <s v="rc_acc_1781955063347_r9dz"/>
    <s v="Provident Fund"/>
    <s v="-"/>
    <m/>
    <s v="import"/>
    <s v=""/>
    <b v="0"/>
    <s v=""/>
  </r>
  <r>
    <s v="d46bef21-5711-4a7d-85e4-bac87813e653"/>
    <s v="2024-12-25"/>
    <x v="2"/>
    <x v="6"/>
    <n v="25"/>
    <s v="00:00"/>
    <n v="3123.74"/>
    <x v="0"/>
    <s v="rc_cat_1781955063347_04qb_1781955063350_acgf"/>
    <x v="11"/>
    <s v="kbank"/>
    <x v="0"/>
    <s v=""/>
    <m/>
    <s v="-"/>
    <m/>
    <s v="import"/>
    <s v=""/>
    <b v="0"/>
    <s v=""/>
  </r>
  <r>
    <s v="fa37be05-6738-4d7c-9e38-4082431f0685"/>
    <s v="2024-12-25"/>
    <x v="2"/>
    <x v="6"/>
    <n v="25"/>
    <s v="00:00"/>
    <n v="137200"/>
    <x v="2"/>
    <s v="income_1781955063347_5zxt"/>
    <x v="14"/>
    <s v="kbank"/>
    <x v="0"/>
    <s v=""/>
    <m/>
    <s v="-"/>
    <m/>
    <s v="import"/>
    <s v=""/>
    <b v="0"/>
    <s v=""/>
  </r>
  <r>
    <s v="5545c807-c013-4378-82c4-a824f976203d"/>
    <s v="2024-12-24"/>
    <x v="2"/>
    <x v="6"/>
    <n v="24"/>
    <s v="10:11"/>
    <n v="30000"/>
    <x v="1"/>
    <s v="other"/>
    <x v="1"/>
    <s v="kbank"/>
    <x v="0"/>
    <s v="rc_acc_1781955063349_yz2g"/>
    <s v="Investment"/>
    <s v="-"/>
    <m/>
    <s v="import"/>
    <s v=""/>
    <b v="0"/>
    <s v=""/>
  </r>
  <r>
    <s v="297e1c8c-c6c0-41e1-8926-7c5772ccb541"/>
    <s v="2024-12-24"/>
    <x v="2"/>
    <x v="6"/>
    <n v="24"/>
    <s v="10:47"/>
    <n v="461"/>
    <x v="0"/>
    <s v="entertain_1781955063352_1jgx"/>
    <x v="10"/>
    <s v="kbank"/>
    <x v="0"/>
    <s v=""/>
    <m/>
    <s v="trine aeonend playpass"/>
    <m/>
    <s v="import"/>
    <s v=""/>
    <b v="0"/>
    <s v=""/>
  </r>
  <r>
    <s v="1d1a52fc-3146-4c09-b4d9-f7380977607f"/>
    <s v="2024-12-24"/>
    <x v="2"/>
    <x v="6"/>
    <n v="24"/>
    <s v="10:49"/>
    <n v="402"/>
    <x v="0"/>
    <s v="rc_cat_1781955063347_5qjb_1781955063347_tezk"/>
    <x v="5"/>
    <s v="kbank"/>
    <x v="0"/>
    <s v=""/>
    <m/>
    <s v="-"/>
    <m/>
    <s v="import"/>
    <s v=""/>
    <b v="0"/>
    <s v=""/>
  </r>
  <r>
    <s v="b781d4c4-f738-4b0b-b1a3-fb2a3f408263"/>
    <s v="2024-12-24"/>
    <x v="2"/>
    <x v="6"/>
    <n v="24"/>
    <s v="10:49"/>
    <n v="319"/>
    <x v="0"/>
    <s v="rc_cat_1781955063347_anhy_1781955063347_qnaz"/>
    <x v="4"/>
    <s v="kbank"/>
    <x v="0"/>
    <s v=""/>
    <m/>
    <s v="-"/>
    <m/>
    <s v="import"/>
    <s v=""/>
    <b v="0"/>
    <s v=""/>
  </r>
  <r>
    <s v="af6e0b81-bfee-429c-936f-13ae374d1634"/>
    <s v="2024-12-24"/>
    <x v="2"/>
    <x v="6"/>
    <n v="24"/>
    <s v="10:51"/>
    <n v="1102"/>
    <x v="0"/>
    <s v="rc_cat_1781955063347_s4sz_1781955063347_9tpp"/>
    <x v="9"/>
    <s v="kbank"/>
    <x v="0"/>
    <s v=""/>
    <m/>
    <s v="H&amp;M"/>
    <m/>
    <s v="import"/>
    <s v=""/>
    <b v="0"/>
    <s v=""/>
  </r>
  <r>
    <s v="89660da6-1cc2-43cb-baf4-0ebc79428605"/>
    <s v="2024-12-24"/>
    <x v="2"/>
    <x v="6"/>
    <n v="24"/>
    <s v="10:57"/>
    <n v="440"/>
    <x v="0"/>
    <s v="rc_cat_1781955063347_anhy_1781955063348_k5l1"/>
    <x v="16"/>
    <s v="kbank"/>
    <x v="0"/>
    <s v=""/>
    <m/>
    <s v="จับของขวัญ กล่องสุ่ม"/>
    <m/>
    <s v="import"/>
    <s v=""/>
    <b v="0"/>
    <s v=""/>
  </r>
  <r>
    <s v="d50db02d-909b-4aef-a723-56e8dc368f93"/>
    <s v="2024-12-22"/>
    <x v="2"/>
    <x v="6"/>
    <n v="22"/>
    <s v="10:49"/>
    <n v="10000"/>
    <x v="0"/>
    <s v="rc_cat_1781955063347_anhy_1781955063347_qnaz"/>
    <x v="4"/>
    <s v="rc_acc_1781955063347_uxz4"/>
    <x v="4"/>
    <s v=""/>
    <m/>
    <s v="เงินเดือน ธค มค"/>
    <m/>
    <s v="import"/>
    <s v=""/>
    <b v="0"/>
    <s v=""/>
  </r>
  <r>
    <s v="6e16a11f-44f2-40b2-a9d6-f87bbd91523b"/>
    <s v="2024-12-22"/>
    <x v="2"/>
    <x v="6"/>
    <n v="22"/>
    <s v="10:50"/>
    <n v="5000"/>
    <x v="0"/>
    <s v="rc_cat_1781955063347_anhy_1781955063347_qnaz"/>
    <x v="4"/>
    <s v="rc_acc_1781955063347_uxz4"/>
    <x v="4"/>
    <s v=""/>
    <m/>
    <s v="ทำบุญบ้าน"/>
    <m/>
    <s v="import"/>
    <s v=""/>
    <b v="0"/>
    <s v=""/>
  </r>
  <r>
    <s v="e8cd53fd-b446-43fd-a8c4-a5a4f6f1b436"/>
    <s v="2024-12-21"/>
    <x v="2"/>
    <x v="6"/>
    <n v="21"/>
    <s v="11:00"/>
    <n v="455"/>
    <x v="0"/>
    <s v="rc_cat_1781955063347_5qjb_1781955063347_tezk"/>
    <x v="5"/>
    <s v="kbank"/>
    <x v="0"/>
    <s v=""/>
    <m/>
    <s v="-"/>
    <m/>
    <s v="import"/>
    <s v=""/>
    <b v="0"/>
    <s v=""/>
  </r>
  <r>
    <s v="47354885-3d1f-4df3-bfcd-295e199d0c4d"/>
    <s v="2024-12-21"/>
    <x v="2"/>
    <x v="6"/>
    <n v="21"/>
    <s v="11:04"/>
    <n v="276.75"/>
    <x v="0"/>
    <s v="rc_cat_1781955063347_5qjb_1781955063347_tezk"/>
    <x v="5"/>
    <s v="kbank"/>
    <x v="0"/>
    <s v=""/>
    <m/>
    <s v="swensens"/>
    <m/>
    <s v="import"/>
    <s v=""/>
    <b v="0"/>
    <s v=""/>
  </r>
  <r>
    <s v="183e3ac3-7334-4f68-b86e-e58e4380c71d"/>
    <s v="2024-12-20"/>
    <x v="2"/>
    <x v="6"/>
    <n v="20"/>
    <s v="10:58"/>
    <n v="376.36"/>
    <x v="2"/>
    <s v="income_1781955063351_3ab8"/>
    <x v="22"/>
    <s v="kbank"/>
    <x v="0"/>
    <s v=""/>
    <m/>
    <s v="-"/>
    <m/>
    <s v="import"/>
    <s v=""/>
    <b v="0"/>
    <s v=""/>
  </r>
  <r>
    <s v="1a45b3d9-777e-4c75-b0b8-3eed433a8d6a"/>
    <s v="2024-12-19"/>
    <x v="2"/>
    <x v="6"/>
    <n v="19"/>
    <s v="11:01"/>
    <n v="2152"/>
    <x v="0"/>
    <s v="rc_cat_1781955063347_anhy_1781955063348_k5l1"/>
    <x v="16"/>
    <s v="kbank"/>
    <x v="0"/>
    <s v=""/>
    <m/>
    <s v="-"/>
    <m/>
    <s v="import"/>
    <s v=""/>
    <b v="0"/>
    <s v=""/>
  </r>
  <r>
    <s v="bdf94563-ef13-4b66-8752-bd63dfbf2ae4"/>
    <s v="2024-12-12"/>
    <x v="2"/>
    <x v="6"/>
    <n v="12"/>
    <s v="11:05"/>
    <n v="200"/>
    <x v="0"/>
    <s v="rc_cat_1781955063347_5qjb_1781955063347_tezk"/>
    <x v="5"/>
    <s v="kbank"/>
    <x v="0"/>
    <s v=""/>
    <m/>
    <s v="-"/>
    <m/>
    <s v="import"/>
    <s v=""/>
    <b v="0"/>
    <s v=""/>
  </r>
  <r>
    <s v="caadd911-2159-40f0-9c35-c561b2aa4a58"/>
    <s v="2024-12-10"/>
    <x v="2"/>
    <x v="6"/>
    <n v="10"/>
    <s v="11:01"/>
    <n v="2890"/>
    <x v="1"/>
    <s v="other"/>
    <x v="1"/>
    <s v="kbank"/>
    <x v="0"/>
    <s v="rc_acc_1781955063347_hv85"/>
    <s v="HOMEPRO"/>
    <s v="-"/>
    <m/>
    <s v="import"/>
    <s v=""/>
    <b v="0"/>
    <s v=""/>
  </r>
  <r>
    <s v="15fda78d-533c-45e2-964a-291b5ebaaa59"/>
    <s v="2024-12-10"/>
    <x v="2"/>
    <x v="6"/>
    <n v="10"/>
    <s v="20:53"/>
    <n v="2890"/>
    <x v="0"/>
    <s v="entertain_1781955063348_kx2f"/>
    <x v="0"/>
    <s v="rc_acc_1781955063347_hv85"/>
    <x v="5"/>
    <s v=""/>
    <m/>
    <s v="tablet(3/10)"/>
    <m/>
    <s v="import"/>
    <s v=""/>
    <b v="0"/>
    <s v=""/>
  </r>
  <r>
    <s v="c6e77d2b-1773-44ca-af54-4be0aa2dca45"/>
    <s v="2024-12-07"/>
    <x v="2"/>
    <x v="6"/>
    <n v="7"/>
    <s v="11:03"/>
    <n v="1395"/>
    <x v="0"/>
    <s v="entertain_1781955063349_gok1"/>
    <x v="18"/>
    <s v="kbank"/>
    <x v="0"/>
    <s v=""/>
    <m/>
    <s v="เขาใหญ่ ชาหน้าผา 695 คูปอง 600"/>
    <m/>
    <s v="import"/>
    <s v=""/>
    <b v="0"/>
    <s v=""/>
  </r>
  <r>
    <s v="7c471856-a2ed-48fa-b1f0-33c834118ad4"/>
    <s v="2024-12-06"/>
    <x v="2"/>
    <x v="6"/>
    <n v="6"/>
    <s v="11:05"/>
    <n v="60"/>
    <x v="0"/>
    <s v="rc_cat_1781955063347_5qjb_1781955063347_tezk"/>
    <x v="5"/>
    <s v="kbank"/>
    <x v="0"/>
    <s v=""/>
    <m/>
    <s v="-"/>
    <m/>
    <s v="import"/>
    <s v=""/>
    <b v="0"/>
    <s v=""/>
  </r>
  <r>
    <s v="947f4d2a-63e9-426e-b34b-85f20acdac08"/>
    <s v="2024-12-05"/>
    <x v="2"/>
    <x v="6"/>
    <n v="5"/>
    <s v="20:36"/>
    <n v="7209.5"/>
    <x v="0"/>
    <s v="rc_cat_1781955063347_04qb_1781955063347_wt5p"/>
    <x v="3"/>
    <s v="kbank"/>
    <x v="0"/>
    <s v=""/>
    <m/>
    <s v="-"/>
    <m/>
    <s v="import"/>
    <s v=""/>
    <b v="0"/>
    <s v=""/>
  </r>
  <r>
    <s v="b0e57b00-0c5f-453e-914a-80671355a2ee"/>
    <s v="2024-12-05"/>
    <x v="2"/>
    <x v="6"/>
    <n v="5"/>
    <s v="20:36"/>
    <n v="19000"/>
    <x v="0"/>
    <s v="rc_cat_1781955063347_anhy_1781955063350_fcpb"/>
    <x v="2"/>
    <s v="kbank"/>
    <x v="0"/>
    <s v=""/>
    <m/>
    <s v="-"/>
    <m/>
    <s v="import"/>
    <s v=""/>
    <b v="0"/>
    <s v=""/>
  </r>
  <r>
    <s v="b7d61610-a855-4827-b180-3f75b85fdec5"/>
    <s v="2024-12-05"/>
    <x v="2"/>
    <x v="6"/>
    <n v="5"/>
    <s v="20:36"/>
    <n v="15000"/>
    <x v="0"/>
    <s v="rc_cat_1781955063347_anhy_1781955063350_fcpb"/>
    <x v="2"/>
    <s v="kbank"/>
    <x v="0"/>
    <s v=""/>
    <m/>
    <s v="ส่วนกลางคอนโด"/>
    <m/>
    <s v="import"/>
    <s v=""/>
    <b v="0"/>
    <s v=""/>
  </r>
  <r>
    <s v="f7b487b6-7e0a-4fd2-9e2d-d383ca54e594"/>
    <s v="2024-12-05"/>
    <x v="2"/>
    <x v="6"/>
    <n v="5"/>
    <s v="20:37"/>
    <n v="732"/>
    <x v="1"/>
    <s v="other"/>
    <x v="1"/>
    <s v="advance"/>
    <x v="2"/>
    <s v="rc_acc_1781955063347_uxz4"/>
    <s v="SCB"/>
    <s v="-"/>
    <m/>
    <s v="import"/>
    <s v=""/>
    <b v="0"/>
    <s v=""/>
  </r>
  <r>
    <s v="745f824e-e178-451f-8fd0-3131bc7fa320"/>
    <s v="2024-12-02"/>
    <x v="2"/>
    <x v="6"/>
    <n v="2"/>
    <s v="20:39"/>
    <n v="30000"/>
    <x v="1"/>
    <s v="other"/>
    <x v="1"/>
    <s v="kbank"/>
    <x v="0"/>
    <s v="rc_acc_1781955063349_yz2g"/>
    <s v="Investment"/>
    <s v="-"/>
    <m/>
    <s v="import"/>
    <s v=""/>
    <b v="0"/>
    <s v=""/>
  </r>
  <r>
    <s v="79cc2cda-0cfb-438b-8552-e32a9c09d5a5"/>
    <s v="2024-12-01"/>
    <x v="2"/>
    <x v="6"/>
    <n v="1"/>
    <s v="14:54"/>
    <n v="27.01"/>
    <x v="0"/>
    <s v="other_1781955063347_5s7r"/>
    <x v="15"/>
    <s v="rc_acc_1781955063348_obza"/>
    <x v="8"/>
    <s v=""/>
    <m/>
    <s v="Difference"/>
    <m/>
    <s v="import"/>
    <s v=""/>
    <b v="0"/>
    <s v=""/>
  </r>
  <r>
    <s v="82ff6ff7-e541-4f3d-a247-f4f2c6a78b66"/>
    <s v="2024-12-01"/>
    <x v="2"/>
    <x v="6"/>
    <n v="1"/>
    <s v="14:56"/>
    <n v="7590"/>
    <x v="1"/>
    <s v="other"/>
    <x v="1"/>
    <s v="advance"/>
    <x v="2"/>
    <s v="kbank"/>
    <s v="KBank"/>
    <s v="-"/>
    <m/>
    <s v="import"/>
    <s v=""/>
    <b v="0"/>
    <s v=""/>
  </r>
  <r>
    <s v="e27241ca-8008-4643-baa9-5a546ca16127"/>
    <s v="2024-12-01"/>
    <x v="2"/>
    <x v="6"/>
    <n v="1"/>
    <s v="15:25"/>
    <n v="138401.53"/>
    <x v="0"/>
    <s v="other_1781955063347_5s7r"/>
    <x v="15"/>
    <s v="rc_acc_1781955063358_d7gc"/>
    <x v="10"/>
    <s v=""/>
    <m/>
    <s v="Difference"/>
    <m/>
    <s v="import"/>
    <s v=""/>
    <b v="0"/>
    <s v=""/>
  </r>
  <r>
    <s v="9c609c4c-9757-4a69-a49c-08c7822c3e47"/>
    <s v="2024-12-01"/>
    <x v="2"/>
    <x v="6"/>
    <n v="1"/>
    <s v="16:01"/>
    <n v="131"/>
    <x v="2"/>
    <s v="other_1781955063347_5s7r"/>
    <x v="15"/>
    <s v="rc_acc_1781955063347_sv7p"/>
    <x v="12"/>
    <s v=""/>
    <m/>
    <s v="Difference"/>
    <m/>
    <s v="import"/>
    <s v=""/>
    <b v="0"/>
    <s v=""/>
  </r>
  <r>
    <s v="568f0538-58be-4aa5-bb50-6e343acc2141"/>
    <s v="2024-12-01"/>
    <x v="2"/>
    <x v="6"/>
    <n v="1"/>
    <s v="16:02"/>
    <n v="1430"/>
    <x v="2"/>
    <s v="other_1781955063347_5s7r"/>
    <x v="15"/>
    <s v="rc_acc_1781955063347_tvnx"/>
    <x v="13"/>
    <s v=""/>
    <m/>
    <s v="Difference"/>
    <m/>
    <s v="import"/>
    <s v=""/>
    <b v="0"/>
    <s v=""/>
  </r>
  <r>
    <s v="2866f551-e51c-48e7-9265-b48fadb50a03"/>
    <s v="2024-12-01"/>
    <x v="2"/>
    <x v="6"/>
    <n v="1"/>
    <s v="16:02"/>
    <n v="100"/>
    <x v="2"/>
    <s v="other_1781955063347_5s7r"/>
    <x v="15"/>
    <s v="rc_acc_1781955063348_bs00"/>
    <x v="14"/>
    <s v=""/>
    <m/>
    <s v="Difference"/>
    <m/>
    <s v="import"/>
    <s v=""/>
    <b v="0"/>
    <s v=""/>
  </r>
  <r>
    <s v="174b530d-3567-4004-a65e-ed59a8728c21"/>
    <s v="2024-12-01"/>
    <x v="2"/>
    <x v="6"/>
    <n v="1"/>
    <s v="16:02"/>
    <n v="1430"/>
    <x v="2"/>
    <s v="other_1781955063347_5s7r"/>
    <x v="15"/>
    <s v="rc_acc_1781955063358_dohc"/>
    <x v="15"/>
    <s v=""/>
    <m/>
    <s v="Difference"/>
    <m/>
    <s v="import"/>
    <s v=""/>
    <b v="0"/>
    <s v=""/>
  </r>
  <r>
    <s v="96f41cbe-b87f-49c5-b8ef-e959d8f0a959"/>
    <s v="2024-11-30"/>
    <x v="2"/>
    <x v="7"/>
    <n v="30"/>
    <s v="14:43"/>
    <n v="399"/>
    <x v="0"/>
    <s v="entertain_1781955063359_cf7f"/>
    <x v="7"/>
    <s v="kbank"/>
    <x v="0"/>
    <s v=""/>
    <m/>
    <s v="-"/>
    <m/>
    <s v="import"/>
    <s v=""/>
    <b v="0"/>
    <s v=""/>
  </r>
  <r>
    <s v="55ba30c9-750c-456e-ac8f-95fc180fe4df"/>
    <s v="2024-11-30"/>
    <x v="2"/>
    <x v="7"/>
    <n v="30"/>
    <s v="15:59"/>
    <n v="3044"/>
    <x v="0"/>
    <s v="rc_cat_1781955063347_5qjb_1781955063347_tezk"/>
    <x v="5"/>
    <s v="kbank"/>
    <x v="0"/>
    <s v=""/>
    <m/>
    <s v="-"/>
    <m/>
    <s v="import"/>
    <s v=""/>
    <b v="0"/>
    <s v=""/>
  </r>
  <r>
    <s v="569ce67b-38ae-4bd9-975f-2a48deef19e3"/>
    <s v="2024-11-26"/>
    <x v="2"/>
    <x v="7"/>
    <n v="26"/>
    <s v="00:00"/>
    <n v="30000"/>
    <x v="1"/>
    <s v="other"/>
    <x v="1"/>
    <s v="kbank"/>
    <x v="0"/>
    <s v="rc_acc_1781955063349_yz2g"/>
    <s v="Investment"/>
    <s v="-"/>
    <m/>
    <s v="import"/>
    <s v=""/>
    <b v="0"/>
    <s v=""/>
  </r>
  <r>
    <s v="5a0157aa-c35b-4004-b75c-186210e93fea"/>
    <s v="2024-11-25"/>
    <x v="2"/>
    <x v="7"/>
    <n v="25"/>
    <s v="00:00"/>
    <n v="236.28"/>
    <x v="0"/>
    <s v="rc_cat_1781955063347_04qb_1781955063347_lu9b"/>
    <x v="20"/>
    <s v="kbank"/>
    <x v="0"/>
    <s v=""/>
    <m/>
    <s v="-"/>
    <m/>
    <s v="import"/>
    <s v=""/>
    <b v="0"/>
    <s v=""/>
  </r>
  <r>
    <s v="188c69a1-aac0-4bce-b740-9f1d7a05cbc0"/>
    <s v="2024-11-25"/>
    <x v="2"/>
    <x v="7"/>
    <n v="25"/>
    <s v="00:00"/>
    <n v="3213.15"/>
    <x v="0"/>
    <s v="rc_cat_1781955063347_04qb_1781955063347_kgnn"/>
    <x v="13"/>
    <s v="kbank"/>
    <x v="0"/>
    <s v=""/>
    <m/>
    <s v="-"/>
    <m/>
    <s v="import"/>
    <s v=""/>
    <b v="0"/>
    <s v=""/>
  </r>
  <r>
    <s v="9d7265bb-f4f4-4c6a-9131-5f7ff0c18aa4"/>
    <s v="2024-11-25"/>
    <x v="2"/>
    <x v="7"/>
    <n v="25"/>
    <s v="00:00"/>
    <n v="9165"/>
    <x v="1"/>
    <s v="other"/>
    <x v="1"/>
    <s v="kbank"/>
    <x v="0"/>
    <s v="rc_acc_1781955063347_bwow"/>
    <s v="Home chomthong Loan"/>
    <s v="-"/>
    <m/>
    <s v="import"/>
    <s v=""/>
    <b v="0"/>
    <s v=""/>
  </r>
  <r>
    <s v="bcdf91e6-af28-4f5e-8877-35f1f3b814bb"/>
    <s v="2024-11-25"/>
    <x v="2"/>
    <x v="7"/>
    <n v="25"/>
    <s v="00:00"/>
    <n v="9240"/>
    <x v="1"/>
    <s v="other"/>
    <x v="1"/>
    <s v="kbank"/>
    <x v="0"/>
    <s v="rc_acc_1781955063347_mzbn"/>
    <s v="Car Loan"/>
    <s v="-"/>
    <m/>
    <s v="import"/>
    <s v=""/>
    <b v="0"/>
    <s v=""/>
  </r>
  <r>
    <s v="5f52a83e-e00c-443d-8d07-bd6f5f09638f"/>
    <s v="2024-11-25"/>
    <x v="2"/>
    <x v="7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32391760-4089-4db9-ab56-9619bbd292e0"/>
    <s v="2024-11-25"/>
    <x v="2"/>
    <x v="7"/>
    <n v="25"/>
    <s v="00:00"/>
    <n v="2744"/>
    <x v="1"/>
    <s v="other"/>
    <x v="1"/>
    <s v="kbank"/>
    <x v="0"/>
    <s v="rc_acc_1781955063347_r9dz"/>
    <s v="Provident Fund"/>
    <s v="-"/>
    <m/>
    <s v="import"/>
    <s v=""/>
    <b v="0"/>
    <s v=""/>
  </r>
  <r>
    <s v="6a011040-352f-4eb5-990e-158b4d38bb15"/>
    <s v="2024-11-25"/>
    <x v="2"/>
    <x v="7"/>
    <n v="25"/>
    <s v="00:00"/>
    <n v="3123.74"/>
    <x v="0"/>
    <s v="rc_cat_1781955063347_04qb_1781955063350_acgf"/>
    <x v="11"/>
    <s v="kbank"/>
    <x v="0"/>
    <s v=""/>
    <m/>
    <s v="-"/>
    <m/>
    <s v="import"/>
    <s v=""/>
    <b v="0"/>
    <s v=""/>
  </r>
  <r>
    <s v="258dd5f8-6f30-4e3f-9607-e1d7da8e8ad5"/>
    <s v="2024-11-25"/>
    <x v="2"/>
    <x v="7"/>
    <n v="25"/>
    <s v="00:00"/>
    <n v="137200"/>
    <x v="2"/>
    <s v="income_1781955063347_5zxt"/>
    <x v="14"/>
    <s v="kbank"/>
    <x v="0"/>
    <s v=""/>
    <m/>
    <s v="-"/>
    <m/>
    <s v="import"/>
    <s v=""/>
    <b v="0"/>
    <s v=""/>
  </r>
  <r>
    <s v="7b221ef2-4d97-4434-9e80-074be1ad1cbb"/>
    <s v="2024-11-23"/>
    <x v="2"/>
    <x v="7"/>
    <n v="23"/>
    <s v="09:59"/>
    <n v="2320"/>
    <x v="1"/>
    <s v="other"/>
    <x v="1"/>
    <s v="kbank"/>
    <x v="0"/>
    <s v="advance"/>
    <s v="Advance Paid"/>
    <s v="-"/>
    <m/>
    <s v="import"/>
    <s v=""/>
    <b v="0"/>
    <s v=""/>
  </r>
  <r>
    <s v="5ed74143-617f-49c5-a24b-9267fa97be33"/>
    <s v="2024-11-23"/>
    <x v="2"/>
    <x v="7"/>
    <n v="23"/>
    <s v="09:59"/>
    <n v="1600"/>
    <x v="0"/>
    <s v="rc_cat_1781955063347_anhy_1781955063348_k5l1"/>
    <x v="16"/>
    <s v="kbank"/>
    <x v="0"/>
    <s v=""/>
    <m/>
    <s v="-"/>
    <m/>
    <s v="import"/>
    <s v=""/>
    <b v="0"/>
    <s v=""/>
  </r>
  <r>
    <s v="a263838a-2e65-440e-a036-5e008444c1d8"/>
    <s v="2024-11-23"/>
    <x v="2"/>
    <x v="7"/>
    <n v="23"/>
    <s v="10:00"/>
    <n v="600"/>
    <x v="0"/>
    <s v="rc_cat_1781955063347_5qjb_1781955063347_tezk"/>
    <x v="5"/>
    <s v="kbank"/>
    <x v="0"/>
    <s v=""/>
    <m/>
    <s v="-"/>
    <m/>
    <s v="import"/>
    <s v=""/>
    <b v="0"/>
    <s v=""/>
  </r>
  <r>
    <s v="b8fcd497-c8ad-490e-bb0d-f935ea154c17"/>
    <s v="2024-11-23"/>
    <x v="2"/>
    <x v="7"/>
    <n v="23"/>
    <s v="10:17"/>
    <n v="956"/>
    <x v="0"/>
    <s v="rc_cat_1781955063347_5qjb_1781955063347_tezk"/>
    <x v="5"/>
    <s v="kbank"/>
    <x v="0"/>
    <s v=""/>
    <m/>
    <s v="-"/>
    <m/>
    <s v="import"/>
    <s v=""/>
    <b v="0"/>
    <s v=""/>
  </r>
  <r>
    <s v="62d58583-155d-4f1d-91d1-d2eeed2c7527"/>
    <s v="2024-11-23"/>
    <x v="2"/>
    <x v="7"/>
    <n v="23"/>
    <s v="10:17"/>
    <n v="330"/>
    <x v="0"/>
    <s v="entertain_1781955063348_gj0i"/>
    <x v="25"/>
    <s v="kbank"/>
    <x v="0"/>
    <s v=""/>
    <m/>
    <s v="-"/>
    <m/>
    <s v="import"/>
    <s v=""/>
    <b v="0"/>
    <s v=""/>
  </r>
  <r>
    <s v="b69d31a9-a1a1-4b17-8684-ab19e2ab9110"/>
    <s v="2024-11-23"/>
    <x v="2"/>
    <x v="7"/>
    <n v="23"/>
    <s v="10:18"/>
    <n v="510"/>
    <x v="0"/>
    <s v="entertain_1781955063348_32wr"/>
    <x v="23"/>
    <s v="kbank"/>
    <x v="0"/>
    <s v=""/>
    <m/>
    <s v="-"/>
    <m/>
    <s v="import"/>
    <s v=""/>
    <b v="0"/>
    <s v=""/>
  </r>
  <r>
    <s v="ef450157-7955-4ca9-90a1-424fa02574e5"/>
    <s v="2024-11-23"/>
    <x v="2"/>
    <x v="7"/>
    <n v="23"/>
    <s v="10:19"/>
    <n v="389"/>
    <x v="0"/>
    <s v="rc_cat_1781955063347_s4sz_1781955063347_9tpp"/>
    <x v="9"/>
    <s v="kbank"/>
    <x v="0"/>
    <s v=""/>
    <m/>
    <s v="-"/>
    <m/>
    <s v="import"/>
    <s v=""/>
    <b v="0"/>
    <s v=""/>
  </r>
  <r>
    <s v="7edca61a-5354-4e3a-afb8-17e32beb5309"/>
    <s v="2024-11-23"/>
    <x v="2"/>
    <x v="7"/>
    <n v="23"/>
    <s v="10:19"/>
    <n v="473"/>
    <x v="0"/>
    <s v="entertain_1781955063359_cf7f"/>
    <x v="7"/>
    <s v="kbank"/>
    <x v="0"/>
    <s v=""/>
    <m/>
    <s v="-"/>
    <m/>
    <s v="import"/>
    <s v=""/>
    <b v="0"/>
    <s v=""/>
  </r>
  <r>
    <s v="17094dab-4b7e-404c-9003-a337faf3a900"/>
    <s v="2024-11-23"/>
    <x v="2"/>
    <x v="7"/>
    <n v="23"/>
    <s v="10:20"/>
    <n v="200"/>
    <x v="0"/>
    <s v="other_1781955063348_27zj"/>
    <x v="0"/>
    <s v="kbank"/>
    <x v="0"/>
    <s v=""/>
    <m/>
    <s v="-"/>
    <m/>
    <s v="import"/>
    <s v=""/>
    <b v="0"/>
    <s v=""/>
  </r>
  <r>
    <s v="e68e1ced-99c0-4a2c-a577-85a4fff81288"/>
    <s v="2024-11-23"/>
    <x v="2"/>
    <x v="7"/>
    <n v="23"/>
    <s v="10:22"/>
    <n v="110"/>
    <x v="1"/>
    <s v="other"/>
    <x v="1"/>
    <s v="kbank"/>
    <x v="0"/>
    <s v="rc_acc_1781955063347_uxz4"/>
    <s v="SCB"/>
    <s v="-"/>
    <m/>
    <s v="import"/>
    <s v=""/>
    <b v="0"/>
    <s v=""/>
  </r>
  <r>
    <s v="928da231-6a1d-48e1-9374-5c9cdcb0a0ce"/>
    <s v="2024-11-23"/>
    <x v="2"/>
    <x v="7"/>
    <n v="23"/>
    <s v="10:23"/>
    <n v="150"/>
    <x v="0"/>
    <s v="rc_cat_1781955063347_5qjb_1781955063347_tezk"/>
    <x v="5"/>
    <s v="kbank"/>
    <x v="0"/>
    <s v=""/>
    <m/>
    <s v="-"/>
    <m/>
    <s v="import"/>
    <s v=""/>
    <b v="0"/>
    <s v=""/>
  </r>
  <r>
    <s v="2dd68a8e-fa12-4384-8f74-351bc27cd956"/>
    <s v="2024-11-23"/>
    <x v="2"/>
    <x v="7"/>
    <n v="23"/>
    <s v="10:24"/>
    <n v="3.03"/>
    <x v="0"/>
    <s v="other_1781955063347_5s7r"/>
    <x v="15"/>
    <s v="kbank"/>
    <x v="0"/>
    <s v=""/>
    <m/>
    <s v="Difference"/>
    <m/>
    <s v="import"/>
    <s v=""/>
    <b v="0"/>
    <s v=""/>
  </r>
  <r>
    <s v="30f01f48-c8e9-4762-accb-2370d76299ca"/>
    <s v="2024-11-23"/>
    <x v="2"/>
    <x v="7"/>
    <n v="23"/>
    <s v="10:24"/>
    <n v="7100"/>
    <x v="1"/>
    <s v="other"/>
    <x v="1"/>
    <s v="rc_acc_1781955063347_e3zv"/>
    <x v="16"/>
    <s v="rc_acc_1781955063347_uxz4"/>
    <s v="SCB"/>
    <s v="-"/>
    <m/>
    <s v="import"/>
    <s v=""/>
    <b v="0"/>
    <s v=""/>
  </r>
  <r>
    <s v="e14dc89d-6038-4c04-98f2-caa5a0cd7458"/>
    <s v="2024-11-22"/>
    <x v="2"/>
    <x v="7"/>
    <n v="22"/>
    <s v="10:21"/>
    <n v="89"/>
    <x v="0"/>
    <s v="rc_cat_1781955063347_5qjb_1781955063347_tezk"/>
    <x v="5"/>
    <s v="kbank"/>
    <x v="0"/>
    <s v=""/>
    <m/>
    <s v="-"/>
    <m/>
    <s v="import"/>
    <s v=""/>
    <b v="0"/>
    <s v=""/>
  </r>
  <r>
    <s v="0ffa797b-c4fb-4b71-8b59-55121563683b"/>
    <s v="2024-11-20"/>
    <x v="2"/>
    <x v="7"/>
    <n v="20"/>
    <s v="10:22"/>
    <n v="150"/>
    <x v="0"/>
    <s v="rc_cat_1781955063347_anhy_1781955063348_k5l1"/>
    <x v="16"/>
    <s v="kbank"/>
    <x v="0"/>
    <s v=""/>
    <m/>
    <s v="-"/>
    <m/>
    <s v="import"/>
    <s v=""/>
    <b v="0"/>
    <s v=""/>
  </r>
  <r>
    <s v="88556133-e51c-45e4-89e0-75cf27ccfada"/>
    <s v="2024-11-17"/>
    <x v="2"/>
    <x v="7"/>
    <n v="17"/>
    <s v="17:44"/>
    <n v="110"/>
    <x v="0"/>
    <s v="rc_cat_1781955063347_anhy_1781955063348_k5l1"/>
    <x v="16"/>
    <s v="kbank"/>
    <x v="0"/>
    <s v=""/>
    <m/>
    <s v="-"/>
    <m/>
    <s v="import"/>
    <s v=""/>
    <b v="0"/>
    <s v=""/>
  </r>
  <r>
    <s v="d2fc5916-ef22-4ee7-955a-0d828727e1a7"/>
    <s v="2024-11-17"/>
    <x v="2"/>
    <x v="7"/>
    <n v="17"/>
    <s v="20:41"/>
    <n v="2890"/>
    <x v="1"/>
    <s v="other"/>
    <x v="1"/>
    <s v="kbank"/>
    <x v="0"/>
    <s v="rc_acc_1781955063347_hv85"/>
    <s v="HOMEPRO"/>
    <s v="samsung"/>
    <m/>
    <s v="import"/>
    <s v=""/>
    <b v="0"/>
    <s v=""/>
  </r>
  <r>
    <s v="2eed2785-43bf-460c-906b-9527b73f83f9"/>
    <s v="2024-11-17"/>
    <x v="2"/>
    <x v="7"/>
    <n v="17"/>
    <s v="20:42"/>
    <n v="289"/>
    <x v="1"/>
    <s v="other"/>
    <x v="1"/>
    <s v="kbank"/>
    <x v="0"/>
    <s v="advance"/>
    <s v="Advance Paid"/>
    <s v="youtube app"/>
    <m/>
    <s v="import"/>
    <s v=""/>
    <b v="0"/>
    <s v=""/>
  </r>
  <r>
    <s v="5cf74426-8a1f-483c-96f4-612db5976db8"/>
    <s v="2024-11-16"/>
    <x v="2"/>
    <x v="7"/>
    <n v="16"/>
    <s v="10:00"/>
    <n v="2500"/>
    <x v="0"/>
    <s v="entertain_1781955063359_cf7f"/>
    <x v="7"/>
    <s v="kbank"/>
    <x v="0"/>
    <s v=""/>
    <m/>
    <s v="-"/>
    <m/>
    <s v="import"/>
    <s v=""/>
    <b v="0"/>
    <s v=""/>
  </r>
  <r>
    <s v="ae048535-ee12-47ed-9221-43c309300138"/>
    <s v="2024-11-11"/>
    <x v="2"/>
    <x v="7"/>
    <n v="11"/>
    <s v="16:15"/>
    <n v="745"/>
    <x v="0"/>
    <s v="entertain_1781955063349_gok1"/>
    <x v="18"/>
    <s v="kbank"/>
    <x v="0"/>
    <s v=""/>
    <m/>
    <s v="-"/>
    <m/>
    <s v="import"/>
    <s v=""/>
    <b v="0"/>
    <s v=""/>
  </r>
  <r>
    <s v="4d6bc44a-c636-4042-9b32-10e6dd7a2fb1"/>
    <s v="2024-11-10"/>
    <x v="2"/>
    <x v="7"/>
    <n v="10"/>
    <s v="13:34"/>
    <n v="500"/>
    <x v="1"/>
    <s v="other"/>
    <x v="1"/>
    <s v="rc_acc_1781955063347_e3zv"/>
    <x v="16"/>
    <s v="rc_acc_1781955063347_uxz4"/>
    <s v="SCB"/>
    <s v="-"/>
    <m/>
    <s v="import"/>
    <s v=""/>
    <b v="0"/>
    <s v=""/>
  </r>
  <r>
    <s v="4652eb3b-b5d8-4b65-98af-d6028d88d578"/>
    <s v="2024-11-10"/>
    <x v="2"/>
    <x v="7"/>
    <n v="10"/>
    <s v="20:53"/>
    <n v="2890"/>
    <x v="0"/>
    <s v="entertain_1781955063348_kx2f"/>
    <x v="0"/>
    <s v="rc_acc_1781955063347_hv85"/>
    <x v="5"/>
    <s v=""/>
    <m/>
    <s v="tablet(2/10)"/>
    <m/>
    <s v="import"/>
    <s v=""/>
    <b v="0"/>
    <s v=""/>
  </r>
  <r>
    <s v="edbbb1e3-3b96-4ca9-a0aa-95e7fac14385"/>
    <s v="2024-11-07"/>
    <x v="2"/>
    <x v="7"/>
    <n v="7"/>
    <s v="13:30"/>
    <n v="14854"/>
    <x v="0"/>
    <s v="rc_cat_1781955063347_04qb_1781955063347_wt5p"/>
    <x v="3"/>
    <s v="kbank"/>
    <x v="0"/>
    <s v=""/>
    <m/>
    <s v="-"/>
    <m/>
    <s v="import"/>
    <s v=""/>
    <b v="0"/>
    <s v=""/>
  </r>
  <r>
    <s v="45015d7f-1f47-41e0-9124-62632838aa60"/>
    <s v="2024-11-07"/>
    <x v="2"/>
    <x v="7"/>
    <n v="7"/>
    <s v="13:30"/>
    <n v="19000"/>
    <x v="0"/>
    <s v="rc_cat_1781955063347_anhy_1781955063350_fcpb"/>
    <x v="2"/>
    <s v="kbank"/>
    <x v="0"/>
    <s v=""/>
    <m/>
    <s v="-"/>
    <m/>
    <s v="import"/>
    <s v=""/>
    <b v="0"/>
    <s v=""/>
  </r>
  <r>
    <s v="754d0d57-fa28-407d-9ef8-1f4917638f37"/>
    <s v="2024-11-05"/>
    <x v="2"/>
    <x v="7"/>
    <n v="5"/>
    <s v="13:36"/>
    <n v="2320"/>
    <x v="1"/>
    <s v="other"/>
    <x v="1"/>
    <s v="advance"/>
    <x v="2"/>
    <s v="rc_acc_1781955063347_uxz4"/>
    <s v="SCB"/>
    <s v="arno's"/>
    <m/>
    <s v="import"/>
    <s v=""/>
    <b v="0"/>
    <s v=""/>
  </r>
  <r>
    <s v="96f4d6e3-c0b5-4b8f-a1a4-255bf45c6887"/>
    <s v="2024-11-02"/>
    <x v="2"/>
    <x v="7"/>
    <n v="2"/>
    <s v="13:28"/>
    <n v="6856.38"/>
    <x v="0"/>
    <s v="entertain_1781955063349_gok1"/>
    <x v="18"/>
    <s v="kbank"/>
    <x v="0"/>
    <s v=""/>
    <m/>
    <s v="-"/>
    <m/>
    <s v="import"/>
    <s v=""/>
    <b v="0"/>
    <s v=""/>
  </r>
  <r>
    <s v="2e4821c7-390a-482a-9730-0982c991683e"/>
    <s v="2024-11-02"/>
    <x v="2"/>
    <x v="7"/>
    <n v="2"/>
    <s v="13:35"/>
    <n v="1724"/>
    <x v="1"/>
    <s v="other"/>
    <x v="1"/>
    <s v="advance"/>
    <x v="2"/>
    <s v="rc_acc_1781955063347_uxz4"/>
    <s v="SCB"/>
    <s v="บาบิก้อน เสวนเซน 2 พย"/>
    <m/>
    <s v="import"/>
    <s v=""/>
    <b v="0"/>
    <s v=""/>
  </r>
  <r>
    <s v="87f3c049-a411-477b-829a-c49cdcbf1023"/>
    <s v="2024-11-02"/>
    <x v="2"/>
    <x v="7"/>
    <n v="2"/>
    <s v="13:38"/>
    <n v="80"/>
    <x v="2"/>
    <s v="income_1781955063347_zblt"/>
    <x v="17"/>
    <s v="rc_acc_1781955063347_uxz4"/>
    <x v="4"/>
    <s v=""/>
    <m/>
    <s v="-"/>
    <m/>
    <s v="import"/>
    <s v=""/>
    <b v="0"/>
    <s v=""/>
  </r>
  <r>
    <s v="c69fc693-d090-4a82-9447-048c964a0c16"/>
    <s v="2024-11-02"/>
    <x v="2"/>
    <x v="7"/>
    <n v="2"/>
    <s v="13:41"/>
    <n v="1224"/>
    <x v="1"/>
    <s v="other"/>
    <x v="1"/>
    <s v="kbank"/>
    <x v="0"/>
    <s v="advance"/>
    <s v="Advance Paid"/>
    <s v="บาบิก้อน"/>
    <m/>
    <s v="import"/>
    <s v=""/>
    <b v="0"/>
    <s v=""/>
  </r>
  <r>
    <s v="1977680b-7fdd-498d-b8e0-12003939d31d"/>
    <s v="2024-10-31"/>
    <x v="2"/>
    <x v="8"/>
    <n v="31"/>
    <s v="13:31"/>
    <n v="19000"/>
    <x v="0"/>
    <s v="rc_cat_1781955063347_anhy_1781955063350_fcpb"/>
    <x v="2"/>
    <s v="kbank"/>
    <x v="0"/>
    <s v=""/>
    <m/>
    <s v="-"/>
    <m/>
    <s v="import"/>
    <s v=""/>
    <b v="0"/>
    <s v=""/>
  </r>
  <r>
    <s v="7a249d55-8e85-4ea7-991e-333a035694e1"/>
    <s v="2024-10-31"/>
    <x v="2"/>
    <x v="8"/>
    <n v="31"/>
    <s v="16:17"/>
    <n v="7590"/>
    <x v="1"/>
    <s v="other"/>
    <x v="1"/>
    <s v="kbank"/>
    <x v="0"/>
    <s v="advance"/>
    <s v="Advance Paid"/>
    <s v="-"/>
    <m/>
    <s v="import"/>
    <s v=""/>
    <b v="0"/>
    <s v=""/>
  </r>
  <r>
    <s v="be6fac51-7cca-4800-b9a6-18e465641b58"/>
    <s v="2024-10-31"/>
    <x v="2"/>
    <x v="8"/>
    <n v="31"/>
    <s v="16:20"/>
    <n v="442"/>
    <x v="1"/>
    <s v="other"/>
    <x v="1"/>
    <s v="rc_acc_1781955063349_yz2g"/>
    <x v="17"/>
    <s v="kbank"/>
    <s v="KBank"/>
    <s v="-"/>
    <m/>
    <s v="import"/>
    <s v=""/>
    <b v="0"/>
    <s v=""/>
  </r>
  <r>
    <s v="6197a5f3-0b53-4a34-a98f-a975a9d4d479"/>
    <s v="2024-10-31"/>
    <x v="2"/>
    <x v="8"/>
    <n v="31"/>
    <s v="20:45"/>
    <n v="4270"/>
    <x v="0"/>
    <s v="rc_cat_1781955063347_5qjb_1781955063347_tezk"/>
    <x v="5"/>
    <s v="kbank"/>
    <x v="0"/>
    <s v=""/>
    <m/>
    <s v="-"/>
    <m/>
    <s v="import"/>
    <s v=""/>
    <b v="0"/>
    <s v=""/>
  </r>
  <r>
    <s v="888d84bf-ace0-4695-b1f4-3e20db25f6cf"/>
    <s v="2024-10-27"/>
    <x v="2"/>
    <x v="8"/>
    <n v="27"/>
    <s v="20:46"/>
    <n v="5000"/>
    <x v="0"/>
    <s v="rc_cat_1781955063347_anhy_1781955063347_qnaz"/>
    <x v="4"/>
    <s v="kbank"/>
    <x v="0"/>
    <s v=""/>
    <m/>
    <s v="-"/>
    <m/>
    <s v="import"/>
    <s v=""/>
    <b v="0"/>
    <s v=""/>
  </r>
  <r>
    <s v="894c857e-8a4d-4166-ba3a-3657c6a6c1e2"/>
    <s v="2024-10-27"/>
    <x v="2"/>
    <x v="8"/>
    <n v="27"/>
    <s v="20:46"/>
    <n v="1078"/>
    <x v="0"/>
    <s v="rc_cat_1781955063347_anhy_1781955063347_qnaz"/>
    <x v="4"/>
    <s v="kbank"/>
    <x v="0"/>
    <s v=""/>
    <m/>
    <s v="เสน่ห์ชาย"/>
    <m/>
    <s v="import"/>
    <s v=""/>
    <b v="0"/>
    <s v=""/>
  </r>
  <r>
    <s v="e2848739-7184-480d-9dcd-9a38d1d5a15b"/>
    <s v="2024-10-26"/>
    <x v="2"/>
    <x v="8"/>
    <n v="26"/>
    <s v="00:00"/>
    <n v="30000"/>
    <x v="1"/>
    <s v="other"/>
    <x v="1"/>
    <s v="kbank"/>
    <x v="0"/>
    <s v="rc_acc_1781955063349_yz2g"/>
    <s v="Investment"/>
    <s v="-"/>
    <m/>
    <s v="import"/>
    <s v=""/>
    <b v="0"/>
    <s v=""/>
  </r>
  <r>
    <s v="50f3e567-1029-4c6d-8106-9889680eacb4"/>
    <s v="2024-10-25"/>
    <x v="2"/>
    <x v="8"/>
    <n v="25"/>
    <s v="00:00"/>
    <n v="3674.16"/>
    <x v="0"/>
    <s v="rc_cat_1781955063347_04qb_1781955063347_kgnn"/>
    <x v="13"/>
    <s v="kbank"/>
    <x v="0"/>
    <s v=""/>
    <m/>
    <s v="-"/>
    <m/>
    <s v="import"/>
    <s v=""/>
    <b v="0"/>
    <s v=""/>
  </r>
  <r>
    <s v="0c1a09d6-4f9a-493c-bfa0-426874044c8e"/>
    <s v="2024-10-25"/>
    <x v="2"/>
    <x v="8"/>
    <n v="25"/>
    <s v="00:00"/>
    <n v="286.83"/>
    <x v="0"/>
    <s v="rc_cat_1781955063347_04qb_1781955063347_lu9b"/>
    <x v="20"/>
    <s v="kbank"/>
    <x v="0"/>
    <s v=""/>
    <m/>
    <s v="-"/>
    <m/>
    <s v="import"/>
    <s v=""/>
    <b v="0"/>
    <s v=""/>
  </r>
  <r>
    <s v="c8a23c26-d0f0-451d-94d0-950097881c08"/>
    <s v="2024-10-25"/>
    <x v="2"/>
    <x v="8"/>
    <n v="25"/>
    <s v="00:00"/>
    <n v="9165"/>
    <x v="1"/>
    <s v="other"/>
    <x v="1"/>
    <s v="kbank"/>
    <x v="0"/>
    <s v="rc_acc_1781955063347_bwow"/>
    <s v="Home chomthong Loan"/>
    <s v="-"/>
    <m/>
    <s v="import"/>
    <s v=""/>
    <b v="0"/>
    <s v=""/>
  </r>
  <r>
    <s v="f7aba151-bd41-4f09-b006-daed94b4f67f"/>
    <s v="2024-10-25"/>
    <x v="2"/>
    <x v="8"/>
    <n v="25"/>
    <s v="00:00"/>
    <n v="2744"/>
    <x v="1"/>
    <s v="other"/>
    <x v="1"/>
    <s v="kbank"/>
    <x v="0"/>
    <s v="rc_acc_1781955063347_r9dz"/>
    <s v="Provident Fund"/>
    <s v="-"/>
    <m/>
    <s v="import"/>
    <s v=""/>
    <b v="0"/>
    <s v=""/>
  </r>
  <r>
    <s v="3ebf10ce-f1a6-45c1-88a1-99b1c8ee6e96"/>
    <s v="2024-10-25"/>
    <x v="2"/>
    <x v="8"/>
    <n v="25"/>
    <s v="00:00"/>
    <n v="3123.74"/>
    <x v="0"/>
    <s v="rc_cat_1781955063347_04qb_1781955063350_acgf"/>
    <x v="11"/>
    <s v="kbank"/>
    <x v="0"/>
    <s v=""/>
    <m/>
    <s v="-"/>
    <m/>
    <s v="import"/>
    <s v=""/>
    <b v="0"/>
    <s v=""/>
  </r>
  <r>
    <s v="360a11f4-e403-4a79-a6c5-558f4c05f493"/>
    <s v="2024-10-25"/>
    <x v="2"/>
    <x v="8"/>
    <n v="25"/>
    <s v="00:00"/>
    <n v="137200"/>
    <x v="2"/>
    <s v="income_1781955063347_5zxt"/>
    <x v="14"/>
    <s v="kbank"/>
    <x v="0"/>
    <s v=""/>
    <m/>
    <s v="-"/>
    <m/>
    <s v="import"/>
    <s v=""/>
    <b v="0"/>
    <s v=""/>
  </r>
  <r>
    <s v="f8a44938-1b27-4110-a580-51f9538a4cb1"/>
    <s v="2024-10-25"/>
    <x v="2"/>
    <x v="8"/>
    <n v="25"/>
    <s v="00:00"/>
    <n v="9240"/>
    <x v="1"/>
    <s v="other"/>
    <x v="1"/>
    <s v="kbank"/>
    <x v="0"/>
    <s v="rc_acc_1781955063347_mzbn"/>
    <s v="Car Loan"/>
    <s v="-"/>
    <m/>
    <s v="import"/>
    <s v=""/>
    <b v="0"/>
    <s v=""/>
  </r>
  <r>
    <s v="1bd8ff4f-55b5-4a1e-9068-8680fe43d35d"/>
    <s v="2024-10-25"/>
    <x v="2"/>
    <x v="8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02e78fd8-51ed-4bbf-9102-b10a8f0d2c8f"/>
    <s v="2024-10-25"/>
    <x v="2"/>
    <x v="8"/>
    <n v="25"/>
    <s v="21:39"/>
    <n v="135"/>
    <x v="0"/>
    <s v="rc_cat_1781955063347_anhy_1781955063347_qnaz"/>
    <x v="4"/>
    <s v="kbank"/>
    <x v="0"/>
    <s v=""/>
    <m/>
    <s v="รักษาเกินสิทธิ"/>
    <m/>
    <s v="import"/>
    <s v=""/>
    <b v="0"/>
    <s v=""/>
  </r>
  <r>
    <s v="fec14d94-b174-4bbe-84d7-bff16b4e3f93"/>
    <s v="2024-10-22"/>
    <x v="2"/>
    <x v="8"/>
    <n v="22"/>
    <s v="16:10"/>
    <n v="421"/>
    <x v="1"/>
    <s v="other"/>
    <x v="1"/>
    <s v="kbank"/>
    <x v="0"/>
    <s v="advance"/>
    <s v="Advance Paid"/>
    <s v="-"/>
    <m/>
    <s v="import"/>
    <s v=""/>
    <b v="0"/>
    <s v=""/>
  </r>
  <r>
    <s v="02db2fb5-5ef1-4d2f-a3e2-8b44ab4c46d4"/>
    <s v="2024-10-22"/>
    <x v="2"/>
    <x v="8"/>
    <n v="22"/>
    <s v="20:47"/>
    <n v="2890"/>
    <x v="1"/>
    <s v="other"/>
    <x v="1"/>
    <s v="kbank"/>
    <x v="0"/>
    <s v="rc_acc_1781955063347_hv85"/>
    <s v="HOMEPRO"/>
    <s v="-"/>
    <m/>
    <s v="import"/>
    <s v=""/>
    <b v="0"/>
    <s v=""/>
  </r>
  <r>
    <s v="1eb901eb-8a72-475e-ba3c-2ba5e06a6bbc"/>
    <s v="2024-10-22"/>
    <x v="2"/>
    <x v="8"/>
    <n v="22"/>
    <s v="20:51"/>
    <n v="4158"/>
    <x v="1"/>
    <s v="other"/>
    <x v="1"/>
    <s v="kbank"/>
    <x v="0"/>
    <s v="rc_acc_1781955063348_xd87"/>
    <s v="Hong"/>
    <s v="-"/>
    <m/>
    <s v="import"/>
    <s v=""/>
    <b v="0"/>
    <s v=""/>
  </r>
  <r>
    <s v="94870a51-53be-4b83-a4b0-f0a479d54f95"/>
    <s v="2024-10-20"/>
    <x v="2"/>
    <x v="8"/>
    <n v="20"/>
    <s v="18:54"/>
    <n v="300"/>
    <x v="0"/>
    <s v="rc_cat_1781955063347_s4sz_1781955063360_d7jr"/>
    <x v="0"/>
    <s v="kbank"/>
    <x v="0"/>
    <s v=""/>
    <m/>
    <s v="ตัดผม"/>
    <m/>
    <s v="import"/>
    <s v=""/>
    <b v="0"/>
    <s v=""/>
  </r>
  <r>
    <s v="cd49c021-d6b7-48c1-bf2c-679e68daf02f"/>
    <s v="2024-10-10"/>
    <x v="2"/>
    <x v="8"/>
    <n v="10"/>
    <s v="20:53"/>
    <n v="2890"/>
    <x v="0"/>
    <s v="entertain_1781955063348_kx2f"/>
    <x v="0"/>
    <s v="rc_acc_1781955063347_hv85"/>
    <x v="5"/>
    <s v=""/>
    <m/>
    <s v="tablet(1/10)"/>
    <m/>
    <s v="import"/>
    <s v=""/>
    <b v="0"/>
    <s v=""/>
  </r>
  <r>
    <s v="a83dce9e-4dd7-4d71-940f-04ca33b5856d"/>
    <s v="2024-10-05"/>
    <x v="2"/>
    <x v="8"/>
    <n v="5"/>
    <s v="17:46"/>
    <n v="7382"/>
    <x v="0"/>
    <s v="entertain_1781955063348_kx2f"/>
    <x v="0"/>
    <s v="kbank"/>
    <x v="0"/>
    <s v=""/>
    <m/>
    <s v="monitor hub charger"/>
    <m/>
    <s v="import"/>
    <s v=""/>
    <b v="0"/>
    <s v=""/>
  </r>
  <r>
    <s v="f24a501d-2a82-435d-a0ca-25a1a9d45cbc"/>
    <s v="2024-10-05"/>
    <x v="2"/>
    <x v="8"/>
    <n v="5"/>
    <s v="17:49"/>
    <n v="3992"/>
    <x v="0"/>
    <s v="rc_cat_1781955063347_5qjb_1781955063347_tezk"/>
    <x v="5"/>
    <s v="kbank"/>
    <x v="0"/>
    <s v=""/>
    <m/>
    <s v="-"/>
    <m/>
    <s v="import"/>
    <s v=""/>
    <b v="0"/>
    <s v=""/>
  </r>
  <r>
    <s v="965398b0-e795-465a-8086-f22371741630"/>
    <s v="2024-10-05"/>
    <x v="2"/>
    <x v="8"/>
    <n v="5"/>
    <s v="17:50"/>
    <n v="1182"/>
    <x v="1"/>
    <s v="other"/>
    <x v="1"/>
    <s v="rc_acc_1781955063348_no9r"/>
    <x v="7"/>
    <s v="kbank"/>
    <s v="KBank"/>
    <s v="-"/>
    <m/>
    <s v="import"/>
    <s v=""/>
    <b v="0"/>
    <s v=""/>
  </r>
  <r>
    <s v="e41faa21-9313-4281-a55f-da6e574153ed"/>
    <s v="2024-10-05"/>
    <x v="2"/>
    <x v="8"/>
    <n v="5"/>
    <s v="17:54"/>
    <n v="3119"/>
    <x v="2"/>
    <s v="other_1781955063347_5s7r"/>
    <x v="15"/>
    <s v="rc_acc_1781955063348_no9r"/>
    <x v="7"/>
    <s v=""/>
    <m/>
    <s v="Difference"/>
    <m/>
    <s v="import"/>
    <s v=""/>
    <b v="0"/>
    <s v=""/>
  </r>
  <r>
    <s v="a5e4d908-04ca-4a40-a90d-331778bae53a"/>
    <s v="2024-10-05"/>
    <x v="2"/>
    <x v="8"/>
    <n v="5"/>
    <s v="18:57"/>
    <n v="158.69"/>
    <x v="0"/>
    <s v="other_1781955063347_5s7r"/>
    <x v="15"/>
    <s v="rc_acc_1781955063348_obza"/>
    <x v="8"/>
    <s v=""/>
    <m/>
    <s v="Difference"/>
    <m/>
    <s v="import"/>
    <s v=""/>
    <b v="0"/>
    <s v=""/>
  </r>
  <r>
    <s v="46565a88-6419-4657-ae99-df9dc0259f07"/>
    <s v="2024-10-05"/>
    <x v="2"/>
    <x v="8"/>
    <n v="5"/>
    <s v="18:59"/>
    <n v="55177.24"/>
    <x v="2"/>
    <s v="other_1781955063347_5s7r"/>
    <x v="15"/>
    <s v="rc_acc_1781955063348_hnxg"/>
    <x v="9"/>
    <s v=""/>
    <m/>
    <s v="Difference"/>
    <m/>
    <s v="import"/>
    <s v=""/>
    <b v="0"/>
    <s v=""/>
  </r>
  <r>
    <s v="a42bb03a-f8bb-4c27-a4bc-73a54d6c08dc"/>
    <s v="2024-10-05"/>
    <x v="2"/>
    <x v="8"/>
    <n v="5"/>
    <s v="23:31"/>
    <n v="1634"/>
    <x v="0"/>
    <s v="rc_cat_1781955063347_anhy_1781955063350_fcpb"/>
    <x v="2"/>
    <s v="kbank"/>
    <x v="0"/>
    <s v=""/>
    <m/>
    <s v="-"/>
    <m/>
    <s v="import"/>
    <s v=""/>
    <b v="0"/>
    <s v=""/>
  </r>
  <r>
    <s v="4a078ff8-94f1-4e21-a9b9-fe4e134a2278"/>
    <s v="2024-09-29"/>
    <x v="2"/>
    <x v="9"/>
    <n v="29"/>
    <s v="17:28"/>
    <n v="5000"/>
    <x v="0"/>
    <s v="rc_cat_1781955063347_anhy_1781955063347_qnaz"/>
    <x v="4"/>
    <s v="kbank"/>
    <x v="0"/>
    <s v=""/>
    <m/>
    <s v="-"/>
    <m/>
    <s v="import"/>
    <s v=""/>
    <b v="0"/>
    <s v=""/>
  </r>
  <r>
    <s v="3a21deb2-5ea9-43c4-b045-555de614ec4b"/>
    <s v="2024-09-28"/>
    <x v="2"/>
    <x v="9"/>
    <n v="28"/>
    <s v="16:56"/>
    <n v="1295"/>
    <x v="1"/>
    <s v="other"/>
    <x v="1"/>
    <s v="advance"/>
    <x v="2"/>
    <s v="rc_acc_1781955063347_uxz4"/>
    <s v="SCB"/>
    <s v="-"/>
    <m/>
    <s v="import"/>
    <s v=""/>
    <b v="0"/>
    <s v=""/>
  </r>
  <r>
    <s v="4e7ad3b9-c30e-4930-bd1f-1f1792ac41c4"/>
    <s v="2024-09-28"/>
    <x v="2"/>
    <x v="9"/>
    <n v="28"/>
    <s v="17:18"/>
    <n v="971"/>
    <x v="1"/>
    <s v="other"/>
    <x v="1"/>
    <s v="advance"/>
    <x v="2"/>
    <s v="kbank"/>
    <s v="KBank"/>
    <s v="-"/>
    <m/>
    <s v="import"/>
    <s v=""/>
    <b v="0"/>
    <s v=""/>
  </r>
  <r>
    <s v="43b1e6d3-50c1-4c6d-971c-17b2f45e96a4"/>
    <s v="2024-09-28"/>
    <x v="2"/>
    <x v="9"/>
    <n v="28"/>
    <s v="17:23"/>
    <n v="6027"/>
    <x v="0"/>
    <s v="rc_cat_1781955063347_anhy_1781955063348_k5l1"/>
    <x v="16"/>
    <s v="kbank"/>
    <x v="0"/>
    <s v=""/>
    <m/>
    <s v="เลี้ยงทีมคลัง"/>
    <m/>
    <s v="import"/>
    <s v=""/>
    <b v="0"/>
    <s v=""/>
  </r>
  <r>
    <s v="6599b44f-3970-468a-915d-f472d1ec2beb"/>
    <s v="2024-09-28"/>
    <x v="2"/>
    <x v="9"/>
    <n v="28"/>
    <s v="17:24"/>
    <n v="1206"/>
    <x v="0"/>
    <s v="rc_cat_1781955063347_anhy_1781955063350_fcpb"/>
    <x v="2"/>
    <s v="kbank"/>
    <x v="0"/>
    <s v=""/>
    <m/>
    <s v="ซูกิชิ วันรเกิด"/>
    <m/>
    <s v="import"/>
    <s v=""/>
    <b v="0"/>
    <s v=""/>
  </r>
  <r>
    <s v="737f500b-c421-4389-b8de-c527a46533b0"/>
    <s v="2024-09-28"/>
    <x v="2"/>
    <x v="9"/>
    <n v="28"/>
    <s v="17:25"/>
    <n v="396"/>
    <x v="0"/>
    <s v="rc_cat_1781955063347_anhy_1781955063347_qnaz"/>
    <x v="4"/>
    <s v="kbank"/>
    <x v="0"/>
    <s v=""/>
    <m/>
    <s v="ค่าโทรศัพท์แม่"/>
    <m/>
    <s v="import"/>
    <s v=""/>
    <b v="0"/>
    <s v=""/>
  </r>
  <r>
    <s v="b07e15ce-066f-469c-beb3-8d0833f3762f"/>
    <s v="2024-09-28"/>
    <x v="2"/>
    <x v="9"/>
    <n v="28"/>
    <s v="17:25"/>
    <n v="1000"/>
    <x v="0"/>
    <s v="other_1781955063348_yjhe"/>
    <x v="26"/>
    <s v="kbank"/>
    <x v="0"/>
    <s v=""/>
    <m/>
    <s v="LAMY"/>
    <m/>
    <s v="import"/>
    <s v=""/>
    <b v="0"/>
    <s v=""/>
  </r>
  <r>
    <s v="9c0019f6-f0cb-4dd8-a171-e733c624ced0"/>
    <s v="2024-09-28"/>
    <x v="2"/>
    <x v="9"/>
    <n v="28"/>
    <s v="17:26"/>
    <n v="3000"/>
    <x v="1"/>
    <s v="other"/>
    <x v="1"/>
    <s v="kbank"/>
    <x v="0"/>
    <s v="rc_acc_1781955063348_w3gp"/>
    <s v="UOB world"/>
    <s v="-"/>
    <m/>
    <s v="import"/>
    <s v=""/>
    <b v="0"/>
    <s v=""/>
  </r>
  <r>
    <s v="46622072-4e2a-49d4-ac84-0040c4b0a6d0"/>
    <s v="2024-09-27"/>
    <x v="2"/>
    <x v="9"/>
    <n v="27"/>
    <s v="17:19"/>
    <n v="419"/>
    <x v="0"/>
    <s v="rc_cat_1781955063347_anhy_1781955063348_k5l1"/>
    <x v="16"/>
    <s v="kbank"/>
    <x v="0"/>
    <s v=""/>
    <m/>
    <s v="-"/>
    <m/>
    <s v="import"/>
    <s v=""/>
    <b v="0"/>
    <s v=""/>
  </r>
  <r>
    <s v="a5651c2d-fbaf-445a-ada4-c945db97aa86"/>
    <s v="2024-09-26"/>
    <x v="2"/>
    <x v="9"/>
    <n v="26"/>
    <s v="00:00"/>
    <n v="10000"/>
    <x v="1"/>
    <s v="other"/>
    <x v="1"/>
    <s v="kbank"/>
    <x v="0"/>
    <s v="rc_acc_1781955063349_yz2g"/>
    <s v="Investment"/>
    <s v="-"/>
    <m/>
    <s v="import"/>
    <s v=""/>
    <b v="0"/>
    <s v=""/>
  </r>
  <r>
    <s v="3413ff84-eec8-4ebb-ba9d-461c35b0317a"/>
    <s v="2024-09-26"/>
    <x v="2"/>
    <x v="9"/>
    <n v="26"/>
    <s v="17:01"/>
    <n v="16000"/>
    <x v="1"/>
    <s v="other"/>
    <x v="1"/>
    <s v="kbank"/>
    <x v="0"/>
    <s v="rc_acc_1781955063349_yz2g"/>
    <s v="Investment"/>
    <s v="-"/>
    <m/>
    <s v="import"/>
    <s v=""/>
    <b v="0"/>
    <s v=""/>
  </r>
  <r>
    <s v="87d1ca75-1af3-489d-b322-75c6d5ab27e1"/>
    <s v="2024-09-25"/>
    <x v="2"/>
    <x v="9"/>
    <n v="25"/>
    <s v="00:00"/>
    <n v="267.85"/>
    <x v="0"/>
    <s v="rc_cat_1781955063347_04qb_1781955063347_lu9b"/>
    <x v="20"/>
    <s v="kbank"/>
    <x v="0"/>
    <s v=""/>
    <m/>
    <s v="-"/>
    <m/>
    <s v="import"/>
    <s v=""/>
    <b v="0"/>
    <s v=""/>
  </r>
  <r>
    <s v="244663cc-6767-4153-8284-9733eb6407d4"/>
    <s v="2024-09-25"/>
    <x v="2"/>
    <x v="9"/>
    <n v="25"/>
    <s v="00:00"/>
    <n v="3243.4"/>
    <x v="0"/>
    <s v="rc_cat_1781955063347_04qb_1781955063347_kgnn"/>
    <x v="13"/>
    <s v="kbank"/>
    <x v="0"/>
    <s v=""/>
    <m/>
    <s v="-"/>
    <m/>
    <s v="import"/>
    <s v=""/>
    <b v="0"/>
    <s v=""/>
  </r>
  <r>
    <s v="a7ebb58a-76be-445d-8a0d-eb589e736bd8"/>
    <s v="2024-09-25"/>
    <x v="2"/>
    <x v="9"/>
    <n v="25"/>
    <s v="00:00"/>
    <n v="3123.74"/>
    <x v="0"/>
    <s v="rc_cat_1781955063347_04qb_1781955063350_acgf"/>
    <x v="11"/>
    <s v="kbank"/>
    <x v="0"/>
    <s v=""/>
    <m/>
    <s v="-"/>
    <m/>
    <s v="import"/>
    <s v=""/>
    <b v="0"/>
    <s v=""/>
  </r>
  <r>
    <s v="2ee17013-30b5-4476-a3de-7df0423f4747"/>
    <s v="2024-09-25"/>
    <x v="2"/>
    <x v="9"/>
    <n v="25"/>
    <s v="00:00"/>
    <n v="2744"/>
    <x v="1"/>
    <s v="other"/>
    <x v="1"/>
    <s v="kbank"/>
    <x v="0"/>
    <s v="rc_acc_1781955063347_r9dz"/>
    <s v="Provident Fund"/>
    <s v="-"/>
    <m/>
    <s v="import"/>
    <s v=""/>
    <b v="0"/>
    <s v=""/>
  </r>
  <r>
    <s v="3784a6aa-bb67-4687-93b4-215794141911"/>
    <s v="2024-09-25"/>
    <x v="2"/>
    <x v="9"/>
    <n v="25"/>
    <s v="00:00"/>
    <n v="137200"/>
    <x v="2"/>
    <s v="income_1781955063347_5zxt"/>
    <x v="14"/>
    <s v="kbank"/>
    <x v="0"/>
    <s v=""/>
    <m/>
    <s v="-"/>
    <m/>
    <s v="import"/>
    <s v=""/>
    <b v="0"/>
    <s v=""/>
  </r>
  <r>
    <s v="aa2dc003-0bdb-444e-833b-b294ea6922e5"/>
    <s v="2024-09-25"/>
    <x v="2"/>
    <x v="9"/>
    <n v="25"/>
    <s v="00:00"/>
    <n v="9240"/>
    <x v="1"/>
    <s v="other"/>
    <x v="1"/>
    <s v="kbank"/>
    <x v="0"/>
    <s v="rc_acc_1781955063347_mzbn"/>
    <s v="Car Loan"/>
    <s v="-"/>
    <m/>
    <s v="import"/>
    <s v=""/>
    <b v="0"/>
    <s v=""/>
  </r>
  <r>
    <s v="5581ae53-5542-4b23-827e-fab790145401"/>
    <s v="2024-09-25"/>
    <x v="2"/>
    <x v="9"/>
    <n v="25"/>
    <s v="00:00"/>
    <n v="8540"/>
    <x v="1"/>
    <s v="other"/>
    <x v="1"/>
    <s v="kbank"/>
    <x v="0"/>
    <s v="rc_acc_1781955063347_bwow"/>
    <s v="Home chomthong Loan"/>
    <s v="-"/>
    <m/>
    <s v="import"/>
    <s v=""/>
    <b v="0"/>
    <s v=""/>
  </r>
  <r>
    <s v="1f859261-a936-47e9-8005-a03d7df87a94"/>
    <s v="2024-09-25"/>
    <x v="2"/>
    <x v="9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5cf9cbd7-0b4d-43ed-a8d9-e15f6bf6ee0c"/>
    <s v="2024-09-21"/>
    <x v="2"/>
    <x v="9"/>
    <n v="21"/>
    <s v="17:17"/>
    <n v="971"/>
    <x v="1"/>
    <s v="other"/>
    <x v="1"/>
    <s v="kbank"/>
    <x v="0"/>
    <s v="advance"/>
    <s v="Advance Paid"/>
    <s v="-"/>
    <m/>
    <s v="import"/>
    <s v=""/>
    <b v="0"/>
    <s v=""/>
  </r>
  <r>
    <s v="4b4bf799-c5c5-4dd3-85de-352d641ccf4d"/>
    <s v="2024-09-21"/>
    <x v="2"/>
    <x v="9"/>
    <n v="21"/>
    <s v="17:18"/>
    <n v="347"/>
    <x v="2"/>
    <s v="income_1781955063347_zblt"/>
    <x v="17"/>
    <s v="kbank"/>
    <x v="0"/>
    <s v=""/>
    <m/>
    <s v="-"/>
    <m/>
    <s v="import"/>
    <s v=""/>
    <b v="0"/>
    <s v=""/>
  </r>
  <r>
    <s v="c41d9d91-9c91-4943-92ba-ff5c900825e4"/>
    <s v="2024-09-20"/>
    <x v="2"/>
    <x v="9"/>
    <n v="20"/>
    <s v="08:39"/>
    <n v="1156"/>
    <x v="0"/>
    <s v="rc_cat_1781955063347_anhy_1781955063348_k5l1"/>
    <x v="16"/>
    <s v="kbank"/>
    <x v="0"/>
    <s v=""/>
    <m/>
    <s v="ekkamai macchiato"/>
    <m/>
    <s v="import"/>
    <s v=""/>
    <b v="0"/>
    <s v=""/>
  </r>
  <r>
    <s v="bbae8569-20ab-49ba-9eda-73d4925bdc5a"/>
    <s v="2024-09-19"/>
    <x v="2"/>
    <x v="9"/>
    <n v="19"/>
    <s v="08:39"/>
    <n v="855"/>
    <x v="0"/>
    <s v="rc_cat_1781955063347_anhy_1781955063348_k5l1"/>
    <x v="16"/>
    <s v="kbank"/>
    <x v="0"/>
    <s v=""/>
    <m/>
    <s v="kansai fu"/>
    <m/>
    <s v="import"/>
    <s v=""/>
    <b v="0"/>
    <s v=""/>
  </r>
  <r>
    <s v="171681e4-172d-45aa-81ce-cb05e645d484"/>
    <s v="2024-09-14"/>
    <x v="2"/>
    <x v="9"/>
    <n v="14"/>
    <s v="08:38"/>
    <n v="300"/>
    <x v="0"/>
    <s v="rc_cat_1781955063347_5qjb_1781955063347_tezk"/>
    <x v="5"/>
    <s v="kbank"/>
    <x v="0"/>
    <s v=""/>
    <m/>
    <s v="starbucks"/>
    <m/>
    <s v="import"/>
    <s v=""/>
    <b v="0"/>
    <s v=""/>
  </r>
  <r>
    <s v="458e03ea-6d5c-4223-977c-024659d6ad18"/>
    <s v="2024-09-11"/>
    <x v="2"/>
    <x v="9"/>
    <n v="11"/>
    <s v="08:35"/>
    <n v="2600"/>
    <x v="0"/>
    <s v="rc_cat_1781955063347_anhy_1781955063348_k5l1"/>
    <x v="16"/>
    <s v="kbank"/>
    <x v="0"/>
    <s v=""/>
    <m/>
    <s v="เยี่ยหนาน+ekamai"/>
    <m/>
    <s v="import"/>
    <s v=""/>
    <b v="0"/>
    <s v=""/>
  </r>
  <r>
    <s v="63b4408e-9c4d-43d6-aa5a-c661f8658cca"/>
    <s v="2024-09-10"/>
    <x v="2"/>
    <x v="9"/>
    <n v="10"/>
    <s v="08:34"/>
    <n v="903.5"/>
    <x v="1"/>
    <s v="other"/>
    <x v="1"/>
    <s v="kbank"/>
    <x v="0"/>
    <s v="advance"/>
    <s v="Advance Paid"/>
    <s v="สมุดหงฝากแลก"/>
    <m/>
    <s v="import"/>
    <s v=""/>
    <b v="0"/>
    <s v=""/>
  </r>
  <r>
    <s v="fd0b5c8e-0cf4-46e3-8af2-3d46e1e14351"/>
    <s v="2024-09-08"/>
    <x v="2"/>
    <x v="9"/>
    <n v="8"/>
    <s v="08:33"/>
    <n v="7646.3"/>
    <x v="0"/>
    <s v="rc_cat_1781955063347_04qb_1781955063347_wt5p"/>
    <x v="3"/>
    <s v="kbank"/>
    <x v="0"/>
    <s v=""/>
    <m/>
    <s v="-"/>
    <m/>
    <s v="import"/>
    <s v=""/>
    <b v="0"/>
    <s v=""/>
  </r>
  <r>
    <s v="1ffe4a8f-2a46-4695-9964-d74c584d404b"/>
    <s v="2024-09-08"/>
    <x v="2"/>
    <x v="9"/>
    <n v="8"/>
    <s v="08:47"/>
    <n v="3000"/>
    <x v="1"/>
    <s v="other"/>
    <x v="1"/>
    <s v="rc_acc_1781955063348_w3gp"/>
    <x v="6"/>
    <s v="rc_acc_1781955063347_uxz4"/>
    <s v="SCB"/>
    <s v="-"/>
    <m/>
    <s v="import"/>
    <s v=""/>
    <b v="0"/>
    <s v=""/>
  </r>
  <r>
    <s v="a1829113-29ee-435a-80c1-4bb9cc7e3331"/>
    <s v="2024-09-08"/>
    <x v="2"/>
    <x v="9"/>
    <n v="8"/>
    <s v="08:48"/>
    <n v="19000"/>
    <x v="0"/>
    <s v="rc_cat_1781955063347_anhy_1781955063350_fcpb"/>
    <x v="2"/>
    <s v="rc_acc_1781955063347_uxz4"/>
    <x v="4"/>
    <s v=""/>
    <m/>
    <s v="-"/>
    <m/>
    <s v="import"/>
    <s v=""/>
    <b v="0"/>
    <s v=""/>
  </r>
  <r>
    <s v="3b22e73f-acea-44d7-90c8-e1fe563bf071"/>
    <s v="2024-09-08"/>
    <x v="2"/>
    <x v="9"/>
    <n v="8"/>
    <s v="16:54"/>
    <n v="20000"/>
    <x v="1"/>
    <s v="other"/>
    <x v="1"/>
    <s v="rc_acc_1781955063348_hnxg"/>
    <x v="9"/>
    <s v="rc_acc_1781955063347_uxz4"/>
    <s v="SCB"/>
    <s v="-"/>
    <m/>
    <s v="import"/>
    <s v=""/>
    <b v="0"/>
    <s v=""/>
  </r>
  <r>
    <s v="b8c33e18-a348-48c2-8bf3-f50045ab5b0a"/>
    <s v="2024-09-03"/>
    <x v="2"/>
    <x v="9"/>
    <n v="3"/>
    <s v="09:39"/>
    <n v="300"/>
    <x v="0"/>
    <s v="rc_cat_1781955063347_5qjb_1781955063347_tezk"/>
    <x v="5"/>
    <s v="kbank"/>
    <x v="0"/>
    <s v=""/>
    <m/>
    <s v="-"/>
    <m/>
    <s v="import"/>
    <s v=""/>
    <b v="0"/>
    <s v=""/>
  </r>
  <r>
    <s v="f329913c-49a3-4424-9b36-0a45fb5acbd3"/>
    <s v="2024-09-03"/>
    <x v="2"/>
    <x v="9"/>
    <n v="3"/>
    <s v="09:39"/>
    <n v="80"/>
    <x v="0"/>
    <s v="rc_cat_1781955063347_5qjb_1781955063347_irl1"/>
    <x v="0"/>
    <s v="rc_acc_1781955063347_e3zv"/>
    <x v="16"/>
    <s v=""/>
    <m/>
    <s v="-"/>
    <m/>
    <s v="import"/>
    <s v=""/>
    <b v="0"/>
    <s v=""/>
  </r>
  <r>
    <s v="7510359e-7b57-47ef-91d8-b4e3229ab0c7"/>
    <s v="2024-09-03"/>
    <x v="2"/>
    <x v="9"/>
    <n v="3"/>
    <s v="09:44"/>
    <n v="-1232"/>
    <x v="0"/>
    <s v="other_1781955063347_5s7r"/>
    <x v="15"/>
    <s v="rc_acc_1781955063357_rvam"/>
    <x v="3"/>
    <s v=""/>
    <m/>
    <s v="Difference"/>
    <m/>
    <s v="import"/>
    <s v=""/>
    <b v="0"/>
    <s v=""/>
  </r>
  <r>
    <s v="49d6e3a1-423f-4758-a08f-f9bab5d7fa7d"/>
    <s v="2024-09-02"/>
    <x v="2"/>
    <x v="9"/>
    <n v="2"/>
    <s v="12:50"/>
    <n v="4952.28"/>
    <x v="1"/>
    <s v="other"/>
    <x v="1"/>
    <s v="kbank"/>
    <x v="0"/>
    <s v="rc_acc_1781955063357_rvam"/>
    <s v="Make Kbank"/>
    <s v="-"/>
    <m/>
    <s v="import"/>
    <s v=""/>
    <b v="0"/>
    <s v=""/>
  </r>
  <r>
    <s v="9fddec62-c822-4e83-a6ca-f6e85c04617a"/>
    <s v="2024-09-01"/>
    <x v="2"/>
    <x v="9"/>
    <n v="1"/>
    <s v="12:00"/>
    <n v="5000"/>
    <x v="0"/>
    <s v="rc_cat_1781955063347_anhy_1781955063347_qnaz"/>
    <x v="4"/>
    <s v="kbank"/>
    <x v="0"/>
    <s v=""/>
    <m/>
    <s v="-"/>
    <m/>
    <s v="import"/>
    <s v=""/>
    <b v="0"/>
    <s v=""/>
  </r>
  <r>
    <s v="46d07cdf-f7aa-4c4e-8c99-635a783ce174"/>
    <s v="2024-08-31"/>
    <x v="2"/>
    <x v="10"/>
    <n v="31"/>
    <s v="08:03"/>
    <n v="5699"/>
    <x v="0"/>
    <s v="rc_cat_1781955063347_anhy_1781955063350_fcpb"/>
    <x v="2"/>
    <s v="kbank"/>
    <x v="0"/>
    <s v=""/>
    <m/>
    <s v="akiyoshi บ้านหง"/>
    <m/>
    <s v="import"/>
    <s v=""/>
    <b v="0"/>
    <s v=""/>
  </r>
  <r>
    <s v="b933daf2-f0fe-4190-be76-dd69e9f8cc6e"/>
    <s v="2024-08-31"/>
    <x v="2"/>
    <x v="10"/>
    <n v="31"/>
    <s v="08:04"/>
    <n v="5793"/>
    <x v="0"/>
    <s v="entertain_1781955063348_kx2f"/>
    <x v="0"/>
    <s v="kbank"/>
    <x v="0"/>
    <s v=""/>
    <m/>
    <s v="-"/>
    <m/>
    <s v="import"/>
    <s v=""/>
    <b v="0"/>
    <s v=""/>
  </r>
  <r>
    <s v="ca3c2061-e84e-4fc6-ac2e-37b96cfce04e"/>
    <s v="2024-08-31"/>
    <x v="2"/>
    <x v="10"/>
    <n v="31"/>
    <s v="08:05"/>
    <n v="887"/>
    <x v="0"/>
    <s v="entertain_1781955063348_kx2f"/>
    <x v="0"/>
    <s v="kbank"/>
    <x v="0"/>
    <s v=""/>
    <m/>
    <s v="-"/>
    <m/>
    <s v="import"/>
    <s v=""/>
    <b v="0"/>
    <s v=""/>
  </r>
  <r>
    <s v="49aceb9d-ce3c-4a76-a8eb-e87fd05ae42f"/>
    <s v="2024-08-31"/>
    <x v="2"/>
    <x v="10"/>
    <n v="31"/>
    <s v="08:07"/>
    <n v="3999"/>
    <x v="0"/>
    <s v="rc_cat_1781955063347_anhy_1781955063348_k5l1"/>
    <x v="16"/>
    <s v="kbank"/>
    <x v="0"/>
    <s v=""/>
    <m/>
    <s v="hai ti lao"/>
    <m/>
    <s v="import"/>
    <s v=""/>
    <b v="0"/>
    <s v=""/>
  </r>
  <r>
    <s v="d430182a-0288-4448-9273-c29b4b060fa3"/>
    <s v="2024-08-31"/>
    <x v="2"/>
    <x v="10"/>
    <n v="31"/>
    <s v="08:07"/>
    <n v="3270"/>
    <x v="0"/>
    <s v="rc_cat_1781955063347_anhy_1781955063347_qnaz"/>
    <x v="4"/>
    <s v="kbank"/>
    <x v="0"/>
    <s v=""/>
    <m/>
    <s v="mk saladaeng"/>
    <m/>
    <s v="import"/>
    <s v=""/>
    <b v="0"/>
    <s v=""/>
  </r>
  <r>
    <s v="398214e9-fbf5-4bda-a27c-42ee298c1188"/>
    <s v="2024-08-31"/>
    <x v="2"/>
    <x v="10"/>
    <n v="31"/>
    <s v="09:42"/>
    <n v="319.67"/>
    <x v="0"/>
    <s v="rc_cat_1781955063347_anhy_1781955063347_qnaz"/>
    <x v="4"/>
    <s v="kbank"/>
    <x v="0"/>
    <s v=""/>
    <m/>
    <s v="-"/>
    <m/>
    <s v="import"/>
    <s v=""/>
    <b v="0"/>
    <s v=""/>
  </r>
  <r>
    <s v="4b315252-5f75-42f8-8a28-5ea9e16f5e61"/>
    <s v="2024-08-31"/>
    <x v="2"/>
    <x v="10"/>
    <n v="31"/>
    <s v="09:43"/>
    <n v="4952"/>
    <x v="0"/>
    <s v="rc_cat_1781955063347_5qjb_1781955063347_tezk"/>
    <x v="5"/>
    <s v="rc_acc_1781955063357_rvam"/>
    <x v="3"/>
    <s v=""/>
    <m/>
    <s v="-"/>
    <m/>
    <s v="import"/>
    <s v=""/>
    <b v="0"/>
    <s v=""/>
  </r>
  <r>
    <s v="b2c52ddf-cb62-4bba-9e83-0e3a6d22d8f5"/>
    <s v="2024-08-31"/>
    <x v="2"/>
    <x v="10"/>
    <n v="31"/>
    <s v="11:30"/>
    <n v="435"/>
    <x v="0"/>
    <s v="rc_cat_1781955063347_anhy_1781955063347_qnaz"/>
    <x v="4"/>
    <s v="kbank"/>
    <x v="0"/>
    <s v=""/>
    <m/>
    <s v="เค้กแม่"/>
    <m/>
    <s v="import"/>
    <s v=""/>
    <b v="0"/>
    <s v=""/>
  </r>
  <r>
    <s v="7542e19e-d362-455b-84d8-1b4b3a54a38e"/>
    <s v="2024-08-31"/>
    <x v="2"/>
    <x v="10"/>
    <n v="31"/>
    <s v="14:37"/>
    <n v="1500"/>
    <x v="0"/>
    <s v="rc_cat_1781955063347_5qjb_1781955063347_tezk"/>
    <x v="5"/>
    <s v="kbank"/>
    <x v="0"/>
    <s v=""/>
    <m/>
    <s v="-"/>
    <m/>
    <s v="import"/>
    <s v=""/>
    <b v="0"/>
    <s v=""/>
  </r>
  <r>
    <s v="4c1e378e-92a6-47d1-bb21-c62ba11613c7"/>
    <s v="2024-08-31"/>
    <x v="2"/>
    <x v="10"/>
    <n v="31"/>
    <s v="14:37"/>
    <n v="300"/>
    <x v="0"/>
    <s v="entertain_1781955063348_gj0i"/>
    <x v="25"/>
    <s v="kbank"/>
    <x v="0"/>
    <s v=""/>
    <m/>
    <s v="-"/>
    <m/>
    <s v="import"/>
    <s v=""/>
    <b v="0"/>
    <s v=""/>
  </r>
  <r>
    <s v="5dbd65da-6ffc-4129-b708-0c80bd44ddf8"/>
    <s v="2024-08-31"/>
    <x v="2"/>
    <x v="10"/>
    <n v="31"/>
    <s v="14:38"/>
    <n v="693"/>
    <x v="0"/>
    <s v="rc_cat_1781955063347_5qjb_1781955063347_tezk"/>
    <x v="5"/>
    <s v="kbank"/>
    <x v="0"/>
    <s v=""/>
    <m/>
    <s v="-"/>
    <m/>
    <s v="import"/>
    <s v=""/>
    <b v="0"/>
    <s v=""/>
  </r>
  <r>
    <s v="2b086b13-34f3-4d2e-884e-15c2e17df090"/>
    <s v="2024-08-31"/>
    <x v="2"/>
    <x v="10"/>
    <n v="31"/>
    <s v="16:50"/>
    <n v="270"/>
    <x v="0"/>
    <s v="rc_cat_1781955063347_5qjb_1781955063347_tezk"/>
    <x v="5"/>
    <s v="kbank"/>
    <x v="0"/>
    <s v=""/>
    <m/>
    <s v="-"/>
    <m/>
    <s v="import"/>
    <s v=""/>
    <b v="0"/>
    <s v=""/>
  </r>
  <r>
    <s v="20057416-8c95-497c-9df8-22f91f49dfa8"/>
    <s v="2024-08-31"/>
    <x v="2"/>
    <x v="10"/>
    <n v="31"/>
    <s v="20:37"/>
    <n v="1270"/>
    <x v="0"/>
    <s v="rc_cat_1781955063347_5qjb_1781955063347_tezk"/>
    <x v="5"/>
    <s v="kbank"/>
    <x v="0"/>
    <s v=""/>
    <m/>
    <s v="-"/>
    <m/>
    <s v="import"/>
    <s v=""/>
    <b v="0"/>
    <s v=""/>
  </r>
  <r>
    <s v="fa36db77-651e-4869-a2ea-a647925b2762"/>
    <s v="2024-08-30"/>
    <x v="2"/>
    <x v="10"/>
    <n v="30"/>
    <s v="20:23"/>
    <n v="270"/>
    <x v="0"/>
    <s v="rc_cat_1781955063347_anhy_1781955063350_fcpb"/>
    <x v="2"/>
    <s v="kbank"/>
    <x v="0"/>
    <s v=""/>
    <m/>
    <s v="เค้กหงส์"/>
    <m/>
    <s v="import"/>
    <s v=""/>
    <b v="0"/>
    <s v=""/>
  </r>
  <r>
    <s v="7de5f1d2-f0cd-4a63-8267-d8fb1750ff67"/>
    <s v="2024-08-29"/>
    <x v="2"/>
    <x v="10"/>
    <n v="29"/>
    <s v="18:22"/>
    <n v="1000"/>
    <x v="0"/>
    <s v="rc_cat_1781955063347_anhy_1781955063348_k5l1"/>
    <x v="16"/>
    <s v="kbank"/>
    <x v="0"/>
    <s v=""/>
    <m/>
    <s v="เบียร์ outing"/>
    <m/>
    <s v="import"/>
    <s v=""/>
    <b v="0"/>
    <s v=""/>
  </r>
  <r>
    <s v="8bc6d177-d589-4304-a2fc-9a881dcdcb50"/>
    <s v="2024-08-28"/>
    <x v="2"/>
    <x v="10"/>
    <n v="28"/>
    <s v="12:55"/>
    <n v="3280"/>
    <x v="0"/>
    <s v="rc_cat_1781955063347_anhy_1781955063348_k5l1"/>
    <x v="16"/>
    <s v="kbank"/>
    <x v="0"/>
    <s v=""/>
    <m/>
    <s v="-"/>
    <m/>
    <s v="import"/>
    <s v=""/>
    <b v="0"/>
    <s v=""/>
  </r>
  <r>
    <s v="5b7943a3-45c1-4bf5-91bd-63e66d89cb73"/>
    <s v="2024-08-27"/>
    <x v="2"/>
    <x v="10"/>
    <n v="27"/>
    <s v="21:31"/>
    <n v="50000"/>
    <x v="1"/>
    <s v="other"/>
    <x v="1"/>
    <s v="kbank"/>
    <x v="0"/>
    <s v="rc_acc_1781955063349_yz2g"/>
    <s v="Investment"/>
    <s v="-"/>
    <m/>
    <s v="import"/>
    <s v=""/>
    <b v="0"/>
    <s v=""/>
  </r>
  <r>
    <s v="8c116d81-b432-4470-8613-72e37e8056a3"/>
    <s v="2024-08-26"/>
    <x v="2"/>
    <x v="10"/>
    <n v="26"/>
    <s v="00:00"/>
    <n v="16000"/>
    <x v="1"/>
    <s v="other"/>
    <x v="1"/>
    <s v="kbank"/>
    <x v="0"/>
    <s v="rc_acc_1781955063349_yz2g"/>
    <s v="Investment"/>
    <s v="-"/>
    <m/>
    <s v="import"/>
    <s v=""/>
    <b v="0"/>
    <s v=""/>
  </r>
  <r>
    <s v="b010b926-283f-4c45-8925-dbc09159500c"/>
    <s v="2024-08-26"/>
    <x v="2"/>
    <x v="10"/>
    <n v="26"/>
    <s v="12:20"/>
    <n v="378"/>
    <x v="0"/>
    <s v="rc_cat_1781955063347_anhy_1781955063348_k5l1"/>
    <x v="16"/>
    <s v="kbank"/>
    <x v="0"/>
    <s v=""/>
    <m/>
    <s v="เลี้ยงปิ่น"/>
    <m/>
    <s v="import"/>
    <s v=""/>
    <b v="0"/>
    <s v=""/>
  </r>
  <r>
    <s v="e5796a6a-cf7b-40be-9407-cb1f985ad230"/>
    <s v="2024-08-25"/>
    <x v="2"/>
    <x v="10"/>
    <n v="25"/>
    <s v="00:00"/>
    <n v="3123.74"/>
    <x v="0"/>
    <s v="rc_cat_1781955063347_04qb_1781955063350_acgf"/>
    <x v="11"/>
    <s v="kbank"/>
    <x v="0"/>
    <s v=""/>
    <m/>
    <s v="-"/>
    <m/>
    <s v="import"/>
    <s v=""/>
    <b v="0"/>
    <s v=""/>
  </r>
  <r>
    <s v="4fe81eaa-f2d0-4802-872d-99a6a6a02d81"/>
    <s v="2024-08-25"/>
    <x v="2"/>
    <x v="10"/>
    <n v="25"/>
    <s v="00:00"/>
    <n v="3707.36"/>
    <x v="0"/>
    <s v="rc_cat_1781955063347_04qb_1781955063347_kgnn"/>
    <x v="13"/>
    <s v="kbank"/>
    <x v="0"/>
    <s v=""/>
    <m/>
    <s v="-"/>
    <m/>
    <s v="import"/>
    <s v=""/>
    <b v="0"/>
    <s v=""/>
  </r>
  <r>
    <s v="ff816e92-daf4-435c-b980-ce82c7ee69b6"/>
    <s v="2024-08-25"/>
    <x v="2"/>
    <x v="10"/>
    <n v="25"/>
    <s v="00:00"/>
    <n v="2744"/>
    <x v="1"/>
    <s v="other"/>
    <x v="1"/>
    <s v="kbank"/>
    <x v="0"/>
    <s v="rc_acc_1781955063347_r9dz"/>
    <s v="Provident Fund"/>
    <s v="-"/>
    <m/>
    <s v="import"/>
    <s v=""/>
    <b v="0"/>
    <s v=""/>
  </r>
  <r>
    <s v="a280c725-5137-42bd-80b1-2094b7b12394"/>
    <s v="2024-08-25"/>
    <x v="2"/>
    <x v="10"/>
    <n v="25"/>
    <s v="00:00"/>
    <n v="137200"/>
    <x v="2"/>
    <s v="income_1781955063347_5zxt"/>
    <x v="14"/>
    <s v="kbank"/>
    <x v="0"/>
    <s v=""/>
    <m/>
    <s v="-"/>
    <m/>
    <s v="import"/>
    <s v=""/>
    <b v="0"/>
    <s v=""/>
  </r>
  <r>
    <s v="8ac2333b-0a33-4a85-bc15-698abb45bb22"/>
    <s v="2024-08-25"/>
    <x v="2"/>
    <x v="10"/>
    <n v="25"/>
    <s v="00:00"/>
    <n v="322.75"/>
    <x v="0"/>
    <s v="rc_cat_1781955063347_04qb_1781955063347_lu9b"/>
    <x v="20"/>
    <s v="kbank"/>
    <x v="0"/>
    <s v=""/>
    <m/>
    <s v="-"/>
    <m/>
    <s v="import"/>
    <s v=""/>
    <b v="0"/>
    <s v=""/>
  </r>
  <r>
    <s v="6b18d1ad-45bf-4711-8d67-81ff33639fb5"/>
    <s v="2024-08-25"/>
    <x v="2"/>
    <x v="10"/>
    <n v="25"/>
    <s v="00:00"/>
    <n v="4158"/>
    <x v="1"/>
    <s v="other"/>
    <x v="1"/>
    <s v="kbank"/>
    <x v="0"/>
    <s v="rc_acc_1781955063348_xd87"/>
    <s v="Hong"/>
    <s v="-"/>
    <m/>
    <s v="import"/>
    <s v=""/>
    <b v="0"/>
    <s v=""/>
  </r>
  <r>
    <s v="dbc8d6be-7994-405a-a4e3-14d45f6a2ff5"/>
    <s v="2024-08-25"/>
    <x v="2"/>
    <x v="10"/>
    <n v="25"/>
    <s v="00:00"/>
    <n v="8540"/>
    <x v="1"/>
    <s v="other"/>
    <x v="1"/>
    <s v="kbank"/>
    <x v="0"/>
    <s v="rc_acc_1781955063347_bwow"/>
    <s v="Home chomthong Loan"/>
    <s v="-"/>
    <m/>
    <s v="import"/>
    <s v=""/>
    <b v="0"/>
    <s v=""/>
  </r>
  <r>
    <s v="b1b4c1d3-cf5f-489b-b5ac-9768d383f00c"/>
    <s v="2024-08-25"/>
    <x v="2"/>
    <x v="10"/>
    <n v="25"/>
    <s v="00:00"/>
    <n v="9240"/>
    <x v="1"/>
    <s v="other"/>
    <x v="1"/>
    <s v="kbank"/>
    <x v="0"/>
    <s v="rc_acc_1781955063347_mzbn"/>
    <s v="Car Loan"/>
    <s v="-"/>
    <m/>
    <s v="import"/>
    <s v=""/>
    <b v="0"/>
    <s v=""/>
  </r>
  <r>
    <s v="81dcb340-3cc1-4578-badd-c52ab4152967"/>
    <s v="2024-08-25"/>
    <x v="2"/>
    <x v="10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43b1953e-3b36-4828-aea4-302a15b95511"/>
    <s v="2024-08-25"/>
    <x v="2"/>
    <x v="10"/>
    <n v="25"/>
    <s v="00:00"/>
    <n v="806"/>
    <x v="0"/>
    <s v="rc_cat_1781955063347_anhy_1781955063347_qnaz"/>
    <x v="4"/>
    <s v="kbank"/>
    <x v="0"/>
    <s v=""/>
    <m/>
    <s v="-"/>
    <m/>
    <s v="import"/>
    <s v=""/>
    <b v="0"/>
    <s v=""/>
  </r>
  <r>
    <s v="c41e6ba1-6c87-47f6-86c5-9d783983a49a"/>
    <s v="2024-08-24"/>
    <x v="2"/>
    <x v="10"/>
    <n v="24"/>
    <s v="22:15"/>
    <n v="10000"/>
    <x v="1"/>
    <s v="other"/>
    <x v="1"/>
    <s v="rc_acc_1781955063347_uxz4"/>
    <x v="4"/>
    <s v="kbank"/>
    <s v="KBank"/>
    <s v="-"/>
    <m/>
    <s v="import"/>
    <s v=""/>
    <b v="0"/>
    <s v=""/>
  </r>
  <r>
    <s v="9daff6ed-8f03-4b11-9703-56be076a3599"/>
    <s v="2024-08-23"/>
    <x v="2"/>
    <x v="10"/>
    <n v="23"/>
    <s v="21:31"/>
    <n v="60000"/>
    <x v="1"/>
    <s v="other"/>
    <x v="1"/>
    <s v="rc_acc_1781955063347_uxz4"/>
    <x v="4"/>
    <s v="kbank"/>
    <s v="KBank"/>
    <s v="-"/>
    <m/>
    <s v="import"/>
    <s v=""/>
    <b v="0"/>
    <s v=""/>
  </r>
  <r>
    <s v="5c41b30d-8c06-4eff-b951-ec20a14d5e11"/>
    <s v="2024-08-23"/>
    <x v="2"/>
    <x v="10"/>
    <n v="23"/>
    <s v="21:31"/>
    <n v="100000"/>
    <x v="1"/>
    <s v="other"/>
    <x v="1"/>
    <s v="kbank"/>
    <x v="0"/>
    <s v="rc_acc_1781955063349_yz2g"/>
    <s v="Investment"/>
    <s v="-"/>
    <m/>
    <s v="import"/>
    <s v=""/>
    <b v="0"/>
    <s v=""/>
  </r>
  <r>
    <s v="b74b5f4d-b9a1-45d4-b2f4-32c992700f6f"/>
    <s v="2024-08-21"/>
    <x v="2"/>
    <x v="10"/>
    <n v="21"/>
    <s v="16:34"/>
    <n v="2000"/>
    <x v="0"/>
    <s v="rc_cat_1781955063347_anhy_1781955063348_k5l1"/>
    <x v="16"/>
    <s v="kbank"/>
    <x v="0"/>
    <s v=""/>
    <m/>
    <s v="เงินฝ่าย"/>
    <m/>
    <s v="import"/>
    <s v=""/>
    <b v="0"/>
    <s v=""/>
  </r>
  <r>
    <s v="e095a5f2-da08-4bb1-ac9f-eee49bc021de"/>
    <s v="2024-08-21"/>
    <x v="2"/>
    <x v="10"/>
    <n v="21"/>
    <s v="18:11"/>
    <n v="720"/>
    <x v="0"/>
    <s v="entertain_1781955063359_cf7f"/>
    <x v="7"/>
    <s v="kbank"/>
    <x v="0"/>
    <s v=""/>
    <m/>
    <s v="-"/>
    <m/>
    <s v="import"/>
    <s v=""/>
    <b v="0"/>
    <s v=""/>
  </r>
  <r>
    <s v="555c6ab0-1c30-4008-b994-3345f2a98dbf"/>
    <s v="2024-08-20"/>
    <x v="2"/>
    <x v="10"/>
    <n v="20"/>
    <s v="07:25"/>
    <n v="150"/>
    <x v="0"/>
    <s v="entertain_1781955063359_cf7f"/>
    <x v="7"/>
    <s v="kbank"/>
    <x v="0"/>
    <s v=""/>
    <m/>
    <s v="กาชา แชงส์"/>
    <m/>
    <s v="import"/>
    <s v=""/>
    <b v="0"/>
    <s v=""/>
  </r>
  <r>
    <s v="0be1397b-5f5a-4b81-8d70-c66efc0e7219"/>
    <s v="2024-08-17"/>
    <x v="2"/>
    <x v="10"/>
    <n v="17"/>
    <s v="10:59"/>
    <n v="320"/>
    <x v="0"/>
    <s v="rc_cat_1781955063347_anhy_1781955063347_qnaz"/>
    <x v="4"/>
    <s v="kbank"/>
    <x v="0"/>
    <s v=""/>
    <m/>
    <s v="-"/>
    <m/>
    <s v="import"/>
    <s v=""/>
    <b v="0"/>
    <s v=""/>
  </r>
  <r>
    <s v="9d9d9453-93ce-48ca-86f6-adc4a3677d94"/>
    <s v="2024-08-17"/>
    <x v="2"/>
    <x v="10"/>
    <n v="17"/>
    <s v="11:31"/>
    <n v="7900"/>
    <x v="0"/>
    <s v="rc_cat_1781955063347_anhy_1781955063347_qnaz"/>
    <x v="4"/>
    <s v="advance"/>
    <x v="2"/>
    <s v=""/>
    <m/>
    <s v="โอนให้แม่"/>
    <m/>
    <s v="import"/>
    <s v=""/>
    <b v="0"/>
    <s v=""/>
  </r>
  <r>
    <s v="6f2764d9-e0d0-4ff2-a607-03fd30267e75"/>
    <s v="2024-08-17"/>
    <x v="2"/>
    <x v="10"/>
    <n v="17"/>
    <s v="11:33"/>
    <n v="1291.66"/>
    <x v="1"/>
    <s v="other"/>
    <x v="1"/>
    <s v="advance"/>
    <x v="2"/>
    <s v="kbank"/>
    <s v="KBank"/>
    <s v="ค่าไฟ"/>
    <m/>
    <s v="import"/>
    <s v=""/>
    <b v="0"/>
    <s v=""/>
  </r>
  <r>
    <s v="fa84ba5c-51df-44c3-8cad-f1ba6553d779"/>
    <s v="2024-08-17"/>
    <x v="2"/>
    <x v="10"/>
    <n v="17"/>
    <s v="12:34"/>
    <n v="10000"/>
    <x v="0"/>
    <s v="rc_cat_1781955063347_anhy_1781955063347_qnaz"/>
    <x v="4"/>
    <s v="advance"/>
    <x v="2"/>
    <s v=""/>
    <m/>
    <s v="แบงก์ให้แม่"/>
    <m/>
    <s v="import"/>
    <s v=""/>
    <b v="0"/>
    <s v=""/>
  </r>
  <r>
    <s v="b51f73c2-70d8-44d7-a48b-51d50a220c2f"/>
    <s v="2024-08-17"/>
    <x v="2"/>
    <x v="10"/>
    <n v="17"/>
    <s v="12:35"/>
    <n v="895"/>
    <x v="1"/>
    <s v="other"/>
    <x v="1"/>
    <s v="advance"/>
    <x v="2"/>
    <s v="kbank"/>
    <s v="KBank"/>
    <s v="-"/>
    <m/>
    <s v="import"/>
    <s v=""/>
    <b v="0"/>
    <s v=""/>
  </r>
  <r>
    <s v="c5c92467-0129-4b32-836e-2a94db478fc0"/>
    <s v="2024-08-17"/>
    <x v="2"/>
    <x v="10"/>
    <n v="17"/>
    <s v="21:33"/>
    <n v="1000"/>
    <x v="0"/>
    <s v="other_1781955063348_yjhe"/>
    <x v="26"/>
    <s v="kbank"/>
    <x v="0"/>
    <s v=""/>
    <m/>
    <s v="-"/>
    <m/>
    <s v="import"/>
    <s v=""/>
    <b v="0"/>
    <s v=""/>
  </r>
  <r>
    <s v="22424473-6cd1-4d2a-beec-c616b606621c"/>
    <s v="2024-08-12"/>
    <x v="2"/>
    <x v="10"/>
    <n v="12"/>
    <s v="10:58"/>
    <n v="1343"/>
    <x v="1"/>
    <s v="other"/>
    <x v="1"/>
    <s v="kbank"/>
    <x v="0"/>
    <s v="advance"/>
    <s v="Advance Paid"/>
    <s v="-"/>
    <m/>
    <s v="import"/>
    <s v=""/>
    <b v="0"/>
    <s v=""/>
  </r>
  <r>
    <s v="4d884fb6-a5f2-40d5-a10c-ebb312ab5baa"/>
    <s v="2024-08-11"/>
    <x v="2"/>
    <x v="10"/>
    <n v="11"/>
    <s v="10:05"/>
    <n v="4000"/>
    <x v="1"/>
    <s v="other"/>
    <x v="1"/>
    <s v="rc_acc_1781955063347_e3zv"/>
    <x v="16"/>
    <s v="rc_acc_1781955063347_uxz4"/>
    <s v="SCB"/>
    <s v="-"/>
    <m/>
    <s v="import"/>
    <s v=""/>
    <b v="0"/>
    <s v=""/>
  </r>
  <r>
    <s v="9b1bdb7b-57dc-498e-9744-e6db4f4320d5"/>
    <s v="2024-08-03"/>
    <x v="2"/>
    <x v="10"/>
    <n v="3"/>
    <s v="10:56"/>
    <n v="19000"/>
    <x v="0"/>
    <s v="rc_cat_1781955063347_anhy_1781955063350_fcpb"/>
    <x v="2"/>
    <s v="kbank"/>
    <x v="0"/>
    <s v=""/>
    <m/>
    <s v="-"/>
    <m/>
    <s v="import"/>
    <s v=""/>
    <b v="0"/>
    <s v=""/>
  </r>
  <r>
    <s v="775f1d92-4b6a-4ae8-a511-d84b911c505a"/>
    <s v="2024-07-31"/>
    <x v="2"/>
    <x v="11"/>
    <n v="31"/>
    <s v="10:04"/>
    <n v="1100"/>
    <x v="1"/>
    <s v="other"/>
    <x v="1"/>
    <s v="advance"/>
    <x v="2"/>
    <s v="rc_acc_1781955063347_uxz4"/>
    <s v="SCB"/>
    <s v="-"/>
    <m/>
    <s v="import"/>
    <s v=""/>
    <b v="0"/>
    <s v=""/>
  </r>
  <r>
    <s v="72b3b545-a9b7-4dcf-95db-d90f106ee706"/>
    <s v="2024-07-31"/>
    <x v="2"/>
    <x v="11"/>
    <n v="31"/>
    <s v="10:56"/>
    <n v="1291.66"/>
    <x v="1"/>
    <s v="other"/>
    <x v="1"/>
    <s v="kbank"/>
    <x v="0"/>
    <s v="advance"/>
    <s v="Advance Paid"/>
    <s v="-"/>
    <m/>
    <s v="import"/>
    <s v=""/>
    <b v="0"/>
    <s v=""/>
  </r>
  <r>
    <s v="34d030d2-c90d-43d4-9283-35c290ad1ec4"/>
    <s v="2024-07-31"/>
    <x v="2"/>
    <x v="11"/>
    <n v="31"/>
    <s v="10:57"/>
    <n v="7357.13"/>
    <x v="0"/>
    <s v="rc_cat_1781955063347_04qb_1781955063347_wt5p"/>
    <x v="3"/>
    <s v="kbank"/>
    <x v="0"/>
    <s v=""/>
    <m/>
    <s v="-"/>
    <m/>
    <s v="import"/>
    <s v=""/>
    <b v="0"/>
    <s v=""/>
  </r>
  <r>
    <s v="63c4c945-9500-42ca-a96d-e14fc8f54522"/>
    <s v="2024-07-31"/>
    <x v="2"/>
    <x v="11"/>
    <n v="31"/>
    <s v="11:06"/>
    <n v="4747"/>
    <x v="0"/>
    <s v="rc_cat_1781955063347_5qjb_1781955063347_tezk"/>
    <x v="5"/>
    <s v="rc_acc_1781955063357_rvam"/>
    <x v="3"/>
    <s v=""/>
    <m/>
    <s v="-"/>
    <m/>
    <s v="import"/>
    <s v=""/>
    <b v="0"/>
    <s v=""/>
  </r>
  <r>
    <s v="82264fbd-c34f-48c7-b759-bf6574d757bf"/>
    <s v="2024-07-31"/>
    <x v="2"/>
    <x v="11"/>
    <n v="31"/>
    <s v="11:10"/>
    <n v="6302.99"/>
    <x v="0"/>
    <s v="other_1781955063347_5s7r"/>
    <x v="15"/>
    <s v="rc_acc_1781955063357_rvam"/>
    <x v="3"/>
    <s v=""/>
    <m/>
    <s v="Difference"/>
    <m/>
    <s v="import"/>
    <s v=""/>
    <b v="0"/>
    <s v=""/>
  </r>
  <r>
    <s v="de3cc10d-6b52-41d5-bc14-cd399a1d6c08"/>
    <s v="2024-07-30"/>
    <x v="2"/>
    <x v="11"/>
    <n v="30"/>
    <s v="17:31"/>
    <n v="4900"/>
    <x v="1"/>
    <s v="other"/>
    <x v="1"/>
    <s v="advance"/>
    <x v="2"/>
    <s v="rc_acc_1781955063347_uxz4"/>
    <s v="SCB"/>
    <s v="-"/>
    <m/>
    <s v="import"/>
    <s v=""/>
    <b v="0"/>
    <s v=""/>
  </r>
  <r>
    <s v="d570d6ad-3329-4210-833e-a2cf8f5ac850"/>
    <s v="2024-07-28"/>
    <x v="2"/>
    <x v="11"/>
    <n v="28"/>
    <s v="18:13"/>
    <n v="2250"/>
    <x v="0"/>
    <s v="entertain_1781955063359_cf7f"/>
    <x v="7"/>
    <s v="kbank"/>
    <x v="0"/>
    <s v=""/>
    <m/>
    <s v="-"/>
    <m/>
    <s v="import"/>
    <s v=""/>
    <b v="0"/>
    <s v=""/>
  </r>
  <r>
    <s v="e3eefbaf-38a7-4517-9b30-dabffc1053ad"/>
    <s v="2024-07-28"/>
    <x v="2"/>
    <x v="11"/>
    <n v="28"/>
    <s v="18:13"/>
    <n v="819"/>
    <x v="0"/>
    <s v="rc_cat_1781955063347_5qjb_1781955063347_tezk"/>
    <x v="5"/>
    <s v="kbank"/>
    <x v="0"/>
    <s v=""/>
    <m/>
    <s v="-"/>
    <m/>
    <s v="import"/>
    <s v=""/>
    <b v="0"/>
    <s v=""/>
  </r>
  <r>
    <s v="526fb387-59f7-4691-a5e1-7a4c373df7b2"/>
    <s v="2024-07-28"/>
    <x v="2"/>
    <x v="11"/>
    <n v="28"/>
    <s v="18:19"/>
    <n v="1200"/>
    <x v="1"/>
    <s v="other"/>
    <x v="1"/>
    <s v="advance"/>
    <x v="2"/>
    <s v="rc_acc_1781955063347_uxz4"/>
    <s v="SCB"/>
    <s v="หง 12 ใบ"/>
    <m/>
    <s v="import"/>
    <s v=""/>
    <b v="0"/>
    <s v=""/>
  </r>
  <r>
    <s v="8a8acf1f-fcee-4341-8678-9e5f3a294426"/>
    <s v="2024-07-28"/>
    <x v="2"/>
    <x v="11"/>
    <n v="28"/>
    <s v="18:20"/>
    <n v="1100"/>
    <x v="1"/>
    <s v="other"/>
    <x v="1"/>
    <s v="advance"/>
    <x v="2"/>
    <s v="rc_acc_1781955063347_uxz4"/>
    <s v="SCB"/>
    <s v="-"/>
    <m/>
    <s v="import"/>
    <s v=""/>
    <b v="0"/>
    <s v=""/>
  </r>
  <r>
    <s v="2608094f-310c-409f-a49c-b7c0f5860a0f"/>
    <s v="2024-07-28"/>
    <x v="2"/>
    <x v="11"/>
    <n v="28"/>
    <s v="18:20"/>
    <n v="1650"/>
    <x v="1"/>
    <s v="other"/>
    <x v="1"/>
    <s v="advance"/>
    <x v="2"/>
    <s v="rc_acc_1781955063347_uxz4"/>
    <s v="SCB"/>
    <s v="-"/>
    <m/>
    <s v="import"/>
    <s v=""/>
    <b v="0"/>
    <s v=""/>
  </r>
  <r>
    <s v="50bfb512-1f9d-4fba-9c24-4df5da229d41"/>
    <s v="2024-07-28"/>
    <x v="2"/>
    <x v="11"/>
    <n v="28"/>
    <s v="18:21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975cdfd-1eb6-4745-95c3-43e36b5430dc"/>
    <s v="2024-07-28"/>
    <x v="2"/>
    <x v="11"/>
    <n v="28"/>
    <s v="18:21"/>
    <n v="2.26"/>
    <x v="0"/>
    <s v="other_1781955063347_5s7r"/>
    <x v="15"/>
    <s v="rc_acc_1781955063347_uxz4"/>
    <x v="4"/>
    <s v=""/>
    <m/>
    <s v="Difference"/>
    <m/>
    <s v="import"/>
    <s v=""/>
    <b v="0"/>
    <s v=""/>
  </r>
  <r>
    <s v="15fa7bc3-044b-4f45-b1bb-0d88459ac7b1"/>
    <s v="2024-07-27"/>
    <x v="2"/>
    <x v="11"/>
    <n v="27"/>
    <s v="18:00"/>
    <n v="5000"/>
    <x v="0"/>
    <s v="rc_cat_1781955063347_anhy_1781955063347_qnaz"/>
    <x v="4"/>
    <s v="kbank"/>
    <x v="0"/>
    <s v=""/>
    <m/>
    <s v="-"/>
    <m/>
    <s v="import"/>
    <s v=""/>
    <b v="0"/>
    <s v=""/>
  </r>
  <r>
    <s v="6c9704c3-a859-471b-b0dc-a58dd6857b37"/>
    <s v="2024-07-26"/>
    <x v="2"/>
    <x v="11"/>
    <n v="26"/>
    <s v="18:00"/>
    <n v="16000"/>
    <x v="1"/>
    <s v="other"/>
    <x v="1"/>
    <s v="kbank"/>
    <x v="0"/>
    <s v="rc_acc_1781955063349_yz2g"/>
    <s v="Investment"/>
    <s v="-"/>
    <m/>
    <s v="import"/>
    <s v=""/>
    <b v="0"/>
    <s v=""/>
  </r>
  <r>
    <s v="f39780af-54fb-4bb8-ba48-adae927bf444"/>
    <s v="2024-07-25"/>
    <x v="2"/>
    <x v="11"/>
    <n v="25"/>
    <s v="00:00"/>
    <n v="4158"/>
    <x v="1"/>
    <s v="other"/>
    <x v="1"/>
    <s v="kbank"/>
    <x v="0"/>
    <s v="rc_acc_1781955063348_xd87"/>
    <s v="Hong"/>
    <s v="-"/>
    <m/>
    <s v="import"/>
    <s v=""/>
    <b v="0"/>
    <s v=""/>
  </r>
  <r>
    <s v="042c6d93-2fc9-4ca9-b60c-bf669988b972"/>
    <s v="2024-07-25"/>
    <x v="2"/>
    <x v="11"/>
    <n v="25"/>
    <s v="00:00"/>
    <n v="1976.78"/>
    <x v="0"/>
    <s v="rc_cat_1781955063347_04qb_1781955063350_acgf"/>
    <x v="11"/>
    <s v="kbank"/>
    <x v="0"/>
    <s v=""/>
    <m/>
    <s v="-"/>
    <m/>
    <s v="import"/>
    <s v=""/>
    <b v="0"/>
    <s v=""/>
  </r>
  <r>
    <s v="104c5089-a91a-49f4-b7eb-bb27e2a26407"/>
    <s v="2024-07-25"/>
    <x v="2"/>
    <x v="11"/>
    <n v="25"/>
    <s v="00:00"/>
    <n v="2555.2"/>
    <x v="1"/>
    <s v="other"/>
    <x v="1"/>
    <s v="kbank"/>
    <x v="0"/>
    <s v="rc_acc_1781955063347_r9dz"/>
    <s v="Provident Fund"/>
    <s v="-"/>
    <m/>
    <s v="import"/>
    <s v=""/>
    <b v="0"/>
    <s v=""/>
  </r>
  <r>
    <s v="7b83357f-6757-405d-ae8e-fd3f1c7db8f2"/>
    <s v="2024-07-25"/>
    <x v="2"/>
    <x v="11"/>
    <n v="25"/>
    <s v="00:00"/>
    <n v="309.74"/>
    <x v="0"/>
    <s v="rc_cat_1781955063347_04qb_1781955063347_lu9b"/>
    <x v="20"/>
    <s v="kbank"/>
    <x v="0"/>
    <s v=""/>
    <m/>
    <s v="-"/>
    <m/>
    <s v="import"/>
    <s v=""/>
    <b v="0"/>
    <s v=""/>
  </r>
  <r>
    <s v="12bebdea-a420-4c8e-afc6-857917d6a488"/>
    <s v="2024-07-25"/>
    <x v="2"/>
    <x v="11"/>
    <n v="25"/>
    <s v="00:00"/>
    <n v="3385.42"/>
    <x v="0"/>
    <s v="rc_cat_1781955063347_04qb_1781955063347_kgnn"/>
    <x v="13"/>
    <s v="kbank"/>
    <x v="0"/>
    <s v=""/>
    <m/>
    <s v="-"/>
    <m/>
    <s v="import"/>
    <s v=""/>
    <b v="0"/>
    <s v=""/>
  </r>
  <r>
    <s v="76f467bb-0fc0-47ee-b88d-91a08f440041"/>
    <s v="2024-07-25"/>
    <x v="2"/>
    <x v="11"/>
    <n v="25"/>
    <s v="00:00"/>
    <n v="127760"/>
    <x v="2"/>
    <s v="income_1781955063347_5zxt"/>
    <x v="14"/>
    <s v="kbank"/>
    <x v="0"/>
    <s v=""/>
    <m/>
    <s v="-"/>
    <m/>
    <s v="import"/>
    <s v=""/>
    <b v="0"/>
    <s v=""/>
  </r>
  <r>
    <s v="a67850fe-17da-48e3-8c2f-ff6f47e49040"/>
    <s v="2024-07-25"/>
    <x v="2"/>
    <x v="11"/>
    <n v="25"/>
    <s v="00:00"/>
    <n v="8540"/>
    <x v="1"/>
    <s v="other"/>
    <x v="1"/>
    <s v="kbank"/>
    <x v="0"/>
    <s v="rc_acc_1781955063347_bwow"/>
    <s v="Home chomthong Loan"/>
    <s v="-"/>
    <m/>
    <s v="import"/>
    <s v=""/>
    <b v="0"/>
    <s v=""/>
  </r>
  <r>
    <s v="aba559ac-7f62-42b6-a18a-0366fe26a964"/>
    <s v="2024-07-25"/>
    <x v="2"/>
    <x v="11"/>
    <n v="25"/>
    <s v="00:00"/>
    <n v="500"/>
    <x v="1"/>
    <s v="other"/>
    <x v="1"/>
    <s v="kbank"/>
    <x v="0"/>
    <s v="rc_acc_1781955063347_6gmg"/>
    <s v="Coop"/>
    <s v="-"/>
    <m/>
    <s v="import"/>
    <s v=""/>
    <b v="0"/>
    <s v=""/>
  </r>
  <r>
    <s v="5b20323b-2b91-45de-a74e-280071d33ec0"/>
    <s v="2024-07-25"/>
    <x v="2"/>
    <x v="11"/>
    <n v="25"/>
    <s v="00:00"/>
    <n v="9240"/>
    <x v="1"/>
    <s v="other"/>
    <x v="1"/>
    <s v="kbank"/>
    <x v="0"/>
    <s v="rc_acc_1781955063347_mzbn"/>
    <s v="Car Loan"/>
    <s v="-"/>
    <m/>
    <s v="import"/>
    <s v=""/>
    <b v="0"/>
    <s v=""/>
  </r>
  <r>
    <s v="48aba4dd-0818-4bb5-805a-897fc8a97b3f"/>
    <s v="2024-07-21"/>
    <x v="2"/>
    <x v="11"/>
    <n v="21"/>
    <s v="17:48"/>
    <n v="345"/>
    <x v="0"/>
    <s v="rc_cat_1781955063347_anhy_1781955063347_qnaz"/>
    <x v="4"/>
    <s v="kbank"/>
    <x v="0"/>
    <s v=""/>
    <m/>
    <s v="-"/>
    <m/>
    <s v="import"/>
    <s v=""/>
    <b v="0"/>
    <s v=""/>
  </r>
  <r>
    <s v="bb7644c7-5f11-4694-8557-52f5cbe611bb"/>
    <s v="2024-07-20"/>
    <x v="2"/>
    <x v="11"/>
    <n v="20"/>
    <s v="11:46"/>
    <n v="260"/>
    <x v="1"/>
    <s v="other"/>
    <x v="1"/>
    <s v="advance"/>
    <x v="2"/>
    <s v="kbank"/>
    <s v="KBank"/>
    <s v="-"/>
    <m/>
    <s v="import"/>
    <s v=""/>
    <b v="0"/>
    <s v=""/>
  </r>
  <r>
    <s v="db3f080d-f017-4ce2-8db5-2528d017578c"/>
    <s v="2024-07-20"/>
    <x v="2"/>
    <x v="11"/>
    <n v="20"/>
    <s v="11:48"/>
    <n v="93.74"/>
    <x v="0"/>
    <s v="other_1781955063347_5s7r"/>
    <x v="15"/>
    <s v="kbank"/>
    <x v="0"/>
    <s v=""/>
    <m/>
    <s v="Difference"/>
    <m/>
    <s v="import"/>
    <s v=""/>
    <b v="0"/>
    <s v=""/>
  </r>
  <r>
    <s v="f6fdddc2-8718-42e1-b397-810848542f34"/>
    <s v="2024-07-20"/>
    <x v="2"/>
    <x v="11"/>
    <n v="20"/>
    <s v="17:59"/>
    <n v="1750"/>
    <x v="0"/>
    <s v="entertain_1781955063348_kx2f"/>
    <x v="0"/>
    <s v="kbank"/>
    <x v="0"/>
    <s v=""/>
    <m/>
    <s v="-"/>
    <m/>
    <s v="import"/>
    <s v=""/>
    <b v="0"/>
    <s v=""/>
  </r>
  <r>
    <s v="01c356df-9f87-4a82-86ab-c222d5fe925c"/>
    <s v="2024-07-19"/>
    <x v="2"/>
    <x v="11"/>
    <n v="19"/>
    <s v="11:39"/>
    <n v="99"/>
    <x v="0"/>
    <s v="rc_cat_1781955063347_5qjb_1781955063347_tezk"/>
    <x v="5"/>
    <s v="kbank"/>
    <x v="0"/>
    <s v=""/>
    <m/>
    <s v="-"/>
    <m/>
    <s v="import"/>
    <s v=""/>
    <b v="0"/>
    <s v=""/>
  </r>
  <r>
    <s v="40886c33-e055-4a0f-b85c-3cf1cbe8fdcc"/>
    <s v="2024-07-13"/>
    <x v="2"/>
    <x v="11"/>
    <n v="13"/>
    <s v="11:40"/>
    <n v="300"/>
    <x v="0"/>
    <s v="rc_cat_1781955063347_s4sz_1781955063347_deos"/>
    <x v="6"/>
    <s v="kbank"/>
    <x v="0"/>
    <s v=""/>
    <m/>
    <s v="ตัดผม"/>
    <m/>
    <s v="import"/>
    <s v=""/>
    <b v="0"/>
    <s v=""/>
  </r>
  <r>
    <s v="eb46b6d5-979c-4717-9f33-cc235f4dec07"/>
    <s v="2024-07-13"/>
    <x v="2"/>
    <x v="11"/>
    <n v="13"/>
    <s v="22:34"/>
    <n v="400"/>
    <x v="1"/>
    <s v="other"/>
    <x v="1"/>
    <s v="rc_acc_1781955063348_obza"/>
    <x v="8"/>
    <s v="rc_acc_1781955063347_e3zv"/>
    <s v="Cash"/>
    <s v="-"/>
    <m/>
    <s v="import"/>
    <s v=""/>
    <b v="0"/>
    <s v=""/>
  </r>
  <r>
    <s v="38ae80af-16b6-4525-86fd-ed73c8f1c7f9"/>
    <s v="2024-07-12"/>
    <x v="2"/>
    <x v="11"/>
    <n v="12"/>
    <s v="11:38"/>
    <n v="300"/>
    <x v="0"/>
    <s v="entertain_1781955063359_cf7f"/>
    <x v="7"/>
    <s v="kbank"/>
    <x v="0"/>
    <s v=""/>
    <m/>
    <s v="-"/>
    <m/>
    <s v="import"/>
    <s v=""/>
    <b v="0"/>
    <s v=""/>
  </r>
  <r>
    <s v="b06cf9e1-e53c-4484-9ba0-6caa1db0456f"/>
    <s v="2024-07-11"/>
    <x v="2"/>
    <x v="11"/>
    <n v="11"/>
    <s v="11:56"/>
    <n v="4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2dbbc09-4a85-44ff-b878-6200cd204b4b"/>
    <s v="2024-07-10"/>
    <x v="2"/>
    <x v="11"/>
    <n v="10"/>
    <s v="11:38"/>
    <n v="5000"/>
    <x v="0"/>
    <s v="rc_cat_1781955063347_anhy_1781955063347_qnaz"/>
    <x v="4"/>
    <s v="kbank"/>
    <x v="0"/>
    <s v=""/>
    <m/>
    <s v="-"/>
    <m/>
    <s v="import"/>
    <s v=""/>
    <b v="0"/>
    <s v=""/>
  </r>
  <r>
    <s v="5cf2856a-dcae-4bac-8121-32b396f9c2f9"/>
    <s v="2024-07-09"/>
    <x v="2"/>
    <x v="11"/>
    <n v="9"/>
    <s v="11:37"/>
    <n v="218"/>
    <x v="0"/>
    <s v="rc_cat_1781955063347_5qjb_1781955063347_tezk"/>
    <x v="5"/>
    <s v="kbank"/>
    <x v="0"/>
    <s v=""/>
    <m/>
    <s v="-"/>
    <m/>
    <s v="import"/>
    <s v=""/>
    <b v="0"/>
    <s v=""/>
  </r>
  <r>
    <s v="c977aa4b-0393-4d0e-a4cf-d6cdda6f2c22"/>
    <s v="2024-07-04"/>
    <x v="2"/>
    <x v="11"/>
    <n v="4"/>
    <s v="11:51"/>
    <n v="650"/>
    <x v="1"/>
    <s v="other"/>
    <x v="1"/>
    <s v="advance"/>
    <x v="2"/>
    <s v="rc_acc_1781955063347_uxz4"/>
    <s v="SCB"/>
    <s v="-"/>
    <m/>
    <s v="import"/>
    <s v=""/>
    <b v="0"/>
    <s v=""/>
  </r>
  <r>
    <s v="ca960d4f-6587-474c-b1aa-8fedb741972c"/>
    <s v="2024-07-01"/>
    <x v="2"/>
    <x v="11"/>
    <n v="1"/>
    <s v="11:36"/>
    <n v="5000"/>
    <x v="1"/>
    <s v="other"/>
    <x v="1"/>
    <s v="kbank"/>
    <x v="0"/>
    <s v="rc_acc_1781955063357_rvam"/>
    <s v="Make Kbank"/>
    <s v="-"/>
    <m/>
    <s v="import"/>
    <s v=""/>
    <b v="0"/>
    <s v=""/>
  </r>
  <r>
    <s v="ae874dc8-f886-4bd1-97a1-114709fa2019"/>
    <s v="2024-07-01"/>
    <x v="2"/>
    <x v="11"/>
    <n v="1"/>
    <s v="11:37"/>
    <n v="7166"/>
    <x v="0"/>
    <s v="rc_cat_1781955063347_04qb_1781955063347_wt5p"/>
    <x v="3"/>
    <s v="kbank"/>
    <x v="0"/>
    <s v=""/>
    <m/>
    <s v="-"/>
    <m/>
    <s v="import"/>
    <s v=""/>
    <b v="0"/>
    <s v=""/>
  </r>
  <r>
    <s v="c9469073-7105-496e-beef-6a3fcc50089e"/>
    <s v="2024-07-01"/>
    <x v="2"/>
    <x v="11"/>
    <n v="1"/>
    <s v="11:50"/>
    <n v="17500"/>
    <x v="0"/>
    <s v="rc_cat_1781955063347_anhy_1781955063350_fcpb"/>
    <x v="2"/>
    <s v="rc_acc_1781955063347_uxz4"/>
    <x v="4"/>
    <s v=""/>
    <m/>
    <s v="-"/>
    <m/>
    <s v="import"/>
    <s v=""/>
    <b v="0"/>
    <s v=""/>
  </r>
  <r>
    <s v="b2efbc19-b248-4d2a-9733-14210009a976"/>
    <s v="2024-06-30"/>
    <x v="2"/>
    <x v="0"/>
    <n v="30"/>
    <s v="09:59"/>
    <n v="1079"/>
    <x v="0"/>
    <s v="rc_cat_1781955063347_5qjb_1781955063347_tezk"/>
    <x v="5"/>
    <s v="kbank"/>
    <x v="0"/>
    <s v=""/>
    <m/>
    <s v="-"/>
    <m/>
    <s v="import"/>
    <s v=""/>
    <b v="0"/>
    <s v=""/>
  </r>
  <r>
    <s v="2f9e0cef-f00b-4006-8ed3-0d211b3e20aa"/>
    <s v="2024-06-30"/>
    <x v="2"/>
    <x v="0"/>
    <n v="30"/>
    <s v="09:59"/>
    <n v="2031"/>
    <x v="0"/>
    <s v="rc_cat_1781955063347_5qjb_1781955063348_wpky"/>
    <x v="27"/>
    <s v="kbank"/>
    <x v="0"/>
    <s v=""/>
    <m/>
    <s v="โต๊ะ"/>
    <m/>
    <s v="import"/>
    <s v=""/>
    <b v="0"/>
    <s v=""/>
  </r>
  <r>
    <s v="8ca03cfd-1a9d-4e80-8612-f376e5c32d14"/>
    <s v="2024-06-30"/>
    <x v="2"/>
    <x v="0"/>
    <n v="30"/>
    <s v="09:59"/>
    <n v="3522"/>
    <x v="0"/>
    <s v="entertain_1781955063359_cf7f"/>
    <x v="7"/>
    <s v="kbank"/>
    <x v="0"/>
    <s v=""/>
    <m/>
    <s v="-"/>
    <m/>
    <s v="import"/>
    <s v=""/>
    <b v="0"/>
    <s v=""/>
  </r>
  <r>
    <s v="a2cf9a2f-ab7c-4ac2-9e2a-035eef9d5145"/>
    <s v="2024-06-30"/>
    <x v="2"/>
    <x v="0"/>
    <n v="30"/>
    <s v="10:26"/>
    <n v="320"/>
    <x v="0"/>
    <s v="rc_cat_1781955063347_anhy_1781955063347_qnaz"/>
    <x v="4"/>
    <s v="kbank"/>
    <x v="0"/>
    <s v=""/>
    <m/>
    <s v="-"/>
    <m/>
    <s v="import"/>
    <s v=""/>
    <b v="0"/>
    <s v=""/>
  </r>
  <r>
    <s v="67be2302-a5ae-4a7e-8280-0e69de303e07"/>
    <s v="2024-06-30"/>
    <x v="2"/>
    <x v="0"/>
    <n v="30"/>
    <s v="11:41"/>
    <n v="1079"/>
    <x v="1"/>
    <s v="other"/>
    <x v="1"/>
    <s v="rc_acc_1781955063357_rvam"/>
    <x v="3"/>
    <s v="kbank"/>
    <s v="KBank"/>
    <s v="-"/>
    <m/>
    <s v="import"/>
    <s v=""/>
    <b v="0"/>
    <s v=""/>
  </r>
  <r>
    <s v="5aa9d283-519c-42fb-8932-b0ccd6b9732a"/>
    <s v="2024-06-30"/>
    <x v="2"/>
    <x v="0"/>
    <n v="30"/>
    <s v="11:45"/>
    <n v="675"/>
    <x v="1"/>
    <s v="other"/>
    <x v="1"/>
    <s v="kbank"/>
    <x v="0"/>
    <s v="advance"/>
    <s v="Advance Paid"/>
    <s v="-"/>
    <m/>
    <s v="import"/>
    <s v=""/>
    <b v="0"/>
    <s v=""/>
  </r>
  <r>
    <s v="6edfe022-4109-40e8-8836-89ce74a95d74"/>
    <s v="2024-06-30"/>
    <x v="2"/>
    <x v="0"/>
    <n v="30"/>
    <s v="11:47"/>
    <n v="1580"/>
    <x v="1"/>
    <s v="other"/>
    <x v="1"/>
    <s v="kbank"/>
    <x v="0"/>
    <s v="advance"/>
    <s v="Advance Paid"/>
    <s v="-"/>
    <m/>
    <s v="import"/>
    <s v=""/>
    <b v="0"/>
    <s v=""/>
  </r>
  <r>
    <s v="171699e0-a812-4007-a5a4-c68b7e89e075"/>
    <s v="2024-06-30"/>
    <x v="2"/>
    <x v="0"/>
    <n v="30"/>
    <s v="11:49"/>
    <n v="548"/>
    <x v="1"/>
    <s v="other"/>
    <x v="1"/>
    <s v="advance"/>
    <x v="2"/>
    <s v="rc_acc_1781955063347_uxz4"/>
    <s v="SCB"/>
    <s v="-"/>
    <m/>
    <s v="import"/>
    <s v=""/>
    <b v="0"/>
    <s v=""/>
  </r>
  <r>
    <s v="83682154-cc25-46c3-9ca6-ec0bca1e6543"/>
    <s v="2024-06-30"/>
    <x v="2"/>
    <x v="0"/>
    <n v="30"/>
    <s v="11:50"/>
    <n v="131"/>
    <x v="1"/>
    <s v="other"/>
    <x v="1"/>
    <s v="rc_acc_1781955063347_sv7p"/>
    <x v="12"/>
    <s v="advance"/>
    <s v="Advance Paid"/>
    <s v="-"/>
    <m/>
    <s v="import"/>
    <s v=""/>
    <b v="0"/>
    <s v=""/>
  </r>
  <r>
    <s v="10f5c781-3931-44b7-a02a-92954d01b578"/>
    <s v="2024-06-29"/>
    <x v="2"/>
    <x v="0"/>
    <n v="29"/>
    <s v="16:04"/>
    <n v="49"/>
    <x v="0"/>
    <s v="rc_cat_1781955063347_5qjb_1781955063347_tezk"/>
    <x v="5"/>
    <s v="kbank"/>
    <x v="0"/>
    <s v=""/>
    <m/>
    <s v="-"/>
    <m/>
    <s v="import"/>
    <s v=""/>
    <b v="0"/>
    <s v=""/>
  </r>
  <r>
    <s v="3fd6a29a-2937-4e76-8229-5ef9801eeab1"/>
    <s v="2024-06-28"/>
    <x v="2"/>
    <x v="0"/>
    <n v="28"/>
    <s v="10:05"/>
    <n v="30680"/>
    <x v="1"/>
    <s v="other"/>
    <x v="1"/>
    <s v="rc_acc_1781955063347_uxz4"/>
    <x v="4"/>
    <s v="advance"/>
    <s v="Advance Paid"/>
    <s v="ค่าแบงก์"/>
    <m/>
    <s v="import"/>
    <s v=""/>
    <b v="0"/>
    <s v=""/>
  </r>
  <r>
    <s v="ddc6b727-954b-4379-9edd-c1156a3a0921"/>
    <s v="2024-06-28"/>
    <x v="2"/>
    <x v="0"/>
    <n v="28"/>
    <s v="10:06"/>
    <n v="645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55796973-ef4b-4bd6-9e06-1d9401418e13"/>
    <s v="2024-06-26"/>
    <x v="2"/>
    <x v="0"/>
    <n v="26"/>
    <s v="10:01"/>
    <n v="16000"/>
    <x v="1"/>
    <s v="other"/>
    <x v="1"/>
    <s v="kbank"/>
    <x v="0"/>
    <s v="rc_acc_1781955063349_yz2g"/>
    <s v="Investment"/>
    <s v="-"/>
    <m/>
    <s v="import"/>
    <s v=""/>
    <b v="0"/>
    <s v=""/>
  </r>
  <r>
    <s v="e44c1b40-737a-4d68-ad37-67c552b42530"/>
    <s v="2024-06-26"/>
    <x v="2"/>
    <x v="0"/>
    <n v="26"/>
    <s v="12:07"/>
    <n v="7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b7a3526-a6fc-47a0-96ae-a0f1d1f9d17a"/>
    <s v="2024-06-25"/>
    <x v="2"/>
    <x v="0"/>
    <n v="25"/>
    <s v="00:00"/>
    <n v="4158"/>
    <x v="1"/>
    <s v="other"/>
    <x v="1"/>
    <s v="kbank"/>
    <x v="0"/>
    <s v="rc_acc_1781955063348_xd87"/>
    <s v="Hong"/>
    <s v="-"/>
    <m/>
    <s v="import"/>
    <s v=""/>
    <b v="0"/>
    <s v=""/>
  </r>
  <r>
    <s v="ad5c0b96-bcc9-4943-bc89-919b978114a0"/>
    <s v="2024-06-25"/>
    <x v="2"/>
    <x v="0"/>
    <n v="25"/>
    <s v="00:00"/>
    <n v="3173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0e820443-1b45-4237-a442-e55800e6b4a3"/>
    <s v="2024-06-25"/>
    <x v="2"/>
    <x v="0"/>
    <n v="25"/>
    <s v="00:00"/>
    <n v="304.33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b55c1dba-01cc-4ab4-b8b3-ccce4fcd7566"/>
    <s v="2024-06-25"/>
    <x v="2"/>
    <x v="0"/>
    <n v="25"/>
    <s v="00:00"/>
    <n v="9131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685165f6-d49f-469d-9446-b36910f0ec05"/>
    <s v="2024-06-25"/>
    <x v="2"/>
    <x v="0"/>
    <n v="25"/>
    <s v="00:00"/>
    <n v="2488.6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26da62c6-3186-48ed-b8aa-410caa379db7"/>
    <s v="2024-06-25"/>
    <x v="2"/>
    <x v="0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5b861730-c0d3-4568-b3c2-05f37cd87348"/>
    <s v="2024-06-25"/>
    <x v="2"/>
    <x v="0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f667c3a7-d01d-4c7b-a136-5db77ee3c375"/>
    <s v="2024-06-25"/>
    <x v="2"/>
    <x v="0"/>
    <n v="25"/>
    <s v="00:00"/>
    <n v="854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391b1b65-0c8b-4f8d-8584-4c09eccaed70"/>
    <s v="2024-06-25"/>
    <x v="2"/>
    <x v="0"/>
    <n v="25"/>
    <s v="00:00"/>
    <n v="124430"/>
    <x v="2"/>
    <s v="income_1781955063347_5zxt"/>
    <x v="14"/>
    <s v="rc_acc_1781955063347_uxz4"/>
    <x v="4"/>
    <s v=""/>
    <m/>
    <s v="-"/>
    <m/>
    <s v="import"/>
    <s v=""/>
    <b v="0"/>
    <s v=""/>
  </r>
  <r>
    <s v="98c8af0e-b4ff-443f-b818-3672d934c1ee"/>
    <s v="2024-06-25"/>
    <x v="2"/>
    <x v="0"/>
    <n v="25"/>
    <s v="10:03"/>
    <n v="101000"/>
    <x v="1"/>
    <s v="other"/>
    <x v="1"/>
    <s v="kbank"/>
    <x v="0"/>
    <s v="rc_acc_1781955063349_yz2g"/>
    <s v="Investment"/>
    <s v="-"/>
    <m/>
    <s v="import"/>
    <s v=""/>
    <b v="0"/>
    <s v=""/>
  </r>
  <r>
    <s v="f58d7f7f-0478-430d-916c-7f9c407ab362"/>
    <s v="2024-06-25"/>
    <x v="2"/>
    <x v="0"/>
    <n v="25"/>
    <s v="10:04"/>
    <n v="100000"/>
    <x v="1"/>
    <s v="other"/>
    <x v="1"/>
    <s v="rc_acc_1781955063347_uxz4"/>
    <x v="4"/>
    <s v="kbank"/>
    <s v="KBank"/>
    <s v="-"/>
    <m/>
    <s v="import"/>
    <s v=""/>
    <b v="0"/>
    <s v=""/>
  </r>
  <r>
    <s v="c268ecf0-fffa-4a7d-a634-400f65fb1052"/>
    <s v="2024-06-25"/>
    <x v="2"/>
    <x v="0"/>
    <n v="25"/>
    <s v="10:06"/>
    <n v="270.86"/>
    <x v="2"/>
    <s v="income_1781955063351_3ab8"/>
    <x v="22"/>
    <s v="rc_acc_1781955063347_uxz4"/>
    <x v="4"/>
    <s v=""/>
    <m/>
    <s v="-"/>
    <m/>
    <s v="import"/>
    <s v=""/>
    <b v="0"/>
    <s v=""/>
  </r>
  <r>
    <s v="0035e357-2709-4def-85ae-fc429725e0ce"/>
    <s v="2024-06-25"/>
    <x v="2"/>
    <x v="0"/>
    <n v="25"/>
    <s v="11:19"/>
    <n v="62215"/>
    <x v="2"/>
    <s v="income_1781955063347_zblt"/>
    <x v="17"/>
    <s v="rc_acc_1781955063347_uxz4"/>
    <x v="4"/>
    <s v=""/>
    <m/>
    <s v="vp"/>
    <m/>
    <s v="import"/>
    <s v=""/>
    <b v="0"/>
    <s v=""/>
  </r>
  <r>
    <s v="6949a0f1-775c-4c48-a35e-1dd7602ff6ae"/>
    <s v="2024-06-21"/>
    <x v="2"/>
    <x v="0"/>
    <n v="21"/>
    <s v="10:02"/>
    <n v="385.43"/>
    <x v="2"/>
    <s v="income_1781955063351_3ab8"/>
    <x v="22"/>
    <s v="kbank"/>
    <x v="0"/>
    <s v=""/>
    <m/>
    <s v="-"/>
    <m/>
    <s v="import"/>
    <s v=""/>
    <b v="0"/>
    <s v=""/>
  </r>
  <r>
    <s v="a93f3a98-c8a9-460f-b5a4-a5b7b899645d"/>
    <s v="2024-06-19"/>
    <x v="2"/>
    <x v="0"/>
    <n v="19"/>
    <s v="12:49"/>
    <n v="102"/>
    <x v="2"/>
    <s v="other_1781955063348_27zj"/>
    <x v="0"/>
    <s v="kbank"/>
    <x v="0"/>
    <s v=""/>
    <m/>
    <s v="-"/>
    <m/>
    <s v="import"/>
    <s v=""/>
    <b v="0"/>
    <s v=""/>
  </r>
  <r>
    <s v="f41861cd-c727-4ed1-b2ca-ba74bfe60cbf"/>
    <s v="2024-06-18"/>
    <x v="2"/>
    <x v="0"/>
    <n v="18"/>
    <s v="12:23"/>
    <n v="50000"/>
    <x v="1"/>
    <s v="other"/>
    <x v="1"/>
    <s v="rc_acc_1781955063347_uxz4"/>
    <x v="4"/>
    <s v="rc_acc_1781955063347_e3zv"/>
    <s v="Cash"/>
    <s v="-"/>
    <m/>
    <s v="import"/>
    <s v=""/>
    <b v="0"/>
    <s v=""/>
  </r>
  <r>
    <s v="f0942586-0872-4c71-a39d-c13f0ab32ca4"/>
    <s v="2024-06-18"/>
    <x v="2"/>
    <x v="0"/>
    <n v="18"/>
    <s v="12:23"/>
    <n v="20000"/>
    <x v="1"/>
    <s v="other"/>
    <x v="1"/>
    <s v="rc_acc_1781955063347_uxz4"/>
    <x v="4"/>
    <s v="rc_acc_1781955063348_obza"/>
    <s v="KRUNGSRI"/>
    <s v="-"/>
    <m/>
    <s v="import"/>
    <s v=""/>
    <b v="0"/>
    <s v=""/>
  </r>
  <r>
    <s v="8180820a-23fc-4450-bfc5-66b083910107"/>
    <s v="2024-06-18"/>
    <x v="2"/>
    <x v="0"/>
    <n v="18"/>
    <s v="12:26"/>
    <n v="13700"/>
    <x v="1"/>
    <s v="other"/>
    <x v="1"/>
    <s v="rc_acc_1781955063348_obza"/>
    <x v="8"/>
    <s v="rc_acc_1781955063347_e3zv"/>
    <s v="Cash"/>
    <s v="-"/>
    <m/>
    <s v="import"/>
    <s v=""/>
    <b v="0"/>
    <s v=""/>
  </r>
  <r>
    <s v="55df5d46-516e-499e-8fff-8243668ec400"/>
    <s v="2024-06-18"/>
    <x v="2"/>
    <x v="0"/>
    <n v="18"/>
    <s v="12:49"/>
    <n v="1054"/>
    <x v="0"/>
    <s v="entertain_1781955063359_cf7f"/>
    <x v="7"/>
    <s v="kbank"/>
    <x v="0"/>
    <s v=""/>
    <m/>
    <s v="-"/>
    <m/>
    <s v="import"/>
    <s v=""/>
    <b v="0"/>
    <s v=""/>
  </r>
  <r>
    <s v="4e606a7c-03d9-431e-9536-471d81f2b84c"/>
    <s v="2024-06-18"/>
    <x v="2"/>
    <x v="0"/>
    <n v="18"/>
    <s v="14:12"/>
    <n v="62637"/>
    <x v="0"/>
    <s v="rc_cat_1781955063347_04qb_1781955063350_acgf"/>
    <x v="11"/>
    <s v="rc_acc_1781955063347_e3zv"/>
    <x v="16"/>
    <s v=""/>
    <m/>
    <s v="-"/>
    <m/>
    <s v="import"/>
    <s v=""/>
    <b v="0"/>
    <s v=""/>
  </r>
  <r>
    <s v="24823a4d-e2b7-4bba-8133-c753f4902b21"/>
    <s v="2024-06-17"/>
    <x v="2"/>
    <x v="0"/>
    <n v="17"/>
    <s v="12:48"/>
    <n v="5000"/>
    <x v="1"/>
    <s v="other"/>
    <x v="1"/>
    <s v="kbank"/>
    <x v="0"/>
    <s v="rc_acc_1781955063349_yz2g"/>
    <s v="Investment"/>
    <s v="-"/>
    <m/>
    <s v="import"/>
    <s v=""/>
    <b v="0"/>
    <s v=""/>
  </r>
  <r>
    <s v="aa96f401-354b-4b0f-87d1-cf486c339ca6"/>
    <s v="2024-06-16"/>
    <x v="2"/>
    <x v="0"/>
    <n v="16"/>
    <s v="12:48"/>
    <n v="300"/>
    <x v="0"/>
    <s v="entertain_1781955063359_cf7f"/>
    <x v="7"/>
    <s v="kbank"/>
    <x v="0"/>
    <s v=""/>
    <m/>
    <s v="-"/>
    <m/>
    <s v="import"/>
    <s v=""/>
    <b v="0"/>
    <s v=""/>
  </r>
  <r>
    <s v="d6c6f5ab-8d30-48e4-b6a6-d2df16515d9e"/>
    <s v="2024-06-14"/>
    <x v="2"/>
    <x v="0"/>
    <n v="14"/>
    <s v="12:47"/>
    <n v="67000"/>
    <x v="1"/>
    <s v="other"/>
    <x v="1"/>
    <s v="rc_acc_1781955063348_hnxg"/>
    <x v="9"/>
    <s v="kbank"/>
    <s v="KBank"/>
    <s v="-"/>
    <m/>
    <s v="import"/>
    <s v=""/>
    <b v="0"/>
    <s v=""/>
  </r>
  <r>
    <s v="ecdff75a-faa0-4525-b9be-df2bb254d235"/>
    <s v="2024-06-14"/>
    <x v="2"/>
    <x v="0"/>
    <n v="14"/>
    <s v="16:23"/>
    <n v="7686"/>
    <x v="0"/>
    <s v="rc_cat_1781955063347_04qb_1781955063347_wt5p"/>
    <x v="3"/>
    <s v="rc_acc_1781955063347_uxz4"/>
    <x v="4"/>
    <s v=""/>
    <m/>
    <s v="-"/>
    <m/>
    <s v="import"/>
    <s v=""/>
    <b v="0"/>
    <s v=""/>
  </r>
  <r>
    <s v="0fcc3fcb-3220-41e7-8887-253b9fa8ce87"/>
    <s v="2024-06-14"/>
    <x v="2"/>
    <x v="0"/>
    <n v="14"/>
    <s v="16:23"/>
    <n v="17500"/>
    <x v="0"/>
    <s v="rc_cat_1781955063347_anhy_1781955063350_fcpb"/>
    <x v="2"/>
    <s v="rc_acc_1781955063347_uxz4"/>
    <x v="4"/>
    <s v=""/>
    <m/>
    <s v="-"/>
    <m/>
    <s v="import"/>
    <s v=""/>
    <b v="0"/>
    <s v=""/>
  </r>
  <r>
    <s v="2e44f2ce-b2db-4718-a903-99375d5cae31"/>
    <s v="2024-06-11"/>
    <x v="2"/>
    <x v="0"/>
    <n v="11"/>
    <s v="16:17"/>
    <n v="806"/>
    <x v="2"/>
    <s v="income_1781955063351_3ab8"/>
    <x v="22"/>
    <s v="kbank"/>
    <x v="0"/>
    <s v=""/>
    <m/>
    <s v="-"/>
    <m/>
    <s v="import"/>
    <s v=""/>
    <b v="0"/>
    <s v=""/>
  </r>
  <r>
    <s v="a4145064-ad88-4eed-8f39-7c2a1b3f150b"/>
    <s v="2024-06-11"/>
    <x v="2"/>
    <x v="0"/>
    <n v="11"/>
    <s v="16:18"/>
    <n v="220"/>
    <x v="0"/>
    <s v="entertain_1781955063359_cf7f"/>
    <x v="7"/>
    <s v="kbank"/>
    <x v="0"/>
    <s v=""/>
    <m/>
    <s v="-"/>
    <m/>
    <s v="import"/>
    <s v=""/>
    <b v="0"/>
    <s v=""/>
  </r>
  <r>
    <s v="fe2b4a87-3374-45f2-9360-1a9e84d2f217"/>
    <s v="2024-06-09"/>
    <x v="2"/>
    <x v="0"/>
    <n v="9"/>
    <s v="16:15"/>
    <n v="650"/>
    <x v="0"/>
    <s v="entertain_1781955063359_cf7f"/>
    <x v="7"/>
    <s v="kbank"/>
    <x v="0"/>
    <s v=""/>
    <m/>
    <s v="-"/>
    <m/>
    <s v="import"/>
    <s v=""/>
    <b v="0"/>
    <s v=""/>
  </r>
  <r>
    <s v="c1d08df5-f2fb-409d-aa19-f77a6e408b9e"/>
    <s v="2024-06-05"/>
    <x v="2"/>
    <x v="0"/>
    <n v="5"/>
    <s v="16:17"/>
    <n v="16"/>
    <x v="0"/>
    <s v="rc_cat_1781955063347_anhy_1781955063348_k5l1"/>
    <x v="16"/>
    <s v="kbank"/>
    <x v="0"/>
    <s v=""/>
    <m/>
    <s v="เลี้ยงจจ"/>
    <m/>
    <s v="import"/>
    <s v=""/>
    <b v="0"/>
    <s v=""/>
  </r>
  <r>
    <s v="209252a8-e082-4d1e-95c7-c18c0d0351c2"/>
    <s v="2024-06-05"/>
    <x v="2"/>
    <x v="0"/>
    <n v="5"/>
    <s v="16:20"/>
    <n v="400"/>
    <x v="1"/>
    <s v="other"/>
    <x v="1"/>
    <s v="kbank"/>
    <x v="0"/>
    <s v="rc_acc_1781955063347_uxz4"/>
    <s v="SCB"/>
    <s v="-"/>
    <m/>
    <s v="import"/>
    <s v=""/>
    <b v="0"/>
    <s v=""/>
  </r>
  <r>
    <s v="1d07b270-c3a7-4420-aca6-65826277e74b"/>
    <s v="2024-06-03"/>
    <x v="2"/>
    <x v="0"/>
    <n v="3"/>
    <s v="19:48"/>
    <n v="1966"/>
    <x v="0"/>
    <s v="rc_cat_1781955063347_5qjb_1781955063347_tezk"/>
    <x v="5"/>
    <s v="kbank"/>
    <x v="0"/>
    <s v=""/>
    <m/>
    <s v="-"/>
    <m/>
    <s v="import"/>
    <s v=""/>
    <b v="0"/>
    <s v=""/>
  </r>
  <r>
    <s v="6621ccad-9f1e-40c7-95ec-0f6f2ccd08a6"/>
    <s v="2024-06-02"/>
    <x v="2"/>
    <x v="0"/>
    <n v="2"/>
    <s v="10:44"/>
    <n v="3460"/>
    <x v="1"/>
    <s v="other"/>
    <x v="1"/>
    <s v="rc_acc_1781955063347_tvnx"/>
    <x v="13"/>
    <s v="rc_acc_1781955063347_uxz4"/>
    <s v="SCB"/>
    <s v="-"/>
    <m/>
    <s v="import"/>
    <s v=""/>
    <b v="0"/>
    <s v=""/>
  </r>
  <r>
    <s v="fb1aa178-0f61-45f4-b555-32be74b1c62e"/>
    <s v="2024-06-02"/>
    <x v="2"/>
    <x v="0"/>
    <n v="2"/>
    <s v="10:49"/>
    <n v="3186"/>
    <x v="2"/>
    <s v="other_1781955063347_5s7r"/>
    <x v="15"/>
    <s v="rc_acc_1781955063347_tvnx"/>
    <x v="13"/>
    <s v=""/>
    <m/>
    <s v="Difference"/>
    <m/>
    <s v="import"/>
    <s v=""/>
    <b v="0"/>
    <s v=""/>
  </r>
  <r>
    <s v="dc08ecb8-0fd7-477b-92ed-de6d51364ca0"/>
    <s v="2024-06-02"/>
    <x v="2"/>
    <x v="0"/>
    <n v="2"/>
    <s v="10:50"/>
    <n v="2350"/>
    <x v="2"/>
    <s v="other_1781955063347_5s7r"/>
    <x v="15"/>
    <s v="rc_acc_1781955063358_dohc"/>
    <x v="15"/>
    <s v=""/>
    <m/>
    <s v="Difference"/>
    <m/>
    <s v="import"/>
    <s v=""/>
    <b v="0"/>
    <s v=""/>
  </r>
  <r>
    <s v="a762d1cb-4842-4d86-ad4e-38e048c4bff7"/>
    <s v="2024-06-02"/>
    <x v="2"/>
    <x v="0"/>
    <n v="2"/>
    <s v="20:37"/>
    <n v="240"/>
    <x v="0"/>
    <s v="entertain_1781955063359_cf7f"/>
    <x v="7"/>
    <s v="kbank"/>
    <x v="0"/>
    <s v=""/>
    <m/>
    <s v="-"/>
    <m/>
    <s v="import"/>
    <s v=""/>
    <b v="0"/>
    <s v=""/>
  </r>
  <r>
    <s v="4475008e-3a89-42bc-b22f-bb0ef711f124"/>
    <s v="2024-06-01"/>
    <x v="2"/>
    <x v="0"/>
    <n v="1"/>
    <s v="19:18"/>
    <n v="2198"/>
    <x v="2"/>
    <s v="other_1781955063347_5s7r"/>
    <x v="15"/>
    <s v="rc_acc_1781955063348_w3gp"/>
    <x v="6"/>
    <s v=""/>
    <m/>
    <s v="Difference"/>
    <m/>
    <s v="import"/>
    <s v=""/>
    <b v="0"/>
    <s v=""/>
  </r>
  <r>
    <s v="6fd431ba-b14c-42d9-a366-8f3a44c2725c"/>
    <s v="2024-06-01"/>
    <x v="2"/>
    <x v="0"/>
    <n v="1"/>
    <s v="19:19"/>
    <n v="4258"/>
    <x v="2"/>
    <s v="other_1781955063347_5s7r"/>
    <x v="15"/>
    <s v="rc_acc_1781955063353_k5yx"/>
    <x v="18"/>
    <s v=""/>
    <m/>
    <s v="Difference"/>
    <m/>
    <s v="import"/>
    <s v=""/>
    <b v="0"/>
    <s v=""/>
  </r>
  <r>
    <s v="7b1e6068-95f8-4f30-9cb7-e6e0e84293a5"/>
    <s v="2024-06-01"/>
    <x v="2"/>
    <x v="0"/>
    <n v="1"/>
    <s v="19:19"/>
    <n v="419"/>
    <x v="2"/>
    <s v="other_1781955063347_5s7r"/>
    <x v="15"/>
    <s v="rc_acc_1781955063347_sv7p"/>
    <x v="12"/>
    <s v=""/>
    <m/>
    <s v="Difference"/>
    <m/>
    <s v="import"/>
    <s v=""/>
    <b v="0"/>
    <s v=""/>
  </r>
  <r>
    <s v="95f1bf86-6ce5-4e92-974c-ecc023b9dc97"/>
    <s v="2024-05-31"/>
    <x v="2"/>
    <x v="1"/>
    <n v="31"/>
    <s v="16:19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cf08ded1-f743-4b30-8514-99703b9843ed"/>
    <s v="2024-05-31"/>
    <x v="2"/>
    <x v="1"/>
    <n v="31"/>
    <s v="18:34"/>
    <n v="1209.5"/>
    <x v="0"/>
    <s v="rc_cat_1781955063347_5qjb_1781955063347_tezk"/>
    <x v="5"/>
    <s v="kbank"/>
    <x v="0"/>
    <s v=""/>
    <m/>
    <s v="-"/>
    <m/>
    <s v="import"/>
    <s v=""/>
    <b v="0"/>
    <s v=""/>
  </r>
  <r>
    <s v="d1d3bf9a-7577-4026-948e-ea65a351c834"/>
    <s v="2024-05-31"/>
    <x v="2"/>
    <x v="1"/>
    <n v="31"/>
    <s v="18:41"/>
    <n v="2752"/>
    <x v="0"/>
    <s v="rc_cat_1781955063347_5qjb_1781955063347_tezk"/>
    <x v="5"/>
    <s v="kbank"/>
    <x v="0"/>
    <s v=""/>
    <m/>
    <s v="-"/>
    <m/>
    <s v="import"/>
    <s v=""/>
    <b v="0"/>
    <s v=""/>
  </r>
  <r>
    <s v="31ea2a2a-9808-4619-9e6d-6ccd7b6ab815"/>
    <s v="2024-05-31"/>
    <x v="2"/>
    <x v="1"/>
    <n v="31"/>
    <s v="18:41"/>
    <n v="323"/>
    <x v="0"/>
    <s v="rc_cat_1781955063347_anhy_1781955063350_fcpb"/>
    <x v="2"/>
    <s v="kbank"/>
    <x v="0"/>
    <s v=""/>
    <m/>
    <s v="-"/>
    <m/>
    <s v="import"/>
    <s v=""/>
    <b v="0"/>
    <s v=""/>
  </r>
  <r>
    <s v="e2ddfa23-7513-45ec-8f0b-382b2ae66129"/>
    <s v="2024-05-31"/>
    <x v="2"/>
    <x v="1"/>
    <n v="31"/>
    <s v="19:00"/>
    <n v="8997.81"/>
    <x v="0"/>
    <s v="entertain_1781955063349_gok1"/>
    <x v="18"/>
    <s v="rc_acc_1781955063358_d7gc"/>
    <x v="10"/>
    <s v=""/>
    <m/>
    <s v="-"/>
    <m/>
    <s v="import"/>
    <s v=""/>
    <b v="0"/>
    <s v=""/>
  </r>
  <r>
    <s v="094ab12f-57bd-43b4-8973-2275f153c964"/>
    <s v="2024-05-31"/>
    <x v="2"/>
    <x v="1"/>
    <n v="31"/>
    <s v="19:10"/>
    <n v="12582.66"/>
    <x v="1"/>
    <s v="other"/>
    <x v="1"/>
    <s v="rc_acc_1781955063358_d7gc"/>
    <x v="10"/>
    <s v="rc_acc_1781955063348_xd87"/>
    <s v="Hong"/>
    <s v="คงเหลือ 112062"/>
    <m/>
    <s v="import"/>
    <s v=""/>
    <b v="0"/>
    <s v=""/>
  </r>
  <r>
    <s v="ac970223-6fb2-4d94-bd7b-51c7bc7f473b"/>
    <s v="2024-05-30"/>
    <x v="2"/>
    <x v="1"/>
    <n v="30"/>
    <s v="18:34"/>
    <n v="345"/>
    <x v="0"/>
    <s v="rc_cat_1781955063347_5qjb_1781955063347_tezk"/>
    <x v="5"/>
    <s v="kbank"/>
    <x v="0"/>
    <s v=""/>
    <m/>
    <s v="-"/>
    <m/>
    <s v="import"/>
    <s v=""/>
    <b v="0"/>
    <s v=""/>
  </r>
  <r>
    <s v="b649aab5-1e1e-4719-a07f-0fc00c609e00"/>
    <s v="2024-05-30"/>
    <x v="2"/>
    <x v="1"/>
    <n v="30"/>
    <s v="18:35"/>
    <n v="345"/>
    <x v="1"/>
    <s v="other"/>
    <x v="1"/>
    <s v="kbank"/>
    <x v="0"/>
    <s v="rc_acc_1781955063347_uxz4"/>
    <s v="SCB"/>
    <s v="-"/>
    <m/>
    <s v="import"/>
    <s v=""/>
    <b v="0"/>
    <s v=""/>
  </r>
  <r>
    <s v="81ac0455-8b62-470d-8831-47bb50d5aa3e"/>
    <s v="2024-05-28"/>
    <x v="2"/>
    <x v="1"/>
    <n v="28"/>
    <s v="18:58"/>
    <n v="336"/>
    <x v="0"/>
    <s v="entertain_1781955063349_gok1"/>
    <x v="18"/>
    <s v="rc_acc_1781955063358_cs4m"/>
    <x v="11"/>
    <s v=""/>
    <m/>
    <s v="-"/>
    <m/>
    <s v="import"/>
    <s v=""/>
    <b v="0"/>
    <s v=""/>
  </r>
  <r>
    <s v="ff2a9f44-5d54-422e-ae80-917faa83156b"/>
    <s v="2024-05-26"/>
    <x v="2"/>
    <x v="1"/>
    <n v="26"/>
    <s v="18:55"/>
    <n v="478.32"/>
    <x v="0"/>
    <s v="entertain_1781955063349_gok1"/>
    <x v="18"/>
    <s v="rc_acc_1781955063358_cs4m"/>
    <x v="11"/>
    <s v=""/>
    <m/>
    <s v="2shark gaimon mandarake"/>
    <m/>
    <s v="import"/>
    <s v=""/>
    <b v="0"/>
    <s v=""/>
  </r>
  <r>
    <s v="b46a72d4-3e39-402e-9fc0-b49606643063"/>
    <s v="2024-05-26"/>
    <x v="2"/>
    <x v="1"/>
    <n v="26"/>
    <s v="18:57"/>
    <n v="233.33"/>
    <x v="0"/>
    <s v="entertain_1781955063349_gok1"/>
    <x v="18"/>
    <s v="rc_acc_1781955063358_cs4m"/>
    <x v="11"/>
    <s v=""/>
    <m/>
    <s v="kiyomizu"/>
    <m/>
    <s v="import"/>
    <s v=""/>
    <b v="0"/>
    <s v=""/>
  </r>
  <r>
    <s v="fc183ac1-fe80-4ed8-9cdf-3fe7078a2ee5"/>
    <s v="2024-05-25"/>
    <x v="2"/>
    <x v="1"/>
    <n v="25"/>
    <s v="09:26"/>
    <n v="39.89"/>
    <x v="0"/>
    <s v="rc_cat_1781955063347_5qjb_1781955063347_tezk"/>
    <x v="5"/>
    <s v="rc_acc_1781955063358_cs4m"/>
    <x v="11"/>
    <s v=""/>
    <m/>
    <s v="ชาไม่หวาน"/>
    <m/>
    <s v="import"/>
    <s v=""/>
    <b v="0"/>
    <s v=""/>
  </r>
  <r>
    <s v="6e798975-8485-4159-a507-b4da9ae32679"/>
    <s v="2024-05-25"/>
    <x v="2"/>
    <x v="1"/>
    <n v="25"/>
    <s v="09:26"/>
    <n v="492.79"/>
    <x v="0"/>
    <s v="entertain_1781955063349_gok1"/>
    <x v="18"/>
    <s v="rc_acc_1781955063358_d7gc"/>
    <x v="10"/>
    <s v=""/>
    <m/>
    <s v="ค่าเข้าปราสาท"/>
    <m/>
    <s v="import"/>
    <s v=""/>
    <b v="0"/>
    <s v=""/>
  </r>
  <r>
    <s v="bcc6a996-096c-4d86-83a5-0292c8e74c27"/>
    <s v="2024-05-25"/>
    <x v="2"/>
    <x v="1"/>
    <n v="25"/>
    <s v="12:19"/>
    <n v="74.86"/>
    <x v="0"/>
    <s v="rc_cat_1781955063347_5qjb_1781955063347_tezk"/>
    <x v="5"/>
    <s v="rc_acc_1781955063358_d7gc"/>
    <x v="10"/>
    <s v=""/>
    <m/>
    <s v="seven หารสอง ของเรา 168"/>
    <m/>
    <s v="import"/>
    <s v=""/>
    <b v="0"/>
    <s v=""/>
  </r>
  <r>
    <s v="17dc77fd-6ddc-42a7-a18d-a72764f8a4f1"/>
    <s v="2024-05-25"/>
    <x v="2"/>
    <x v="1"/>
    <n v="25"/>
    <s v="12:30"/>
    <n v="1994.64"/>
    <x v="0"/>
    <s v="rc_cat_1781955063347_5qjb_1781955063347_tezk"/>
    <x v="5"/>
    <s v="rc_acc_1781955063358_d7gc"/>
    <x v="10"/>
    <s v=""/>
    <m/>
    <s v="steakland"/>
    <m/>
    <s v="import"/>
    <s v=""/>
    <b v="0"/>
    <s v=""/>
  </r>
  <r>
    <s v="986db98c-cf93-475b-8260-cd97550ef562"/>
    <s v="2024-05-25"/>
    <x v="2"/>
    <x v="1"/>
    <n v="25"/>
    <s v="13:00"/>
    <n v="149.48"/>
    <x v="0"/>
    <s v="rc_cat_1781955063347_5qjb_1781955063347_tezk"/>
    <x v="5"/>
    <s v="rc_acc_1781955063358_d7gc"/>
    <x v="10"/>
    <s v=""/>
    <m/>
    <s v="soft serve"/>
    <m/>
    <s v="import"/>
    <s v=""/>
    <b v="0"/>
    <s v=""/>
  </r>
  <r>
    <s v="3cd07f75-571a-4253-883b-b99db2e248e1"/>
    <s v="2024-05-25"/>
    <x v="2"/>
    <x v="1"/>
    <n v="25"/>
    <s v="19:56"/>
    <n v="84.71"/>
    <x v="0"/>
    <s v="rc_cat_1781955063347_5qjb_1781955063347_tezk"/>
    <x v="5"/>
    <s v="rc_acc_1781955063358_d7gc"/>
    <x v="10"/>
    <s v=""/>
    <m/>
    <s v="pudding"/>
    <m/>
    <s v="import"/>
    <s v=""/>
    <b v="0"/>
    <s v=""/>
  </r>
  <r>
    <s v="1b9a71bf-e2a6-4271-84c7-59ac8e91c2ca"/>
    <s v="2024-05-25"/>
    <x v="2"/>
    <x v="1"/>
    <n v="25"/>
    <s v="22:00"/>
    <n v="4158"/>
    <x v="1"/>
    <s v="other"/>
    <x v="1"/>
    <s v="kbank"/>
    <x v="0"/>
    <s v="rc_acc_1781955063348_xd87"/>
    <s v="Hong"/>
    <s v="-"/>
    <m/>
    <s v="import"/>
    <s v=""/>
    <b v="0"/>
    <s v=""/>
  </r>
  <r>
    <s v="6a413b45-0c34-4816-8191-b1c80c41f5cb"/>
    <s v="2024-05-25"/>
    <x v="2"/>
    <x v="1"/>
    <n v="25"/>
    <s v="22:00"/>
    <n v="2488.6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d5d6120c-7869-4061-b273-5e70f2a80df5"/>
    <s v="2024-05-25"/>
    <x v="2"/>
    <x v="1"/>
    <n v="25"/>
    <s v="22:00"/>
    <n v="1572.19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f97db286-075e-4a8b-9fc5-4f859cd9b1fa"/>
    <s v="2024-05-25"/>
    <x v="2"/>
    <x v="1"/>
    <n v="25"/>
    <s v="22:00"/>
    <n v="376.64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7b422710-a6b6-486b-836d-d2ca3b6644da"/>
    <s v="2024-05-25"/>
    <x v="2"/>
    <x v="1"/>
    <n v="25"/>
    <s v="22:00"/>
    <n v="3757.16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5c5a558c-875c-432e-99a8-f5fa28fa3876"/>
    <s v="2024-05-24"/>
    <x v="2"/>
    <x v="1"/>
    <n v="24"/>
    <s v="09:08"/>
    <n v="129.06"/>
    <x v="0"/>
    <s v="rc_cat_1781955063347_5qjb_1781955063347_tezk"/>
    <x v="5"/>
    <s v="rc_acc_1781955063358_cs4m"/>
    <x v="11"/>
    <s v=""/>
    <m/>
    <s v="takoyaki"/>
    <m/>
    <s v="import"/>
    <s v=""/>
    <b v="0"/>
    <s v=""/>
  </r>
  <r>
    <s v="fa1b16a5-26a2-429d-ac3d-d754e9adf8b4"/>
    <s v="2024-05-24"/>
    <x v="2"/>
    <x v="1"/>
    <n v="24"/>
    <s v="10:13"/>
    <n v="941"/>
    <x v="0"/>
    <s v="rc_cat_1781955063347_5qjb_1781955063347_tezk"/>
    <x v="5"/>
    <s v="rc_acc_1781955063358_d7gc"/>
    <x v="10"/>
    <s v=""/>
    <m/>
    <s v="mizuno"/>
    <m/>
    <s v="import"/>
    <s v=""/>
    <b v="0"/>
    <s v=""/>
  </r>
  <r>
    <s v="f98bdc00-9a51-432d-a837-43b5bc8c2029"/>
    <s v="2024-05-24"/>
    <x v="2"/>
    <x v="1"/>
    <n v="24"/>
    <s v="11:31"/>
    <n v="234.66"/>
    <x v="0"/>
    <s v="entertain_1781955063348_kx2f"/>
    <x v="0"/>
    <s v="rc_acc_1781955063358_cs4m"/>
    <x v="11"/>
    <s v=""/>
    <m/>
    <s v="โง่"/>
    <m/>
    <s v="import"/>
    <s v=""/>
    <b v="0"/>
    <s v=""/>
  </r>
  <r>
    <s v="d2d8d18c-6cdf-4761-8e3a-71dfb317c065"/>
    <s v="2024-05-24"/>
    <x v="2"/>
    <x v="1"/>
    <n v="24"/>
    <s v="11:31"/>
    <n v="82.13"/>
    <x v="0"/>
    <s v="rc_cat_1781955063347_5qjb_1781955063347_tezk"/>
    <x v="5"/>
    <s v="rc_acc_1781955063358_cs4m"/>
    <x v="11"/>
    <s v=""/>
    <m/>
    <s v="mattari pudding"/>
    <m/>
    <s v="import"/>
    <s v=""/>
    <b v="0"/>
    <s v=""/>
  </r>
  <r>
    <s v="73ea8b7d-8182-4891-8985-ec0d0dd7da86"/>
    <s v="2024-05-24"/>
    <x v="2"/>
    <x v="1"/>
    <n v="24"/>
    <s v="12:32"/>
    <n v="140.56"/>
    <x v="0"/>
    <s v="rc_cat_1781955063347_5qjb_1781955063347_tezk"/>
    <x v="5"/>
    <s v="rc_acc_1781955063358_d7gc"/>
    <x v="10"/>
    <s v=""/>
    <m/>
    <s v="starbucks"/>
    <m/>
    <s v="import"/>
    <s v=""/>
    <b v="0"/>
    <s v=""/>
  </r>
  <r>
    <s v="843d8ba9-42a9-42f4-8945-7603cdf145f4"/>
    <s v="2024-05-24"/>
    <x v="2"/>
    <x v="1"/>
    <n v="24"/>
    <s v="14:54"/>
    <n v="938.64"/>
    <x v="1"/>
    <s v="other"/>
    <x v="1"/>
    <s v="rc_acc_1781955063358_cs4m"/>
    <x v="11"/>
    <s v="rc_acc_1781955063358_kqcd"/>
    <s v="suica card"/>
    <s v="-"/>
    <m/>
    <s v="import"/>
    <s v=""/>
    <b v="0"/>
    <s v=""/>
  </r>
  <r>
    <s v="0edd1622-674a-4823-9bde-d6e51406e7f8"/>
    <s v="2024-05-24"/>
    <x v="2"/>
    <x v="1"/>
    <n v="24"/>
    <s v="16:23"/>
    <n v="93.87"/>
    <x v="0"/>
    <s v="entertain_1781955063359_cf7f"/>
    <x v="7"/>
    <s v="rc_acc_1781955063358_cs4m"/>
    <x v="11"/>
    <s v=""/>
    <m/>
    <s v="musashi"/>
    <m/>
    <s v="import"/>
    <s v=""/>
    <b v="0"/>
    <s v=""/>
  </r>
  <r>
    <s v="16589f26-48d0-43d9-b0d4-2b60acf16cd8"/>
    <s v="2024-05-24"/>
    <x v="2"/>
    <x v="1"/>
    <n v="24"/>
    <s v="16:24"/>
    <n v="539.72"/>
    <x v="0"/>
    <s v="entertain_1781955063359_cf7f"/>
    <x v="7"/>
    <s v="rc_acc_1781955063358_cs4m"/>
    <x v="11"/>
    <s v=""/>
    <m/>
    <s v="wcf luffy sanji reyligh"/>
    <m/>
    <s v="import"/>
    <s v=""/>
    <b v="0"/>
    <s v=""/>
  </r>
  <r>
    <s v="f3cfd9c6-7204-49c1-8fe0-b4529a2b8100"/>
    <s v="2024-05-24"/>
    <x v="2"/>
    <x v="1"/>
    <n v="24"/>
    <s v="16:24"/>
    <n v="234.66"/>
    <x v="0"/>
    <s v="rc_cat_1781955063347_5qjb_1781955063347_tezk"/>
    <x v="5"/>
    <s v="rc_acc_1781955063358_cs4m"/>
    <x v="11"/>
    <s v=""/>
    <m/>
    <s v="joto curry"/>
    <m/>
    <s v="import"/>
    <s v=""/>
    <b v="0"/>
    <s v=""/>
  </r>
  <r>
    <s v="436e3894-a339-4ee2-bdfb-7a54b8c831b9"/>
    <s v="2024-05-24"/>
    <x v="2"/>
    <x v="1"/>
    <n v="24"/>
    <s v="18:33"/>
    <n v="1626.63"/>
    <x v="2"/>
    <s v="income_1781955063351_3ab8"/>
    <x v="22"/>
    <s v="kbank"/>
    <x v="0"/>
    <s v=""/>
    <m/>
    <s v="-"/>
    <m/>
    <s v="import"/>
    <s v=""/>
    <b v="0"/>
    <s v=""/>
  </r>
  <r>
    <s v="fccc43db-c96c-443c-bb7a-44f53d856c59"/>
    <s v="2024-05-24"/>
    <x v="2"/>
    <x v="1"/>
    <n v="24"/>
    <s v="18:52"/>
    <n v="116.66"/>
    <x v="0"/>
    <s v="entertain_1781955063349_gok1"/>
    <x v="18"/>
    <s v="rc_acc_1781955063358_cs4m"/>
    <x v="11"/>
    <s v=""/>
    <m/>
    <s v="เครื่องราง"/>
    <m/>
    <s v="import"/>
    <s v=""/>
    <b v="0"/>
    <s v=""/>
  </r>
  <r>
    <s v="7876ae0b-15b4-41ab-986e-db9d37b22cfd"/>
    <s v="2024-05-24"/>
    <x v="2"/>
    <x v="1"/>
    <n v="24"/>
    <s v="18:53"/>
    <n v="93.33"/>
    <x v="0"/>
    <s v="entertain_1781955063349_gok1"/>
    <x v="18"/>
    <s v="rc_acc_1781955063358_cs4m"/>
    <x v="11"/>
    <s v=""/>
    <m/>
    <s v="gashapon yukio"/>
    <m/>
    <s v="import"/>
    <s v=""/>
    <b v="0"/>
    <s v=""/>
  </r>
  <r>
    <s v="64856005-b096-4e2e-8296-6fb7a072aa13"/>
    <s v="2024-05-24"/>
    <x v="2"/>
    <x v="1"/>
    <n v="24"/>
    <s v="20:09"/>
    <n v="1290.65"/>
    <x v="0"/>
    <s v="entertain_1781955063359_cf7f"/>
    <x v="7"/>
    <s v="rc_acc_1781955063358_cs4m"/>
    <x v="11"/>
    <s v=""/>
    <m/>
    <s v="yellow 5 purple 6 brown 1"/>
    <m/>
    <s v="import"/>
    <s v=""/>
    <b v="0"/>
    <s v=""/>
  </r>
  <r>
    <s v="26a89e15-0305-40c7-a0d0-30ca9f413cc8"/>
    <s v="2024-05-24"/>
    <x v="2"/>
    <x v="1"/>
    <n v="24"/>
    <s v="20:10"/>
    <n v="542.07"/>
    <x v="0"/>
    <s v="entertain_1781955063359_cf7f"/>
    <x v="7"/>
    <s v="rc_acc_1781955063358_d7gc"/>
    <x v="10"/>
    <s v=""/>
    <m/>
    <s v="wcf kaido bigmum pageone"/>
    <m/>
    <s v="import"/>
    <s v=""/>
    <b v="0"/>
    <s v=""/>
  </r>
  <r>
    <s v="2adff5ca-9e64-44ac-9066-0ea166e79637"/>
    <s v="2024-05-24"/>
    <x v="2"/>
    <x v="1"/>
    <n v="24"/>
    <s v="20:12"/>
    <n v="8181.53"/>
    <x v="0"/>
    <s v="entertain_1781955063349_gok1"/>
    <x v="18"/>
    <s v="rc_acc_1781955063358_d7gc"/>
    <x v="10"/>
    <s v=""/>
    <m/>
    <s v="toyoko inn"/>
    <m/>
    <s v="import"/>
    <s v=""/>
    <b v="0"/>
    <s v=""/>
  </r>
  <r>
    <s v="97fd929b-a2f0-49b9-8953-1e07c02addcd"/>
    <s v="2024-05-24"/>
    <x v="2"/>
    <x v="1"/>
    <n v="24"/>
    <s v="22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c7867eb4-9efa-42b4-b66b-88dd6ca294e3"/>
    <s v="2024-05-24"/>
    <x v="2"/>
    <x v="1"/>
    <n v="24"/>
    <s v="22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cf2451f4-f19c-4612-baeb-3ab93d0ade59"/>
    <s v="2024-05-24"/>
    <x v="2"/>
    <x v="1"/>
    <n v="24"/>
    <s v="22:00"/>
    <n v="854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629b7423-87a9-4ae0-99f5-9eef9968e7b0"/>
    <s v="2024-05-24"/>
    <x v="2"/>
    <x v="1"/>
    <n v="24"/>
    <s v="22:00"/>
    <n v="124430"/>
    <x v="2"/>
    <s v="income_1781955063347_5zxt"/>
    <x v="14"/>
    <s v="rc_acc_1781955063347_uxz4"/>
    <x v="4"/>
    <s v=""/>
    <m/>
    <s v="-"/>
    <m/>
    <s v="import"/>
    <s v=""/>
    <b v="0"/>
    <s v=""/>
  </r>
  <r>
    <s v="d8b22c3d-f9d0-404a-a39a-7be2b245510e"/>
    <s v="2024-05-23"/>
    <x v="2"/>
    <x v="1"/>
    <n v="23"/>
    <s v="18:39"/>
    <n v="285"/>
    <x v="1"/>
    <s v="other"/>
    <x v="1"/>
    <s v="kbank"/>
    <x v="0"/>
    <s v="rc_acc_1781955063347_uxz4"/>
    <s v="SCB"/>
    <s v="-"/>
    <m/>
    <s v="import"/>
    <s v=""/>
    <b v="0"/>
    <s v=""/>
  </r>
  <r>
    <s v="3c29d3c6-af4f-4085-89bc-2ad681585bc1"/>
    <s v="2024-05-23"/>
    <x v="2"/>
    <x v="1"/>
    <n v="23"/>
    <s v="18:39"/>
    <n v="220"/>
    <x v="0"/>
    <s v="rc_cat_1781955063347_5qjb_1781955063347_tezk"/>
    <x v="5"/>
    <s v="kbank"/>
    <x v="0"/>
    <s v=""/>
    <m/>
    <s v="-"/>
    <m/>
    <s v="import"/>
    <s v=""/>
    <b v="0"/>
    <s v=""/>
  </r>
  <r>
    <s v="a9faebbe-084e-43b8-8250-371d8f964749"/>
    <s v="2024-05-23"/>
    <x v="2"/>
    <x v="1"/>
    <n v="23"/>
    <s v="18:45"/>
    <n v="193"/>
    <x v="2"/>
    <s v="income_1781955063347_zblt"/>
    <x v="17"/>
    <s v="rc_acc_1781955063347_uxz4"/>
    <x v="4"/>
    <s v=""/>
    <m/>
    <s v="-"/>
    <m/>
    <s v="import"/>
    <s v=""/>
    <b v="0"/>
    <s v=""/>
  </r>
  <r>
    <s v="04c1af4a-719b-4de5-8bc7-9c8d2dbe0a15"/>
    <s v="2024-05-19"/>
    <x v="2"/>
    <x v="1"/>
    <n v="19"/>
    <s v="18:37"/>
    <n v="620"/>
    <x v="0"/>
    <s v="rc_cat_1781955063347_anhy_1781955063347_qnaz"/>
    <x v="4"/>
    <s v="kbank"/>
    <x v="0"/>
    <s v=""/>
    <m/>
    <s v="harudot บ้านหง"/>
    <m/>
    <s v="import"/>
    <s v=""/>
    <b v="0"/>
    <s v=""/>
  </r>
  <r>
    <s v="4d9c21b1-6b35-4e8b-8f07-c5f498c3fb07"/>
    <s v="2024-05-19"/>
    <x v="2"/>
    <x v="1"/>
    <n v="19"/>
    <s v="18:43"/>
    <n v="9280"/>
    <x v="1"/>
    <s v="other"/>
    <x v="1"/>
    <s v="rc_acc_1781955063348_xd87"/>
    <x v="19"/>
    <s v="rc_acc_1781955063347_uxz4"/>
    <s v="SCB"/>
    <s v="-"/>
    <m/>
    <s v="import"/>
    <s v=""/>
    <b v="0"/>
    <s v=""/>
  </r>
  <r>
    <s v="b59dd6db-059b-46bc-8156-46d5f7c7a477"/>
    <s v="2024-05-18"/>
    <x v="2"/>
    <x v="1"/>
    <n v="18"/>
    <s v="20:26"/>
    <n v="688"/>
    <x v="2"/>
    <s v="other_1781955063347_5s7r"/>
    <x v="15"/>
    <s v="kbank"/>
    <x v="0"/>
    <s v=""/>
    <m/>
    <s v="Difference"/>
    <m/>
    <s v="import"/>
    <s v=""/>
    <b v="0"/>
    <s v=""/>
  </r>
  <r>
    <s v="a3df20ae-81ca-423d-9c82-fdbe0b219246"/>
    <s v="2024-05-18"/>
    <x v="2"/>
    <x v="1"/>
    <n v="18"/>
    <s v="20:34"/>
    <n v="2881"/>
    <x v="1"/>
    <s v="other"/>
    <x v="1"/>
    <s v="kbank"/>
    <x v="0"/>
    <s v="rc_acc_1781955063348_xd87"/>
    <s v="Hong"/>
    <s v="-"/>
    <m/>
    <s v="import"/>
    <s v=""/>
    <b v="0"/>
    <s v=""/>
  </r>
  <r>
    <s v="f2040b93-6e15-4877-bae2-947ab5077894"/>
    <s v="2024-05-18"/>
    <x v="2"/>
    <x v="1"/>
    <n v="18"/>
    <s v="20:41"/>
    <n v="744.585699"/>
    <x v="2"/>
    <s v="other_1781955063347_5s7r"/>
    <x v="15"/>
    <s v="rc_acc_1781955063358_cs4m"/>
    <x v="11"/>
    <s v=""/>
    <m/>
    <s v="Difference"/>
    <m/>
    <s v="import"/>
    <s v=""/>
    <b v="0"/>
    <s v=""/>
  </r>
  <r>
    <s v="192cf04d-e904-44fa-b5a1-229c2c37085f"/>
    <s v="2024-05-18"/>
    <x v="2"/>
    <x v="1"/>
    <n v="18"/>
    <s v="21:21"/>
    <n v="45000"/>
    <x v="1"/>
    <s v="other"/>
    <x v="1"/>
    <s v="rc_acc_1781955063347_uxz4"/>
    <x v="4"/>
    <s v="rc_acc_1781955063348_no9r"/>
    <s v="Krungthai Next"/>
    <s v="-"/>
    <m/>
    <s v="import"/>
    <s v=""/>
    <b v="0"/>
    <s v=""/>
  </r>
  <r>
    <s v="10de2278-9f67-42fe-9d13-4e74a1846237"/>
    <s v="2024-05-15"/>
    <x v="2"/>
    <x v="1"/>
    <n v="15"/>
    <s v="18:47"/>
    <n v="9280"/>
    <x v="1"/>
    <s v="other"/>
    <x v="1"/>
    <s v="rc_acc_1781955063348_no9r"/>
    <x v="7"/>
    <s v="rc_acc_1781955063358_d7gc"/>
    <s v="Travelcard JPY"/>
    <s v="พ่อหงฝากแลก"/>
    <m/>
    <s v="import"/>
    <s v=""/>
    <b v="0"/>
    <s v=""/>
  </r>
  <r>
    <s v="b5d965e4-db6e-4635-8bc0-b52aeaeab988"/>
    <s v="2024-05-15"/>
    <x v="2"/>
    <x v="1"/>
    <n v="15"/>
    <s v="18:50"/>
    <n v="37056"/>
    <x v="1"/>
    <s v="other"/>
    <x v="1"/>
    <s v="rc_acc_1781955063348_no9r"/>
    <x v="7"/>
    <s v="rc_acc_1781955063358_d7gc"/>
    <s v="Travelcard JPY"/>
    <s v="-"/>
    <m/>
    <s v="import"/>
    <s v=""/>
    <b v="0"/>
    <s v=""/>
  </r>
  <r>
    <s v="b1974129-a650-436d-ad6d-926ae3483919"/>
    <s v="2024-05-12"/>
    <x v="2"/>
    <x v="1"/>
    <n v="12"/>
    <s v="14:51"/>
    <n v="10212.5"/>
    <x v="1"/>
    <s v="other"/>
    <x v="1"/>
    <s v="rc_acc_1781955063347_uxz4"/>
    <x v="4"/>
    <s v="rc_acc_1781955063358_cs4m"/>
    <s v="JPY cash"/>
    <s v="-"/>
    <m/>
    <s v="import"/>
    <s v=""/>
    <b v="0"/>
    <s v=""/>
  </r>
  <r>
    <s v="6ea7c4d5-8ab3-4a52-979b-5dc8c2191de8"/>
    <s v="2024-05-12"/>
    <x v="2"/>
    <x v="1"/>
    <n v="12"/>
    <s v="14:53"/>
    <n v="287.5"/>
    <x v="1"/>
    <s v="other"/>
    <x v="1"/>
    <s v="rc_acc_1781955063347_uxz4"/>
    <x v="4"/>
    <s v="rc_acc_1781955063347_e3zv"/>
    <s v="Cash"/>
    <s v="-"/>
    <m/>
    <s v="import"/>
    <s v=""/>
    <b v="0"/>
    <s v=""/>
  </r>
  <r>
    <s v="bab48c7e-d60a-41f2-a45d-0f44a3e1b139"/>
    <s v="2024-05-12"/>
    <x v="2"/>
    <x v="1"/>
    <n v="12"/>
    <s v="15:01"/>
    <n v="2410.4"/>
    <x v="0"/>
    <s v="rc_cat_1781955063347_5qjb_1781955063348_hrbf"/>
    <x v="28"/>
    <s v="kbank"/>
    <x v="0"/>
    <s v=""/>
    <m/>
    <s v="-"/>
    <m/>
    <s v="import"/>
    <s v=""/>
    <b v="0"/>
    <s v=""/>
  </r>
  <r>
    <s v="95b51be2-d67b-43bb-8152-b8ca0ad2f33d"/>
    <s v="2024-05-06"/>
    <x v="2"/>
    <x v="1"/>
    <n v="6"/>
    <s v="19:47"/>
    <n v="200"/>
    <x v="0"/>
    <s v="rc_cat_1781955063347_anhy_1781955063350_fcpb"/>
    <x v="2"/>
    <s v="kbank"/>
    <x v="0"/>
    <s v=""/>
    <m/>
    <s v="bet"/>
    <m/>
    <s v="import"/>
    <s v=""/>
    <b v="0"/>
    <s v=""/>
  </r>
  <r>
    <s v="f89fafe9-9b9c-4133-812f-7cb9995d6b1d"/>
    <s v="2024-05-05"/>
    <x v="2"/>
    <x v="1"/>
    <n v="5"/>
    <s v="19:51"/>
    <n v="317"/>
    <x v="1"/>
    <s v="other"/>
    <x v="1"/>
    <s v="kbank"/>
    <x v="0"/>
    <s v="rc_acc_1781955063347_omhz"/>
    <s v="Shopee"/>
    <s v="-"/>
    <m/>
    <s v="import"/>
    <s v=""/>
    <b v="0"/>
    <s v=""/>
  </r>
  <r>
    <s v="fb520080-0e6d-4f89-88bc-3ce6676b87d9"/>
    <s v="2024-05-03"/>
    <x v="2"/>
    <x v="1"/>
    <n v="3"/>
    <s v="09:12"/>
    <n v="17500"/>
    <x v="0"/>
    <s v="rc_cat_1781955063347_anhy_1781955063350_fcpb"/>
    <x v="2"/>
    <s v="rc_acc_1781955063347_uxz4"/>
    <x v="4"/>
    <s v=""/>
    <m/>
    <s v="-"/>
    <m/>
    <s v="import"/>
    <s v=""/>
    <b v="0"/>
    <s v=""/>
  </r>
  <r>
    <s v="cc947e0e-e7fd-4f4c-a426-0929aba0fb6b"/>
    <s v="2024-05-02"/>
    <x v="2"/>
    <x v="1"/>
    <n v="2"/>
    <s v="16:11"/>
    <n v="486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aa4a717a-8006-4db3-bef5-cf17dcccbfb7"/>
    <s v="2024-05-01"/>
    <x v="2"/>
    <x v="1"/>
    <n v="1"/>
    <s v="20:01"/>
    <n v="6000"/>
    <x v="1"/>
    <s v="other"/>
    <x v="1"/>
    <s v="kbank"/>
    <x v="0"/>
    <s v="rc_acc_1781955063357_rvam"/>
    <s v="Make Kbank"/>
    <s v="-"/>
    <m/>
    <s v="import"/>
    <s v=""/>
    <b v="0"/>
    <s v=""/>
  </r>
  <r>
    <s v="7c4ebf2b-0d0e-4b42-aa9e-707720efac8c"/>
    <s v="2024-05-01"/>
    <x v="2"/>
    <x v="1"/>
    <n v="1"/>
    <s v="20:03"/>
    <n v="1090"/>
    <x v="1"/>
    <s v="other"/>
    <x v="1"/>
    <s v="advance"/>
    <x v="2"/>
    <s v="kbank"/>
    <s v="KBank"/>
    <s v="-"/>
    <m/>
    <s v="import"/>
    <s v=""/>
    <b v="0"/>
    <s v=""/>
  </r>
  <r>
    <s v="1bdf1c65-49d3-477c-93b7-c9f2c22b60ab"/>
    <s v="2024-04-30"/>
    <x v="2"/>
    <x v="2"/>
    <n v="30"/>
    <s v="20:19"/>
    <n v="617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f2b1477b-ab1a-46c6-bef5-dfda006ba572"/>
    <s v="2024-04-30"/>
    <x v="2"/>
    <x v="2"/>
    <n v="30"/>
    <s v="20:20"/>
    <n v="452"/>
    <x v="1"/>
    <s v="other"/>
    <x v="1"/>
    <s v="rc_acc_1781955063347_uxz4"/>
    <x v="4"/>
    <s v="advance"/>
    <s v="Advance Paid"/>
    <s v="-"/>
    <m/>
    <s v="import"/>
    <s v=""/>
    <b v="0"/>
    <s v=""/>
  </r>
  <r>
    <s v="a4f0082b-f090-418e-ba15-2e5df553602a"/>
    <s v="2024-04-30"/>
    <x v="2"/>
    <x v="2"/>
    <n v="30"/>
    <s v="20:21"/>
    <n v="338"/>
    <x v="0"/>
    <s v="entertain_1781955063352_1jgx"/>
    <x v="10"/>
    <s v="rc_acc_1781955063347_uxz4"/>
    <x v="4"/>
    <s v=""/>
    <m/>
    <s v="-"/>
    <m/>
    <s v="import"/>
    <s v=""/>
    <b v="0"/>
    <s v=""/>
  </r>
  <r>
    <s v="5692b696-519e-4332-b14a-5f84154c91bd"/>
    <s v="2024-04-30"/>
    <x v="2"/>
    <x v="2"/>
    <n v="30"/>
    <s v="20:25"/>
    <n v="300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5c63aa91-2b67-4105-afb5-358a8431e71d"/>
    <s v="2024-04-30"/>
    <x v="2"/>
    <x v="2"/>
    <n v="30"/>
    <s v="20:27"/>
    <n v="526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7f875df-9bb9-441e-a61b-1177fbf4c6d3"/>
    <s v="2024-04-30"/>
    <x v="2"/>
    <x v="2"/>
    <n v="30"/>
    <s v="20:27"/>
    <n v="7.59"/>
    <x v="2"/>
    <s v="other_1781955063347_5s7r"/>
    <x v="15"/>
    <s v="kbank"/>
    <x v="0"/>
    <s v=""/>
    <m/>
    <s v="Difference"/>
    <m/>
    <s v="import"/>
    <s v=""/>
    <b v="0"/>
    <s v=""/>
  </r>
  <r>
    <s v="cf45bad8-ef54-447b-894f-6814ff36b946"/>
    <s v="2024-04-30"/>
    <x v="2"/>
    <x v="2"/>
    <n v="30"/>
    <s v="20:33"/>
    <n v="669"/>
    <x v="0"/>
    <s v="entertain_1781955063348_kx2f"/>
    <x v="0"/>
    <s v="rc_acc_1781955063353_k5yx"/>
    <x v="18"/>
    <s v=""/>
    <m/>
    <s v="gashapon onepiece"/>
    <m/>
    <s v="import"/>
    <s v=""/>
    <b v="0"/>
    <s v=""/>
  </r>
  <r>
    <s v="cf5d75d4-bf95-43cb-9512-b53e1564abfe"/>
    <s v="2024-04-30"/>
    <x v="2"/>
    <x v="2"/>
    <n v="30"/>
    <s v="20:35"/>
    <n v="661"/>
    <x v="0"/>
    <s v="rc_cat_1781955063347_s4sz_1781955063347_9tpp"/>
    <x v="9"/>
    <s v="rc_acc_1781955063353_k5yx"/>
    <x v="18"/>
    <s v=""/>
    <m/>
    <s v="-"/>
    <m/>
    <s v="import"/>
    <s v=""/>
    <b v="0"/>
    <s v=""/>
  </r>
  <r>
    <s v="09ceb1bb-bfac-4056-a0a5-05325f1e5e51"/>
    <s v="2024-04-30"/>
    <x v="2"/>
    <x v="2"/>
    <n v="30"/>
    <s v="20:36"/>
    <n v="1069"/>
    <x v="0"/>
    <s v="entertain_1781955063348_32wr"/>
    <x v="23"/>
    <s v="rc_acc_1781955063353_k5yx"/>
    <x v="18"/>
    <s v=""/>
    <m/>
    <s v="-"/>
    <m/>
    <s v="import"/>
    <s v=""/>
    <b v="0"/>
    <s v=""/>
  </r>
  <r>
    <s v="c8da0ca3-838d-4e2a-be51-526946fc0d5b"/>
    <s v="2024-04-30"/>
    <x v="2"/>
    <x v="2"/>
    <n v="30"/>
    <s v="20:37"/>
    <n v="540"/>
    <x v="0"/>
    <s v="rc_cat_1781955063347_s4sz_1781955063347_deos"/>
    <x v="6"/>
    <s v="rc_acc_1781955063353_k5yx"/>
    <x v="18"/>
    <s v=""/>
    <m/>
    <s v="โต๊ะ คีบอด ฐานกันดัม"/>
    <m/>
    <s v="import"/>
    <s v=""/>
    <b v="0"/>
    <s v=""/>
  </r>
  <r>
    <s v="07e0fa2a-42bf-4db7-9cf6-bb8c868353b7"/>
    <s v="2024-04-30"/>
    <x v="2"/>
    <x v="2"/>
    <n v="30"/>
    <s v="20:51"/>
    <n v="1319"/>
    <x v="0"/>
    <s v="rc_cat_1781955063347_5qjb_1781955063347_tezk"/>
    <x v="5"/>
    <s v="rc_acc_1781955063353_k5yx"/>
    <x v="18"/>
    <s v=""/>
    <m/>
    <s v="-"/>
    <m/>
    <s v="import"/>
    <s v=""/>
    <b v="0"/>
    <s v=""/>
  </r>
  <r>
    <s v="dee29d81-846b-4164-a8c2-1b80a5feeefe"/>
    <s v="2024-04-30"/>
    <x v="2"/>
    <x v="2"/>
    <n v="30"/>
    <s v="20:53"/>
    <n v="20000"/>
    <x v="1"/>
    <s v="other"/>
    <x v="1"/>
    <s v="rc_acc_1781955063347_uxz4"/>
    <x v="4"/>
    <s v="kbank"/>
    <s v="KBank"/>
    <s v="-"/>
    <m/>
    <s v="import"/>
    <s v=""/>
    <b v="0"/>
    <s v=""/>
  </r>
  <r>
    <s v="1f6f9816-9b36-46f3-b842-17a0e416168b"/>
    <s v="2024-04-30"/>
    <x v="2"/>
    <x v="2"/>
    <n v="30"/>
    <s v="20:57"/>
    <n v="3928"/>
    <x v="0"/>
    <s v="rc_cat_1781955063347_5qjb_1781955063347_tezk"/>
    <x v="5"/>
    <s v="rc_acc_1781955063357_rvam"/>
    <x v="3"/>
    <s v=""/>
    <m/>
    <s v="-"/>
    <m/>
    <s v="import"/>
    <s v=""/>
    <b v="0"/>
    <s v=""/>
  </r>
  <r>
    <s v="609bc8ce-b64b-4aa7-9d6a-82150e3b3511"/>
    <s v="2024-04-30"/>
    <x v="2"/>
    <x v="2"/>
    <n v="30"/>
    <s v="20:58"/>
    <n v="1046.01"/>
    <x v="2"/>
    <s v="other_1781955063347_5s7r"/>
    <x v="15"/>
    <s v="rc_acc_1781955063357_rvam"/>
    <x v="3"/>
    <s v=""/>
    <m/>
    <s v="Difference"/>
    <m/>
    <s v="import"/>
    <s v=""/>
    <b v="0"/>
    <s v=""/>
  </r>
  <r>
    <s v="b73e5600-8000-4bfb-a721-54b8005c57e7"/>
    <s v="2024-04-29"/>
    <x v="2"/>
    <x v="2"/>
    <n v="29"/>
    <s v="19:35"/>
    <n v="7291.42"/>
    <x v="0"/>
    <s v="rc_cat_1781955063347_04qb_1781955063347_wt5p"/>
    <x v="3"/>
    <s v="kbank"/>
    <x v="0"/>
    <s v=""/>
    <m/>
    <s v="-"/>
    <m/>
    <s v="import"/>
    <s v=""/>
    <b v="0"/>
    <s v=""/>
  </r>
  <r>
    <s v="48197745-d315-4f66-b636-04d167718ba9"/>
    <s v="2024-04-29"/>
    <x v="2"/>
    <x v="2"/>
    <n v="29"/>
    <s v="19:48"/>
    <n v="300"/>
    <x v="0"/>
    <s v="rc_cat_1781955063347_s4sz_1781955063347_9tpp"/>
    <x v="9"/>
    <s v="kbank"/>
    <x v="0"/>
    <s v=""/>
    <m/>
    <s v="-"/>
    <m/>
    <s v="import"/>
    <s v=""/>
    <b v="0"/>
    <s v=""/>
  </r>
  <r>
    <s v="7d5b7bc0-3f1d-4dfe-b07c-2d36a43fdeb7"/>
    <s v="2024-04-28"/>
    <x v="2"/>
    <x v="2"/>
    <n v="28"/>
    <s v="19:54"/>
    <n v="37"/>
    <x v="1"/>
    <s v="other"/>
    <x v="1"/>
    <s v="rc_acc_1781955063347_e3zv"/>
    <x v="16"/>
    <s v="rc_acc_1781955063347_uxz4"/>
    <s v="SCB"/>
    <s v="-"/>
    <m/>
    <s v="import"/>
    <s v=""/>
    <b v="0"/>
    <s v=""/>
  </r>
  <r>
    <s v="348ed1b1-872f-473c-bbee-288f9156d0d4"/>
    <s v="2024-04-28"/>
    <x v="2"/>
    <x v="2"/>
    <n v="28"/>
    <s v="19:57"/>
    <n v="1090"/>
    <x v="1"/>
    <s v="other"/>
    <x v="1"/>
    <s v="kbank"/>
    <x v="0"/>
    <s v="advance"/>
    <s v="Advance Paid"/>
    <s v="บ้านป้าหนู"/>
    <m/>
    <s v="import"/>
    <s v=""/>
    <b v="0"/>
    <s v=""/>
  </r>
  <r>
    <s v="19c61f46-b308-4bc1-a594-5100136662f6"/>
    <s v="2024-04-26"/>
    <x v="2"/>
    <x v="2"/>
    <n v="26"/>
    <s v="19:46"/>
    <n v="335"/>
    <x v="0"/>
    <s v="rc_cat_1781955063347_anhy_1781955063348_k5l1"/>
    <x v="16"/>
    <s v="kbank"/>
    <x v="0"/>
    <s v=""/>
    <m/>
    <s v="-"/>
    <m/>
    <s v="import"/>
    <s v=""/>
    <b v="0"/>
    <s v=""/>
  </r>
  <r>
    <s v="2704738d-8463-4b26-ac3e-35fd3e2f6adb"/>
    <s v="2024-04-25"/>
    <x v="2"/>
    <x v="2"/>
    <n v="25"/>
    <s v="00:00"/>
    <n v="358.73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4fa95bec-36a2-4228-a32d-580fc9670bc7"/>
    <s v="2024-04-25"/>
    <x v="2"/>
    <x v="2"/>
    <n v="25"/>
    <s v="00:00"/>
    <n v="3430.69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c2904aec-eb03-4cbe-bd5b-e7e955a4ca19"/>
    <s v="2024-04-25"/>
    <x v="2"/>
    <x v="2"/>
    <n v="25"/>
    <s v="00:00"/>
    <n v="1572.18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1b3c45cd-f324-436b-a492-17dc55352c48"/>
    <s v="2024-04-25"/>
    <x v="2"/>
    <x v="2"/>
    <n v="25"/>
    <s v="00:00"/>
    <n v="2488.6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150f681b-f5bb-4ba5-9dca-16861d87596b"/>
    <s v="2024-04-25"/>
    <x v="2"/>
    <x v="2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d16311a6-9815-47d3-91ba-8507428212f2"/>
    <s v="2024-04-25"/>
    <x v="2"/>
    <x v="2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89dd621a-de40-40aa-9a4b-cefd64b13d24"/>
    <s v="2024-04-25"/>
    <x v="2"/>
    <x v="2"/>
    <n v="25"/>
    <s v="00:00"/>
    <n v="854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223255cb-377f-41af-a938-a86a3dc696bf"/>
    <s v="2024-04-25"/>
    <x v="2"/>
    <x v="2"/>
    <n v="25"/>
    <s v="00:00"/>
    <n v="124430"/>
    <x v="2"/>
    <s v="income_1781955063347_5zxt"/>
    <x v="14"/>
    <s v="rc_acc_1781955063347_uxz4"/>
    <x v="4"/>
    <s v=""/>
    <m/>
    <s v="-"/>
    <m/>
    <s v="import"/>
    <s v=""/>
    <b v="0"/>
    <s v=""/>
  </r>
  <r>
    <s v="1449c76c-7682-4aa3-be0c-04b1528d0747"/>
    <s v="2024-04-25"/>
    <x v="2"/>
    <x v="2"/>
    <n v="25"/>
    <s v="15:56"/>
    <n v="12133"/>
    <x v="0"/>
    <s v="rc_cat_1781955063347_anhy_1781955063347_qnaz"/>
    <x v="4"/>
    <s v="rc_acc_1781955063347_uxz4"/>
    <x v="4"/>
    <s v=""/>
    <m/>
    <s v="-"/>
    <m/>
    <s v="import"/>
    <s v=""/>
    <b v="0"/>
    <s v=""/>
  </r>
  <r>
    <s v="2ae557e4-54cc-4ac5-9433-bea1988a0dbe"/>
    <s v="2024-04-25"/>
    <x v="2"/>
    <x v="2"/>
    <n v="25"/>
    <s v="19:40"/>
    <n v="4158"/>
    <x v="1"/>
    <s v="other"/>
    <x v="1"/>
    <s v="kbank"/>
    <x v="0"/>
    <s v="rc_acc_1781955063348_xd87"/>
    <s v="Hong"/>
    <s v="-"/>
    <m/>
    <s v="import"/>
    <s v=""/>
    <b v="0"/>
    <s v=""/>
  </r>
  <r>
    <s v="99ddae4d-7d49-4038-addf-d8dea88d1443"/>
    <s v="2024-04-25"/>
    <x v="2"/>
    <x v="2"/>
    <n v="25"/>
    <s v="19:54"/>
    <n v="26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b809885-5468-4b42-9270-8cf5495df5de"/>
    <s v="2024-04-24"/>
    <x v="2"/>
    <x v="2"/>
    <n v="24"/>
    <s v="13:49"/>
    <n v="250"/>
    <x v="0"/>
    <s v="rc_cat_1781955063347_5qjb_1781955063347_tezk"/>
    <x v="5"/>
    <s v="kbank"/>
    <x v="0"/>
    <s v=""/>
    <m/>
    <s v="-"/>
    <m/>
    <s v="import"/>
    <s v=""/>
    <b v="0"/>
    <s v=""/>
  </r>
  <r>
    <s v="21320b4a-1927-45eb-9706-1471a9d358f6"/>
    <s v="2024-04-21"/>
    <x v="2"/>
    <x v="2"/>
    <n v="21"/>
    <s v="18:13"/>
    <n v="247"/>
    <x v="1"/>
    <s v="other"/>
    <x v="1"/>
    <s v="advance"/>
    <x v="2"/>
    <s v="rc_acc_1781955063347_uxz4"/>
    <s v="SCB"/>
    <s v="-"/>
    <m/>
    <s v="import"/>
    <s v=""/>
    <b v="0"/>
    <s v=""/>
  </r>
  <r>
    <s v="cf38bb96-7c67-48b5-b446-cc356ff77b1b"/>
    <s v="2024-04-21"/>
    <x v="2"/>
    <x v="2"/>
    <n v="21"/>
    <s v="18:13"/>
    <n v="409"/>
    <x v="0"/>
    <s v="entertain_1781955063352_1jgx"/>
    <x v="10"/>
    <s v="advance"/>
    <x v="2"/>
    <s v=""/>
    <m/>
    <s v="-"/>
    <m/>
    <s v="import"/>
    <s v=""/>
    <b v="0"/>
    <s v=""/>
  </r>
  <r>
    <s v="a9fab438-0a24-41d6-8771-1c14b7956cbd"/>
    <s v="2024-04-21"/>
    <x v="2"/>
    <x v="2"/>
    <n v="21"/>
    <s v="18:26"/>
    <n v="4158"/>
    <x v="1"/>
    <s v="other"/>
    <x v="1"/>
    <s v="rc_acc_1781955063347_uxz4"/>
    <x v="4"/>
    <s v="rc_acc_1781955063348_xd87"/>
    <s v="Hong"/>
    <s v="-"/>
    <m/>
    <s v="import"/>
    <s v=""/>
    <b v="0"/>
    <s v=""/>
  </r>
  <r>
    <s v="14da8285-050a-4ad1-a582-932b86d73fbd"/>
    <s v="2024-04-21"/>
    <x v="2"/>
    <x v="2"/>
    <n v="21"/>
    <s v="18:28"/>
    <n v="558"/>
    <x v="0"/>
    <s v="entertain_1781955063352_1jgx"/>
    <x v="10"/>
    <s v="rc_acc_1781955063347_uxz4"/>
    <x v="4"/>
    <s v=""/>
    <m/>
    <s v="-"/>
    <m/>
    <s v="import"/>
    <s v=""/>
    <b v="0"/>
    <s v=""/>
  </r>
  <r>
    <s v="a00f22e3-d4f0-4aad-bf5f-0290d6f5afdc"/>
    <s v="2024-04-17"/>
    <x v="2"/>
    <x v="2"/>
    <n v="17"/>
    <s v="20:18"/>
    <n v="2101"/>
    <x v="0"/>
    <s v="rc_cat_1781955063347_anhy_1781955063347_qnaz"/>
    <x v="4"/>
    <s v="rc_acc_1781955063347_uxz4"/>
    <x v="4"/>
    <s v=""/>
    <m/>
    <s v="la meaw mala"/>
    <m/>
    <s v="import"/>
    <s v=""/>
    <b v="0"/>
    <s v=""/>
  </r>
  <r>
    <s v="5ccf0f73-f399-4520-8c2a-f8c9d0760013"/>
    <s v="2024-04-16"/>
    <x v="2"/>
    <x v="2"/>
    <n v="16"/>
    <s v="17:42"/>
    <n v="600"/>
    <x v="1"/>
    <s v="other"/>
    <x v="1"/>
    <s v="rc_acc_1781955063347_uxz4"/>
    <x v="4"/>
    <s v="advance"/>
    <s v="Advance Paid"/>
    <s v="shopee"/>
    <m/>
    <s v="import"/>
    <s v=""/>
    <b v="0"/>
    <s v=""/>
  </r>
  <r>
    <s v="9ede6a02-16e7-41b5-a90a-65b2f200d03d"/>
    <s v="2024-04-16"/>
    <x v="2"/>
    <x v="2"/>
    <n v="16"/>
    <s v="17:44"/>
    <n v="1728"/>
    <x v="1"/>
    <s v="other"/>
    <x v="1"/>
    <s v="kbank"/>
    <x v="0"/>
    <s v="rc_acc_1781955063347_uxz4"/>
    <s v="SCB"/>
    <s v="-"/>
    <m/>
    <s v="import"/>
    <s v=""/>
    <b v="0"/>
    <s v=""/>
  </r>
  <r>
    <s v="720c4a62-9b45-444a-903d-77f9f0b64801"/>
    <s v="2024-04-16"/>
    <x v="2"/>
    <x v="2"/>
    <n v="16"/>
    <s v="17:46"/>
    <n v="576"/>
    <x v="0"/>
    <s v="rc_cat_1781955063347_5qjb_1781955063347_tezk"/>
    <x v="5"/>
    <s v="kbank"/>
    <x v="0"/>
    <s v=""/>
    <m/>
    <s v="-"/>
    <m/>
    <s v="import"/>
    <s v=""/>
    <b v="0"/>
    <s v=""/>
  </r>
  <r>
    <s v="003bbb9b-810c-4fba-8042-3e3222509c54"/>
    <s v="2024-04-16"/>
    <x v="2"/>
    <x v="2"/>
    <n v="16"/>
    <s v="17:51"/>
    <n v="226"/>
    <x v="1"/>
    <s v="other"/>
    <x v="1"/>
    <s v="advance"/>
    <x v="2"/>
    <s v="rc_acc_1781955063347_uxz4"/>
    <s v="SCB"/>
    <s v="เบอเกอ วัด"/>
    <m/>
    <s v="import"/>
    <s v=""/>
    <b v="0"/>
    <s v=""/>
  </r>
  <r>
    <s v="9a242828-9d23-4c5e-aa56-57b55dc03140"/>
    <s v="2024-04-15"/>
    <x v="2"/>
    <x v="2"/>
    <n v="15"/>
    <s v="17:36"/>
    <n v="319.93"/>
    <x v="0"/>
    <s v="rc_cat_1781955063347_anhy_1781955063350_fcpb"/>
    <x v="2"/>
    <s v="kbank"/>
    <x v="0"/>
    <s v=""/>
    <m/>
    <s v="-"/>
    <m/>
    <s v="import"/>
    <s v=""/>
    <b v="0"/>
    <s v=""/>
  </r>
  <r>
    <s v="dc9e8a3a-8ea3-43d7-85d1-62672a07d243"/>
    <s v="2024-04-15"/>
    <x v="2"/>
    <x v="2"/>
    <n v="15"/>
    <s v="18:36"/>
    <n v="45"/>
    <x v="0"/>
    <s v="rc_cat_1781955063347_5qjb_1781955063347_tezk"/>
    <x v="5"/>
    <s v="kbank"/>
    <x v="0"/>
    <s v=""/>
    <m/>
    <s v="-"/>
    <m/>
    <s v="import"/>
    <s v=""/>
    <b v="0"/>
    <s v=""/>
  </r>
  <r>
    <s v="2af6f983-4888-4497-9b89-a4a939b3e3e6"/>
    <s v="2024-04-12"/>
    <x v="2"/>
    <x v="2"/>
    <n v="12"/>
    <s v="21:35"/>
    <n v="250"/>
    <x v="0"/>
    <s v="entertain_1781955063348_kx2f"/>
    <x v="0"/>
    <s v="kbank"/>
    <x v="0"/>
    <s v=""/>
    <m/>
    <s v="gasha onepiece"/>
    <m/>
    <s v="import"/>
    <s v=""/>
    <b v="0"/>
    <s v=""/>
  </r>
  <r>
    <s v="e5b4cbaa-db7f-4f94-82f7-b7b3e37571f6"/>
    <s v="2024-04-11"/>
    <x v="2"/>
    <x v="2"/>
    <n v="11"/>
    <s v="17:42"/>
    <n v="20"/>
    <x v="2"/>
    <s v="income_1781955063347_zblt"/>
    <x v="17"/>
    <s v="rc_acc_1781955063347_uxz4"/>
    <x v="4"/>
    <s v=""/>
    <m/>
    <s v="-"/>
    <m/>
    <s v="import"/>
    <s v=""/>
    <b v="0"/>
    <s v=""/>
  </r>
  <r>
    <s v="529318d5-19f9-4576-bcd7-87b9c4470afc"/>
    <s v="2024-04-10"/>
    <x v="2"/>
    <x v="2"/>
    <n v="10"/>
    <s v="17:34"/>
    <n v="55"/>
    <x v="2"/>
    <s v="income_1781955063347_zblt"/>
    <x v="17"/>
    <s v="kbank"/>
    <x v="0"/>
    <s v=""/>
    <m/>
    <s v="-"/>
    <m/>
    <s v="import"/>
    <s v=""/>
    <b v="0"/>
    <s v=""/>
  </r>
  <r>
    <s v="9a4caca9-ec75-4a01-8201-6d640e1b729c"/>
    <s v="2024-04-08"/>
    <x v="2"/>
    <x v="2"/>
    <n v="8"/>
    <s v="19:05"/>
    <n v="70"/>
    <x v="0"/>
    <s v="rc_cat_1781955063347_anhy_1781955063348_k5l1"/>
    <x v="16"/>
    <s v="kbank"/>
    <x v="0"/>
    <s v=""/>
    <m/>
    <s v="-"/>
    <m/>
    <s v="import"/>
    <s v=""/>
    <b v="0"/>
    <s v=""/>
  </r>
  <r>
    <s v="ea4261b8-1680-47ca-bc19-d1997905e7c6"/>
    <s v="2024-04-07"/>
    <x v="2"/>
    <x v="2"/>
    <n v="7"/>
    <s v="11:20"/>
    <n v="17500"/>
    <x v="0"/>
    <s v="rc_cat_1781955063347_anhy_1781955063350_fcpb"/>
    <x v="2"/>
    <s v="rc_acc_1781955063347_uxz4"/>
    <x v="4"/>
    <s v=""/>
    <m/>
    <s v="-"/>
    <m/>
    <s v="import"/>
    <s v=""/>
    <b v="0"/>
    <s v=""/>
  </r>
  <r>
    <s v="7aa75f28-35f6-4557-b1d8-89b0274659cf"/>
    <s v="2024-04-07"/>
    <x v="2"/>
    <x v="2"/>
    <n v="7"/>
    <s v="11:21"/>
    <n v="8206.3"/>
    <x v="0"/>
    <s v="rc_cat_1781955063347_04qb_1781955063347_wt5p"/>
    <x v="3"/>
    <s v="kbank"/>
    <x v="0"/>
    <s v=""/>
    <m/>
    <s v="-"/>
    <m/>
    <s v="import"/>
    <s v=""/>
    <b v="0"/>
    <s v=""/>
  </r>
  <r>
    <s v="4292ca8d-b8ee-435d-99aa-5801c78d7fbe"/>
    <s v="2024-04-02"/>
    <x v="2"/>
    <x v="2"/>
    <n v="2"/>
    <s v="11:28"/>
    <n v="400"/>
    <x v="1"/>
    <s v="other"/>
    <x v="1"/>
    <s v="kbank"/>
    <x v="0"/>
    <s v="rc_acc_1781955063347_e3zv"/>
    <s v="Cash"/>
    <s v="-"/>
    <m/>
    <s v="import"/>
    <s v=""/>
    <b v="0"/>
    <s v=""/>
  </r>
  <r>
    <s v="a9c4d4d9-54be-4599-a9fd-1b2e9a6d498c"/>
    <s v="2024-04-02"/>
    <x v="2"/>
    <x v="2"/>
    <n v="2"/>
    <s v="11:28"/>
    <n v="149"/>
    <x v="0"/>
    <s v="rc_cat_1781955063347_anhy_1781955063348_k5l1"/>
    <x v="16"/>
    <s v="kbank"/>
    <x v="0"/>
    <s v=""/>
    <m/>
    <s v="-"/>
    <m/>
    <s v="import"/>
    <s v=""/>
    <b v="0"/>
    <s v=""/>
  </r>
  <r>
    <s v="970cc8ca-f384-4274-9a56-0b076ba3eb1c"/>
    <s v="2024-04-01"/>
    <x v="2"/>
    <x v="2"/>
    <n v="1"/>
    <s v="11:28"/>
    <n v="5000"/>
    <x v="0"/>
    <s v="rc_cat_1781955063347_anhy_1781955063347_qnaz"/>
    <x v="4"/>
    <s v="kbank"/>
    <x v="0"/>
    <s v=""/>
    <m/>
    <s v="-"/>
    <m/>
    <s v="import"/>
    <s v=""/>
    <b v="0"/>
    <s v=""/>
  </r>
  <r>
    <s v="1f253a37-4a4a-453e-bbc2-80626e977ebc"/>
    <s v="2024-03-31"/>
    <x v="2"/>
    <x v="3"/>
    <n v="31"/>
    <s v="11:34"/>
    <n v="560"/>
    <x v="0"/>
    <s v="rc_cat_1781955063347_anhy_1781955063347_qnaz"/>
    <x v="4"/>
    <s v="kbank"/>
    <x v="0"/>
    <s v=""/>
    <m/>
    <s v="เชงเม้ง ข้าว กาแฟ"/>
    <m/>
    <s v="import"/>
    <s v=""/>
    <b v="0"/>
    <s v=""/>
  </r>
  <r>
    <s v="8f0bd711-efd0-4f6b-8530-07547b834513"/>
    <s v="2024-03-31"/>
    <x v="2"/>
    <x v="3"/>
    <n v="31"/>
    <s v="11:36"/>
    <n v="500"/>
    <x v="0"/>
    <s v="rc_cat_1781955063347_anhy_1781955063350_fcpb"/>
    <x v="2"/>
    <s v="kbank"/>
    <x v="0"/>
    <s v=""/>
    <m/>
    <s v="-"/>
    <m/>
    <s v="import"/>
    <s v=""/>
    <b v="0"/>
    <s v=""/>
  </r>
  <r>
    <s v="2b1fb9a4-941a-48ef-8e4b-8e840d9ea35e"/>
    <s v="2024-03-31"/>
    <x v="2"/>
    <x v="3"/>
    <n v="31"/>
    <s v="18:59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3464fc4e-81e0-46bd-b879-c3f7a9d08c92"/>
    <s v="2024-03-31"/>
    <x v="2"/>
    <x v="3"/>
    <n v="31"/>
    <s v="19:11"/>
    <n v="617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27573a88-6b41-4171-a7a2-88ff31cbf810"/>
    <s v="2024-03-31"/>
    <x v="2"/>
    <x v="3"/>
    <n v="31"/>
    <s v="19:36"/>
    <n v="160"/>
    <x v="1"/>
    <s v="other"/>
    <x v="1"/>
    <s v="advance"/>
    <x v="2"/>
    <s v="kbank"/>
    <s v="KBank"/>
    <s v="-"/>
    <m/>
    <s v="import"/>
    <s v=""/>
    <b v="0"/>
    <s v=""/>
  </r>
  <r>
    <s v="25e31b20-449e-4f13-8363-301d20ae262b"/>
    <s v="2024-03-31"/>
    <x v="2"/>
    <x v="3"/>
    <n v="31"/>
    <s v="20:24"/>
    <n v="4928"/>
    <x v="0"/>
    <s v="rc_cat_1781955063347_5qjb_1781955063347_tezk"/>
    <x v="5"/>
    <s v="rc_acc_1781955063357_rvam"/>
    <x v="3"/>
    <s v=""/>
    <m/>
    <s v="-"/>
    <m/>
    <s v="import"/>
    <s v=""/>
    <b v="0"/>
    <s v=""/>
  </r>
  <r>
    <s v="9e149a9b-acd3-41cf-8eb2-c7676d885126"/>
    <s v="2024-03-30"/>
    <x v="2"/>
    <x v="3"/>
    <n v="30"/>
    <s v="19:11"/>
    <n v="64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da523d2-533c-42da-ab45-e55d3ddbc32d"/>
    <s v="2024-03-30"/>
    <x v="2"/>
    <x v="3"/>
    <n v="30"/>
    <s v="19:47"/>
    <n v="1928"/>
    <x v="0"/>
    <s v="rc_cat_1781955063347_s4sz_1781955063347_deos"/>
    <x v="6"/>
    <s v="kbank"/>
    <x v="0"/>
    <s v=""/>
    <m/>
    <s v="-"/>
    <m/>
    <s v="import"/>
    <s v=""/>
    <b v="0"/>
    <s v=""/>
  </r>
  <r>
    <s v="dde56ba9-e40f-4bdc-b18a-410f838581f9"/>
    <s v="2024-03-30"/>
    <x v="2"/>
    <x v="3"/>
    <n v="30"/>
    <s v="19:48"/>
    <n v="220"/>
    <x v="0"/>
    <s v="entertain_1781955063352_1jgx"/>
    <x v="10"/>
    <s v="kbank"/>
    <x v="0"/>
    <s v=""/>
    <m/>
    <s v="-"/>
    <m/>
    <s v="import"/>
    <s v=""/>
    <b v="0"/>
    <s v=""/>
  </r>
  <r>
    <s v="e73587cb-2f2e-4ea6-955f-25d128a3599b"/>
    <s v="2024-03-30"/>
    <x v="2"/>
    <x v="3"/>
    <n v="30"/>
    <s v="19:48"/>
    <n v="1723"/>
    <x v="0"/>
    <s v="rc_cat_1781955063347_5qjb_1781955063347_tezk"/>
    <x v="5"/>
    <s v="kbank"/>
    <x v="0"/>
    <s v=""/>
    <m/>
    <s v="-"/>
    <m/>
    <s v="import"/>
    <s v=""/>
    <b v="0"/>
    <s v=""/>
  </r>
  <r>
    <s v="ce3b7021-6c27-4444-b543-d66fabd284a1"/>
    <s v="2024-03-30"/>
    <x v="2"/>
    <x v="3"/>
    <n v="30"/>
    <s v="19:48"/>
    <n v="5000"/>
    <x v="1"/>
    <s v="other"/>
    <x v="1"/>
    <s v="kbank"/>
    <x v="0"/>
    <s v="rc_acc_1781955063347_e3zv"/>
    <s v="Cash"/>
    <s v="-"/>
    <m/>
    <s v="import"/>
    <s v=""/>
    <b v="0"/>
    <s v=""/>
  </r>
  <r>
    <s v="10e80e34-cd3e-4e02-b4b0-b57c193fdc3d"/>
    <s v="2024-03-28"/>
    <x v="2"/>
    <x v="3"/>
    <n v="28"/>
    <s v="19:08"/>
    <n v="125"/>
    <x v="1"/>
    <s v="other"/>
    <x v="1"/>
    <s v="kbank"/>
    <x v="0"/>
    <s v="rc_acc_1781955063347_uxz4"/>
    <s v="SCB"/>
    <s v="-"/>
    <m/>
    <s v="import"/>
    <s v=""/>
    <b v="0"/>
    <s v=""/>
  </r>
  <r>
    <s v="237813bd-a119-4905-9894-e53e07105630"/>
    <s v="2024-03-28"/>
    <x v="2"/>
    <x v="3"/>
    <n v="28"/>
    <s v="19:47"/>
    <n v="415"/>
    <x v="0"/>
    <s v="rc_cat_1781955063347_anhy_1781955063348_k5l1"/>
    <x v="16"/>
    <s v="kbank"/>
    <x v="0"/>
    <s v=""/>
    <m/>
    <s v="-"/>
    <m/>
    <s v="import"/>
    <s v=""/>
    <b v="0"/>
    <s v=""/>
  </r>
  <r>
    <s v="97126948-38a1-4757-a9d0-fd6dbe15e913"/>
    <s v="2024-03-27"/>
    <x v="2"/>
    <x v="3"/>
    <n v="27"/>
    <s v="19:46"/>
    <n v="1016.5"/>
    <x v="0"/>
    <s v="rc_cat_1781955063347_5qjb_1781955063348_hrbf"/>
    <x v="28"/>
    <s v="kbank"/>
    <x v="0"/>
    <s v=""/>
    <m/>
    <s v="-"/>
    <m/>
    <s v="import"/>
    <s v=""/>
    <b v="0"/>
    <s v=""/>
  </r>
  <r>
    <s v="933cb674-c062-455a-8fc1-47afcdebe67a"/>
    <s v="2024-03-25"/>
    <x v="2"/>
    <x v="3"/>
    <n v="25"/>
    <s v="00:00"/>
    <n v="3675.5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cecb05de-58e3-4f19-8448-e26f12f75344"/>
    <s v="2024-03-25"/>
    <x v="2"/>
    <x v="3"/>
    <n v="25"/>
    <s v="00:00"/>
    <n v="1572.19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ba22465f-b51c-4ecf-b66b-ab1e04880b1b"/>
    <s v="2024-03-25"/>
    <x v="2"/>
    <x v="3"/>
    <n v="25"/>
    <s v="00:00"/>
    <n v="2488.6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fd4bf80f-2d2f-4c2c-9c8a-8ea4125bd2f1"/>
    <s v="2024-03-25"/>
    <x v="2"/>
    <x v="3"/>
    <n v="25"/>
    <s v="00:00"/>
    <n v="400.06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217a2b06-2e3c-4bbe-a8d8-2925857cce9a"/>
    <s v="2024-03-25"/>
    <x v="2"/>
    <x v="3"/>
    <n v="25"/>
    <s v="00:00"/>
    <n v="4158"/>
    <x v="1"/>
    <s v="other"/>
    <x v="1"/>
    <s v="kbank"/>
    <x v="0"/>
    <s v="rc_acc_1781955063348_xd87"/>
    <s v="Hong"/>
    <s v="-"/>
    <m/>
    <s v="import"/>
    <s v=""/>
    <b v="0"/>
    <s v=""/>
  </r>
  <r>
    <s v="baff2df3-87c6-4b56-995e-5249ec706037"/>
    <s v="2024-03-25"/>
    <x v="2"/>
    <x v="3"/>
    <n v="25"/>
    <s v="00:00"/>
    <n v="854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f0e1071c-263c-4cf4-8e29-42513bd359ff"/>
    <s v="2024-03-25"/>
    <x v="2"/>
    <x v="3"/>
    <n v="25"/>
    <s v="00:00"/>
    <n v="124430"/>
    <x v="2"/>
    <s v="income_1781955063347_5zxt"/>
    <x v="14"/>
    <s v="rc_acc_1781955063347_uxz4"/>
    <x v="4"/>
    <s v=""/>
    <m/>
    <s v="-"/>
    <m/>
    <s v="import"/>
    <s v=""/>
    <b v="0"/>
    <s v=""/>
  </r>
  <r>
    <s v="8040bc2d-42f4-4228-8ac1-3419e5d1778e"/>
    <s v="2024-03-25"/>
    <x v="2"/>
    <x v="3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b15490c3-d196-41f8-b767-d45d94bb3f9e"/>
    <s v="2024-03-25"/>
    <x v="2"/>
    <x v="3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d40f59a3-6f54-4f2c-a136-ed177ad64678"/>
    <s v="2024-03-24"/>
    <x v="2"/>
    <x v="3"/>
    <n v="24"/>
    <s v="13:16"/>
    <n v="1124"/>
    <x v="1"/>
    <s v="other"/>
    <x v="1"/>
    <s v="kbank"/>
    <x v="0"/>
    <s v="advance"/>
    <s v="Advance Paid"/>
    <s v="-"/>
    <m/>
    <s v="import"/>
    <s v=""/>
    <b v="0"/>
    <s v=""/>
  </r>
  <r>
    <s v="5dd6dcd8-40a0-4aa8-a16c-ab29cb50fca4"/>
    <s v="2024-03-24"/>
    <x v="2"/>
    <x v="3"/>
    <n v="24"/>
    <s v="14:19"/>
    <n v="170"/>
    <x v="0"/>
    <s v="rc_cat_1781955063347_5qjb_1781955063347_tezk"/>
    <x v="5"/>
    <s v="kbank"/>
    <x v="0"/>
    <s v=""/>
    <m/>
    <s v="-"/>
    <m/>
    <s v="import"/>
    <s v=""/>
    <b v="0"/>
    <s v=""/>
  </r>
  <r>
    <s v="4124abfc-61dd-4f9c-a6f1-e3c02dede0eb"/>
    <s v="2024-03-24"/>
    <x v="2"/>
    <x v="3"/>
    <n v="24"/>
    <s v="17:09"/>
    <n v="14282"/>
    <x v="1"/>
    <s v="other"/>
    <x v="1"/>
    <s v="advance"/>
    <x v="2"/>
    <s v="kbank"/>
    <s v="KBank"/>
    <s v="ค่าที่พัก 5965*2 784*3"/>
    <m/>
    <s v="import"/>
    <s v=""/>
    <b v="0"/>
    <s v=""/>
  </r>
  <r>
    <s v="341a41c3-54e8-427f-8ce4-77fa4965c57a"/>
    <s v="2024-03-24"/>
    <x v="2"/>
    <x v="3"/>
    <n v="24"/>
    <s v="19:14"/>
    <n v="1568"/>
    <x v="1"/>
    <s v="other"/>
    <x v="1"/>
    <s v="advance"/>
    <x v="2"/>
    <s v="kbank"/>
    <s v="KBank"/>
    <s v="จากกองกลาง 784*2"/>
    <m/>
    <s v="import"/>
    <s v=""/>
    <b v="0"/>
    <s v=""/>
  </r>
  <r>
    <s v="da8bdeba-bc13-4866-865e-f9afe46b1352"/>
    <s v="2024-03-24"/>
    <x v="2"/>
    <x v="3"/>
    <n v="24"/>
    <s v="20:23"/>
    <n v="5965"/>
    <x v="0"/>
    <s v="entertain_1781955063349_gok1"/>
    <x v="18"/>
    <s v="advance"/>
    <x v="2"/>
    <s v=""/>
    <m/>
    <s v="-"/>
    <m/>
    <s v="import"/>
    <s v=""/>
    <b v="0"/>
    <s v=""/>
  </r>
  <r>
    <s v="de8002c1-55dc-412d-90f0-743c3c82c339"/>
    <s v="2024-03-24"/>
    <x v="2"/>
    <x v="3"/>
    <n v="24"/>
    <s v="21:11"/>
    <n v="660"/>
    <x v="1"/>
    <s v="other"/>
    <x v="1"/>
    <s v="advance"/>
    <x v="2"/>
    <s v="kbank"/>
    <s v="KBank"/>
    <s v="-"/>
    <m/>
    <s v="import"/>
    <s v=""/>
    <b v="0"/>
    <s v=""/>
  </r>
  <r>
    <s v="9fd2d2db-6b78-4c79-9f6f-07818601c28b"/>
    <s v="2024-03-24"/>
    <x v="2"/>
    <x v="3"/>
    <n v="24"/>
    <s v="21:12"/>
    <n v="2090"/>
    <x v="1"/>
    <s v="other"/>
    <x v="1"/>
    <s v="kbank"/>
    <x v="0"/>
    <s v="advance"/>
    <s v="Advance Paid"/>
    <s v="-"/>
    <m/>
    <s v="import"/>
    <s v=""/>
    <b v="0"/>
    <s v=""/>
  </r>
  <r>
    <s v="60e9d1c6-ba6b-4ae6-8dd2-c6149a9bb420"/>
    <s v="2024-03-24"/>
    <x v="2"/>
    <x v="3"/>
    <n v="24"/>
    <s v="21:15"/>
    <n v="80"/>
    <x v="1"/>
    <s v="other"/>
    <x v="1"/>
    <s v="advance"/>
    <x v="2"/>
    <s v="kbank"/>
    <s v="KBank"/>
    <s v="-"/>
    <m/>
    <s v="import"/>
    <s v=""/>
    <b v="0"/>
    <s v=""/>
  </r>
  <r>
    <s v="dcf0decc-34ac-4b23-b249-8ec9e6006ddc"/>
    <s v="2024-03-24"/>
    <x v="2"/>
    <x v="3"/>
    <n v="24"/>
    <s v="21:15"/>
    <n v="347"/>
    <x v="2"/>
    <s v="other_1781955063348_27zj"/>
    <x v="0"/>
    <s v="kbank"/>
    <x v="0"/>
    <s v=""/>
    <m/>
    <s v="-"/>
    <m/>
    <s v="import"/>
    <s v=""/>
    <b v="0"/>
    <s v=""/>
  </r>
  <r>
    <s v="a8ed514f-9354-40f2-8157-d6b81cb6c79c"/>
    <s v="2024-03-24"/>
    <x v="2"/>
    <x v="3"/>
    <n v="24"/>
    <s v="23:55"/>
    <n v="9235"/>
    <x v="0"/>
    <s v="entertain_1781955063349_gok1"/>
    <x v="18"/>
    <s v="kbank"/>
    <x v="0"/>
    <s v=""/>
    <m/>
    <s v="taipei24"/>
    <m/>
    <s v="import"/>
    <s v=""/>
    <b v="0"/>
    <s v=""/>
  </r>
  <r>
    <s v="d8bfeab7-a7db-47e3-be4d-34f78cf9066b"/>
    <s v="2024-03-23"/>
    <x v="2"/>
    <x v="3"/>
    <n v="23"/>
    <s v="10:50"/>
    <n v="160"/>
    <x v="1"/>
    <s v="other"/>
    <x v="1"/>
    <s v="kbank"/>
    <x v="0"/>
    <s v="advance"/>
    <s v="Advance Paid"/>
    <s v="-"/>
    <m/>
    <s v="import"/>
    <s v=""/>
    <b v="0"/>
    <s v=""/>
  </r>
  <r>
    <s v="44467f86-78cd-4029-8b62-b0284851f9cb"/>
    <s v="2024-03-23"/>
    <x v="2"/>
    <x v="3"/>
    <n v="23"/>
    <s v="19:36"/>
    <n v="310"/>
    <x v="1"/>
    <s v="other"/>
    <x v="1"/>
    <s v="kbank"/>
    <x v="0"/>
    <s v="advance"/>
    <s v="Advance Paid"/>
    <s v="-"/>
    <m/>
    <s v="import"/>
    <s v=""/>
    <b v="0"/>
    <s v=""/>
  </r>
  <r>
    <s v="14285e90-a6f9-451d-89ee-704e8956bbd3"/>
    <s v="2024-03-22"/>
    <x v="2"/>
    <x v="3"/>
    <n v="22"/>
    <s v="20:49"/>
    <n v="660"/>
    <x v="1"/>
    <s v="other"/>
    <x v="1"/>
    <s v="kbank"/>
    <x v="0"/>
    <s v="advance"/>
    <s v="Advance Paid"/>
    <s v="-"/>
    <m/>
    <s v="import"/>
    <s v=""/>
    <b v="0"/>
    <s v=""/>
  </r>
  <r>
    <s v="b8755b43-3af8-47c3-9211-12b36d790240"/>
    <s v="2024-03-22"/>
    <x v="2"/>
    <x v="3"/>
    <n v="22"/>
    <s v="21:55"/>
    <n v="3500"/>
    <x v="1"/>
    <s v="other"/>
    <x v="1"/>
    <s v="kbank"/>
    <x v="0"/>
    <s v="advance"/>
    <s v="Advance Paid"/>
    <s v="-"/>
    <m/>
    <s v="import"/>
    <s v=""/>
    <b v="0"/>
    <s v=""/>
  </r>
  <r>
    <s v="720453c4-d7ca-4b77-b23e-77cffae78278"/>
    <s v="2024-03-20"/>
    <x v="2"/>
    <x v="3"/>
    <n v="20"/>
    <s v="19:07"/>
    <n v="967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8d28d70a-460f-4b13-b203-8093f44e910e"/>
    <s v="2024-03-17"/>
    <x v="2"/>
    <x v="3"/>
    <n v="17"/>
    <s v="11:21"/>
    <n v="50000"/>
    <x v="1"/>
    <s v="other"/>
    <x v="1"/>
    <s v="kbank"/>
    <x v="0"/>
    <s v="rc_acc_1781955063349_yz2g"/>
    <s v="Investment"/>
    <s v="TESG"/>
    <m/>
    <s v="import"/>
    <s v=""/>
    <b v="0"/>
    <s v=""/>
  </r>
  <r>
    <s v="75382109-19c7-42cd-bbb7-603efcc45e49"/>
    <s v="2024-03-17"/>
    <x v="2"/>
    <x v="3"/>
    <n v="17"/>
    <s v="11:28"/>
    <n v="29755"/>
    <x v="0"/>
    <s v="entertain_1781955063349_gok1"/>
    <x v="18"/>
    <s v="rc_acc_1781955063347_uxz4"/>
    <x v="4"/>
    <s v=""/>
    <m/>
    <s v="JP25 sap"/>
    <m/>
    <s v="import"/>
    <s v=""/>
    <b v="0"/>
    <s v=""/>
  </r>
  <r>
    <s v="f5a5d83f-12fe-4adb-a322-121b32614499"/>
    <s v="2024-03-16"/>
    <x v="2"/>
    <x v="3"/>
    <n v="16"/>
    <s v="11:23"/>
    <n v="430"/>
    <x v="0"/>
    <s v="rc_cat_1781955063347_5qjb_1781955063347_tezk"/>
    <x v="5"/>
    <s v="kbank"/>
    <x v="0"/>
    <s v=""/>
    <m/>
    <s v="เลี้ยงขนม"/>
    <m/>
    <s v="import"/>
    <s v=""/>
    <b v="0"/>
    <s v=""/>
  </r>
  <r>
    <s v="e3b368fc-97aa-4577-95b4-17121cda3a0f"/>
    <s v="2024-03-14"/>
    <x v="2"/>
    <x v="3"/>
    <n v="14"/>
    <s v="11:37"/>
    <n v="20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88d084d-1b5f-4f00-b6ae-abc84de35139"/>
    <s v="2024-03-11"/>
    <x v="2"/>
    <x v="3"/>
    <n v="11"/>
    <s v="11:36"/>
    <n v="192800"/>
    <x v="1"/>
    <s v="other"/>
    <x v="1"/>
    <s v="rc_acc_1781955063347_uxz4"/>
    <x v="4"/>
    <s v="rc_acc_1781955063358_d7gc"/>
    <s v="Travelcard JPY"/>
    <s v="-"/>
    <m/>
    <s v="import"/>
    <s v=""/>
    <b v="0"/>
    <s v=""/>
  </r>
  <r>
    <s v="4f9f3730-12db-4fab-80f6-442eeaa54500"/>
    <s v="2024-03-11"/>
    <x v="2"/>
    <x v="3"/>
    <n v="11"/>
    <s v="19:07"/>
    <n v="30000"/>
    <x v="1"/>
    <s v="other"/>
    <x v="1"/>
    <s v="rc_acc_1781955063348_xd87"/>
    <x v="19"/>
    <s v="rc_acc_1781955063358_d7gc"/>
    <s v="Travelcard JPY"/>
    <s v="ฝากแลกสามหมื่นบาท เรท 0.2417"/>
    <m/>
    <s v="import"/>
    <s v=""/>
    <b v="0"/>
    <s v=""/>
  </r>
  <r>
    <s v="00767adf-21e1-4d3d-845f-567878b27d2f"/>
    <s v="2024-03-10"/>
    <x v="2"/>
    <x v="3"/>
    <n v="10"/>
    <s v="11:21"/>
    <n v="59"/>
    <x v="0"/>
    <s v="rc_cat_1781955063347_5qjb_1781955063347_tezk"/>
    <x v="5"/>
    <s v="kbank"/>
    <x v="0"/>
    <s v=""/>
    <m/>
    <s v="-"/>
    <m/>
    <s v="import"/>
    <s v=""/>
    <b v="0"/>
    <s v=""/>
  </r>
  <r>
    <s v="26850a24-1a04-4b06-9454-dfbb5f062db6"/>
    <s v="2024-03-09"/>
    <x v="2"/>
    <x v="3"/>
    <n v="9"/>
    <s v="11:26"/>
    <n v="200000"/>
    <x v="0"/>
    <s v="rc_cat_1781955063347_04qb_1781955063347_wt5p"/>
    <x v="3"/>
    <s v="rc_acc_1781955063347_uxz4"/>
    <x v="4"/>
    <s v=""/>
    <m/>
    <s v="-"/>
    <m/>
    <s v="import"/>
    <s v=""/>
    <b v="0"/>
    <s v=""/>
  </r>
  <r>
    <s v="90fa99c0-be0f-40fc-910d-e066fab78f3d"/>
    <s v="2024-03-09"/>
    <x v="2"/>
    <x v="3"/>
    <n v="9"/>
    <s v="11:37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3e8cc797-e0b4-4d62-b9c7-6d90f9d76354"/>
    <s v="2024-03-06"/>
    <x v="2"/>
    <x v="3"/>
    <n v="6"/>
    <s v="11:20"/>
    <n v="500"/>
    <x v="0"/>
    <s v="rc_cat_1781955063347_anhy_1781955063348_k5l1"/>
    <x v="16"/>
    <s v="kbank"/>
    <x v="0"/>
    <s v=""/>
    <m/>
    <s v="งาน สนง"/>
    <m/>
    <s v="import"/>
    <s v=""/>
    <b v="0"/>
    <s v=""/>
  </r>
  <r>
    <s v="34360a9f-8e0d-442f-a70d-6775c4832887"/>
    <s v="2024-03-05"/>
    <x v="2"/>
    <x v="3"/>
    <n v="5"/>
    <s v="11:07"/>
    <n v="29461"/>
    <x v="0"/>
    <s v="rc_cat_1781955063347_04qb_1781955063350_acgf"/>
    <x v="11"/>
    <s v="kbank"/>
    <x v="0"/>
    <s v=""/>
    <m/>
    <s v="-"/>
    <m/>
    <s v="import"/>
    <s v=""/>
    <b v="0"/>
    <s v=""/>
  </r>
  <r>
    <s v="5b59f65a-91db-4830-b65e-32f0f7335f12"/>
    <s v="2024-03-04"/>
    <x v="2"/>
    <x v="3"/>
    <n v="4"/>
    <s v="10:57"/>
    <n v="7735"/>
    <x v="0"/>
    <s v="rc_cat_1781955063347_04qb_1781955063347_wt5p"/>
    <x v="3"/>
    <s v="kbank"/>
    <x v="0"/>
    <s v=""/>
    <m/>
    <s v="-"/>
    <m/>
    <s v="import"/>
    <s v=""/>
    <b v="0"/>
    <s v=""/>
  </r>
  <r>
    <s v="8e3217c7-a42b-466d-a6d0-1d09d5af4ab9"/>
    <s v="2024-03-02"/>
    <x v="2"/>
    <x v="3"/>
    <n v="2"/>
    <s v="20:14"/>
    <n v="5000"/>
    <x v="1"/>
    <s v="other"/>
    <x v="1"/>
    <s v="kbank"/>
    <x v="0"/>
    <s v="rc_acc_1781955063357_rvam"/>
    <s v="Make Kbank"/>
    <s v="-"/>
    <m/>
    <s v="import"/>
    <s v=""/>
    <b v="0"/>
    <s v=""/>
  </r>
  <r>
    <s v="7602a5e9-39c2-4e85-8802-6e0d843e6051"/>
    <s v="2024-03-02"/>
    <x v="2"/>
    <x v="3"/>
    <n v="2"/>
    <s v="20:24"/>
    <n v="1779.59"/>
    <x v="2"/>
    <s v="other_1781955063347_5s7r"/>
    <x v="15"/>
    <s v="kbank"/>
    <x v="0"/>
    <s v=""/>
    <m/>
    <s v="Difference"/>
    <m/>
    <s v="import"/>
    <s v=""/>
    <b v="0"/>
    <s v=""/>
  </r>
  <r>
    <s v="1c9fd6f0-e610-4d2d-944e-b352842cc889"/>
    <s v="2024-03-02"/>
    <x v="2"/>
    <x v="3"/>
    <n v="2"/>
    <s v="20:51"/>
    <n v="17500"/>
    <x v="0"/>
    <s v="rc_cat_1781955063347_anhy_1781955063350_fcpb"/>
    <x v="2"/>
    <s v="kbank"/>
    <x v="0"/>
    <s v=""/>
    <m/>
    <s v="-"/>
    <m/>
    <s v="import"/>
    <s v=""/>
    <b v="0"/>
    <s v=""/>
  </r>
  <r>
    <s v="4ffb224b-01ef-4b6d-b723-872901779583"/>
    <s v="2024-03-02"/>
    <x v="2"/>
    <x v="3"/>
    <n v="2"/>
    <s v="20:59"/>
    <n v="2793"/>
    <x v="0"/>
    <s v="rc_cat_1781955063347_s4sz_1781955063347_deos"/>
    <x v="6"/>
    <s v="kbank"/>
    <x v="0"/>
    <s v=""/>
    <m/>
    <s v="-"/>
    <m/>
    <s v="import"/>
    <s v=""/>
    <b v="0"/>
    <s v=""/>
  </r>
  <r>
    <s v="d2d5d189-8c40-46f0-b9f3-b2e0108925ba"/>
    <s v="2024-03-02"/>
    <x v="2"/>
    <x v="3"/>
    <n v="2"/>
    <s v="21:04"/>
    <n v="688.86"/>
    <x v="0"/>
    <s v="rc_cat_1781955063347_anhy_1781955063347_qnaz"/>
    <x v="4"/>
    <s v="kbank"/>
    <x v="0"/>
    <s v=""/>
    <m/>
    <s v="-"/>
    <m/>
    <s v="import"/>
    <s v=""/>
    <b v="0"/>
    <s v=""/>
  </r>
  <r>
    <s v="a6faee72-6b57-4cbb-92d1-e5770616aa1f"/>
    <s v="2024-03-02"/>
    <x v="2"/>
    <x v="3"/>
    <n v="2"/>
    <s v="21:12"/>
    <n v="987"/>
    <x v="1"/>
    <s v="other"/>
    <x v="1"/>
    <s v="rc_acc_1781955063347_uxz4"/>
    <x v="4"/>
    <s v="advance"/>
    <s v="Advance Paid"/>
    <s v="พี่จุ๊บจ่าย grab"/>
    <m/>
    <s v="import"/>
    <s v=""/>
    <b v="0"/>
    <s v=""/>
  </r>
  <r>
    <s v="d8b367cf-72bf-4a5e-ae06-8db0d0bd9667"/>
    <s v="2024-03-02"/>
    <x v="2"/>
    <x v="3"/>
    <n v="2"/>
    <s v="21:13"/>
    <n v="419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2e6890a0-7892-41a2-b654-12931961ae3d"/>
    <s v="2024-03-02"/>
    <x v="2"/>
    <x v="3"/>
    <n v="2"/>
    <s v="21:13"/>
    <n v="354.33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3587ccf7-e029-4d31-838d-619c3fd1cb6a"/>
    <s v="2024-03-02"/>
    <x v="2"/>
    <x v="3"/>
    <n v="2"/>
    <s v="21:18"/>
    <n v="51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2bde707-0a92-4446-8eed-7c819e48a8ba"/>
    <s v="2024-03-02"/>
    <x v="2"/>
    <x v="3"/>
    <n v="2"/>
    <s v="21:18"/>
    <n v="5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6b412dd3-8ca1-4d04-bfd1-9b128d637dc2"/>
    <s v="2024-02-29"/>
    <x v="2"/>
    <x v="4"/>
    <n v="29"/>
    <s v="23:55"/>
    <n v="4543"/>
    <x v="0"/>
    <s v="rc_cat_1781955063347_5qjb_1781955063347_tezk"/>
    <x v="5"/>
    <s v="rc_acc_1781955063357_rvam"/>
    <x v="3"/>
    <s v=""/>
    <m/>
    <s v="-"/>
    <m/>
    <s v="import"/>
    <s v=""/>
    <b v="0"/>
    <s v=""/>
  </r>
  <r>
    <s v="90a67a8b-c4a0-44ba-b953-fefc5f747c17"/>
    <s v="2024-02-26"/>
    <x v="2"/>
    <x v="4"/>
    <n v="26"/>
    <s v="16:17"/>
    <n v="69"/>
    <x v="0"/>
    <s v="entertain_1781955063348_kx2f"/>
    <x v="0"/>
    <s v="kbank"/>
    <x v="0"/>
    <s v=""/>
    <m/>
    <s v="-"/>
    <m/>
    <s v="import"/>
    <s v=""/>
    <b v="0"/>
    <s v=""/>
  </r>
  <r>
    <s v="ae555d47-06be-470e-944f-7ba35e5f29d0"/>
    <s v="2024-02-26"/>
    <x v="2"/>
    <x v="4"/>
    <n v="26"/>
    <s v="19:45"/>
    <n v="500"/>
    <x v="0"/>
    <s v="entertain_1781955063348_kx2f"/>
    <x v="0"/>
    <s v="kbank"/>
    <x v="0"/>
    <s v=""/>
    <m/>
    <s v="เคสมือถือ"/>
    <m/>
    <s v="import"/>
    <s v=""/>
    <b v="0"/>
    <s v=""/>
  </r>
  <r>
    <s v="125c4f4d-760f-4338-987b-b7901b248358"/>
    <s v="2024-02-26"/>
    <x v="2"/>
    <x v="4"/>
    <n v="26"/>
    <s v="19:45"/>
    <n v="1027"/>
    <x v="0"/>
    <s v="entertain_1781955063348_32wr"/>
    <x v="23"/>
    <s v="kbank"/>
    <x v="0"/>
    <s v=""/>
    <m/>
    <s v="-"/>
    <m/>
    <s v="import"/>
    <s v=""/>
    <b v="0"/>
    <s v=""/>
  </r>
  <r>
    <s v="f158cf19-f8eb-411b-aa10-bed5d71bd437"/>
    <s v="2024-02-26"/>
    <x v="2"/>
    <x v="4"/>
    <n v="26"/>
    <s v="19:46"/>
    <n v="1420"/>
    <x v="0"/>
    <s v="entertain_1781955063348_32wr"/>
    <x v="23"/>
    <s v="kbank"/>
    <x v="0"/>
    <s v=""/>
    <m/>
    <s v="-"/>
    <m/>
    <s v="import"/>
    <s v=""/>
    <b v="0"/>
    <s v=""/>
  </r>
  <r>
    <s v="5a8fe3e6-9f76-471f-acbe-095f802f84a2"/>
    <s v="2024-02-26"/>
    <x v="2"/>
    <x v="4"/>
    <n v="26"/>
    <s v="19:46"/>
    <n v="2333"/>
    <x v="0"/>
    <s v="entertain_1781955063347_8r8e"/>
    <x v="8"/>
    <s v="kbank"/>
    <x v="0"/>
    <s v=""/>
    <m/>
    <s v="-"/>
    <m/>
    <s v="import"/>
    <s v=""/>
    <b v="0"/>
    <s v=""/>
  </r>
  <r>
    <s v="98bce8c3-96e3-4ca9-85ba-7fbd81e8733f"/>
    <s v="2024-02-26"/>
    <x v="2"/>
    <x v="4"/>
    <n v="26"/>
    <s v="19:47"/>
    <n v="1322"/>
    <x v="0"/>
    <s v="rc_cat_1781955063347_s4sz_1781955063347_deos"/>
    <x v="6"/>
    <s v="kbank"/>
    <x v="0"/>
    <s v=""/>
    <m/>
    <s v="-"/>
    <m/>
    <s v="import"/>
    <s v=""/>
    <b v="0"/>
    <s v=""/>
  </r>
  <r>
    <s v="13f121a0-09ba-423f-8b4a-a00c67918256"/>
    <s v="2024-02-25"/>
    <x v="2"/>
    <x v="4"/>
    <n v="25"/>
    <s v="00:00"/>
    <n v="4158"/>
    <x v="1"/>
    <s v="other"/>
    <x v="1"/>
    <s v="kbank"/>
    <x v="0"/>
    <s v="rc_acc_1781955063348_xd87"/>
    <s v="Hong"/>
    <s v="-"/>
    <m/>
    <s v="import"/>
    <s v=""/>
    <b v="0"/>
    <s v=""/>
  </r>
  <r>
    <s v="7a58fbac-1f66-45fa-91ad-44573d4cc977"/>
    <s v="2024-02-25"/>
    <x v="2"/>
    <x v="4"/>
    <n v="25"/>
    <s v="00:00"/>
    <n v="21944.94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79c1ed76-4770-483b-a082-b6b65674e1d2"/>
    <s v="2024-02-25"/>
    <x v="2"/>
    <x v="4"/>
    <n v="25"/>
    <s v="00:00"/>
    <n v="3230.15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12a994a2-1ffa-40ca-8eb5-074f2e4a37cc"/>
    <s v="2024-02-25"/>
    <x v="2"/>
    <x v="4"/>
    <n v="25"/>
    <s v="00:00"/>
    <n v="365.29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41d91d48-11c3-403f-94bc-55b81412e71f"/>
    <s v="2024-02-25"/>
    <x v="2"/>
    <x v="4"/>
    <n v="25"/>
    <s v="00:00"/>
    <n v="2735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f53cda84-d559-4ea7-acd3-d75e35bf06ea"/>
    <s v="2024-02-25"/>
    <x v="2"/>
    <x v="4"/>
    <n v="25"/>
    <s v="00:00"/>
    <n v="854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fb2b4713-af0f-4ba6-bd9b-f3e13a9d119a"/>
    <s v="2024-02-25"/>
    <x v="2"/>
    <x v="4"/>
    <n v="25"/>
    <s v="00:00"/>
    <n v="124430"/>
    <x v="2"/>
    <s v="income_1781955063347_5zxt"/>
    <x v="14"/>
    <s v="rc_acc_1781955063347_uxz4"/>
    <x v="4"/>
    <s v=""/>
    <m/>
    <s v="-"/>
    <m/>
    <s v="import"/>
    <s v=""/>
    <b v="0"/>
    <s v=""/>
  </r>
  <r>
    <s v="66649fee-b6f3-4667-917b-c53338012f47"/>
    <s v="2024-02-25"/>
    <x v="2"/>
    <x v="4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d99a4c2b-47cf-4ff7-94d9-411ff339ec9a"/>
    <s v="2024-02-25"/>
    <x v="2"/>
    <x v="4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928a2164-be63-4a70-8441-e1f64701f1c9"/>
    <s v="2024-02-25"/>
    <x v="2"/>
    <x v="4"/>
    <n v="25"/>
    <s v="00:00"/>
    <n v="219715"/>
    <x v="2"/>
    <s v="income_1781955063347_zblt"/>
    <x v="17"/>
    <s v="rc_acc_1781955063347_uxz4"/>
    <x v="4"/>
    <s v=""/>
    <m/>
    <s v="-"/>
    <m/>
    <s v="import"/>
    <s v=""/>
    <b v="0"/>
    <s v=""/>
  </r>
  <r>
    <s v="47bff2e6-2a02-41e7-8706-43244e8bf63a"/>
    <s v="2024-02-25"/>
    <x v="2"/>
    <x v="4"/>
    <n v="25"/>
    <s v="00:00"/>
    <n v="1487"/>
    <x v="0"/>
    <s v="rc_cat_1781955063347_anhy_1781955063347_qnaz"/>
    <x v="4"/>
    <s v="rc_acc_1781955063347_uxz4"/>
    <x v="4"/>
    <s v=""/>
    <m/>
    <s v="-"/>
    <m/>
    <s v="import"/>
    <s v=""/>
    <b v="0"/>
    <s v=""/>
  </r>
  <r>
    <s v="eaefda35-017d-4290-90a8-3a594f8c82ed"/>
    <s v="2024-02-23"/>
    <x v="2"/>
    <x v="4"/>
    <n v="23"/>
    <s v="20:34"/>
    <n v="-2710.98"/>
    <x v="0"/>
    <s v="rc_cat_1781955063347_anhy_1781955063347_qnaz"/>
    <x v="4"/>
    <s v="rc_acc_1781955063347_uxz4"/>
    <x v="4"/>
    <s v=""/>
    <m/>
    <s v="-"/>
    <m/>
    <s v="import"/>
    <s v=""/>
    <b v="0"/>
    <s v=""/>
  </r>
  <r>
    <s v="e17f7e6d-dc53-4d77-b5fe-0221a4eaa190"/>
    <s v="2024-02-21"/>
    <x v="2"/>
    <x v="4"/>
    <n v="21"/>
    <s v="12:34"/>
    <n v="1200"/>
    <x v="0"/>
    <s v="rc_cat_1781955063347_anhy_1781955063347_qnaz"/>
    <x v="4"/>
    <s v="kbank"/>
    <x v="0"/>
    <s v=""/>
    <m/>
    <s v="-"/>
    <m/>
    <s v="import"/>
    <s v=""/>
    <b v="0"/>
    <s v=""/>
  </r>
  <r>
    <s v="705f2d39-1e14-499f-a29c-245f2202db24"/>
    <s v="2024-02-16"/>
    <x v="2"/>
    <x v="4"/>
    <n v="16"/>
    <s v="11:25"/>
    <n v="50"/>
    <x v="0"/>
    <s v="rc_cat_1781955063347_5qjb_1781955063347_tezk"/>
    <x v="5"/>
    <s v="kbank"/>
    <x v="0"/>
    <s v=""/>
    <m/>
    <s v="-"/>
    <m/>
    <s v="import"/>
    <s v=""/>
    <b v="0"/>
    <s v=""/>
  </r>
  <r>
    <s v="e8f474b7-8df6-44b0-908c-ed17dc7cb1c9"/>
    <s v="2024-02-15"/>
    <x v="2"/>
    <x v="4"/>
    <n v="15"/>
    <s v="12:41"/>
    <n v="500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c168b93b-fc04-48ba-9f92-d9025feefa2e"/>
    <s v="2024-02-14"/>
    <x v="2"/>
    <x v="4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d441883f-a9af-4f39-b564-1ed313d9d643"/>
    <s v="2024-02-11"/>
    <x v="2"/>
    <x v="4"/>
    <n v="11"/>
    <s v="19:29"/>
    <n v="300"/>
    <x v="0"/>
    <s v="other_1781955063348_27zj"/>
    <x v="0"/>
    <s v="kbank"/>
    <x v="0"/>
    <s v=""/>
    <m/>
    <s v="ตัดผม"/>
    <m/>
    <s v="import"/>
    <s v=""/>
    <b v="0"/>
    <s v=""/>
  </r>
  <r>
    <s v="fca6321e-7609-4852-b75a-fb538199a641"/>
    <s v="2024-02-09"/>
    <x v="2"/>
    <x v="4"/>
    <n v="9"/>
    <s v="12:41"/>
    <n v="154"/>
    <x v="2"/>
    <s v="income_1781955063347_zblt"/>
    <x v="17"/>
    <s v="rc_acc_1781955063347_uxz4"/>
    <x v="4"/>
    <s v=""/>
    <m/>
    <s v="-"/>
    <m/>
    <s v="import"/>
    <s v=""/>
    <b v="0"/>
    <s v=""/>
  </r>
  <r>
    <s v="91c9e147-abc6-4505-b834-0a9b1162a047"/>
    <s v="2024-02-09"/>
    <x v="2"/>
    <x v="4"/>
    <n v="9"/>
    <s v="12:42"/>
    <n v="1800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1e3454e4-5bd3-4a29-9932-2123c8c506bd"/>
    <s v="2024-02-05"/>
    <x v="2"/>
    <x v="4"/>
    <n v="5"/>
    <s v="12:47"/>
    <n v="987"/>
    <x v="1"/>
    <s v="other"/>
    <x v="1"/>
    <s v="advance"/>
    <x v="2"/>
    <s v="rc_acc_1781955063347_uxz4"/>
    <s v="SCB"/>
    <s v="พี่จุ๊บจ่าย grab"/>
    <m/>
    <s v="import"/>
    <s v=""/>
    <b v="0"/>
    <s v=""/>
  </r>
  <r>
    <s v="07b7c56c-92f3-41bd-8ac2-bef60ff0e98e"/>
    <s v="2024-02-04"/>
    <x v="2"/>
    <x v="4"/>
    <n v="4"/>
    <s v="11:24"/>
    <n v="379"/>
    <x v="0"/>
    <s v="rc_cat_1781955063347_anhy_1781955063347_qnaz"/>
    <x v="4"/>
    <s v="kbank"/>
    <x v="0"/>
    <s v=""/>
    <m/>
    <s v="-"/>
    <m/>
    <s v="import"/>
    <s v=""/>
    <b v="0"/>
    <s v=""/>
  </r>
  <r>
    <s v="27edd048-9f66-4e9a-b9c7-3e0a7bca5b4e"/>
    <s v="2024-02-04"/>
    <x v="2"/>
    <x v="4"/>
    <n v="4"/>
    <s v="12:40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f0ae0af0-5b11-4e31-ba7f-ed01a7bc19d1"/>
    <s v="2024-02-04"/>
    <x v="2"/>
    <x v="4"/>
    <n v="4"/>
    <s v="13:01"/>
    <n v="10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d0275c37-9f21-4ce3-9f8f-1fae31ad957d"/>
    <s v="2024-02-03"/>
    <x v="2"/>
    <x v="4"/>
    <n v="3"/>
    <s v="11:01"/>
    <n v="500"/>
    <x v="0"/>
    <s v="rc_cat_1781955063347_anhy_1781955063350_fcpb"/>
    <x v="2"/>
    <s v="kbank"/>
    <x v="0"/>
    <s v=""/>
    <m/>
    <s v="-"/>
    <m/>
    <s v="import"/>
    <s v=""/>
    <b v="0"/>
    <s v=""/>
  </r>
  <r>
    <s v="ff4ddc25-e66e-4c44-a4ab-f9b6c07853d4"/>
    <s v="2024-02-02"/>
    <x v="2"/>
    <x v="4"/>
    <n v="2"/>
    <s v="12:27"/>
    <n v="822"/>
    <x v="0"/>
    <s v="other_1781955063348_27zj"/>
    <x v="0"/>
    <s v="rc_acc_1781955063348_obza"/>
    <x v="8"/>
    <s v=""/>
    <m/>
    <s v="-"/>
    <m/>
    <s v="import"/>
    <s v=""/>
    <b v="0"/>
    <s v=""/>
  </r>
  <r>
    <s v="87e15cd8-d3e8-4654-8596-50b44d32812f"/>
    <s v="2024-02-01"/>
    <x v="2"/>
    <x v="4"/>
    <n v="1"/>
    <s v="11:00"/>
    <n v="17500"/>
    <x v="0"/>
    <s v="rc_cat_1781955063347_anhy_1781955063350_fcpb"/>
    <x v="2"/>
    <s v="kbank"/>
    <x v="0"/>
    <s v=""/>
    <m/>
    <s v="-"/>
    <m/>
    <s v="import"/>
    <s v=""/>
    <b v="0"/>
    <s v=""/>
  </r>
  <r>
    <s v="0de71ed2-dcd9-4160-81c2-581203ba1188"/>
    <s v="2024-02-01"/>
    <x v="2"/>
    <x v="4"/>
    <n v="1"/>
    <s v="11:23"/>
    <n v="8219.33"/>
    <x v="0"/>
    <s v="rc_cat_1781955063347_04qb_1781955063347_wt5p"/>
    <x v="3"/>
    <s v="kbank"/>
    <x v="0"/>
    <s v=""/>
    <m/>
    <s v="-"/>
    <m/>
    <s v="import"/>
    <s v=""/>
    <b v="0"/>
    <s v=""/>
  </r>
  <r>
    <s v="04c492a9-6bcc-4af5-8982-752579c0875f"/>
    <s v="2024-02-01"/>
    <x v="2"/>
    <x v="4"/>
    <n v="1"/>
    <s v="12:40"/>
    <n v="14775"/>
    <x v="2"/>
    <s v="income_1781955063347_zblt"/>
    <x v="17"/>
    <s v="rc_acc_1781955063347_uxz4"/>
    <x v="4"/>
    <s v=""/>
    <m/>
    <s v="-"/>
    <m/>
    <s v="import"/>
    <s v=""/>
    <b v="0"/>
    <s v=""/>
  </r>
  <r>
    <s v="0e9a2f11-7b91-46ec-b2af-1317061b352d"/>
    <s v="2024-01-31"/>
    <x v="2"/>
    <x v="5"/>
    <n v="31"/>
    <s v="11:24"/>
    <n v="133"/>
    <x v="0"/>
    <s v="rc_cat_1781955063347_5qjb_1781955063347_tezk"/>
    <x v="5"/>
    <s v="kbank"/>
    <x v="0"/>
    <s v=""/>
    <m/>
    <s v="-"/>
    <m/>
    <s v="import"/>
    <s v=""/>
    <b v="0"/>
    <s v=""/>
  </r>
  <r>
    <s v="ba5af48e-1418-4700-9b3c-e9a09ee8b8b1"/>
    <s v="2024-01-31"/>
    <x v="2"/>
    <x v="5"/>
    <n v="31"/>
    <s v="19:15"/>
    <n v="679"/>
    <x v="1"/>
    <s v="other"/>
    <x v="1"/>
    <s v="advance"/>
    <x v="2"/>
    <s v="rc_acc_1781955063347_uxz4"/>
    <s v="SCB"/>
    <s v="รสดีเด็ดของอุ้ย"/>
    <m/>
    <s v="import"/>
    <s v=""/>
    <b v="0"/>
    <s v=""/>
  </r>
  <r>
    <s v="88f792f3-80b3-4533-b783-28a69aa91a18"/>
    <s v="2024-01-31"/>
    <x v="2"/>
    <x v="5"/>
    <n v="31"/>
    <s v="19:37"/>
    <n v="67"/>
    <x v="2"/>
    <s v="income_1781955063347_zblt"/>
    <x v="17"/>
    <s v="rc_acc_1781955063347_uxz4"/>
    <x v="4"/>
    <s v=""/>
    <m/>
    <s v="-"/>
    <m/>
    <s v="import"/>
    <s v=""/>
    <b v="0"/>
    <s v=""/>
  </r>
  <r>
    <s v="2c6c28a6-ead0-4203-a0fc-6555e99cc2ed"/>
    <s v="2024-01-30"/>
    <x v="2"/>
    <x v="5"/>
    <n v="30"/>
    <s v="13:27"/>
    <n v="4158"/>
    <x v="1"/>
    <s v="other"/>
    <x v="1"/>
    <s v="kbank"/>
    <x v="0"/>
    <s v="rc_acc_1781955063348_xd87"/>
    <s v="Hong"/>
    <s v="-"/>
    <m/>
    <s v="import"/>
    <s v=""/>
    <b v="0"/>
    <s v=""/>
  </r>
  <r>
    <s v="6b7ab54a-5d9a-4a43-ac3f-c0c0acd13739"/>
    <s v="2024-01-30"/>
    <x v="2"/>
    <x v="5"/>
    <n v="30"/>
    <s v="14:25"/>
    <n v="900"/>
    <x v="1"/>
    <s v="other"/>
    <x v="1"/>
    <s v="advance"/>
    <x v="2"/>
    <s v="kbank"/>
    <s v="KBank"/>
    <s v="-"/>
    <m/>
    <s v="import"/>
    <s v=""/>
    <b v="0"/>
    <s v=""/>
  </r>
  <r>
    <s v="dbc10cec-81cc-469f-b858-e6cfff838afe"/>
    <s v="2024-01-30"/>
    <x v="2"/>
    <x v="5"/>
    <n v="30"/>
    <s v="14:27"/>
    <n v="800.62"/>
    <x v="0"/>
    <s v="rc_cat_1781955063347_5qjb_1781955063347_irl1"/>
    <x v="0"/>
    <s v="kbank"/>
    <x v="0"/>
    <s v=""/>
    <m/>
    <s v="ค่าประกันหักแคช"/>
    <m/>
    <s v="import"/>
    <s v=""/>
    <b v="0"/>
    <s v=""/>
  </r>
  <r>
    <s v="73648b9d-02a5-46a8-979f-0a456cfb15e9"/>
    <s v="2024-01-30"/>
    <x v="2"/>
    <x v="5"/>
    <n v="30"/>
    <s v="14:28"/>
    <n v="122"/>
    <x v="1"/>
    <s v="other"/>
    <x v="1"/>
    <s v="advance"/>
    <x v="2"/>
    <s v="kbank"/>
    <s v="KBank"/>
    <s v="-"/>
    <m/>
    <s v="import"/>
    <s v=""/>
    <b v="0"/>
    <s v=""/>
  </r>
  <r>
    <s v="b349c7d4-8cbe-409c-b456-22628db6884d"/>
    <s v="2024-01-30"/>
    <x v="2"/>
    <x v="5"/>
    <n v="30"/>
    <s v="20:14"/>
    <n v="200000"/>
    <x v="1"/>
    <s v="other"/>
    <x v="1"/>
    <s v="rc_acc_1781955063347_uxz4"/>
    <x v="4"/>
    <s v="kbank"/>
    <s v="KBank"/>
    <s v="-"/>
    <m/>
    <s v="import"/>
    <s v=""/>
    <b v="0"/>
    <s v=""/>
  </r>
  <r>
    <s v="8aab6c97-28a6-45d7-83c2-ed93d8641887"/>
    <s v="2024-01-30"/>
    <x v="2"/>
    <x v="5"/>
    <n v="30"/>
    <s v="20:25"/>
    <n v="60"/>
    <x v="2"/>
    <s v="income_1781955063347_zblt"/>
    <x v="17"/>
    <s v="rc_acc_1781955063347_uxz4"/>
    <x v="4"/>
    <s v=""/>
    <m/>
    <s v="-"/>
    <m/>
    <s v="import"/>
    <s v=""/>
    <b v="0"/>
    <s v=""/>
  </r>
  <r>
    <s v="1c3ab84a-5615-485c-948e-dd711ec5e9d0"/>
    <s v="2024-01-29"/>
    <x v="2"/>
    <x v="5"/>
    <n v="29"/>
    <s v="12:10"/>
    <n v="8256"/>
    <x v="0"/>
    <s v="entertain_1781955063348_kx2f"/>
    <x v="0"/>
    <s v="kbank"/>
    <x v="0"/>
    <s v=""/>
    <m/>
    <s v="-"/>
    <m/>
    <s v="import"/>
    <s v=""/>
    <b v="0"/>
    <s v=""/>
  </r>
  <r>
    <s v="d1f85024-d365-4223-9b8d-86fb51093780"/>
    <s v="2024-01-29"/>
    <x v="2"/>
    <x v="5"/>
    <n v="29"/>
    <s v="12:31"/>
    <n v="8256"/>
    <x v="1"/>
    <s v="other"/>
    <x v="1"/>
    <s v="advance"/>
    <x v="2"/>
    <s v="rc_acc_1781955063347_uxz4"/>
    <s v="SCB"/>
    <s v="-"/>
    <m/>
    <s v="import"/>
    <s v=""/>
    <b v="0"/>
    <s v=""/>
  </r>
  <r>
    <s v="dcf7bc77-55c6-4dc8-8739-f8f42d97d50c"/>
    <s v="2024-01-29"/>
    <x v="2"/>
    <x v="5"/>
    <n v="29"/>
    <s v="14:11"/>
    <n v="900"/>
    <x v="1"/>
    <s v="other"/>
    <x v="1"/>
    <s v="advance"/>
    <x v="2"/>
    <s v="kbank"/>
    <s v="KBank"/>
    <s v="-"/>
    <m/>
    <s v="import"/>
    <s v=""/>
    <b v="0"/>
    <s v=""/>
  </r>
  <r>
    <s v="862c54a7-d569-4192-8189-44bd2219aeda"/>
    <s v="2024-01-29"/>
    <x v="2"/>
    <x v="5"/>
    <n v="29"/>
    <s v="14:13"/>
    <n v="540"/>
    <x v="1"/>
    <s v="other"/>
    <x v="1"/>
    <s v="advance"/>
    <x v="2"/>
    <s v="kbank"/>
    <s v="KBank"/>
    <s v="ของนนท์"/>
    <m/>
    <s v="import"/>
    <s v=""/>
    <b v="0"/>
    <s v=""/>
  </r>
  <r>
    <s v="b9064379-322a-4890-8235-e8777fc978c0"/>
    <s v="2024-01-29"/>
    <x v="2"/>
    <x v="5"/>
    <n v="29"/>
    <s v="14:19"/>
    <n v="450"/>
    <x v="1"/>
    <s v="other"/>
    <x v="1"/>
    <s v="advance"/>
    <x v="2"/>
    <s v="kbank"/>
    <s v="KBank"/>
    <s v="-"/>
    <m/>
    <s v="import"/>
    <s v=""/>
    <b v="0"/>
    <s v=""/>
  </r>
  <r>
    <s v="d1935dfa-7dac-4458-b056-7cadc0afa2f4"/>
    <s v="2024-01-29"/>
    <x v="2"/>
    <x v="5"/>
    <n v="29"/>
    <s v="14:22"/>
    <n v="800"/>
    <x v="1"/>
    <s v="other"/>
    <x v="1"/>
    <s v="advance"/>
    <x v="2"/>
    <s v="kbank"/>
    <s v="KBank"/>
    <s v="-"/>
    <m/>
    <s v="import"/>
    <s v=""/>
    <b v="0"/>
    <s v=""/>
  </r>
  <r>
    <s v="3f8654c0-af80-4a4f-931f-ac56aff77a8c"/>
    <s v="2024-01-29"/>
    <x v="2"/>
    <x v="5"/>
    <n v="29"/>
    <s v="14:24"/>
    <n v="95"/>
    <x v="0"/>
    <s v="rc_cat_1781955063347_5qjb_1781955063347_tezk"/>
    <x v="5"/>
    <s v="advance"/>
    <x v="2"/>
    <s v=""/>
    <m/>
    <s v="-"/>
    <m/>
    <s v="import"/>
    <s v=""/>
    <b v="0"/>
    <s v=""/>
  </r>
  <r>
    <s v="12263a08-f9a8-418d-805e-79c2df5262c8"/>
    <s v="2024-01-29"/>
    <x v="2"/>
    <x v="5"/>
    <n v="29"/>
    <s v="14:26"/>
    <n v="180"/>
    <x v="1"/>
    <s v="other"/>
    <x v="1"/>
    <s v="advance"/>
    <x v="2"/>
    <s v="kbank"/>
    <s v="KBank"/>
    <s v="-"/>
    <m/>
    <s v="import"/>
    <s v=""/>
    <b v="0"/>
    <s v=""/>
  </r>
  <r>
    <s v="4cd3e7dd-3cbf-4f98-b242-c2a1d5ed18d1"/>
    <s v="2024-01-29"/>
    <x v="2"/>
    <x v="5"/>
    <n v="29"/>
    <s v="14:30"/>
    <n v="65"/>
    <x v="1"/>
    <s v="other"/>
    <x v="1"/>
    <s v="advance"/>
    <x v="2"/>
    <s v="kbank"/>
    <s v="KBank"/>
    <s v="-"/>
    <m/>
    <s v="import"/>
    <s v=""/>
    <b v="0"/>
    <s v=""/>
  </r>
  <r>
    <s v="2b8c6981-97ef-453a-99a3-d823d9ad87d1"/>
    <s v="2024-01-28"/>
    <x v="2"/>
    <x v="5"/>
    <n v="28"/>
    <s v="13:37"/>
    <n v="135"/>
    <x v="1"/>
    <s v="other"/>
    <x v="1"/>
    <s v="kbank"/>
    <x v="0"/>
    <s v="advance"/>
    <s v="Advance Paid"/>
    <s v="-"/>
    <m/>
    <s v="import"/>
    <s v=""/>
    <b v="0"/>
    <s v=""/>
  </r>
  <r>
    <s v="66be69f2-1ace-4dd0-9c8f-37058d8c3653"/>
    <s v="2024-01-27"/>
    <x v="2"/>
    <x v="5"/>
    <n v="27"/>
    <s v="13:59"/>
    <n v="3060"/>
    <x v="1"/>
    <s v="other"/>
    <x v="1"/>
    <s v="kbank"/>
    <x v="0"/>
    <s v="advance"/>
    <s v="Advance Paid"/>
    <s v="-"/>
    <m/>
    <s v="import"/>
    <s v=""/>
    <b v="0"/>
    <s v=""/>
  </r>
  <r>
    <s v="30ed64fc-e36b-4bde-902f-034eeb63d968"/>
    <s v="2024-01-27"/>
    <x v="2"/>
    <x v="5"/>
    <n v="27"/>
    <s v="14:11"/>
    <n v="895"/>
    <x v="1"/>
    <s v="other"/>
    <x v="1"/>
    <s v="kbank"/>
    <x v="0"/>
    <s v="advance"/>
    <s v="Advance Paid"/>
    <s v="ค่าเค้ก"/>
    <m/>
    <s v="import"/>
    <s v=""/>
    <b v="0"/>
    <s v=""/>
  </r>
  <r>
    <s v="862a9302-0da4-41af-8ca9-4ab252b3e4b7"/>
    <s v="2024-01-26"/>
    <x v="2"/>
    <x v="5"/>
    <n v="26"/>
    <s v="12:21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7311bd2-dcd7-4011-b8f6-73626e30cdc6"/>
    <s v="2024-01-25"/>
    <x v="2"/>
    <x v="5"/>
    <n v="25"/>
    <s v="00:00"/>
    <n v="556.9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181a1bd2-6d7a-4e4d-8bb6-b672442ede29"/>
    <s v="2024-01-25"/>
    <x v="2"/>
    <x v="5"/>
    <n v="25"/>
    <s v="00:00"/>
    <n v="433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6f354770-a533-4c1e-96da-0641dbeff764"/>
    <s v="2024-01-25"/>
    <x v="2"/>
    <x v="5"/>
    <n v="25"/>
    <s v="00:00"/>
    <n v="3694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62074914-bc38-4b80-9f78-efdcf3ba5477"/>
    <s v="2024-01-25"/>
    <x v="2"/>
    <x v="5"/>
    <n v="25"/>
    <s v="00:00"/>
    <n v="854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0dee3698-e651-413e-8a9b-80182a4cabe0"/>
    <s v="2024-01-25"/>
    <x v="2"/>
    <x v="5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0d603a81-ebb5-4922-8d9b-71f5f05da72f"/>
    <s v="2024-01-25"/>
    <x v="2"/>
    <x v="5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2222e72d-a5a6-4687-9781-292bf5be15c8"/>
    <s v="2024-01-25"/>
    <x v="2"/>
    <x v="5"/>
    <n v="25"/>
    <s v="00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1617abb3-b8c9-4ab7-a9f3-da4ce4384f5e"/>
    <s v="2024-01-25"/>
    <x v="2"/>
    <x v="5"/>
    <n v="25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6bd14174-3d53-461d-9307-06ac6443c8f0"/>
    <s v="2024-01-25"/>
    <x v="2"/>
    <x v="5"/>
    <n v="25"/>
    <s v="12:28"/>
    <n v="5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c2dd880-c039-4b6e-bb7a-8012f53a5cb9"/>
    <s v="2024-01-24"/>
    <x v="2"/>
    <x v="5"/>
    <n v="24"/>
    <s v="11:51"/>
    <n v="62"/>
    <x v="0"/>
    <s v="rc_cat_1781955063347_5qjb_1781955063347_tezk"/>
    <x v="5"/>
    <s v="kbank"/>
    <x v="0"/>
    <s v=""/>
    <m/>
    <s v="-"/>
    <m/>
    <s v="import"/>
    <s v=""/>
    <b v="0"/>
    <s v=""/>
  </r>
  <r>
    <s v="329d2c14-d48a-4412-8328-07fa46830cb2"/>
    <s v="2024-01-22"/>
    <x v="2"/>
    <x v="5"/>
    <n v="22"/>
    <s v="11:49"/>
    <n v="310"/>
    <x v="0"/>
    <s v="entertain_1781955063348_kx2f"/>
    <x v="0"/>
    <s v="kbank"/>
    <x v="0"/>
    <s v=""/>
    <m/>
    <s v="เพิ่มส่วนต่าง advice"/>
    <m/>
    <s v="import"/>
    <s v=""/>
    <b v="0"/>
    <s v=""/>
  </r>
  <r>
    <s v="6cbd4d99-9029-4e53-8446-8d7ce9f5625d"/>
    <s v="2024-01-21"/>
    <x v="2"/>
    <x v="5"/>
    <n v="21"/>
    <s v="11:36"/>
    <n v="368.93"/>
    <x v="0"/>
    <s v="rc_cat_1781955063347_anhy_1781955063347_qnaz"/>
    <x v="4"/>
    <s v="kbank"/>
    <x v="0"/>
    <s v=""/>
    <m/>
    <s v="-"/>
    <m/>
    <s v="import"/>
    <s v=""/>
    <b v="0"/>
    <s v=""/>
  </r>
  <r>
    <s v="2a6c0649-abed-4b26-9818-0212ba8ab526"/>
    <s v="2024-01-21"/>
    <x v="2"/>
    <x v="5"/>
    <n v="21"/>
    <s v="11:43"/>
    <n v="16604"/>
    <x v="0"/>
    <s v="entertain_1781955063348_kx2f"/>
    <x v="0"/>
    <s v="kbank"/>
    <x v="0"/>
    <s v=""/>
    <m/>
    <s v="windows 3436_x000D__x000A_advice 5238+7930"/>
    <m/>
    <s v="import"/>
    <s v=""/>
    <b v="0"/>
    <s v=""/>
  </r>
  <r>
    <s v="ec762521-dfa6-44b2-bea1-7b729ec4d638"/>
    <s v="2024-01-21"/>
    <x v="2"/>
    <x v="5"/>
    <n v="21"/>
    <s v="11:46"/>
    <n v="3287"/>
    <x v="0"/>
    <s v="entertain_1781955063347_8r8e"/>
    <x v="8"/>
    <s v="kbank"/>
    <x v="0"/>
    <s v=""/>
    <m/>
    <s v="dice throne"/>
    <m/>
    <s v="import"/>
    <s v=""/>
    <b v="0"/>
    <s v=""/>
  </r>
  <r>
    <s v="c588d247-c118-431f-bbab-c4d4a5aefac5"/>
    <s v="2024-01-21"/>
    <x v="2"/>
    <x v="5"/>
    <n v="21"/>
    <s v="11:47"/>
    <n v="482"/>
    <x v="0"/>
    <s v="entertain_1781955063348_32wr"/>
    <x v="23"/>
    <s v="kbank"/>
    <x v="0"/>
    <s v=""/>
    <m/>
    <s v="-"/>
    <m/>
    <s v="import"/>
    <s v=""/>
    <b v="0"/>
    <s v=""/>
  </r>
  <r>
    <s v="407649db-3f8f-4763-b54e-1b2f32c2583b"/>
    <s v="2024-01-21"/>
    <x v="2"/>
    <x v="5"/>
    <n v="21"/>
    <s v="13:07"/>
    <n v="3303"/>
    <x v="0"/>
    <s v="entertain_1781955063352_1jgx"/>
    <x v="10"/>
    <s v="kbank"/>
    <x v="0"/>
    <s v=""/>
    <m/>
    <s v="switch"/>
    <m/>
    <s v="import"/>
    <s v=""/>
    <b v="0"/>
    <s v=""/>
  </r>
  <r>
    <s v="bfd1dfa9-8afa-4a66-b9b8-16cbee3db8da"/>
    <s v="2024-01-21"/>
    <x v="2"/>
    <x v="5"/>
    <n v="21"/>
    <s v="13:37"/>
    <n v="100"/>
    <x v="1"/>
    <s v="other"/>
    <x v="1"/>
    <s v="kbank"/>
    <x v="0"/>
    <s v="advance"/>
    <s v="Advance Paid"/>
    <s v="-"/>
    <m/>
    <s v="import"/>
    <s v=""/>
    <b v="0"/>
    <s v=""/>
  </r>
  <r>
    <s v="b07d27b5-1eb0-4777-9259-b6c884f98da8"/>
    <s v="2024-01-20"/>
    <x v="2"/>
    <x v="5"/>
    <n v="20"/>
    <s v="12:20"/>
    <n v="35480"/>
    <x v="1"/>
    <s v="other"/>
    <x v="1"/>
    <s v="rc_acc_1781955063348_xd87"/>
    <x v="19"/>
    <s v="rc_acc_1781955063347_uxz4"/>
    <s v="SCB"/>
    <s v="-"/>
    <m/>
    <s v="import"/>
    <s v=""/>
    <b v="0"/>
    <s v=""/>
  </r>
  <r>
    <s v="dd30c131-0883-459b-8325-7d0b8447c896"/>
    <s v="2024-01-20"/>
    <x v="2"/>
    <x v="5"/>
    <n v="20"/>
    <s v="13:27"/>
    <n v="30000"/>
    <x v="1"/>
    <s v="other"/>
    <x v="1"/>
    <s v="rc_acc_1781955063347_uxz4"/>
    <x v="4"/>
    <s v="kbank"/>
    <s v="KBank"/>
    <s v="-"/>
    <m/>
    <s v="import"/>
    <s v=""/>
    <b v="0"/>
    <s v=""/>
  </r>
  <r>
    <s v="2f4eea3f-eaac-4921-a704-2aee472d3c68"/>
    <s v="2024-01-16"/>
    <x v="2"/>
    <x v="5"/>
    <n v="16"/>
    <s v="12:18"/>
    <n v="3780"/>
    <x v="1"/>
    <s v="other"/>
    <x v="1"/>
    <s v="rc_acc_1781955063358_dohc"/>
    <x v="15"/>
    <s v="rc_acc_1781955063347_uxz4"/>
    <s v="SCB"/>
    <s v="-"/>
    <m/>
    <s v="import"/>
    <s v=""/>
    <b v="0"/>
    <s v=""/>
  </r>
  <r>
    <s v="28421e00-7061-43da-a1b0-23426aa570e8"/>
    <s v="2024-01-15"/>
    <x v="2"/>
    <x v="5"/>
    <n v="15"/>
    <s v="12:30"/>
    <n v="8256"/>
    <x v="1"/>
    <s v="other"/>
    <x v="1"/>
    <s v="rc_acc_1781955063347_uxz4"/>
    <x v="4"/>
    <s v="advance"/>
    <s v="Advance Paid"/>
    <s v="paided"/>
    <m/>
    <s v="import"/>
    <s v=""/>
    <b v="0"/>
    <s v=""/>
  </r>
  <r>
    <s v="73f41b7d-a945-4f53-8c63-a8dd6b6f7ce6"/>
    <s v="2024-01-14"/>
    <x v="2"/>
    <x v="5"/>
    <n v="14"/>
    <s v="00:00"/>
    <n v="419"/>
    <x v="0"/>
    <s v="rc_cat_1781955063347_5qjb_1781955063348_laj8"/>
    <x v="29"/>
    <s v="rc_acc_1781955063347_sv7p"/>
    <x v="12"/>
    <s v=""/>
    <m/>
    <s v="-"/>
    <m/>
    <s v="import"/>
    <s v=""/>
    <b v="0"/>
    <s v=""/>
  </r>
  <r>
    <s v="4eff64d1-2198-4948-ad6d-036a014a25e9"/>
    <s v="2024-01-08"/>
    <x v="2"/>
    <x v="5"/>
    <n v="8"/>
    <s v="12:18"/>
    <n v="122"/>
    <x v="2"/>
    <s v="income_1781955063347_zblt"/>
    <x v="17"/>
    <s v="rc_acc_1781955063347_uxz4"/>
    <x v="4"/>
    <s v=""/>
    <m/>
    <s v="-"/>
    <m/>
    <s v="import"/>
    <s v=""/>
    <b v="0"/>
    <s v=""/>
  </r>
  <r>
    <s v="b04687f7-9294-4da3-b3ca-99317ac13b10"/>
    <s v="2024-01-05"/>
    <x v="2"/>
    <x v="5"/>
    <n v="5"/>
    <s v="16:10"/>
    <n v="5393"/>
    <x v="0"/>
    <s v="rc_cat_1781955063347_anhy_1781955063347_qnaz"/>
    <x v="4"/>
    <s v="rc_acc_1781955063347_uxz4"/>
    <x v="4"/>
    <s v=""/>
    <m/>
    <s v="-"/>
    <m/>
    <s v="import"/>
    <s v=""/>
    <b v="0"/>
    <s v=""/>
  </r>
  <r>
    <s v="beb92095-6627-4461-bc5b-8f26ba3643e1"/>
    <s v="2024-01-04"/>
    <x v="2"/>
    <x v="5"/>
    <n v="4"/>
    <s v="16:12"/>
    <n v="100000"/>
    <x v="1"/>
    <s v="other"/>
    <x v="1"/>
    <s v="rc_acc_1781955063347_uxz4"/>
    <x v="4"/>
    <s v="rc_acc_1781955063349_yz2g"/>
    <s v="Investment"/>
    <s v="set"/>
    <m/>
    <s v="import"/>
    <s v=""/>
    <b v="0"/>
    <s v=""/>
  </r>
  <r>
    <s v="0ee12cb1-5ae3-4a08-b87b-5850a00ded66"/>
    <s v="2024-01-02"/>
    <x v="2"/>
    <x v="5"/>
    <n v="2"/>
    <s v="18:21"/>
    <n v="555"/>
    <x v="0"/>
    <s v="entertain_1781955063352_1jgx"/>
    <x v="10"/>
    <s v="rc_acc_1781955063348_obza"/>
    <x v="8"/>
    <s v=""/>
    <m/>
    <s v="-"/>
    <m/>
    <s v="import"/>
    <s v=""/>
    <b v="0"/>
    <s v=""/>
  </r>
  <r>
    <s v="6d989400-171e-4c74-82af-37c20e527910"/>
    <s v="2024-01-01"/>
    <x v="2"/>
    <x v="5"/>
    <n v="1"/>
    <s v="17:42"/>
    <n v="7398.43"/>
    <x v="0"/>
    <s v="rc_cat_1781955063347_04qb_1781955063347_wt5p"/>
    <x v="3"/>
    <s v="rc_acc_1781955063347_uxz4"/>
    <x v="4"/>
    <s v=""/>
    <m/>
    <s v="-"/>
    <m/>
    <s v="import"/>
    <s v=""/>
    <b v="0"/>
    <s v=""/>
  </r>
  <r>
    <s v="b261e815-fe80-4941-8949-efb7a2e70662"/>
    <s v="2024-01-01"/>
    <x v="2"/>
    <x v="5"/>
    <n v="1"/>
    <s v="17:43"/>
    <n v="17500"/>
    <x v="0"/>
    <s v="rc_cat_1781955063347_anhy_1781955063350_fcpb"/>
    <x v="2"/>
    <s v="rc_acc_1781955063347_uxz4"/>
    <x v="4"/>
    <s v=""/>
    <m/>
    <s v="-"/>
    <m/>
    <s v="import"/>
    <s v=""/>
    <b v="0"/>
    <s v=""/>
  </r>
  <r>
    <s v="3298f7d6-ed8a-49cc-a0ff-8bbfcbcc272f"/>
    <s v="2024-01-01"/>
    <x v="2"/>
    <x v="5"/>
    <n v="1"/>
    <s v="17:47"/>
    <n v="69.7"/>
    <x v="0"/>
    <s v="other_1781955063347_5s7r"/>
    <x v="15"/>
    <s v="rc_acc_1781955063347_uxz4"/>
    <x v="4"/>
    <s v=""/>
    <m/>
    <s v="Difference"/>
    <m/>
    <s v="import"/>
    <s v=""/>
    <b v="0"/>
    <s v=""/>
  </r>
  <r>
    <s v="fd658d47-cdec-4c58-abb1-555442270c16"/>
    <s v="2024-01-01"/>
    <x v="2"/>
    <x v="5"/>
    <n v="1"/>
    <s v="17:48"/>
    <n v="80"/>
    <x v="1"/>
    <s v="other"/>
    <x v="1"/>
    <s v="kbank"/>
    <x v="0"/>
    <s v="advance"/>
    <s v="Advance Paid"/>
    <s v="โจ๊กอุ้ย"/>
    <m/>
    <s v="import"/>
    <s v=""/>
    <b v="0"/>
    <s v=""/>
  </r>
  <r>
    <s v="6600e757-ec75-4710-8c75-2597dad8143c"/>
    <s v="2024-01-01"/>
    <x v="2"/>
    <x v="5"/>
    <n v="1"/>
    <s v="17:59"/>
    <n v="4493.8"/>
    <x v="0"/>
    <s v="rc_cat_1781955063347_5qjb_1781955063347_tezk"/>
    <x v="5"/>
    <s v="rc_acc_1781955063357_rvam"/>
    <x v="3"/>
    <s v=""/>
    <m/>
    <s v="-"/>
    <m/>
    <s v="import"/>
    <s v=""/>
    <b v="0"/>
    <s v=""/>
  </r>
  <r>
    <s v="1c6ad105-73d2-4453-a10d-d8ec0c954941"/>
    <s v="2024-01-01"/>
    <x v="2"/>
    <x v="5"/>
    <n v="1"/>
    <s v="18:08"/>
    <n v="4540.4"/>
    <x v="0"/>
    <s v="other_1781955063347_5s7r"/>
    <x v="15"/>
    <s v="rc_acc_1781955063348_hnxg"/>
    <x v="9"/>
    <s v=""/>
    <m/>
    <s v="Difference"/>
    <m/>
    <s v="import"/>
    <s v=""/>
    <b v="0"/>
    <s v=""/>
  </r>
  <r>
    <s v="f104a00f-c17f-46c5-8a7f-860df6296487"/>
    <s v="2024-01-01"/>
    <x v="2"/>
    <x v="5"/>
    <n v="1"/>
    <s v="20:17"/>
    <n v="1202.99"/>
    <x v="1"/>
    <s v="other"/>
    <x v="1"/>
    <s v="rc_acc_1781955063348_no9r"/>
    <x v="7"/>
    <s v="rc_acc_1781955063347_uxz4"/>
    <s v="SCB"/>
    <s v="-"/>
    <m/>
    <s v="import"/>
    <s v=""/>
    <b v="0"/>
    <s v=""/>
  </r>
  <r>
    <s v="0af1b3d8-79d6-4c01-988f-571c2c70b392"/>
    <s v="2024-01-01"/>
    <x v="2"/>
    <x v="5"/>
    <n v="1"/>
    <s v="20:19"/>
    <n v="7482.41"/>
    <x v="1"/>
    <s v="other"/>
    <x v="1"/>
    <s v="rc_acc_1781955063348_hnxg"/>
    <x v="9"/>
    <s v="rc_acc_1781955063347_uxz4"/>
    <s v="SCB"/>
    <s v="-"/>
    <m/>
    <s v="import"/>
    <s v=""/>
    <b v="0"/>
    <s v=""/>
  </r>
  <r>
    <s v="471685f1-70e2-4c3f-97c3-b152e6c85dd6"/>
    <s v="2024-01-01"/>
    <x v="2"/>
    <x v="5"/>
    <n v="1"/>
    <s v="20:20"/>
    <n v="5652.51"/>
    <x v="1"/>
    <s v="other"/>
    <x v="1"/>
    <s v="rc_acc_1781955063348_obza"/>
    <x v="8"/>
    <s v="rc_acc_1781955063347_uxz4"/>
    <s v="SCB"/>
    <s v="-"/>
    <m/>
    <s v="import"/>
    <s v=""/>
    <b v="0"/>
    <s v=""/>
  </r>
  <r>
    <s v="6f3000a2-04b0-461e-b21d-1091cc95d40a"/>
    <s v="2024-01-01"/>
    <x v="2"/>
    <x v="5"/>
    <n v="1"/>
    <s v="20:21"/>
    <n v="0.15"/>
    <x v="2"/>
    <s v="other_1781955063347_5s7r"/>
    <x v="15"/>
    <s v="rc_acc_1781955063348_obza"/>
    <x v="8"/>
    <s v=""/>
    <m/>
    <s v="Difference"/>
    <m/>
    <s v="import"/>
    <s v=""/>
    <b v="0"/>
    <s v=""/>
  </r>
  <r>
    <s v="4dff4397-0601-4efc-8391-f5f19a2533bd"/>
    <s v="2023-12-31"/>
    <x v="3"/>
    <x v="6"/>
    <n v="31"/>
    <s v="17:51"/>
    <n v="950"/>
    <x v="1"/>
    <s v="other"/>
    <x v="1"/>
    <s v="kbank"/>
    <x v="0"/>
    <s v="advance"/>
    <s v="Advance Paid"/>
    <s v="udomsuk walk new year party"/>
    <m/>
    <s v="import"/>
    <s v=""/>
    <b v="0"/>
    <s v=""/>
  </r>
  <r>
    <s v="d9bdb6ee-79f9-4e71-b3a8-108a77f71ffd"/>
    <s v="2023-12-31"/>
    <x v="3"/>
    <x v="6"/>
    <n v="31"/>
    <s v="18:17"/>
    <n v="32"/>
    <x v="2"/>
    <s v="income_1781955063351_3ab8"/>
    <x v="22"/>
    <s v="rc_acc_1781955063348_no9r"/>
    <x v="7"/>
    <s v=""/>
    <m/>
    <s v="-"/>
    <m/>
    <s v="import"/>
    <s v=""/>
    <b v="0"/>
    <s v=""/>
  </r>
  <r>
    <s v="1a31cffc-2ed6-41ed-920b-8b8e68a561ca"/>
    <s v="2023-12-29"/>
    <x v="3"/>
    <x v="6"/>
    <n v="29"/>
    <s v="17:43"/>
    <n v="475"/>
    <x v="0"/>
    <s v="rc_cat_1781955063347_anhy_1781955063347_qnaz"/>
    <x v="4"/>
    <s v="rc_acc_1781955063347_uxz4"/>
    <x v="4"/>
    <s v=""/>
    <m/>
    <s v="song hong"/>
    <m/>
    <s v="import"/>
    <s v=""/>
    <b v="0"/>
    <s v=""/>
  </r>
  <r>
    <s v="8c170f4b-3540-4475-81f0-48d9d322e0fb"/>
    <s v="2023-12-29"/>
    <x v="3"/>
    <x v="6"/>
    <n v="29"/>
    <s v="17:44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e98a0b34-6eb4-46d3-9e9c-922527780964"/>
    <s v="2023-12-25"/>
    <x v="3"/>
    <x v="6"/>
    <n v="25"/>
    <s v="00:00"/>
    <n v="854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7b16edce-7fb3-4fbf-bf71-c06c408fdd12"/>
    <s v="2023-12-25"/>
    <x v="3"/>
    <x v="6"/>
    <n v="25"/>
    <s v="00:00"/>
    <n v="2879.45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9cd12bc6-7d9b-4ddb-8123-9b15cfcaf108"/>
    <s v="2023-12-25"/>
    <x v="3"/>
    <x v="6"/>
    <n v="25"/>
    <s v="00:00"/>
    <n v="349.75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b6f253a9-2c25-4c4d-9d08-a0570b8bdd6f"/>
    <s v="2023-12-25"/>
    <x v="3"/>
    <x v="6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ae6f1d38-3f9f-45d4-ab67-0cbc958c80fe"/>
    <s v="2023-12-25"/>
    <x v="3"/>
    <x v="6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83230ffd-d3ea-4ce7-9186-51f9e59db3bd"/>
    <s v="2023-12-25"/>
    <x v="3"/>
    <x v="6"/>
    <n v="25"/>
    <s v="00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039d17ab-3b28-4d7d-9906-958d49261014"/>
    <s v="2023-12-25"/>
    <x v="3"/>
    <x v="6"/>
    <n v="25"/>
    <s v="00:00"/>
    <n v="1027.0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6c2652c5-b2ef-4af2-bfeb-bcd72a8f7e5e"/>
    <s v="2023-12-25"/>
    <x v="3"/>
    <x v="6"/>
    <n v="25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cb591dc2-9604-42f4-af5b-e63c843d0958"/>
    <s v="2023-12-25"/>
    <x v="3"/>
    <x v="6"/>
    <n v="25"/>
    <s v="17:44"/>
    <n v="1173.99"/>
    <x v="2"/>
    <s v="income_1781955063347_zblt"/>
    <x v="17"/>
    <s v="rc_acc_1781955063347_uxz4"/>
    <x v="4"/>
    <s v=""/>
    <m/>
    <s v="-"/>
    <m/>
    <s v="import"/>
    <s v=""/>
    <b v="0"/>
    <s v=""/>
  </r>
  <r>
    <s v="a4404849-d437-4ebf-bc5b-29536e43906a"/>
    <s v="2023-12-25"/>
    <x v="3"/>
    <x v="6"/>
    <n v="25"/>
    <s v="17:45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72e3a2c3-6896-4610-96ad-8d70bd143b97"/>
    <s v="2023-12-25"/>
    <x v="3"/>
    <x v="6"/>
    <n v="25"/>
    <s v="18:04"/>
    <n v="176.09"/>
    <x v="2"/>
    <s v="income_1781955063347_zblt"/>
    <x v="17"/>
    <s v="rc_acc_1781955063348_hnxg"/>
    <x v="9"/>
    <s v=""/>
    <m/>
    <s v="-"/>
    <m/>
    <s v="import"/>
    <s v=""/>
    <b v="0"/>
    <s v=""/>
  </r>
  <r>
    <s v="2a22fcd5-1d26-496e-a648-f4baa1952306"/>
    <s v="2023-12-24"/>
    <x v="3"/>
    <x v="6"/>
    <n v="24"/>
    <s v="18:45"/>
    <n v="952"/>
    <x v="0"/>
    <s v="rc_cat_1781955063347_5qjb_1781955063347_tezk"/>
    <x v="5"/>
    <s v="kbank"/>
    <x v="0"/>
    <s v=""/>
    <m/>
    <s v="stark food"/>
    <m/>
    <s v="import"/>
    <s v=""/>
    <b v="0"/>
    <s v=""/>
  </r>
  <r>
    <s v="e50ec40e-4e84-4a18-88d2-1aea15ba544f"/>
    <s v="2023-12-23"/>
    <x v="3"/>
    <x v="6"/>
    <n v="23"/>
    <s v="18:55"/>
    <n v="540"/>
    <x v="0"/>
    <s v="entertain_1781955063348_kx2f"/>
    <x v="0"/>
    <s v="kbank"/>
    <x v="0"/>
    <s v=""/>
    <m/>
    <s v="gashapon onepiece"/>
    <m/>
    <s v="import"/>
    <s v=""/>
    <b v="0"/>
    <s v=""/>
  </r>
  <r>
    <s v="143999eb-0c90-44a7-b7c0-ef012d2ffce3"/>
    <s v="2023-12-22"/>
    <x v="3"/>
    <x v="6"/>
    <n v="22"/>
    <s v="18:39"/>
    <n v="396.2"/>
    <x v="0"/>
    <s v="rc_cat_1781955063347_anhy_1781955063347_qnaz"/>
    <x v="4"/>
    <s v="kbank"/>
    <x v="0"/>
    <s v=""/>
    <m/>
    <s v="-"/>
    <m/>
    <s v="import"/>
    <s v=""/>
    <b v="0"/>
    <s v=""/>
  </r>
  <r>
    <s v="6406a13f-c45b-4028-90a6-ef0b6f818782"/>
    <s v="2023-12-21"/>
    <x v="3"/>
    <x v="6"/>
    <n v="21"/>
    <s v="19:17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fae1963-61e9-4f9a-a1f8-acf769cc7e9f"/>
    <s v="2023-12-18"/>
    <x v="3"/>
    <x v="6"/>
    <n v="18"/>
    <s v="18:38"/>
    <n v="100000"/>
    <x v="1"/>
    <s v="other"/>
    <x v="1"/>
    <s v="rc_acc_1781955063347_uxz4"/>
    <x v="4"/>
    <s v="rc_acc_1781955063349_yz2g"/>
    <s v="Investment"/>
    <s v="TESG"/>
    <m/>
    <s v="import"/>
    <s v=""/>
    <b v="0"/>
    <s v=""/>
  </r>
  <r>
    <s v="18141a89-72d4-469f-98ce-5e7c5f096489"/>
    <s v="2023-12-17"/>
    <x v="3"/>
    <x v="6"/>
    <n v="17"/>
    <s v="19:16"/>
    <n v="7374"/>
    <x v="0"/>
    <s v="rc_cat_1781955063347_04qb_1781955063347_wt5p"/>
    <x v="3"/>
    <s v="rc_acc_1781955063347_uxz4"/>
    <x v="4"/>
    <s v=""/>
    <m/>
    <s v="-"/>
    <m/>
    <s v="import"/>
    <s v=""/>
    <b v="0"/>
    <s v=""/>
  </r>
  <r>
    <s v="d39bdc6d-3545-4a7f-93a8-a54b255785ab"/>
    <s v="2023-12-17"/>
    <x v="3"/>
    <x v="6"/>
    <n v="17"/>
    <s v="19:17"/>
    <n v="545"/>
    <x v="0"/>
    <s v="entertain_1781955063348_32wr"/>
    <x v="23"/>
    <s v="rc_acc_1781955063347_uxz4"/>
    <x v="4"/>
    <s v=""/>
    <m/>
    <s v="-"/>
    <m/>
    <s v="import"/>
    <s v=""/>
    <b v="0"/>
    <s v=""/>
  </r>
  <r>
    <s v="199f8ed4-95ff-4623-bc6d-522ab3a6fbc6"/>
    <s v="2023-12-15"/>
    <x v="3"/>
    <x v="6"/>
    <n v="15"/>
    <s v="18:39"/>
    <n v="400"/>
    <x v="1"/>
    <s v="other"/>
    <x v="1"/>
    <s v="kbank"/>
    <x v="0"/>
    <s v="rc_acc_1781955063347_e3zv"/>
    <s v="Cash"/>
    <s v="-"/>
    <m/>
    <s v="import"/>
    <s v=""/>
    <b v="0"/>
    <s v=""/>
  </r>
  <r>
    <s v="c82506ab-5d91-4e28-ba7b-193c5c093903"/>
    <s v="2023-12-15"/>
    <x v="3"/>
    <x v="6"/>
    <n v="15"/>
    <s v="18:39"/>
    <n v="274.32"/>
    <x v="2"/>
    <s v="income_1781955063347_zblt"/>
    <x v="17"/>
    <s v="kbank"/>
    <x v="0"/>
    <s v=""/>
    <m/>
    <s v="-"/>
    <m/>
    <s v="import"/>
    <s v=""/>
    <b v="0"/>
    <s v=""/>
  </r>
  <r>
    <s v="00511adc-b3b1-4a35-a9fa-81d477995fcf"/>
    <s v="2023-12-14"/>
    <x v="3"/>
    <x v="6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3d5df815-d5f3-4174-8908-cee2e9c72120"/>
    <s v="2023-12-11"/>
    <x v="3"/>
    <x v="6"/>
    <n v="11"/>
    <s v="19:16"/>
    <n v="631"/>
    <x v="1"/>
    <s v="other"/>
    <x v="1"/>
    <s v="rc_acc_1781955063347_uxz4"/>
    <x v="4"/>
    <s v="rc_acc_1781955063348_998o"/>
    <s v="Line Pay"/>
    <s v="-"/>
    <m/>
    <s v="import"/>
    <s v=""/>
    <b v="0"/>
    <s v=""/>
  </r>
  <r>
    <s v="db751f83-01ea-441a-bc8a-fe4f820945a9"/>
    <s v="2023-12-10"/>
    <x v="3"/>
    <x v="6"/>
    <n v="10"/>
    <s v="13:28"/>
    <n v="1280"/>
    <x v="0"/>
    <s v="rc_cat_1781955063347_anhy_1781955063347_qnaz"/>
    <x v="4"/>
    <s v="kbank"/>
    <x v="0"/>
    <s v=""/>
    <m/>
    <s v="-"/>
    <m/>
    <s v="import"/>
    <s v=""/>
    <b v="0"/>
    <s v=""/>
  </r>
  <r>
    <s v="ab86f496-65a4-49d5-a524-4b51bfc43c3d"/>
    <s v="2023-12-10"/>
    <x v="3"/>
    <x v="6"/>
    <n v="10"/>
    <s v="19:09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13f88806-dd34-43a9-a66c-79e53e425295"/>
    <s v="2023-12-09"/>
    <x v="3"/>
    <x v="6"/>
    <n v="9"/>
    <s v="12:26"/>
    <n v="10000"/>
    <x v="1"/>
    <s v="other"/>
    <x v="1"/>
    <s v="rc_acc_1781955063347_uxz4"/>
    <x v="4"/>
    <s v="kbank"/>
    <s v="KBank"/>
    <s v="-"/>
    <m/>
    <s v="import"/>
    <s v=""/>
    <b v="0"/>
    <s v=""/>
  </r>
  <r>
    <s v="aec42971-5ca7-4b0f-9c3a-cdb166972c24"/>
    <s v="2023-12-09"/>
    <x v="3"/>
    <x v="6"/>
    <n v="9"/>
    <s v="18:27"/>
    <n v="2653"/>
    <x v="0"/>
    <s v="rc_cat_1781955063347_s4sz_1781955063347_9tpp"/>
    <x v="9"/>
    <s v="kbank"/>
    <x v="0"/>
    <s v=""/>
    <m/>
    <s v="-"/>
    <m/>
    <s v="import"/>
    <s v=""/>
    <b v="0"/>
    <s v=""/>
  </r>
  <r>
    <s v="7a670bad-a780-4159-857f-041b63692db5"/>
    <s v="2023-12-03"/>
    <x v="3"/>
    <x v="6"/>
    <n v="3"/>
    <s v="17:26"/>
    <n v="2000"/>
    <x v="1"/>
    <s v="other"/>
    <x v="1"/>
    <s v="kbank"/>
    <x v="0"/>
    <s v="advance"/>
    <s v="Advance Paid"/>
    <s v="จองสิทเชี่ยวหลาน"/>
    <m/>
    <s v="import"/>
    <s v=""/>
    <b v="0"/>
    <s v=""/>
  </r>
  <r>
    <s v="40f1d641-1360-4d2f-b333-5476a6cb2ff2"/>
    <s v="2023-12-03"/>
    <x v="3"/>
    <x v="6"/>
    <n v="3"/>
    <s v="19:07"/>
    <n v="17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88e32352-c44e-40ba-ac61-ae5c505905d6"/>
    <s v="2023-12-02"/>
    <x v="3"/>
    <x v="6"/>
    <n v="2"/>
    <s v="14:04"/>
    <n v="2501"/>
    <x v="1"/>
    <s v="other"/>
    <x v="1"/>
    <s v="rc_acc_1781955063347_0qmn"/>
    <x v="20"/>
    <s v="kbank"/>
    <s v="KBank"/>
    <s v="-"/>
    <m/>
    <s v="import"/>
    <s v=""/>
    <b v="0"/>
    <s v=""/>
  </r>
  <r>
    <s v="10b02180-8ee1-42f9-a64a-ebae0bec7996"/>
    <s v="2023-12-02"/>
    <x v="3"/>
    <x v="6"/>
    <n v="2"/>
    <s v="14:05"/>
    <n v="4366"/>
    <x v="0"/>
    <s v="rc_cat_1781955063347_5qjb_1781955063347_tezk"/>
    <x v="5"/>
    <s v="rc_acc_1781955063357_rvam"/>
    <x v="3"/>
    <s v=""/>
    <m/>
    <s v="ยอดเดือน พย"/>
    <m/>
    <s v="import"/>
    <s v=""/>
    <b v="0"/>
    <s v=""/>
  </r>
  <r>
    <s v="0d2d1585-1925-44f1-9e99-7baee6ce1d8b"/>
    <s v="2023-12-01"/>
    <x v="3"/>
    <x v="6"/>
    <n v="1"/>
    <s v="13:59"/>
    <n v="3662"/>
    <x v="0"/>
    <s v="rc_cat_1781955063347_anhy_1781955063348_k5l1"/>
    <x v="16"/>
    <s v="rc_acc_1781955063347_uxz4"/>
    <x v="4"/>
    <s v=""/>
    <m/>
    <s v="datacamp"/>
    <m/>
    <s v="import"/>
    <s v=""/>
    <b v="0"/>
    <s v=""/>
  </r>
  <r>
    <s v="8103defa-1d71-447e-868a-b8dad5260609"/>
    <s v="2023-12-01"/>
    <x v="3"/>
    <x v="6"/>
    <n v="1"/>
    <s v="19:07"/>
    <n v="687"/>
    <x v="0"/>
    <s v="entertain_1781955063348_kx2f"/>
    <x v="0"/>
    <s v="rc_acc_1781955063347_uxz4"/>
    <x v="4"/>
    <s v=""/>
    <m/>
    <s v="-"/>
    <m/>
    <s v="import"/>
    <s v=""/>
    <b v="0"/>
    <s v=""/>
  </r>
  <r>
    <s v="3ed05e98-ed2e-486e-8a30-35ce654ddf86"/>
    <s v="2023-11-29"/>
    <x v="3"/>
    <x v="7"/>
    <n v="29"/>
    <s v="13:37"/>
    <n v="11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665cc68-0ce7-4d76-96db-d46c4b8a928b"/>
    <s v="2023-11-28"/>
    <x v="3"/>
    <x v="7"/>
    <n v="28"/>
    <s v="13:36"/>
    <n v="400000"/>
    <x v="1"/>
    <s v="other"/>
    <x v="1"/>
    <s v="rc_acc_1781955063347_uxz4"/>
    <x v="4"/>
    <s v="rc_acc_1781955063349_yz2g"/>
    <s v="Investment"/>
    <s v="CPFP"/>
    <m/>
    <s v="import"/>
    <s v=""/>
    <b v="0"/>
    <s v=""/>
  </r>
  <r>
    <s v="17722577-18ce-451b-8227-03d9f25beb09"/>
    <s v="2023-11-28"/>
    <x v="3"/>
    <x v="7"/>
    <n v="28"/>
    <s v="18:15"/>
    <n v="20000"/>
    <x v="1"/>
    <s v="other"/>
    <x v="1"/>
    <s v="rc_acc_1781955063348_no9r"/>
    <x v="7"/>
    <s v="rc_acc_1781955063349_yz2g"/>
    <s v="Investment"/>
    <s v="siri bond"/>
    <m/>
    <s v="import"/>
    <s v=""/>
    <b v="0"/>
    <s v=""/>
  </r>
  <r>
    <s v="d4538fc2-6390-4b03-a32c-ec5d53f077dd"/>
    <s v="2023-11-26"/>
    <x v="3"/>
    <x v="7"/>
    <n v="26"/>
    <s v="13:45"/>
    <n v="40"/>
    <x v="0"/>
    <s v="rc_cat_1781955063347_5qjb_1781955063347_tezk"/>
    <x v="5"/>
    <s v="kbank"/>
    <x v="0"/>
    <s v=""/>
    <m/>
    <s v="-"/>
    <m/>
    <s v="import"/>
    <s v=""/>
    <b v="0"/>
    <s v=""/>
  </r>
  <r>
    <s v="f7a9d930-b11c-49aa-b1bb-c50114aabe77"/>
    <s v="2023-11-25"/>
    <x v="3"/>
    <x v="7"/>
    <n v="25"/>
    <s v="00:00"/>
    <n v="415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5644b433-3aa0-4cb3-8bd8-f7a03e9bac0c"/>
    <s v="2023-11-25"/>
    <x v="3"/>
    <x v="7"/>
    <n v="25"/>
    <s v="00:00"/>
    <n v="3305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9b7e694b-24b0-4e03-81c7-97a0e7be727b"/>
    <s v="2023-11-25"/>
    <x v="3"/>
    <x v="7"/>
    <n v="25"/>
    <s v="00:00"/>
    <n v="854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266c58c8-54fa-4180-b663-d8d0e1a3eaa1"/>
    <s v="2023-11-25"/>
    <x v="3"/>
    <x v="7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df6727ee-32c9-41fb-8cbd-af6fc5c80f17"/>
    <s v="2023-11-25"/>
    <x v="3"/>
    <x v="7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deb6bbfb-23cb-489b-86e0-c2911fd7aab7"/>
    <s v="2023-11-25"/>
    <x v="3"/>
    <x v="7"/>
    <n v="25"/>
    <s v="00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f9d9caa4-4305-4054-bf9e-fddd33980125"/>
    <s v="2023-11-25"/>
    <x v="3"/>
    <x v="7"/>
    <n v="25"/>
    <s v="00:00"/>
    <n v="1027.0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d737fa92-8064-4737-8664-6dadc8e573e4"/>
    <s v="2023-11-25"/>
    <x v="3"/>
    <x v="7"/>
    <n v="25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dd8c8c66-fbb9-4a32-abc4-75d513b400f3"/>
    <s v="2023-11-25"/>
    <x v="3"/>
    <x v="7"/>
    <n v="25"/>
    <s v="00:00"/>
    <n v="1010"/>
    <x v="0"/>
    <s v="rc_cat_1781955063347_anhy_1781955063347_qnaz"/>
    <x v="4"/>
    <s v="rc_acc_1781955063347_uxz4"/>
    <x v="4"/>
    <s v=""/>
    <m/>
    <s v="รักษาเกินสิทธิ"/>
    <m/>
    <s v="import"/>
    <s v=""/>
    <b v="0"/>
    <s v=""/>
  </r>
  <r>
    <s v="75fe4a34-9a13-4689-bd9f-7072d5a448c1"/>
    <s v="2023-11-24"/>
    <x v="3"/>
    <x v="7"/>
    <n v="24"/>
    <s v="13:45"/>
    <n v="110"/>
    <x v="0"/>
    <s v="rc_cat_1781955063347_5qjb_1781955063347_tezk"/>
    <x v="5"/>
    <s v="kbank"/>
    <x v="0"/>
    <s v=""/>
    <m/>
    <s v="-"/>
    <m/>
    <s v="import"/>
    <s v=""/>
    <b v="0"/>
    <s v=""/>
  </r>
  <r>
    <s v="7ce2b0fd-3486-44c1-b58f-635860ab9930"/>
    <s v="2023-11-23"/>
    <x v="3"/>
    <x v="7"/>
    <n v="23"/>
    <s v="13:48"/>
    <n v="500"/>
    <x v="1"/>
    <s v="other"/>
    <x v="1"/>
    <s v="rc_acc_1781955063351_8khv"/>
    <x v="21"/>
    <s v="kbank"/>
    <s v="KBank"/>
    <s v="-"/>
    <m/>
    <s v="import"/>
    <s v=""/>
    <b v="0"/>
    <s v=""/>
  </r>
  <r>
    <s v="0afadde3-88d6-4d1c-ba37-c13fa489dccb"/>
    <s v="2023-11-19"/>
    <x v="3"/>
    <x v="7"/>
    <n v="19"/>
    <s v="13:46"/>
    <n v="599"/>
    <x v="1"/>
    <s v="other"/>
    <x v="1"/>
    <s v="kbank"/>
    <x v="0"/>
    <s v="advance"/>
    <s v="Advance Paid"/>
    <s v="รสดีเด็ด ของอุ้ย"/>
    <m/>
    <s v="import"/>
    <s v=""/>
    <b v="0"/>
    <s v=""/>
  </r>
  <r>
    <s v="56bcfd28-1f71-40f2-a104-6a6395e569a8"/>
    <s v="2023-11-18"/>
    <x v="3"/>
    <x v="7"/>
    <n v="18"/>
    <s v="18:03"/>
    <n v="5000"/>
    <x v="1"/>
    <s v="other"/>
    <x v="1"/>
    <s v="rc_acc_1781955063348_hnxg"/>
    <x v="9"/>
    <s v="rc_acc_1781955063347_e3zv"/>
    <s v="Cash"/>
    <s v="-"/>
    <m/>
    <s v="import"/>
    <s v=""/>
    <b v="0"/>
    <s v=""/>
  </r>
  <r>
    <s v="329c967c-de41-4196-8bd2-57437d6aadf5"/>
    <s v="2023-11-16"/>
    <x v="3"/>
    <x v="7"/>
    <n v="16"/>
    <s v="16:10"/>
    <n v="400"/>
    <x v="0"/>
    <s v="rc_cat_1781955063347_5qjb_1781955063347_irl1"/>
    <x v="0"/>
    <s v="rc_acc_1781955063347_e3zv"/>
    <x v="16"/>
    <s v=""/>
    <m/>
    <s v="-"/>
    <m/>
    <s v="import"/>
    <s v=""/>
    <b v="0"/>
    <s v=""/>
  </r>
  <r>
    <s v="fc8f9b1d-e2ad-463b-84fd-c32ca1d5381e"/>
    <s v="2023-11-14"/>
    <x v="3"/>
    <x v="7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d7955805-eed2-445a-b874-a68fa01c8497"/>
    <s v="2023-11-14"/>
    <x v="3"/>
    <x v="7"/>
    <n v="14"/>
    <s v="16:09"/>
    <n v="400"/>
    <x v="1"/>
    <s v="other"/>
    <x v="1"/>
    <s v="kbank"/>
    <x v="0"/>
    <s v="rc_acc_1781955063347_e3zv"/>
    <s v="Cash"/>
    <s v="-"/>
    <m/>
    <s v="import"/>
    <s v=""/>
    <b v="0"/>
    <s v=""/>
  </r>
  <r>
    <s v="0a61a668-f243-4992-8b0b-d7e75e072b2f"/>
    <s v="2023-11-11"/>
    <x v="3"/>
    <x v="7"/>
    <n v="11"/>
    <s v="16:09"/>
    <n v="14397"/>
    <x v="1"/>
    <s v="other"/>
    <x v="1"/>
    <s v="kbank"/>
    <x v="0"/>
    <s v="advance"/>
    <s v="Advance Paid"/>
    <s v="lineshop"/>
    <m/>
    <s v="import"/>
    <s v=""/>
    <b v="0"/>
    <s v=""/>
  </r>
  <r>
    <s v="307e0202-adec-4f38-9442-9ba1454cd49a"/>
    <s v="2023-11-09"/>
    <x v="3"/>
    <x v="7"/>
    <n v="9"/>
    <s v="10:03"/>
    <n v="1000"/>
    <x v="1"/>
    <s v="other"/>
    <x v="1"/>
    <s v="rc_acc_1781955063347_uxz4"/>
    <x v="4"/>
    <s v="rc_acc_1781955063347_e3zv"/>
    <s v="Cash"/>
    <s v="-"/>
    <m/>
    <s v="import"/>
    <s v=""/>
    <b v="0"/>
    <s v=""/>
  </r>
  <r>
    <s v="e0b2ee1a-c133-454a-bf75-fc108da2bbf6"/>
    <s v="2023-11-09"/>
    <x v="3"/>
    <x v="7"/>
    <n v="9"/>
    <s v="18:17"/>
    <n v="400"/>
    <x v="1"/>
    <s v="other"/>
    <x v="1"/>
    <s v="rc_acc_1781955063348_no9r"/>
    <x v="7"/>
    <s v="rc_acc_1781955063347_e3zv"/>
    <s v="Cash"/>
    <s v="-"/>
    <m/>
    <s v="import"/>
    <s v=""/>
    <b v="0"/>
    <s v=""/>
  </r>
  <r>
    <s v="a17bef37-1ee4-4cd4-9ef1-bfd2b408b75b"/>
    <s v="2023-11-08"/>
    <x v="3"/>
    <x v="7"/>
    <n v="8"/>
    <s v="16:08"/>
    <n v="900"/>
    <x v="0"/>
    <s v="rc_cat_1781955063347_anhy_1781955063348_k5l1"/>
    <x v="16"/>
    <s v="kbank"/>
    <x v="0"/>
    <s v=""/>
    <m/>
    <s v="-"/>
    <m/>
    <s v="import"/>
    <s v=""/>
    <b v="0"/>
    <s v=""/>
  </r>
  <r>
    <s v="ed3b9006-23ed-4817-9ffb-cc91ec9906fe"/>
    <s v="2023-11-05"/>
    <x v="3"/>
    <x v="7"/>
    <n v="5"/>
    <s v="11:19"/>
    <n v="35718.58"/>
    <x v="0"/>
    <s v="other_1781955063347_5s7r"/>
    <x v="15"/>
    <s v="rc_acc_1781955063347_0qmn"/>
    <x v="20"/>
    <s v=""/>
    <m/>
    <s v="Difference"/>
    <m/>
    <s v="import"/>
    <s v=""/>
    <b v="0"/>
    <s v=""/>
  </r>
  <r>
    <s v="b1e35b77-6f82-4d82-bd57-7dfd7a23dd84"/>
    <s v="2023-11-05"/>
    <x v="3"/>
    <x v="7"/>
    <n v="5"/>
    <s v="12:35"/>
    <n v="3500"/>
    <x v="1"/>
    <s v="other"/>
    <x v="1"/>
    <s v="rc_acc_1781955063347_kjxt"/>
    <x v="1"/>
    <s v="advance"/>
    <s v="Advance Paid"/>
    <s v="ยอดของฝา"/>
    <m/>
    <s v="import"/>
    <s v=""/>
    <b v="0"/>
    <s v=""/>
  </r>
  <r>
    <s v="97dd5dc1-df4b-47cf-9552-1233e57308b0"/>
    <s v="2023-11-05"/>
    <x v="3"/>
    <x v="7"/>
    <n v="5"/>
    <s v="13:29"/>
    <n v="1492"/>
    <x v="1"/>
    <s v="other"/>
    <x v="1"/>
    <s v="rc_acc_1781955063347_uxz4"/>
    <x v="4"/>
    <s v="advance"/>
    <s v="Advance Paid"/>
    <s v="klook zipair"/>
    <m/>
    <s v="import"/>
    <s v=""/>
    <b v="0"/>
    <s v=""/>
  </r>
  <r>
    <s v="73809a2a-00cb-4ca4-8ae8-43754fb3915e"/>
    <s v="2023-11-05"/>
    <x v="3"/>
    <x v="7"/>
    <n v="5"/>
    <s v="13:30"/>
    <n v="419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fd917de8-a206-4484-a3e8-64c1d7fda8aa"/>
    <s v="2023-11-05"/>
    <x v="3"/>
    <x v="7"/>
    <n v="5"/>
    <s v="13:30"/>
    <n v="2190"/>
    <x v="0"/>
    <s v="rc_cat_1781955063347_anhy_1781955063347_qnaz"/>
    <x v="4"/>
    <s v="rc_acc_1781955063347_uxz4"/>
    <x v="4"/>
    <s v=""/>
    <m/>
    <s v="ชดเชยเงินสดให้หงค่า ทา"/>
    <m/>
    <s v="import"/>
    <s v=""/>
    <b v="0"/>
    <s v=""/>
  </r>
  <r>
    <s v="736abe2a-5ecf-415f-9bdf-da9c63f6c1b9"/>
    <s v="2023-11-05"/>
    <x v="3"/>
    <x v="7"/>
    <n v="5"/>
    <s v="13:37"/>
    <n v="368.93"/>
    <x v="0"/>
    <s v="rc_cat_1781955063347_anhy_1781955063347_qnaz"/>
    <x v="4"/>
    <s v="rc_acc_1781955063347_uxz4"/>
    <x v="4"/>
    <s v=""/>
    <m/>
    <s v="ค่าโทรศัพท์แม่"/>
    <m/>
    <s v="import"/>
    <s v=""/>
    <b v="0"/>
    <s v=""/>
  </r>
  <r>
    <s v="cd3e3900-4abf-419b-aef4-1832b275f1b5"/>
    <s v="2023-11-05"/>
    <x v="3"/>
    <x v="7"/>
    <n v="5"/>
    <s v="18:59"/>
    <n v="5500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a461f961-d789-4b85-88a8-d36645676195"/>
    <s v="2023-11-04"/>
    <x v="3"/>
    <x v="7"/>
    <n v="4"/>
    <s v="08:51"/>
    <n v="5547"/>
    <x v="1"/>
    <s v="other"/>
    <x v="1"/>
    <s v="kbank"/>
    <x v="0"/>
    <s v="rc_acc_1781955063353_k5yx"/>
    <s v="Kbank shopee"/>
    <s v="-"/>
    <m/>
    <s v="import"/>
    <s v=""/>
    <b v="0"/>
    <s v=""/>
  </r>
  <r>
    <s v="ea7d5956-96ba-484d-b2ed-a7bd4b4268c3"/>
    <s v="2023-11-04"/>
    <x v="3"/>
    <x v="7"/>
    <n v="4"/>
    <s v="11:10"/>
    <n v="49000"/>
    <x v="1"/>
    <s v="other"/>
    <x v="1"/>
    <s v="rc_acc_1781955063347_uxz4"/>
    <x v="4"/>
    <s v="rc_acc_1781955063348_hnxg"/>
    <s v="BBL"/>
    <s v="-"/>
    <m/>
    <s v="import"/>
    <s v=""/>
    <b v="0"/>
    <s v=""/>
  </r>
  <r>
    <s v="babeab35-8248-4ec6-9a2a-a079155b0fe3"/>
    <s v="2023-11-04"/>
    <x v="3"/>
    <x v="7"/>
    <n v="4"/>
    <s v="11:11"/>
    <n v="7137"/>
    <x v="0"/>
    <s v="rc_cat_1781955063347_04qb_1781955063347_wt5p"/>
    <x v="3"/>
    <s v="rc_acc_1781955063347_uxz4"/>
    <x v="4"/>
    <s v=""/>
    <m/>
    <s v="-"/>
    <m/>
    <s v="import"/>
    <s v=""/>
    <b v="0"/>
    <s v=""/>
  </r>
  <r>
    <s v="94e62a6c-7791-41e0-86aa-8e6c36639e18"/>
    <s v="2023-11-04"/>
    <x v="3"/>
    <x v="7"/>
    <n v="4"/>
    <s v="11:11"/>
    <n v="17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3ec8015d-ae23-42ae-b343-43c7e6c2cd45"/>
    <s v="2023-11-04"/>
    <x v="3"/>
    <x v="7"/>
    <n v="4"/>
    <s v="11:11"/>
    <n v="8247"/>
    <x v="0"/>
    <s v="entertain_1781955063347_8r8e"/>
    <x v="8"/>
    <s v="rc_acc_1781955063347_uxz4"/>
    <x v="4"/>
    <s v=""/>
    <m/>
    <s v="งาน CMON"/>
    <m/>
    <s v="import"/>
    <s v=""/>
    <b v="0"/>
    <s v=""/>
  </r>
  <r>
    <s v="5be6ca10-fbe6-4b52-8124-d5124fe1b326"/>
    <s v="2023-11-04"/>
    <x v="3"/>
    <x v="7"/>
    <n v="4"/>
    <s v="16:00"/>
    <n v="20000"/>
    <x v="1"/>
    <s v="other"/>
    <x v="1"/>
    <s v="rc_acc_1781955063347_uxz4"/>
    <x v="4"/>
    <s v="kbank"/>
    <s v="KBank"/>
    <s v="-"/>
    <m/>
    <s v="import"/>
    <s v=""/>
    <b v="0"/>
    <s v=""/>
  </r>
  <r>
    <s v="60701231-4a94-4fc4-ad2f-94c1fbc25125"/>
    <s v="2023-11-04"/>
    <x v="3"/>
    <x v="7"/>
    <n v="4"/>
    <s v="16:00"/>
    <n v="5600"/>
    <x v="1"/>
    <s v="other"/>
    <x v="1"/>
    <s v="kbank"/>
    <x v="0"/>
    <s v="rc_acc_1781955063347_e3zv"/>
    <s v="Cash"/>
    <s v="-"/>
    <m/>
    <s v="import"/>
    <s v=""/>
    <b v="0"/>
    <s v=""/>
  </r>
  <r>
    <s v="23b836af-2e1a-4b9c-8ce5-2de1c229cb55"/>
    <s v="2023-11-03"/>
    <x v="3"/>
    <x v="7"/>
    <n v="3"/>
    <s v="11:00"/>
    <n v="110"/>
    <x v="0"/>
    <s v="rc_cat_1781955063347_5qjb_1781955063347_tezk"/>
    <x v="5"/>
    <s v="kbank"/>
    <x v="0"/>
    <s v=""/>
    <m/>
    <s v="-"/>
    <m/>
    <s v="import"/>
    <s v=""/>
    <b v="0"/>
    <s v=""/>
  </r>
  <r>
    <s v="a73778e3-369d-4136-a07d-791f52ad53eb"/>
    <s v="2023-11-01"/>
    <x v="3"/>
    <x v="7"/>
    <n v="1"/>
    <s v="11:10"/>
    <n v="42520"/>
    <x v="0"/>
    <s v="rc_cat_1781955063347_anhy_1781955063347_qnaz"/>
    <x v="4"/>
    <s v="rc_acc_1781955063347_uxz4"/>
    <x v="4"/>
    <s v=""/>
    <m/>
    <s v="ค่ารักษาป๊า"/>
    <m/>
    <s v="import"/>
    <s v=""/>
    <b v="0"/>
    <s v=""/>
  </r>
  <r>
    <s v="6d40d621-1736-49a1-a1a7-b5562f65736c"/>
    <s v="2023-10-31"/>
    <x v="3"/>
    <x v="8"/>
    <n v="31"/>
    <s v="10:57"/>
    <n v="4000"/>
    <x v="1"/>
    <s v="other"/>
    <x v="1"/>
    <s v="kbank"/>
    <x v="0"/>
    <s v="rc_acc_1781955063347_kjxt"/>
    <s v="KTC JCB"/>
    <s v="-"/>
    <m/>
    <s v="import"/>
    <s v=""/>
    <b v="0"/>
    <s v=""/>
  </r>
  <r>
    <s v="96d31f50-2ba0-4c7d-b0bb-7732468487dd"/>
    <s v="2023-10-31"/>
    <x v="3"/>
    <x v="8"/>
    <n v="31"/>
    <s v="11:31"/>
    <n v="4674.5"/>
    <x v="0"/>
    <s v="rc_cat_1781955063347_5qjb_1781955063347_tezk"/>
    <x v="5"/>
    <s v="rc_acc_1781955063357_rvam"/>
    <x v="3"/>
    <s v=""/>
    <m/>
    <s v="-"/>
    <m/>
    <s v="import"/>
    <s v=""/>
    <b v="0"/>
    <s v=""/>
  </r>
  <r>
    <s v="51f81828-6747-4a65-a1ed-ed46cdde8463"/>
    <s v="2023-10-30"/>
    <x v="3"/>
    <x v="8"/>
    <n v="30"/>
    <s v="11:09"/>
    <n v="362"/>
    <x v="1"/>
    <s v="other"/>
    <x v="1"/>
    <s v="advance"/>
    <x v="2"/>
    <s v="rc_acc_1781955063347_uxz4"/>
    <s v="SCB"/>
    <s v="ชาบูจากริด"/>
    <m/>
    <s v="import"/>
    <s v=""/>
    <b v="0"/>
    <s v=""/>
  </r>
  <r>
    <s v="a1a89056-90a8-4c41-b662-5af3874f8996"/>
    <s v="2023-10-29"/>
    <x v="3"/>
    <x v="8"/>
    <n v="29"/>
    <s v="10:57"/>
    <n v="576"/>
    <x v="0"/>
    <s v="rc_cat_1781955063347_5qjb_1781955063347_tezk"/>
    <x v="5"/>
    <s v="kbank"/>
    <x v="0"/>
    <s v=""/>
    <m/>
    <s v="-"/>
    <m/>
    <s v="import"/>
    <s v=""/>
    <b v="0"/>
    <s v=""/>
  </r>
  <r>
    <s v="5ea40c08-6e82-40d9-9d99-9eea9c7af23e"/>
    <s v="2023-10-25"/>
    <x v="3"/>
    <x v="8"/>
    <n v="25"/>
    <s v="00:00"/>
    <n v="403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758fb997-c425-4f7d-a3c0-6f32ba524464"/>
    <s v="2023-10-25"/>
    <x v="3"/>
    <x v="8"/>
    <n v="25"/>
    <s v="00:00"/>
    <n v="3111.79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408bd2b6-eba3-47d2-92b5-fd340b8e3a4a"/>
    <s v="2023-10-25"/>
    <x v="3"/>
    <x v="8"/>
    <n v="25"/>
    <s v="00:00"/>
    <n v="854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0c7613d4-7561-4fd8-bfe0-11c84b1f0fd4"/>
    <s v="2023-10-25"/>
    <x v="3"/>
    <x v="8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9a490082-148b-418a-a95e-7cb9587f3b50"/>
    <s v="2023-10-25"/>
    <x v="3"/>
    <x v="8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ff456924-bbaa-430e-8007-83216e3bffb1"/>
    <s v="2023-10-25"/>
    <x v="3"/>
    <x v="8"/>
    <n v="25"/>
    <s v="00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276cc8c9-99ae-4c02-a5c5-e5fbf2449303"/>
    <s v="2023-10-25"/>
    <x v="3"/>
    <x v="8"/>
    <n v="25"/>
    <s v="00:00"/>
    <n v="1027.0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bff6d8c7-f306-4a7c-b64a-6f8b339a26e8"/>
    <s v="2023-10-25"/>
    <x v="3"/>
    <x v="8"/>
    <n v="25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9d7836f2-6c52-482d-b164-c37f48d4483c"/>
    <s v="2023-10-25"/>
    <x v="3"/>
    <x v="8"/>
    <n v="25"/>
    <s v="00:00"/>
    <n v="2567.5"/>
    <x v="0"/>
    <s v="rc_cat_1781955063347_anhy_1781955063347_qnaz"/>
    <x v="4"/>
    <s v="rc_acc_1781955063347_uxz4"/>
    <x v="4"/>
    <s v=""/>
    <m/>
    <s v="รักษาเกินสิทธิ"/>
    <m/>
    <s v="import"/>
    <s v=""/>
    <b v="0"/>
    <s v=""/>
  </r>
  <r>
    <s v="d6fe2d6b-2a2e-4efd-86c0-f3d983f08dd8"/>
    <s v="2023-10-25"/>
    <x v="3"/>
    <x v="8"/>
    <n v="25"/>
    <s v="18:06"/>
    <n v="100000"/>
    <x v="1"/>
    <s v="other"/>
    <x v="1"/>
    <s v="rc_acc_1781955063348_hnxg"/>
    <x v="9"/>
    <s v="rc_acc_1781955063349_yz2g"/>
    <s v="Investment"/>
    <s v="-"/>
    <m/>
    <s v="import"/>
    <s v=""/>
    <b v="0"/>
    <s v=""/>
  </r>
  <r>
    <s v="41e95da3-b97e-4fc7-b785-ea3f9d3cce57"/>
    <s v="2023-10-24"/>
    <x v="3"/>
    <x v="8"/>
    <n v="24"/>
    <s v="10:47"/>
    <n v="950"/>
    <x v="0"/>
    <s v="entertain_1781955063347_8r8e"/>
    <x v="8"/>
    <s v="kbank"/>
    <x v="0"/>
    <s v=""/>
    <m/>
    <s v="monolith arena"/>
    <m/>
    <s v="import"/>
    <s v=""/>
    <b v="0"/>
    <s v=""/>
  </r>
  <r>
    <s v="b5f73914-bbef-4d19-bfea-22c8b8a9e931"/>
    <s v="2023-10-24"/>
    <x v="3"/>
    <x v="8"/>
    <n v="24"/>
    <s v="11:07"/>
    <n v="5776"/>
    <x v="1"/>
    <s v="other"/>
    <x v="1"/>
    <s v="advance"/>
    <x v="2"/>
    <s v="rc_acc_1781955063347_uxz4"/>
    <s v="SCB"/>
    <s v="อุ้ยโอนให้"/>
    <m/>
    <s v="import"/>
    <s v=""/>
    <b v="0"/>
    <s v=""/>
  </r>
  <r>
    <s v="ad537b63-3f39-41d5-b30e-2e09147382a6"/>
    <s v="2023-10-24"/>
    <x v="3"/>
    <x v="8"/>
    <n v="24"/>
    <s v="11:07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57eabd09-972c-421f-a613-1c9bb1f0e452"/>
    <s v="2023-10-21"/>
    <x v="3"/>
    <x v="8"/>
    <n v="21"/>
    <s v="21:14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507199c1-3712-4b20-ad72-16e031423bfa"/>
    <s v="2023-10-21"/>
    <x v="3"/>
    <x v="8"/>
    <n v="21"/>
    <s v="21:18"/>
    <n v="26332"/>
    <x v="1"/>
    <s v="other"/>
    <x v="1"/>
    <s v="advance"/>
    <x v="2"/>
    <s v="rc_acc_1781955063347_uxz4"/>
    <s v="SCB"/>
    <s v="หง ส่วนทริป ญป"/>
    <m/>
    <s v="import"/>
    <s v=""/>
    <b v="0"/>
    <s v=""/>
  </r>
  <r>
    <s v="d808781a-83f1-4ca2-b5bd-9811d454eb14"/>
    <s v="2023-10-21"/>
    <x v="3"/>
    <x v="8"/>
    <n v="21"/>
    <s v="21:35"/>
    <n v="719"/>
    <x v="0"/>
    <s v="entertain_1781955063352_1jgx"/>
    <x v="10"/>
    <s v="kbank"/>
    <x v="0"/>
    <s v=""/>
    <m/>
    <s v="google play pass"/>
    <m/>
    <s v="import"/>
    <s v=""/>
    <b v="0"/>
    <s v=""/>
  </r>
  <r>
    <s v="87d922a9-ebef-4de4-a136-e621c648f544"/>
    <s v="2023-10-20"/>
    <x v="3"/>
    <x v="8"/>
    <n v="20"/>
    <s v="12:46"/>
    <n v="138"/>
    <x v="0"/>
    <s v="rc_cat_1781955063347_5qjb_1781955063347_tezk"/>
    <x v="5"/>
    <s v="kbank"/>
    <x v="0"/>
    <s v=""/>
    <m/>
    <s v="-"/>
    <m/>
    <s v="import"/>
    <s v=""/>
    <b v="0"/>
    <s v=""/>
  </r>
  <r>
    <s v="1fe2c4a6-dc77-4ad4-befa-4d3f0d9ed46f"/>
    <s v="2023-10-20"/>
    <x v="3"/>
    <x v="8"/>
    <n v="20"/>
    <s v="18:07"/>
    <n v="553"/>
    <x v="2"/>
    <s v="income_1781955063347_zblt"/>
    <x v="17"/>
    <s v="rc_acc_1781955063348_hnxg"/>
    <x v="9"/>
    <s v=""/>
    <m/>
    <s v="-"/>
    <m/>
    <s v="import"/>
    <s v=""/>
    <b v="0"/>
    <s v=""/>
  </r>
  <r>
    <s v="9f8ea7a1-bd77-4753-b3e8-96b0cee389df"/>
    <s v="2023-10-18"/>
    <x v="3"/>
    <x v="8"/>
    <n v="18"/>
    <s v="21:19"/>
    <n v="20000"/>
    <x v="2"/>
    <s v="income_1781955063347_zblt"/>
    <x v="17"/>
    <s v="rc_acc_1781955063347_uxz4"/>
    <x v="4"/>
    <s v=""/>
    <m/>
    <s v="เจ๊กุลช่วย"/>
    <m/>
    <s v="import"/>
    <s v=""/>
    <b v="0"/>
    <s v=""/>
  </r>
  <r>
    <s v="067c43f9-ba4f-4085-aa8f-3e06cbaa47f9"/>
    <s v="2023-10-17"/>
    <x v="3"/>
    <x v="8"/>
    <n v="17"/>
    <s v="12:47"/>
    <n v="80"/>
    <x v="0"/>
    <s v="rc_cat_1781955063347_5qjb_1781955063347_tezk"/>
    <x v="5"/>
    <s v="kbank"/>
    <x v="0"/>
    <s v=""/>
    <m/>
    <s v="-"/>
    <m/>
    <s v="import"/>
    <s v=""/>
    <b v="0"/>
    <s v=""/>
  </r>
  <r>
    <s v="527887bd-4cdc-456a-a432-e8bd752c25b9"/>
    <s v="2023-10-16"/>
    <x v="3"/>
    <x v="8"/>
    <n v="16"/>
    <s v="21:22"/>
    <n v="15268"/>
    <x v="1"/>
    <s v="other"/>
    <x v="1"/>
    <s v="rc_acc_1781955063357_rvam"/>
    <x v="3"/>
    <s v="rc_acc_1781955063347_uxz4"/>
    <s v="SCB"/>
    <s v="-"/>
    <m/>
    <s v="import"/>
    <s v=""/>
    <b v="0"/>
    <s v=""/>
  </r>
  <r>
    <s v="8a75b21e-6bdc-46d0-bed1-db05e7e22204"/>
    <s v="2023-10-15"/>
    <x v="3"/>
    <x v="8"/>
    <n v="15"/>
    <s v="12:03"/>
    <n v="460"/>
    <x v="0"/>
    <s v="rc_cat_1781955063347_5qjb_1781955063347_tezk"/>
    <x v="5"/>
    <s v="rc_acc_1781955063353_k5yx"/>
    <x v="18"/>
    <s v=""/>
    <m/>
    <s v="-"/>
    <m/>
    <s v="import"/>
    <s v=""/>
    <b v="0"/>
    <s v=""/>
  </r>
  <r>
    <s v="8bc3204e-8359-4adb-9b0b-207f385a78d6"/>
    <s v="2023-10-15"/>
    <x v="3"/>
    <x v="8"/>
    <n v="15"/>
    <s v="12:12"/>
    <n v="1026"/>
    <x v="0"/>
    <s v="entertain_1781955063348_32wr"/>
    <x v="23"/>
    <s v="rc_acc_1781955063353_k5yx"/>
    <x v="18"/>
    <s v=""/>
    <m/>
    <s v="-"/>
    <m/>
    <s v="import"/>
    <s v=""/>
    <b v="0"/>
    <s v=""/>
  </r>
  <r>
    <s v="5399d3a9-82cd-43a7-9e87-bf0d1fc90e76"/>
    <s v="2023-10-15"/>
    <x v="3"/>
    <x v="8"/>
    <n v="15"/>
    <s v="12:13"/>
    <n v="3880"/>
    <x v="0"/>
    <s v="entertain_1781955063348_kx2f"/>
    <x v="0"/>
    <s v="rc_acc_1781955063353_k5yx"/>
    <x v="18"/>
    <s v=""/>
    <m/>
    <s v="กาชา"/>
    <m/>
    <s v="import"/>
    <s v=""/>
    <b v="0"/>
    <s v=""/>
  </r>
  <r>
    <s v="a80e782c-4d6f-45a5-a58e-7ca45fd45750"/>
    <s v="2023-10-15"/>
    <x v="3"/>
    <x v="8"/>
    <n v="15"/>
    <s v="12:15"/>
    <n v="181"/>
    <x v="0"/>
    <s v="entertain_1781955063348_kx2f"/>
    <x v="0"/>
    <s v="rc_acc_1781955063353_k5yx"/>
    <x v="18"/>
    <s v=""/>
    <m/>
    <s v="-"/>
    <m/>
    <s v="import"/>
    <s v=""/>
    <b v="0"/>
    <s v=""/>
  </r>
  <r>
    <s v="a1158c56-cf93-43f0-9c39-19d219f14fc2"/>
    <s v="2023-10-15"/>
    <x v="3"/>
    <x v="8"/>
    <n v="15"/>
    <s v="21:14"/>
    <n v="13917"/>
    <x v="1"/>
    <s v="other"/>
    <x v="1"/>
    <s v="advance"/>
    <x v="2"/>
    <s v="rc_acc_1781955063347_uxz4"/>
    <s v="SCB"/>
    <s v="ทริปหัวหิน ส่วน mariage"/>
    <m/>
    <s v="import"/>
    <s v=""/>
    <b v="0"/>
    <s v=""/>
  </r>
  <r>
    <s v="48dbae30-9bd1-4ab5-82b0-a18caa2ae964"/>
    <s v="2023-10-15"/>
    <x v="3"/>
    <x v="8"/>
    <n v="15"/>
    <s v="21:15"/>
    <n v="10000"/>
    <x v="1"/>
    <s v="other"/>
    <x v="1"/>
    <s v="advance"/>
    <x v="2"/>
    <s v="rc_acc_1781955063347_uxz4"/>
    <s v="SCB"/>
    <s v="ทริปหัวหิน ส่วนเฟิน"/>
    <m/>
    <s v="import"/>
    <s v=""/>
    <b v="0"/>
    <s v=""/>
  </r>
  <r>
    <s v="42129213-7d4a-42a1-a336-c4ae6911cd74"/>
    <s v="2023-10-14"/>
    <x v="3"/>
    <x v="8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444e667b-b756-437c-8b6a-8d0427ccd0d0"/>
    <s v="2023-10-13"/>
    <x v="3"/>
    <x v="8"/>
    <n v="13"/>
    <s v="12:37"/>
    <n v="169"/>
    <x v="0"/>
    <s v="rc_cat_1781955063347_5qjb_1781955063347_irl1"/>
    <x v="0"/>
    <s v="rc_acc_1781955063347_kjxt"/>
    <x v="1"/>
    <s v=""/>
    <m/>
    <s v="-"/>
    <m/>
    <s v="import"/>
    <s v=""/>
    <b v="0"/>
    <s v=""/>
  </r>
  <r>
    <s v="13e4d2ad-0428-4672-adb1-ec408f9b1bb5"/>
    <s v="2023-10-13"/>
    <x v="3"/>
    <x v="8"/>
    <n v="13"/>
    <s v="20:29"/>
    <n v="500"/>
    <x v="0"/>
    <s v="rc_cat_1781955063347_5qjb_1781955063347_tezk"/>
    <x v="5"/>
    <s v="kbank"/>
    <x v="0"/>
    <s v=""/>
    <m/>
    <s v="-"/>
    <m/>
    <s v="import"/>
    <s v=""/>
    <b v="0"/>
    <s v=""/>
  </r>
  <r>
    <s v="b039194d-65f8-4874-af40-4b4a7ed91ca9"/>
    <s v="2023-10-11"/>
    <x v="3"/>
    <x v="8"/>
    <n v="11"/>
    <s v="18:06"/>
    <n v="900"/>
    <x v="1"/>
    <s v="other"/>
    <x v="1"/>
    <s v="rc_acc_1781955063348_hnxg"/>
    <x v="9"/>
    <s v="rc_acc_1781955063347_e3zv"/>
    <s v="Cash"/>
    <s v="-"/>
    <m/>
    <s v="import"/>
    <s v=""/>
    <b v="0"/>
    <s v=""/>
  </r>
  <r>
    <s v="0a1bfd1f-8476-45f4-aee2-50c32c203158"/>
    <s v="2023-10-10"/>
    <x v="3"/>
    <x v="8"/>
    <n v="10"/>
    <s v="11:19"/>
    <n v="300"/>
    <x v="0"/>
    <s v="rc_cat_1781955063347_anhy_1781955063348_k5l1"/>
    <x v="16"/>
    <s v="rc_acc_1781955063348_no9r"/>
    <x v="7"/>
    <s v=""/>
    <m/>
    <s v="-"/>
    <m/>
    <s v="import"/>
    <s v=""/>
    <b v="0"/>
    <s v=""/>
  </r>
  <r>
    <s v="a5f5fe6a-45cf-4f05-864f-c335ae0bcfb6"/>
    <s v="2023-10-09"/>
    <x v="3"/>
    <x v="8"/>
    <n v="9"/>
    <s v="12:55"/>
    <n v="2330"/>
    <x v="1"/>
    <s v="other"/>
    <x v="1"/>
    <s v="kbank"/>
    <x v="0"/>
    <s v="advance"/>
    <s v="Advance Paid"/>
    <s v="เจ๊นง 1720 ยอดอื่น"/>
    <m/>
    <s v="import"/>
    <s v=""/>
    <b v="0"/>
    <s v=""/>
  </r>
  <r>
    <s v="91a28db4-c77f-43d0-b5d9-0c24d1b25175"/>
    <s v="2023-10-09"/>
    <x v="3"/>
    <x v="8"/>
    <n v="9"/>
    <s v="15:54"/>
    <n v="80"/>
    <x v="0"/>
    <s v="rc_cat_1781955063347_5qjb_1781955063347_tezk"/>
    <x v="5"/>
    <s v="kbank"/>
    <x v="0"/>
    <s v=""/>
    <m/>
    <s v="-"/>
    <m/>
    <s v="import"/>
    <s v=""/>
    <b v="0"/>
    <s v=""/>
  </r>
  <r>
    <s v="0d8c9729-279b-420c-818a-4564d7e35ef2"/>
    <s v="2023-10-09"/>
    <x v="3"/>
    <x v="8"/>
    <n v="9"/>
    <s v="20:48"/>
    <n v="17500"/>
    <x v="1"/>
    <s v="other"/>
    <x v="1"/>
    <s v="kbank"/>
    <x v="0"/>
    <s v="rc_acc_1781955063347_0qmn"/>
    <s v="Marriage account"/>
    <s v="-"/>
    <m/>
    <s v="import"/>
    <s v=""/>
    <b v="0"/>
    <s v=""/>
  </r>
  <r>
    <s v="6f276aa9-b1d4-4b7f-9b3e-34f092fe703c"/>
    <s v="2023-10-09"/>
    <x v="3"/>
    <x v="8"/>
    <n v="9"/>
    <s v="20:49"/>
    <n v="7036.71"/>
    <x v="0"/>
    <s v="rc_cat_1781955063347_04qb_1781955063347_wt5p"/>
    <x v="3"/>
    <s v="kbank"/>
    <x v="0"/>
    <s v=""/>
    <m/>
    <s v="-"/>
    <m/>
    <s v="import"/>
    <s v=""/>
    <b v="0"/>
    <s v=""/>
  </r>
  <r>
    <s v="885c18e6-5fc8-41b5-81c2-fa3febc1f7ec"/>
    <s v="2023-10-09"/>
    <x v="3"/>
    <x v="8"/>
    <n v="9"/>
    <s v="20:53"/>
    <n v="235"/>
    <x v="1"/>
    <s v="other"/>
    <x v="1"/>
    <s v="rc_acc_1781955063347_e3zv"/>
    <x v="16"/>
    <s v="kbank"/>
    <s v="KBank"/>
    <s v="ของฝากหัวหิน"/>
    <m/>
    <s v="import"/>
    <s v=""/>
    <b v="0"/>
    <s v=""/>
  </r>
  <r>
    <s v="2de5854e-1c84-4430-aeec-156eb7a808bd"/>
    <s v="2023-10-07"/>
    <x v="3"/>
    <x v="8"/>
    <n v="7"/>
    <s v="09:56"/>
    <n v="756"/>
    <x v="1"/>
    <s v="other"/>
    <x v="1"/>
    <s v="kbank"/>
    <x v="0"/>
    <s v="advance"/>
    <s v="Advance Paid"/>
    <s v="โกปีเฮียะไท่กี่"/>
    <m/>
    <s v="import"/>
    <s v=""/>
    <b v="0"/>
    <s v=""/>
  </r>
  <r>
    <s v="5d4742ad-166a-4dbd-993a-633bb2d1cd44"/>
    <s v="2023-10-07"/>
    <x v="3"/>
    <x v="8"/>
    <n v="7"/>
    <s v="21:10"/>
    <n v="1475"/>
    <x v="1"/>
    <s v="other"/>
    <x v="1"/>
    <s v="kbank"/>
    <x v="0"/>
    <s v="advance"/>
    <s v="Advance Paid"/>
    <s v="มื้อเย็นวันแรก ทริปหัวหิน"/>
    <m/>
    <s v="import"/>
    <s v=""/>
    <b v="0"/>
    <s v=""/>
  </r>
  <r>
    <s v="10240464-16bb-4c14-b70f-19b3f07f4299"/>
    <s v="2023-10-06"/>
    <x v="3"/>
    <x v="8"/>
    <n v="6"/>
    <s v="20:58"/>
    <n v="315"/>
    <x v="1"/>
    <s v="other"/>
    <x v="1"/>
    <s v="kbank"/>
    <x v="0"/>
    <s v="advance"/>
    <s v="Advance Paid"/>
    <s v="TP tea"/>
    <m/>
    <s v="import"/>
    <s v=""/>
    <b v="0"/>
    <s v=""/>
  </r>
  <r>
    <s v="b0a9e5c2-f511-47a7-9a20-9b1dc7c240c3"/>
    <s v="2023-10-06"/>
    <x v="3"/>
    <x v="8"/>
    <n v="6"/>
    <s v="20:58"/>
    <n v="274"/>
    <x v="1"/>
    <s v="other"/>
    <x v="1"/>
    <s v="kbank"/>
    <x v="0"/>
    <s v="advance"/>
    <s v="Advance Paid"/>
    <s v="ค่าเค้ก"/>
    <m/>
    <s v="import"/>
    <s v=""/>
    <b v="0"/>
    <s v=""/>
  </r>
  <r>
    <s v="92269e9b-b32e-4832-a8a4-63b11906e15c"/>
    <s v="2023-10-05"/>
    <x v="3"/>
    <x v="8"/>
    <n v="5"/>
    <s v="13:09"/>
    <n v="122"/>
    <x v="0"/>
    <s v="rc_cat_1781955063347_5qjb_1781955063347_tezk"/>
    <x v="5"/>
    <s v="kbank"/>
    <x v="0"/>
    <s v=""/>
    <m/>
    <s v="-"/>
    <m/>
    <s v="import"/>
    <s v=""/>
    <b v="0"/>
    <s v=""/>
  </r>
  <r>
    <s v="93c22333-1ba8-419d-a8d5-d9e2b4b8c4a9"/>
    <s v="2023-10-05"/>
    <x v="3"/>
    <x v="8"/>
    <n v="5"/>
    <s v="21:16"/>
    <n v="150000"/>
    <x v="1"/>
    <s v="other"/>
    <x v="1"/>
    <s v="kbank"/>
    <x v="0"/>
    <s v="rc_acc_1781955063349_yz2g"/>
    <s v="Investment"/>
    <s v="ssf"/>
    <m/>
    <s v="import"/>
    <s v=""/>
    <b v="0"/>
    <s v=""/>
  </r>
  <r>
    <s v="88c2b5f7-d70e-4d03-984e-8322d3bafe24"/>
    <s v="2023-10-03"/>
    <x v="3"/>
    <x v="8"/>
    <n v="3"/>
    <s v="09:30"/>
    <n v="247"/>
    <x v="1"/>
    <s v="other"/>
    <x v="1"/>
    <s v="rc_acc_1781955063347_0qmn"/>
    <x v="20"/>
    <s v="kbank"/>
    <s v="KBank"/>
    <s v="-"/>
    <m/>
    <s v="import"/>
    <s v=""/>
    <b v="0"/>
    <s v=""/>
  </r>
  <r>
    <s v="47cf3dc1-4a95-422c-93bd-70763a93fbd5"/>
    <s v="2023-10-03"/>
    <x v="3"/>
    <x v="8"/>
    <n v="3"/>
    <s v="12:36"/>
    <n v="118"/>
    <x v="0"/>
    <s v="rc_cat_1781955063347_5qjb_1781955063347_tezk"/>
    <x v="5"/>
    <s v="rc_acc_1781955063347_kjxt"/>
    <x v="1"/>
    <s v=""/>
    <m/>
    <s v="-"/>
    <m/>
    <s v="import"/>
    <s v=""/>
    <b v="0"/>
    <s v=""/>
  </r>
  <r>
    <s v="59f2551c-49b7-4f28-93e4-cbdf0516687d"/>
    <s v="2023-10-02"/>
    <x v="3"/>
    <x v="8"/>
    <n v="2"/>
    <s v="12:05"/>
    <n v="60"/>
    <x v="0"/>
    <s v="rc_cat_1781955063347_5qjb_1781955063347_tezk"/>
    <x v="5"/>
    <s v="kbank"/>
    <x v="0"/>
    <s v=""/>
    <m/>
    <s v="-"/>
    <m/>
    <s v="import"/>
    <s v=""/>
    <b v="0"/>
    <s v=""/>
  </r>
  <r>
    <s v="624bdd51-d866-43fc-a774-e69029aa0b3f"/>
    <s v="2023-10-02"/>
    <x v="3"/>
    <x v="8"/>
    <n v="2"/>
    <s v="12:37"/>
    <n v="206"/>
    <x v="0"/>
    <s v="entertain_1781955063348_32wr"/>
    <x v="23"/>
    <s v="rc_acc_1781955063347_kjxt"/>
    <x v="1"/>
    <s v=""/>
    <m/>
    <s v="-"/>
    <m/>
    <s v="import"/>
    <s v=""/>
    <b v="0"/>
    <s v=""/>
  </r>
  <r>
    <s v="ed006950-7944-447a-858c-f83969cdf469"/>
    <s v="2023-10-02"/>
    <x v="3"/>
    <x v="8"/>
    <n v="2"/>
    <s v="18:24"/>
    <n v="170000"/>
    <x v="1"/>
    <s v="other"/>
    <x v="1"/>
    <s v="rc_acc_1781955063347_uxz4"/>
    <x v="4"/>
    <s v="kbank"/>
    <s v="KBank"/>
    <s v="-"/>
    <m/>
    <s v="import"/>
    <s v=""/>
    <b v="0"/>
    <s v=""/>
  </r>
  <r>
    <s v="269288ac-4d02-4d62-b032-ca69c6329d09"/>
    <s v="2023-10-02"/>
    <x v="3"/>
    <x v="8"/>
    <n v="2"/>
    <s v="18:24"/>
    <n v="100"/>
    <x v="1"/>
    <s v="other"/>
    <x v="1"/>
    <s v="kbank"/>
    <x v="0"/>
    <s v="rc_acc_1781955063347_uxz4"/>
    <s v="SCB"/>
    <s v="-"/>
    <m/>
    <s v="import"/>
    <s v=""/>
    <b v="0"/>
    <s v=""/>
  </r>
  <r>
    <s v="b0ea7924-5b31-4baa-87a5-36f52e9bd321"/>
    <s v="2023-10-02"/>
    <x v="3"/>
    <x v="8"/>
    <n v="2"/>
    <s v="21:15"/>
    <n v="13062.85"/>
    <x v="0"/>
    <s v="other_1781955063347_5s7r"/>
    <x v="15"/>
    <s v="rc_acc_1781955063348_no9r"/>
    <x v="7"/>
    <s v=""/>
    <m/>
    <s v="Difference"/>
    <m/>
    <s v="import"/>
    <s v=""/>
    <b v="0"/>
    <s v=""/>
  </r>
  <r>
    <s v="fada83b9-9644-4819-8358-5c597a3dc5d6"/>
    <s v="2023-10-02"/>
    <x v="3"/>
    <x v="8"/>
    <n v="2"/>
    <s v="21:16"/>
    <n v="1174.607729"/>
    <x v="0"/>
    <s v="other_1781955063347_5s7r"/>
    <x v="15"/>
    <s v="rc_acc_1781955063356_nq03"/>
    <x v="22"/>
    <s v=""/>
    <m/>
    <s v="Difference"/>
    <m/>
    <s v="import"/>
    <s v=""/>
    <b v="0"/>
    <s v=""/>
  </r>
  <r>
    <s v="d08a4df2-54d3-4893-a038-7f48e8c94264"/>
    <s v="2023-10-02"/>
    <x v="3"/>
    <x v="8"/>
    <n v="2"/>
    <s v="21:21"/>
    <n v="15000"/>
    <x v="0"/>
    <s v="other_1781955063347_5s7r"/>
    <x v="15"/>
    <s v="rc_acc_1781955063347_e3zv"/>
    <x v="16"/>
    <s v=""/>
    <m/>
    <s v="Difference as jpy use"/>
    <m/>
    <s v="import"/>
    <s v=""/>
    <b v="0"/>
    <s v=""/>
  </r>
  <r>
    <s v="694f7130-b0b8-4b74-b57c-6803c5944284"/>
    <s v="2023-10-02"/>
    <x v="3"/>
    <x v="8"/>
    <n v="2"/>
    <s v="22:13"/>
    <n v="2983.99"/>
    <x v="0"/>
    <s v="other_1781955063347_5s7r"/>
    <x v="15"/>
    <s v="rc_acc_1781955063348_obza"/>
    <x v="8"/>
    <s v=""/>
    <m/>
    <s v="Difference"/>
    <m/>
    <s v="import"/>
    <s v=""/>
    <b v="0"/>
    <s v=""/>
  </r>
  <r>
    <s v="55c8b0e9-9dcb-400a-8d3a-b53a7e55e8df"/>
    <s v="2023-10-02"/>
    <x v="3"/>
    <x v="8"/>
    <n v="2"/>
    <s v="22:21"/>
    <n v="68384.01657"/>
    <x v="2"/>
    <s v="other_1781955063347_5s7r"/>
    <x v="15"/>
    <s v="rc_acc_1781955063358_d7gc"/>
    <x v="10"/>
    <s v=""/>
    <m/>
    <s v="Difference"/>
    <m/>
    <s v="import"/>
    <s v=""/>
    <b v="0"/>
    <s v=""/>
  </r>
  <r>
    <s v="731a41c4-d83f-4041-851d-2f90a95be387"/>
    <s v="2023-10-02"/>
    <x v="3"/>
    <x v="8"/>
    <n v="2"/>
    <s v="22:23"/>
    <n v="8417.18"/>
    <x v="0"/>
    <s v="other_1781955063347_5s7r"/>
    <x v="15"/>
    <s v="rc_acc_1781955063349_mitc"/>
    <x v="23"/>
    <s v=""/>
    <m/>
    <s v="Difference"/>
    <m/>
    <s v="import"/>
    <s v=""/>
    <b v="0"/>
    <s v=""/>
  </r>
  <r>
    <s v="caa753de-44e0-4fd6-8062-01692a7d9094"/>
    <s v="2023-10-02"/>
    <x v="3"/>
    <x v="8"/>
    <n v="2"/>
    <s v="22:25"/>
    <n v="80471.36"/>
    <x v="0"/>
    <s v="other_1781955063347_5s7r"/>
    <x v="15"/>
    <s v="rc_acc_1781955063352_d0kz"/>
    <x v="24"/>
    <s v=""/>
    <m/>
    <s v="Difference"/>
    <m/>
    <s v="import"/>
    <s v=""/>
    <b v="0"/>
    <s v=""/>
  </r>
  <r>
    <s v="da7aa29d-e660-4d1c-b9ce-62f42b1b72df"/>
    <s v="2023-10-02"/>
    <x v="3"/>
    <x v="8"/>
    <n v="2"/>
    <s v="22:25"/>
    <n v="500"/>
    <x v="0"/>
    <s v="other_1781955063347_5s7r"/>
    <x v="15"/>
    <s v="rc_acc_1781955063356_nmdo"/>
    <x v="25"/>
    <s v=""/>
    <m/>
    <s v="Difference"/>
    <m/>
    <s v="import"/>
    <s v=""/>
    <b v="0"/>
    <s v=""/>
  </r>
  <r>
    <s v="6f77f222-8174-4739-a60f-19ff75f16648"/>
    <s v="2023-10-02"/>
    <x v="3"/>
    <x v="8"/>
    <n v="2"/>
    <s v="22:25"/>
    <n v="709"/>
    <x v="0"/>
    <s v="other_1781955063347_5s7r"/>
    <x v="15"/>
    <s v="rc_acc_1781955063351_9sgw"/>
    <x v="26"/>
    <s v=""/>
    <m/>
    <s v="Difference"/>
    <m/>
    <s v="import"/>
    <s v=""/>
    <b v="0"/>
    <s v=""/>
  </r>
  <r>
    <s v="3d5b901b-0ff7-4208-9afe-001e84c50b0b"/>
    <s v="2023-10-01"/>
    <x v="3"/>
    <x v="8"/>
    <n v="1"/>
    <s v="18:05"/>
    <n v="16632.5"/>
    <x v="0"/>
    <s v="rc_cat_1781955063347_anhy_1781955063347_qnaz"/>
    <x v="4"/>
    <s v="rc_acc_1781955063347_uxz4"/>
    <x v="4"/>
    <s v=""/>
    <m/>
    <s v="ส่วนต่างศิริราช รอบสอง"/>
    <m/>
    <s v="import"/>
    <s v=""/>
    <b v="0"/>
    <s v=""/>
  </r>
  <r>
    <s v="0ee715ec-f87d-4319-a065-e8b7ffe5c4db"/>
    <s v="2023-10-01"/>
    <x v="3"/>
    <x v="8"/>
    <n v="1"/>
    <s v="19:56"/>
    <n v="2500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ea580659-4882-45cb-8d23-db0040d30ddc"/>
    <s v="2023-10-01"/>
    <x v="3"/>
    <x v="8"/>
    <n v="1"/>
    <s v="20:46"/>
    <n v="117"/>
    <x v="0"/>
    <s v="entertain_1781955063348_32wr"/>
    <x v="23"/>
    <s v="kbank"/>
    <x v="0"/>
    <s v=""/>
    <m/>
    <s v="dont feed monkey"/>
    <m/>
    <s v="import"/>
    <s v=""/>
    <b v="0"/>
    <s v=""/>
  </r>
  <r>
    <s v="907f02b8-dc13-4b2c-9812-16999dc190a8"/>
    <s v="2023-10-01"/>
    <x v="3"/>
    <x v="8"/>
    <n v="1"/>
    <s v="20:48"/>
    <n v="64"/>
    <x v="0"/>
    <s v="entertain_1781955063348_gj0i"/>
    <x v="25"/>
    <s v="kbank"/>
    <x v="0"/>
    <s v=""/>
    <m/>
    <s v="qed 18"/>
    <m/>
    <s v="import"/>
    <s v=""/>
    <b v="0"/>
    <s v=""/>
  </r>
  <r>
    <s v="20ae2dbf-caaa-44c0-b0fb-118296377335"/>
    <s v="2023-10-01"/>
    <x v="3"/>
    <x v="8"/>
    <n v="1"/>
    <s v="20:48"/>
    <n v="347"/>
    <x v="0"/>
    <s v="rc_cat_1781955063347_s4sz_1781955063347_deos"/>
    <x v="6"/>
    <s v="kbank"/>
    <x v="0"/>
    <s v=""/>
    <m/>
    <s v="trouser"/>
    <m/>
    <s v="import"/>
    <s v=""/>
    <b v="0"/>
    <s v=""/>
  </r>
  <r>
    <s v="c7a96c18-a76d-4600-8f62-bcdd826f8ad4"/>
    <s v="2023-10-01"/>
    <x v="3"/>
    <x v="8"/>
    <n v="1"/>
    <s v="20:49"/>
    <n v="91"/>
    <x v="0"/>
    <s v="rc_cat_1781955063347_5qjb_1781955063347_tezk"/>
    <x v="5"/>
    <s v="kbank"/>
    <x v="0"/>
    <s v=""/>
    <m/>
    <s v="-"/>
    <m/>
    <s v="import"/>
    <s v=""/>
    <b v="0"/>
    <s v=""/>
  </r>
  <r>
    <s v="5e2fb256-ef3d-4c9a-a22d-10aa9e53beb9"/>
    <s v="2023-10-01"/>
    <x v="3"/>
    <x v="8"/>
    <n v="1"/>
    <s v="20:55"/>
    <n v="1763.15"/>
    <x v="0"/>
    <s v="rc_cat_1781955063347_anhy_1781955063350_fcpb"/>
    <x v="2"/>
    <s v="kbank"/>
    <x v="0"/>
    <s v=""/>
    <m/>
    <s v="kagonoya วันเกิด"/>
    <m/>
    <s v="import"/>
    <s v=""/>
    <b v="0"/>
    <s v=""/>
  </r>
  <r>
    <s v="57e81637-1cba-4d4b-8b6a-01a6ee12c298"/>
    <s v="2023-10-01"/>
    <x v="3"/>
    <x v="8"/>
    <n v="1"/>
    <s v="20:57"/>
    <n v="2963"/>
    <x v="1"/>
    <s v="other"/>
    <x v="1"/>
    <s v="kbank"/>
    <x v="0"/>
    <s v="advance"/>
    <s v="Advance Paid"/>
    <s v="แกงค์แหลกๆ เอี่ยวไถ่"/>
    <m/>
    <s v="import"/>
    <s v=""/>
    <b v="0"/>
    <s v=""/>
  </r>
  <r>
    <s v="d016e79b-77c4-48f2-ad4e-41cba2eb05ae"/>
    <s v="2023-10-01"/>
    <x v="3"/>
    <x v="8"/>
    <n v="1"/>
    <s v="21:09"/>
    <n v="1080"/>
    <x v="0"/>
    <s v="other_1781955063348_yjhe"/>
    <x v="26"/>
    <s v="kbank"/>
    <x v="0"/>
    <s v=""/>
    <m/>
    <s v="ของขวัญฟรัง teddy"/>
    <m/>
    <s v="import"/>
    <s v=""/>
    <b v="0"/>
    <s v=""/>
  </r>
  <r>
    <s v="50d38ebf-2ceb-463f-8899-d88c329377e6"/>
    <s v="2023-10-01"/>
    <x v="3"/>
    <x v="8"/>
    <n v="1"/>
    <s v="21:19"/>
    <n v="159"/>
    <x v="0"/>
    <s v="entertain_1781955063348_kx2f"/>
    <x v="0"/>
    <s v="rc_acc_1781955063348_obza"/>
    <x v="8"/>
    <s v=""/>
    <m/>
    <s v="-"/>
    <m/>
    <s v="import"/>
    <s v=""/>
    <b v="0"/>
    <s v=""/>
  </r>
  <r>
    <s v="8c576aca-acba-4230-832f-58825ab6f0ae"/>
    <s v="2023-10-01"/>
    <x v="3"/>
    <x v="8"/>
    <n v="1"/>
    <s v="21:38"/>
    <n v="593"/>
    <x v="0"/>
    <s v="rc_cat_1781955063347_anhy_1781955063347_qnaz"/>
    <x v="4"/>
    <s v="kbank"/>
    <x v="0"/>
    <s v=""/>
    <m/>
    <s v="-"/>
    <m/>
    <s v="import"/>
    <s v=""/>
    <b v="0"/>
    <s v=""/>
  </r>
  <r>
    <s v="9629bda3-71de-44a4-a7d2-4376dd7cb584"/>
    <s v="2023-10-01"/>
    <x v="3"/>
    <x v="8"/>
    <n v="1"/>
    <s v="21:38"/>
    <n v="1284.82"/>
    <x v="0"/>
    <s v="rc_cat_1781955063347_5qjb_1781955063347_tezk"/>
    <x v="5"/>
    <s v="kbank"/>
    <x v="0"/>
    <s v=""/>
    <m/>
    <s v="-"/>
    <m/>
    <s v="import"/>
    <s v=""/>
    <b v="0"/>
    <s v=""/>
  </r>
  <r>
    <s v="0750f1c3-5075-4367-8888-ba506a1af013"/>
    <s v="2023-10-01"/>
    <x v="3"/>
    <x v="8"/>
    <n v="1"/>
    <s v="21:40"/>
    <n v="30000"/>
    <x v="1"/>
    <s v="other"/>
    <x v="1"/>
    <s v="rc_acc_1781955063347_uxz4"/>
    <x v="4"/>
    <s v="kbank"/>
    <s v="KBank"/>
    <s v="-"/>
    <m/>
    <s v="import"/>
    <s v=""/>
    <b v="0"/>
    <s v=""/>
  </r>
  <r>
    <s v="97faf338-58fb-4f2d-97ac-00bec78e6fe7"/>
    <s v="2023-10-01"/>
    <x v="3"/>
    <x v="8"/>
    <n v="1"/>
    <s v="22:01"/>
    <n v="1000"/>
    <x v="0"/>
    <s v="rc_cat_1781955063347_5qjb_1781955063347_tezk"/>
    <x v="5"/>
    <s v="kbank"/>
    <x v="0"/>
    <s v=""/>
    <m/>
    <s v="-"/>
    <m/>
    <s v="import"/>
    <s v=""/>
    <b v="0"/>
    <s v=""/>
  </r>
  <r>
    <s v="c123bd6b-3228-4d7b-812c-82177f216548"/>
    <s v="2023-10-01"/>
    <x v="3"/>
    <x v="8"/>
    <n v="1"/>
    <s v="22:01"/>
    <n v="591"/>
    <x v="0"/>
    <s v="rc_cat_1781955063347_5qjb_1781955063348_wpky"/>
    <x v="27"/>
    <s v="kbank"/>
    <x v="0"/>
    <s v=""/>
    <m/>
    <s v="-"/>
    <m/>
    <s v="import"/>
    <s v=""/>
    <b v="0"/>
    <s v=""/>
  </r>
  <r>
    <s v="54ab4834-4c84-4405-ac47-ab83836ca72b"/>
    <s v="2023-10-01"/>
    <x v="3"/>
    <x v="8"/>
    <n v="1"/>
    <s v="22:01"/>
    <n v="511"/>
    <x v="1"/>
    <s v="other"/>
    <x v="1"/>
    <s v="kbank"/>
    <x v="0"/>
    <s v="advance"/>
    <s v="Advance Paid"/>
    <s v="sim"/>
    <m/>
    <s v="import"/>
    <s v=""/>
    <b v="0"/>
    <s v=""/>
  </r>
  <r>
    <s v="8250968a-6193-4430-9cec-9797a9eb0f1e"/>
    <s v="2023-09-30"/>
    <x v="3"/>
    <x v="9"/>
    <n v="30"/>
    <s v="09:11"/>
    <n v="258.57"/>
    <x v="0"/>
    <s v="rc_cat_1781955063347_5qjb_1781955063347_tezk"/>
    <x v="5"/>
    <s v="rc_acc_1781955063358_cs4m"/>
    <x v="11"/>
    <s v=""/>
    <m/>
    <s v="ออกเองบางส่วน"/>
    <m/>
    <s v="import"/>
    <s v=""/>
    <b v="0"/>
    <s v=""/>
  </r>
  <r>
    <s v="52e8f077-6c20-4645-9f88-14662ae45a77"/>
    <s v="2023-09-30"/>
    <x v="3"/>
    <x v="9"/>
    <n v="30"/>
    <s v="11:17"/>
    <n v="360.45"/>
    <x v="0"/>
    <s v="entertain_1781955063348_kx2f"/>
    <x v="0"/>
    <s v="rc_acc_1781955063358_cs4m"/>
    <x v="11"/>
    <s v=""/>
    <m/>
    <s v="fammary h 128"/>
    <m/>
    <s v="import"/>
    <s v=""/>
    <b v="0"/>
    <s v=""/>
  </r>
  <r>
    <s v="5894a79d-ea32-43a8-ad82-35e99a475245"/>
    <s v="2023-09-30"/>
    <x v="3"/>
    <x v="9"/>
    <n v="30"/>
    <s v="11:17"/>
    <n v="149.97"/>
    <x v="0"/>
    <s v="rc_cat_1781955063347_5qjb_1781955063347_tezk"/>
    <x v="5"/>
    <s v="rc_acc_1781955063358_cs4m"/>
    <x v="11"/>
    <s v=""/>
    <m/>
    <s v="br"/>
    <m/>
    <s v="import"/>
    <s v=""/>
    <b v="0"/>
    <s v=""/>
  </r>
  <r>
    <s v="8794d251-93c1-4b8d-a7db-3263f4792336"/>
    <s v="2023-09-30"/>
    <x v="3"/>
    <x v="9"/>
    <n v="30"/>
    <s v="12:26"/>
    <n v="44.99"/>
    <x v="0"/>
    <s v="rc_cat_1781955063347_5qjb_1781955063347_tezk"/>
    <x v="5"/>
    <s v="rc_acc_1781955063358_cs4m"/>
    <x v="11"/>
    <s v=""/>
    <m/>
    <s v="ชานม"/>
    <m/>
    <s v="import"/>
    <s v=""/>
    <b v="0"/>
    <s v=""/>
  </r>
  <r>
    <s v="242c767d-b69d-4a07-88a4-f610885cd38b"/>
    <s v="2023-09-30"/>
    <x v="3"/>
    <x v="9"/>
    <n v="30"/>
    <s v="23:55"/>
    <n v="1320.79"/>
    <x v="0"/>
    <s v="other_1781955063347_5s7r"/>
    <x v="15"/>
    <s v="rc_acc_1781955063358_cs4m"/>
    <x v="11"/>
    <s v=""/>
    <m/>
    <s v="Difference at trip end"/>
    <m/>
    <s v="import"/>
    <s v=""/>
    <b v="0"/>
    <s v=""/>
  </r>
  <r>
    <s v="a6dcae0f-918a-4f78-9769-d7a0f12f3c00"/>
    <s v="2023-09-30"/>
    <x v="3"/>
    <x v="9"/>
    <n v="30"/>
    <s v="23:55"/>
    <n v="137.04"/>
    <x v="0"/>
    <s v="other_1781955063347_5s7r"/>
    <x v="15"/>
    <s v="rc_acc_1781955063358_kqcd"/>
    <x v="27"/>
    <s v=""/>
    <m/>
    <s v="Difference at trip end"/>
    <m/>
    <s v="import"/>
    <s v=""/>
    <b v="0"/>
    <s v=""/>
  </r>
  <r>
    <s v="32404ca9-eeb2-49cc-9b3e-e42bc6587283"/>
    <s v="2023-09-29"/>
    <x v="3"/>
    <x v="9"/>
    <n v="29"/>
    <s v="15:12"/>
    <n v="853.29"/>
    <x v="0"/>
    <s v="entertain_1781955063348_kx2f"/>
    <x v="0"/>
    <s v="rc_acc_1781955063358_cs4m"/>
    <x v="11"/>
    <s v=""/>
    <m/>
    <s v="กาชา โคนัน hero gundam sasuke"/>
    <m/>
    <s v="import"/>
    <s v=""/>
    <b v="0"/>
    <s v=""/>
  </r>
  <r>
    <s v="69aaa754-fa68-494b-b03d-70a327b94306"/>
    <s v="2023-09-29"/>
    <x v="3"/>
    <x v="9"/>
    <n v="29"/>
    <s v="18:46"/>
    <n v="294.77"/>
    <x v="0"/>
    <s v="rc_cat_1781955063347_5qjb_1781955063347_tezk"/>
    <x v="5"/>
    <s v="rc_acc_1781955063358_cs4m"/>
    <x v="11"/>
    <s v=""/>
    <m/>
    <s v="-"/>
    <m/>
    <s v="import"/>
    <s v=""/>
    <b v="0"/>
    <s v=""/>
  </r>
  <r>
    <s v="d49f381d-8e29-475e-bdb7-01e827bc95c2"/>
    <s v="2023-09-29"/>
    <x v="3"/>
    <x v="9"/>
    <n v="29"/>
    <s v="20:29"/>
    <n v="285.98"/>
    <x v="0"/>
    <s v="rc_cat_1781955063347_5qjb_1781955063347_tezk"/>
    <x v="5"/>
    <s v="rc_acc_1781955063358_cs4m"/>
    <x v="11"/>
    <s v=""/>
    <m/>
    <s v="gindaco กองกลาง"/>
    <m/>
    <s v="import"/>
    <s v=""/>
    <b v="0"/>
    <s v=""/>
  </r>
  <r>
    <s v="bd52aa3c-54ac-4472-8ab5-e1154334d2d5"/>
    <s v="2023-09-29"/>
    <x v="3"/>
    <x v="9"/>
    <n v="29"/>
    <s v="20:30"/>
    <n v="3232.16"/>
    <x v="0"/>
    <s v="entertain_1781955063348_kx2f"/>
    <x v="0"/>
    <s v="rc_acc_1781955063358_cs4m"/>
    <x v="11"/>
    <s v=""/>
    <m/>
    <s v="figure"/>
    <m/>
    <s v="import"/>
    <s v=""/>
    <b v="0"/>
    <s v=""/>
  </r>
  <r>
    <s v="dfa8ae7d-2569-471a-82ee-23322734d401"/>
    <s v="2023-09-27"/>
    <x v="3"/>
    <x v="9"/>
    <n v="27"/>
    <s v="09:30"/>
    <n v="155.14"/>
    <x v="0"/>
    <s v="entertain_1781955063348_kx2f"/>
    <x v="0"/>
    <s v="rc_acc_1781955063358_cs4m"/>
    <x v="11"/>
    <s v=""/>
    <m/>
    <s v="กองกลาง พระใหญ่"/>
    <m/>
    <s v="import"/>
    <s v=""/>
    <b v="0"/>
    <s v=""/>
  </r>
  <r>
    <s v="99853ae5-fc4d-419e-9d2d-df37d2a7bcb5"/>
    <s v="2023-09-27"/>
    <x v="3"/>
    <x v="9"/>
    <n v="27"/>
    <s v="10:53"/>
    <n v="193.93"/>
    <x v="0"/>
    <s v="rc_cat_1781955063347_5qjb_1781955063347_tezk"/>
    <x v="5"/>
    <s v="rc_acc_1781955063358_cs4m"/>
    <x v="11"/>
    <s v=""/>
    <m/>
    <s v="เนื้อทอด ปังแกง"/>
    <m/>
    <s v="import"/>
    <s v=""/>
    <b v="0"/>
    <s v=""/>
  </r>
  <r>
    <s v="c92ab3b8-9975-4091-8123-722be9d6a722"/>
    <s v="2023-09-26"/>
    <x v="3"/>
    <x v="9"/>
    <n v="26"/>
    <s v="07:16"/>
    <n v="43.96"/>
    <x v="0"/>
    <s v="rc_cat_1781955063347_5qjb_1781955063347_tezk"/>
    <x v="5"/>
    <s v="rc_acc_1781955063358_kqcd"/>
    <x v="27"/>
    <s v=""/>
    <m/>
    <s v="กาแฟ สถานี higashi nihombashi"/>
    <m/>
    <s v="import"/>
    <s v=""/>
    <b v="0"/>
    <s v=""/>
  </r>
  <r>
    <s v="1dcdb6d3-0ca3-45e9-8513-7c167cd4eea9"/>
    <s v="2023-09-26"/>
    <x v="3"/>
    <x v="9"/>
    <n v="26"/>
    <s v="09:40"/>
    <n v="43.96"/>
    <x v="0"/>
    <s v="rc_cat_1781955063347_5qjb_1781955063347_tezk"/>
    <x v="5"/>
    <s v="rc_acc_1781955063358_cs4m"/>
    <x v="11"/>
    <s v=""/>
    <m/>
    <s v="กองกลาง ขนมปังกันตาย"/>
    <m/>
    <s v="import"/>
    <s v=""/>
    <b v="0"/>
    <s v=""/>
  </r>
  <r>
    <s v="bd1c7a8c-5d28-4e36-bf01-8d4a0f073713"/>
    <s v="2023-09-26"/>
    <x v="3"/>
    <x v="9"/>
    <n v="26"/>
    <s v="11:13"/>
    <n v="51.71"/>
    <x v="0"/>
    <s v="entertain_1781955063348_kx2f"/>
    <x v="0"/>
    <s v="rc_acc_1781955063358_cs4m"/>
    <x v="11"/>
    <s v=""/>
    <m/>
    <s v="เหรียญ pkcenter"/>
    <m/>
    <s v="import"/>
    <s v=""/>
    <b v="0"/>
    <s v=""/>
  </r>
  <r>
    <s v="705a2e10-433b-490e-b48a-42311d786881"/>
    <s v="2023-09-26"/>
    <x v="3"/>
    <x v="9"/>
    <n v="26"/>
    <s v="13:18"/>
    <n v="1913.44"/>
    <x v="0"/>
    <s v="entertain_1781955063348_kx2f"/>
    <x v="0"/>
    <s v="rc_acc_1781955063358_cs4m"/>
    <x v="11"/>
    <s v=""/>
    <m/>
    <s v="pokemon"/>
    <m/>
    <s v="import"/>
    <s v=""/>
    <b v="0"/>
    <s v=""/>
  </r>
  <r>
    <s v="e4147088-213d-4b3d-8f59-9b7e0256aa20"/>
    <s v="2023-09-26"/>
    <x v="3"/>
    <x v="9"/>
    <n v="26"/>
    <s v="15:10"/>
    <n v="724"/>
    <x v="0"/>
    <s v="entertain_1781955063348_kx2f"/>
    <x v="0"/>
    <s v="rc_acc_1781955063358_cs4m"/>
    <x v="11"/>
    <s v=""/>
    <m/>
    <s v="กาชา ueno บิ๊กมัม คาตาคุริ ช็อปเปอร์ จินเบ คิง โมโมะ"/>
    <m/>
    <s v="import"/>
    <s v=""/>
    <b v="0"/>
    <s v=""/>
  </r>
  <r>
    <s v="f0e8c462-b31a-4410-a0b8-d87537ca4fa7"/>
    <s v="2023-09-26"/>
    <x v="3"/>
    <x v="9"/>
    <n v="26"/>
    <s v="20:18"/>
    <n v="131.87"/>
    <x v="0"/>
    <s v="rc_cat_1781955063347_5qjb_1781955063347_irl1"/>
    <x v="0"/>
    <s v="rc_acc_1781955063358_kqcd"/>
    <x v="27"/>
    <s v=""/>
    <m/>
    <s v="รถไฟจาก yogohama มา shibuya"/>
    <m/>
    <s v="import"/>
    <s v=""/>
    <b v="0"/>
    <s v=""/>
  </r>
  <r>
    <s v="d4825924-042d-4bc7-97ee-2dbba2dc08ae"/>
    <s v="2023-09-25"/>
    <x v="3"/>
    <x v="9"/>
    <n v="25"/>
    <s v="00:00"/>
    <n v="3020.02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a9be3427-ff8c-4f3b-99b0-8847d6848a11"/>
    <s v="2023-09-25"/>
    <x v="3"/>
    <x v="9"/>
    <n v="25"/>
    <s v="00:00"/>
    <n v="404.09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968d8062-bd9f-49c0-a859-d9f1d9d8721b"/>
    <s v="2023-09-25"/>
    <x v="3"/>
    <x v="9"/>
    <n v="25"/>
    <s v="00:01"/>
    <n v="820"/>
    <x v="0"/>
    <s v="rc_cat_1781955063347_anhy_1781955063347_qnaz"/>
    <x v="4"/>
    <s v="rc_acc_1781955063347_uxz4"/>
    <x v="4"/>
    <s v=""/>
    <m/>
    <s v="รักษาเกินสิทธิ"/>
    <m/>
    <s v="import"/>
    <s v=""/>
    <b v="0"/>
    <s v=""/>
  </r>
  <r>
    <s v="2a21fcee-f812-447c-b092-1d472d3facf0"/>
    <s v="2023-09-25"/>
    <x v="3"/>
    <x v="9"/>
    <n v="25"/>
    <s v="07:17"/>
    <n v="33.61"/>
    <x v="0"/>
    <s v="rc_cat_1781955063347_5qjb_1781955063347_tezk"/>
    <x v="5"/>
    <s v="rc_acc_1781955063358_cs4m"/>
    <x v="11"/>
    <s v=""/>
    <m/>
    <s v="กดน้ำ miyashita park"/>
    <m/>
    <s v="import"/>
    <s v=""/>
    <b v="0"/>
    <s v=""/>
  </r>
  <r>
    <s v="5f9f2450-c351-4708-ae78-0846d2a7db9c"/>
    <s v="2023-09-25"/>
    <x v="3"/>
    <x v="9"/>
    <n v="25"/>
    <s v="11:16"/>
    <n v="276.67"/>
    <x v="0"/>
    <s v="rc_cat_1781955063347_5qjb_1781955063347_tezk"/>
    <x v="5"/>
    <s v="rc_acc_1781955063358_cs4m"/>
    <x v="11"/>
    <s v=""/>
    <m/>
    <s v="กองกลาง เกี้ยวซ่า"/>
    <m/>
    <s v="import"/>
    <s v=""/>
    <b v="0"/>
    <s v=""/>
  </r>
  <r>
    <s v="f3e3773e-3918-4b00-81ee-f0050e36df1b"/>
    <s v="2023-09-25"/>
    <x v="3"/>
    <x v="9"/>
    <n v="25"/>
    <s v="12:10"/>
    <n v="155.14"/>
    <x v="0"/>
    <s v="entertain_1781955063348_kx2f"/>
    <x v="0"/>
    <s v="rc_acc_1781955063358_cs4m"/>
    <x v="11"/>
    <s v=""/>
    <m/>
    <s v="สมุด cup noodle"/>
    <m/>
    <s v="import"/>
    <s v=""/>
    <b v="0"/>
    <s v=""/>
  </r>
  <r>
    <s v="e2ac7035-0b22-49c5-9fda-a558096ed960"/>
    <s v="2023-09-25"/>
    <x v="3"/>
    <x v="9"/>
    <n v="25"/>
    <s v="13:30"/>
    <n v="1370.44"/>
    <x v="0"/>
    <s v="entertain_1781955063348_kx2f"/>
    <x v="0"/>
    <s v="rc_acc_1781955063358_cs4m"/>
    <x v="11"/>
    <s v=""/>
    <m/>
    <s v="gashapon พลเอก*3 นามิบรูคลูฟี่ ซาโบ้ ไคโด กันดัม ยามาโตะ"/>
    <m/>
    <s v="import"/>
    <s v=""/>
    <b v="0"/>
    <s v=""/>
  </r>
  <r>
    <s v="de9e475a-474b-4a15-9c2a-3593dcd95c63"/>
    <s v="2023-09-25"/>
    <x v="3"/>
    <x v="9"/>
    <n v="25"/>
    <s v="13:40"/>
    <n v="25.86"/>
    <x v="0"/>
    <s v="entertain_1781955063352_1jgx"/>
    <x v="10"/>
    <s v="rc_acc_1781955063358_cs4m"/>
    <x v="11"/>
    <s v=""/>
    <m/>
    <s v="crane game"/>
    <m/>
    <s v="import"/>
    <s v=""/>
    <b v="0"/>
    <s v=""/>
  </r>
  <r>
    <s v="de9ec2c0-0e58-40c6-815d-9231be3b4bec"/>
    <s v="2023-09-25"/>
    <x v="3"/>
    <x v="9"/>
    <n v="25"/>
    <s v="13:45"/>
    <n v="4433"/>
    <x v="0"/>
    <s v="entertain_1781955063348_kx2f"/>
    <x v="0"/>
    <s v="rc_acc_1781955063352_d0kz"/>
    <x v="24"/>
    <s v=""/>
    <m/>
    <s v="-"/>
    <m/>
    <s v="import"/>
    <s v=""/>
    <b v="0"/>
    <s v=""/>
  </r>
  <r>
    <s v="11cd6836-42b5-4765-ae3d-a011d342af51"/>
    <s v="2023-09-25"/>
    <x v="3"/>
    <x v="9"/>
    <n v="25"/>
    <s v="14:28"/>
    <n v="203.76"/>
    <x v="0"/>
    <s v="rc_cat_1781955063347_5qjb_1781955063347_tezk"/>
    <x v="5"/>
    <s v="rc_acc_1781955063358_cs4m"/>
    <x v="11"/>
    <s v=""/>
    <m/>
    <s v="กองกลาง fmmart"/>
    <m/>
    <s v="import"/>
    <s v=""/>
    <b v="0"/>
    <s v=""/>
  </r>
  <r>
    <s v="446c8082-731a-44ce-a9cc-cef28b5873e3"/>
    <s v="2023-09-25"/>
    <x v="3"/>
    <x v="9"/>
    <n v="25"/>
    <s v="14:40"/>
    <n v="51.71"/>
    <x v="0"/>
    <s v="rc_cat_1781955063347_5qjb_1781955063347_irl1"/>
    <x v="0"/>
    <s v="rc_acc_1781955063358_kqcd"/>
    <x v="27"/>
    <s v=""/>
    <m/>
    <s v="รถเมล์ไป gundam fac"/>
    <m/>
    <s v="import"/>
    <s v=""/>
    <b v="0"/>
    <s v=""/>
  </r>
  <r>
    <s v="3b3a2883-e4ba-4a7e-a917-0cf47a09208a"/>
    <s v="2023-09-25"/>
    <x v="3"/>
    <x v="9"/>
    <n v="25"/>
    <s v="15:00"/>
    <n v="853.29"/>
    <x v="0"/>
    <s v="entertain_1781955063348_kx2f"/>
    <x v="0"/>
    <s v="rc_acc_1781955063352_d0kz"/>
    <x v="24"/>
    <s v=""/>
    <m/>
    <s v="ค่าเข้ากันดัม"/>
    <m/>
    <s v="import"/>
    <s v=""/>
    <b v="0"/>
    <s v=""/>
  </r>
  <r>
    <s v="0403f7d2-9c6c-4d75-b8d3-4c90a3baf2a6"/>
    <s v="2023-09-25"/>
    <x v="3"/>
    <x v="9"/>
    <n v="25"/>
    <s v="16:50"/>
    <n v="711.08"/>
    <x v="0"/>
    <s v="entertain_1781955063348_kx2f"/>
    <x v="0"/>
    <s v="rc_acc_1781955063358_cs4m"/>
    <x v="11"/>
    <s v=""/>
    <m/>
    <s v="yogohama gundam"/>
    <m/>
    <s v="import"/>
    <s v=""/>
    <b v="0"/>
    <s v=""/>
  </r>
  <r>
    <s v="1ecbb8ec-1063-46ff-9773-b95327bc724b"/>
    <s v="2023-09-25"/>
    <x v="3"/>
    <x v="9"/>
    <n v="25"/>
    <s v="17:03"/>
    <n v="193.93"/>
    <x v="0"/>
    <s v="rc_cat_1781955063347_5qjb_1781955063347_tezk"/>
    <x v="5"/>
    <s v="rc_acc_1781955063358_cs4m"/>
    <x v="11"/>
    <s v=""/>
    <m/>
    <s v="กองกลาง เสี่ยวหลงเปา"/>
    <m/>
    <s v="import"/>
    <s v=""/>
    <b v="0"/>
    <s v=""/>
  </r>
  <r>
    <s v="87e4da00-f1a3-4204-97eb-2165925cb422"/>
    <s v="2023-09-25"/>
    <x v="3"/>
    <x v="9"/>
    <n v="25"/>
    <s v="18:02"/>
    <n v="553.35"/>
    <x v="0"/>
    <s v="rc_cat_1781955063347_5qjb_1781955063347_tezk"/>
    <x v="5"/>
    <s v="rc_acc_1781955063358_cs4m"/>
    <x v="11"/>
    <s v=""/>
    <m/>
    <s v="กองกลาง yogohama chinatown"/>
    <m/>
    <s v="import"/>
    <s v=""/>
    <b v="0"/>
    <s v=""/>
  </r>
  <r>
    <s v="adfded1f-3d65-46c9-9400-4d7e2df1d8f8"/>
    <s v="2023-09-25"/>
    <x v="3"/>
    <x v="9"/>
    <n v="25"/>
    <s v="18:03"/>
    <n v="25.86"/>
    <x v="0"/>
    <s v="rc_cat_1781955063347_5qjb_1781955063347_tezk"/>
    <x v="5"/>
    <s v="rc_acc_1781955063358_cs4m"/>
    <x v="11"/>
    <s v=""/>
    <m/>
    <s v="กองกลาง ไก่ทอด"/>
    <m/>
    <s v="import"/>
    <s v=""/>
    <b v="0"/>
    <s v=""/>
  </r>
  <r>
    <s v="1f6744f1-aace-4363-8318-fccf3943d2e9"/>
    <s v="2023-09-25"/>
    <x v="3"/>
    <x v="9"/>
    <n v="25"/>
    <s v="18:51"/>
    <n v="36.2"/>
    <x v="0"/>
    <s v="rc_cat_1781955063347_5qjb_1781955063347_tezk"/>
    <x v="5"/>
    <s v="rc_acc_1781955063358_kqcd"/>
    <x v="27"/>
    <s v=""/>
    <m/>
    <s v="ชานม"/>
    <m/>
    <s v="import"/>
    <s v=""/>
    <b v="0"/>
    <s v=""/>
  </r>
  <r>
    <s v="e2eac186-cf36-48f5-9476-8cdcec0cbe31"/>
    <s v="2023-09-24"/>
    <x v="3"/>
    <x v="9"/>
    <n v="24"/>
    <s v="09:33"/>
    <n v="43.96"/>
    <x v="0"/>
    <s v="rc_cat_1781955063347_5qjb_1781955063347_tezk"/>
    <x v="5"/>
    <s v="rc_acc_1781955063358_kqcd"/>
    <x v="27"/>
    <s v=""/>
    <m/>
    <s v="กดน้ำระหว่างไป nikko"/>
    <m/>
    <s v="import"/>
    <s v=""/>
    <b v="0"/>
    <s v=""/>
  </r>
  <r>
    <s v="2a069cce-4f88-4062-8d45-f4100ce9e416"/>
    <s v="2023-09-24"/>
    <x v="3"/>
    <x v="9"/>
    <n v="24"/>
    <s v="10:50"/>
    <n v="33.61"/>
    <x v="0"/>
    <s v="rc_cat_1781955063347_5qjb_1781955063347_tezk"/>
    <x v="5"/>
    <s v="rc_acc_1781955063358_cs4m"/>
    <x v="11"/>
    <s v=""/>
    <m/>
    <s v="น้ำเปล่า"/>
    <m/>
    <s v="import"/>
    <s v=""/>
    <b v="0"/>
    <s v=""/>
  </r>
  <r>
    <s v="e11721cb-4a80-4fd2-a464-04e7afac4581"/>
    <s v="2023-09-24"/>
    <x v="3"/>
    <x v="9"/>
    <n v="24"/>
    <s v="14:00"/>
    <n v="155.14"/>
    <x v="0"/>
    <s v="entertain_1781955063348_kx2f"/>
    <x v="0"/>
    <s v="rc_acc_1781955063358_cs4m"/>
    <x v="11"/>
    <s v=""/>
    <m/>
    <s v="กองกลาง เข้าโซนหลังวัด"/>
    <m/>
    <s v="import"/>
    <s v=""/>
    <b v="0"/>
    <s v=""/>
  </r>
  <r>
    <s v="f832939b-273a-4367-8462-68bffa6b1ecb"/>
    <s v="2023-09-24"/>
    <x v="3"/>
    <x v="9"/>
    <n v="24"/>
    <s v="15:00"/>
    <n v="181"/>
    <x v="0"/>
    <s v="rc_cat_1781955063347_5qjb_1781955063347_tezk"/>
    <x v="5"/>
    <s v="rc_acc_1781955063358_cs4m"/>
    <x v="11"/>
    <s v=""/>
    <m/>
    <s v="กองกลาง ฟองเต้าหู้ทอด"/>
    <m/>
    <s v="import"/>
    <s v=""/>
    <b v="0"/>
    <s v=""/>
  </r>
  <r>
    <s v="c578244a-f61a-4fc9-97c6-1f927d4e1435"/>
    <s v="2023-09-24"/>
    <x v="3"/>
    <x v="9"/>
    <n v="24"/>
    <s v="22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75c68e5a-bd0e-4575-b2ad-365eaaf3a672"/>
    <s v="2023-09-24"/>
    <x v="3"/>
    <x v="9"/>
    <n v="24"/>
    <s v="22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e2d8d72d-c96c-4762-93da-89810a6ef5ac"/>
    <s v="2023-09-24"/>
    <x v="3"/>
    <x v="9"/>
    <n v="24"/>
    <s v="22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7a430388-51f4-4471-ba74-72127896528a"/>
    <s v="2023-09-24"/>
    <x v="3"/>
    <x v="9"/>
    <n v="24"/>
    <s v="22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de1fbd96-d48e-4a43-858b-d4ea15a5d3c1"/>
    <s v="2023-09-24"/>
    <x v="3"/>
    <x v="9"/>
    <n v="24"/>
    <s v="22:00"/>
    <n v="1027.0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ddc81080-1f11-494b-aa33-6c8fa142a7ec"/>
    <s v="2023-09-24"/>
    <x v="3"/>
    <x v="9"/>
    <n v="24"/>
    <s v="22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2c5c1d64-85bd-4068-90b0-8c9a3506665c"/>
    <s v="2023-09-23"/>
    <x v="3"/>
    <x v="9"/>
    <n v="23"/>
    <s v="06:40"/>
    <n v="677.46"/>
    <x v="0"/>
    <s v="rc_cat_1781955063347_5qjb_1781955063347_irl1"/>
    <x v="0"/>
    <s v="rc_acc_1781955063358_cs4m"/>
    <x v="11"/>
    <s v=""/>
    <m/>
    <s v="กองกลาง access express"/>
    <m/>
    <s v="import"/>
    <s v=""/>
    <b v="0"/>
    <s v=""/>
  </r>
  <r>
    <s v="01cad715-d334-4197-9e61-001e12203c71"/>
    <s v="2023-09-23"/>
    <x v="3"/>
    <x v="9"/>
    <n v="23"/>
    <s v="06:40"/>
    <n v="16031.52389"/>
    <x v="2"/>
    <s v="other_1781955063347_5s7r"/>
    <x v="15"/>
    <s v="rc_acc_1781955063358_cs4m"/>
    <x v="11"/>
    <s v=""/>
    <m/>
    <s v="Difference"/>
    <m/>
    <s v="import"/>
    <s v=""/>
    <b v="0"/>
    <s v=""/>
  </r>
  <r>
    <s v="16fd454c-e380-46ba-a007-ce147a212a76"/>
    <s v="2023-09-23"/>
    <x v="3"/>
    <x v="9"/>
    <n v="23"/>
    <s v="06:41"/>
    <n v="517.15"/>
    <x v="1"/>
    <s v="other"/>
    <x v="1"/>
    <s v="rc_acc_1781955063358_cs4m"/>
    <x v="11"/>
    <s v="rc_acc_1781955063358_kqcd"/>
    <s v="suica card"/>
    <s v="-"/>
    <m/>
    <s v="import"/>
    <s v=""/>
    <b v="0"/>
    <s v=""/>
  </r>
  <r>
    <s v="15a1b96e-8ca2-4c28-acb3-a3dd51787fea"/>
    <s v="2023-09-23"/>
    <x v="3"/>
    <x v="9"/>
    <n v="23"/>
    <s v="09:32"/>
    <n v="72.4"/>
    <x v="0"/>
    <s v="rc_cat_1781955063347_5qjb_1781955063347_irl1"/>
    <x v="0"/>
    <s v="rc_acc_1781955063358_kqcd"/>
    <x v="27"/>
    <s v=""/>
    <m/>
    <s v="จากที่พักไป ueno"/>
    <m/>
    <s v="import"/>
    <s v=""/>
    <b v="0"/>
    <s v=""/>
  </r>
  <r>
    <s v="b837a912-7f33-4dca-96cc-8df50bb04914"/>
    <s v="2023-09-23"/>
    <x v="3"/>
    <x v="9"/>
    <n v="23"/>
    <s v="14:33"/>
    <n v="258.57"/>
    <x v="0"/>
    <s v="rc_cat_1781955063347_5qjb_1781955063347_tezk"/>
    <x v="5"/>
    <s v="rc_acc_1781955063358_cs4m"/>
    <x v="11"/>
    <s v=""/>
    <m/>
    <s v="เมล่อนปัง กับโครอกเขะ"/>
    <m/>
    <s v="import"/>
    <s v=""/>
    <b v="0"/>
    <s v=""/>
  </r>
  <r>
    <s v="08f9c270-2264-4041-8ef6-88c87381eee1"/>
    <s v="2023-09-23"/>
    <x v="3"/>
    <x v="9"/>
    <n v="23"/>
    <s v="15:34"/>
    <n v="258.57"/>
    <x v="0"/>
    <s v="entertain_1781955063348_kx2f"/>
    <x v="0"/>
    <s v="rc_acc_1781955063358_cs4m"/>
    <x v="11"/>
    <s v=""/>
    <m/>
    <s v="กาชา ไคโดสองตัว"/>
    <m/>
    <s v="import"/>
    <s v=""/>
    <b v="0"/>
    <s v=""/>
  </r>
  <r>
    <s v="c490b356-2172-45b4-b526-5ce20335d66a"/>
    <s v="2023-09-23"/>
    <x v="3"/>
    <x v="9"/>
    <n v="23"/>
    <s v="20:12"/>
    <n v="517.15"/>
    <x v="0"/>
    <s v="other_1781955063347_5s7r"/>
    <x v="15"/>
    <s v="rc_acc_1781955063358_cs4m"/>
    <x v="11"/>
    <s v=""/>
    <m/>
    <s v="Difference at 1st date"/>
    <m/>
    <s v="import"/>
    <s v=""/>
    <b v="0"/>
    <s v=""/>
  </r>
  <r>
    <s v="d2b36a28-72a0-4e88-a241-1ebdcb39a3b2"/>
    <s v="2023-09-22"/>
    <x v="3"/>
    <x v="9"/>
    <n v="22"/>
    <s v="11:29"/>
    <n v="3948"/>
    <x v="0"/>
    <s v="rc_cat_1781955063347_5qjb_1781955063347_tezk"/>
    <x v="5"/>
    <s v="rc_acc_1781955063357_rvam"/>
    <x v="3"/>
    <s v=""/>
    <m/>
    <s v="-"/>
    <m/>
    <s v="import"/>
    <s v=""/>
    <b v="0"/>
    <s v=""/>
  </r>
  <r>
    <s v="bb4e8102-5480-4950-8847-800fe40edc14"/>
    <s v="2023-09-15"/>
    <x v="3"/>
    <x v="9"/>
    <n v="15"/>
    <s v="09:01"/>
    <n v="89"/>
    <x v="0"/>
    <s v="rc_cat_1781955063347_5qjb_1781955063347_tezk"/>
    <x v="5"/>
    <s v="kbank"/>
    <x v="0"/>
    <s v=""/>
    <m/>
    <s v="-"/>
    <m/>
    <s v="import"/>
    <s v=""/>
    <b v="0"/>
    <s v=""/>
  </r>
  <r>
    <s v="33407308-2c5c-416c-8776-7eb83a01e3a0"/>
    <s v="2023-09-14"/>
    <x v="3"/>
    <x v="9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f1209253-464b-4477-be06-07bfb1c4b7d8"/>
    <s v="2023-09-14"/>
    <x v="3"/>
    <x v="9"/>
    <n v="14"/>
    <s v="11:31"/>
    <n v="419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6ab01ff2-944f-42d7-864e-dab9c3edc4ac"/>
    <s v="2023-09-10"/>
    <x v="3"/>
    <x v="9"/>
    <n v="10"/>
    <s v="11:25"/>
    <n v="15000"/>
    <x v="1"/>
    <s v="other"/>
    <x v="1"/>
    <s v="rc_acc_1781955063347_uxz4"/>
    <x v="4"/>
    <s v="rc_acc_1781955063347_e3zv"/>
    <s v="Cash"/>
    <s v="แลกเงิน JPY"/>
    <m/>
    <s v="import"/>
    <s v=""/>
    <b v="0"/>
    <s v=""/>
  </r>
  <r>
    <s v="cc9fa5de-ea72-4ba2-8277-4db53ccba2e6"/>
    <s v="2023-09-10"/>
    <x v="3"/>
    <x v="9"/>
    <n v="10"/>
    <s v="11:27"/>
    <n v="40000"/>
    <x v="1"/>
    <s v="other"/>
    <x v="1"/>
    <s v="rc_acc_1781955063347_uxz4"/>
    <x v="4"/>
    <s v="rc_acc_1781955063357_rvam"/>
    <s v="Make Kbank"/>
    <s v="-"/>
    <m/>
    <s v="import"/>
    <s v=""/>
    <b v="0"/>
    <s v=""/>
  </r>
  <r>
    <s v="64075f57-e946-43e8-b37a-253cc70cee4c"/>
    <s v="2023-09-08"/>
    <x v="3"/>
    <x v="9"/>
    <n v="8"/>
    <s v="20:01"/>
    <n v="87"/>
    <x v="0"/>
    <s v="rc_cat_1781955063347_5qjb_1781955063347_tezk"/>
    <x v="5"/>
    <s v="kbank"/>
    <x v="0"/>
    <s v=""/>
    <m/>
    <s v="-"/>
    <m/>
    <s v="import"/>
    <s v=""/>
    <b v="0"/>
    <s v=""/>
  </r>
  <r>
    <s v="4428fa1e-8b6f-4f45-93cf-ab729a9ccaa2"/>
    <s v="2023-09-07"/>
    <x v="3"/>
    <x v="9"/>
    <n v="7"/>
    <s v="11:28"/>
    <n v="200"/>
    <x v="1"/>
    <s v="other"/>
    <x v="1"/>
    <s v="rc_acc_1781955063347_uxz4"/>
    <x v="4"/>
    <s v="rc_acc_1781955063347_e3zv"/>
    <s v="Cash"/>
    <s v="-"/>
    <m/>
    <s v="import"/>
    <s v=""/>
    <b v="0"/>
    <s v=""/>
  </r>
  <r>
    <s v="285ff510-962e-4db0-bbbf-3af78718ca47"/>
    <s v="2023-09-07"/>
    <x v="3"/>
    <x v="9"/>
    <n v="7"/>
    <s v="11:28"/>
    <n v="300"/>
    <x v="0"/>
    <s v="rc_cat_1781955063347_anhy_1781955063348_k5l1"/>
    <x v="16"/>
    <s v="rc_acc_1781955063347_uxz4"/>
    <x v="4"/>
    <s v=""/>
    <m/>
    <s v="เงินฝ่าย"/>
    <m/>
    <s v="import"/>
    <s v=""/>
    <b v="0"/>
    <s v=""/>
  </r>
  <r>
    <s v="211f48b3-6d29-4a50-81e5-a6446ed0c61c"/>
    <s v="2023-09-05"/>
    <x v="3"/>
    <x v="9"/>
    <n v="5"/>
    <s v="11:31"/>
    <n v="445"/>
    <x v="2"/>
    <s v="income_1781955063347_5zxt"/>
    <x v="14"/>
    <s v="rc_acc_1781955063347_uxz4"/>
    <x v="4"/>
    <s v=""/>
    <m/>
    <s v="-"/>
    <m/>
    <s v="import"/>
    <s v=""/>
    <b v="0"/>
    <s v=""/>
  </r>
  <r>
    <s v="9dcbe448-3a74-4442-9f40-348aba291258"/>
    <s v="2023-09-04"/>
    <x v="3"/>
    <x v="9"/>
    <n v="4"/>
    <s v="09:02"/>
    <n v="30000"/>
    <x v="0"/>
    <s v="rc_cat_1781955063347_anhy_1781955063347_qnaz"/>
    <x v="4"/>
    <s v="kbank"/>
    <x v="0"/>
    <s v=""/>
    <m/>
    <s v="รักษาป๊า สำรองที่เอิน"/>
    <m/>
    <s v="import"/>
    <s v=""/>
    <b v="0"/>
    <s v=""/>
  </r>
  <r>
    <s v="c23e1c9e-0614-47e9-aa5b-f171286217d3"/>
    <s v="2023-09-03"/>
    <x v="3"/>
    <x v="9"/>
    <n v="3"/>
    <s v="20:01"/>
    <n v="85"/>
    <x v="0"/>
    <s v="rc_cat_1781955063347_5qjb_1781955063347_tezk"/>
    <x v="5"/>
    <s v="kbank"/>
    <x v="0"/>
    <s v=""/>
    <m/>
    <s v="-"/>
    <m/>
    <s v="import"/>
    <s v=""/>
    <b v="0"/>
    <s v=""/>
  </r>
  <r>
    <s v="003e01f4-b03b-4407-981b-3750ab0f35de"/>
    <s v="2023-09-03"/>
    <x v="3"/>
    <x v="9"/>
    <n v="3"/>
    <s v="20:04"/>
    <n v="4500"/>
    <x v="1"/>
    <s v="other"/>
    <x v="1"/>
    <s v="rc_acc_1781955063347_uxz4"/>
    <x v="4"/>
    <s v="advance"/>
    <s v="Advance Paid"/>
    <s v="-"/>
    <m/>
    <s v="import"/>
    <s v=""/>
    <b v="0"/>
    <s v=""/>
  </r>
  <r>
    <s v="2fcd9f93-0e4c-42f3-b78b-3ed88fb2f6ca"/>
    <s v="2023-09-02"/>
    <x v="3"/>
    <x v="9"/>
    <n v="2"/>
    <s v="09:03"/>
    <n v="175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be371d93-3a3c-4df2-a26d-b69213813ca2"/>
    <s v="2023-09-02"/>
    <x v="3"/>
    <x v="9"/>
    <n v="2"/>
    <s v="09:57"/>
    <n v="7600.61"/>
    <x v="0"/>
    <s v="rc_cat_1781955063347_04qb_1781955063347_wt5p"/>
    <x v="3"/>
    <s v="kbank"/>
    <x v="0"/>
    <s v=""/>
    <m/>
    <s v="-"/>
    <m/>
    <s v="import"/>
    <s v=""/>
    <b v="0"/>
    <s v=""/>
  </r>
  <r>
    <s v="e42b4a66-b877-4230-8201-c4513ab6fe57"/>
    <s v="2023-09-01"/>
    <x v="3"/>
    <x v="9"/>
    <n v="1"/>
    <s v="09:00"/>
    <n v="5000"/>
    <x v="1"/>
    <s v="other"/>
    <x v="1"/>
    <s v="kbank"/>
    <x v="0"/>
    <s v="rc_acc_1781955063357_rvam"/>
    <s v="Make Kbank"/>
    <s v="-"/>
    <m/>
    <s v="import"/>
    <s v=""/>
    <b v="0"/>
    <s v=""/>
  </r>
  <r>
    <s v="b8070dfd-5178-401c-bea0-fcdcd7f6a86f"/>
    <s v="2023-09-01"/>
    <x v="3"/>
    <x v="9"/>
    <n v="1"/>
    <s v="12:02"/>
    <n v="110"/>
    <x v="0"/>
    <s v="rc_cat_1781955063347_5qjb_1781955063347_tezk"/>
    <x v="5"/>
    <s v="kbank"/>
    <x v="0"/>
    <s v=""/>
    <m/>
    <s v="-"/>
    <m/>
    <s v="import"/>
    <s v=""/>
    <b v="0"/>
    <s v=""/>
  </r>
  <r>
    <s v="b5f7734d-2c47-4df4-9474-4ef5384f2b4d"/>
    <s v="2023-09-01"/>
    <x v="3"/>
    <x v="9"/>
    <n v="1"/>
    <s v="20:02"/>
    <n v="65"/>
    <x v="0"/>
    <s v="rc_cat_1781955063347_5qjb_1781955063347_tezk"/>
    <x v="5"/>
    <s v="kbank"/>
    <x v="0"/>
    <s v=""/>
    <m/>
    <s v="-"/>
    <m/>
    <s v="import"/>
    <s v=""/>
    <b v="0"/>
    <s v=""/>
  </r>
  <r>
    <s v="8d35149e-a506-4613-a5a4-17d94435830f"/>
    <s v="2023-09-01"/>
    <x v="3"/>
    <x v="9"/>
    <n v="1"/>
    <s v="20:16"/>
    <n v="16.32"/>
    <x v="2"/>
    <s v="income_1781955063347_zblt"/>
    <x v="17"/>
    <s v="rc_acc_1781955063347_uxz4"/>
    <x v="4"/>
    <s v=""/>
    <m/>
    <s v="-"/>
    <m/>
    <s v="import"/>
    <s v=""/>
    <b v="0"/>
    <s v=""/>
  </r>
  <r>
    <s v="0d8f89e8-913f-4558-9aec-0dea4b8ce97d"/>
    <s v="2023-08-31"/>
    <x v="3"/>
    <x v="10"/>
    <n v="31"/>
    <s v="09:03"/>
    <n v="95"/>
    <x v="0"/>
    <s v="rc_cat_1781955063347_5qjb_1781955063347_tezk"/>
    <x v="5"/>
    <s v="kbank"/>
    <x v="0"/>
    <s v=""/>
    <m/>
    <s v="-"/>
    <m/>
    <s v="import"/>
    <s v=""/>
    <b v="0"/>
    <s v=""/>
  </r>
  <r>
    <s v="cbfdaea1-ec85-4889-a690-68b7c41379cd"/>
    <s v="2023-08-31"/>
    <x v="3"/>
    <x v="10"/>
    <n v="31"/>
    <s v="12:45"/>
    <n v="27620.25"/>
    <x v="0"/>
    <s v="rc_cat_1781955063347_anhy_1781955063347_qnaz"/>
    <x v="4"/>
    <s v="rc_acc_1781955063347_uxz4"/>
    <x v="4"/>
    <s v=""/>
    <m/>
    <s v="รักษาป๊า"/>
    <m/>
    <s v="import"/>
    <s v=""/>
    <b v="0"/>
    <s v=""/>
  </r>
  <r>
    <s v="aa33acfa-a73d-458e-ba7b-8b564b10dccc"/>
    <s v="2023-08-30"/>
    <x v="3"/>
    <x v="10"/>
    <n v="30"/>
    <s v="19:36"/>
    <n v="60"/>
    <x v="0"/>
    <s v="rc_cat_1781955063347_5qjb_1781955063347_tezk"/>
    <x v="5"/>
    <s v="kbank"/>
    <x v="0"/>
    <s v=""/>
    <m/>
    <s v="-"/>
    <m/>
    <s v="import"/>
    <s v=""/>
    <b v="0"/>
    <s v=""/>
  </r>
  <r>
    <s v="780c7339-de7e-43f7-a71a-eca1f708765d"/>
    <s v="2023-08-30"/>
    <x v="3"/>
    <x v="10"/>
    <n v="30"/>
    <s v="19:36"/>
    <n v="50"/>
    <x v="0"/>
    <s v="rc_cat_1781955063347_5qjb_1781955063347_tezk"/>
    <x v="5"/>
    <s v="kbank"/>
    <x v="0"/>
    <s v=""/>
    <m/>
    <s v="-"/>
    <m/>
    <s v="import"/>
    <s v=""/>
    <b v="0"/>
    <s v=""/>
  </r>
  <r>
    <s v="8a1a4a52-f5f9-47d8-96d7-5d0b97b576a2"/>
    <s v="2023-08-29"/>
    <x v="3"/>
    <x v="10"/>
    <n v="29"/>
    <s v="09:37"/>
    <n v="10000"/>
    <x v="0"/>
    <s v="rc_cat_1781955063347_anhy_1781955063347_qnaz"/>
    <x v="4"/>
    <s v="kbank"/>
    <x v="0"/>
    <s v=""/>
    <m/>
    <s v="-"/>
    <m/>
    <s v="import"/>
    <s v=""/>
    <b v="0"/>
    <s v=""/>
  </r>
  <r>
    <s v="b5874284-3b1d-4c0d-99d4-c85498546fea"/>
    <s v="2023-08-29"/>
    <x v="3"/>
    <x v="10"/>
    <n v="29"/>
    <s v="09:37"/>
    <n v="115"/>
    <x v="0"/>
    <s v="rc_cat_1781955063347_5qjb_1781955063347_tezk"/>
    <x v="5"/>
    <s v="kbank"/>
    <x v="0"/>
    <s v=""/>
    <m/>
    <s v="-"/>
    <m/>
    <s v="import"/>
    <s v=""/>
    <b v="0"/>
    <s v=""/>
  </r>
  <r>
    <s v="e1a5ff68-53d8-4340-9205-2e40e9a70b54"/>
    <s v="2023-08-29"/>
    <x v="3"/>
    <x v="10"/>
    <n v="29"/>
    <s v="20:23"/>
    <n v="149"/>
    <x v="2"/>
    <s v="income_1781955063347_zblt"/>
    <x v="17"/>
    <s v="rc_acc_1781955063347_uxz4"/>
    <x v="4"/>
    <s v=""/>
    <m/>
    <s v="-"/>
    <m/>
    <s v="import"/>
    <s v=""/>
    <b v="0"/>
    <s v=""/>
  </r>
  <r>
    <s v="d9da3efd-d065-451a-8826-75ac7d4ffee4"/>
    <s v="2023-08-28"/>
    <x v="3"/>
    <x v="10"/>
    <n v="28"/>
    <s v="09:42"/>
    <n v="50"/>
    <x v="0"/>
    <s v="rc_cat_1781955063347_5qjb_1781955063347_tezk"/>
    <x v="5"/>
    <s v="kbank"/>
    <x v="0"/>
    <s v=""/>
    <m/>
    <s v="-"/>
    <m/>
    <s v="import"/>
    <s v=""/>
    <b v="0"/>
    <s v=""/>
  </r>
  <r>
    <s v="00008635-df6c-4865-b88a-76b83d8ab755"/>
    <s v="2023-08-28"/>
    <x v="3"/>
    <x v="10"/>
    <n v="28"/>
    <s v="12:42"/>
    <n v="62"/>
    <x v="0"/>
    <s v="rc_cat_1781955063347_5qjb_1781955063347_tezk"/>
    <x v="5"/>
    <s v="kbank"/>
    <x v="0"/>
    <s v=""/>
    <m/>
    <s v="-"/>
    <m/>
    <s v="import"/>
    <s v=""/>
    <b v="0"/>
    <s v=""/>
  </r>
  <r>
    <s v="49b6e500-08cf-471e-9ca3-a795ce783fcf"/>
    <s v="2023-08-28"/>
    <x v="3"/>
    <x v="10"/>
    <n v="28"/>
    <s v="19:37"/>
    <n v="60"/>
    <x v="0"/>
    <s v="rc_cat_1781955063347_5qjb_1781955063347_tezk"/>
    <x v="5"/>
    <s v="kbank"/>
    <x v="0"/>
    <s v=""/>
    <m/>
    <s v="-"/>
    <m/>
    <s v="import"/>
    <s v=""/>
    <b v="0"/>
    <s v=""/>
  </r>
  <r>
    <s v="29b72dc4-315c-4fc1-ad88-c95cb876513b"/>
    <s v="2023-08-27"/>
    <x v="3"/>
    <x v="10"/>
    <n v="27"/>
    <s v="11:17"/>
    <n v="659"/>
    <x v="1"/>
    <s v="other"/>
    <x v="1"/>
    <s v="rc_acc_1781955063347_uxz4"/>
    <x v="4"/>
    <s v="rc_acc_1781955063347_kjxt"/>
    <s v="KTC JCB"/>
    <s v="-"/>
    <m/>
    <s v="import"/>
    <s v=""/>
    <b v="0"/>
    <s v=""/>
  </r>
  <r>
    <s v="a124abad-7495-4087-a026-31a5e97c175c"/>
    <s v="2023-08-27"/>
    <x v="3"/>
    <x v="10"/>
    <n v="27"/>
    <s v="11:20"/>
    <n v="344"/>
    <x v="1"/>
    <s v="other"/>
    <x v="1"/>
    <s v="kbank"/>
    <x v="0"/>
    <s v="rc_acc_1781955063347_kjxt"/>
    <s v="KTC JCB"/>
    <s v="-"/>
    <m/>
    <s v="import"/>
    <s v=""/>
    <b v="0"/>
    <s v=""/>
  </r>
  <r>
    <s v="c2410f89-b3d3-4210-b741-1e6e50a2f112"/>
    <s v="2023-08-27"/>
    <x v="3"/>
    <x v="10"/>
    <n v="27"/>
    <s v="11:30"/>
    <n v="402"/>
    <x v="0"/>
    <s v="rc_cat_1781955063347_s4sz_1781955063347_9tpp"/>
    <x v="9"/>
    <s v="rc_acc_1781955063347_uxz4"/>
    <x v="4"/>
    <s v=""/>
    <m/>
    <s v="AIIZ"/>
    <m/>
    <s v="import"/>
    <s v=""/>
    <b v="0"/>
    <s v=""/>
  </r>
  <r>
    <s v="f530d11a-18e5-4258-95a2-275c4e51ef7c"/>
    <s v="2023-08-27"/>
    <x v="3"/>
    <x v="10"/>
    <n v="27"/>
    <s v="11:39"/>
    <n v="600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9ba91e12-2699-4a3c-a2ec-0cf78baeb729"/>
    <s v="2023-08-27"/>
    <x v="3"/>
    <x v="10"/>
    <n v="27"/>
    <s v="11:42"/>
    <n v="50"/>
    <x v="2"/>
    <s v="income_1781955063347_zblt"/>
    <x v="17"/>
    <s v="rc_acc_1781955063347_uxz4"/>
    <x v="4"/>
    <s v=""/>
    <m/>
    <s v="-"/>
    <m/>
    <s v="import"/>
    <s v=""/>
    <b v="0"/>
    <s v=""/>
  </r>
  <r>
    <s v="44962dc9-2d2f-4694-9d34-7592082da3ab"/>
    <s v="2023-08-27"/>
    <x v="3"/>
    <x v="10"/>
    <n v="27"/>
    <s v="12:02"/>
    <n v="482"/>
    <x v="0"/>
    <s v="entertain_1781955063348_kx2f"/>
    <x v="0"/>
    <s v="kbank"/>
    <x v="0"/>
    <s v=""/>
    <m/>
    <s v="-"/>
    <m/>
    <s v="import"/>
    <s v=""/>
    <b v="0"/>
    <s v=""/>
  </r>
  <r>
    <s v="fdc9f9f1-cfc6-4fac-8e3b-ea92f8e510a1"/>
    <s v="2023-08-27"/>
    <x v="3"/>
    <x v="10"/>
    <n v="27"/>
    <s v="12:03"/>
    <n v="126"/>
    <x v="0"/>
    <s v="entertain_1781955063348_32wr"/>
    <x v="23"/>
    <s v="kbank"/>
    <x v="0"/>
    <s v=""/>
    <m/>
    <s v="-"/>
    <m/>
    <s v="import"/>
    <s v=""/>
    <b v="0"/>
    <s v=""/>
  </r>
  <r>
    <s v="e8818516-3692-476c-a450-67f3ddeb4fb8"/>
    <s v="2023-08-27"/>
    <x v="3"/>
    <x v="10"/>
    <n v="27"/>
    <s v="12:03"/>
    <n v="298"/>
    <x v="0"/>
    <s v="entertain_1781955063348_kx2f"/>
    <x v="0"/>
    <s v="kbank"/>
    <x v="0"/>
    <s v=""/>
    <m/>
    <s v="-"/>
    <m/>
    <s v="import"/>
    <s v=""/>
    <b v="0"/>
    <s v=""/>
  </r>
  <r>
    <s v="e4f505a3-36c3-46c2-b197-473c508eb32b"/>
    <s v="2023-08-26"/>
    <x v="3"/>
    <x v="10"/>
    <n v="26"/>
    <s v="22:19"/>
    <n v="189"/>
    <x v="0"/>
    <s v="rc_cat_1781955063347_5qjb_1781955063347_tezk"/>
    <x v="5"/>
    <s v="kbank"/>
    <x v="0"/>
    <s v=""/>
    <m/>
    <s v="-"/>
    <m/>
    <s v="import"/>
    <s v=""/>
    <b v="0"/>
    <s v=""/>
  </r>
  <r>
    <s v="f4d7f877-76ec-47f4-8235-c78c8e4985f9"/>
    <s v="2023-08-26"/>
    <x v="3"/>
    <x v="10"/>
    <n v="26"/>
    <s v="22:19"/>
    <n v="80"/>
    <x v="0"/>
    <s v="rc_cat_1781955063347_5qjb_1781955063347_tezk"/>
    <x v="5"/>
    <s v="kbank"/>
    <x v="0"/>
    <s v=""/>
    <m/>
    <s v="-"/>
    <m/>
    <s v="import"/>
    <s v=""/>
    <b v="0"/>
    <s v=""/>
  </r>
  <r>
    <s v="b0ca1b99-6291-421e-8a7b-8a6630e268a2"/>
    <s v="2023-08-25"/>
    <x v="3"/>
    <x v="10"/>
    <n v="25"/>
    <s v="00:00"/>
    <n v="490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a16fc1ce-dda5-4ca1-8b28-42d151dd8b62"/>
    <s v="2023-08-25"/>
    <x v="3"/>
    <x v="10"/>
    <n v="25"/>
    <s v="00:00"/>
    <n v="3554.72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9b301eb3-4c8d-4c50-a5c9-d137e0bc1796"/>
    <s v="2023-08-25"/>
    <x v="3"/>
    <x v="10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9d37fc56-4dad-46a8-af64-5b51046f1ffa"/>
    <s v="2023-08-25"/>
    <x v="3"/>
    <x v="10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7fccd421-083f-4f96-b964-7e5498f2416f"/>
    <s v="2023-08-25"/>
    <x v="3"/>
    <x v="10"/>
    <n v="25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49248fc0-9865-44f1-96c9-72cfdf971fca"/>
    <s v="2023-08-25"/>
    <x v="3"/>
    <x v="10"/>
    <n v="25"/>
    <s v="00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3a62572d-26a5-4c9d-a547-5f03fd5df7b4"/>
    <s v="2023-08-25"/>
    <x v="3"/>
    <x v="10"/>
    <n v="25"/>
    <s v="00:00"/>
    <n v="1027.0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80c9c328-4f64-4435-9143-0a4d21b1ae34"/>
    <s v="2023-08-25"/>
    <x v="3"/>
    <x v="10"/>
    <n v="25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a061381f-50af-4493-99ec-0320775c387a"/>
    <s v="2023-08-25"/>
    <x v="3"/>
    <x v="10"/>
    <n v="25"/>
    <s v="12:18"/>
    <n v="77"/>
    <x v="0"/>
    <s v="rc_cat_1781955063347_5qjb_1781955063347_tezk"/>
    <x v="5"/>
    <s v="kbank"/>
    <x v="0"/>
    <s v=""/>
    <m/>
    <s v="-"/>
    <m/>
    <s v="import"/>
    <s v=""/>
    <b v="0"/>
    <s v=""/>
  </r>
  <r>
    <s v="094a287e-dc88-4dde-b9eb-bfa234f025db"/>
    <s v="2023-08-25"/>
    <x v="3"/>
    <x v="10"/>
    <n v="25"/>
    <s v="12:18"/>
    <n v="65"/>
    <x v="0"/>
    <s v="rc_cat_1781955063347_5qjb_1781955063347_tezk"/>
    <x v="5"/>
    <s v="kbank"/>
    <x v="0"/>
    <s v=""/>
    <m/>
    <s v="-"/>
    <m/>
    <s v="import"/>
    <s v=""/>
    <b v="0"/>
    <s v=""/>
  </r>
  <r>
    <s v="71e80719-38fe-4d50-af97-209ef2b18c50"/>
    <s v="2023-08-25"/>
    <x v="3"/>
    <x v="10"/>
    <n v="25"/>
    <s v="21:19"/>
    <n v="35"/>
    <x v="0"/>
    <s v="rc_cat_1781955063347_5qjb_1781955063347_tezk"/>
    <x v="5"/>
    <s v="kbank"/>
    <x v="0"/>
    <s v=""/>
    <m/>
    <s v="-"/>
    <m/>
    <s v="import"/>
    <s v=""/>
    <b v="0"/>
    <s v=""/>
  </r>
  <r>
    <s v="e815540f-278d-4e05-9d20-3f7ec4992858"/>
    <s v="2023-08-24"/>
    <x v="3"/>
    <x v="10"/>
    <n v="24"/>
    <s v="09:17"/>
    <n v="5"/>
    <x v="0"/>
    <s v="rc_cat_1781955063347_5qjb_1781955063347_tezk"/>
    <x v="5"/>
    <s v="kbank"/>
    <x v="0"/>
    <s v=""/>
    <m/>
    <s v="-"/>
    <m/>
    <s v="import"/>
    <s v=""/>
    <b v="0"/>
    <s v=""/>
  </r>
  <r>
    <s v="b7beff26-b4e0-4546-aaab-f29259ab6db2"/>
    <s v="2023-08-24"/>
    <x v="3"/>
    <x v="10"/>
    <n v="24"/>
    <s v="12:17"/>
    <n v="67"/>
    <x v="0"/>
    <s v="rc_cat_1781955063347_5qjb_1781955063347_tezk"/>
    <x v="5"/>
    <s v="kbank"/>
    <x v="0"/>
    <s v=""/>
    <m/>
    <s v="-"/>
    <m/>
    <s v="import"/>
    <s v=""/>
    <b v="0"/>
    <s v=""/>
  </r>
  <r>
    <s v="d9d3b840-15a8-4e05-8b51-3eeef1c759e0"/>
    <s v="2023-08-24"/>
    <x v="3"/>
    <x v="10"/>
    <n v="24"/>
    <s v="12:18"/>
    <n v="55"/>
    <x v="0"/>
    <s v="rc_cat_1781955063347_5qjb_1781955063347_tezk"/>
    <x v="5"/>
    <s v="kbank"/>
    <x v="0"/>
    <s v=""/>
    <m/>
    <s v="-"/>
    <m/>
    <s v="import"/>
    <s v=""/>
    <b v="0"/>
    <s v=""/>
  </r>
  <r>
    <s v="4602c978-3cf6-41b4-b420-ddde877d8c67"/>
    <s v="2023-08-23"/>
    <x v="3"/>
    <x v="10"/>
    <n v="23"/>
    <s v="12:16"/>
    <n v="50"/>
    <x v="0"/>
    <s v="rc_cat_1781955063347_5qjb_1781955063347_tezk"/>
    <x v="5"/>
    <s v="kbank"/>
    <x v="0"/>
    <s v=""/>
    <m/>
    <s v="-"/>
    <m/>
    <s v="import"/>
    <s v=""/>
    <b v="0"/>
    <s v=""/>
  </r>
  <r>
    <s v="d47e1937-fe9f-4b39-a8a3-89414a823954"/>
    <s v="2023-08-23"/>
    <x v="3"/>
    <x v="10"/>
    <n v="23"/>
    <s v="19:16"/>
    <n v="149"/>
    <x v="0"/>
    <s v="rc_cat_1781955063347_5qjb_1781955063347_tezk"/>
    <x v="5"/>
    <s v="kbank"/>
    <x v="0"/>
    <s v=""/>
    <m/>
    <s v="-"/>
    <m/>
    <s v="import"/>
    <s v=""/>
    <b v="0"/>
    <s v=""/>
  </r>
  <r>
    <s v="43c6f5db-0549-4f96-b975-a1ac4ce2bba0"/>
    <s v="2023-08-23"/>
    <x v="3"/>
    <x v="10"/>
    <n v="23"/>
    <s v="20:17"/>
    <n v="49"/>
    <x v="0"/>
    <s v="rc_cat_1781955063347_5qjb_1781955063347_tezk"/>
    <x v="5"/>
    <s v="kbank"/>
    <x v="0"/>
    <s v=""/>
    <m/>
    <s v="-"/>
    <m/>
    <s v="import"/>
    <s v=""/>
    <b v="0"/>
    <s v=""/>
  </r>
  <r>
    <s v="94725eb9-ddb5-459f-8fd3-1ee950c8f36e"/>
    <s v="2023-08-22"/>
    <x v="3"/>
    <x v="10"/>
    <n v="22"/>
    <s v="09:11"/>
    <n v="95"/>
    <x v="0"/>
    <s v="rc_cat_1781955063347_5qjb_1781955063347_tezk"/>
    <x v="5"/>
    <s v="kbank"/>
    <x v="0"/>
    <s v=""/>
    <m/>
    <s v="-"/>
    <m/>
    <s v="import"/>
    <s v=""/>
    <b v="0"/>
    <s v=""/>
  </r>
  <r>
    <s v="d4d80cc5-eae0-4921-b54b-d837e581ecc7"/>
    <s v="2023-08-22"/>
    <x v="3"/>
    <x v="10"/>
    <n v="22"/>
    <s v="22:22"/>
    <n v="10000"/>
    <x v="0"/>
    <s v="rc_cat_1781955063347_anhy_1781955063347_qnaz"/>
    <x v="4"/>
    <s v="kbank"/>
    <x v="0"/>
    <s v=""/>
    <m/>
    <s v="-"/>
    <m/>
    <s v="import"/>
    <s v=""/>
    <b v="0"/>
    <s v=""/>
  </r>
  <r>
    <s v="70f32bdc-e8fc-4b03-aad9-ef09944a9063"/>
    <s v="2023-08-21"/>
    <x v="3"/>
    <x v="10"/>
    <n v="21"/>
    <s v="08:46"/>
    <n v="55"/>
    <x v="0"/>
    <s v="rc_cat_1781955063347_5qjb_1781955063347_tezk"/>
    <x v="5"/>
    <s v="kbank"/>
    <x v="0"/>
    <s v=""/>
    <m/>
    <s v="-"/>
    <m/>
    <s v="import"/>
    <s v=""/>
    <b v="0"/>
    <s v=""/>
  </r>
  <r>
    <s v="89841bf0-921b-4137-92a4-a7600faa32b1"/>
    <s v="2023-08-20"/>
    <x v="3"/>
    <x v="10"/>
    <n v="20"/>
    <s v="09:14"/>
    <n v="45"/>
    <x v="0"/>
    <s v="rc_cat_1781955063347_5qjb_1781955063347_tezk"/>
    <x v="5"/>
    <s v="kbank"/>
    <x v="0"/>
    <s v=""/>
    <m/>
    <s v="-"/>
    <m/>
    <s v="import"/>
    <s v=""/>
    <b v="0"/>
    <s v=""/>
  </r>
  <r>
    <s v="10aab9d2-8293-42c6-afed-02e3108fee3e"/>
    <s v="2023-08-20"/>
    <x v="3"/>
    <x v="10"/>
    <n v="20"/>
    <s v="10:13"/>
    <n v="87"/>
    <x v="0"/>
    <s v="rc_cat_1781955063347_5qjb_1781955063347_tezk"/>
    <x v="5"/>
    <s v="kbank"/>
    <x v="0"/>
    <s v=""/>
    <m/>
    <s v="-"/>
    <m/>
    <s v="import"/>
    <s v=""/>
    <b v="0"/>
    <s v=""/>
  </r>
  <r>
    <s v="561b9f46-d9cd-408e-9429-00ead78eba59"/>
    <s v="2023-08-20"/>
    <x v="3"/>
    <x v="10"/>
    <n v="20"/>
    <s v="11:13"/>
    <n v="8"/>
    <x v="0"/>
    <s v="rc_cat_1781955063347_5qjb_1781955063347_irl1"/>
    <x v="0"/>
    <s v="rc_acc_1781955063347_e3zv"/>
    <x v="16"/>
    <s v=""/>
    <m/>
    <s v="-"/>
    <m/>
    <s v="import"/>
    <s v=""/>
    <b v="0"/>
    <s v=""/>
  </r>
  <r>
    <s v="2933aac2-235e-487e-a656-d865cc00676f"/>
    <s v="2023-08-20"/>
    <x v="3"/>
    <x v="10"/>
    <n v="20"/>
    <s v="13:14"/>
    <n v="24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bd5f626e-6bd3-4c2d-b4ca-a660bf1297fb"/>
    <s v="2023-08-20"/>
    <x v="3"/>
    <x v="10"/>
    <n v="20"/>
    <s v="14:13"/>
    <n v="16"/>
    <x v="0"/>
    <s v="rc_cat_1781955063347_5qjb_1781955063347_irl1"/>
    <x v="0"/>
    <s v="rc_acc_1781955063347_e3zv"/>
    <x v="16"/>
    <s v=""/>
    <m/>
    <s v="-"/>
    <m/>
    <s v="import"/>
    <s v=""/>
    <b v="0"/>
    <s v=""/>
  </r>
  <r>
    <s v="e4863dd7-9717-4031-a6b8-3899a4ab321e"/>
    <s v="2023-08-19"/>
    <x v="3"/>
    <x v="10"/>
    <n v="19"/>
    <s v="16:29"/>
    <n v="10"/>
    <x v="0"/>
    <s v="rc_cat_1781955063347_5qjb_1781955063347_tezk"/>
    <x v="5"/>
    <s v="kbank"/>
    <x v="0"/>
    <s v=""/>
    <m/>
    <s v="-"/>
    <m/>
    <s v="import"/>
    <s v=""/>
    <b v="0"/>
    <s v=""/>
  </r>
  <r>
    <s v="e7a121c5-bd47-4ed7-9cbf-235b40b28b79"/>
    <s v="2023-08-19"/>
    <x v="3"/>
    <x v="10"/>
    <n v="19"/>
    <s v="16:29"/>
    <n v="45"/>
    <x v="0"/>
    <s v="rc_cat_1781955063347_5qjb_1781955063347_tezk"/>
    <x v="5"/>
    <s v="kbank"/>
    <x v="0"/>
    <s v=""/>
    <m/>
    <s v="-"/>
    <m/>
    <s v="import"/>
    <s v=""/>
    <b v="0"/>
    <s v=""/>
  </r>
  <r>
    <s v="52ce7dad-9f78-4982-87b3-9aca65daad2e"/>
    <s v="2023-08-18"/>
    <x v="3"/>
    <x v="10"/>
    <n v="18"/>
    <s v="12:16"/>
    <n v="65"/>
    <x v="0"/>
    <s v="rc_cat_1781955063347_5qjb_1781955063347_tezk"/>
    <x v="5"/>
    <s v="kbank"/>
    <x v="0"/>
    <s v=""/>
    <m/>
    <s v="-"/>
    <m/>
    <s v="import"/>
    <s v=""/>
    <b v="0"/>
    <s v=""/>
  </r>
  <r>
    <s v="f5a849b5-c6a9-4072-9a16-06aa087a02b0"/>
    <s v="2023-08-18"/>
    <x v="3"/>
    <x v="10"/>
    <n v="18"/>
    <s v="12:16"/>
    <n v="50"/>
    <x v="0"/>
    <s v="rc_cat_1781955063347_5qjb_1781955063347_tezk"/>
    <x v="5"/>
    <s v="kbank"/>
    <x v="0"/>
    <s v=""/>
    <m/>
    <s v="-"/>
    <m/>
    <s v="import"/>
    <s v=""/>
    <b v="0"/>
    <s v=""/>
  </r>
  <r>
    <s v="33a114b5-7ee1-4965-bb10-6bfb7a62b351"/>
    <s v="2023-08-17"/>
    <x v="3"/>
    <x v="10"/>
    <n v="17"/>
    <s v="09:37"/>
    <n v="55"/>
    <x v="0"/>
    <s v="rc_cat_1781955063347_5qjb_1781955063347_tezk"/>
    <x v="5"/>
    <s v="kbank"/>
    <x v="0"/>
    <s v=""/>
    <m/>
    <s v="-"/>
    <m/>
    <s v="import"/>
    <s v=""/>
    <b v="0"/>
    <s v=""/>
  </r>
  <r>
    <s v="a30a7a80-f96e-45aa-97b5-4fec9a94d7c9"/>
    <s v="2023-08-16"/>
    <x v="3"/>
    <x v="10"/>
    <n v="16"/>
    <s v="09:02"/>
    <n v="55"/>
    <x v="0"/>
    <s v="rc_cat_1781955063347_5qjb_1781955063347_tezk"/>
    <x v="5"/>
    <s v="kbank"/>
    <x v="0"/>
    <s v=""/>
    <m/>
    <s v="-"/>
    <m/>
    <s v="import"/>
    <s v=""/>
    <b v="0"/>
    <s v=""/>
  </r>
  <r>
    <s v="e9c61e83-8d01-4d72-91e4-8335f8b2fe8f"/>
    <s v="2023-08-16"/>
    <x v="3"/>
    <x v="10"/>
    <n v="16"/>
    <s v="12:03"/>
    <n v="110"/>
    <x v="0"/>
    <s v="rc_cat_1781955063347_5qjb_1781955063347_tezk"/>
    <x v="5"/>
    <s v="kbank"/>
    <x v="0"/>
    <s v=""/>
    <m/>
    <s v="-"/>
    <m/>
    <s v="import"/>
    <s v=""/>
    <b v="0"/>
    <s v=""/>
  </r>
  <r>
    <s v="cb8d9e12-a9be-411d-a26f-8712f55b6f33"/>
    <s v="2023-08-16"/>
    <x v="3"/>
    <x v="10"/>
    <n v="16"/>
    <s v="12:03"/>
    <n v="130"/>
    <x v="0"/>
    <s v="rc_cat_1781955063347_5qjb_1781955063347_tezk"/>
    <x v="5"/>
    <s v="kbank"/>
    <x v="0"/>
    <s v=""/>
    <m/>
    <s v="-"/>
    <m/>
    <s v="import"/>
    <s v=""/>
    <b v="0"/>
    <s v=""/>
  </r>
  <r>
    <s v="fc80ca7a-786a-46cb-9b96-7a311ca67272"/>
    <s v="2023-08-16"/>
    <x v="3"/>
    <x v="10"/>
    <n v="16"/>
    <s v="13:57"/>
    <n v="140"/>
    <x v="0"/>
    <s v="rc_cat_1781955063347_5qjb_1781955063347_irl1"/>
    <x v="0"/>
    <s v="rc_acc_1781955063347_e3zv"/>
    <x v="16"/>
    <s v=""/>
    <m/>
    <s v="-"/>
    <m/>
    <s v="import"/>
    <s v=""/>
    <b v="0"/>
    <s v=""/>
  </r>
  <r>
    <s v="86163d06-e124-496f-b52d-c02acd63be09"/>
    <s v="2023-08-15"/>
    <x v="3"/>
    <x v="10"/>
    <n v="15"/>
    <s v="08:38"/>
    <n v="1305.23"/>
    <x v="0"/>
    <s v="rc_cat_1781955063347_5qjb_1781955063348_hrbf"/>
    <x v="28"/>
    <s v="rc_acc_1781955063347_0qmn"/>
    <x v="20"/>
    <s v=""/>
    <m/>
    <s v="-"/>
    <m/>
    <s v="import"/>
    <s v=""/>
    <b v="0"/>
    <s v=""/>
  </r>
  <r>
    <s v="c2ee2193-6cb9-4022-9a7c-1f53a96b6c93"/>
    <s v="2023-08-15"/>
    <x v="3"/>
    <x v="10"/>
    <n v="15"/>
    <s v="12:55"/>
    <n v="7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ea37f82-bde5-434b-9df6-c739b45e720b"/>
    <s v="2023-08-15"/>
    <x v="3"/>
    <x v="10"/>
    <n v="15"/>
    <s v="13:08"/>
    <n v="50"/>
    <x v="0"/>
    <s v="rc_cat_1781955063347_5qjb_1781955063347_tezk"/>
    <x v="5"/>
    <s v="kbank"/>
    <x v="0"/>
    <s v=""/>
    <m/>
    <s v="-"/>
    <m/>
    <s v="import"/>
    <s v=""/>
    <b v="0"/>
    <s v=""/>
  </r>
  <r>
    <s v="9f91c7bf-34f7-45b8-8069-65b6cf424652"/>
    <s v="2023-08-15"/>
    <x v="3"/>
    <x v="10"/>
    <n v="15"/>
    <s v="21:46"/>
    <n v="185"/>
    <x v="0"/>
    <s v="entertain_1781955063347_8r8e"/>
    <x v="8"/>
    <s v="rc_acc_1781955063347_kjxt"/>
    <x v="1"/>
    <s v=""/>
    <m/>
    <s v="-"/>
    <m/>
    <s v="import"/>
    <s v=""/>
    <b v="0"/>
    <s v=""/>
  </r>
  <r>
    <s v="e1172a5e-8c88-4b29-b03b-49fa3976104c"/>
    <s v="2023-08-14"/>
    <x v="3"/>
    <x v="10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c8e9eca6-8071-416a-8227-19172a144bd3"/>
    <s v="2023-08-14"/>
    <x v="3"/>
    <x v="10"/>
    <n v="14"/>
    <s v="00:38"/>
    <n v="2000"/>
    <x v="0"/>
    <s v="other_1781955063348_yjhe"/>
    <x v="26"/>
    <s v="kbank"/>
    <x v="0"/>
    <s v=""/>
    <m/>
    <s v="-"/>
    <m/>
    <s v="import"/>
    <s v=""/>
    <b v="0"/>
    <s v=""/>
  </r>
  <r>
    <s v="18d0a7fc-c247-471a-8af5-d42f4aeae732"/>
    <s v="2023-08-14"/>
    <x v="3"/>
    <x v="10"/>
    <n v="14"/>
    <s v="11:09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143a1932-8b68-4dcc-947a-0bd1a3a24fad"/>
    <s v="2023-08-14"/>
    <x v="3"/>
    <x v="10"/>
    <n v="14"/>
    <s v="18:46"/>
    <n v="1.05"/>
    <x v="0"/>
    <s v="other_1781955063347_5s7r"/>
    <x v="15"/>
    <s v="kbank"/>
    <x v="0"/>
    <s v=""/>
    <m/>
    <s v="Difference"/>
    <m/>
    <s v="import"/>
    <s v=""/>
    <b v="0"/>
    <s v=""/>
  </r>
  <r>
    <s v="0f90bdd4-1c71-403b-86c6-1a71401a21e5"/>
    <s v="2023-08-14"/>
    <x v="3"/>
    <x v="10"/>
    <n v="14"/>
    <s v="19:17"/>
    <n v="529"/>
    <x v="0"/>
    <s v="entertain_1781955063352_1jgx"/>
    <x v="10"/>
    <s v="rc_acc_1781955063348_obza"/>
    <x v="8"/>
    <s v=""/>
    <m/>
    <s v="-"/>
    <m/>
    <s v="import"/>
    <s v=""/>
    <b v="0"/>
    <s v=""/>
  </r>
  <r>
    <s v="4746f016-63c5-4947-a015-7e252e233dd0"/>
    <s v="2023-08-14"/>
    <x v="3"/>
    <x v="10"/>
    <n v="14"/>
    <s v="22:40"/>
    <n v="159"/>
    <x v="0"/>
    <s v="entertain_1781955063348_32wr"/>
    <x v="23"/>
    <s v="rc_acc_1781955063347_kjxt"/>
    <x v="1"/>
    <s v=""/>
    <m/>
    <s v="-"/>
    <m/>
    <s v="import"/>
    <s v=""/>
    <b v="0"/>
    <s v=""/>
  </r>
  <r>
    <s v="e5b12b94-c6cf-4e10-9ca5-bcda74437951"/>
    <s v="2023-08-14"/>
    <x v="3"/>
    <x v="10"/>
    <n v="14"/>
    <s v="23:37"/>
    <n v="6945"/>
    <x v="0"/>
    <s v="rc_cat_1781955063347_04qb_1781955063347_wt5p"/>
    <x v="3"/>
    <s v="kbank"/>
    <x v="0"/>
    <s v=""/>
    <m/>
    <s v="-"/>
    <m/>
    <s v="import"/>
    <s v=""/>
    <b v="0"/>
    <s v=""/>
  </r>
  <r>
    <s v="b95dec82-4b9c-478a-b4ee-ec187d03a24f"/>
    <s v="2023-08-13"/>
    <x v="3"/>
    <x v="10"/>
    <n v="13"/>
    <s v="16:09"/>
    <n v="176"/>
    <x v="0"/>
    <s v="rc_cat_1781955063347_anhy_1781955063347_qnaz"/>
    <x v="4"/>
    <s v="kbank"/>
    <x v="0"/>
    <s v=""/>
    <m/>
    <s v="james"/>
    <m/>
    <s v="import"/>
    <s v=""/>
    <b v="0"/>
    <s v=""/>
  </r>
  <r>
    <s v="47e1369c-0fae-4196-8f94-842ddb358eef"/>
    <s v="2023-08-12"/>
    <x v="3"/>
    <x v="10"/>
    <n v="12"/>
    <s v="12:07"/>
    <n v="85"/>
    <x v="0"/>
    <s v="rc_cat_1781955063347_5qjb_1781955063347_tezk"/>
    <x v="5"/>
    <s v="kbank"/>
    <x v="0"/>
    <s v=""/>
    <m/>
    <s v="-"/>
    <m/>
    <s v="import"/>
    <s v=""/>
    <b v="0"/>
    <s v=""/>
  </r>
  <r>
    <s v="a2499e49-ede6-4445-81bf-1189d1a80d0a"/>
    <s v="2023-08-12"/>
    <x v="3"/>
    <x v="10"/>
    <n v="12"/>
    <s v="12:09"/>
    <n v="283"/>
    <x v="0"/>
    <s v="rc_cat_1781955063347_5qjb_1781955063347_tezk"/>
    <x v="5"/>
    <s v="kbank"/>
    <x v="0"/>
    <s v=""/>
    <m/>
    <s v="-"/>
    <m/>
    <s v="import"/>
    <s v=""/>
    <b v="0"/>
    <s v=""/>
  </r>
  <r>
    <s v="fb5eb9fa-438d-45c1-9612-8432522d7b2b"/>
    <s v="2023-08-11"/>
    <x v="3"/>
    <x v="10"/>
    <n v="11"/>
    <s v="12:07"/>
    <n v="60"/>
    <x v="0"/>
    <s v="rc_cat_1781955063347_5qjb_1781955063347_tezk"/>
    <x v="5"/>
    <s v="kbank"/>
    <x v="0"/>
    <s v=""/>
    <m/>
    <s v="-"/>
    <m/>
    <s v="import"/>
    <s v=""/>
    <b v="0"/>
    <s v=""/>
  </r>
  <r>
    <s v="83ff2e1b-bbc0-4f01-bf86-24ace8be8a9a"/>
    <s v="2023-08-11"/>
    <x v="3"/>
    <x v="10"/>
    <n v="11"/>
    <s v="12:07"/>
    <n v="100"/>
    <x v="0"/>
    <s v="rc_cat_1781955063347_5qjb_1781955063347_tezk"/>
    <x v="5"/>
    <s v="kbank"/>
    <x v="0"/>
    <s v=""/>
    <m/>
    <s v="-"/>
    <m/>
    <s v="import"/>
    <s v=""/>
    <b v="0"/>
    <s v=""/>
  </r>
  <r>
    <s v="6e6f1202-0e2f-4c0a-b2c0-356952c662ea"/>
    <s v="2023-08-10"/>
    <x v="3"/>
    <x v="10"/>
    <n v="10"/>
    <s v="11:09"/>
    <n v="300"/>
    <x v="0"/>
    <s v="rc_cat_1781955063347_anhy_1781955063348_k5l1"/>
    <x v="16"/>
    <s v="rc_acc_1781955063347_uxz4"/>
    <x v="4"/>
    <s v=""/>
    <m/>
    <s v="เงินฝ่าย"/>
    <m/>
    <s v="import"/>
    <s v=""/>
    <b v="0"/>
    <s v=""/>
  </r>
  <r>
    <s v="9d0e0f95-c761-4989-b8c4-e207580d62ff"/>
    <s v="2023-08-10"/>
    <x v="3"/>
    <x v="10"/>
    <n v="10"/>
    <s v="12:06"/>
    <n v="55"/>
    <x v="0"/>
    <s v="rc_cat_1781955063347_5qjb_1781955063347_tezk"/>
    <x v="5"/>
    <s v="kbank"/>
    <x v="0"/>
    <s v=""/>
    <m/>
    <s v="-"/>
    <m/>
    <s v="import"/>
    <s v=""/>
    <b v="0"/>
    <s v=""/>
  </r>
  <r>
    <s v="7f40ac00-0630-48ee-b8f9-2316b83daeb8"/>
    <s v="2023-08-10"/>
    <x v="3"/>
    <x v="10"/>
    <n v="10"/>
    <s v="12:06"/>
    <n v="65"/>
    <x v="0"/>
    <s v="rc_cat_1781955063347_5qjb_1781955063347_tezk"/>
    <x v="5"/>
    <s v="kbank"/>
    <x v="0"/>
    <s v=""/>
    <m/>
    <s v="-"/>
    <m/>
    <s v="import"/>
    <s v=""/>
    <b v="0"/>
    <s v=""/>
  </r>
  <r>
    <s v="4eadc791-9e5b-44b0-9680-82f746a72ac6"/>
    <s v="2023-08-09"/>
    <x v="3"/>
    <x v="10"/>
    <n v="9"/>
    <s v="09:45"/>
    <n v="60"/>
    <x v="0"/>
    <s v="rc_cat_1781955063347_5qjb_1781955063347_tezk"/>
    <x v="5"/>
    <s v="kbank"/>
    <x v="0"/>
    <s v=""/>
    <m/>
    <s v="-"/>
    <m/>
    <s v="import"/>
    <s v=""/>
    <b v="0"/>
    <s v=""/>
  </r>
  <r>
    <s v="730b4124-f1cd-49fc-801a-ab60f7a8c40c"/>
    <s v="2023-08-09"/>
    <x v="3"/>
    <x v="10"/>
    <n v="9"/>
    <s v="09:46"/>
    <n v="50"/>
    <x v="0"/>
    <s v="rc_cat_1781955063347_5qjb_1781955063347_tezk"/>
    <x v="5"/>
    <s v="kbank"/>
    <x v="0"/>
    <s v=""/>
    <m/>
    <s v="-"/>
    <m/>
    <s v="import"/>
    <s v=""/>
    <b v="0"/>
    <s v=""/>
  </r>
  <r>
    <s v="55021b56-8e77-4b60-b47d-d0c3bf0bd655"/>
    <s v="2023-08-08"/>
    <x v="3"/>
    <x v="10"/>
    <n v="8"/>
    <s v="10:43"/>
    <n v="87"/>
    <x v="0"/>
    <s v="rc_cat_1781955063347_5qjb_1781955063347_tezk"/>
    <x v="5"/>
    <s v="kbank"/>
    <x v="0"/>
    <s v=""/>
    <m/>
    <s v="-"/>
    <m/>
    <s v="import"/>
    <s v=""/>
    <b v="0"/>
    <s v=""/>
  </r>
  <r>
    <s v="c808796d-a64f-4a3f-8000-f769d712c636"/>
    <s v="2023-08-08"/>
    <x v="3"/>
    <x v="10"/>
    <n v="8"/>
    <s v="10:43"/>
    <n v="105"/>
    <x v="0"/>
    <s v="rc_cat_1781955063347_5qjb_1781955063347_tezk"/>
    <x v="5"/>
    <s v="kbank"/>
    <x v="0"/>
    <s v=""/>
    <m/>
    <s v="-"/>
    <m/>
    <s v="import"/>
    <s v=""/>
    <b v="0"/>
    <s v=""/>
  </r>
  <r>
    <s v="e3dab7b3-3762-4b8a-aa72-3e192196b284"/>
    <s v="2023-08-08"/>
    <x v="3"/>
    <x v="10"/>
    <n v="8"/>
    <s v="13:44"/>
    <n v="10"/>
    <x v="0"/>
    <s v="rc_cat_1781955063347_5qjb_1781955063347_tezk"/>
    <x v="5"/>
    <s v="kbank"/>
    <x v="0"/>
    <s v=""/>
    <m/>
    <s v="-"/>
    <m/>
    <s v="import"/>
    <s v=""/>
    <b v="0"/>
    <s v=""/>
  </r>
  <r>
    <s v="3ea53c22-871b-47c5-9828-ce565b837c2a"/>
    <s v="2023-08-08"/>
    <x v="3"/>
    <x v="10"/>
    <n v="8"/>
    <s v="21:45"/>
    <n v="157"/>
    <x v="0"/>
    <s v="rc_cat_1781955063347_5qjb_1781955063347_tezk"/>
    <x v="5"/>
    <s v="kbank"/>
    <x v="0"/>
    <s v=""/>
    <m/>
    <s v="-"/>
    <m/>
    <s v="import"/>
    <s v=""/>
    <b v="0"/>
    <s v=""/>
  </r>
  <r>
    <s v="9465c62d-6b0f-4237-9a0c-9d37bb1f7b28"/>
    <s v="2023-08-07"/>
    <x v="3"/>
    <x v="10"/>
    <n v="7"/>
    <s v="08:40"/>
    <n v="50"/>
    <x v="0"/>
    <s v="rc_cat_1781955063347_5qjb_1781955063347_tezk"/>
    <x v="5"/>
    <s v="kbank"/>
    <x v="0"/>
    <s v=""/>
    <m/>
    <s v="-"/>
    <m/>
    <s v="import"/>
    <s v=""/>
    <b v="0"/>
    <s v=""/>
  </r>
  <r>
    <s v="3fd3c552-5f72-47c6-ba13-e7aa81b086bf"/>
    <s v="2023-08-07"/>
    <x v="3"/>
    <x v="10"/>
    <n v="7"/>
    <s v="18:43"/>
    <n v="56"/>
    <x v="0"/>
    <s v="rc_cat_1781955063347_5qjb_1781955063347_tezk"/>
    <x v="5"/>
    <s v="kbank"/>
    <x v="0"/>
    <s v=""/>
    <m/>
    <s v="-"/>
    <m/>
    <s v="import"/>
    <s v=""/>
    <b v="0"/>
    <s v=""/>
  </r>
  <r>
    <s v="f4e0d59d-3ee5-4e37-8cfe-bc72f6ad1011"/>
    <s v="2023-08-06"/>
    <x v="3"/>
    <x v="10"/>
    <n v="6"/>
    <s v="18:45"/>
    <n v="25"/>
    <x v="0"/>
    <s v="rc_cat_1781955063347_5qjb_1781955063347_tezk"/>
    <x v="5"/>
    <s v="kbank"/>
    <x v="0"/>
    <s v=""/>
    <m/>
    <s v="-"/>
    <m/>
    <s v="import"/>
    <s v=""/>
    <b v="0"/>
    <s v=""/>
  </r>
  <r>
    <s v="574757b8-5520-4fc5-877a-d382102eb67b"/>
    <s v="2023-08-06"/>
    <x v="3"/>
    <x v="10"/>
    <n v="6"/>
    <s v="21:12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083f78f2-ceea-47b9-95ba-5bf3537c5719"/>
    <s v="2023-08-04"/>
    <x v="3"/>
    <x v="10"/>
    <n v="4"/>
    <s v="09:16"/>
    <n v="157"/>
    <x v="0"/>
    <s v="rc_cat_1781955063347_5qjb_1781955063347_tezk"/>
    <x v="5"/>
    <s v="kbank"/>
    <x v="0"/>
    <s v=""/>
    <m/>
    <s v="-"/>
    <m/>
    <s v="import"/>
    <s v=""/>
    <b v="0"/>
    <s v=""/>
  </r>
  <r>
    <s v="56359bfa-43a0-403b-9ee0-a57ec6599e7f"/>
    <s v="2023-08-04"/>
    <x v="3"/>
    <x v="10"/>
    <n v="4"/>
    <s v="09:17"/>
    <n v="205"/>
    <x v="0"/>
    <s v="rc_cat_1781955063347_anhy_1781955063348_k5l1"/>
    <x v="16"/>
    <s v="kbank"/>
    <x v="0"/>
    <s v=""/>
    <m/>
    <s v="-"/>
    <m/>
    <s v="import"/>
    <s v=""/>
    <b v="0"/>
    <s v=""/>
  </r>
  <r>
    <s v="69c2f388-f461-432f-9112-daf4f375fc7e"/>
    <s v="2023-08-04"/>
    <x v="3"/>
    <x v="10"/>
    <n v="4"/>
    <s v="12:17"/>
    <n v="70"/>
    <x v="0"/>
    <s v="rc_cat_1781955063347_5qjb_1781955063347_tezk"/>
    <x v="5"/>
    <s v="kbank"/>
    <x v="0"/>
    <s v=""/>
    <m/>
    <s v="-"/>
    <m/>
    <s v="import"/>
    <s v=""/>
    <b v="0"/>
    <s v=""/>
  </r>
  <r>
    <s v="2676f855-97e8-4e94-9d64-5d6dfbcd0345"/>
    <s v="2023-08-04"/>
    <x v="3"/>
    <x v="10"/>
    <n v="4"/>
    <s v="12:30"/>
    <n v="50"/>
    <x v="0"/>
    <s v="rc_cat_1781955063347_5qjb_1781955063347_tezk"/>
    <x v="5"/>
    <s v="kbank"/>
    <x v="0"/>
    <s v=""/>
    <m/>
    <s v="-"/>
    <m/>
    <s v="import"/>
    <s v=""/>
    <b v="0"/>
    <s v=""/>
  </r>
  <r>
    <s v="859675c5-50cb-4fde-90a7-e2547ab137c7"/>
    <s v="2023-08-04"/>
    <x v="3"/>
    <x v="10"/>
    <n v="4"/>
    <s v="12:40"/>
    <n v="15"/>
    <x v="0"/>
    <s v="rc_cat_1781955063347_5qjb_1781955063347_tezk"/>
    <x v="5"/>
    <s v="kbank"/>
    <x v="0"/>
    <s v=""/>
    <m/>
    <s v="-"/>
    <m/>
    <s v="import"/>
    <s v=""/>
    <b v="0"/>
    <s v=""/>
  </r>
  <r>
    <s v="21986fa4-4dbd-452d-8ecb-4990bd13af4b"/>
    <s v="2023-08-03"/>
    <x v="3"/>
    <x v="10"/>
    <n v="3"/>
    <s v="19:40"/>
    <n v="103"/>
    <x v="0"/>
    <s v="rc_cat_1781955063347_5qjb_1781955063347_tezk"/>
    <x v="5"/>
    <s v="rc_acc_1781955063348_w3gp"/>
    <x v="6"/>
    <s v=""/>
    <m/>
    <s v="-"/>
    <m/>
    <s v="import"/>
    <s v=""/>
    <b v="0"/>
    <s v=""/>
  </r>
  <r>
    <s v="ce485955-2268-4cc9-b95f-4c9d74c2ea98"/>
    <s v="2023-08-03"/>
    <x v="3"/>
    <x v="10"/>
    <n v="3"/>
    <s v="23:58"/>
    <n v="85177.5"/>
    <x v="0"/>
    <s v="rc_cat_1781955063347_anhy_1781955063347_qnaz"/>
    <x v="4"/>
    <s v="rc_acc_1781955063347_uxz4"/>
    <x v="4"/>
    <s v=""/>
    <m/>
    <s v="รักษาป๊า"/>
    <m/>
    <s v="import"/>
    <s v=""/>
    <b v="0"/>
    <s v=""/>
  </r>
  <r>
    <s v="4339b954-6c3c-40f1-9a72-c501f36944f5"/>
    <s v="2023-08-02"/>
    <x v="3"/>
    <x v="10"/>
    <n v="2"/>
    <s v="12:31"/>
    <n v="120"/>
    <x v="0"/>
    <s v="rc_cat_1781955063347_5qjb_1781955063347_tezk"/>
    <x v="5"/>
    <s v="kbank"/>
    <x v="0"/>
    <s v=""/>
    <m/>
    <s v="-"/>
    <m/>
    <s v="import"/>
    <s v=""/>
    <b v="0"/>
    <s v=""/>
  </r>
  <r>
    <s v="3bc0d2c3-398a-4870-9a70-1972a03e1591"/>
    <s v="2023-08-02"/>
    <x v="3"/>
    <x v="10"/>
    <n v="2"/>
    <s v="12:31"/>
    <n v="100"/>
    <x v="0"/>
    <s v="rc_cat_1781955063347_5qjb_1781955063347_tezk"/>
    <x v="5"/>
    <s v="kbank"/>
    <x v="0"/>
    <s v=""/>
    <m/>
    <s v="-"/>
    <m/>
    <s v="import"/>
    <s v=""/>
    <b v="0"/>
    <s v=""/>
  </r>
  <r>
    <s v="d024596f-16a7-41a1-b724-f9f12591de74"/>
    <s v="2023-07-31"/>
    <x v="3"/>
    <x v="11"/>
    <n v="31"/>
    <s v="15:20"/>
    <n v="2000"/>
    <x v="1"/>
    <s v="other"/>
    <x v="1"/>
    <s v="kbank"/>
    <x v="0"/>
    <s v="advance"/>
    <s v="Advance Paid"/>
    <s v="ล่วงหน้า ทริปหัวหิน"/>
    <m/>
    <s v="import"/>
    <s v=""/>
    <b v="0"/>
    <s v=""/>
  </r>
  <r>
    <s v="4cc20c47-22df-4f70-aebe-4438d3f2c847"/>
    <s v="2023-07-30"/>
    <x v="3"/>
    <x v="11"/>
    <n v="30"/>
    <s v="11:19"/>
    <n v="2175"/>
    <x v="0"/>
    <s v="entertain_1781955063347_8r8e"/>
    <x v="8"/>
    <s v="rc_acc_1781955063347_kjxt"/>
    <x v="1"/>
    <s v=""/>
    <m/>
    <s v="-"/>
    <m/>
    <s v="import"/>
    <s v=""/>
    <b v="0"/>
    <s v=""/>
  </r>
  <r>
    <s v="b2f65ccb-5b08-433a-95ad-23eae76b42c7"/>
    <s v="2023-07-30"/>
    <x v="3"/>
    <x v="11"/>
    <n v="30"/>
    <s v="19:06"/>
    <n v="659"/>
    <x v="1"/>
    <s v="other"/>
    <x v="1"/>
    <s v="rc_acc_1781955063347_kjxt"/>
    <x v="1"/>
    <s v="rc_acc_1781955063347_uxz4"/>
    <s v="SCB"/>
    <s v="-"/>
    <m/>
    <s v="import"/>
    <s v=""/>
    <b v="0"/>
    <s v=""/>
  </r>
  <r>
    <s v="628fd7ad-a2cc-48c3-905a-7f8a96411a22"/>
    <s v="2023-07-30"/>
    <x v="3"/>
    <x v="11"/>
    <n v="30"/>
    <s v="20:53"/>
    <n v="3190"/>
    <x v="0"/>
    <s v="entertain_1781955063348_kx2f"/>
    <x v="0"/>
    <s v="rc_acc_1781955063350_i8ms"/>
    <x v="28"/>
    <s v=""/>
    <m/>
    <s v="s22 ultra(10/10)"/>
    <m/>
    <s v="import"/>
    <s v=""/>
    <b v="0"/>
    <s v=""/>
  </r>
  <r>
    <s v="2219d85e-9162-4d72-94ad-5a8f52e9fbb8"/>
    <s v="2023-07-29"/>
    <x v="3"/>
    <x v="11"/>
    <n v="29"/>
    <s v="09:39"/>
    <n v="15"/>
    <x v="0"/>
    <s v="rc_cat_1781955063347_5qjb_1781955063347_tezk"/>
    <x v="5"/>
    <s v="kbank"/>
    <x v="0"/>
    <s v=""/>
    <m/>
    <s v="-"/>
    <m/>
    <s v="import"/>
    <s v=""/>
    <b v="0"/>
    <s v=""/>
  </r>
  <r>
    <s v="1509bbdd-a110-44d4-84f4-36b765131bcc"/>
    <s v="2023-07-29"/>
    <x v="3"/>
    <x v="11"/>
    <n v="29"/>
    <s v="20:40"/>
    <n v="2175"/>
    <x v="1"/>
    <s v="other"/>
    <x v="1"/>
    <s v="kbank"/>
    <x v="0"/>
    <s v="rc_acc_1781955063347_kjxt"/>
    <s v="KTC JCB"/>
    <s v="-"/>
    <m/>
    <s v="import"/>
    <s v=""/>
    <b v="0"/>
    <s v=""/>
  </r>
  <r>
    <s v="60b945b1-eed1-4940-8062-21037716f2f0"/>
    <s v="2023-07-27"/>
    <x v="3"/>
    <x v="11"/>
    <n v="27"/>
    <s v="09:39"/>
    <n v="50"/>
    <x v="0"/>
    <s v="rc_cat_1781955063347_5qjb_1781955063347_tezk"/>
    <x v="5"/>
    <s v="kbank"/>
    <x v="0"/>
    <s v=""/>
    <m/>
    <s v="-"/>
    <m/>
    <s v="import"/>
    <s v=""/>
    <b v="0"/>
    <s v=""/>
  </r>
  <r>
    <s v="bb1a94a6-0bfa-48e1-8683-cd1ea9e646c1"/>
    <s v="2023-07-27"/>
    <x v="3"/>
    <x v="11"/>
    <n v="27"/>
    <s v="19:05"/>
    <n v="27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51a1b52-799f-48f2-b45f-b858c1439ee6"/>
    <s v="2023-07-27"/>
    <x v="3"/>
    <x v="11"/>
    <n v="27"/>
    <s v="19:0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7d0d8cb-c92d-4e9e-9c4a-a7cbbf0a5d4d"/>
    <s v="2023-07-25"/>
    <x v="3"/>
    <x v="11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7100206e-62a4-4d36-8ea3-9aad8a7be88e"/>
    <s v="2023-07-25"/>
    <x v="3"/>
    <x v="11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1336fd66-a0e9-4a2b-8c6e-e7666068b3be"/>
    <s v="2023-07-25"/>
    <x v="3"/>
    <x v="11"/>
    <n v="25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63d2abc3-2d21-4044-98d3-39251be1e276"/>
    <s v="2023-07-25"/>
    <x v="3"/>
    <x v="11"/>
    <n v="25"/>
    <s v="00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18707016-71e1-45cd-bece-ff530040023f"/>
    <s v="2023-07-25"/>
    <x v="3"/>
    <x v="11"/>
    <n v="25"/>
    <s v="00:00"/>
    <n v="1027.0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e76e85fb-ee05-49b5-9994-b8d2fa7f9aaa"/>
    <s v="2023-07-25"/>
    <x v="3"/>
    <x v="11"/>
    <n v="25"/>
    <s v="00:00"/>
    <n v="1629.46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03b6204a-061c-4439-be84-d61705961381"/>
    <s v="2023-07-25"/>
    <x v="3"/>
    <x v="11"/>
    <n v="25"/>
    <s v="00:00"/>
    <n v="257.08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415663ab-1616-48ca-84e1-d3586437005f"/>
    <s v="2023-07-25"/>
    <x v="3"/>
    <x v="11"/>
    <n v="25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76a61f87-acfb-44f4-937e-0df5686b80e1"/>
    <s v="2023-07-25"/>
    <x v="3"/>
    <x v="11"/>
    <n v="25"/>
    <s v="00:02"/>
    <n v="2593.29"/>
    <x v="0"/>
    <s v="other_1781955063347_5s7r"/>
    <x v="15"/>
    <s v="rc_acc_1781955063347_uxz4"/>
    <x v="4"/>
    <s v=""/>
    <m/>
    <s v="Difference"/>
    <m/>
    <s v="import"/>
    <s v=""/>
    <b v="0"/>
    <s v=""/>
  </r>
  <r>
    <s v="5413d4d1-9771-4cb8-b08a-9952657dde1c"/>
    <s v="2023-07-25"/>
    <x v="3"/>
    <x v="11"/>
    <n v="25"/>
    <s v="12:04"/>
    <n v="320"/>
    <x v="0"/>
    <s v="rc_cat_1781955063347_5qjb_1781955063347_tezk"/>
    <x v="5"/>
    <s v="rc_acc_1781955063347_uxz4"/>
    <x v="4"/>
    <s v=""/>
    <m/>
    <s v="steve"/>
    <m/>
    <s v="import"/>
    <s v=""/>
    <b v="0"/>
    <s v=""/>
  </r>
  <r>
    <s v="6f21f4d6-a380-4afd-a688-7fee9afacca2"/>
    <s v="2023-07-24"/>
    <x v="3"/>
    <x v="11"/>
    <n v="24"/>
    <s v="18:57"/>
    <n v="1249"/>
    <x v="0"/>
    <s v="entertain_1781955063348_kx2f"/>
    <x v="0"/>
    <s v="rc_acc_1781955063347_uxz4"/>
    <x v="4"/>
    <s v=""/>
    <m/>
    <s v="sips shopee"/>
    <m/>
    <s v="import"/>
    <s v=""/>
    <b v="0"/>
    <s v=""/>
  </r>
  <r>
    <s v="f6a7b770-8026-4fad-ac26-1ab7caabc28b"/>
    <s v="2023-07-23"/>
    <x v="3"/>
    <x v="11"/>
    <n v="23"/>
    <s v="18:59"/>
    <n v="2840"/>
    <x v="1"/>
    <s v="other"/>
    <x v="1"/>
    <s v="rc_acc_1781955063347_uxz4"/>
    <x v="4"/>
    <s v="advance"/>
    <s v="Advance Paid"/>
    <s v="ซีฟูดทริปหลวงพ่อโสธร"/>
    <m/>
    <s v="import"/>
    <s v=""/>
    <b v="0"/>
    <s v=""/>
  </r>
  <r>
    <s v="7369cd4c-21c6-4497-8021-19db6789ef7d"/>
    <s v="2023-07-22"/>
    <x v="3"/>
    <x v="11"/>
    <n v="22"/>
    <s v="17:56"/>
    <n v="368"/>
    <x v="0"/>
    <s v="rc_cat_1781955063347_anhy_1781955063347_qnaz"/>
    <x v="4"/>
    <s v="rc_acc_1781955063347_uxz4"/>
    <x v="4"/>
    <s v=""/>
    <m/>
    <s v="-"/>
    <m/>
    <s v="import"/>
    <s v=""/>
    <b v="0"/>
    <s v=""/>
  </r>
  <r>
    <s v="c832fd67-6f5e-4111-af07-546ffaad2960"/>
    <s v="2023-07-22"/>
    <x v="3"/>
    <x v="11"/>
    <n v="22"/>
    <s v="18:38"/>
    <n v="3190"/>
    <x v="1"/>
    <s v="other"/>
    <x v="1"/>
    <s v="kbank"/>
    <x v="0"/>
    <s v="rc_acc_1781955063350_i8ms"/>
    <s v="Kbank onesiam"/>
    <s v="-"/>
    <m/>
    <s v="import"/>
    <s v=""/>
    <b v="0"/>
    <s v=""/>
  </r>
  <r>
    <s v="1513f0d1-7119-43ea-a3a4-30d41b905817"/>
    <s v="2023-07-22"/>
    <x v="3"/>
    <x v="11"/>
    <n v="22"/>
    <s v="18:38"/>
    <n v="4494"/>
    <x v="1"/>
    <s v="other"/>
    <x v="1"/>
    <s v="kbank"/>
    <x v="0"/>
    <s v="rc_acc_1781955063353_k5yx"/>
    <s v="Kbank shopee"/>
    <s v="-"/>
    <m/>
    <s v="import"/>
    <s v=""/>
    <b v="0"/>
    <s v=""/>
  </r>
  <r>
    <s v="f97d9f03-e9b7-47b1-baf7-cb1f086bcef3"/>
    <s v="2023-07-22"/>
    <x v="3"/>
    <x v="11"/>
    <n v="22"/>
    <s v="18:55"/>
    <n v="2159"/>
    <x v="1"/>
    <s v="other"/>
    <x v="1"/>
    <s v="rc_acc_1781955063347_uxz4"/>
    <x v="4"/>
    <s v="advance"/>
    <s v="Advance Paid"/>
    <s v="ยอดก้อน กับเพ่งเพ้ง 1489 670"/>
    <m/>
    <s v="import"/>
    <s v=""/>
    <b v="0"/>
    <s v=""/>
  </r>
  <r>
    <s v="f3f5d48a-9ee4-4105-b7ee-d04f74f4908a"/>
    <s v="2023-07-22"/>
    <x v="3"/>
    <x v="11"/>
    <n v="22"/>
    <s v="18:56"/>
    <n v="175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69e49f62-6a40-434b-824c-a1b31a1b650d"/>
    <s v="2023-07-22"/>
    <x v="3"/>
    <x v="11"/>
    <n v="22"/>
    <s v="18:56"/>
    <n v="26857"/>
    <x v="1"/>
    <s v="other"/>
    <x v="1"/>
    <s v="advance"/>
    <x v="2"/>
    <s v="rc_acc_1781955063347_uxz4"/>
    <s v="SCB"/>
    <s v="เคลียอดเกาหลี"/>
    <m/>
    <s v="import"/>
    <s v=""/>
    <b v="0"/>
    <s v=""/>
  </r>
  <r>
    <s v="3d14f403-89fb-482c-afcd-46d6c80ea766"/>
    <s v="2023-07-22"/>
    <x v="3"/>
    <x v="11"/>
    <n v="22"/>
    <s v="20:47"/>
    <n v="1220.41"/>
    <x v="0"/>
    <s v="entertain_1781955063348_kx2f"/>
    <x v="0"/>
    <s v="rc_acc_1781955063348_obza"/>
    <x v="8"/>
    <s v=""/>
    <m/>
    <s v="drive"/>
    <m/>
    <s v="import"/>
    <s v=""/>
    <b v="0"/>
    <s v=""/>
  </r>
  <r>
    <s v="1e504182-f2ea-470f-a6ec-70dddcdbe662"/>
    <s v="2023-07-21"/>
    <x v="3"/>
    <x v="11"/>
    <n v="21"/>
    <s v="09:37"/>
    <n v="100"/>
    <x v="0"/>
    <s v="rc_cat_1781955063347_5qjb_1781955063347_tezk"/>
    <x v="5"/>
    <s v="kbank"/>
    <x v="0"/>
    <s v=""/>
    <m/>
    <s v="-"/>
    <m/>
    <s v="import"/>
    <s v=""/>
    <b v="0"/>
    <s v=""/>
  </r>
  <r>
    <s v="90a01f83-cd7d-4538-b500-8b203ebce033"/>
    <s v="2023-07-21"/>
    <x v="3"/>
    <x v="11"/>
    <n v="21"/>
    <s v="12:30"/>
    <n v="350"/>
    <x v="0"/>
    <s v="rc_cat_1781955063347_5qjb_1781955063347_tezk"/>
    <x v="5"/>
    <s v="kbank"/>
    <x v="0"/>
    <s v=""/>
    <m/>
    <s v="-"/>
    <m/>
    <s v="import"/>
    <s v=""/>
    <b v="0"/>
    <s v=""/>
  </r>
  <r>
    <s v="9bb910ed-a96c-4153-bc6a-5d7da9c96c7b"/>
    <s v="2023-07-21"/>
    <x v="3"/>
    <x v="11"/>
    <n v="21"/>
    <s v="12:54"/>
    <n v="10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9dbb1c0-c410-49e2-8f13-5735a4fce75e"/>
    <s v="2023-07-20"/>
    <x v="3"/>
    <x v="11"/>
    <n v="20"/>
    <s v="12:40"/>
    <n v="62"/>
    <x v="0"/>
    <s v="rc_cat_1781955063347_5qjb_1781955063347_tezk"/>
    <x v="5"/>
    <s v="kbank"/>
    <x v="0"/>
    <s v=""/>
    <m/>
    <s v="-"/>
    <m/>
    <s v="import"/>
    <s v=""/>
    <b v="0"/>
    <s v=""/>
  </r>
  <r>
    <s v="44a8965d-070f-4cba-aef8-10a785c5097c"/>
    <s v="2023-07-19"/>
    <x v="3"/>
    <x v="11"/>
    <n v="19"/>
    <s v="09:35"/>
    <n v="60"/>
    <x v="0"/>
    <s v="rc_cat_1781955063347_5qjb_1781955063347_tezk"/>
    <x v="5"/>
    <s v="kbank"/>
    <x v="0"/>
    <s v=""/>
    <m/>
    <s v="-"/>
    <m/>
    <s v="import"/>
    <s v=""/>
    <b v="0"/>
    <s v=""/>
  </r>
  <r>
    <s v="5776f8f3-af95-49af-be85-fe34e998565b"/>
    <s v="2023-07-19"/>
    <x v="3"/>
    <x v="11"/>
    <n v="19"/>
    <s v="09:41"/>
    <n v="10"/>
    <x v="0"/>
    <s v="rc_cat_1781955063347_5qjb_1781955063347_tezk"/>
    <x v="5"/>
    <s v="kbank"/>
    <x v="0"/>
    <s v=""/>
    <m/>
    <s v="-"/>
    <m/>
    <s v="import"/>
    <s v=""/>
    <b v="0"/>
    <s v=""/>
  </r>
  <r>
    <s v="ab16cde4-6f8a-400d-8082-88af52b18e44"/>
    <s v="2023-07-18"/>
    <x v="3"/>
    <x v="11"/>
    <n v="18"/>
    <s v="12:35"/>
    <n v="80"/>
    <x v="0"/>
    <s v="rc_cat_1781955063347_5qjb_1781955063347_tezk"/>
    <x v="5"/>
    <s v="kbank"/>
    <x v="0"/>
    <s v=""/>
    <m/>
    <s v="-"/>
    <m/>
    <s v="import"/>
    <s v=""/>
    <b v="0"/>
    <s v=""/>
  </r>
  <r>
    <s v="65bd431f-db2f-4174-9db3-bf37b70ff4c0"/>
    <s v="2023-07-17"/>
    <x v="3"/>
    <x v="11"/>
    <n v="17"/>
    <s v="07:53"/>
    <n v="6689"/>
    <x v="0"/>
    <s v="rc_cat_1781955063347_04qb_1781955063347_wt5p"/>
    <x v="3"/>
    <s v="rc_acc_1781955063347_uxz4"/>
    <x v="4"/>
    <s v=""/>
    <m/>
    <s v="-"/>
    <m/>
    <s v="import"/>
    <s v=""/>
    <b v="0"/>
    <s v=""/>
  </r>
  <r>
    <s v="2e4e885b-690e-42eb-b8e6-8063f8b13b1c"/>
    <s v="2023-07-17"/>
    <x v="3"/>
    <x v="11"/>
    <n v="17"/>
    <s v="12:34"/>
    <n v="95"/>
    <x v="0"/>
    <s v="rc_cat_1781955063347_5qjb_1781955063347_tezk"/>
    <x v="5"/>
    <s v="kbank"/>
    <x v="0"/>
    <s v=""/>
    <m/>
    <s v="-"/>
    <m/>
    <s v="import"/>
    <s v=""/>
    <b v="0"/>
    <s v=""/>
  </r>
  <r>
    <s v="66a771fb-e370-48b7-87ed-a56ba30ca105"/>
    <s v="2023-07-16"/>
    <x v="3"/>
    <x v="11"/>
    <n v="16"/>
    <s v="09:47"/>
    <n v="1026"/>
    <x v="1"/>
    <s v="other"/>
    <x v="1"/>
    <s v="rc_acc_1781955063347_uxz4"/>
    <x v="4"/>
    <s v="advance"/>
    <s v="Advance Paid"/>
    <s v="ตวง"/>
    <m/>
    <s v="import"/>
    <s v=""/>
    <b v="0"/>
    <s v=""/>
  </r>
  <r>
    <s v="c3a108ff-505e-4411-b08a-74181257e4e3"/>
    <s v="2023-07-14"/>
    <x v="3"/>
    <x v="11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9ba74641-d2be-49f5-94a8-4580e19ef34c"/>
    <s v="2023-07-14"/>
    <x v="3"/>
    <x v="11"/>
    <n v="14"/>
    <s v="12:34"/>
    <n v="55"/>
    <x v="0"/>
    <s v="rc_cat_1781955063347_5qjb_1781955063347_tezk"/>
    <x v="5"/>
    <s v="kbank"/>
    <x v="0"/>
    <s v=""/>
    <m/>
    <s v="-"/>
    <m/>
    <s v="import"/>
    <s v=""/>
    <b v="0"/>
    <s v=""/>
  </r>
  <r>
    <s v="4395aa2a-4d9b-4312-9b53-508b267575fe"/>
    <s v="2023-07-14"/>
    <x v="3"/>
    <x v="11"/>
    <n v="14"/>
    <s v="16:48"/>
    <n v="13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aaebccf-dcf3-47a7-be7a-5269d5e639d2"/>
    <s v="2023-07-14"/>
    <x v="3"/>
    <x v="11"/>
    <n v="14"/>
    <s v="18:48"/>
    <n v="419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4fec2a43-ec7a-4c99-ac6b-58c9f3a1202a"/>
    <s v="2023-07-13"/>
    <x v="3"/>
    <x v="11"/>
    <n v="13"/>
    <s v="12:45"/>
    <n v="30"/>
    <x v="0"/>
    <s v="rc_cat_1781955063347_5qjb_1781955063347_tezk"/>
    <x v="5"/>
    <s v="kbank"/>
    <x v="0"/>
    <s v=""/>
    <m/>
    <s v="-"/>
    <m/>
    <s v="import"/>
    <s v=""/>
    <b v="0"/>
    <s v=""/>
  </r>
  <r>
    <s v="d8cb8404-f217-4dd4-a707-f39e45ad4cd1"/>
    <s v="2023-07-13"/>
    <x v="3"/>
    <x v="11"/>
    <n v="13"/>
    <s v="18:53"/>
    <n v="8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9d29ff7-6dee-4cad-ba9e-00d3222e668a"/>
    <s v="2023-07-12"/>
    <x v="3"/>
    <x v="11"/>
    <n v="12"/>
    <s v="08:45"/>
    <n v="60"/>
    <x v="0"/>
    <s v="rc_cat_1781955063347_5qjb_1781955063347_tezk"/>
    <x v="5"/>
    <s v="kbank"/>
    <x v="0"/>
    <s v=""/>
    <m/>
    <s v="-"/>
    <m/>
    <s v="import"/>
    <s v=""/>
    <b v="0"/>
    <s v=""/>
  </r>
  <r>
    <s v="447f9282-1167-401b-9c83-fd62249f6d82"/>
    <s v="2023-07-12"/>
    <x v="3"/>
    <x v="11"/>
    <n v="12"/>
    <s v="12:40"/>
    <n v="92"/>
    <x v="0"/>
    <s v="rc_cat_1781955063347_5qjb_1781955063347_tezk"/>
    <x v="5"/>
    <s v="kbank"/>
    <x v="0"/>
    <s v=""/>
    <m/>
    <s v="-"/>
    <m/>
    <s v="import"/>
    <s v=""/>
    <b v="0"/>
    <s v=""/>
  </r>
  <r>
    <s v="055d4b59-eb9d-4eb3-9c95-58457e881f35"/>
    <s v="2023-07-12"/>
    <x v="3"/>
    <x v="11"/>
    <n v="12"/>
    <s v="12:50"/>
    <n v="80"/>
    <x v="0"/>
    <s v="rc_cat_1781955063347_5qjb_1781955063347_tezk"/>
    <x v="5"/>
    <s v="kbank"/>
    <x v="0"/>
    <s v=""/>
    <m/>
    <s v="-"/>
    <m/>
    <s v="import"/>
    <s v=""/>
    <b v="0"/>
    <s v=""/>
  </r>
  <r>
    <s v="1eeb14ec-e019-4de1-89e0-ca5e8332a96e"/>
    <s v="2023-07-12"/>
    <x v="3"/>
    <x v="11"/>
    <n v="12"/>
    <s v="18:22"/>
    <n v="49000"/>
    <x v="1"/>
    <s v="other"/>
    <x v="1"/>
    <s v="rc_acc_1781955063347_uxz4"/>
    <x v="4"/>
    <s v="kbank"/>
    <s v="KBank"/>
    <s v="-"/>
    <m/>
    <s v="import"/>
    <s v=""/>
    <b v="0"/>
    <s v=""/>
  </r>
  <r>
    <s v="b1ad5c20-3884-41ef-988c-ff6e857fe5de"/>
    <s v="2023-07-11"/>
    <x v="3"/>
    <x v="11"/>
    <n v="11"/>
    <s v="09:03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de6107a-8bea-40b7-a1bc-077ab4fce407"/>
    <s v="2023-07-11"/>
    <x v="3"/>
    <x v="11"/>
    <n v="11"/>
    <s v="09:52"/>
    <n v="2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bf189cf-87c4-437e-96e9-92d83d6d5b31"/>
    <s v="2023-07-11"/>
    <x v="3"/>
    <x v="11"/>
    <n v="11"/>
    <s v="12:20"/>
    <n v="70"/>
    <x v="0"/>
    <s v="rc_cat_1781955063347_5qjb_1781955063347_tezk"/>
    <x v="5"/>
    <s v="kbank"/>
    <x v="0"/>
    <s v=""/>
    <m/>
    <s v="-"/>
    <m/>
    <s v="import"/>
    <s v=""/>
    <b v="0"/>
    <s v=""/>
  </r>
  <r>
    <s v="0147bc60-f6ba-4839-af5f-e78845dfd299"/>
    <s v="2023-07-11"/>
    <x v="3"/>
    <x v="11"/>
    <n v="11"/>
    <s v="14:20"/>
    <n v="50000"/>
    <x v="1"/>
    <s v="other"/>
    <x v="1"/>
    <s v="kbank"/>
    <x v="0"/>
    <s v="rc_acc_1781955063349_yz2g"/>
    <s v="Investment"/>
    <s v="-"/>
    <m/>
    <s v="import"/>
    <s v=""/>
    <b v="0"/>
    <s v=""/>
  </r>
  <r>
    <s v="5b50e813-faf5-400f-8dd3-52b48f6a6d2f"/>
    <s v="2023-07-10"/>
    <x v="3"/>
    <x v="11"/>
    <n v="10"/>
    <s v="12:45"/>
    <n v="5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428d1f6-654b-4e9f-a276-db6711d0b264"/>
    <s v="2023-07-09"/>
    <x v="3"/>
    <x v="11"/>
    <n v="9"/>
    <s v="10:21"/>
    <n v="300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398efccf-b919-40c5-8a98-de3013cbac94"/>
    <s v="2023-07-09"/>
    <x v="3"/>
    <x v="11"/>
    <n v="9"/>
    <s v="10:21"/>
    <n v="3490"/>
    <x v="0"/>
    <s v="rc_cat_1781955063347_5qjb_1781955063348_wpky"/>
    <x v="27"/>
    <s v="rc_acc_1781955063347_0qmn"/>
    <x v="20"/>
    <s v=""/>
    <m/>
    <s v="เก้าอี้รองนั่ง"/>
    <m/>
    <s v="import"/>
    <s v=""/>
    <b v="0"/>
    <s v=""/>
  </r>
  <r>
    <s v="cd55762d-a119-404a-bdda-a03d3cd8f90a"/>
    <s v="2023-07-09"/>
    <x v="3"/>
    <x v="11"/>
    <n v="9"/>
    <s v="10:21"/>
    <n v="800"/>
    <x v="0"/>
    <s v="rc_cat_1781955063347_5qjb_1781955063347_tezk"/>
    <x v="5"/>
    <s v="rc_acc_1781955063347_0qmn"/>
    <x v="20"/>
    <s v=""/>
    <m/>
    <s v="บาบิก้อน"/>
    <m/>
    <s v="import"/>
    <s v=""/>
    <b v="0"/>
    <s v=""/>
  </r>
  <r>
    <s v="1ca7f840-f5a4-46ad-9eb8-13ce45b8254d"/>
    <s v="2023-07-09"/>
    <x v="3"/>
    <x v="11"/>
    <n v="9"/>
    <s v="10:22"/>
    <n v="545"/>
    <x v="0"/>
    <s v="rc_cat_1781955063347_5qjb_1781955063348_laj8"/>
    <x v="29"/>
    <s v="rc_acc_1781955063347_0qmn"/>
    <x v="20"/>
    <s v=""/>
    <m/>
    <s v="-"/>
    <m/>
    <s v="import"/>
    <s v=""/>
    <b v="0"/>
    <s v=""/>
  </r>
  <r>
    <s v="71a3a73d-ea86-44b9-b638-223ae1ec3c9e"/>
    <s v="2023-07-08"/>
    <x v="3"/>
    <x v="11"/>
    <n v="8"/>
    <s v="10:25"/>
    <n v="350"/>
    <x v="1"/>
    <s v="other"/>
    <x v="1"/>
    <s v="rc_acc_1781955063347_0qmn"/>
    <x v="20"/>
    <s v="kbank"/>
    <s v="KBank"/>
    <s v="กิมโป้"/>
    <m/>
    <s v="import"/>
    <s v=""/>
    <b v="0"/>
    <s v=""/>
  </r>
  <r>
    <s v="aa2e805a-0df9-4194-93c6-811c6d45a729"/>
    <s v="2023-07-08"/>
    <x v="3"/>
    <x v="11"/>
    <n v="8"/>
    <s v="11:15"/>
    <n v="1830"/>
    <x v="1"/>
    <s v="other"/>
    <x v="1"/>
    <s v="rc_acc_1781955063347_e3zv"/>
    <x v="16"/>
    <s v="advance"/>
    <s v="Advance Paid"/>
    <s v="ค่าจอดรถกลับจากเกาหลี"/>
    <m/>
    <s v="import"/>
    <s v=""/>
    <b v="0"/>
    <s v=""/>
  </r>
  <r>
    <s v="0b23c8f6-19b6-47a5-a7b0-4862a9c3110e"/>
    <s v="2023-07-08"/>
    <x v="3"/>
    <x v="11"/>
    <n v="8"/>
    <s v="12:03"/>
    <n v="1071.35"/>
    <x v="0"/>
    <s v="other_1781955063347_5s7r"/>
    <x v="15"/>
    <s v="rc_acc_1781955063347_omhz"/>
    <x v="29"/>
    <s v=""/>
    <m/>
    <s v="Difference"/>
    <m/>
    <s v="import"/>
    <s v=""/>
    <b v="0"/>
    <s v=""/>
  </r>
  <r>
    <s v="581ecd63-72f3-4a65-a610-29374a19018d"/>
    <s v="2023-07-08"/>
    <x v="3"/>
    <x v="11"/>
    <n v="8"/>
    <s v="17:50"/>
    <n v="992"/>
    <x v="0"/>
    <s v="rc_cat_1781955063347_s4sz_1781955063347_9tpp"/>
    <x v="9"/>
    <s v="rc_acc_1781955063347_uxz4"/>
    <x v="4"/>
    <s v=""/>
    <m/>
    <s v="-"/>
    <m/>
    <s v="import"/>
    <s v=""/>
    <b v="0"/>
    <s v=""/>
  </r>
  <r>
    <s v="ff7b9862-cfeb-466a-a3a7-5bb61358f0ba"/>
    <s v="2023-07-08"/>
    <x v="3"/>
    <x v="11"/>
    <n v="8"/>
    <s v="18:50"/>
    <n v="2000"/>
    <x v="0"/>
    <s v="other_1781955063348_yjhe"/>
    <x v="26"/>
    <s v="rc_acc_1781955063347_uxz4"/>
    <x v="4"/>
    <s v=""/>
    <m/>
    <s v="ยุ้ย"/>
    <m/>
    <s v="import"/>
    <s v=""/>
    <b v="0"/>
    <s v=""/>
  </r>
  <r>
    <s v="73942d74-322e-468c-8fd1-6263d3aaed91"/>
    <s v="2023-07-07"/>
    <x v="3"/>
    <x v="11"/>
    <n v="7"/>
    <s v="09:55"/>
    <n v="147000"/>
    <x v="1"/>
    <s v="other"/>
    <x v="1"/>
    <s v="rc_acc_1781955063347_uxz4"/>
    <x v="4"/>
    <s v="kbank"/>
    <s v="KBank"/>
    <s v="-"/>
    <m/>
    <s v="import"/>
    <s v=""/>
    <b v="0"/>
    <s v=""/>
  </r>
  <r>
    <s v="3b47a325-e11e-4ec5-99c6-43a38a3572a9"/>
    <s v="2023-07-07"/>
    <x v="3"/>
    <x v="11"/>
    <n v="7"/>
    <s v="12:40"/>
    <n v="102"/>
    <x v="0"/>
    <s v="rc_cat_1781955063347_5qjb_1781955063347_tezk"/>
    <x v="5"/>
    <s v="kbank"/>
    <x v="0"/>
    <s v=""/>
    <m/>
    <s v="-"/>
    <m/>
    <s v="import"/>
    <s v=""/>
    <b v="0"/>
    <s v=""/>
  </r>
  <r>
    <s v="85621a30-11d7-414a-94ff-1f611997da60"/>
    <s v="2023-07-06"/>
    <x v="3"/>
    <x v="11"/>
    <n v="6"/>
    <s v="12:21"/>
    <n v="65"/>
    <x v="0"/>
    <s v="rc_cat_1781955063347_5qjb_1781955063347_tezk"/>
    <x v="5"/>
    <s v="kbank"/>
    <x v="0"/>
    <s v=""/>
    <m/>
    <s v="-"/>
    <m/>
    <s v="import"/>
    <s v=""/>
    <b v="0"/>
    <s v=""/>
  </r>
  <r>
    <s v="fde09700-2d5e-4333-8a79-0b02ec21c44b"/>
    <s v="2023-07-06"/>
    <x v="3"/>
    <x v="11"/>
    <n v="6"/>
    <s v="13:02"/>
    <n v="55"/>
    <x v="0"/>
    <s v="rc_cat_1781955063347_5qjb_1781955063347_tezk"/>
    <x v="5"/>
    <s v="kbank"/>
    <x v="0"/>
    <s v=""/>
    <m/>
    <s v="-"/>
    <m/>
    <s v="import"/>
    <s v=""/>
    <b v="0"/>
    <s v=""/>
  </r>
  <r>
    <s v="f9ce30e4-9f9e-4d8a-a906-f0b273ae0917"/>
    <s v="2023-07-05"/>
    <x v="3"/>
    <x v="11"/>
    <n v="5"/>
    <s v="08:51"/>
    <n v="60"/>
    <x v="0"/>
    <s v="rc_cat_1781955063347_5qjb_1781955063347_tezk"/>
    <x v="5"/>
    <s v="kbank"/>
    <x v="0"/>
    <s v=""/>
    <m/>
    <s v="-"/>
    <m/>
    <s v="import"/>
    <s v=""/>
    <b v="0"/>
    <s v=""/>
  </r>
  <r>
    <s v="d7a70684-c21c-46f4-b5f4-548889438fdd"/>
    <s v="2023-07-05"/>
    <x v="3"/>
    <x v="11"/>
    <n v="5"/>
    <s v="10:03"/>
    <n v="50000"/>
    <x v="1"/>
    <s v="other"/>
    <x v="1"/>
    <s v="kbank"/>
    <x v="0"/>
    <s v="rc_acc_1781955063349_yz2g"/>
    <s v="Investment"/>
    <s v="ssf"/>
    <m/>
    <s v="import"/>
    <s v=""/>
    <b v="0"/>
    <s v=""/>
  </r>
  <r>
    <s v="50627150-64b0-4e52-9a3a-82ae5379bfb4"/>
    <s v="2023-07-05"/>
    <x v="3"/>
    <x v="11"/>
    <n v="5"/>
    <s v="12:40"/>
    <n v="205"/>
    <x v="0"/>
    <s v="rc_cat_1781955063347_5qjb_1781955063347_tezk"/>
    <x v="5"/>
    <s v="kbank"/>
    <x v="0"/>
    <s v=""/>
    <m/>
    <s v="-"/>
    <m/>
    <s v="import"/>
    <s v=""/>
    <b v="0"/>
    <s v=""/>
  </r>
  <r>
    <s v="5a32677d-4b2a-4355-9db8-2cc3e316edee"/>
    <s v="2023-07-05"/>
    <x v="3"/>
    <x v="11"/>
    <n v="5"/>
    <s v="18:19"/>
    <n v="100"/>
    <x v="0"/>
    <s v="rc_cat_1781955063347_5qjb_1781955063347_tezk"/>
    <x v="5"/>
    <s v="kbank"/>
    <x v="0"/>
    <s v=""/>
    <m/>
    <s v="-"/>
    <m/>
    <s v="import"/>
    <s v=""/>
    <b v="0"/>
    <s v=""/>
  </r>
  <r>
    <s v="6df322ed-f28f-4a3c-83f9-ed81269205ac"/>
    <s v="2023-07-04"/>
    <x v="3"/>
    <x v="11"/>
    <n v="4"/>
    <s v="12:40"/>
    <n v="75"/>
    <x v="0"/>
    <s v="rc_cat_1781955063347_5qjb_1781955063347_tezk"/>
    <x v="5"/>
    <s v="kbank"/>
    <x v="0"/>
    <s v=""/>
    <m/>
    <s v="-"/>
    <m/>
    <s v="import"/>
    <s v=""/>
    <b v="0"/>
    <s v=""/>
  </r>
  <r>
    <s v="1fad7c3e-5520-4d1e-b3b2-41081bff47ef"/>
    <s v="2023-07-04"/>
    <x v="3"/>
    <x v="11"/>
    <n v="4"/>
    <s v="15:45"/>
    <n v="300"/>
    <x v="0"/>
    <s v="rc_cat_1781955063347_anhy_1781955063348_k5l1"/>
    <x v="16"/>
    <s v="kbank"/>
    <x v="0"/>
    <s v=""/>
    <m/>
    <s v="-"/>
    <m/>
    <s v="import"/>
    <s v=""/>
    <b v="0"/>
    <s v=""/>
  </r>
  <r>
    <s v="ce2268cd-ffab-4955-a09a-d110998bcfd0"/>
    <s v="2023-07-03"/>
    <x v="3"/>
    <x v="11"/>
    <n v="3"/>
    <s v="12:50"/>
    <n v="57"/>
    <x v="0"/>
    <s v="rc_cat_1781955063347_5qjb_1781955063347_tezk"/>
    <x v="5"/>
    <s v="kbank"/>
    <x v="0"/>
    <s v=""/>
    <m/>
    <s v="-"/>
    <m/>
    <s v="import"/>
    <s v=""/>
    <b v="0"/>
    <s v=""/>
  </r>
  <r>
    <s v="cc4dca6b-1326-4c3b-98e6-20feeb7c7c9b"/>
    <s v="2023-07-03"/>
    <x v="3"/>
    <x v="11"/>
    <n v="3"/>
    <s v="17:22"/>
    <n v="2000"/>
    <x v="1"/>
    <s v="other"/>
    <x v="1"/>
    <s v="kbank"/>
    <x v="0"/>
    <s v="rc_acc_1781955063347_e3zv"/>
    <s v="Cash"/>
    <s v="-"/>
    <m/>
    <s v="import"/>
    <s v=""/>
    <b v="0"/>
    <s v=""/>
  </r>
  <r>
    <s v="512b4bec-f22b-43b3-b42f-089a488a976e"/>
    <s v="2023-07-02"/>
    <x v="3"/>
    <x v="11"/>
    <n v="2"/>
    <s v="11:16"/>
    <n v="10000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34de1665-913e-401a-bfa3-deb92f1c5e67"/>
    <s v="2023-07-02"/>
    <x v="3"/>
    <x v="11"/>
    <n v="2"/>
    <s v="15:15"/>
    <n v="329"/>
    <x v="0"/>
    <s v="rc_cat_1781955063347_s4sz_1781955063347_deos"/>
    <x v="6"/>
    <s v="rc_acc_1781955063347_uxz4"/>
    <x v="4"/>
    <s v=""/>
    <m/>
    <s v="-"/>
    <m/>
    <s v="import"/>
    <s v=""/>
    <b v="0"/>
    <s v=""/>
  </r>
  <r>
    <s v="9e9b5443-58b5-43e5-88bb-f6c29ac512e2"/>
    <s v="2023-07-02"/>
    <x v="3"/>
    <x v="11"/>
    <n v="2"/>
    <s v="18:55"/>
    <n v="10000"/>
    <x v="1"/>
    <s v="other"/>
    <x v="1"/>
    <s v="rc_acc_1781955063347_uxz4"/>
    <x v="4"/>
    <s v="rc_acc_1781955063347_e3zv"/>
    <s v="Cash"/>
    <s v="-"/>
    <m/>
    <s v="import"/>
    <s v=""/>
    <b v="0"/>
    <s v=""/>
  </r>
  <r>
    <s v="dade098c-b83c-44c4-a7ee-972e459f889d"/>
    <s v="2023-07-01"/>
    <x v="3"/>
    <x v="11"/>
    <n v="1"/>
    <s v="18:17"/>
    <n v="219"/>
    <x v="0"/>
    <s v="rc_cat_1781955063347_5qjb_1781955063347_tezk"/>
    <x v="5"/>
    <s v="kbank"/>
    <x v="0"/>
    <s v=""/>
    <m/>
    <s v="-"/>
    <m/>
    <s v="import"/>
    <s v=""/>
    <b v="0"/>
    <s v=""/>
  </r>
  <r>
    <s v="9b721397-7bcb-415a-8d1e-b140c134092c"/>
    <s v="2023-06-30"/>
    <x v="3"/>
    <x v="0"/>
    <n v="30"/>
    <s v="11:14"/>
    <n v="50"/>
    <x v="0"/>
    <s v="rc_cat_1781955063347_5qjb_1781955063347_tezk"/>
    <x v="5"/>
    <s v="kbank"/>
    <x v="0"/>
    <s v=""/>
    <m/>
    <s v="-"/>
    <m/>
    <s v="import"/>
    <s v=""/>
    <b v="0"/>
    <s v=""/>
  </r>
  <r>
    <s v="678039b9-6059-4ada-bd6c-aa747af215b8"/>
    <s v="2023-06-30"/>
    <x v="3"/>
    <x v="0"/>
    <n v="30"/>
    <s v="12:30"/>
    <n v="122"/>
    <x v="0"/>
    <s v="rc_cat_1781955063347_5qjb_1781955063347_tezk"/>
    <x v="5"/>
    <s v="kbank"/>
    <x v="0"/>
    <s v=""/>
    <m/>
    <s v="-"/>
    <m/>
    <s v="import"/>
    <s v=""/>
    <b v="0"/>
    <s v=""/>
  </r>
  <r>
    <s v="f4e4f7ee-871e-4e65-a103-8d06f78aece2"/>
    <s v="2023-06-30"/>
    <x v="3"/>
    <x v="0"/>
    <n v="30"/>
    <s v="12:45"/>
    <n v="80"/>
    <x v="0"/>
    <s v="rc_cat_1781955063347_5qjb_1781955063347_tezk"/>
    <x v="5"/>
    <s v="kbank"/>
    <x v="0"/>
    <s v=""/>
    <m/>
    <s v="-"/>
    <m/>
    <s v="import"/>
    <s v=""/>
    <b v="0"/>
    <s v=""/>
  </r>
  <r>
    <s v="20a6b3b4-e40a-4e76-ad02-fc5f21fddf6d"/>
    <s v="2023-06-30"/>
    <x v="3"/>
    <x v="0"/>
    <n v="30"/>
    <s v="13:16"/>
    <n v="250"/>
    <x v="0"/>
    <s v="rc_cat_1781955063347_5qjb_1781955063347_tezk"/>
    <x v="5"/>
    <s v="kbank"/>
    <x v="0"/>
    <s v=""/>
    <m/>
    <s v="-"/>
    <m/>
    <s v="import"/>
    <s v=""/>
    <b v="0"/>
    <s v=""/>
  </r>
  <r>
    <s v="17f137d9-1be0-4b76-99b3-1d9d8d29cc69"/>
    <s v="2023-06-30"/>
    <x v="3"/>
    <x v="0"/>
    <n v="30"/>
    <s v="19:09"/>
    <n v="3767.13"/>
    <x v="2"/>
    <s v="other_1781955063347_5s7r"/>
    <x v="15"/>
    <s v="rc_acc_1781955063347_sv7p"/>
    <x v="12"/>
    <s v=""/>
    <m/>
    <s v="Difference"/>
    <m/>
    <s v="import"/>
    <s v=""/>
    <b v="0"/>
    <s v=""/>
  </r>
  <r>
    <s v="50229328-4477-4abf-93af-6d7e07df7021"/>
    <s v="2023-06-30"/>
    <x v="3"/>
    <x v="0"/>
    <n v="30"/>
    <s v="20:53"/>
    <n v="3190"/>
    <x v="0"/>
    <s v="entertain_1781955063348_kx2f"/>
    <x v="0"/>
    <s v="rc_acc_1781955063350_i8ms"/>
    <x v="28"/>
    <s v=""/>
    <m/>
    <s v="s22 ultra(9/10)"/>
    <m/>
    <s v="import"/>
    <s v=""/>
    <b v="0"/>
    <s v=""/>
  </r>
  <r>
    <s v="6462fd37-4c52-462c-9f34-f22619d6321e"/>
    <s v="2023-06-29"/>
    <x v="3"/>
    <x v="0"/>
    <n v="29"/>
    <s v="09:58"/>
    <n v="3000"/>
    <x v="1"/>
    <s v="other"/>
    <x v="1"/>
    <s v="rc_acc_1781955063347_uxz4"/>
    <x v="4"/>
    <s v="rc_acc_1781955063347_e3zv"/>
    <s v="Cash"/>
    <s v="-"/>
    <m/>
    <s v="import"/>
    <s v=""/>
    <b v="0"/>
    <s v=""/>
  </r>
  <r>
    <s v="54531bb8-8ffb-4f2f-8db1-f451d1a1a839"/>
    <s v="2023-06-29"/>
    <x v="3"/>
    <x v="0"/>
    <n v="29"/>
    <s v="09:59"/>
    <n v="930"/>
    <x v="1"/>
    <s v="other"/>
    <x v="1"/>
    <s v="rc_acc_1781955063347_e3zv"/>
    <x v="16"/>
    <s v="rc_acc_1781955063347_uxz4"/>
    <s v="SCB"/>
    <s v="-"/>
    <m/>
    <s v="import"/>
    <s v=""/>
    <b v="0"/>
    <s v=""/>
  </r>
  <r>
    <s v="c8f375fd-c650-4430-b403-59bd5cac8ff5"/>
    <s v="2023-06-29"/>
    <x v="3"/>
    <x v="0"/>
    <n v="29"/>
    <s v="09:59"/>
    <n v="465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d55f825d-f324-435b-ac15-6c2dc5f1d513"/>
    <s v="2023-06-29"/>
    <x v="3"/>
    <x v="0"/>
    <n v="29"/>
    <s v="18:14"/>
    <n v="55"/>
    <x v="0"/>
    <s v="rc_cat_1781955063347_5qjb_1781955063347_tezk"/>
    <x v="5"/>
    <s v="kbank"/>
    <x v="0"/>
    <s v=""/>
    <m/>
    <s v="-"/>
    <m/>
    <s v="import"/>
    <s v=""/>
    <b v="0"/>
    <s v=""/>
  </r>
  <r>
    <s v="21281e8f-d7dd-43b7-8ca3-6db72c6375ce"/>
    <s v="2023-06-28"/>
    <x v="3"/>
    <x v="0"/>
    <n v="28"/>
    <s v="08:55"/>
    <n v="60"/>
    <x v="0"/>
    <s v="rc_cat_1781955063347_5qjb_1781955063347_tezk"/>
    <x v="5"/>
    <s v="kbank"/>
    <x v="0"/>
    <s v=""/>
    <m/>
    <s v="-"/>
    <m/>
    <s v="import"/>
    <s v=""/>
    <b v="0"/>
    <s v=""/>
  </r>
  <r>
    <s v="dc47906f-3743-4a8f-9e26-b524e22c4b6d"/>
    <s v="2023-06-28"/>
    <x v="3"/>
    <x v="0"/>
    <n v="28"/>
    <s v="10:13"/>
    <n v="150"/>
    <x v="0"/>
    <s v="rc_cat_1781955063347_5qjb_1781955063347_tezk"/>
    <x v="5"/>
    <s v="kbank"/>
    <x v="0"/>
    <s v=""/>
    <m/>
    <s v="-"/>
    <m/>
    <s v="import"/>
    <s v=""/>
    <b v="0"/>
    <s v=""/>
  </r>
  <r>
    <s v="e276a6f5-94dc-480b-96c6-c0da670907e5"/>
    <s v="2023-06-28"/>
    <x v="3"/>
    <x v="0"/>
    <n v="28"/>
    <s v="15:14"/>
    <n v="140"/>
    <x v="0"/>
    <s v="rc_cat_1781955063347_5qjb_1781955063347_tezk"/>
    <x v="5"/>
    <s v="kbank"/>
    <x v="0"/>
    <s v=""/>
    <m/>
    <s v="-"/>
    <m/>
    <s v="import"/>
    <s v=""/>
    <b v="0"/>
    <s v=""/>
  </r>
  <r>
    <s v="c819ada9-ec49-4fe0-8897-a7acac04e7a9"/>
    <s v="2023-06-27"/>
    <x v="3"/>
    <x v="0"/>
    <n v="27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fb6f4907-de93-4090-ae12-5d3cc6158050"/>
    <s v="2023-06-27"/>
    <x v="3"/>
    <x v="0"/>
    <n v="27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fcccbb21-4ef9-4a57-b5e6-f43089d4cb3c"/>
    <s v="2023-06-27"/>
    <x v="3"/>
    <x v="0"/>
    <n v="27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47ca45f9-5a14-459d-b323-ed2d00cbe9fd"/>
    <s v="2023-06-27"/>
    <x v="3"/>
    <x v="0"/>
    <n v="27"/>
    <s v="00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6a764955-7370-413a-bf47-f5ce702c5db7"/>
    <s v="2023-06-27"/>
    <x v="3"/>
    <x v="0"/>
    <n v="27"/>
    <s v="00:00"/>
    <n v="7837.1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5020acc9-6b85-4d93-8f1e-b75869f6ebc6"/>
    <s v="2023-06-27"/>
    <x v="3"/>
    <x v="0"/>
    <n v="27"/>
    <s v="00:00"/>
    <n v="2608.85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7642cd1f-c9d0-43f8-96e3-0b01a46c1471"/>
    <s v="2023-06-27"/>
    <x v="3"/>
    <x v="0"/>
    <n v="27"/>
    <s v="00:00"/>
    <n v="380.7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25146a13-a70b-4bfb-b85f-8316f6569588"/>
    <s v="2023-06-27"/>
    <x v="3"/>
    <x v="0"/>
    <n v="27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57db3f20-3dab-4b63-9596-5739d12b7409"/>
    <s v="2023-06-27"/>
    <x v="3"/>
    <x v="0"/>
    <n v="27"/>
    <s v="00:00"/>
    <n v="56050"/>
    <x v="2"/>
    <s v="income_1781955063347_5zxt"/>
    <x v="14"/>
    <s v="rc_acc_1781955063347_uxz4"/>
    <x v="4"/>
    <s v=""/>
    <m/>
    <s v="vp"/>
    <m/>
    <s v="import"/>
    <s v=""/>
    <b v="0"/>
    <s v=""/>
  </r>
  <r>
    <s v="7c0fa67c-3ac0-456c-a64b-d2864655ea7c"/>
    <s v="2023-06-27"/>
    <x v="3"/>
    <x v="0"/>
    <n v="27"/>
    <s v="12:36"/>
    <n v="1000"/>
    <x v="0"/>
    <s v="rc_cat_1781955063347_5qjb_1781955063347_tezk"/>
    <x v="5"/>
    <s v="kbank"/>
    <x v="0"/>
    <s v=""/>
    <m/>
    <s v="steve"/>
    <m/>
    <s v="import"/>
    <s v=""/>
    <b v="0"/>
    <s v=""/>
  </r>
  <r>
    <s v="db3e0820-1003-49b8-b94b-5a7ff316902b"/>
    <s v="2023-06-27"/>
    <x v="3"/>
    <x v="0"/>
    <n v="27"/>
    <s v="14:55"/>
    <n v="55"/>
    <x v="0"/>
    <s v="rc_cat_1781955063347_5qjb_1781955063347_tezk"/>
    <x v="5"/>
    <s v="kbank"/>
    <x v="0"/>
    <s v=""/>
    <m/>
    <s v="-"/>
    <m/>
    <s v="import"/>
    <s v=""/>
    <b v="0"/>
    <s v=""/>
  </r>
  <r>
    <s v="53e5a822-07e6-4fae-99a4-b7b25c0b7de1"/>
    <s v="2023-06-25"/>
    <x v="3"/>
    <x v="0"/>
    <n v="25"/>
    <s v="00:58"/>
    <n v="1830"/>
    <x v="0"/>
    <s v="entertain_1781955063349_gok1"/>
    <x v="18"/>
    <s v="rc_acc_1781955063347_e3zv"/>
    <x v="16"/>
    <s v=""/>
    <m/>
    <s v="ที่จอดรถ"/>
    <m/>
    <s v="import"/>
    <s v=""/>
    <b v="0"/>
    <s v=""/>
  </r>
  <r>
    <s v="c9173148-feae-47b7-a463-ba8f18a4652e"/>
    <s v="2023-06-25"/>
    <x v="3"/>
    <x v="0"/>
    <n v="25"/>
    <s v="09:57"/>
    <n v="1261"/>
    <x v="2"/>
    <s v="income_1781955063347_zblt"/>
    <x v="17"/>
    <s v="rc_acc_1781955063347_uxz4"/>
    <x v="4"/>
    <s v=""/>
    <m/>
    <s v="-"/>
    <m/>
    <s v="import"/>
    <s v=""/>
    <b v="0"/>
    <s v=""/>
  </r>
  <r>
    <s v="8a84dd5a-85cc-4af0-a305-d361217e95e0"/>
    <s v="2023-06-25"/>
    <x v="3"/>
    <x v="0"/>
    <n v="25"/>
    <s v="13:59"/>
    <n v="1015"/>
    <x v="0"/>
    <s v="rc_cat_1781955063347_5qjb_1781955063348_wpky"/>
    <x v="27"/>
    <s v="kbank"/>
    <x v="0"/>
    <s v=""/>
    <m/>
    <s v="-"/>
    <m/>
    <s v="import"/>
    <s v=""/>
    <b v="0"/>
    <s v=""/>
  </r>
  <r>
    <s v="6ef2cc18-c0a8-41eb-b38d-1489008d8507"/>
    <s v="2023-06-25"/>
    <x v="3"/>
    <x v="0"/>
    <n v="25"/>
    <s v="16:21"/>
    <n v="1678"/>
    <x v="1"/>
    <s v="other"/>
    <x v="1"/>
    <s v="kbank"/>
    <x v="0"/>
    <s v="rc_acc_1781955063347_0qmn"/>
    <s v="Marriage account"/>
    <s v="-"/>
    <m/>
    <s v="import"/>
    <s v=""/>
    <b v="0"/>
    <s v=""/>
  </r>
  <r>
    <s v="5040b0aa-4110-451b-85d4-787a2a28de83"/>
    <s v="2023-06-25"/>
    <x v="3"/>
    <x v="0"/>
    <n v="25"/>
    <s v="16:39"/>
    <n v="15822"/>
    <x v="1"/>
    <s v="other"/>
    <x v="1"/>
    <s v="rc_acc_1781955063347_uxz4"/>
    <x v="4"/>
    <s v="rc_acc_1781955063347_0qmn"/>
    <s v="Marriage account"/>
    <s v="กองกลาง"/>
    <m/>
    <s v="import"/>
    <s v=""/>
    <b v="0"/>
    <s v=""/>
  </r>
  <r>
    <s v="1e2a2712-abf2-49ce-8ffd-3bb68a3d6fe6"/>
    <s v="2023-06-25"/>
    <x v="3"/>
    <x v="0"/>
    <n v="25"/>
    <s v="16:57"/>
    <n v="3190"/>
    <x v="1"/>
    <s v="other"/>
    <x v="1"/>
    <s v="kbank"/>
    <x v="0"/>
    <s v="rc_acc_1781955063350_i8ms"/>
    <s v="Kbank onesiam"/>
    <s v="-"/>
    <m/>
    <s v="import"/>
    <s v=""/>
    <b v="0"/>
    <s v=""/>
  </r>
  <r>
    <s v="da52b482-f091-43e7-8cae-5a2bc958fc08"/>
    <s v="2023-06-24"/>
    <x v="3"/>
    <x v="0"/>
    <n v="24"/>
    <s v="09:06"/>
    <n v="113.66"/>
    <x v="0"/>
    <s v="rc_cat_1781955063347_5qjb_1781955063347_tezk"/>
    <x v="5"/>
    <s v="rc_acc_1781955063356_nq03"/>
    <x v="22"/>
    <s v=""/>
    <m/>
    <s v="กาแฟ observatory"/>
    <m/>
    <s v="import"/>
    <s v=""/>
    <b v="0"/>
    <s v=""/>
  </r>
  <r>
    <s v="9ad0a01c-5aa7-44f0-9a4d-bdb04ef936c0"/>
    <s v="2023-06-24"/>
    <x v="3"/>
    <x v="0"/>
    <n v="24"/>
    <s v="12:05"/>
    <n v="294.98"/>
    <x v="0"/>
    <s v="rc_cat_1781955063347_5qjb_1781955063347_tezk"/>
    <x v="5"/>
    <s v="rc_acc_1781955063352_d0kz"/>
    <x v="24"/>
    <s v=""/>
    <m/>
    <s v="EGGDROP"/>
    <m/>
    <s v="import"/>
    <s v=""/>
    <b v="0"/>
    <s v=""/>
  </r>
  <r>
    <s v="a3e6b598-2cfd-423c-9f39-2516909fd324"/>
    <s v="2023-06-24"/>
    <x v="3"/>
    <x v="0"/>
    <n v="24"/>
    <s v="13:31"/>
    <n v="1242.15"/>
    <x v="0"/>
    <s v="entertain_1781955063349_gok1"/>
    <x v="18"/>
    <s v="rc_acc_1781955063352_d0kz"/>
    <x v="24"/>
    <s v=""/>
    <m/>
    <s v="LINEFRIENDS"/>
    <m/>
    <s v="import"/>
    <s v=""/>
    <b v="0"/>
    <s v=""/>
  </r>
  <r>
    <s v="65472f70-10ed-4624-88d3-0ca7d5814f55"/>
    <s v="2023-06-24"/>
    <x v="3"/>
    <x v="0"/>
    <n v="24"/>
    <s v="14:00"/>
    <n v="270.62"/>
    <x v="0"/>
    <s v="entertain_1781955063349_gok1"/>
    <x v="18"/>
    <s v="rc_acc_1781955063356_nq03"/>
    <x v="22"/>
    <s v=""/>
    <m/>
    <s v="ให้หงยืมค่า footmask"/>
    <m/>
    <s v="import"/>
    <s v=""/>
    <b v="0"/>
    <s v=""/>
  </r>
  <r>
    <s v="fb4bb61c-0d4d-4a82-8c30-3530ae16b06e"/>
    <s v="2023-06-24"/>
    <x v="3"/>
    <x v="0"/>
    <n v="24"/>
    <s v="14:32"/>
    <n v="278.74"/>
    <x v="0"/>
    <s v="rc_cat_1781955063347_5qjb_1781955063347_tezk"/>
    <x v="5"/>
    <s v="rc_acc_1781955063352_d0kz"/>
    <x v="24"/>
    <s v=""/>
    <m/>
    <s v="DOWNTOWNER BURGER"/>
    <m/>
    <s v="import"/>
    <s v=""/>
    <b v="0"/>
    <s v=""/>
  </r>
  <r>
    <s v="54b8a0c0-ce4d-4029-9407-946f82b6aa74"/>
    <s v="2023-06-24"/>
    <x v="3"/>
    <x v="0"/>
    <n v="24"/>
    <s v="15:32"/>
    <n v="94.72"/>
    <x v="0"/>
    <s v="rc_cat_1781955063347_5qjb_1781955063347_tezk"/>
    <x v="5"/>
    <s v="rc_acc_1781955063352_d0kz"/>
    <x v="24"/>
    <s v=""/>
    <m/>
    <s v="coffee numdaemun"/>
    <m/>
    <s v="import"/>
    <s v=""/>
    <b v="0"/>
    <s v=""/>
  </r>
  <r>
    <s v="e5b1f9b6-1ae4-4ff0-be63-3cedd607cb84"/>
    <s v="2023-06-24"/>
    <x v="3"/>
    <x v="0"/>
    <n v="24"/>
    <s v="17:50"/>
    <n v="1791.52"/>
    <x v="0"/>
    <s v="entertain_1781955063349_gok1"/>
    <x v="18"/>
    <s v="rc_acc_1781955063352_d0kz"/>
    <x v="24"/>
    <s v=""/>
    <m/>
    <s v="taxi"/>
    <m/>
    <s v="import"/>
    <s v=""/>
    <b v="0"/>
    <s v=""/>
  </r>
  <r>
    <s v="05be138c-3cb5-4291-91f0-2d250290c0ed"/>
    <s v="2023-06-23"/>
    <x v="3"/>
    <x v="0"/>
    <n v="23"/>
    <s v="10:53"/>
    <n v="2164.98"/>
    <x v="0"/>
    <s v="entertain_1781955063349_gok1"/>
    <x v="18"/>
    <s v="rc_acc_1781955063356_nq03"/>
    <x v="22"/>
    <s v=""/>
    <m/>
    <s v="ของฝาก"/>
    <m/>
    <s v="import"/>
    <s v=""/>
    <b v="0"/>
    <s v=""/>
  </r>
  <r>
    <s v="087babb8-0b39-421a-a667-b1b46ea12056"/>
    <s v="2023-06-23"/>
    <x v="3"/>
    <x v="0"/>
    <n v="23"/>
    <s v="14:35"/>
    <n v="1282.75"/>
    <x v="0"/>
    <s v="entertain_1781955063349_gok1"/>
    <x v="18"/>
    <s v="rc_acc_1781955063352_d0kz"/>
    <x v="24"/>
    <s v=""/>
    <m/>
    <s v="topten"/>
    <m/>
    <s v="import"/>
    <s v=""/>
    <b v="0"/>
    <s v=""/>
  </r>
  <r>
    <s v="25d525cc-b195-4ac2-b6ac-7c55040d0412"/>
    <s v="2023-06-23"/>
    <x v="3"/>
    <x v="0"/>
    <n v="23"/>
    <s v="15:56"/>
    <n v="378.87"/>
    <x v="0"/>
    <s v="entertain_1781955063349_gok1"/>
    <x v="18"/>
    <s v="rc_acc_1781955063356_nq03"/>
    <x v="22"/>
    <s v=""/>
    <m/>
    <s v="ขึ้นกระเช้า"/>
    <m/>
    <s v="import"/>
    <s v=""/>
    <b v="0"/>
    <s v=""/>
  </r>
  <r>
    <s v="192c9e32-eaef-4c07-92f5-35c057afba86"/>
    <s v="2023-06-23"/>
    <x v="3"/>
    <x v="0"/>
    <n v="23"/>
    <s v="17:26"/>
    <n v="909.29"/>
    <x v="0"/>
    <s v="rc_cat_1781955063347_5qjb_1781955063347_tezk"/>
    <x v="5"/>
    <s v="rc_acc_1781955063352_d0kz"/>
    <x v="24"/>
    <s v=""/>
    <m/>
    <s v="ungtori sangogi"/>
    <m/>
    <s v="import"/>
    <s v=""/>
    <b v="0"/>
    <s v=""/>
  </r>
  <r>
    <s v="9db745f6-8520-4868-8929-d9c9f341250c"/>
    <s v="2023-06-23"/>
    <x v="3"/>
    <x v="0"/>
    <n v="23"/>
    <s v="18:57"/>
    <n v="27.06"/>
    <x v="0"/>
    <s v="rc_cat_1781955063347_5qjb_1781955063347_tezk"/>
    <x v="5"/>
    <s v="rc_acc_1781955063356_nq03"/>
    <x v="22"/>
    <s v=""/>
    <m/>
    <s v="น้ำเปล่าลงกระเช้า"/>
    <m/>
    <s v="import"/>
    <s v=""/>
    <b v="0"/>
    <s v=""/>
  </r>
  <r>
    <s v="59f11d25-153a-4ed9-b41c-b73852467356"/>
    <s v="2023-06-23"/>
    <x v="3"/>
    <x v="0"/>
    <n v="23"/>
    <s v="19:09"/>
    <n v="311.22"/>
    <x v="0"/>
    <s v="rc_cat_1781955063347_5qjb_1781955063347_tezk"/>
    <x v="5"/>
    <s v="rc_acc_1781955063352_d0kz"/>
    <x v="24"/>
    <s v=""/>
    <m/>
    <s v="seoul tower twosome palce"/>
    <m/>
    <s v="import"/>
    <s v=""/>
    <b v="0"/>
    <s v=""/>
  </r>
  <r>
    <s v="4aab0e04-ea39-498b-97e5-bb776b7a0c4c"/>
    <s v="2023-06-23"/>
    <x v="3"/>
    <x v="0"/>
    <n v="23"/>
    <s v="21:05"/>
    <n v="67.66"/>
    <x v="0"/>
    <s v="entertain_1781955063349_gok1"/>
    <x v="18"/>
    <s v="rc_acc_1781955063352_d0kz"/>
    <x v="24"/>
    <s v=""/>
    <m/>
    <s v="magnet"/>
    <m/>
    <s v="import"/>
    <s v=""/>
    <b v="0"/>
    <s v=""/>
  </r>
  <r>
    <s v="93c8fcf3-d9bb-470d-b61e-a70a7a90fd10"/>
    <s v="2023-06-23"/>
    <x v="3"/>
    <x v="0"/>
    <n v="23"/>
    <s v="21:20"/>
    <n v="135.31"/>
    <x v="0"/>
    <s v="entertain_1781955063349_gok1"/>
    <x v="18"/>
    <s v="rc_acc_1781955063352_d0kz"/>
    <x v="24"/>
    <s v=""/>
    <m/>
    <s v="เหรียญ"/>
    <m/>
    <s v="import"/>
    <s v=""/>
    <b v="0"/>
    <s v=""/>
  </r>
  <r>
    <s v="e5c595e7-a689-43a3-99b3-a814c01a1830"/>
    <s v="2023-06-22"/>
    <x v="3"/>
    <x v="0"/>
    <n v="22"/>
    <s v="10:00"/>
    <n v="270.62"/>
    <x v="0"/>
    <s v="rc_cat_1781955063347_5qjb_1781955063347_tezk"/>
    <x v="5"/>
    <s v="rc_acc_1781955063356_nq03"/>
    <x v="22"/>
    <s v=""/>
    <m/>
    <s v="เกี้ยวเมียงดง"/>
    <m/>
    <s v="import"/>
    <s v=""/>
    <b v="0"/>
    <s v=""/>
  </r>
  <r>
    <s v="dbe648b9-372a-49a0-89ae-253bddfb77bd"/>
    <s v="2023-06-22"/>
    <x v="3"/>
    <x v="0"/>
    <n v="22"/>
    <s v="11:52"/>
    <n v="54.12"/>
    <x v="0"/>
    <s v="entertain_1781955063349_gok1"/>
    <x v="18"/>
    <s v="rc_acc_1781955063356_nq03"/>
    <x v="22"/>
    <s v=""/>
    <m/>
    <s v="daiso"/>
    <m/>
    <s v="import"/>
    <s v=""/>
    <b v="0"/>
    <s v=""/>
  </r>
  <r>
    <s v="f25df82a-afd8-49b1-ab2c-f5688abdb951"/>
    <s v="2023-06-22"/>
    <x v="3"/>
    <x v="0"/>
    <n v="22"/>
    <s v="12:25"/>
    <n v="1488.42"/>
    <x v="0"/>
    <s v="entertain_1781955063349_gok1"/>
    <x v="18"/>
    <s v="rc_acc_1781955063352_d0kz"/>
    <x v="24"/>
    <s v=""/>
    <m/>
    <s v="รองเท้า"/>
    <m/>
    <s v="import"/>
    <s v=""/>
    <b v="0"/>
    <s v=""/>
  </r>
  <r>
    <s v="5a0bdd84-939f-4000-8251-8fc3be93ba5e"/>
    <s v="2023-06-22"/>
    <x v="3"/>
    <x v="0"/>
    <n v="22"/>
    <s v="12:30"/>
    <n v="94.72"/>
    <x v="2"/>
    <s v="income_1781955063347_zblt"/>
    <x v="17"/>
    <s v="rc_acc_1781955063356_nq03"/>
    <x v="22"/>
    <s v=""/>
    <m/>
    <s v="รองเท้า"/>
    <m/>
    <s v="import"/>
    <s v=""/>
    <b v="0"/>
    <s v=""/>
  </r>
  <r>
    <s v="23066252-94ba-4a36-9cf1-3245a4ad2442"/>
    <s v="2023-06-22"/>
    <x v="3"/>
    <x v="0"/>
    <n v="22"/>
    <s v="12:36"/>
    <n v="121.78"/>
    <x v="0"/>
    <s v="rc_cat_1781955063347_5qjb_1781955063347_tezk"/>
    <x v="5"/>
    <s v="rc_acc_1781955063356_nq03"/>
    <x v="22"/>
    <s v=""/>
    <m/>
    <s v="กาแฟหน้า รร"/>
    <m/>
    <s v="import"/>
    <s v=""/>
    <b v="0"/>
    <s v=""/>
  </r>
  <r>
    <s v="ba608f29-6a78-4f38-958e-89294f16c3c9"/>
    <s v="2023-06-22"/>
    <x v="3"/>
    <x v="0"/>
    <n v="22"/>
    <s v="13:45"/>
    <n v="32.47"/>
    <x v="0"/>
    <s v="entertain_1781955063349_gok1"/>
    <x v="18"/>
    <s v="rc_acc_1781955063356_4xom"/>
    <x v="30"/>
    <s v=""/>
    <m/>
    <s v="รถเมล์ไป ddp"/>
    <m/>
    <s v="import"/>
    <s v=""/>
    <b v="0"/>
    <s v=""/>
  </r>
  <r>
    <s v="259429e5-e436-4f50-84c7-2b695559a0f9"/>
    <s v="2023-06-22"/>
    <x v="3"/>
    <x v="0"/>
    <n v="22"/>
    <s v="15:15"/>
    <n v="135.31"/>
    <x v="0"/>
    <s v="rc_cat_1781955063347_5qjb_1781955063347_tezk"/>
    <x v="5"/>
    <s v="rc_acc_1781955063356_nq03"/>
    <x v="22"/>
    <s v=""/>
    <m/>
    <s v="กาแฟตลาดกวางจัง"/>
    <m/>
    <s v="import"/>
    <s v=""/>
    <b v="0"/>
    <s v=""/>
  </r>
  <r>
    <s v="b13cefe5-2914-4f5d-be1e-e59ec22692a0"/>
    <s v="2023-06-22"/>
    <x v="3"/>
    <x v="0"/>
    <n v="22"/>
    <s v="15:15"/>
    <n v="156.96"/>
    <x v="0"/>
    <s v="rc_cat_1781955063347_5qjb_1781955063347_tezk"/>
    <x v="5"/>
    <s v="rc_acc_1781955063356_nq03"/>
    <x v="22"/>
    <s v=""/>
    <m/>
    <s v="ไอติม ตลาดกวางจัง"/>
    <m/>
    <s v="import"/>
    <s v=""/>
    <b v="0"/>
    <s v=""/>
  </r>
  <r>
    <s v="4e6d677d-9d50-4c98-8932-c535cf222283"/>
    <s v="2023-06-22"/>
    <x v="3"/>
    <x v="0"/>
    <n v="22"/>
    <s v="15:37"/>
    <n v="135.31"/>
    <x v="1"/>
    <s v="other"/>
    <x v="1"/>
    <s v="rc_acc_1781955063356_nq03"/>
    <x v="22"/>
    <s v="rc_acc_1781955063356_4xom"/>
    <s v="t money"/>
    <s v="-"/>
    <m/>
    <s v="import"/>
    <s v=""/>
    <b v="0"/>
    <s v=""/>
  </r>
  <r>
    <s v="e7ee2112-9dca-47d7-b9da-a59663cb8606"/>
    <s v="2023-06-22"/>
    <x v="3"/>
    <x v="0"/>
    <n v="22"/>
    <s v="16:20"/>
    <n v="541.24"/>
    <x v="0"/>
    <s v="rc_cat_1781955063347_5qjb_1781955063347_tezk"/>
    <x v="5"/>
    <s v="rc_acc_1781955063352_d0kz"/>
    <x v="24"/>
    <s v=""/>
    <m/>
    <s v="shakenshank"/>
    <m/>
    <s v="import"/>
    <s v=""/>
    <b v="0"/>
    <s v=""/>
  </r>
  <r>
    <s v="0cf7a945-f86a-4955-83cf-dcfe547b2df1"/>
    <s v="2023-06-21"/>
    <x v="3"/>
    <x v="0"/>
    <n v="21"/>
    <s v="10:29"/>
    <n v="273.33"/>
    <x v="0"/>
    <s v="rc_cat_1781955063347_5qjb_1781955063347_tezk"/>
    <x v="5"/>
    <s v="rc_acc_1781955063352_d0kz"/>
    <x v="24"/>
    <s v=""/>
    <m/>
    <s v="kfc"/>
    <m/>
    <s v="import"/>
    <s v=""/>
    <b v="0"/>
    <s v=""/>
  </r>
  <r>
    <s v="4916bcbe-425f-4d79-885c-0c2e79e992cd"/>
    <s v="2023-06-20"/>
    <x v="3"/>
    <x v="0"/>
    <n v="20"/>
    <s v="10:08"/>
    <n v="408.64"/>
    <x v="0"/>
    <s v="rc_cat_1781955063347_5qjb_1781955063347_tezk"/>
    <x v="5"/>
    <s v="rc_acc_1781955063352_d0kz"/>
    <x v="24"/>
    <s v=""/>
    <m/>
    <s v="knotted"/>
    <m/>
    <s v="import"/>
    <s v=""/>
    <b v="0"/>
    <s v=""/>
  </r>
  <r>
    <s v="aeb9d3d1-65ce-45f8-be36-e05866ebe28e"/>
    <s v="2023-06-20"/>
    <x v="3"/>
    <x v="0"/>
    <n v="20"/>
    <s v="12:09"/>
    <n v="690.09"/>
    <x v="0"/>
    <s v="rc_cat_1781955063347_5qjb_1781955063347_tezk"/>
    <x v="5"/>
    <s v="rc_acc_1781955063356_nq03"/>
    <x v="22"/>
    <s v=""/>
    <m/>
    <s v="bagel"/>
    <m/>
    <s v="import"/>
    <s v=""/>
    <b v="0"/>
    <s v=""/>
  </r>
  <r>
    <s v="dd9291da-2fb9-40f9-9422-b7fbb654b8dc"/>
    <s v="2023-06-20"/>
    <x v="3"/>
    <x v="0"/>
    <n v="20"/>
    <s v="13:54"/>
    <n v="34.67"/>
    <x v="0"/>
    <s v="other_1781955063348_27zj"/>
    <x v="0"/>
    <s v="rc_acc_1781955063347_sv7p"/>
    <x v="12"/>
    <s v=""/>
    <m/>
    <s v="-"/>
    <m/>
    <s v="import"/>
    <s v=""/>
    <b v="0"/>
    <s v=""/>
  </r>
  <r>
    <s v="a4e8fc46-5155-4a1a-9350-b6371e0fc06a"/>
    <s v="2023-06-20"/>
    <x v="3"/>
    <x v="0"/>
    <n v="20"/>
    <s v="17:05"/>
    <n v="2868.59"/>
    <x v="0"/>
    <s v="entertain_1781955063349_gok1"/>
    <x v="18"/>
    <s v="rc_acc_1781955063352_d0kz"/>
    <x v="24"/>
    <s v=""/>
    <m/>
    <s v="hongjjukgumi"/>
    <m/>
    <s v="import"/>
    <s v=""/>
    <b v="0"/>
    <s v=""/>
  </r>
  <r>
    <s v="c13226a4-c153-4990-a37c-7d8a309089fa"/>
    <s v="2023-06-19"/>
    <x v="3"/>
    <x v="0"/>
    <n v="19"/>
    <s v="07:28"/>
    <n v="270.62"/>
    <x v="0"/>
    <s v="entertain_1781955063349_gok1"/>
    <x v="18"/>
    <s v="rc_acc_1781955063356_nq03"/>
    <x v="22"/>
    <s v=""/>
    <m/>
    <s v="บัตรห้าวัง"/>
    <m/>
    <s v="import"/>
    <s v=""/>
    <b v="0"/>
    <s v=""/>
  </r>
  <r>
    <s v="73da90c0-c61d-41a2-93e2-2c7b96df8ea6"/>
    <s v="2023-06-19"/>
    <x v="3"/>
    <x v="0"/>
    <n v="19"/>
    <s v="07:29"/>
    <n v="181.32"/>
    <x v="0"/>
    <s v="entertain_1781955063349_gok1"/>
    <x v="18"/>
    <s v="rc_acc_1781955063356_4xom"/>
    <x v="30"/>
    <s v=""/>
    <m/>
    <s v="ข้าวเช้าเซเว่น กองกลาง"/>
    <m/>
    <s v="import"/>
    <s v=""/>
    <b v="0"/>
    <s v=""/>
  </r>
  <r>
    <s v="b294c02e-9d36-4804-9fff-fbd9defc0dad"/>
    <s v="2023-06-19"/>
    <x v="3"/>
    <x v="0"/>
    <n v="19"/>
    <s v="08:30"/>
    <n v="33.83"/>
    <x v="0"/>
    <s v="entertain_1781955063349_gok1"/>
    <x v="18"/>
    <s v="rc_acc_1781955063356_4xom"/>
    <x v="30"/>
    <s v=""/>
    <m/>
    <s v="ที่พักไปวังเคียงบกกุง"/>
    <m/>
    <s v="import"/>
    <s v=""/>
    <b v="0"/>
    <s v=""/>
  </r>
  <r>
    <s v="3ba57c39-1afc-4a7e-8c42-ef243e2b43a6"/>
    <s v="2023-06-19"/>
    <x v="3"/>
    <x v="0"/>
    <n v="19"/>
    <s v="12:31"/>
    <n v="27.06"/>
    <x v="0"/>
    <s v="entertain_1781955063349_gok1"/>
    <x v="18"/>
    <s v="rc_acc_1781955063356_4xom"/>
    <x v="30"/>
    <s v=""/>
    <m/>
    <s v="น้ำเปล่า กองกลาง"/>
    <m/>
    <s v="import"/>
    <s v=""/>
    <b v="0"/>
    <s v=""/>
  </r>
  <r>
    <s v="747a6578-01ad-4f0d-b69f-8197b9fafc88"/>
    <s v="2023-06-19"/>
    <x v="3"/>
    <x v="0"/>
    <n v="19"/>
    <s v="12:33"/>
    <n v="595.37"/>
    <x v="0"/>
    <s v="rc_cat_1781955063347_5qjb_1781955063347_tezk"/>
    <x v="5"/>
    <s v="rc_acc_1781955063356_nq03"/>
    <x v="22"/>
    <s v=""/>
    <m/>
    <s v="ริมรั้ววัง"/>
    <m/>
    <s v="import"/>
    <s v=""/>
    <b v="0"/>
    <s v=""/>
  </r>
  <r>
    <s v="fdf15fdc-de40-4fac-902a-ce3a89bb5a44"/>
    <s v="2023-06-19"/>
    <x v="3"/>
    <x v="0"/>
    <n v="19"/>
    <s v="12:49"/>
    <n v="51.42"/>
    <x v="0"/>
    <s v="rc_cat_1781955063347_5qjb_1781955063347_tezk"/>
    <x v="5"/>
    <s v="rc_acc_1781955063356_4xom"/>
    <x v="30"/>
    <s v=""/>
    <m/>
    <s v="โค้ก"/>
    <m/>
    <s v="import"/>
    <s v=""/>
    <b v="0"/>
    <s v=""/>
  </r>
  <r>
    <s v="f4527884-ffbf-474f-aadd-a0d634c1331d"/>
    <s v="2023-06-19"/>
    <x v="3"/>
    <x v="0"/>
    <n v="19"/>
    <s v="12:50"/>
    <n v="33.83"/>
    <x v="0"/>
    <s v="entertain_1781955063349_gok1"/>
    <x v="18"/>
    <s v="rc_acc_1781955063356_4xom"/>
    <x v="30"/>
    <s v=""/>
    <m/>
    <s v="กลับจากบุกชอนไปที่พัก"/>
    <m/>
    <s v="import"/>
    <s v=""/>
    <b v="0"/>
    <s v=""/>
  </r>
  <r>
    <s v="cc8ddb7a-a232-47a0-95d1-20842274547e"/>
    <s v="2023-06-19"/>
    <x v="3"/>
    <x v="0"/>
    <n v="19"/>
    <s v="14:30"/>
    <n v="33.83"/>
    <x v="0"/>
    <s v="entertain_1781955063349_gok1"/>
    <x v="18"/>
    <s v="rc_acc_1781955063356_4xom"/>
    <x v="30"/>
    <s v=""/>
    <m/>
    <s v="ที่พักไปฮงแด"/>
    <m/>
    <s v="import"/>
    <s v=""/>
    <b v="0"/>
    <s v=""/>
  </r>
  <r>
    <s v="1b444407-2fc7-4671-a358-9c33413b5621"/>
    <s v="2023-06-19"/>
    <x v="3"/>
    <x v="0"/>
    <n v="19"/>
    <s v="17:35"/>
    <n v="32.47"/>
    <x v="0"/>
    <s v="entertain_1781955063349_gok1"/>
    <x v="18"/>
    <s v="rc_acc_1781955063356_4xom"/>
    <x v="30"/>
    <s v=""/>
    <m/>
    <s v="ฮงแดกลับมาเมียงดง"/>
    <m/>
    <s v="import"/>
    <s v=""/>
    <b v="0"/>
    <s v=""/>
  </r>
  <r>
    <s v="b0f9fbb0-5aa1-4f23-928a-689508382d59"/>
    <s v="2023-06-19"/>
    <x v="3"/>
    <x v="0"/>
    <n v="19"/>
    <s v="17:54"/>
    <n v="162.37"/>
    <x v="0"/>
    <s v="rc_cat_1781955063347_5qjb_1781955063347_tezk"/>
    <x v="5"/>
    <s v="rc_acc_1781955063356_4xom"/>
    <x v="30"/>
    <s v=""/>
    <m/>
    <s v="กาแฟเซเว่น ซื้อมาตุน"/>
    <m/>
    <s v="import"/>
    <s v=""/>
    <b v="0"/>
    <s v=""/>
  </r>
  <r>
    <s v="79ae8f91-7734-4c76-b299-77916e95c0c0"/>
    <s v="2023-06-18"/>
    <x v="3"/>
    <x v="0"/>
    <n v="18"/>
    <s v="07:30"/>
    <n v="408"/>
    <x v="0"/>
    <s v="entertain_1781955063349_gok1"/>
    <x v="18"/>
    <s v="rc_acc_1781955063347_0qmn"/>
    <x v="20"/>
    <s v=""/>
    <m/>
    <s v="klook"/>
    <m/>
    <s v="import"/>
    <s v=""/>
    <b v="0"/>
    <s v=""/>
  </r>
  <r>
    <s v="ad5ec05d-9d8e-4a95-a6ca-186186367708"/>
    <s v="2023-06-18"/>
    <x v="3"/>
    <x v="0"/>
    <n v="18"/>
    <s v="07:45"/>
    <n v="108.25"/>
    <x v="0"/>
    <s v="entertain_1781955063349_gok1"/>
    <x v="18"/>
    <s v="rc_acc_1781955063356_nq03"/>
    <x v="22"/>
    <s v=""/>
    <m/>
    <s v="บัตร t money"/>
    <m/>
    <s v="import"/>
    <s v=""/>
    <b v="0"/>
    <s v=""/>
  </r>
  <r>
    <s v="b12026f2-b13e-42bf-b5ad-f76280fd6985"/>
    <s v="2023-06-18"/>
    <x v="3"/>
    <x v="0"/>
    <n v="18"/>
    <s v="07:53"/>
    <n v="1353.11"/>
    <x v="1"/>
    <s v="other"/>
    <x v="1"/>
    <s v="rc_acc_1781955063356_nq03"/>
    <x v="22"/>
    <s v="rc_acc_1781955063356_4xom"/>
    <s v="t money"/>
    <s v="-"/>
    <m/>
    <s v="import"/>
    <s v=""/>
    <b v="0"/>
    <s v=""/>
  </r>
  <r>
    <s v="f3472024-bd6a-44fd-845e-68d7adcb1f6d"/>
    <s v="2023-06-18"/>
    <x v="3"/>
    <x v="0"/>
    <n v="18"/>
    <s v="08:55"/>
    <n v="33.83"/>
    <x v="0"/>
    <s v="entertain_1781955063349_gok1"/>
    <x v="18"/>
    <s v="rc_acc_1781955063356_4xom"/>
    <x v="30"/>
    <s v=""/>
    <m/>
    <s v="จาก seoul station ไป city station"/>
    <m/>
    <s v="import"/>
    <s v=""/>
    <b v="0"/>
    <s v=""/>
  </r>
  <r>
    <s v="8f3b265b-f100-4ea3-a415-7620aad1d1d2"/>
    <s v="2023-06-18"/>
    <x v="3"/>
    <x v="0"/>
    <n v="18"/>
    <s v="09:45"/>
    <n v="33.83"/>
    <x v="0"/>
    <s v="entertain_1781955063349_gok1"/>
    <x v="18"/>
    <s v="rc_acc_1781955063356_4xom"/>
    <x v="30"/>
    <s v=""/>
    <m/>
    <s v="จาก city station ไป gwangjung mart"/>
    <m/>
    <s v="import"/>
    <s v=""/>
    <b v="0"/>
    <s v=""/>
  </r>
  <r>
    <s v="8f568467-221c-4472-b71d-2d3969a277ee"/>
    <s v="2023-06-18"/>
    <x v="3"/>
    <x v="0"/>
    <n v="18"/>
    <s v="09:55"/>
    <n v="81.19"/>
    <x v="0"/>
    <s v="rc_cat_1781955063347_5qjb_1781955063347_tezk"/>
    <x v="5"/>
    <s v="rc_acc_1781955063356_nq03"/>
    <x v="22"/>
    <s v=""/>
    <m/>
    <s v="ขนม churos"/>
    <m/>
    <s v="import"/>
    <s v=""/>
    <b v="0"/>
    <s v=""/>
  </r>
  <r>
    <s v="e5fc2420-9162-4dc1-b077-cf54d710ddc1"/>
    <s v="2023-06-18"/>
    <x v="3"/>
    <x v="0"/>
    <n v="18"/>
    <s v="11:10"/>
    <n v="36.53"/>
    <x v="0"/>
    <s v="entertain_1781955063349_gok1"/>
    <x v="18"/>
    <s v="rc_acc_1781955063356_4xom"/>
    <x v="30"/>
    <s v=""/>
    <m/>
    <s v="gwangjung mart ไป boe geun sa"/>
    <m/>
    <s v="import"/>
    <s v=""/>
    <b v="0"/>
    <s v=""/>
  </r>
  <r>
    <s v="f063f8b8-0160-439f-bc34-636fcde1e1ca"/>
    <s v="2023-06-18"/>
    <x v="3"/>
    <x v="0"/>
    <n v="18"/>
    <s v="11:50"/>
    <n v="77.4"/>
    <x v="0"/>
    <s v="entertain_1781955063349_gok1"/>
    <x v="18"/>
    <s v="rc_acc_1781955063356_4xom"/>
    <x v="30"/>
    <s v=""/>
    <m/>
    <s v="น้ำ seven น้ำเปล่าแค่ 700"/>
    <m/>
    <s v="import"/>
    <s v=""/>
    <b v="0"/>
    <s v=""/>
  </r>
  <r>
    <s v="0b8667e8-90c4-43b3-b06f-c6d622353448"/>
    <s v="2023-06-18"/>
    <x v="3"/>
    <x v="0"/>
    <n v="18"/>
    <s v="12:11"/>
    <n v="27.06"/>
    <x v="0"/>
    <s v="entertain_1781955063349_gok1"/>
    <x v="18"/>
    <s v="rc_acc_1781955063356_4xom"/>
    <x v="30"/>
    <s v=""/>
    <m/>
    <s v="น้ำเปล่า coex"/>
    <m/>
    <s v="import"/>
    <s v=""/>
    <b v="0"/>
    <s v=""/>
  </r>
  <r>
    <s v="e22af9a4-2287-4a9d-97dd-83549fda3628"/>
    <s v="2023-06-18"/>
    <x v="3"/>
    <x v="0"/>
    <n v="18"/>
    <s v="13:12"/>
    <n v="36.53"/>
    <x v="0"/>
    <s v="entertain_1781955063349_gok1"/>
    <x v="18"/>
    <s v="rc_acc_1781955063356_4xom"/>
    <x v="30"/>
    <s v=""/>
    <m/>
    <s v="จาก coex ไปที่พัก"/>
    <m/>
    <s v="import"/>
    <s v=""/>
    <b v="0"/>
    <s v=""/>
  </r>
  <r>
    <s v="d899c6fb-adc8-4938-bec4-57d6305672d3"/>
    <s v="2023-06-18"/>
    <x v="3"/>
    <x v="0"/>
    <n v="18"/>
    <s v="16:45"/>
    <n v="690.09"/>
    <x v="0"/>
    <s v="rc_cat_1781955063347_5qjb_1781955063347_tezk"/>
    <x v="5"/>
    <s v="rc_acc_1781955063352_d0kz"/>
    <x v="24"/>
    <s v=""/>
    <m/>
    <s v="bhc chicken"/>
    <m/>
    <s v="import"/>
    <s v=""/>
    <b v="0"/>
    <s v=""/>
  </r>
  <r>
    <s v="707c228a-b361-4963-9531-0a17d5950e8e"/>
    <s v="2023-06-18"/>
    <x v="3"/>
    <x v="0"/>
    <n v="18"/>
    <s v="18:00"/>
    <n v="81.19"/>
    <x v="0"/>
    <s v="rc_cat_1781955063347_5qjb_1781955063347_tezk"/>
    <x v="5"/>
    <s v="rc_acc_1781955063356_nq03"/>
    <x v="22"/>
    <s v=""/>
    <m/>
    <s v="ไอติมสูงๆ"/>
    <m/>
    <s v="import"/>
    <s v=""/>
    <b v="0"/>
    <s v=""/>
  </r>
  <r>
    <s v="66c0b44c-c2f1-4d24-b143-9bf3094189b6"/>
    <s v="2023-06-17"/>
    <x v="3"/>
    <x v="0"/>
    <n v="17"/>
    <s v="12:50"/>
    <n v="6500"/>
    <x v="1"/>
    <s v="other"/>
    <x v="1"/>
    <s v="rc_acc_1781955063347_uxz4"/>
    <x v="4"/>
    <s v="rc_acc_1781955063347_e3zv"/>
    <s v="Cash"/>
    <s v="-"/>
    <m/>
    <s v="import"/>
    <s v=""/>
    <b v="0"/>
    <s v=""/>
  </r>
  <r>
    <s v="8c2afae2-4fe5-4aa9-80bb-8b29f7160208"/>
    <s v="2023-06-17"/>
    <x v="3"/>
    <x v="0"/>
    <n v="17"/>
    <s v="13:53"/>
    <n v="798"/>
    <x v="1"/>
    <s v="other"/>
    <x v="1"/>
    <s v="rc_acc_1781955063347_sv7p"/>
    <x v="12"/>
    <s v="advance"/>
    <s v="Advance Paid"/>
    <s v="sim2fly"/>
    <m/>
    <s v="import"/>
    <s v=""/>
    <b v="0"/>
    <s v=""/>
  </r>
  <r>
    <s v="9afc9ea5-8f0a-43f0-907b-40f919f069d3"/>
    <s v="2023-06-17"/>
    <x v="3"/>
    <x v="0"/>
    <n v="17"/>
    <s v="16:31"/>
    <n v="39"/>
    <x v="0"/>
    <s v="rc_cat_1781955063347_5qjb_1781955063347_tezk"/>
    <x v="5"/>
    <s v="kbank"/>
    <x v="0"/>
    <s v=""/>
    <m/>
    <s v="-"/>
    <m/>
    <s v="import"/>
    <s v=""/>
    <b v="0"/>
    <s v=""/>
  </r>
  <r>
    <s v="39fa2270-0857-4e78-bf28-52cd0d6c4056"/>
    <s v="2023-06-17"/>
    <x v="3"/>
    <x v="0"/>
    <n v="17"/>
    <s v="16:42"/>
    <n v="8089"/>
    <x v="1"/>
    <s v="other"/>
    <x v="1"/>
    <s v="rc_acc_1781955063347_e3zv"/>
    <x v="16"/>
    <s v="rc_acc_1781955063356_nq03"/>
    <s v="krw cash"/>
    <s v="ยอดจริง 304000"/>
    <m/>
    <s v="import"/>
    <s v=""/>
    <b v="0"/>
    <s v=""/>
  </r>
  <r>
    <s v="0c9f265b-b5e4-45d1-9c20-911ec208b9e2"/>
    <s v="2023-06-17"/>
    <x v="3"/>
    <x v="0"/>
    <n v="17"/>
    <s v="16:51"/>
    <n v="7911"/>
    <x v="1"/>
    <s v="other"/>
    <x v="1"/>
    <s v="rc_acc_1781955063347_e3zv"/>
    <x v="16"/>
    <s v="advance"/>
    <s v="Advance Paid"/>
    <s v="-"/>
    <m/>
    <s v="import"/>
    <s v=""/>
    <b v="0"/>
    <s v=""/>
  </r>
  <r>
    <s v="225e81db-c149-4e2c-8217-5447dca80602"/>
    <s v="2023-06-17"/>
    <x v="3"/>
    <x v="0"/>
    <n v="17"/>
    <s v="20:58"/>
    <n v="3000"/>
    <x v="0"/>
    <s v="rc_cat_1781955063347_anhy_1781955063348_k5l1"/>
    <x v="16"/>
    <s v="rc_acc_1781955063347_e3zv"/>
    <x v="16"/>
    <s v=""/>
    <m/>
    <s v="ซองงานพลีส"/>
    <m/>
    <s v="import"/>
    <s v=""/>
    <b v="0"/>
    <s v=""/>
  </r>
  <r>
    <s v="b8c4be27-7c40-4004-92bc-cdd0c85a416e"/>
    <s v="2023-06-17"/>
    <x v="3"/>
    <x v="0"/>
    <n v="17"/>
    <s v="23:55"/>
    <n v="2500"/>
    <x v="1"/>
    <s v="other"/>
    <x v="1"/>
    <s v="rc_acc_1781955063347_e3zv"/>
    <x v="16"/>
    <s v="rc_acc_1781955063347_uxz4"/>
    <s v="SCB"/>
    <s v="-"/>
    <m/>
    <s v="import"/>
    <s v=""/>
    <b v="0"/>
    <s v=""/>
  </r>
  <r>
    <s v="46130c81-1a83-407a-9875-2c64082f7226"/>
    <s v="2023-06-16"/>
    <x v="3"/>
    <x v="0"/>
    <n v="16"/>
    <s v="14:00"/>
    <n v="1157"/>
    <x v="0"/>
    <s v="rc_cat_1781955063347_5qjb_1781955063347_tezk"/>
    <x v="5"/>
    <s v="rc_acc_1781955063347_0qmn"/>
    <x v="20"/>
    <s v=""/>
    <m/>
    <s v="grab+ coco"/>
    <m/>
    <s v="import"/>
    <s v=""/>
    <b v="0"/>
    <s v=""/>
  </r>
  <r>
    <s v="76c38600-9d95-410a-8b3a-7327204e48ef"/>
    <s v="2023-06-16"/>
    <x v="3"/>
    <x v="0"/>
    <n v="16"/>
    <s v="16:30"/>
    <n v="38.1"/>
    <x v="0"/>
    <s v="rc_cat_1781955063347_5qjb_1781955063347_tezk"/>
    <x v="5"/>
    <s v="kbank"/>
    <x v="0"/>
    <s v=""/>
    <m/>
    <s v="-"/>
    <m/>
    <s v="import"/>
    <s v=""/>
    <b v="0"/>
    <s v=""/>
  </r>
  <r>
    <s v="84fd9340-9e04-4c81-8363-ecb835fc0fc7"/>
    <s v="2023-06-16"/>
    <x v="3"/>
    <x v="0"/>
    <n v="16"/>
    <s v="21:19"/>
    <n v="30000"/>
    <x v="1"/>
    <s v="other"/>
    <x v="1"/>
    <s v="rc_acc_1781955063347_uxz4"/>
    <x v="4"/>
    <s v="rc_acc_1781955063348_no9r"/>
    <s v="Krungthai Next"/>
    <s v="-"/>
    <m/>
    <s v="import"/>
    <s v=""/>
    <b v="0"/>
    <s v=""/>
  </r>
  <r>
    <s v="e92167ed-ccac-47dc-8cdc-00724ab13a2f"/>
    <s v="2023-06-15"/>
    <x v="3"/>
    <x v="0"/>
    <n v="15"/>
    <s v="16:30"/>
    <n v="72"/>
    <x v="0"/>
    <s v="rc_cat_1781955063347_5qjb_1781955063347_tezk"/>
    <x v="5"/>
    <s v="kbank"/>
    <x v="0"/>
    <s v=""/>
    <m/>
    <s v="-"/>
    <m/>
    <s v="import"/>
    <s v=""/>
    <b v="0"/>
    <s v=""/>
  </r>
  <r>
    <s v="907f3b6d-d3a7-4641-8764-f305b5c83f9a"/>
    <s v="2023-06-14"/>
    <x v="3"/>
    <x v="0"/>
    <n v="14"/>
    <s v="13:24"/>
    <n v="580"/>
    <x v="0"/>
    <s v="rc_cat_1781955063347_5qjb_1781955063347_tezk"/>
    <x v="5"/>
    <s v="kbank"/>
    <x v="0"/>
    <s v=""/>
    <m/>
    <s v="-"/>
    <m/>
    <s v="import"/>
    <s v=""/>
    <b v="0"/>
    <s v=""/>
  </r>
  <r>
    <s v="6a3bfbcf-6012-4a40-be95-a158bf6b2550"/>
    <s v="2023-06-14"/>
    <x v="3"/>
    <x v="0"/>
    <n v="14"/>
    <s v="13:25"/>
    <n v="500"/>
    <x v="1"/>
    <s v="other"/>
    <x v="1"/>
    <s v="kbank"/>
    <x v="0"/>
    <s v="rc_acc_1781955063347_e3zv"/>
    <s v="Cash"/>
    <s v="-"/>
    <m/>
    <s v="import"/>
    <s v=""/>
    <b v="0"/>
    <s v=""/>
  </r>
  <r>
    <s v="57a583ea-09aa-40e0-b0c1-7c346540af2c"/>
    <s v="2023-06-14"/>
    <x v="3"/>
    <x v="0"/>
    <n v="14"/>
    <s v="13:43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f6e5d53b-4e07-4ee8-8f57-f207736da1ae"/>
    <s v="2023-06-14"/>
    <x v="3"/>
    <x v="0"/>
    <n v="14"/>
    <s v="16:30"/>
    <n v="115"/>
    <x v="0"/>
    <s v="rc_cat_1781955063347_5qjb_1781955063347_tezk"/>
    <x v="5"/>
    <s v="kbank"/>
    <x v="0"/>
    <s v=""/>
    <m/>
    <s v="-"/>
    <m/>
    <s v="import"/>
    <s v=""/>
    <b v="0"/>
    <s v=""/>
  </r>
  <r>
    <s v="1559f220-e606-4d35-b7a0-bf77b94f80c6"/>
    <s v="2023-06-13"/>
    <x v="3"/>
    <x v="0"/>
    <n v="13"/>
    <s v="16:29"/>
    <n v="180"/>
    <x v="0"/>
    <s v="rc_cat_1781955063347_5qjb_1781955063347_tezk"/>
    <x v="5"/>
    <s v="kbank"/>
    <x v="0"/>
    <s v=""/>
    <m/>
    <s v="-"/>
    <m/>
    <s v="import"/>
    <s v=""/>
    <b v="0"/>
    <s v=""/>
  </r>
  <r>
    <s v="3fac10aa-3a77-4da0-840a-696366b990ae"/>
    <s v="2023-06-13"/>
    <x v="3"/>
    <x v="0"/>
    <n v="13"/>
    <s v="22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a256fcc9-6151-4a83-b6a9-cb2318b24b0f"/>
    <s v="2023-06-12"/>
    <x v="3"/>
    <x v="0"/>
    <n v="12"/>
    <s v="12:50"/>
    <n v="1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1b5f323-6952-4175-9603-ca3f658616bf"/>
    <s v="2023-06-12"/>
    <x v="3"/>
    <x v="0"/>
    <n v="12"/>
    <s v="13:53"/>
    <n v="166.5"/>
    <x v="2"/>
    <s v="income_1781955063347_zblt"/>
    <x v="17"/>
    <s v="rc_acc_1781955063347_sv7p"/>
    <x v="12"/>
    <s v=""/>
    <m/>
    <s v="cashback barbgon"/>
    <m/>
    <s v="import"/>
    <s v=""/>
    <b v="0"/>
    <s v=""/>
  </r>
  <r>
    <s v="297d177d-9d1e-476d-805f-04c9a590dabb"/>
    <s v="2023-06-12"/>
    <x v="3"/>
    <x v="0"/>
    <n v="12"/>
    <s v="16:29"/>
    <n v="55"/>
    <x v="0"/>
    <s v="rc_cat_1781955063347_5qjb_1781955063347_tezk"/>
    <x v="5"/>
    <s v="kbank"/>
    <x v="0"/>
    <s v=""/>
    <m/>
    <s v="-"/>
    <m/>
    <s v="import"/>
    <s v=""/>
    <b v="0"/>
    <s v=""/>
  </r>
  <r>
    <s v="f5fa3dcc-caed-421a-bfb2-b2644f4fbc88"/>
    <s v="2023-06-11"/>
    <x v="3"/>
    <x v="0"/>
    <n v="11"/>
    <s v="11:55"/>
    <n v="200"/>
    <x v="0"/>
    <s v="rc_cat_1781955063347_s4sz_1781955063347_9tpp"/>
    <x v="9"/>
    <s v="rc_acc_1781955063347_uxz4"/>
    <x v="4"/>
    <s v=""/>
    <m/>
    <s v="ตัดผม"/>
    <m/>
    <s v="import"/>
    <s v=""/>
    <b v="0"/>
    <s v=""/>
  </r>
  <r>
    <s v="4bf70db3-f604-4e1a-a0f8-ba581f3788e7"/>
    <s v="2023-06-11"/>
    <x v="3"/>
    <x v="0"/>
    <n v="11"/>
    <s v="13:40"/>
    <n v="16000"/>
    <x v="1"/>
    <s v="other"/>
    <x v="1"/>
    <s v="rc_acc_1781955063347_uxz4"/>
    <x v="4"/>
    <s v="rc_acc_1781955063347_e3zv"/>
    <s v="Cash"/>
    <s v="-"/>
    <m/>
    <s v="import"/>
    <s v=""/>
    <b v="0"/>
    <s v=""/>
  </r>
  <r>
    <s v="b09ad7fd-dd0a-4c0a-9abf-598e015df73c"/>
    <s v="2023-06-11"/>
    <x v="3"/>
    <x v="0"/>
    <n v="11"/>
    <s v="14:02"/>
    <n v="449"/>
    <x v="0"/>
    <s v="rc_cat_1781955063347_5qjb_1781955063347_tezk"/>
    <x v="5"/>
    <s v="rc_acc_1781955063347_0qmn"/>
    <x v="20"/>
    <s v=""/>
    <m/>
    <s v="อาหารเย็น"/>
    <m/>
    <s v="import"/>
    <s v=""/>
    <b v="0"/>
    <s v=""/>
  </r>
  <r>
    <s v="46274a71-d136-454b-ba70-f79a79a7d189"/>
    <s v="2023-06-10"/>
    <x v="3"/>
    <x v="0"/>
    <n v="10"/>
    <s v="08:50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39bc256f-03b5-4cb1-883a-fff7dd1d1b1b"/>
    <s v="2023-06-10"/>
    <x v="3"/>
    <x v="0"/>
    <n v="10"/>
    <s v="16:29"/>
    <n v="279"/>
    <x v="0"/>
    <s v="rc_cat_1781955063347_5qjb_1781955063347_tezk"/>
    <x v="5"/>
    <s v="kbank"/>
    <x v="0"/>
    <s v=""/>
    <m/>
    <s v="ศรีย่าน"/>
    <m/>
    <s v="import"/>
    <s v=""/>
    <b v="0"/>
    <s v=""/>
  </r>
  <r>
    <s v="c6fe2819-28c1-47c8-ae7c-22b898f58682"/>
    <s v="2023-06-08"/>
    <x v="3"/>
    <x v="0"/>
    <n v="8"/>
    <s v="07:50"/>
    <n v="6608"/>
    <x v="0"/>
    <s v="rc_cat_1781955063347_04qb_1781955063347_wt5p"/>
    <x v="3"/>
    <s v="rc_acc_1781955063347_uxz4"/>
    <x v="4"/>
    <s v=""/>
    <m/>
    <s v="-"/>
    <m/>
    <s v="import"/>
    <s v=""/>
    <b v="0"/>
    <s v=""/>
  </r>
  <r>
    <s v="5307e27c-deea-439b-bc85-2374e3ac1106"/>
    <s v="2023-06-08"/>
    <x v="3"/>
    <x v="0"/>
    <n v="8"/>
    <s v="12:28"/>
    <n v="62"/>
    <x v="0"/>
    <s v="rc_cat_1781955063347_5qjb_1781955063347_tezk"/>
    <x v="5"/>
    <s v="kbank"/>
    <x v="0"/>
    <s v=""/>
    <m/>
    <s v="-"/>
    <m/>
    <s v="import"/>
    <s v=""/>
    <b v="0"/>
    <s v=""/>
  </r>
  <r>
    <s v="b1577022-e3de-4cb6-8916-fba303492073"/>
    <s v="2023-06-07"/>
    <x v="3"/>
    <x v="0"/>
    <n v="7"/>
    <s v="13:27"/>
    <n v="255"/>
    <x v="0"/>
    <s v="rc_cat_1781955063347_5qjb_1781955063347_tezk"/>
    <x v="5"/>
    <s v="kbank"/>
    <x v="0"/>
    <s v=""/>
    <m/>
    <s v="-"/>
    <m/>
    <s v="import"/>
    <s v=""/>
    <b v="0"/>
    <s v=""/>
  </r>
  <r>
    <s v="acbcb1c1-5260-4650-b27b-a85624efd972"/>
    <s v="2023-06-07"/>
    <x v="3"/>
    <x v="0"/>
    <n v="7"/>
    <s v="16:27"/>
    <n v="300"/>
    <x v="0"/>
    <s v="rc_cat_1781955063347_anhy_1781955063348_k5l1"/>
    <x v="16"/>
    <s v="kbank"/>
    <x v="0"/>
    <s v=""/>
    <m/>
    <s v="-"/>
    <m/>
    <s v="import"/>
    <s v=""/>
    <b v="0"/>
    <s v=""/>
  </r>
  <r>
    <s v="d2a6d6d9-19e1-4a07-ba45-e98fcff0dcc5"/>
    <s v="2023-06-06"/>
    <x v="3"/>
    <x v="0"/>
    <n v="6"/>
    <s v="16:26"/>
    <n v="115"/>
    <x v="0"/>
    <s v="rc_cat_1781955063347_5qjb_1781955063347_tezk"/>
    <x v="5"/>
    <s v="kbank"/>
    <x v="0"/>
    <s v=""/>
    <m/>
    <s v="-"/>
    <m/>
    <s v="import"/>
    <s v=""/>
    <b v="0"/>
    <s v=""/>
  </r>
  <r>
    <s v="b0179ff1-d1f8-4444-b428-e5255996b490"/>
    <s v="2023-06-05"/>
    <x v="3"/>
    <x v="0"/>
    <n v="5"/>
    <s v="14:41"/>
    <n v="207"/>
    <x v="0"/>
    <s v="entertain_1781955063347_8r8e"/>
    <x v="8"/>
    <s v="kbank"/>
    <x v="0"/>
    <s v=""/>
    <m/>
    <s v="ซอง"/>
    <m/>
    <s v="import"/>
    <s v=""/>
    <b v="0"/>
    <s v=""/>
  </r>
  <r>
    <s v="cd37abbc-accc-4011-8fc7-1c615e6ccc8d"/>
    <s v="2023-06-05"/>
    <x v="3"/>
    <x v="0"/>
    <n v="5"/>
    <s v="14:41"/>
    <n v="109"/>
    <x v="0"/>
    <s v="rc_cat_1781955063347_5qjb_1781955063348_wpky"/>
    <x v="27"/>
    <s v="rc_acc_1781955063347_0qmn"/>
    <x v="20"/>
    <s v=""/>
    <m/>
    <s v="-"/>
    <m/>
    <s v="import"/>
    <s v=""/>
    <b v="0"/>
    <s v=""/>
  </r>
  <r>
    <s v="a8572049-69d8-4a2b-a325-ba50765e7da9"/>
    <s v="2023-06-03"/>
    <x v="3"/>
    <x v="0"/>
    <n v="3"/>
    <s v="14:50"/>
    <n v="2349"/>
    <x v="0"/>
    <s v="rc_cat_1781955063347_anhy_1781955063347_qnaz"/>
    <x v="4"/>
    <s v="rc_acc_1781955063347_uxz4"/>
    <x v="4"/>
    <s v=""/>
    <m/>
    <s v="bar b gon"/>
    <m/>
    <s v="import"/>
    <s v=""/>
    <b v="0"/>
    <s v=""/>
  </r>
  <r>
    <s v="e28cec86-80ed-4c56-a664-79ecbac86ba4"/>
    <s v="2023-06-03"/>
    <x v="3"/>
    <x v="0"/>
    <n v="3"/>
    <s v="18:07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5bf32958-4ce5-411b-ab9b-1fba93de0121"/>
    <s v="2023-06-03"/>
    <x v="3"/>
    <x v="0"/>
    <n v="3"/>
    <s v="18:34"/>
    <n v="8269"/>
    <x v="1"/>
    <s v="other"/>
    <x v="1"/>
    <s v="advance"/>
    <x v="2"/>
    <s v="rc_acc_1781955063347_uxz4"/>
    <s v="SCB"/>
    <s v="-"/>
    <m/>
    <s v="import"/>
    <s v=""/>
    <b v="0"/>
    <s v=""/>
  </r>
  <r>
    <s v="800c4d2b-1a76-4046-8021-34d34890eca3"/>
    <s v="2023-06-03"/>
    <x v="3"/>
    <x v="0"/>
    <n v="3"/>
    <s v="18:35"/>
    <n v="8269"/>
    <x v="0"/>
    <s v="rc_cat_1781955063347_5qjb_1781955063348_hrbf"/>
    <x v="28"/>
    <s v="advance"/>
    <x v="2"/>
    <s v=""/>
    <m/>
    <s v="ค่าส่วนกลางส่วนหง"/>
    <m/>
    <s v="import"/>
    <s v=""/>
    <b v="0"/>
    <s v=""/>
  </r>
  <r>
    <s v="21a3e603-4cee-4a20-9c18-c83bf8aaa669"/>
    <s v="2023-06-03"/>
    <x v="3"/>
    <x v="0"/>
    <n v="3"/>
    <s v="18:39"/>
    <n v="3135"/>
    <x v="1"/>
    <s v="other"/>
    <x v="1"/>
    <s v="advance"/>
    <x v="2"/>
    <s v="rc_acc_1781955063347_uxz4"/>
    <s v="SCB"/>
    <s v="-"/>
    <m/>
    <s v="import"/>
    <s v=""/>
    <b v="0"/>
    <s v=""/>
  </r>
  <r>
    <s v="ade81507-20dd-4c6a-b56a-cf668d69c2c0"/>
    <s v="2023-06-03"/>
    <x v="3"/>
    <x v="0"/>
    <n v="3"/>
    <s v="18:40"/>
    <n v="313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878a2da-cabe-44ec-8256-23f4c9d43d2a"/>
    <s v="2023-06-03"/>
    <x v="3"/>
    <x v="0"/>
    <n v="3"/>
    <s v="18:41"/>
    <n v="154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85def81-a608-4199-b386-80f8aaaef059"/>
    <s v="2023-06-03"/>
    <x v="3"/>
    <x v="0"/>
    <n v="3"/>
    <s v="18:41"/>
    <n v="1544"/>
    <x v="1"/>
    <s v="other"/>
    <x v="1"/>
    <s v="advance"/>
    <x v="2"/>
    <s v="rc_acc_1781955063347_uxz4"/>
    <s v="SCB"/>
    <s v="-"/>
    <m/>
    <s v="import"/>
    <s v=""/>
    <b v="0"/>
    <s v=""/>
  </r>
  <r>
    <s v="f62f84ba-30a2-4f71-95eb-8a1442b85b63"/>
    <s v="2023-06-03"/>
    <x v="3"/>
    <x v="0"/>
    <n v="3"/>
    <s v="18:43"/>
    <n v="271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6066151-8266-45bf-aae5-fb882940b51c"/>
    <s v="2023-06-03"/>
    <x v="3"/>
    <x v="0"/>
    <n v="3"/>
    <s v="18:43"/>
    <n v="2718"/>
    <x v="1"/>
    <s v="other"/>
    <x v="1"/>
    <s v="advance"/>
    <x v="2"/>
    <s v="rc_acc_1781955063347_uxz4"/>
    <s v="SCB"/>
    <s v="-"/>
    <m/>
    <s v="import"/>
    <s v=""/>
    <b v="0"/>
    <s v=""/>
  </r>
  <r>
    <s v="f176ba7f-d0e3-4749-8bd7-75bbee94cf96"/>
    <s v="2023-06-03"/>
    <x v="3"/>
    <x v="0"/>
    <n v="3"/>
    <s v="18:46"/>
    <n v="11145"/>
    <x v="0"/>
    <s v="entertain_1781955063349_gok1"/>
    <x v="18"/>
    <s v="advance"/>
    <x v="2"/>
    <s v=""/>
    <m/>
    <s v="KR2023 ค่าบิน"/>
    <m/>
    <s v="import"/>
    <s v=""/>
    <b v="0"/>
    <s v=""/>
  </r>
  <r>
    <s v="71dea9f2-6422-4c71-af74-147db5b978d5"/>
    <s v="2023-06-03"/>
    <x v="3"/>
    <x v="0"/>
    <n v="3"/>
    <s v="18:51"/>
    <n v="11145"/>
    <x v="1"/>
    <s v="other"/>
    <x v="1"/>
    <s v="advance"/>
    <x v="2"/>
    <s v="advance"/>
    <s v="Advance Paid"/>
    <s v="KR2023 ค่าบิน"/>
    <m/>
    <s v="import"/>
    <s v=""/>
    <b v="0"/>
    <s v=""/>
  </r>
  <r>
    <s v="82709c89-6283-4763-82ec-15dab958c770"/>
    <s v="2023-06-03"/>
    <x v="3"/>
    <x v="0"/>
    <n v="3"/>
    <s v="18:52"/>
    <n v="12451.63"/>
    <x v="1"/>
    <s v="other"/>
    <x v="1"/>
    <s v="advance"/>
    <x v="2"/>
    <s v="advance"/>
    <s v="Advance Paid"/>
    <s v="JP2023 zipair"/>
    <m/>
    <s v="import"/>
    <s v=""/>
    <b v="0"/>
    <s v=""/>
  </r>
  <r>
    <s v="fbd27b1c-d7ee-419a-beef-afa7cdd3344d"/>
    <s v="2023-06-03"/>
    <x v="3"/>
    <x v="0"/>
    <n v="3"/>
    <s v="18:52"/>
    <n v="12451.5"/>
    <x v="0"/>
    <s v="entertain_1781955063349_gok1"/>
    <x v="18"/>
    <s v="advance"/>
    <x v="2"/>
    <s v=""/>
    <m/>
    <s v="JP2023 zipair"/>
    <m/>
    <s v="import"/>
    <s v=""/>
    <b v="0"/>
    <s v=""/>
  </r>
  <r>
    <s v="8ef98c79-acd5-440f-8873-8a2e6ea4905e"/>
    <s v="2023-06-02"/>
    <x v="3"/>
    <x v="0"/>
    <n v="2"/>
    <s v="18:28"/>
    <n v="290"/>
    <x v="0"/>
    <s v="rc_cat_1781955063347_5qjb_1781955063347_tezk"/>
    <x v="5"/>
    <s v="kbank"/>
    <x v="0"/>
    <s v=""/>
    <m/>
    <s v="-"/>
    <m/>
    <s v="import"/>
    <s v=""/>
    <b v="0"/>
    <s v=""/>
  </r>
  <r>
    <s v="0b6dc174-f281-4be8-b630-a6337349d9c4"/>
    <s v="2023-06-02"/>
    <x v="3"/>
    <x v="0"/>
    <n v="2"/>
    <s v="19:10"/>
    <n v="33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5f966ae-087d-43e4-bf95-ff279e469110"/>
    <s v="2023-06-01"/>
    <x v="3"/>
    <x v="0"/>
    <n v="1"/>
    <s v="05:25"/>
    <n v="5000"/>
    <x v="1"/>
    <s v="other"/>
    <x v="1"/>
    <s v="rc_acc_1781955063349_qn1n"/>
    <x v="31"/>
    <s v="rc_acc_1781955063347_uxz4"/>
    <s v="SCB"/>
    <s v="Yuang"/>
    <m/>
    <s v="import"/>
    <s v=""/>
    <b v="0"/>
    <s v=""/>
  </r>
  <r>
    <s v="8dff33cc-8479-42f9-9781-0084ffd2b8e1"/>
    <s v="2023-06-01"/>
    <x v="3"/>
    <x v="0"/>
    <n v="1"/>
    <s v="18:27"/>
    <n v="3135"/>
    <x v="1"/>
    <s v="other"/>
    <x v="1"/>
    <s v="kbank"/>
    <x v="0"/>
    <s v="advance"/>
    <s v="Advance Paid"/>
    <s v="บัตร"/>
    <m/>
    <s v="import"/>
    <s v=""/>
    <b v="0"/>
    <s v=""/>
  </r>
  <r>
    <s v="14c70fa2-e77b-4f5a-abfb-0fddf9434d94"/>
    <s v="2023-05-31"/>
    <x v="3"/>
    <x v="1"/>
    <n v="31"/>
    <s v="18:26"/>
    <n v="764"/>
    <x v="0"/>
    <s v="rc_cat_1781955063347_5qjb_1781955063347_tezk"/>
    <x v="5"/>
    <s v="kbank"/>
    <x v="0"/>
    <s v=""/>
    <m/>
    <s v="-"/>
    <m/>
    <s v="import"/>
    <s v=""/>
    <b v="0"/>
    <s v=""/>
  </r>
  <r>
    <s v="fd6ec556-d261-464a-b166-125a9711395d"/>
    <s v="2023-05-30"/>
    <x v="3"/>
    <x v="1"/>
    <n v="30"/>
    <s v="20:53"/>
    <n v="3190"/>
    <x v="0"/>
    <s v="entertain_1781955063348_kx2f"/>
    <x v="0"/>
    <s v="rc_acc_1781955063350_i8ms"/>
    <x v="28"/>
    <s v=""/>
    <m/>
    <s v="s22 ultra(8/10)"/>
    <m/>
    <s v="import"/>
    <s v=""/>
    <b v="0"/>
    <s v=""/>
  </r>
  <r>
    <s v="42371ed4-648c-4d9e-b714-85e6d745d0b2"/>
    <s v="2023-05-25"/>
    <x v="3"/>
    <x v="1"/>
    <n v="25"/>
    <s v="00:00"/>
    <n v="2537.21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daeb3aae-2a45-4fb4-94cb-2da2da74c0ee"/>
    <s v="2023-05-25"/>
    <x v="3"/>
    <x v="1"/>
    <n v="25"/>
    <s v="00:00"/>
    <n v="380.34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c28de4c9-ab29-48d2-b650-a3c6f109fc0f"/>
    <s v="2023-05-25"/>
    <x v="3"/>
    <x v="1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1c5c3a83-7efb-4319-8f30-faeac28b25a6"/>
    <s v="2023-05-25"/>
    <x v="3"/>
    <x v="1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510d9617-c93a-4f2c-a0ca-be17051a74fd"/>
    <s v="2023-05-25"/>
    <x v="3"/>
    <x v="1"/>
    <n v="25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49ad3245-e9a2-4d0a-aa20-28a2a5b92ff6"/>
    <s v="2023-05-25"/>
    <x v="3"/>
    <x v="1"/>
    <n v="25"/>
    <s v="00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887a4270-d2b2-4f05-a6f6-54b5fe6470d7"/>
    <s v="2023-05-25"/>
    <x v="3"/>
    <x v="1"/>
    <n v="25"/>
    <s v="00:00"/>
    <n v="1027.0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f8ad01ec-0184-4d35-835e-f9ebb423d258"/>
    <s v="2023-05-25"/>
    <x v="3"/>
    <x v="1"/>
    <n v="25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c41791cc-d1e5-48ed-a4fc-18f87845acc8"/>
    <s v="2023-05-21"/>
    <x v="3"/>
    <x v="1"/>
    <n v="21"/>
    <s v="13:50"/>
    <n v="867.77"/>
    <x v="1"/>
    <s v="other"/>
    <x v="1"/>
    <s v="rc_acc_1781955063347_sv7p"/>
    <x v="12"/>
    <s v="advance"/>
    <s v="Advance Paid"/>
    <s v="เนต"/>
    <m/>
    <s v="import"/>
    <s v=""/>
    <b v="0"/>
    <s v=""/>
  </r>
  <r>
    <s v="11c9f059-3830-47f3-ac5d-39198af40307"/>
    <s v="2023-05-21"/>
    <x v="3"/>
    <x v="1"/>
    <n v="21"/>
    <s v="18:17"/>
    <n v="3190"/>
    <x v="1"/>
    <s v="other"/>
    <x v="1"/>
    <s v="kbank"/>
    <x v="0"/>
    <s v="rc_acc_1781955063350_i8ms"/>
    <s v="Kbank onesiam"/>
    <s v="-"/>
    <m/>
    <s v="import"/>
    <s v=""/>
    <b v="0"/>
    <s v=""/>
  </r>
  <r>
    <s v="5762cf2e-1fe0-4f68-a6b5-aea1ce95c674"/>
    <s v="2023-05-21"/>
    <x v="3"/>
    <x v="1"/>
    <n v="21"/>
    <s v="20:00"/>
    <n v="16538.2"/>
    <x v="1"/>
    <s v="other"/>
    <x v="1"/>
    <s v="rc_acc_1781955063347_uxz4"/>
    <x v="4"/>
    <s v="advance"/>
    <s v="Advance Paid"/>
    <s v="-"/>
    <m/>
    <s v="import"/>
    <s v=""/>
    <b v="0"/>
    <s v=""/>
  </r>
  <r>
    <s v="5a4e321e-09c5-49ba-b5fc-a8e0f9ebfe10"/>
    <s v="2023-05-21"/>
    <x v="3"/>
    <x v="1"/>
    <n v="21"/>
    <s v="20:11"/>
    <n v="500"/>
    <x v="1"/>
    <s v="other"/>
    <x v="1"/>
    <s v="rc_acc_1781955063347_e3zv"/>
    <x v="16"/>
    <s v="rc_acc_1781955063347_uxz4"/>
    <s v="SCB"/>
    <s v="-"/>
    <m/>
    <s v="import"/>
    <s v=""/>
    <b v="0"/>
    <s v=""/>
  </r>
  <r>
    <s v="ad3f1456-718e-408d-82d7-d53716525c86"/>
    <s v="2023-05-21"/>
    <x v="3"/>
    <x v="1"/>
    <n v="21"/>
    <s v="20:13"/>
    <n v="115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734d7067-a861-4ddf-ae15-10feb2771171"/>
    <s v="2023-05-21"/>
    <x v="3"/>
    <x v="1"/>
    <n v="21"/>
    <s v="20:17"/>
    <n v="781"/>
    <x v="1"/>
    <s v="other"/>
    <x v="1"/>
    <s v="rc_acc_1781955063347_uxz4"/>
    <x v="4"/>
    <s v="rc_acc_1781955063347_kjxt"/>
    <s v="KTC JCB"/>
    <s v="-"/>
    <m/>
    <s v="import"/>
    <s v=""/>
    <b v="0"/>
    <s v=""/>
  </r>
  <r>
    <s v="aa755360-095b-4be4-8aca-9cfe9df8da9b"/>
    <s v="2023-05-18"/>
    <x v="3"/>
    <x v="1"/>
    <n v="18"/>
    <s v="11:11"/>
    <n v="50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45adc7f0-31ee-4ddb-8410-5865adc88283"/>
    <s v="2023-05-16"/>
    <x v="3"/>
    <x v="1"/>
    <n v="16"/>
    <s v="09:20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f96e171-5731-4db2-9cf9-9e71cdd61369"/>
    <s v="2023-05-16"/>
    <x v="3"/>
    <x v="1"/>
    <n v="16"/>
    <s v="09:20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a973217-9a39-4581-9bc4-33a7a0417952"/>
    <s v="2023-05-16"/>
    <x v="3"/>
    <x v="1"/>
    <n v="16"/>
    <s v="20:06"/>
    <n v="2233"/>
    <x v="1"/>
    <s v="other"/>
    <x v="1"/>
    <s v="rc_acc_1781955063347_sv7p"/>
    <x v="12"/>
    <s v="advance"/>
    <s v="Advance Paid"/>
    <s v="hotel 1st night korea"/>
    <m/>
    <s v="import"/>
    <s v=""/>
    <b v="0"/>
    <s v=""/>
  </r>
  <r>
    <s v="e3d1de76-b979-4401-a6b1-acba3fee4e7d"/>
    <s v="2023-05-15"/>
    <x v="3"/>
    <x v="1"/>
    <n v="15"/>
    <s v="10:21"/>
    <n v="700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852d9ec2-cba9-4618-8ce7-ca2f22db2ad1"/>
    <s v="2023-05-15"/>
    <x v="3"/>
    <x v="1"/>
    <n v="15"/>
    <s v="20:08"/>
    <n v="22290"/>
    <x v="1"/>
    <s v="other"/>
    <x v="1"/>
    <s v="rc_acc_1781955063347_uxz4"/>
    <x v="4"/>
    <s v="advance"/>
    <s v="Advance Paid"/>
    <s v="ตั๋ว Jinair"/>
    <m/>
    <s v="import"/>
    <s v=""/>
    <b v="0"/>
    <s v=""/>
  </r>
  <r>
    <s v="6db08866-bc8a-4dbb-b4b0-1d791bc91fb7"/>
    <s v="2023-05-14"/>
    <x v="3"/>
    <x v="1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535425d7-fed4-4601-9529-af225095522c"/>
    <s v="2023-05-14"/>
    <x v="3"/>
    <x v="1"/>
    <n v="14"/>
    <s v="11:14"/>
    <n v="50.61"/>
    <x v="0"/>
    <s v="other_1781955063347_5s7r"/>
    <x v="15"/>
    <s v="rc_acc_1781955063347_0qmn"/>
    <x v="20"/>
    <s v=""/>
    <m/>
    <s v="Difference"/>
    <m/>
    <s v="import"/>
    <s v=""/>
    <b v="0"/>
    <s v=""/>
  </r>
  <r>
    <s v="84e55620-8bc7-4e31-9d3f-a5db17117c57"/>
    <s v="2023-05-14"/>
    <x v="3"/>
    <x v="1"/>
    <n v="14"/>
    <s v="18:25"/>
    <n v="1536.25"/>
    <x v="0"/>
    <s v="rc_cat_1781955063347_anhy_1781955063350_fcpb"/>
    <x v="2"/>
    <s v="kbank"/>
    <x v="0"/>
    <s v=""/>
    <m/>
    <s v="ค่าไฟ"/>
    <m/>
    <s v="import"/>
    <s v=""/>
    <b v="0"/>
    <s v=""/>
  </r>
  <r>
    <s v="2a666af4-da10-4987-97de-1a7923d2dc3e"/>
    <s v="2023-05-14"/>
    <x v="3"/>
    <x v="1"/>
    <n v="14"/>
    <s v="20:24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945cbfcc-198c-4449-8f4f-c874ea233ca7"/>
    <s v="2023-05-13"/>
    <x v="3"/>
    <x v="1"/>
    <n v="13"/>
    <s v="08:57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f5289aa9-c5b0-4f49-a5d1-5b3ed368614a"/>
    <s v="2023-05-13"/>
    <x v="3"/>
    <x v="1"/>
    <n v="13"/>
    <s v="17:12"/>
    <n v="75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fe27a4e-310a-4c26-a921-6932f1a0b5d8"/>
    <s v="2023-05-12"/>
    <x v="3"/>
    <x v="1"/>
    <n v="12"/>
    <s v="11:11"/>
    <n v="36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49a24c4-dfe0-4c72-b3d5-973de679dd98"/>
    <s v="2023-05-12"/>
    <x v="3"/>
    <x v="1"/>
    <n v="12"/>
    <s v="18:23"/>
    <n v="129"/>
    <x v="0"/>
    <s v="rc_cat_1781955063347_5qjb_1781955063347_tezk"/>
    <x v="5"/>
    <s v="kbank"/>
    <x v="0"/>
    <s v=""/>
    <m/>
    <s v="-"/>
    <m/>
    <s v="import"/>
    <s v=""/>
    <b v="0"/>
    <s v=""/>
  </r>
  <r>
    <s v="d24a5910-14a3-4bca-8725-5fe57ef51c9a"/>
    <s v="2023-05-11"/>
    <x v="3"/>
    <x v="1"/>
    <n v="11"/>
    <s v="09:11"/>
    <n v="2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5f21a10-cda0-468c-9e5f-cead400d85ed"/>
    <s v="2023-05-11"/>
    <x v="3"/>
    <x v="1"/>
    <n v="11"/>
    <s v="11:02"/>
    <n v="171"/>
    <x v="0"/>
    <s v="rc_cat_1781955063347_5qjb_1781955063347_tezk"/>
    <x v="5"/>
    <s v="rc_acc_1781955063347_kjxt"/>
    <x v="1"/>
    <s v=""/>
    <m/>
    <s v="-"/>
    <m/>
    <s v="import"/>
    <s v=""/>
    <b v="0"/>
    <s v=""/>
  </r>
  <r>
    <s v="937253ee-03bb-4b31-95e7-67e3c678f6b9"/>
    <s v="2023-05-11"/>
    <x v="3"/>
    <x v="1"/>
    <n v="11"/>
    <s v="14:00"/>
    <n v="610"/>
    <x v="1"/>
    <s v="other"/>
    <x v="1"/>
    <s v="rc_acc_1781955063347_kjxt"/>
    <x v="1"/>
    <s v="rc_acc_1781955063347_uxz4"/>
    <s v="SCB"/>
    <s v="-"/>
    <m/>
    <s v="import"/>
    <s v=""/>
    <b v="0"/>
    <s v=""/>
  </r>
  <r>
    <s v="fd6b4178-3326-499a-8dc7-ef4b15ccbc83"/>
    <s v="2023-05-11"/>
    <x v="3"/>
    <x v="1"/>
    <n v="11"/>
    <s v="14:37"/>
    <n v="60"/>
    <x v="0"/>
    <s v="rc_cat_1781955063347_5qjb_1781955063347_tezk"/>
    <x v="5"/>
    <s v="kbank"/>
    <x v="0"/>
    <s v=""/>
    <m/>
    <s v="-"/>
    <m/>
    <s v="import"/>
    <s v=""/>
    <b v="0"/>
    <s v=""/>
  </r>
  <r>
    <s v="2acb8a3e-2511-4e66-8ec3-b0c2b02a6094"/>
    <s v="2023-05-10"/>
    <x v="3"/>
    <x v="1"/>
    <n v="10"/>
    <s v="09:09"/>
    <n v="12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92e9184-a836-42ea-a417-4ee1a216b6d9"/>
    <s v="2023-05-10"/>
    <x v="3"/>
    <x v="1"/>
    <n v="10"/>
    <s v="12:10"/>
    <n v="26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223236b-1f08-4021-bfff-5e856b670df4"/>
    <s v="2023-05-10"/>
    <x v="3"/>
    <x v="1"/>
    <n v="10"/>
    <s v="18:25"/>
    <n v="170"/>
    <x v="0"/>
    <s v="rc_cat_1781955063347_5qjb_1781955063347_tezk"/>
    <x v="5"/>
    <s v="kbank"/>
    <x v="0"/>
    <s v=""/>
    <m/>
    <s v="-"/>
    <m/>
    <s v="import"/>
    <s v=""/>
    <b v="0"/>
    <s v=""/>
  </r>
  <r>
    <s v="175d7541-e9b3-46c7-8fde-4b30a41ecbe1"/>
    <s v="2023-05-09"/>
    <x v="3"/>
    <x v="1"/>
    <n v="9"/>
    <s v="11:09"/>
    <n v="3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1d11452-01f6-4c37-a22a-1c9c698d5842"/>
    <s v="2023-05-08"/>
    <x v="3"/>
    <x v="1"/>
    <n v="8"/>
    <s v="08:58"/>
    <n v="70"/>
    <x v="0"/>
    <s v="rc_cat_1781955063347_5qjb_1781955063347_tezk"/>
    <x v="5"/>
    <s v="kbank"/>
    <x v="0"/>
    <s v=""/>
    <m/>
    <s v="-"/>
    <m/>
    <s v="import"/>
    <s v=""/>
    <b v="0"/>
    <s v=""/>
  </r>
  <r>
    <s v="3ba1e8dd-2908-4947-82c4-b0c6a854a67c"/>
    <s v="2023-05-08"/>
    <x v="3"/>
    <x v="1"/>
    <n v="8"/>
    <s v="09:58"/>
    <n v="500"/>
    <x v="1"/>
    <s v="other"/>
    <x v="1"/>
    <s v="rc_acc_1781955063347_uxz4"/>
    <x v="4"/>
    <s v="rc_acc_1781955063356_nmdo"/>
    <s v="CBDC"/>
    <s v="-"/>
    <m/>
    <s v="import"/>
    <s v=""/>
    <b v="0"/>
    <s v=""/>
  </r>
  <r>
    <s v="021bec94-0004-42a7-8c5f-8210fe85cee9"/>
    <s v="2023-05-08"/>
    <x v="3"/>
    <x v="1"/>
    <n v="8"/>
    <s v="11:09"/>
    <n v="22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6caa8b6-62e2-4a4e-bcf8-4c1cb2e42e85"/>
    <s v="2023-05-07"/>
    <x v="3"/>
    <x v="1"/>
    <n v="7"/>
    <s v="09:40"/>
    <n v="1544"/>
    <x v="1"/>
    <s v="other"/>
    <x v="1"/>
    <s v="kbank"/>
    <x v="0"/>
    <s v="advance"/>
    <s v="Advance Paid"/>
    <s v="บัตร"/>
    <m/>
    <s v="import"/>
    <s v=""/>
    <b v="0"/>
    <s v=""/>
  </r>
  <r>
    <s v="df1e18bb-9ae9-4873-b6ec-b97a63e8baab"/>
    <s v="2023-05-06"/>
    <x v="3"/>
    <x v="1"/>
    <n v="6"/>
    <s v="13:39"/>
    <n v="1090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6ac0ba0a-64f3-43b0-b5e0-cf05a554d9d6"/>
    <s v="2023-05-06"/>
    <x v="3"/>
    <x v="1"/>
    <n v="6"/>
    <s v="15:40"/>
    <n v="6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a8c8180-6a31-4b1f-bdef-3f460eb5c4b1"/>
    <s v="2023-05-05"/>
    <x v="3"/>
    <x v="1"/>
    <n v="5"/>
    <s v="11:08"/>
    <n v="15000"/>
    <x v="2"/>
    <s v="income_1781955063347_5zxt"/>
    <x v="14"/>
    <s v="rc_acc_1781955063347_0qmn"/>
    <x v="20"/>
    <s v=""/>
    <m/>
    <s v="-"/>
    <m/>
    <s v="import"/>
    <s v=""/>
    <b v="0"/>
    <s v=""/>
  </r>
  <r>
    <s v="6a4f5764-eb22-450c-8929-fff54c063c30"/>
    <s v="2023-05-05"/>
    <x v="3"/>
    <x v="1"/>
    <n v="5"/>
    <s v="11:08"/>
    <n v="421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feda525-5a42-47cc-a564-bf07eebac4ec"/>
    <s v="2023-05-05"/>
    <x v="3"/>
    <x v="1"/>
    <n v="5"/>
    <s v="11:25"/>
    <n v="6347.53"/>
    <x v="0"/>
    <s v="rc_cat_1781955063347_04qb_1781955063347_wt5p"/>
    <x v="3"/>
    <s v="rc_acc_1781955063347_uxz4"/>
    <x v="4"/>
    <s v=""/>
    <m/>
    <s v="-"/>
    <m/>
    <s v="import"/>
    <s v=""/>
    <b v="0"/>
    <s v=""/>
  </r>
  <r>
    <s v="960cc4f4-614d-440e-a704-82aa6f3f3e96"/>
    <s v="2023-05-05"/>
    <x v="3"/>
    <x v="1"/>
    <n v="5"/>
    <s v="14:58"/>
    <n v="8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c5e269f-e445-46d5-8cc0-931b926c3e22"/>
    <s v="2023-05-05"/>
    <x v="3"/>
    <x v="1"/>
    <n v="5"/>
    <s v="18:22"/>
    <n v="60"/>
    <x v="0"/>
    <s v="rc_cat_1781955063347_5qjb_1781955063347_tezk"/>
    <x v="5"/>
    <s v="kbank"/>
    <x v="0"/>
    <s v=""/>
    <m/>
    <s v="-"/>
    <m/>
    <s v="import"/>
    <s v=""/>
    <b v="0"/>
    <s v=""/>
  </r>
  <r>
    <s v="19de29de-2cf6-47d7-9915-8216a2f92956"/>
    <s v="2023-05-04"/>
    <x v="3"/>
    <x v="1"/>
    <n v="4"/>
    <s v="11:00"/>
    <n v="16"/>
    <x v="0"/>
    <s v="rc_cat_1781955063347_5qjb_1781955063347_irl1"/>
    <x v="0"/>
    <s v="kbank"/>
    <x v="0"/>
    <s v=""/>
    <m/>
    <s v="-"/>
    <m/>
    <s v="import"/>
    <s v=""/>
    <b v="0"/>
    <s v=""/>
  </r>
  <r>
    <s v="28dd04b2-8c77-49d8-8e12-84b8d0fd757f"/>
    <s v="2023-05-04"/>
    <x v="3"/>
    <x v="1"/>
    <n v="4"/>
    <s v="11:07"/>
    <n v="4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e64438f-e4af-454f-a0df-aefa41b4fb1f"/>
    <s v="2023-05-04"/>
    <x v="3"/>
    <x v="1"/>
    <n v="4"/>
    <s v="11:22"/>
    <n v="1800"/>
    <x v="0"/>
    <s v="rc_cat_1781955063347_5qjb_1781955063347_tezk"/>
    <x v="5"/>
    <s v="kbank"/>
    <x v="0"/>
    <s v=""/>
    <m/>
    <s v="ค่าโง่"/>
    <m/>
    <s v="import"/>
    <s v=""/>
    <b v="0"/>
    <s v=""/>
  </r>
  <r>
    <s v="032b7e33-6444-4568-9eb3-c1353fcc2713"/>
    <s v="2023-05-04"/>
    <x v="3"/>
    <x v="1"/>
    <n v="4"/>
    <s v="11:26"/>
    <n v="57"/>
    <x v="0"/>
    <s v="rc_cat_1781955063347_5qjb_1781955063347_irl1"/>
    <x v="0"/>
    <s v="kbank"/>
    <x v="0"/>
    <s v=""/>
    <m/>
    <s v="แท็กไป oranji"/>
    <m/>
    <s v="import"/>
    <s v=""/>
    <b v="0"/>
    <s v=""/>
  </r>
  <r>
    <s v="749f1621-28e8-426a-9caf-e0717dbb6860"/>
    <s v="2023-05-04"/>
    <x v="3"/>
    <x v="1"/>
    <n v="4"/>
    <s v="11:40"/>
    <n v="60"/>
    <x v="1"/>
    <s v="other"/>
    <x v="1"/>
    <s v="kbank"/>
    <x v="0"/>
    <s v="rc_acc_1781955063347_uxz4"/>
    <s v="SCB"/>
    <s v="-"/>
    <m/>
    <s v="import"/>
    <s v=""/>
    <b v="0"/>
    <s v=""/>
  </r>
  <r>
    <s v="91a37977-5ab9-47bc-8fbb-1fe63c7035d6"/>
    <s v="2023-05-04"/>
    <x v="3"/>
    <x v="1"/>
    <n v="4"/>
    <s v="19:36"/>
    <n v="211"/>
    <x v="0"/>
    <s v="rc_cat_1781955063347_5qjb_1781955063347_tezk"/>
    <x v="5"/>
    <s v="kbank"/>
    <x v="0"/>
    <s v=""/>
    <m/>
    <s v="-"/>
    <m/>
    <s v="import"/>
    <s v=""/>
    <b v="0"/>
    <s v=""/>
  </r>
  <r>
    <s v="7c2198e1-add6-48e0-9afb-f4ef60c002a2"/>
    <s v="2023-05-03"/>
    <x v="3"/>
    <x v="1"/>
    <n v="3"/>
    <s v="08:58"/>
    <n v="73"/>
    <x v="0"/>
    <s v="rc_cat_1781955063347_5qjb_1781955063347_tezk"/>
    <x v="5"/>
    <s v="kbank"/>
    <x v="0"/>
    <s v=""/>
    <m/>
    <s v="-"/>
    <m/>
    <s v="import"/>
    <s v=""/>
    <b v="0"/>
    <s v=""/>
  </r>
  <r>
    <s v="827cde4c-64b9-421a-bbca-a5ed9fd4218a"/>
    <s v="2023-05-03"/>
    <x v="3"/>
    <x v="1"/>
    <n v="3"/>
    <s v="09:00"/>
    <n v="50"/>
    <x v="0"/>
    <s v="rc_cat_1781955063347_5qjb_1781955063347_tezk"/>
    <x v="5"/>
    <s v="kbank"/>
    <x v="0"/>
    <s v=""/>
    <m/>
    <s v="-"/>
    <m/>
    <s v="import"/>
    <s v=""/>
    <b v="0"/>
    <s v=""/>
  </r>
  <r>
    <s v="34e87458-51ab-4134-8ed5-5d6b35060e2f"/>
    <s v="2023-05-03"/>
    <x v="3"/>
    <x v="1"/>
    <n v="3"/>
    <s v="12:36"/>
    <n v="1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4b63baa-f630-47f6-acd7-13cac8b80ea8"/>
    <s v="2023-05-03"/>
    <x v="3"/>
    <x v="1"/>
    <n v="3"/>
    <s v="12:36"/>
    <n v="1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173beb5-84ff-4ff6-bd24-19a6f4d580f7"/>
    <s v="2023-05-03"/>
    <x v="3"/>
    <x v="1"/>
    <n v="3"/>
    <s v="19:12"/>
    <n v="26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1e6daff-6026-4c99-8d5c-01077354c6c8"/>
    <s v="2023-05-02"/>
    <x v="3"/>
    <x v="1"/>
    <n v="2"/>
    <s v="09:16"/>
    <n v="15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0a1930f-aeb4-4613-a315-af1c1c246fc1"/>
    <s v="2023-05-02"/>
    <x v="3"/>
    <x v="1"/>
    <n v="2"/>
    <s v="12:40"/>
    <n v="72"/>
    <x v="0"/>
    <s v="rc_cat_1781955063347_5qjb_1781955063347_tezk"/>
    <x v="5"/>
    <s v="kbank"/>
    <x v="0"/>
    <s v=""/>
    <m/>
    <s v="-"/>
    <m/>
    <s v="import"/>
    <s v=""/>
    <b v="0"/>
    <s v=""/>
  </r>
  <r>
    <s v="7dfc055c-ae61-46b5-9032-267802ea0f53"/>
    <s v="2023-05-02"/>
    <x v="3"/>
    <x v="1"/>
    <n v="2"/>
    <s v="13:05"/>
    <n v="50"/>
    <x v="0"/>
    <s v="rc_cat_1781955063347_5qjb_1781955063347_tezk"/>
    <x v="5"/>
    <s v="kbank"/>
    <x v="0"/>
    <s v=""/>
    <m/>
    <s v="-"/>
    <m/>
    <s v="import"/>
    <s v=""/>
    <b v="0"/>
    <s v=""/>
  </r>
  <r>
    <s v="34b82f50-b91c-4721-81a2-5ce714efe887"/>
    <s v="2023-05-02"/>
    <x v="3"/>
    <x v="1"/>
    <n v="2"/>
    <s v="19:19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700564c-70f9-4a4e-a2d7-439dc4bbcd76"/>
    <s v="2023-05-01"/>
    <x v="3"/>
    <x v="1"/>
    <n v="1"/>
    <s v="15:16"/>
    <n v="89"/>
    <x v="0"/>
    <s v="rc_cat_1781955063347_5qjb_1781955063347_tezk"/>
    <x v="5"/>
    <s v="kbank"/>
    <x v="0"/>
    <s v=""/>
    <m/>
    <s v="ไอติม seacon"/>
    <m/>
    <s v="import"/>
    <s v=""/>
    <b v="0"/>
    <s v=""/>
  </r>
  <r>
    <s v="04feb887-6f86-4d7f-a69a-dcc810c8b9c9"/>
    <s v="2023-05-01"/>
    <x v="3"/>
    <x v="1"/>
    <n v="1"/>
    <s v="16:12"/>
    <n v="199"/>
    <x v="0"/>
    <s v="rc_cat_1781955063347_s4sz_1781955063347_9tpp"/>
    <x v="9"/>
    <s v="rc_acc_1781955063347_uxz4"/>
    <x v="4"/>
    <s v=""/>
    <m/>
    <s v="เสื้อ adidas"/>
    <m/>
    <s v="import"/>
    <s v=""/>
    <b v="0"/>
    <s v=""/>
  </r>
  <r>
    <s v="d1dbb5a4-a018-44ef-bfd9-56f74abd40c5"/>
    <s v="2023-05-01"/>
    <x v="3"/>
    <x v="1"/>
    <n v="1"/>
    <s v="17:11"/>
    <n v="297"/>
    <x v="0"/>
    <s v="rc_cat_1781955063347_5qjb_1781955063347_tezk"/>
    <x v="5"/>
    <s v="rc_acc_1781955063347_uxz4"/>
    <x v="4"/>
    <s v=""/>
    <m/>
    <s v="สุกี้ข้าน้อย"/>
    <m/>
    <s v="import"/>
    <s v=""/>
    <b v="0"/>
    <s v=""/>
  </r>
  <r>
    <s v="830ea390-5d60-4a20-b5c1-5c8e0fef1be9"/>
    <s v="2023-05-01"/>
    <x v="3"/>
    <x v="1"/>
    <n v="1"/>
    <s v="17:16"/>
    <n v="5000"/>
    <x v="1"/>
    <s v="other"/>
    <x v="1"/>
    <s v="rc_acc_1781955063349_qn1n"/>
    <x v="31"/>
    <s v="rc_acc_1781955063347_uxz4"/>
    <s v="SCB"/>
    <s v="Yuang"/>
    <m/>
    <s v="import"/>
    <s v=""/>
    <b v="0"/>
    <s v=""/>
  </r>
  <r>
    <s v="9de66f37-f4c4-48b8-9038-3752a9965789"/>
    <s v="2023-05-01"/>
    <x v="3"/>
    <x v="1"/>
    <n v="1"/>
    <s v="18:00"/>
    <n v="135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d41b31cb-e271-4c83-a8a0-be97ab319af5"/>
    <s v="2023-04-30"/>
    <x v="3"/>
    <x v="2"/>
    <n v="30"/>
    <s v="09:16"/>
    <n v="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906bbc4-3557-474e-ba9e-991e36bf21f9"/>
    <s v="2023-04-30"/>
    <x v="3"/>
    <x v="2"/>
    <n v="30"/>
    <s v="11:46"/>
    <n v="4964"/>
    <x v="0"/>
    <s v="rc_cat_1781955063347_5qjb_1781955063348_wpky"/>
    <x v="27"/>
    <s v="rc_acc_1781955063347_0qmn"/>
    <x v="20"/>
    <s v=""/>
    <m/>
    <s v="-"/>
    <m/>
    <s v="import"/>
    <s v=""/>
    <b v="0"/>
    <s v=""/>
  </r>
  <r>
    <s v="d55565b0-360f-4921-86d8-0fc362e76b4c"/>
    <s v="2023-04-30"/>
    <x v="3"/>
    <x v="2"/>
    <n v="30"/>
    <s v="11:49"/>
    <n v="9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0e8c701-6058-4ad6-bff3-00ab41739958"/>
    <s v="2023-04-30"/>
    <x v="3"/>
    <x v="2"/>
    <n v="30"/>
    <s v="11:51"/>
    <n v="4019"/>
    <x v="1"/>
    <s v="other"/>
    <x v="1"/>
    <s v="rc_acc_1781955063347_uxz4"/>
    <x v="4"/>
    <s v="rc_acc_1781955063347_kjxt"/>
    <s v="KTC JCB"/>
    <s v="boardgame 2711 1308"/>
    <m/>
    <s v="import"/>
    <s v=""/>
    <b v="0"/>
    <s v=""/>
  </r>
  <r>
    <s v="e2c8b118-c40d-41ac-a0c6-7be6c0dd5803"/>
    <s v="2023-04-30"/>
    <x v="3"/>
    <x v="2"/>
    <n v="30"/>
    <s v="11:58"/>
    <n v="569"/>
    <x v="1"/>
    <s v="other"/>
    <x v="1"/>
    <s v="rc_acc_1781955063347_uxz4"/>
    <x v="4"/>
    <s v="advance"/>
    <s v="Advance Paid"/>
    <s v="ยอดเคลียร์ JCB 30 apr"/>
    <m/>
    <s v="import"/>
    <s v=""/>
    <b v="0"/>
    <s v=""/>
  </r>
  <r>
    <s v="788088b7-a4a4-49e3-8b13-963d2a674d28"/>
    <s v="2023-04-30"/>
    <x v="3"/>
    <x v="2"/>
    <n v="30"/>
    <s v="12:03"/>
    <n v="1277"/>
    <x v="0"/>
    <s v="other_1781955063348_27zj"/>
    <x v="0"/>
    <s v="rc_acc_1781955063347_uxz4"/>
    <x v="4"/>
    <s v=""/>
    <m/>
    <s v="หูตาคอจมูก"/>
    <m/>
    <s v="import"/>
    <s v=""/>
    <b v="0"/>
    <s v=""/>
  </r>
  <r>
    <s v="09c0807a-779c-41d0-9166-1d7ba5be0470"/>
    <s v="2023-04-30"/>
    <x v="3"/>
    <x v="2"/>
    <n v="30"/>
    <s v="12:04"/>
    <n v="1215"/>
    <x v="0"/>
    <s v="entertain_1781955063348_32wr"/>
    <x v="23"/>
    <s v="rc_acc_1781955063347_uxz4"/>
    <x v="4"/>
    <s v=""/>
    <m/>
    <s v="หนังสือ 28 apr"/>
    <m/>
    <s v="import"/>
    <s v=""/>
    <b v="0"/>
    <s v=""/>
  </r>
  <r>
    <s v="8b20fd30-85ec-46ba-a094-843daf88c7e5"/>
    <s v="2023-04-30"/>
    <x v="3"/>
    <x v="2"/>
    <n v="30"/>
    <s v="12:11"/>
    <n v="420"/>
    <x v="1"/>
    <s v="other"/>
    <x v="1"/>
    <s v="rc_acc_1781955063348_obza"/>
    <x v="8"/>
    <s v="rc_acc_1781955063347_hv85"/>
    <s v="HOMEPRO"/>
    <s v="-"/>
    <m/>
    <s v="import"/>
    <s v=""/>
    <b v="0"/>
    <s v=""/>
  </r>
  <r>
    <s v="4f9f212a-9115-40f9-bdc8-81743d2aaa75"/>
    <s v="2023-04-30"/>
    <x v="3"/>
    <x v="2"/>
    <n v="30"/>
    <s v="12:12"/>
    <n v="231"/>
    <x v="0"/>
    <s v="rc_cat_1781955063347_5qjb_1781955063348_laj8"/>
    <x v="29"/>
    <s v="rc_acc_1781955063347_hv85"/>
    <x v="5"/>
    <s v=""/>
    <m/>
    <s v="-"/>
    <m/>
    <s v="import"/>
    <s v=""/>
    <b v="0"/>
    <s v=""/>
  </r>
  <r>
    <s v="41aa6177-192e-43c4-a33c-c7ce7cfee5cc"/>
    <s v="2023-04-30"/>
    <x v="3"/>
    <x v="2"/>
    <n v="30"/>
    <s v="12:19"/>
    <n v="3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760b5937-90fa-4794-bd38-0b3f733526cb"/>
    <s v="2023-04-30"/>
    <x v="3"/>
    <x v="2"/>
    <n v="30"/>
    <s v="12:19"/>
    <n v="160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ccba3682-5f4d-47f3-87f8-92089d112471"/>
    <s v="2023-04-30"/>
    <x v="3"/>
    <x v="2"/>
    <n v="30"/>
    <s v="12:24"/>
    <n v="30000"/>
    <x v="1"/>
    <s v="other"/>
    <x v="1"/>
    <s v="rc_acc_1781955063347_uxz4"/>
    <x v="4"/>
    <s v="kbank"/>
    <s v="KBank"/>
    <s v="-"/>
    <m/>
    <s v="import"/>
    <s v=""/>
    <b v="0"/>
    <s v=""/>
  </r>
  <r>
    <s v="b416a4c0-04bd-49d7-86f1-43c58dd7f3ff"/>
    <s v="2023-04-30"/>
    <x v="3"/>
    <x v="2"/>
    <n v="30"/>
    <s v="12:24"/>
    <n v="3190"/>
    <x v="1"/>
    <s v="other"/>
    <x v="1"/>
    <s v="kbank"/>
    <x v="0"/>
    <s v="rc_acc_1781955063350_i8ms"/>
    <s v="Kbank onesiam"/>
    <s v="-"/>
    <m/>
    <s v="import"/>
    <s v=""/>
    <b v="0"/>
    <s v=""/>
  </r>
  <r>
    <s v="96e56d2e-e9cf-4904-af04-0d8dcd035f79"/>
    <s v="2023-04-30"/>
    <x v="3"/>
    <x v="2"/>
    <n v="30"/>
    <s v="12:52"/>
    <n v="657"/>
    <x v="0"/>
    <s v="rc_cat_1781955063347_s4sz_1781955063347_deos"/>
    <x v="6"/>
    <s v="rc_acc_1781955063347_uxz4"/>
    <x v="4"/>
    <s v=""/>
    <m/>
    <s v="-"/>
    <m/>
    <s v="import"/>
    <s v=""/>
    <b v="0"/>
    <s v=""/>
  </r>
  <r>
    <s v="f24963e7-6a48-47a6-bf53-d82df3f3c197"/>
    <s v="2023-04-30"/>
    <x v="3"/>
    <x v="2"/>
    <n v="30"/>
    <s v="12:53"/>
    <n v="1819.93"/>
    <x v="2"/>
    <s v="other_1781955063347_5s7r"/>
    <x v="15"/>
    <s v="rc_acc_1781955063348_w3gp"/>
    <x v="6"/>
    <s v=""/>
    <m/>
    <s v="Difference"/>
    <m/>
    <s v="import"/>
    <s v=""/>
    <b v="0"/>
    <s v=""/>
  </r>
  <r>
    <s v="0edc50e5-d881-47ec-a21d-55e758959bc2"/>
    <s v="2023-04-30"/>
    <x v="3"/>
    <x v="2"/>
    <n v="30"/>
    <s v="13:01"/>
    <n v="368.93"/>
    <x v="0"/>
    <s v="rc_cat_1781955063347_anhy_1781955063347_qnaz"/>
    <x v="4"/>
    <s v="rc_acc_1781955063347_uxz4"/>
    <x v="4"/>
    <s v=""/>
    <m/>
    <s v="-"/>
    <m/>
    <s v="import"/>
    <s v=""/>
    <b v="0"/>
    <s v=""/>
  </r>
  <r>
    <s v="868856b4-0124-4afe-97b0-a12ec43ff629"/>
    <s v="2023-04-30"/>
    <x v="3"/>
    <x v="2"/>
    <n v="30"/>
    <s v="13:02"/>
    <n v="361.35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637eec92-277a-42c1-91c1-5ddaa33ffad9"/>
    <s v="2023-04-30"/>
    <x v="3"/>
    <x v="2"/>
    <n v="30"/>
    <s v="13:02"/>
    <n v="1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781fc8f1-a19e-43cb-80a6-81da66fee51e"/>
    <s v="2023-04-30"/>
    <x v="3"/>
    <x v="2"/>
    <n v="30"/>
    <s v="13:03"/>
    <n v="143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a9f8915-6922-40ad-804a-860b5b3066c0"/>
    <s v="2023-04-30"/>
    <x v="3"/>
    <x v="2"/>
    <n v="30"/>
    <s v="13:03"/>
    <n v="500"/>
    <x v="0"/>
    <s v="rc_cat_1781955063347_5qjb_1781955063348_hrbf"/>
    <x v="28"/>
    <s v="rc_acc_1781955063347_0qmn"/>
    <x v="20"/>
    <s v=""/>
    <m/>
    <s v="-"/>
    <m/>
    <s v="import"/>
    <s v=""/>
    <b v="0"/>
    <s v=""/>
  </r>
  <r>
    <s v="8187fa81-09f6-4d1f-80d6-163d2209b3cf"/>
    <s v="2023-04-30"/>
    <x v="3"/>
    <x v="2"/>
    <n v="30"/>
    <s v="13:03"/>
    <n v="599.8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d3c06e4-1d97-403d-a96d-a4fb6867e0c5"/>
    <s v="2023-04-30"/>
    <x v="3"/>
    <x v="2"/>
    <n v="30"/>
    <s v="15:11"/>
    <n v="552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e16d973-879b-4149-8b05-69eb088368ae"/>
    <s v="2023-04-30"/>
    <x v="3"/>
    <x v="2"/>
    <n v="30"/>
    <s v="16:14"/>
    <n v="405"/>
    <x v="0"/>
    <s v="rc_cat_1781955063347_5qjb_1781955063347_tezk"/>
    <x v="5"/>
    <s v="kbank"/>
    <x v="0"/>
    <s v=""/>
    <m/>
    <s v="น่าจะมีไอติม"/>
    <m/>
    <s v="import"/>
    <s v=""/>
    <b v="0"/>
    <s v=""/>
  </r>
  <r>
    <s v="fb9307cb-b930-4dea-b1a9-539a81aede7c"/>
    <s v="2023-04-30"/>
    <x v="3"/>
    <x v="2"/>
    <n v="30"/>
    <s v="20:53"/>
    <n v="3190"/>
    <x v="0"/>
    <s v="entertain_1781955063348_kx2f"/>
    <x v="0"/>
    <s v="rc_acc_1781955063350_i8ms"/>
    <x v="28"/>
    <s v=""/>
    <m/>
    <s v="s22 ultra(7/10)"/>
    <m/>
    <s v="import"/>
    <s v=""/>
    <b v="0"/>
    <s v=""/>
  </r>
  <r>
    <s v="2bbd88a5-1115-4f6c-acf9-d40e0b238bd2"/>
    <s v="2023-04-29"/>
    <x v="3"/>
    <x v="2"/>
    <n v="29"/>
    <s v="09:24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fbf69ea-84f0-49e8-9590-bdcc84f291b4"/>
    <s v="2023-04-29"/>
    <x v="3"/>
    <x v="2"/>
    <n v="29"/>
    <s v="11:27"/>
    <n v="63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20a225b6-a105-4b78-a443-f5dc1e22f50a"/>
    <s v="2023-04-29"/>
    <x v="3"/>
    <x v="2"/>
    <n v="29"/>
    <s v="13:27"/>
    <n v="9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2f2873c-b15e-4053-bc11-f45b6195a7a7"/>
    <s v="2023-04-29"/>
    <x v="3"/>
    <x v="2"/>
    <n v="29"/>
    <s v="14:50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cbed7d85-7420-4c64-a7c6-5ec23cca483a"/>
    <s v="2023-04-28"/>
    <x v="3"/>
    <x v="2"/>
    <n v="28"/>
    <s v="08:30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ddccafb-06e7-4e9a-80cb-a4107f9fa538"/>
    <s v="2023-04-28"/>
    <x v="3"/>
    <x v="2"/>
    <n v="28"/>
    <s v="12:52"/>
    <n v="100"/>
    <x v="0"/>
    <s v="rc_cat_1781955063347_s4sz_1781955063347_deos"/>
    <x v="6"/>
    <s v="rc_acc_1781955063347_uxz4"/>
    <x v="4"/>
    <s v=""/>
    <m/>
    <s v="ซ่อมรองเท้า"/>
    <m/>
    <s v="import"/>
    <s v=""/>
    <b v="0"/>
    <s v=""/>
  </r>
  <r>
    <s v="ab9ee410-d0ee-49c3-b634-00b9443c2dc5"/>
    <s v="2023-04-28"/>
    <x v="3"/>
    <x v="2"/>
    <n v="28"/>
    <s v="12:53"/>
    <n v="332"/>
    <x v="0"/>
    <s v="rc_cat_1781955063347_5qjb_1781955063347_tezk"/>
    <x v="5"/>
    <s v="rc_acc_1781955063347_uxz4"/>
    <x v="4"/>
    <s v=""/>
    <m/>
    <s v="teddy"/>
    <m/>
    <s v="import"/>
    <s v=""/>
    <b v="0"/>
    <s v=""/>
  </r>
  <r>
    <s v="22b189aa-aa1c-4a3c-9287-c6f32e79be17"/>
    <s v="2023-04-27"/>
    <x v="3"/>
    <x v="2"/>
    <n v="27"/>
    <s v="08:26"/>
    <n v="17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31b3c9c-c81c-4e0e-97a0-c8f424104f71"/>
    <s v="2023-04-27"/>
    <x v="3"/>
    <x v="2"/>
    <n v="27"/>
    <s v="13:1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f4bd9b4-9dc4-4dbc-bf0c-58ef32d5aa07"/>
    <s v="2023-04-27"/>
    <x v="3"/>
    <x v="2"/>
    <n v="27"/>
    <s v="19:30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40070d7-b9c4-4113-bac3-05f410fc265b"/>
    <s v="2023-04-27"/>
    <x v="3"/>
    <x v="2"/>
    <n v="27"/>
    <s v="21:04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ca6474fe-24f3-4da2-b8f5-5eed18ddd2ce"/>
    <s v="2023-04-26"/>
    <x v="3"/>
    <x v="2"/>
    <n v="26"/>
    <s v="09:26"/>
    <n v="2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ff1275a-8e9f-4e65-964f-2158b54134f3"/>
    <s v="2023-04-25"/>
    <x v="3"/>
    <x v="2"/>
    <n v="25"/>
    <s v="00:00"/>
    <n v="353.95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45690835-953d-4096-aac6-c281f7c6e992"/>
    <s v="2023-04-25"/>
    <x v="3"/>
    <x v="2"/>
    <n v="25"/>
    <s v="00:00"/>
    <n v="2300.6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2105fede-2ffc-4b87-a558-e9177ae0cbd4"/>
    <s v="2023-04-25"/>
    <x v="3"/>
    <x v="2"/>
    <n v="25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c612d41f-5abb-4e3a-8f38-a1e270b1d89d"/>
    <s v="2023-04-25"/>
    <x v="3"/>
    <x v="2"/>
    <n v="25"/>
    <s v="00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2c86467b-f82d-42ae-b6c6-6ede1862ca97"/>
    <s v="2023-04-25"/>
    <x v="3"/>
    <x v="2"/>
    <n v="25"/>
    <s v="00:00"/>
    <n v="1027.0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8b97c8bd-ebea-4416-8075-a02482c2da21"/>
    <s v="2023-04-25"/>
    <x v="3"/>
    <x v="2"/>
    <n v="25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d23c6d47-11ae-4c51-9a99-4b87c0eb9428"/>
    <s v="2023-04-25"/>
    <x v="3"/>
    <x v="2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cc22d8ae-1c9b-48ee-9d37-ae64d847bf89"/>
    <s v="2023-04-25"/>
    <x v="3"/>
    <x v="2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89c0ecdb-dc9b-4b8c-a8e8-2080a3873ef9"/>
    <s v="2023-04-25"/>
    <x v="3"/>
    <x v="2"/>
    <n v="25"/>
    <s v="10:25"/>
    <n v="35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cb4b0d8-b93e-4d0d-9251-2bc6b00e1fda"/>
    <s v="2023-04-25"/>
    <x v="3"/>
    <x v="2"/>
    <n v="25"/>
    <s v="12:46"/>
    <n v="6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fbf67a8-0241-4b34-aa1e-e7a15b5d9ccf"/>
    <s v="2023-04-25"/>
    <x v="3"/>
    <x v="2"/>
    <n v="25"/>
    <s v="13:1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32a1498-258f-44bb-b5f5-a23c0c18d231"/>
    <s v="2023-04-24"/>
    <x v="3"/>
    <x v="2"/>
    <n v="24"/>
    <s v="08:50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8c4b774-6175-4551-ad46-bba7abc39469"/>
    <s v="2023-04-24"/>
    <x v="3"/>
    <x v="2"/>
    <n v="24"/>
    <s v="11:38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9c978ba-02b0-4ed5-b8ad-665f164e9e41"/>
    <s v="2023-04-24"/>
    <x v="3"/>
    <x v="2"/>
    <n v="24"/>
    <s v="12:25"/>
    <n v="2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081f983-76f6-4bdd-ac74-40387f0cc491"/>
    <s v="2023-04-24"/>
    <x v="3"/>
    <x v="2"/>
    <n v="24"/>
    <s v="12:39"/>
    <n v="2359"/>
    <x v="1"/>
    <s v="other"/>
    <x v="1"/>
    <s v="advance"/>
    <x v="2"/>
    <s v="rc_acc_1781955063347_uxz4"/>
    <s v="SCB"/>
    <s v="-"/>
    <m/>
    <s v="import"/>
    <s v=""/>
    <b v="0"/>
    <s v=""/>
  </r>
  <r>
    <s v="37624550-bf77-46b7-825f-a1ff7f9721ac"/>
    <s v="2023-04-23"/>
    <x v="3"/>
    <x v="2"/>
    <n v="23"/>
    <s v="09:50"/>
    <n v="3446"/>
    <x v="1"/>
    <s v="other"/>
    <x v="1"/>
    <s v="advance"/>
    <x v="2"/>
    <s v="rc_acc_1781955063347_uxz4"/>
    <s v="SCB"/>
    <s v="-"/>
    <m/>
    <s v="import"/>
    <s v=""/>
    <b v="0"/>
    <s v=""/>
  </r>
  <r>
    <s v="04976c79-6be5-4c68-9092-07316a849a09"/>
    <s v="2023-04-23"/>
    <x v="3"/>
    <x v="2"/>
    <n v="23"/>
    <s v="11:25"/>
    <n v="25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ba282c2-a289-40b7-866a-06a34f774d91"/>
    <s v="2023-04-23"/>
    <x v="3"/>
    <x v="2"/>
    <n v="23"/>
    <s v="13:04"/>
    <n v="4000"/>
    <x v="1"/>
    <s v="other"/>
    <x v="1"/>
    <s v="rc_acc_1781955063348_no9r"/>
    <x v="7"/>
    <s v="rc_acc_1781955063349_mitc"/>
    <s v="Pao tung"/>
    <s v="-"/>
    <m/>
    <s v="import"/>
    <s v=""/>
    <b v="0"/>
    <s v=""/>
  </r>
  <r>
    <s v="3eb94436-2476-468b-81ca-b8827dd2eb67"/>
    <s v="2023-04-23"/>
    <x v="3"/>
    <x v="2"/>
    <n v="23"/>
    <s v="16:05"/>
    <n v="1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a064cbd-e281-41b8-ad5a-a65257633cff"/>
    <s v="2023-04-23"/>
    <x v="3"/>
    <x v="2"/>
    <n v="23"/>
    <s v="18:12"/>
    <n v="565"/>
    <x v="0"/>
    <s v="rc_cat_1781955063347_anhy_1781955063350_fcpb"/>
    <x v="2"/>
    <s v="kbank"/>
    <x v="0"/>
    <s v=""/>
    <m/>
    <s v="-"/>
    <m/>
    <s v="import"/>
    <s v=""/>
    <b v="0"/>
    <s v=""/>
  </r>
  <r>
    <s v="6eee1b41-f5bf-4240-863d-d5b43ee4602f"/>
    <s v="2023-04-22"/>
    <x v="3"/>
    <x v="2"/>
    <n v="22"/>
    <s v="11:25"/>
    <n v="26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0ddf137-b713-47bd-9eae-c12a9c5ad414"/>
    <s v="2023-04-20"/>
    <x v="3"/>
    <x v="2"/>
    <n v="20"/>
    <s v="10:29"/>
    <n v="11957"/>
    <x v="1"/>
    <s v="other"/>
    <x v="1"/>
    <s v="advance"/>
    <x v="2"/>
    <s v="rc_acc_1781955063347_uxz4"/>
    <s v="SCB"/>
    <s v="-"/>
    <m/>
    <s v="import"/>
    <s v=""/>
    <b v="0"/>
    <s v=""/>
  </r>
  <r>
    <s v="363a075d-2345-4b0b-a4cd-ea03f6d94b65"/>
    <s v="2023-04-20"/>
    <x v="3"/>
    <x v="2"/>
    <n v="20"/>
    <s v="12:48"/>
    <n v="6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14e7dba-c19a-417d-83ba-901672f9cccb"/>
    <s v="2023-04-20"/>
    <x v="3"/>
    <x v="2"/>
    <n v="20"/>
    <s v="13:0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d5d963a-128f-4398-9a4c-608600aab3a8"/>
    <s v="2023-04-20"/>
    <x v="3"/>
    <x v="2"/>
    <n v="20"/>
    <s v="18:24"/>
    <n v="35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cd844b7-ba3e-43c8-b5e0-84199b393b54"/>
    <s v="2023-04-19"/>
    <x v="3"/>
    <x v="2"/>
    <n v="19"/>
    <s v="08:45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f64482d-9ee5-476e-b3c6-6f70698b4871"/>
    <s v="2023-04-19"/>
    <x v="3"/>
    <x v="2"/>
    <n v="19"/>
    <s v="11:23"/>
    <n v="12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bb4e471-ecac-43cc-996f-24e45839ee9f"/>
    <s v="2023-04-19"/>
    <x v="3"/>
    <x v="2"/>
    <n v="19"/>
    <s v="13:05"/>
    <n v="1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b05354e-9a6e-4fc2-aafe-8f7693c6f7aa"/>
    <s v="2023-04-19"/>
    <x v="3"/>
    <x v="2"/>
    <n v="19"/>
    <s v="13:15"/>
    <n v="2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64db884-247f-49c3-af20-f7552582a0ae"/>
    <s v="2023-04-18"/>
    <x v="3"/>
    <x v="2"/>
    <n v="18"/>
    <s v="12:55"/>
    <n v="6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f87cb54-079b-4432-8c02-1cd0ac7f4235"/>
    <s v="2023-04-18"/>
    <x v="3"/>
    <x v="2"/>
    <n v="18"/>
    <s v="19:10"/>
    <n v="325"/>
    <x v="1"/>
    <s v="other"/>
    <x v="1"/>
    <s v="rc_acc_1781955063347_uxz4"/>
    <x v="4"/>
    <s v="advance"/>
    <s v="Advance Paid"/>
    <s v="-"/>
    <m/>
    <s v="import"/>
    <s v=""/>
    <b v="0"/>
    <s v=""/>
  </r>
  <r>
    <s v="74cb3fab-c4ca-4d64-a6d1-e66faf9f5f70"/>
    <s v="2023-04-17"/>
    <x v="3"/>
    <x v="2"/>
    <n v="17"/>
    <s v="10:30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0e7321b-4e8f-4442-bc22-2b0e883f4fcf"/>
    <s v="2023-04-17"/>
    <x v="3"/>
    <x v="2"/>
    <n v="17"/>
    <s v="12:30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b842981-4f01-45ec-8180-eb138916bd7e"/>
    <s v="2023-04-17"/>
    <x v="3"/>
    <x v="2"/>
    <n v="17"/>
    <s v="19:31"/>
    <n v="9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1ef704f-2c6f-4698-a842-15f91911c95b"/>
    <s v="2023-04-17"/>
    <x v="3"/>
    <x v="2"/>
    <n v="17"/>
    <s v="19:31"/>
    <n v="8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2e66d3a-8432-4251-8132-aba34abe2741"/>
    <s v="2023-04-16"/>
    <x v="3"/>
    <x v="2"/>
    <n v="16"/>
    <s v="08:27"/>
    <n v="94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da4c0374-808c-4916-8d16-049ddc9697d1"/>
    <s v="2023-04-16"/>
    <x v="3"/>
    <x v="2"/>
    <n v="16"/>
    <s v="09:55"/>
    <n v="300"/>
    <x v="0"/>
    <s v="rc_cat_1781955063347_5qjb_1781955063347_tezk"/>
    <x v="5"/>
    <s v="rc_acc_1781955063347_uxz4"/>
    <x v="4"/>
    <s v=""/>
    <m/>
    <s v="burger"/>
    <m/>
    <s v="import"/>
    <s v=""/>
    <b v="0"/>
    <s v=""/>
  </r>
  <r>
    <s v="c8be64cb-2363-49fa-92cc-43f5d29ffc48"/>
    <s v="2023-04-16"/>
    <x v="3"/>
    <x v="2"/>
    <n v="16"/>
    <s v="13:57"/>
    <n v="123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2655058-bc9b-46f0-bef8-94619d0191d0"/>
    <s v="2023-04-16"/>
    <x v="3"/>
    <x v="2"/>
    <n v="16"/>
    <s v="16:52"/>
    <n v="788"/>
    <x v="1"/>
    <s v="other"/>
    <x v="1"/>
    <s v="advance"/>
    <x v="2"/>
    <s v="rc_acc_1781955063347_uxz4"/>
    <s v="SCB"/>
    <s v="-"/>
    <m/>
    <s v="import"/>
    <s v=""/>
    <b v="0"/>
    <s v=""/>
  </r>
  <r>
    <s v="0eb8d1d3-5067-4dd4-a015-1aa9b50a43fc"/>
    <s v="2023-04-15"/>
    <x v="3"/>
    <x v="2"/>
    <n v="15"/>
    <s v="15:15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c31a891-459b-45c9-aac8-721fcf41d2fe"/>
    <s v="2023-04-15"/>
    <x v="3"/>
    <x v="2"/>
    <n v="15"/>
    <s v="18:03"/>
    <n v="760"/>
    <x v="0"/>
    <s v="rc_cat_1781955063347_anhy_1781955063350_fcpb"/>
    <x v="2"/>
    <s v="rc_acc_1781955063347_0qmn"/>
    <x v="20"/>
    <s v=""/>
    <m/>
    <s v="-"/>
    <m/>
    <s v="import"/>
    <s v=""/>
    <b v="0"/>
    <s v=""/>
  </r>
  <r>
    <s v="769b07bb-dbb2-4710-b45f-35b86b94b9e0"/>
    <s v="2023-04-15"/>
    <x v="3"/>
    <x v="2"/>
    <n v="15"/>
    <s v="18:03"/>
    <n v="1122.87"/>
    <x v="0"/>
    <s v="other_1781955063348_27zj"/>
    <x v="0"/>
    <s v="rc_acc_1781955063347_0qmn"/>
    <x v="20"/>
    <s v=""/>
    <m/>
    <s v="-"/>
    <m/>
    <s v="import"/>
    <s v=""/>
    <b v="0"/>
    <s v=""/>
  </r>
  <r>
    <s v="a9d09508-04c0-4976-b361-42184cf59a40"/>
    <s v="2023-04-14"/>
    <x v="3"/>
    <x v="2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994831cb-c963-4ccd-99f4-38cde6bf4c1d"/>
    <s v="2023-04-14"/>
    <x v="3"/>
    <x v="2"/>
    <n v="14"/>
    <s v="09:00"/>
    <n v="64"/>
    <x v="0"/>
    <s v="rc_cat_1781955063347_5qjb_1781955063347_irl1"/>
    <x v="0"/>
    <s v="rc_acc_1781955063347_0qmn"/>
    <x v="20"/>
    <s v=""/>
    <m/>
    <s v="bts gold"/>
    <m/>
    <s v="import"/>
    <s v=""/>
    <b v="0"/>
    <s v=""/>
  </r>
  <r>
    <s v="f909d928-11fc-4ef8-94c3-fae0d63e5533"/>
    <s v="2023-04-14"/>
    <x v="3"/>
    <x v="2"/>
    <n v="14"/>
    <s v="09:57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563981b8-ff27-4c0c-aedf-113c3015cb84"/>
    <s v="2023-04-14"/>
    <x v="3"/>
    <x v="2"/>
    <n v="14"/>
    <s v="14:45"/>
    <n v="15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e5b9a68-7e98-40ec-8bb2-b9dc595218b5"/>
    <s v="2023-04-14"/>
    <x v="3"/>
    <x v="2"/>
    <n v="14"/>
    <s v="15:03"/>
    <n v="90"/>
    <x v="0"/>
    <s v="rc_cat_1781955063347_5qjb_1781955063347_tezk"/>
    <x v="5"/>
    <s v="rc_acc_1781955063347_0qmn"/>
    <x v="20"/>
    <s v=""/>
    <m/>
    <s v="ชาตรามือ"/>
    <m/>
    <s v="import"/>
    <s v=""/>
    <b v="0"/>
    <s v=""/>
  </r>
  <r>
    <s v="8c55db30-8662-4667-963a-82c602c5c9e5"/>
    <s v="2023-04-14"/>
    <x v="3"/>
    <x v="2"/>
    <n v="14"/>
    <s v="16:07"/>
    <n v="858"/>
    <x v="0"/>
    <s v="rc_cat_1781955063347_5qjb_1781955063347_tezk"/>
    <x v="5"/>
    <s v="rc_acc_1781955063347_0qmn"/>
    <x v="20"/>
    <s v=""/>
    <m/>
    <s v="ชาบูชิ"/>
    <m/>
    <s v="import"/>
    <s v=""/>
    <b v="0"/>
    <s v=""/>
  </r>
  <r>
    <s v="00f6ea55-0c22-49c6-a045-def0c63d3425"/>
    <s v="2023-04-14"/>
    <x v="3"/>
    <x v="2"/>
    <n v="14"/>
    <s v="17:01"/>
    <n v="300"/>
    <x v="0"/>
    <s v="rc_cat_1781955063347_5qjb_1781955063347_tezk"/>
    <x v="5"/>
    <s v="rc_acc_1781955063347_0qmn"/>
    <x v="20"/>
    <s v=""/>
    <m/>
    <s v="ค่าไรวะ"/>
    <m/>
    <s v="import"/>
    <s v=""/>
    <b v="0"/>
    <s v=""/>
  </r>
  <r>
    <s v="487337a6-b753-4a7f-8766-6032c02527f9"/>
    <s v="2023-04-14"/>
    <x v="3"/>
    <x v="2"/>
    <n v="14"/>
    <s v="17:55"/>
    <n v="295"/>
    <x v="0"/>
    <s v="rc_cat_1781955063347_5qjb_1781955063347_tezk"/>
    <x v="5"/>
    <s v="rc_acc_1781955063347_0qmn"/>
    <x v="20"/>
    <s v=""/>
    <m/>
    <s v="eric kayzer"/>
    <m/>
    <s v="import"/>
    <s v=""/>
    <b v="0"/>
    <s v=""/>
  </r>
  <r>
    <s v="5ffdfb7a-9323-4518-8639-d74e76020a2b"/>
    <s v="2023-04-13"/>
    <x v="3"/>
    <x v="2"/>
    <n v="13"/>
    <s v="15:04"/>
    <n v="405"/>
    <x v="0"/>
    <s v="rc_cat_1781955063347_5qjb_1781955063348_xqml"/>
    <x v="31"/>
    <s v="rc_acc_1781955063347_0qmn"/>
    <x v="20"/>
    <s v=""/>
    <m/>
    <s v="macro"/>
    <m/>
    <s v="import"/>
    <s v=""/>
    <b v="0"/>
    <s v=""/>
  </r>
  <r>
    <s v="3d820bb4-922d-4954-8133-a0109ba4740b"/>
    <s v="2023-04-13"/>
    <x v="3"/>
    <x v="2"/>
    <n v="13"/>
    <s v="16:15"/>
    <n v="3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a37a16c-96c5-48be-bc78-1af43cd3f26e"/>
    <s v="2023-04-13"/>
    <x v="3"/>
    <x v="2"/>
    <n v="13"/>
    <s v="17:00"/>
    <n v="200"/>
    <x v="0"/>
    <s v="rc_cat_1781955063347_5qjb_1781955063348_xqml"/>
    <x v="31"/>
    <s v="rc_acc_1781955063347_0qmn"/>
    <x v="20"/>
    <s v=""/>
    <m/>
    <s v="tops"/>
    <m/>
    <s v="import"/>
    <s v=""/>
    <b v="0"/>
    <s v=""/>
  </r>
  <r>
    <s v="b4ba2a28-47c0-4309-8721-da3d1e4c3a32"/>
    <s v="2023-04-12"/>
    <x v="3"/>
    <x v="2"/>
    <n v="12"/>
    <s v="08:45"/>
    <n v="112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e290c14-b9b5-4954-94b7-b8b22b91b10a"/>
    <s v="2023-04-12"/>
    <x v="3"/>
    <x v="2"/>
    <n v="12"/>
    <s v="09:53"/>
    <n v="10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1e2eea8-8aea-4507-abf0-9e8f33e56b24"/>
    <s v="2023-04-12"/>
    <x v="3"/>
    <x v="2"/>
    <n v="12"/>
    <s v="12:54"/>
    <n v="5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f76b6c8-45ee-4649-83e7-6f50aed7cbdd"/>
    <s v="2023-04-12"/>
    <x v="3"/>
    <x v="2"/>
    <n v="12"/>
    <s v="12:54"/>
    <n v="200"/>
    <x v="1"/>
    <s v="other"/>
    <x v="1"/>
    <s v="rc_acc_1781955063347_e3zv"/>
    <x v="16"/>
    <s v="rc_acc_1781955063347_uxz4"/>
    <s v="SCB"/>
    <s v="-"/>
    <m/>
    <s v="import"/>
    <s v=""/>
    <b v="0"/>
    <s v=""/>
  </r>
  <r>
    <s v="2b39d1a5-b85e-41ef-a458-44377ca51527"/>
    <s v="2023-04-12"/>
    <x v="3"/>
    <x v="2"/>
    <n v="12"/>
    <s v="12:55"/>
    <n v="200"/>
    <x v="1"/>
    <s v="other"/>
    <x v="1"/>
    <s v="advance"/>
    <x v="2"/>
    <s v="rc_acc_1781955063347_uxz4"/>
    <s v="SCB"/>
    <s v="พี่ปอมช่วยจ่าย"/>
    <m/>
    <s v="import"/>
    <s v=""/>
    <b v="0"/>
    <s v=""/>
  </r>
  <r>
    <s v="7f45e3bc-4e33-4ea3-9546-ff490b96e025"/>
    <s v="2023-04-11"/>
    <x v="3"/>
    <x v="2"/>
    <n v="11"/>
    <s v="12:53"/>
    <n v="8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74ed844-8956-4be1-84a0-f6e85988c0e6"/>
    <s v="2023-04-11"/>
    <x v="3"/>
    <x v="2"/>
    <n v="11"/>
    <s v="12:53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9e14dd2-c613-4e81-bb28-ccbfbb2e35b3"/>
    <s v="2023-04-10"/>
    <x v="3"/>
    <x v="2"/>
    <n v="10"/>
    <s v="09:51"/>
    <n v="300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bd9435a4-32a6-45c6-b2b2-9db91a7876e8"/>
    <s v="2023-04-10"/>
    <x v="3"/>
    <x v="2"/>
    <n v="10"/>
    <s v="12:51"/>
    <n v="12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55a46f3-986c-46d5-bfa9-c80ddd29aa3b"/>
    <s v="2023-04-10"/>
    <x v="3"/>
    <x v="2"/>
    <n v="10"/>
    <s v="15:0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940ac2f-ac77-4795-bd9d-a5b1ac1deda1"/>
    <s v="2023-04-10"/>
    <x v="3"/>
    <x v="2"/>
    <n v="10"/>
    <s v="21:5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c40032a-cc6d-4d17-a669-4b3e9e4a0ccd"/>
    <s v="2023-04-09"/>
    <x v="3"/>
    <x v="2"/>
    <n v="9"/>
    <s v="14:15"/>
    <n v="8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fbfc6a7-b54b-469d-88e2-58cb95b291e4"/>
    <s v="2023-04-09"/>
    <x v="3"/>
    <x v="2"/>
    <n v="9"/>
    <s v="18:04"/>
    <n v="31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00d6c82-78fe-4f4b-b2cf-8304e198d795"/>
    <s v="2023-04-09"/>
    <x v="3"/>
    <x v="2"/>
    <n v="9"/>
    <s v="18:10"/>
    <n v="497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1b00a91-b588-4f32-998b-24366066f981"/>
    <s v="2023-04-08"/>
    <x v="3"/>
    <x v="2"/>
    <n v="8"/>
    <s v="09:44"/>
    <n v="2718"/>
    <x v="1"/>
    <s v="other"/>
    <x v="1"/>
    <s v="rc_acc_1781955063347_uxz4"/>
    <x v="4"/>
    <s v="advance"/>
    <s v="Advance Paid"/>
    <s v="copper"/>
    <m/>
    <s v="import"/>
    <s v=""/>
    <b v="0"/>
    <s v=""/>
  </r>
  <r>
    <s v="917f999b-3367-477e-aa7e-0b8b8549fa72"/>
    <s v="2023-04-08"/>
    <x v="3"/>
    <x v="2"/>
    <n v="8"/>
    <s v="10:02"/>
    <n v="78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da2435e-4df4-48eb-9248-6111ffd8ae1d"/>
    <s v="2023-04-08"/>
    <x v="3"/>
    <x v="2"/>
    <n v="8"/>
    <s v="12:50"/>
    <n v="788"/>
    <x v="1"/>
    <s v="other"/>
    <x v="1"/>
    <s v="rc_acc_1781955063347_uxz4"/>
    <x v="4"/>
    <s v="advance"/>
    <s v="Advance Paid"/>
    <s v="-"/>
    <m/>
    <s v="import"/>
    <s v=""/>
    <b v="0"/>
    <s v=""/>
  </r>
  <r>
    <s v="d30327c6-faf8-468b-85d9-ca9da214d72a"/>
    <s v="2023-04-08"/>
    <x v="3"/>
    <x v="2"/>
    <n v="8"/>
    <s v="17:05"/>
    <n v="733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fda119eb-1263-474d-adaa-e9344b2bcf01"/>
    <s v="2023-04-08"/>
    <x v="3"/>
    <x v="2"/>
    <n v="8"/>
    <s v="17:55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e822df5-90b3-4c5d-9f2b-9af8dd01a415"/>
    <s v="2023-04-08"/>
    <x v="3"/>
    <x v="2"/>
    <n v="8"/>
    <s v="19:16"/>
    <n v="582"/>
    <x v="0"/>
    <s v="rc_cat_1781955063347_s4sz_1781955063347_9tpp"/>
    <x v="9"/>
    <s v="rc_acc_1781955063347_uxz4"/>
    <x v="4"/>
    <s v=""/>
    <m/>
    <s v="-"/>
    <m/>
    <s v="import"/>
    <s v=""/>
    <b v="0"/>
    <s v=""/>
  </r>
  <r>
    <s v="5303f4de-cc07-4a54-b1e6-f21dd5882baa"/>
    <s v="2023-04-07"/>
    <x v="3"/>
    <x v="2"/>
    <n v="7"/>
    <s v="16:28"/>
    <n v="26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a592fda-21d1-433f-9803-d8a7a325b7ed"/>
    <s v="2023-04-07"/>
    <x v="3"/>
    <x v="2"/>
    <n v="7"/>
    <s v="16:30"/>
    <n v="77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bd21ac7-b566-4505-badf-459052b01e7a"/>
    <s v="2023-04-07"/>
    <x v="3"/>
    <x v="2"/>
    <n v="7"/>
    <s v="18:11"/>
    <n v="49952"/>
    <x v="0"/>
    <s v="rc_cat_1781955063347_04qb_1781955063350_acgf"/>
    <x v="11"/>
    <s v="kbank"/>
    <x v="0"/>
    <s v=""/>
    <m/>
    <s v="-"/>
    <m/>
    <s v="import"/>
    <s v=""/>
    <b v="0"/>
    <s v=""/>
  </r>
  <r>
    <s v="f9852a80-d0ba-40eb-9f26-0fe201c0f697"/>
    <s v="2023-04-07"/>
    <x v="3"/>
    <x v="2"/>
    <n v="7"/>
    <s v="19:06"/>
    <n v="63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01d4088-8049-471b-87da-eb3c1851655e"/>
    <s v="2023-04-07"/>
    <x v="3"/>
    <x v="2"/>
    <n v="7"/>
    <s v="20:07"/>
    <n v="242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66fe218-180f-402d-ba8e-c5aff7493664"/>
    <s v="2023-04-06"/>
    <x v="3"/>
    <x v="2"/>
    <n v="6"/>
    <s v="16:55"/>
    <n v="36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e3c90ff-0e0d-4320-93b0-e088ce0d4ac3"/>
    <s v="2023-04-05"/>
    <x v="3"/>
    <x v="2"/>
    <n v="5"/>
    <s v="09:08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fab4e6a-e915-42fc-b211-cc4cc2446a34"/>
    <s v="2023-04-05"/>
    <x v="3"/>
    <x v="2"/>
    <n v="5"/>
    <s v="09:26"/>
    <n v="73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f28345f-31e4-4539-a2b8-d0cfc737f8dd"/>
    <s v="2023-04-05"/>
    <x v="3"/>
    <x v="2"/>
    <n v="5"/>
    <s v="09:26"/>
    <n v="5793.36"/>
    <x v="0"/>
    <s v="rc_cat_1781955063347_04qb_1781955063347_wt5p"/>
    <x v="3"/>
    <s v="rc_acc_1781955063347_uxz4"/>
    <x v="4"/>
    <s v=""/>
    <m/>
    <s v="-"/>
    <m/>
    <s v="import"/>
    <s v=""/>
    <b v="0"/>
    <s v=""/>
  </r>
  <r>
    <s v="b622889c-0a17-4247-9d2e-87e6cddb9730"/>
    <s v="2023-04-05"/>
    <x v="3"/>
    <x v="2"/>
    <n v="5"/>
    <s v="10:02"/>
    <n v="10000"/>
    <x v="2"/>
    <s v="income_1781955063347_5zxt"/>
    <x v="14"/>
    <s v="rc_acc_1781955063347_0qmn"/>
    <x v="20"/>
    <s v=""/>
    <m/>
    <s v="-"/>
    <m/>
    <s v="import"/>
    <s v=""/>
    <b v="0"/>
    <s v=""/>
  </r>
  <r>
    <s v="7af06c03-1f20-41d5-9dbb-c3f9cf373f8d"/>
    <s v="2023-04-05"/>
    <x v="3"/>
    <x v="2"/>
    <n v="5"/>
    <s v="12:27"/>
    <n v="9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aa94d45-aad0-4466-97c6-1d3b39f74e45"/>
    <s v="2023-04-05"/>
    <x v="3"/>
    <x v="2"/>
    <n v="5"/>
    <s v="15:27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133a996-80c0-4da1-842a-dddfc3bc4065"/>
    <s v="2023-04-05"/>
    <x v="3"/>
    <x v="2"/>
    <n v="5"/>
    <s v="19:28"/>
    <n v="3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124e231-2f34-4663-84a8-fed83de6431f"/>
    <s v="2023-04-05"/>
    <x v="3"/>
    <x v="2"/>
    <n v="5"/>
    <s v="20:07"/>
    <n v="463"/>
    <x v="0"/>
    <s v="rc_cat_1781955063347_5qjb_1781955063347_tezk"/>
    <x v="5"/>
    <s v="rc_acc_1781955063347_0qmn"/>
    <x v="20"/>
    <s v=""/>
    <m/>
    <s v="หมูกะทะ"/>
    <m/>
    <s v="import"/>
    <s v=""/>
    <b v="0"/>
    <s v=""/>
  </r>
  <r>
    <s v="7560143c-ae8a-45bb-adb0-967d95cc264b"/>
    <s v="2023-04-05"/>
    <x v="3"/>
    <x v="2"/>
    <n v="5"/>
    <s v="22:28"/>
    <n v="2217"/>
    <x v="0"/>
    <s v="entertain_1781955063347_8r8e"/>
    <x v="8"/>
    <s v="rc_acc_1781955063347_uxz4"/>
    <x v="4"/>
    <s v=""/>
    <m/>
    <s v="-"/>
    <m/>
    <s v="import"/>
    <s v=""/>
    <b v="0"/>
    <s v=""/>
  </r>
  <r>
    <s v="f4f71fe0-82a8-4793-89f5-a976a689a3e0"/>
    <s v="2023-04-04"/>
    <x v="3"/>
    <x v="2"/>
    <n v="4"/>
    <s v="09:08"/>
    <n v="23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e4d7350-73ae-4206-a534-54c8f3e7de98"/>
    <s v="2023-04-04"/>
    <x v="3"/>
    <x v="2"/>
    <n v="4"/>
    <s v="12:26"/>
    <n v="13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b2cfbf3-0730-4e64-ac93-a46edca53fa8"/>
    <s v="2023-04-04"/>
    <x v="3"/>
    <x v="2"/>
    <n v="4"/>
    <s v="12:5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e7d064a-c6fc-4344-a043-27a03f57a47b"/>
    <s v="2023-04-03"/>
    <x v="3"/>
    <x v="2"/>
    <n v="3"/>
    <s v="09:09"/>
    <n v="10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7159851-ed73-4c41-b2de-7ec0f435e3cd"/>
    <s v="2023-04-03"/>
    <x v="3"/>
    <x v="2"/>
    <n v="3"/>
    <s v="16:29"/>
    <n v="368.93"/>
    <x v="0"/>
    <s v="rc_cat_1781955063347_anhy_1781955063347_qnaz"/>
    <x v="4"/>
    <s v="rc_acc_1781955063348_w3gp"/>
    <x v="6"/>
    <s v=""/>
    <m/>
    <s v="-"/>
    <m/>
    <s v="import"/>
    <s v=""/>
    <b v="0"/>
    <s v=""/>
  </r>
  <r>
    <s v="7867f816-6902-425e-a018-249b6e9bc155"/>
    <s v="2023-04-02"/>
    <x v="3"/>
    <x v="2"/>
    <n v="2"/>
    <s v="17:10"/>
    <n v="1980"/>
    <x v="0"/>
    <s v="rc_cat_1781955063347_anhy_1781955063347_qnaz"/>
    <x v="4"/>
    <s v="rc_acc_1781955063347_uxz4"/>
    <x v="4"/>
    <s v=""/>
    <m/>
    <s v="sizzler"/>
    <m/>
    <s v="import"/>
    <s v=""/>
    <b v="0"/>
    <s v=""/>
  </r>
  <r>
    <s v="4848c485-0e68-4439-a7fc-0d8d39240cda"/>
    <s v="2023-04-02"/>
    <x v="3"/>
    <x v="2"/>
    <n v="2"/>
    <s v="17:13"/>
    <n v="116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389bb7aa-b705-47a4-8c2d-826d231147f6"/>
    <s v="2023-04-02"/>
    <x v="3"/>
    <x v="2"/>
    <n v="2"/>
    <s v="17:13"/>
    <n v="5000"/>
    <x v="0"/>
    <s v="rc_cat_1781955063347_anhy_1781955063347_qnaz"/>
    <x v="4"/>
    <s v="kbank"/>
    <x v="0"/>
    <s v=""/>
    <m/>
    <s v="-"/>
    <m/>
    <s v="import"/>
    <s v=""/>
    <b v="0"/>
    <s v=""/>
  </r>
  <r>
    <s v="27b8d8dd-7048-475d-a11f-c071fff2fb1d"/>
    <s v="2023-04-02"/>
    <x v="3"/>
    <x v="2"/>
    <n v="2"/>
    <s v="17:29"/>
    <n v="12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584c315-814d-496a-ad88-71fd98e6bfb0"/>
    <s v="2023-04-02"/>
    <x v="3"/>
    <x v="2"/>
    <n v="2"/>
    <s v="17:34"/>
    <n v="2242"/>
    <x v="0"/>
    <s v="rc_cat_1781955063347_5qjb_1781955063347_tezk"/>
    <x v="5"/>
    <s v="advance"/>
    <x v="2"/>
    <s v=""/>
    <m/>
    <s v="-"/>
    <m/>
    <s v="import"/>
    <s v=""/>
    <b v="0"/>
    <s v=""/>
  </r>
  <r>
    <s v="136fd9e7-ee43-4868-929c-2332e1db4d37"/>
    <s v="2023-04-02"/>
    <x v="3"/>
    <x v="2"/>
    <n v="2"/>
    <s v="17:34"/>
    <n v="2758"/>
    <x v="1"/>
    <s v="other"/>
    <x v="1"/>
    <s v="advance"/>
    <x v="2"/>
    <s v="rc_acc_1781955063347_uxz4"/>
    <s v="SCB"/>
    <s v="-"/>
    <m/>
    <s v="import"/>
    <s v=""/>
    <b v="0"/>
    <s v=""/>
  </r>
  <r>
    <s v="526d5e4e-31ad-41aa-bdb3-d07440038127"/>
    <s v="2023-04-02"/>
    <x v="3"/>
    <x v="2"/>
    <n v="2"/>
    <s v="17:35"/>
    <n v="4806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2d8f0823-c465-4154-9903-a47ab951529c"/>
    <s v="2023-04-02"/>
    <x v="3"/>
    <x v="2"/>
    <n v="2"/>
    <s v="17:57"/>
    <n v="315.65"/>
    <x v="0"/>
    <s v="other_1781955063347_5s7r"/>
    <x v="15"/>
    <s v="rc_acc_1781955063347_omhz"/>
    <x v="29"/>
    <s v=""/>
    <m/>
    <s v="Difference"/>
    <m/>
    <s v="import"/>
    <s v=""/>
    <b v="0"/>
    <s v=""/>
  </r>
  <r>
    <s v="b4e3a1f6-6314-4a11-85f5-b6ce7fe945c0"/>
    <s v="2023-04-01"/>
    <x v="3"/>
    <x v="2"/>
    <n v="1"/>
    <s v="00:47"/>
    <n v="100000"/>
    <x v="1"/>
    <s v="other"/>
    <x v="1"/>
    <s v="rc_acc_1781955063347_uxz4"/>
    <x v="4"/>
    <s v="kbank"/>
    <s v="KBank"/>
    <s v="-"/>
    <m/>
    <s v="import"/>
    <s v=""/>
    <b v="0"/>
    <s v=""/>
  </r>
  <r>
    <s v="e0da37ac-c57c-44ef-8a82-0c646d788ec3"/>
    <s v="2023-04-01"/>
    <x v="3"/>
    <x v="2"/>
    <n v="1"/>
    <s v="12:11"/>
    <n v="92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57910d7c-b60b-4afe-a7bf-cc409fe400b1"/>
    <s v="2023-04-01"/>
    <x v="3"/>
    <x v="2"/>
    <n v="1"/>
    <s v="12:48"/>
    <n v="4103"/>
    <x v="1"/>
    <s v="other"/>
    <x v="1"/>
    <s v="rc_acc_1781955063347_uxz4"/>
    <x v="4"/>
    <s v="rc_acc_1781955063347_kjxt"/>
    <s v="KTC JCB"/>
    <s v="-"/>
    <m/>
    <s v="import"/>
    <s v=""/>
    <b v="0"/>
    <s v=""/>
  </r>
  <r>
    <s v="f1429542-cd9d-48a8-9314-d70a47106e95"/>
    <s v="2023-04-01"/>
    <x v="3"/>
    <x v="2"/>
    <n v="1"/>
    <s v="12:49"/>
    <n v="3190"/>
    <x v="1"/>
    <s v="other"/>
    <x v="1"/>
    <s v="kbank"/>
    <x v="0"/>
    <s v="rc_acc_1781955063350_i8ms"/>
    <s v="Kbank onesiam"/>
    <s v="-"/>
    <m/>
    <s v="import"/>
    <s v=""/>
    <b v="0"/>
    <s v=""/>
  </r>
  <r>
    <s v="cbecb4fb-d6a9-49b1-a73e-b9cd09f5ab2a"/>
    <s v="2023-04-01"/>
    <x v="3"/>
    <x v="2"/>
    <n v="1"/>
    <s v="12:50"/>
    <n v="50000"/>
    <x v="0"/>
    <s v="rc_cat_1781955063347_04qb_1781955063350_acgf"/>
    <x v="11"/>
    <s v="kbank"/>
    <x v="0"/>
    <s v=""/>
    <m/>
    <s v="-"/>
    <m/>
    <s v="import"/>
    <s v=""/>
    <b v="0"/>
    <s v=""/>
  </r>
  <r>
    <s v="af76dc55-5182-4083-9685-72abd42ebca5"/>
    <s v="2023-04-01"/>
    <x v="3"/>
    <x v="2"/>
    <n v="1"/>
    <s v="14:05"/>
    <n v="1837"/>
    <x v="1"/>
    <s v="other"/>
    <x v="1"/>
    <s v="rc_acc_1781955063349_mitc"/>
    <x v="23"/>
    <s v="rc_acc_1781955063347_uxz4"/>
    <s v="SCB"/>
    <s v="-"/>
    <m/>
    <s v="import"/>
    <s v=""/>
    <b v="0"/>
    <s v=""/>
  </r>
  <r>
    <s v="9c096ebf-2918-4782-8156-252e1c0f0c63"/>
    <s v="2023-04-01"/>
    <x v="3"/>
    <x v="2"/>
    <n v="1"/>
    <s v="18:44"/>
    <n v="1110"/>
    <x v="0"/>
    <s v="rc_cat_1781955063347_5qjb_1781955063347_tezk"/>
    <x v="5"/>
    <s v="rc_acc_1781955063347_uxz4"/>
    <x v="4"/>
    <s v=""/>
    <m/>
    <s v="barbgon"/>
    <m/>
    <s v="import"/>
    <s v=""/>
    <b v="0"/>
    <s v=""/>
  </r>
  <r>
    <s v="7fc08257-551f-4e2d-a028-a3e60af4606b"/>
    <s v="2023-04-01"/>
    <x v="3"/>
    <x v="2"/>
    <n v="1"/>
    <s v="19:52"/>
    <n v="508"/>
    <x v="1"/>
    <s v="other"/>
    <x v="1"/>
    <s v="rc_acc_1781955063347_uxz4"/>
    <x v="4"/>
    <s v="advance"/>
    <s v="Advance Paid"/>
    <s v="-"/>
    <m/>
    <s v="import"/>
    <s v=""/>
    <b v="0"/>
    <s v=""/>
  </r>
  <r>
    <s v="e5d2ba46-1bc6-499c-9e93-e3d871eb15df"/>
    <s v="2023-04-01"/>
    <x v="3"/>
    <x v="2"/>
    <n v="1"/>
    <s v="19:53"/>
    <n v="3633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21baef05-7160-487f-8e08-3f2db27c3927"/>
    <s v="2023-04-01"/>
    <x v="3"/>
    <x v="2"/>
    <n v="1"/>
    <s v="20:10"/>
    <n v="200"/>
    <x v="0"/>
    <s v="rc_cat_1781955063347_5qjb_1781955063347_tezk"/>
    <x v="5"/>
    <s v="rc_acc_1781955063347_0qmn"/>
    <x v="20"/>
    <s v=""/>
    <m/>
    <s v="ทริปจัน"/>
    <m/>
    <s v="import"/>
    <s v=""/>
    <b v="0"/>
    <s v=""/>
  </r>
  <r>
    <s v="660c5b10-3cbc-41c5-8df9-da5a3e4a2cb5"/>
    <s v="2023-04-01"/>
    <x v="3"/>
    <x v="2"/>
    <n v="1"/>
    <s v="20:11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ac4bc163-326a-44ec-a25f-07438c9f0651"/>
    <s v="2023-04-01"/>
    <x v="3"/>
    <x v="2"/>
    <n v="1"/>
    <s v="20:38"/>
    <n v="239"/>
    <x v="0"/>
    <s v="entertain_1781955063352_1jgx"/>
    <x v="10"/>
    <s v="rc_acc_1781955063347_uxz4"/>
    <x v="4"/>
    <s v=""/>
    <m/>
    <s v="-"/>
    <m/>
    <s v="import"/>
    <s v=""/>
    <b v="0"/>
    <s v=""/>
  </r>
  <r>
    <s v="2e5bf070-050f-4923-a92a-aae0d7f573aa"/>
    <s v="2023-04-01"/>
    <x v="3"/>
    <x v="2"/>
    <n v="1"/>
    <s v="20:39"/>
    <n v="371"/>
    <x v="0"/>
    <s v="rc_cat_1781955063347_anhy_1781955063347_qnaz"/>
    <x v="4"/>
    <s v="rc_acc_1781955063347_uxz4"/>
    <x v="4"/>
    <s v=""/>
    <m/>
    <s v="-"/>
    <m/>
    <s v="import"/>
    <s v=""/>
    <b v="0"/>
    <s v=""/>
  </r>
  <r>
    <s v="aa5a4dc0-ae61-4369-a1ae-ef16d71e926d"/>
    <s v="2023-04-01"/>
    <x v="3"/>
    <x v="2"/>
    <n v="1"/>
    <s v="20:42"/>
    <n v="1000"/>
    <x v="0"/>
    <s v="rc_cat_1781955063347_5qjb_1781955063348_edf6"/>
    <x v="30"/>
    <s v="rc_acc_1781955063347_0qmn"/>
    <x v="20"/>
    <s v=""/>
    <m/>
    <s v="ยอดเมื่อวันที่ 7 citi"/>
    <m/>
    <s v="import"/>
    <s v=""/>
    <b v="0"/>
    <s v=""/>
  </r>
  <r>
    <s v="a34586d0-ecf8-4efd-8da4-0800bdac74ca"/>
    <s v="2023-04-01"/>
    <x v="3"/>
    <x v="2"/>
    <n v="1"/>
    <s v="20:45"/>
    <n v="511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365cee13-55c1-4d9f-88cb-993e01aa3a89"/>
    <s v="2023-04-01"/>
    <x v="3"/>
    <x v="2"/>
    <n v="1"/>
    <s v="20:58"/>
    <n v="1317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a21b2b6-5b2e-4cf4-b7e5-907045e7ed2b"/>
    <s v="2023-04-01"/>
    <x v="3"/>
    <x v="2"/>
    <n v="1"/>
    <s v="21:14"/>
    <n v="967"/>
    <x v="1"/>
    <s v="other"/>
    <x v="1"/>
    <s v="rc_acc_1781955063347_uxz4"/>
    <x v="4"/>
    <s v="rc_acc_1781955063347_kjxt"/>
    <s v="KTC JCB"/>
    <s v="-"/>
    <m/>
    <s v="import"/>
    <s v=""/>
    <b v="0"/>
    <s v=""/>
  </r>
  <r>
    <s v="ed8f7f53-609c-49cc-b6a5-8ae1eff5f5a4"/>
    <s v="2023-04-01"/>
    <x v="3"/>
    <x v="2"/>
    <n v="1"/>
    <s v="22:41"/>
    <n v="1910"/>
    <x v="0"/>
    <s v="rc_cat_1781955063347_5qjb_1781955063348_wpky"/>
    <x v="27"/>
    <s v="rc_acc_1781955063347_0qmn"/>
    <x v="20"/>
    <s v=""/>
    <m/>
    <s v="-"/>
    <m/>
    <s v="import"/>
    <s v=""/>
    <b v="0"/>
    <s v=""/>
  </r>
  <r>
    <s v="7548f0ad-d800-4b3b-8970-1335eb6d0337"/>
    <s v="2023-03-31"/>
    <x v="3"/>
    <x v="3"/>
    <n v="31"/>
    <s v="09:08"/>
    <n v="14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99726d9-3d09-4211-8555-bc96c3dca629"/>
    <s v="2023-03-31"/>
    <x v="3"/>
    <x v="3"/>
    <n v="31"/>
    <s v="09:20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2830e3f-3548-4b50-8bb1-47e06854a95f"/>
    <s v="2023-03-31"/>
    <x v="3"/>
    <x v="3"/>
    <n v="31"/>
    <s v="22:46"/>
    <n v="480"/>
    <x v="0"/>
    <s v="entertain_1781955063348_32wr"/>
    <x v="23"/>
    <s v="rc_acc_1781955063347_uxz4"/>
    <x v="4"/>
    <s v=""/>
    <m/>
    <s v="-"/>
    <m/>
    <s v="import"/>
    <s v=""/>
    <b v="0"/>
    <s v=""/>
  </r>
  <r>
    <s v="6c3e56a2-f4fd-45a9-a6c3-720f1bbf8fd0"/>
    <s v="2023-03-30"/>
    <x v="3"/>
    <x v="3"/>
    <n v="30"/>
    <s v="09:08"/>
    <n v="18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4e07067-a42c-428a-8865-0cf64075478d"/>
    <s v="2023-03-30"/>
    <x v="3"/>
    <x v="3"/>
    <n v="30"/>
    <s v="20:53"/>
    <n v="3190"/>
    <x v="0"/>
    <s v="entertain_1781955063348_kx2f"/>
    <x v="0"/>
    <s v="rc_acc_1781955063350_i8ms"/>
    <x v="28"/>
    <s v=""/>
    <m/>
    <s v="s22 ultra(6/10)"/>
    <m/>
    <s v="import"/>
    <s v=""/>
    <b v="0"/>
    <s v=""/>
  </r>
  <r>
    <s v="790d0cfb-6498-4948-ad35-467c0514a310"/>
    <s v="2023-03-29"/>
    <x v="3"/>
    <x v="3"/>
    <n v="29"/>
    <s v="12:44"/>
    <n v="95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1dd44a0-b6d9-4f0b-a521-5d714b175095"/>
    <s v="2023-03-28"/>
    <x v="3"/>
    <x v="3"/>
    <n v="28"/>
    <s v="12:43"/>
    <n v="9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6107cd4-e8ed-457b-955f-83aaef0ada6e"/>
    <s v="2023-03-28"/>
    <x v="3"/>
    <x v="3"/>
    <n v="28"/>
    <s v="13:18"/>
    <n v="2711"/>
    <x v="0"/>
    <s v="entertain_1781955063347_8r8e"/>
    <x v="8"/>
    <s v="rc_acc_1781955063347_kjxt"/>
    <x v="1"/>
    <s v=""/>
    <m/>
    <s v="-"/>
    <m/>
    <s v="import"/>
    <s v=""/>
    <b v="0"/>
    <s v=""/>
  </r>
  <r>
    <s v="0fdd1338-e502-494e-8672-10992dd474c5"/>
    <s v="2023-03-27"/>
    <x v="3"/>
    <x v="3"/>
    <n v="27"/>
    <s v="13:17"/>
    <n v="659"/>
    <x v="1"/>
    <s v="other"/>
    <x v="1"/>
    <s v="kbank"/>
    <x v="0"/>
    <s v="advance"/>
    <s v="Advance Paid"/>
    <s v="mom ของอุ้ย"/>
    <m/>
    <s v="import"/>
    <s v=""/>
    <b v="0"/>
    <s v=""/>
  </r>
  <r>
    <s v="704a83ab-2689-4744-8d4a-bd8a5c552319"/>
    <s v="2023-03-27"/>
    <x v="3"/>
    <x v="3"/>
    <n v="27"/>
    <s v="19:19"/>
    <n v="115"/>
    <x v="0"/>
    <s v="rc_cat_1781955063347_5qjb_1781955063347_tezk"/>
    <x v="5"/>
    <s v="rc_acc_1781955063347_uxz4"/>
    <x v="4"/>
    <s v=""/>
    <m/>
    <s v="koi"/>
    <m/>
    <s v="import"/>
    <s v=""/>
    <b v="0"/>
    <s v=""/>
  </r>
  <r>
    <s v="101d41bd-bb41-4f30-b6ee-b27ef3889b35"/>
    <s v="2023-03-26"/>
    <x v="3"/>
    <x v="3"/>
    <n v="26"/>
    <s v="10:20"/>
    <n v="2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876c024-7bf3-4f9e-84a8-efa6c14743b9"/>
    <s v="2023-03-26"/>
    <x v="3"/>
    <x v="3"/>
    <n v="26"/>
    <s v="12:05"/>
    <n v="250"/>
    <x v="0"/>
    <s v="rc_cat_1781955063347_5qjb_1781955063347_tezk"/>
    <x v="5"/>
    <s v="rc_acc_1781955063347_0qmn"/>
    <x v="20"/>
    <s v=""/>
    <m/>
    <s v="เยนตาโฟ"/>
    <m/>
    <s v="import"/>
    <s v=""/>
    <b v="0"/>
    <s v=""/>
  </r>
  <r>
    <s v="6ec73995-eb48-45b0-8543-b11fe8fce79b"/>
    <s v="2023-03-26"/>
    <x v="3"/>
    <x v="3"/>
    <n v="26"/>
    <s v="17:30"/>
    <n v="4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3cf426aa-9f32-40f4-9880-ab447e878373"/>
    <s v="2023-03-26"/>
    <x v="3"/>
    <x v="3"/>
    <n v="26"/>
    <s v="17:43"/>
    <n v="6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3721534-dfce-445c-a813-d955255b9333"/>
    <s v="2023-03-26"/>
    <x v="3"/>
    <x v="3"/>
    <n v="26"/>
    <s v="18:07"/>
    <n v="10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4333c93-1a24-4240-be84-732d29a88880"/>
    <s v="2023-03-25"/>
    <x v="3"/>
    <x v="3"/>
    <n v="25"/>
    <s v="00:00"/>
    <n v="1629.46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ab036c59-65a8-4f7d-8d3b-ca79cc0e6ab7"/>
    <s v="2023-03-25"/>
    <x v="3"/>
    <x v="3"/>
    <n v="25"/>
    <s v="00:00"/>
    <n v="2242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2cd4faeb-5b4e-4777-a35a-c6c67e094549"/>
    <s v="2023-03-25"/>
    <x v="3"/>
    <x v="3"/>
    <n v="25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66745c21-ebc2-45e9-88e5-d992ce596185"/>
    <s v="2023-03-25"/>
    <x v="3"/>
    <x v="3"/>
    <n v="25"/>
    <s v="00:00"/>
    <n v="257.08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8418040c-1281-4d21-81aa-76c6cba848c3"/>
    <s v="2023-03-25"/>
    <x v="3"/>
    <x v="3"/>
    <n v="25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7b765142-4673-4159-a087-ee879aeb9e26"/>
    <s v="2023-03-25"/>
    <x v="3"/>
    <x v="3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3188f7c3-ee1d-4091-add7-cb0469e89750"/>
    <s v="2023-03-25"/>
    <x v="3"/>
    <x v="3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8b09c09c-e6d7-417c-a251-f704246055ce"/>
    <s v="2023-03-25"/>
    <x v="3"/>
    <x v="3"/>
    <n v="25"/>
    <s v="11:55"/>
    <n v="499"/>
    <x v="0"/>
    <s v="rc_cat_1781955063347_5qjb_1781955063347_tezk"/>
    <x v="5"/>
    <s v="rc_acc_1781955063347_0qmn"/>
    <x v="20"/>
    <s v=""/>
    <m/>
    <s v="ทริปจัน"/>
    <m/>
    <s v="import"/>
    <s v=""/>
    <b v="0"/>
    <s v=""/>
  </r>
  <r>
    <s v="c45fe680-128f-4dfd-add5-7491273f68f1"/>
    <s v="2023-03-25"/>
    <x v="3"/>
    <x v="3"/>
    <n v="25"/>
    <s v="12:51"/>
    <n v="950"/>
    <x v="0"/>
    <s v="rc_cat_1781955063347_5qjb_1781955063348_hrbf"/>
    <x v="28"/>
    <s v="kbank"/>
    <x v="0"/>
    <s v=""/>
    <m/>
    <s v="-"/>
    <m/>
    <s v="import"/>
    <s v=""/>
    <b v="0"/>
    <s v=""/>
  </r>
  <r>
    <s v="ec522607-7bb4-40e7-826c-6ad4259d20a5"/>
    <s v="2023-03-25"/>
    <x v="3"/>
    <x v="3"/>
    <n v="25"/>
    <s v="12:51"/>
    <n v="50"/>
    <x v="0"/>
    <s v="rc_cat_1781955063347_5qjb_1781955063347_tezk"/>
    <x v="5"/>
    <s v="kbank"/>
    <x v="0"/>
    <s v=""/>
    <m/>
    <s v="-"/>
    <m/>
    <s v="import"/>
    <s v=""/>
    <b v="0"/>
    <s v=""/>
  </r>
  <r>
    <s v="5700262d-699e-494b-ab7f-777b4619cba6"/>
    <s v="2023-03-25"/>
    <x v="3"/>
    <x v="3"/>
    <n v="25"/>
    <s v="17:45"/>
    <n v="1000"/>
    <x v="1"/>
    <s v="other"/>
    <x v="1"/>
    <s v="rc_acc_1781955063348_no9r"/>
    <x v="7"/>
    <s v="rc_acc_1781955063349_mitc"/>
    <s v="Pao tung"/>
    <s v="-"/>
    <m/>
    <s v="import"/>
    <s v=""/>
    <b v="0"/>
    <s v=""/>
  </r>
  <r>
    <s v="0e12a168-1519-416b-87fe-f09fb84eef6e"/>
    <s v="2023-03-25"/>
    <x v="3"/>
    <x v="3"/>
    <n v="25"/>
    <s v="18:25"/>
    <n v="4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ce1f595-eb6a-42b9-8a41-9de40dc16fb5"/>
    <s v="2023-03-25"/>
    <x v="3"/>
    <x v="3"/>
    <n v="25"/>
    <s v="19:22"/>
    <n v="1027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5e3791fc-bfe8-4b19-94d6-4f7212ab7583"/>
    <s v="2023-03-25"/>
    <x v="3"/>
    <x v="3"/>
    <n v="25"/>
    <s v="20:28"/>
    <n v="189"/>
    <x v="0"/>
    <s v="entertain_1781955063352_1jgx"/>
    <x v="10"/>
    <s v="rc_acc_1781955063347_hv85"/>
    <x v="5"/>
    <s v=""/>
    <m/>
    <s v="-"/>
    <m/>
    <s v="import"/>
    <s v=""/>
    <b v="0"/>
    <s v=""/>
  </r>
  <r>
    <s v="77e84b4b-0251-4d73-8b77-47a02e286a18"/>
    <s v="2023-03-24"/>
    <x v="3"/>
    <x v="3"/>
    <n v="24"/>
    <s v="12:40"/>
    <n v="303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583f61e-4d5c-44a3-907f-dfb921dcd9e5"/>
    <s v="2023-03-24"/>
    <x v="3"/>
    <x v="3"/>
    <n v="24"/>
    <s v="12:42"/>
    <n v="650"/>
    <x v="2"/>
    <s v="income_1781955063347_zblt"/>
    <x v="17"/>
    <s v="rc_acc_1781955063347_uxz4"/>
    <x v="4"/>
    <s v=""/>
    <m/>
    <s v="เลี้ยงทีม"/>
    <m/>
    <s v="import"/>
    <s v=""/>
    <b v="0"/>
    <s v=""/>
  </r>
  <r>
    <s v="c1fb77e7-8a8c-4c8e-8ba6-a30e2113f6a0"/>
    <s v="2023-03-24"/>
    <x v="3"/>
    <x v="3"/>
    <n v="24"/>
    <s v="13:17"/>
    <n v="967"/>
    <x v="0"/>
    <s v="rc_cat_1781955063347_anhy_1781955063348_k5l1"/>
    <x v="16"/>
    <s v="rc_acc_1781955063347_kjxt"/>
    <x v="1"/>
    <s v=""/>
    <m/>
    <s v="-"/>
    <m/>
    <s v="import"/>
    <s v=""/>
    <b v="0"/>
    <s v=""/>
  </r>
  <r>
    <s v="7b3280b0-bc4e-435f-8887-1f828785dda8"/>
    <s v="2023-03-22"/>
    <x v="3"/>
    <x v="3"/>
    <n v="22"/>
    <s v="13:04"/>
    <n v="1308"/>
    <x v="0"/>
    <s v="entertain_1781955063347_8r8e"/>
    <x v="8"/>
    <s v="rc_acc_1781955063347_kjxt"/>
    <x v="1"/>
    <s v=""/>
    <m/>
    <s v="-"/>
    <m/>
    <s v="import"/>
    <s v=""/>
    <b v="0"/>
    <s v=""/>
  </r>
  <r>
    <s v="20fd3fee-ba4c-41a5-a5ae-c8d571d81fbb"/>
    <s v="2023-03-18"/>
    <x v="3"/>
    <x v="3"/>
    <n v="18"/>
    <s v="13:01"/>
    <n v="540"/>
    <x v="0"/>
    <s v="rc_cat_1781955063347_5qjb_1781955063347_tezk"/>
    <x v="5"/>
    <s v="rc_acc_1781955063347_kjxt"/>
    <x v="1"/>
    <s v=""/>
    <m/>
    <s v="110 123 307"/>
    <m/>
    <s v="import"/>
    <s v=""/>
    <b v="0"/>
    <s v=""/>
  </r>
  <r>
    <s v="3261586b-1a8e-4c78-a012-dc4a022d580b"/>
    <s v="2023-03-18"/>
    <x v="3"/>
    <x v="3"/>
    <n v="18"/>
    <s v="19:58"/>
    <n v="99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7c946b2b-62ef-444a-bcdd-887e0eb40dd4"/>
    <s v="2023-03-16"/>
    <x v="3"/>
    <x v="3"/>
    <n v="16"/>
    <s v="13:02"/>
    <n v="3363"/>
    <x v="0"/>
    <s v="entertain_1781955063347_8r8e"/>
    <x v="8"/>
    <s v="rc_acc_1781955063347_kjxt"/>
    <x v="1"/>
    <s v=""/>
    <m/>
    <s v="-"/>
    <m/>
    <s v="import"/>
    <s v=""/>
    <b v="0"/>
    <s v=""/>
  </r>
  <r>
    <s v="486a099f-7c19-45e5-8a99-309a5c8b3b5d"/>
    <s v="2023-03-16"/>
    <x v="3"/>
    <x v="3"/>
    <n v="16"/>
    <s v="19:58"/>
    <n v="5000"/>
    <x v="2"/>
    <s v="income_1781955063347_5zxt"/>
    <x v="14"/>
    <s v="rc_acc_1781955063347_0qmn"/>
    <x v="20"/>
    <s v=""/>
    <m/>
    <s v="-"/>
    <m/>
    <s v="import"/>
    <s v=""/>
    <b v="0"/>
    <s v=""/>
  </r>
  <r>
    <s v="0844d047-4516-4aa8-b549-536ed6969865"/>
    <s v="2023-03-14"/>
    <x v="3"/>
    <x v="3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f9099948-27f1-416c-9010-982536c8ca7b"/>
    <s v="2023-03-14"/>
    <x v="3"/>
    <x v="3"/>
    <n v="14"/>
    <s v="19:03"/>
    <n v="419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c3bc4ee6-3977-4acb-af5a-a5ddb6086c94"/>
    <s v="2023-03-12"/>
    <x v="3"/>
    <x v="3"/>
    <n v="12"/>
    <s v="12:08"/>
    <n v="200"/>
    <x v="0"/>
    <s v="rc_cat_1781955063347_s4sz_1781955063347_9tpp"/>
    <x v="9"/>
    <s v="rc_acc_1781955063347_uxz4"/>
    <x v="4"/>
    <s v=""/>
    <m/>
    <s v="ตัดผม"/>
    <m/>
    <s v="import"/>
    <s v=""/>
    <b v="0"/>
    <s v=""/>
  </r>
  <r>
    <s v="7c5fa981-5d92-4d6c-abd8-3bcc3595f0c3"/>
    <s v="2023-03-12"/>
    <x v="3"/>
    <x v="3"/>
    <n v="12"/>
    <s v="13:13"/>
    <n v="99"/>
    <x v="0"/>
    <s v="rc_cat_1781955063347_5qjb_1781955063347_tezk"/>
    <x v="5"/>
    <s v="rc_acc_1781955063347_0qmn"/>
    <x v="20"/>
    <s v=""/>
    <m/>
    <s v="softserve"/>
    <m/>
    <s v="import"/>
    <s v=""/>
    <b v="0"/>
    <s v=""/>
  </r>
  <r>
    <s v="6bf59d72-6f1b-483c-8bfc-9931583a2dac"/>
    <s v="2023-03-12"/>
    <x v="3"/>
    <x v="3"/>
    <n v="12"/>
    <s v="14:15"/>
    <n v="89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82f1853-f25e-45e9-93ba-f4e5cb8ab192"/>
    <s v="2023-03-12"/>
    <x v="3"/>
    <x v="3"/>
    <n v="12"/>
    <s v="16:13"/>
    <n v="1317.8"/>
    <x v="1"/>
    <s v="other"/>
    <x v="1"/>
    <s v="rc_acc_1781955063348_obza"/>
    <x v="8"/>
    <s v="rc_acc_1781955063347_uxz4"/>
    <s v="SCB"/>
    <s v="-"/>
    <m/>
    <s v="import"/>
    <s v=""/>
    <b v="0"/>
    <s v=""/>
  </r>
  <r>
    <s v="c40ae85a-ec24-4010-bd63-5bd48a602012"/>
    <s v="2023-03-12"/>
    <x v="3"/>
    <x v="3"/>
    <n v="12"/>
    <s v="16:22"/>
    <n v="1555"/>
    <x v="0"/>
    <s v="other_1781955063348_27zj"/>
    <x v="0"/>
    <s v="rc_acc_1781955063347_uxz4"/>
    <x v="4"/>
    <s v=""/>
    <m/>
    <s v="หาหมอหู"/>
    <m/>
    <s v="import"/>
    <s v=""/>
    <b v="0"/>
    <s v=""/>
  </r>
  <r>
    <s v="13a6df8d-8605-4727-b01f-8cfe0d914cd8"/>
    <s v="2023-03-12"/>
    <x v="3"/>
    <x v="3"/>
    <n v="12"/>
    <s v="16:23"/>
    <n v="205"/>
    <x v="0"/>
    <s v="rc_cat_1781955063347_5qjb_1781955063348_xqml"/>
    <x v="31"/>
    <s v="rc_acc_1781955063347_0qmn"/>
    <x v="20"/>
    <s v=""/>
    <m/>
    <s v="-"/>
    <m/>
    <s v="import"/>
    <s v=""/>
    <b v="0"/>
    <s v=""/>
  </r>
  <r>
    <s v="13998da0-3325-4b25-9e60-b3d916a5cd0d"/>
    <s v="2023-03-11"/>
    <x v="3"/>
    <x v="3"/>
    <n v="11"/>
    <s v="13:14"/>
    <n v="176"/>
    <x v="0"/>
    <s v="rc_cat_1781955063347_5qjb_1781955063347_tezk"/>
    <x v="5"/>
    <s v="rc_acc_1781955063347_0qmn"/>
    <x v="20"/>
    <s v=""/>
    <m/>
    <s v="ลุงหนึ่ง"/>
    <m/>
    <s v="import"/>
    <s v=""/>
    <b v="0"/>
    <s v=""/>
  </r>
  <r>
    <s v="7743bd1b-c4f5-482d-bf7c-1754b58459d6"/>
    <s v="2023-03-11"/>
    <x v="3"/>
    <x v="3"/>
    <n v="11"/>
    <s v="15:45"/>
    <n v="945"/>
    <x v="0"/>
    <s v="entertain_1781955063347_8r8e"/>
    <x v="8"/>
    <s v="rc_acc_1781955063347_uxz4"/>
    <x v="4"/>
    <s v=""/>
    <m/>
    <s v="-"/>
    <m/>
    <s v="import"/>
    <s v=""/>
    <b v="0"/>
    <s v=""/>
  </r>
  <r>
    <s v="5953f34a-c472-4625-bcba-cd53fde92d30"/>
    <s v="2023-03-11"/>
    <x v="3"/>
    <x v="3"/>
    <n v="11"/>
    <s v="16:15"/>
    <n v="1317.8"/>
    <x v="0"/>
    <s v="rc_cat_1781955063347_5qjb_1781955063347_tezk"/>
    <x v="5"/>
    <s v="rc_acc_1781955063347_0qmn"/>
    <x v="20"/>
    <s v=""/>
    <m/>
    <s v="โมโม"/>
    <m/>
    <s v="import"/>
    <s v=""/>
    <b v="0"/>
    <s v=""/>
  </r>
  <r>
    <s v="da95a6be-186b-4995-baee-48f4a10d8916"/>
    <s v="2023-03-09"/>
    <x v="3"/>
    <x v="3"/>
    <n v="9"/>
    <s v="09:14"/>
    <n v="17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1b24dae-14d4-4725-a931-2fd1713d6df3"/>
    <s v="2023-03-09"/>
    <x v="3"/>
    <x v="3"/>
    <n v="9"/>
    <s v="14:07"/>
    <n v="8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b09b610-f7a8-4719-b46f-383837112971"/>
    <s v="2023-03-08"/>
    <x v="3"/>
    <x v="3"/>
    <n v="8"/>
    <s v="11:55"/>
    <n v="100000"/>
    <x v="1"/>
    <s v="other"/>
    <x v="1"/>
    <s v="rc_acc_1781955063347_uxz4"/>
    <x v="4"/>
    <s v="rc_acc_1781955063349_yz2g"/>
    <s v="Investment"/>
    <s v="-"/>
    <m/>
    <s v="import"/>
    <s v=""/>
    <b v="0"/>
    <s v=""/>
  </r>
  <r>
    <s v="f933d63c-08fc-4178-a91c-791dd007f64f"/>
    <s v="2023-03-08"/>
    <x v="3"/>
    <x v="3"/>
    <n v="8"/>
    <s v="19:51"/>
    <n v="9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c67ae6d-3945-48f2-a90e-63cff9314493"/>
    <s v="2023-03-08"/>
    <x v="3"/>
    <x v="3"/>
    <n v="8"/>
    <s v="20:26"/>
    <n v="100000"/>
    <x v="1"/>
    <s v="other"/>
    <x v="1"/>
    <s v="rc_acc_1781955063347_uxz4"/>
    <x v="4"/>
    <s v="rc_acc_1781955063348_hnxg"/>
    <s v="BBL"/>
    <s v="-"/>
    <m/>
    <s v="import"/>
    <s v=""/>
    <b v="0"/>
    <s v=""/>
  </r>
  <r>
    <s v="93c2f051-71b0-4c78-850f-3fc7bde6463f"/>
    <s v="2023-03-08"/>
    <x v="3"/>
    <x v="3"/>
    <n v="8"/>
    <s v="23:07"/>
    <n v="5000"/>
    <x v="1"/>
    <s v="other"/>
    <x v="1"/>
    <s v="rc_acc_1781955063347_uxz4"/>
    <x v="4"/>
    <s v="rc_acc_1781955063349_mitc"/>
    <s v="Pao tung"/>
    <s v="-"/>
    <m/>
    <s v="import"/>
    <s v=""/>
    <b v="0"/>
    <s v=""/>
  </r>
  <r>
    <s v="c1680a79-7d10-45cb-b03b-ce2907bb6170"/>
    <s v="2023-03-07"/>
    <x v="3"/>
    <x v="3"/>
    <n v="7"/>
    <s v="09:05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f827dd6-2c60-418e-981d-57341e6f55a7"/>
    <s v="2023-03-07"/>
    <x v="3"/>
    <x v="3"/>
    <n v="7"/>
    <s v="11:05"/>
    <n v="300"/>
    <x v="0"/>
    <s v="rc_cat_1781955063347_anhy_1781955063348_k5l1"/>
    <x v="16"/>
    <s v="rc_acc_1781955063347_uxz4"/>
    <x v="4"/>
    <s v=""/>
    <m/>
    <s v="เงินฝ่าย"/>
    <m/>
    <s v="import"/>
    <s v=""/>
    <b v="0"/>
    <s v=""/>
  </r>
  <r>
    <s v="1fcd55f9-be42-40ed-b21e-2bdb44381992"/>
    <s v="2023-03-07"/>
    <x v="3"/>
    <x v="3"/>
    <n v="7"/>
    <s v="13:20"/>
    <n v="270"/>
    <x v="0"/>
    <s v="rc_cat_1781955063347_5qjb_1781955063347_tezk"/>
    <x v="5"/>
    <s v="kbank"/>
    <x v="0"/>
    <s v=""/>
    <m/>
    <s v="-"/>
    <m/>
    <s v="import"/>
    <s v=""/>
    <b v="0"/>
    <s v=""/>
  </r>
  <r>
    <s v="558c92ce-6de4-43c1-864b-19310ea27910"/>
    <s v="2023-03-06"/>
    <x v="3"/>
    <x v="3"/>
    <n v="6"/>
    <s v="10:28"/>
    <n v="23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52a40481-3d5f-4b01-a3ac-a56d29dea7f9"/>
    <s v="2023-03-06"/>
    <x v="3"/>
    <x v="3"/>
    <n v="6"/>
    <s v="12:11"/>
    <n v="20000"/>
    <x v="1"/>
    <s v="other"/>
    <x v="1"/>
    <s v="rc_acc_1781955063347_uxz4"/>
    <x v="4"/>
    <s v="rc_acc_1781955063348_obza"/>
    <s v="KRUNGSRI"/>
    <s v="-"/>
    <m/>
    <s v="import"/>
    <s v=""/>
    <b v="0"/>
    <s v=""/>
  </r>
  <r>
    <s v="96101680-6f2b-4eaa-a0c3-15fe68b6c961"/>
    <s v="2023-03-06"/>
    <x v="3"/>
    <x v="3"/>
    <n v="6"/>
    <s v="12:14"/>
    <n v="13600"/>
    <x v="1"/>
    <s v="other"/>
    <x v="1"/>
    <s v="rc_acc_1781955063348_obza"/>
    <x v="8"/>
    <s v="advance"/>
    <s v="Advance Paid"/>
    <s v="line shopiing ทริปหัวหินกับอุ้ยกับเฟินล่วงหน้า"/>
    <m/>
    <s v="import"/>
    <s v=""/>
    <b v="0"/>
    <s v=""/>
  </r>
  <r>
    <s v="e3ebf4ad-54a4-4168-ae55-62eb7cc7895a"/>
    <s v="2023-03-06"/>
    <x v="3"/>
    <x v="3"/>
    <n v="6"/>
    <s v="14:18"/>
    <n v="18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22d9e5b-05d7-400d-ba5d-e28696b9bbea"/>
    <s v="2023-03-06"/>
    <x v="3"/>
    <x v="3"/>
    <n v="6"/>
    <s v="19:07"/>
    <n v="5502.53"/>
    <x v="0"/>
    <s v="rc_cat_1781955063347_04qb_1781955063347_wt5p"/>
    <x v="3"/>
    <s v="rc_acc_1781955063347_uxz4"/>
    <x v="4"/>
    <s v=""/>
    <m/>
    <s v="-"/>
    <m/>
    <s v="import"/>
    <s v=""/>
    <b v="0"/>
    <s v=""/>
  </r>
  <r>
    <s v="e56dea51-21cd-45e1-9abe-91945fa7177f"/>
    <s v="2023-03-06"/>
    <x v="3"/>
    <x v="3"/>
    <n v="6"/>
    <s v="19:15"/>
    <n v="10000"/>
    <x v="2"/>
    <s v="income_1781955063347_5zxt"/>
    <x v="14"/>
    <s v="rc_acc_1781955063347_0qmn"/>
    <x v="20"/>
    <s v=""/>
    <m/>
    <s v="-"/>
    <m/>
    <s v="import"/>
    <s v=""/>
    <b v="0"/>
    <s v=""/>
  </r>
  <r>
    <s v="8cfa6153-d27c-46b5-8507-3924011007f3"/>
    <s v="2023-03-06"/>
    <x v="3"/>
    <x v="3"/>
    <n v="6"/>
    <s v="19:30"/>
    <n v="6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322d4e7-82e4-464e-b20a-68e57ec83466"/>
    <s v="2023-03-06"/>
    <x v="3"/>
    <x v="3"/>
    <n v="6"/>
    <s v="19:32"/>
    <n v="10000"/>
    <x v="0"/>
    <s v="rc_cat_1781955063347_anhy_1781955063347_qnaz"/>
    <x v="4"/>
    <s v="rc_acc_1781955063348_no9r"/>
    <x v="7"/>
    <s v=""/>
    <m/>
    <s v="-"/>
    <m/>
    <s v="import"/>
    <s v=""/>
    <b v="0"/>
    <s v=""/>
  </r>
  <r>
    <s v="83e04e1c-1c4a-41a6-91e1-6111cdc30357"/>
    <s v="2023-03-05"/>
    <x v="3"/>
    <x v="3"/>
    <n v="5"/>
    <s v="12:07"/>
    <n v="2352"/>
    <x v="0"/>
    <s v="rc_cat_1781955063347_anhy_1781955063350_fcpb"/>
    <x v="2"/>
    <s v="rc_acc_1781955063347_uxz4"/>
    <x v="4"/>
    <s v=""/>
    <m/>
    <s v="fufu shabu"/>
    <m/>
    <s v="import"/>
    <s v=""/>
    <b v="0"/>
    <s v=""/>
  </r>
  <r>
    <s v="450a11a1-f372-4e09-9eb7-26e727591e5d"/>
    <s v="2023-03-05"/>
    <x v="3"/>
    <x v="3"/>
    <n v="5"/>
    <s v="12:08"/>
    <n v="1176"/>
    <x v="1"/>
    <s v="other"/>
    <x v="1"/>
    <s v="rc_acc_1781955063347_uxz4"/>
    <x v="4"/>
    <s v="rc_acc_1781955063347_e3zv"/>
    <s v="Cash"/>
    <s v="-"/>
    <m/>
    <s v="import"/>
    <s v=""/>
    <b v="0"/>
    <s v=""/>
  </r>
  <r>
    <s v="dc4ee52b-667a-4383-a9ae-8817a94ce364"/>
    <s v="2023-03-05"/>
    <x v="3"/>
    <x v="3"/>
    <n v="5"/>
    <s v="12:09"/>
    <n v="2352"/>
    <x v="1"/>
    <s v="other"/>
    <x v="1"/>
    <s v="rc_acc_1781955063347_uxz4"/>
    <x v="4"/>
    <s v="advance"/>
    <s v="Advance Paid"/>
    <s v="fufu shabu voucher"/>
    <m/>
    <s v="import"/>
    <s v=""/>
    <b v="0"/>
    <s v=""/>
  </r>
  <r>
    <s v="53053dcb-d4a7-411b-8892-7ec0e1126ad3"/>
    <s v="2023-03-04"/>
    <x v="3"/>
    <x v="3"/>
    <n v="4"/>
    <s v="09:28"/>
    <n v="8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bc94fdc-40bd-4af7-a1ed-54ccfca90567"/>
    <s v="2023-03-04"/>
    <x v="3"/>
    <x v="3"/>
    <n v="4"/>
    <s v="19:08"/>
    <n v="508.25"/>
    <x v="1"/>
    <s v="other"/>
    <x v="1"/>
    <s v="advance"/>
    <x v="2"/>
    <s v="rc_acc_1781955063347_uxz4"/>
    <s v="SCB"/>
    <s v="ค่าข้าวล่วงหน้า"/>
    <m/>
    <s v="import"/>
    <s v=""/>
    <b v="0"/>
    <s v=""/>
  </r>
  <r>
    <s v="a3f072b4-8d2c-488b-9864-143c8e029b34"/>
    <s v="2023-03-03"/>
    <x v="3"/>
    <x v="3"/>
    <n v="3"/>
    <s v="18:27"/>
    <n v="16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1b1cd5c-d19f-4f73-a424-b7d27ac148ff"/>
    <s v="2023-03-02"/>
    <x v="3"/>
    <x v="3"/>
    <n v="2"/>
    <s v="19:21"/>
    <n v="432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5cc1fd3-6cec-4f6d-b16b-0e0ef3dbc061"/>
    <s v="2023-03-02"/>
    <x v="3"/>
    <x v="3"/>
    <n v="2"/>
    <s v="21:20"/>
    <n v="900"/>
    <x v="0"/>
    <s v="rc_cat_1781955063347_5qjb_1781955063348_hrbf"/>
    <x v="28"/>
    <s v="rc_acc_1781955063347_0qmn"/>
    <x v="20"/>
    <s v=""/>
    <m/>
    <s v="ค่าน้ำ"/>
    <m/>
    <s v="import"/>
    <s v=""/>
    <b v="0"/>
    <s v=""/>
  </r>
  <r>
    <s v="b4729d55-a53f-4194-bcff-37302b48a943"/>
    <s v="2023-03-01"/>
    <x v="3"/>
    <x v="3"/>
    <n v="1"/>
    <s v="09:23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bc506bf-cff6-4e38-bf1e-88227563901f"/>
    <s v="2023-03-01"/>
    <x v="3"/>
    <x v="3"/>
    <n v="1"/>
    <s v="09:26"/>
    <n v="5000"/>
    <x v="1"/>
    <s v="other"/>
    <x v="1"/>
    <s v="rc_acc_1781955063349_qn1n"/>
    <x v="31"/>
    <s v="rc_acc_1781955063347_uxz4"/>
    <s v="SCB"/>
    <s v="Yuang"/>
    <m/>
    <s v="import"/>
    <s v=""/>
    <b v="0"/>
    <s v=""/>
  </r>
  <r>
    <s v="7f004595-6146-4cbc-a64a-64a30273a4bb"/>
    <s v="2023-03-01"/>
    <x v="3"/>
    <x v="3"/>
    <n v="1"/>
    <s v="13:03"/>
    <n v="200"/>
    <x v="1"/>
    <s v="other"/>
    <x v="1"/>
    <s v="rc_acc_1781955063347_kjxt"/>
    <x v="1"/>
    <s v="advance"/>
    <s v="Advance Paid"/>
    <s v="-"/>
    <m/>
    <s v="import"/>
    <s v=""/>
    <b v="0"/>
    <s v=""/>
  </r>
  <r>
    <s v="75c094a2-a8c3-44fc-9fc6-26d76565ede3"/>
    <s v="2023-03-01"/>
    <x v="3"/>
    <x v="3"/>
    <n v="1"/>
    <s v="19:22"/>
    <n v="560"/>
    <x v="0"/>
    <s v="rc_cat_1781955063347_5qjb_1781955063347_tezk"/>
    <x v="5"/>
    <s v="rc_acc_1781955063347_0qmn"/>
    <x v="20"/>
    <s v=""/>
    <m/>
    <s v="เพ่งเพง"/>
    <m/>
    <s v="import"/>
    <s v=""/>
    <b v="0"/>
    <s v=""/>
  </r>
  <r>
    <s v="c45046d9-3a86-4c00-a1ec-4ea4a48c1ce8"/>
    <s v="2023-03-01"/>
    <x v="3"/>
    <x v="3"/>
    <n v="1"/>
    <s v="2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aa676e96-79d8-41f4-a834-4f2f4883d3e4"/>
    <s v="2023-02-28"/>
    <x v="3"/>
    <x v="4"/>
    <n v="28"/>
    <s v="20:53"/>
    <n v="3190"/>
    <x v="0"/>
    <s v="entertain_1781955063348_kx2f"/>
    <x v="0"/>
    <s v="rc_acc_1781955063350_i8ms"/>
    <x v="28"/>
    <s v=""/>
    <m/>
    <s v="s22 ultra(5/10)"/>
    <m/>
    <s v="import"/>
    <s v=""/>
    <b v="0"/>
    <s v=""/>
  </r>
  <r>
    <s v="1be5377c-19a4-4766-9833-7b88e79c3144"/>
    <s v="2023-02-27"/>
    <x v="3"/>
    <x v="4"/>
    <n v="27"/>
    <s v="19:26"/>
    <n v="5000"/>
    <x v="1"/>
    <s v="other"/>
    <x v="1"/>
    <s v="kbank"/>
    <x v="0"/>
    <s v="advance"/>
    <s v="Advance Paid"/>
    <s v="make by kbank"/>
    <m/>
    <s v="import"/>
    <s v=""/>
    <b v="0"/>
    <s v=""/>
  </r>
  <r>
    <s v="86f6a950-aa1d-4dee-ae7d-a5f7193bb41b"/>
    <s v="2023-02-26"/>
    <x v="3"/>
    <x v="4"/>
    <n v="26"/>
    <s v="12:38"/>
    <n v="1147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e707bec-32e5-424f-880d-1d624001855b"/>
    <s v="2023-02-26"/>
    <x v="3"/>
    <x v="4"/>
    <n v="26"/>
    <s v="12:40"/>
    <n v="500"/>
    <x v="0"/>
    <s v="rc_cat_1781955063347_5qjb_1781955063348_hrbf"/>
    <x v="28"/>
    <s v="rc_acc_1781955063347_0qmn"/>
    <x v="20"/>
    <s v=""/>
    <m/>
    <s v="-"/>
    <m/>
    <s v="import"/>
    <s v=""/>
    <b v="0"/>
    <s v=""/>
  </r>
  <r>
    <s v="596d2641-6921-4aa1-b89a-5c9148c00c7b"/>
    <s v="2023-02-26"/>
    <x v="3"/>
    <x v="4"/>
    <n v="26"/>
    <s v="12:41"/>
    <n v="354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77a62a72-7f24-4427-a10d-0557645e4eff"/>
    <s v="2023-02-26"/>
    <x v="3"/>
    <x v="4"/>
    <n v="26"/>
    <s v="12:43"/>
    <n v="20000"/>
    <x v="1"/>
    <s v="other"/>
    <x v="1"/>
    <s v="rc_acc_1781955063347_uxz4"/>
    <x v="4"/>
    <s v="kbank"/>
    <s v="KBank"/>
    <s v="-"/>
    <m/>
    <s v="import"/>
    <s v=""/>
    <b v="0"/>
    <s v=""/>
  </r>
  <r>
    <s v="502a8674-0b5c-4e4b-9db8-1b574f1611f6"/>
    <s v="2023-02-26"/>
    <x v="3"/>
    <x v="4"/>
    <n v="26"/>
    <s v="12:44"/>
    <n v="3190"/>
    <x v="1"/>
    <s v="other"/>
    <x v="1"/>
    <s v="kbank"/>
    <x v="0"/>
    <s v="rc_acc_1781955063350_i8ms"/>
    <s v="Kbank onesiam"/>
    <s v="-"/>
    <m/>
    <s v="import"/>
    <s v=""/>
    <b v="0"/>
    <s v=""/>
  </r>
  <r>
    <s v="6caeb90f-06e8-4d39-b4b9-289002ccaf04"/>
    <s v="2023-02-26"/>
    <x v="3"/>
    <x v="4"/>
    <n v="26"/>
    <s v="12:57"/>
    <n v="24903.26"/>
    <x v="1"/>
    <s v="other"/>
    <x v="1"/>
    <s v="rc_acc_1781955063347_sv7p"/>
    <x v="12"/>
    <s v="advance"/>
    <s v="Advance Paid"/>
    <s v="Japan trip zipair"/>
    <m/>
    <s v="import"/>
    <s v=""/>
    <b v="0"/>
    <s v=""/>
  </r>
  <r>
    <s v="e6169a6c-4f9a-4f5c-ba8f-91d5aba3b9bc"/>
    <s v="2023-02-26"/>
    <x v="3"/>
    <x v="4"/>
    <n v="26"/>
    <s v="12:58"/>
    <n v="2630.6"/>
    <x v="1"/>
    <s v="other"/>
    <x v="1"/>
    <s v="rc_acc_1781955063347_sv7p"/>
    <x v="12"/>
    <s v="advance"/>
    <s v="Advance Paid"/>
    <s v="yuu yakiniku"/>
    <m/>
    <s v="import"/>
    <s v=""/>
    <b v="0"/>
    <s v=""/>
  </r>
  <r>
    <s v="60dfcc5f-d6fc-4242-9221-667d3f729608"/>
    <s v="2023-02-26"/>
    <x v="3"/>
    <x v="4"/>
    <n v="26"/>
    <s v="12:58"/>
    <n v="690"/>
    <x v="1"/>
    <s v="other"/>
    <x v="1"/>
    <s v="rc_acc_1781955063347_sv7p"/>
    <x v="12"/>
    <s v="advance"/>
    <s v="Advance Paid"/>
    <s v="ดูหนัง"/>
    <m/>
    <s v="import"/>
    <s v=""/>
    <b v="0"/>
    <s v=""/>
  </r>
  <r>
    <s v="1fb26676-dadf-420f-af2b-d190bd60d455"/>
    <s v="2023-02-26"/>
    <x v="3"/>
    <x v="4"/>
    <n v="26"/>
    <s v="13:02"/>
    <n v="17146"/>
    <x v="0"/>
    <s v="rc_cat_1781955063347_5qjb_1781955063347_irl1"/>
    <x v="0"/>
    <s v="rc_acc_1781955063348_obza"/>
    <x v="8"/>
    <s v=""/>
    <m/>
    <s v="-"/>
    <m/>
    <s v="import"/>
    <s v=""/>
    <b v="0"/>
    <s v=""/>
  </r>
  <r>
    <s v="67cbc99b-092a-4a7a-9757-f5d5c0a7ec94"/>
    <s v="2023-02-26"/>
    <x v="3"/>
    <x v="4"/>
    <n v="26"/>
    <s v="13:12"/>
    <n v="313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68a2ce7-d4a3-428b-b2c4-092f0fc522b3"/>
    <s v="2023-02-26"/>
    <x v="3"/>
    <x v="4"/>
    <n v="26"/>
    <s v="13:12"/>
    <n v="607"/>
    <x v="0"/>
    <s v="rc_cat_1781955063347_5qjb_1781955063347_tezk"/>
    <x v="5"/>
    <s v="kbank"/>
    <x v="0"/>
    <s v=""/>
    <m/>
    <s v="-"/>
    <m/>
    <s v="import"/>
    <s v=""/>
    <b v="0"/>
    <s v=""/>
  </r>
  <r>
    <s v="31b9ab5d-8bd9-4403-b38d-84284855898f"/>
    <s v="2023-02-26"/>
    <x v="3"/>
    <x v="4"/>
    <n v="26"/>
    <s v="13:13"/>
    <n v="5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508d3e8a-60f6-434d-8a42-dfe746bda51e"/>
    <s v="2023-02-26"/>
    <x v="3"/>
    <x v="4"/>
    <n v="26"/>
    <s v="13:14"/>
    <n v="18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35f8b55-5128-4f10-baf4-f270e9fde154"/>
    <s v="2023-02-26"/>
    <x v="3"/>
    <x v="4"/>
    <n v="26"/>
    <s v="13:14"/>
    <n v="3000"/>
    <x v="0"/>
    <s v="rc_cat_1781955063347_5qjb_1781955063347_tezk"/>
    <x v="5"/>
    <s v="rc_acc_1781955063347_0qmn"/>
    <x v="20"/>
    <s v=""/>
    <m/>
    <s v="yuu + ดูหนัง"/>
    <m/>
    <s v="import"/>
    <s v=""/>
    <b v="0"/>
    <s v=""/>
  </r>
  <r>
    <s v="a3b6a373-600f-4d74-a516-c7d5fbc2fa2f"/>
    <s v="2023-02-26"/>
    <x v="3"/>
    <x v="4"/>
    <n v="26"/>
    <s v="13:17"/>
    <n v="3000"/>
    <x v="1"/>
    <s v="other"/>
    <x v="1"/>
    <s v="advance"/>
    <x v="2"/>
    <s v="rc_acc_1781955063347_uxz4"/>
    <s v="SCB"/>
    <s v="-"/>
    <m/>
    <s v="import"/>
    <s v=""/>
    <b v="0"/>
    <s v=""/>
  </r>
  <r>
    <s v="ebbe2972-a572-4ce2-8d2c-5794c63a59b6"/>
    <s v="2023-02-26"/>
    <x v="3"/>
    <x v="4"/>
    <n v="26"/>
    <s v="13:28"/>
    <n v="183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9dbc31a-09a7-4694-967a-745b46df5104"/>
    <s v="2023-02-26"/>
    <x v="3"/>
    <x v="4"/>
    <n v="26"/>
    <s v="18:37"/>
    <n v="5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3851f98-04f1-46f4-808b-5ecc032d5873"/>
    <s v="2023-02-26"/>
    <x v="3"/>
    <x v="4"/>
    <n v="26"/>
    <s v="19:38"/>
    <n v="24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305f190-272e-46aa-a096-b0a8e99ed00a"/>
    <s v="2023-02-26"/>
    <x v="3"/>
    <x v="4"/>
    <n v="26"/>
    <s v="19:38"/>
    <n v="552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da32eb7-e513-4da7-bdc2-0f6252905129"/>
    <s v="2023-02-26"/>
    <x v="3"/>
    <x v="4"/>
    <n v="26"/>
    <s v="19:38"/>
    <n v="1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e84969d-c08d-430a-853c-c334a65db3af"/>
    <s v="2023-02-25"/>
    <x v="3"/>
    <x v="4"/>
    <n v="25"/>
    <s v="15:36"/>
    <n v="2199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fa30570f-f723-42ca-93bb-ad94757c8d0f"/>
    <s v="2023-02-24"/>
    <x v="3"/>
    <x v="4"/>
    <n v="24"/>
    <s v="18:32"/>
    <n v="8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55dab7c-07da-41aa-b8a8-053a46ec4f12"/>
    <s v="2023-02-23"/>
    <x v="3"/>
    <x v="4"/>
    <n v="23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13abfe6b-82f5-4afa-90a6-531f5d241ca2"/>
    <s v="2023-02-23"/>
    <x v="3"/>
    <x v="4"/>
    <n v="23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ea4241c6-c5c9-45a3-aa82-34f8a3a95a8e"/>
    <s v="2023-02-23"/>
    <x v="3"/>
    <x v="4"/>
    <n v="23"/>
    <s v="00:00"/>
    <n v="2417.6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0216899f-bb50-470f-bae0-14c7bb527178"/>
    <s v="2023-02-23"/>
    <x v="3"/>
    <x v="4"/>
    <n v="23"/>
    <s v="00:00"/>
    <n v="1387.91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6be711b4-8f93-498a-a40b-0b57e4fb7983"/>
    <s v="2023-02-23"/>
    <x v="3"/>
    <x v="4"/>
    <n v="23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44e52464-cd35-4927-91f7-5645983b2a39"/>
    <s v="2023-02-23"/>
    <x v="3"/>
    <x v="4"/>
    <n v="23"/>
    <s v="00:00"/>
    <n v="224.37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7c6567ad-5ce5-4f73-aa33-7b284ac5006c"/>
    <s v="2023-02-23"/>
    <x v="3"/>
    <x v="4"/>
    <n v="23"/>
    <s v="00:00"/>
    <n v="112100"/>
    <x v="2"/>
    <s v="income_1781955063347_5zxt"/>
    <x v="14"/>
    <s v="rc_acc_1781955063347_uxz4"/>
    <x v="4"/>
    <s v=""/>
    <m/>
    <s v="-"/>
    <m/>
    <s v="import"/>
    <s v=""/>
    <b v="0"/>
    <s v=""/>
  </r>
  <r>
    <s v="c66a2b38-b500-4ad3-a60b-e34cf98a436c"/>
    <s v="2023-02-23"/>
    <x v="3"/>
    <x v="4"/>
    <n v="23"/>
    <s v="00:00"/>
    <n v="50000"/>
    <x v="1"/>
    <s v="other"/>
    <x v="1"/>
    <s v="rc_acc_1781955063347_uxz4"/>
    <x v="4"/>
    <s v="rc_acc_1781955063347_6gmg"/>
    <s v="Coop"/>
    <s v="-"/>
    <m/>
    <s v="import"/>
    <s v=""/>
    <b v="0"/>
    <s v=""/>
  </r>
  <r>
    <s v="ac17a5c6-8d4f-4253-b3d5-7b015ad9a3e6"/>
    <s v="2023-02-23"/>
    <x v="3"/>
    <x v="4"/>
    <n v="23"/>
    <s v="00:00"/>
    <n v="8780"/>
    <x v="2"/>
    <s v="income_1781955063347_5zxt"/>
    <x v="14"/>
    <s v="rc_acc_1781955063347_uxz4"/>
    <x v="4"/>
    <s v=""/>
    <m/>
    <s v="-"/>
    <m/>
    <s v="import"/>
    <s v=""/>
    <b v="0"/>
    <s v=""/>
  </r>
  <r>
    <s v="a4953b06-a970-46b2-b2e5-6bbf05dee5ed"/>
    <s v="2023-02-23"/>
    <x v="3"/>
    <x v="4"/>
    <n v="23"/>
    <s v="00:00"/>
    <n v="22237.85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3810aa85-6652-4b58-809f-576c79216c13"/>
    <s v="2023-02-23"/>
    <x v="3"/>
    <x v="4"/>
    <n v="23"/>
    <s v="00:00"/>
    <n v="309960"/>
    <x v="2"/>
    <s v="income_1781955063347_zblt"/>
    <x v="17"/>
    <s v="rc_acc_1781955063347_uxz4"/>
    <x v="4"/>
    <s v=""/>
    <m/>
    <s v="-"/>
    <m/>
    <s v="import"/>
    <s v=""/>
    <b v="0"/>
    <s v=""/>
  </r>
  <r>
    <s v="3ca39c9b-0751-4639-abca-cc153ebb5b7f"/>
    <s v="2023-02-23"/>
    <x v="3"/>
    <x v="4"/>
    <n v="23"/>
    <s v="02:30"/>
    <n v="2440.9"/>
    <x v="2"/>
    <s v="income_1781955063347_zblt"/>
    <x v="17"/>
    <s v="rc_acc_1781955063347_uxz4"/>
    <x v="4"/>
    <s v=""/>
    <m/>
    <s v="น่าจะปันผลสหกรณ์"/>
    <m/>
    <s v="import"/>
    <s v=""/>
    <b v="0"/>
    <s v=""/>
  </r>
  <r>
    <s v="58f7b5c1-182b-46e1-9b9a-2cc29038fb42"/>
    <s v="2023-02-23"/>
    <x v="3"/>
    <x v="4"/>
    <n v="23"/>
    <s v="12:31"/>
    <n v="8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7f4883b-2f8c-4223-8430-63222f8526de"/>
    <s v="2023-02-23"/>
    <x v="3"/>
    <x v="4"/>
    <n v="23"/>
    <s v="12:31"/>
    <n v="15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a6ede5de-d1a4-4860-8ad3-81893ed5b5ae"/>
    <s v="2023-02-23"/>
    <x v="3"/>
    <x v="4"/>
    <n v="23"/>
    <s v="15:32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72eebeb-734a-49dc-99f0-e3c381b0315d"/>
    <s v="2023-02-22"/>
    <x v="3"/>
    <x v="4"/>
    <n v="22"/>
    <s v="08:23"/>
    <n v="4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c78768d-28fd-4181-802b-2d4e4c652d90"/>
    <s v="2023-02-22"/>
    <x v="3"/>
    <x v="4"/>
    <n v="22"/>
    <s v="09:23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4875dbf-6535-4398-9151-cb53f8768623"/>
    <s v="2023-02-22"/>
    <x v="3"/>
    <x v="4"/>
    <n v="22"/>
    <s v="12:23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54552f3-0f0c-4918-a3f5-5cf24343b3ee"/>
    <s v="2023-02-22"/>
    <x v="3"/>
    <x v="4"/>
    <n v="22"/>
    <s v="12:24"/>
    <n v="17000"/>
    <x v="1"/>
    <s v="other"/>
    <x v="1"/>
    <s v="rc_acc_1781955063347_uxz4"/>
    <x v="4"/>
    <s v="rc_acc_1781955063348_obza"/>
    <s v="KRUNGSRI"/>
    <s v="-"/>
    <m/>
    <s v="import"/>
    <s v=""/>
    <b v="0"/>
    <s v=""/>
  </r>
  <r>
    <s v="9509270a-ff17-47fe-abf6-55f3a27e4b84"/>
    <s v="2023-02-22"/>
    <x v="3"/>
    <x v="4"/>
    <n v="22"/>
    <s v="12:24"/>
    <n v="28224"/>
    <x v="1"/>
    <s v="other"/>
    <x v="1"/>
    <s v="rc_acc_1781955063347_uxz4"/>
    <x v="4"/>
    <s v="rc_acc_1781955063347_sv7p"/>
    <s v="UOB Privilages"/>
    <s v="-"/>
    <m/>
    <s v="import"/>
    <s v=""/>
    <b v="0"/>
    <s v=""/>
  </r>
  <r>
    <s v="fb53e05f-e19f-484b-a700-eb8daa75534c"/>
    <s v="2023-02-22"/>
    <x v="3"/>
    <x v="4"/>
    <n v="22"/>
    <s v="12:33"/>
    <n v="55"/>
    <x v="0"/>
    <s v="rc_cat_1781955063347_5qjb_1781955063347_tezk"/>
    <x v="5"/>
    <s v="kbank"/>
    <x v="0"/>
    <s v=""/>
    <m/>
    <s v="-"/>
    <m/>
    <s v="import"/>
    <s v=""/>
    <b v="0"/>
    <s v=""/>
  </r>
  <r>
    <s v="3e0da138-7ded-4092-9c1c-9bc8086f1282"/>
    <s v="2023-02-22"/>
    <x v="3"/>
    <x v="4"/>
    <n v="22"/>
    <s v="19:26"/>
    <n v="2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218806c-51aa-4ad7-b0f0-887607f7bb1b"/>
    <s v="2023-02-22"/>
    <x v="3"/>
    <x v="4"/>
    <n v="22"/>
    <s v="21:27"/>
    <n v="6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48a1f47-9efc-4782-9df1-e79300287664"/>
    <s v="2023-02-21"/>
    <x v="3"/>
    <x v="4"/>
    <n v="21"/>
    <s v="12:22"/>
    <n v="8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b0ff9ac-678b-44cb-824c-09013cc8f3b7"/>
    <s v="2023-02-20"/>
    <x v="3"/>
    <x v="4"/>
    <n v="20"/>
    <s v="09:21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9a44076-bc13-46aa-9e9a-da093ac85bbc"/>
    <s v="2023-02-20"/>
    <x v="3"/>
    <x v="4"/>
    <n v="20"/>
    <s v="12:21"/>
    <n v="13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9db578d-0b1f-4aaa-940f-27cdc3657b5d"/>
    <s v="2023-02-20"/>
    <x v="3"/>
    <x v="4"/>
    <n v="20"/>
    <s v="12:33"/>
    <n v="5000"/>
    <x v="1"/>
    <s v="other"/>
    <x v="1"/>
    <s v="kbank"/>
    <x v="0"/>
    <s v="rc_acc_1781955063352_d0kz"/>
    <s v="Travelcard"/>
    <s v="-"/>
    <m/>
    <s v="import"/>
    <s v=""/>
    <b v="0"/>
    <s v=""/>
  </r>
  <r>
    <s v="e8481bcd-b5e7-45e8-a080-fbd8b22f5035"/>
    <s v="2023-02-19"/>
    <x v="3"/>
    <x v="4"/>
    <n v="19"/>
    <s v="12:36"/>
    <n v="68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0c12c5a-cd85-49f5-be23-e7e3c87311a9"/>
    <s v="2023-02-19"/>
    <x v="3"/>
    <x v="4"/>
    <n v="19"/>
    <s v="20:20"/>
    <n v="1500"/>
    <x v="1"/>
    <s v="other"/>
    <x v="1"/>
    <s v="advance"/>
    <x v="2"/>
    <s v="rc_acc_1781955063347_uxz4"/>
    <s v="SCB"/>
    <s v="บาบีก้อน 1049 ตั๋วหนังป็อปคอน 690+139 ปิ้งย่าง 2630 ตกคนละพันห้า"/>
    <m/>
    <s v="import"/>
    <s v=""/>
    <b v="0"/>
    <s v=""/>
  </r>
  <r>
    <s v="58a07319-d643-46bf-8fa3-e89fb483266c"/>
    <s v="2023-02-16"/>
    <x v="3"/>
    <x v="4"/>
    <n v="16"/>
    <s v="12:20"/>
    <n v="1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1ae98d5-a3ef-4f1d-898d-d61fe0be14c5"/>
    <s v="2023-02-16"/>
    <x v="3"/>
    <x v="4"/>
    <n v="16"/>
    <s v="12:20"/>
    <n v="6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2eed1c7-a483-4469-94f2-9db0e4107e5c"/>
    <s v="2023-02-15"/>
    <x v="3"/>
    <x v="4"/>
    <n v="15"/>
    <s v="12:19"/>
    <n v="12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8bfa133-261f-4b10-8010-666c49ebcb06"/>
    <s v="2023-02-15"/>
    <x v="3"/>
    <x v="4"/>
    <n v="15"/>
    <s v="12:37"/>
    <n v="974"/>
    <x v="0"/>
    <s v="rc_cat_1781955063347_5qjb_1781955063348_hrbf"/>
    <x v="28"/>
    <s v="rc_acc_1781955063347_0qmn"/>
    <x v="20"/>
    <s v=""/>
    <m/>
    <s v="-"/>
    <m/>
    <s v="import"/>
    <s v=""/>
    <b v="0"/>
    <s v=""/>
  </r>
  <r>
    <s v="5016b111-8a3c-4410-b4e9-d23c8391a019"/>
    <s v="2023-02-15"/>
    <x v="3"/>
    <x v="4"/>
    <n v="15"/>
    <s v="17:56"/>
    <n v="235"/>
    <x v="0"/>
    <s v="rc_cat_1781955063347_5qjb_1781955063347_tezk"/>
    <x v="5"/>
    <s v="rc_acc_1781955063347_omhz"/>
    <x v="29"/>
    <s v=""/>
    <m/>
    <s v="-"/>
    <m/>
    <s v="import"/>
    <s v=""/>
    <b v="0"/>
    <s v=""/>
  </r>
  <r>
    <s v="2144a358-39ae-4494-b595-a8285e1fa365"/>
    <s v="2023-02-15"/>
    <x v="3"/>
    <x v="4"/>
    <n v="15"/>
    <s v="18:20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25681bbf-2de7-4aca-8bbd-fda0209087ee"/>
    <s v="2023-02-14"/>
    <x v="3"/>
    <x v="4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e1216b53-722b-4ef9-811f-0a6598be7925"/>
    <s v="2023-02-14"/>
    <x v="3"/>
    <x v="4"/>
    <n v="14"/>
    <s v="07:16"/>
    <n v="419"/>
    <x v="1"/>
    <s v="other"/>
    <x v="1"/>
    <s v="rc_acc_1781955063347_uxz4"/>
    <x v="4"/>
    <s v="rc_acc_1781955063347_tvnx"/>
    <s v="Netflix in Adv"/>
    <s v="-"/>
    <m/>
    <s v="import"/>
    <s v=""/>
    <b v="0"/>
    <s v=""/>
  </r>
  <r>
    <s v="df880bdc-3eca-440d-8c57-6795e36c10ff"/>
    <s v="2023-02-14"/>
    <x v="3"/>
    <x v="4"/>
    <n v="14"/>
    <s v="09:17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1b41ac8-48df-43da-bb38-0341cd2df1da"/>
    <s v="2023-02-14"/>
    <x v="3"/>
    <x v="4"/>
    <n v="14"/>
    <s v="12:18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3c0279f-2867-4b49-bab1-7c7becb9fb18"/>
    <s v="2023-02-14"/>
    <x v="3"/>
    <x v="4"/>
    <n v="14"/>
    <s v="20:19"/>
    <n v="724"/>
    <x v="0"/>
    <s v="rc_cat_1781955063347_anhy_1781955063350_fcpb"/>
    <x v="2"/>
    <s v="rc_acc_1781955063347_uxz4"/>
    <x v="4"/>
    <s v=""/>
    <m/>
    <s v="สมศักดิ์ปูอบ"/>
    <m/>
    <s v="import"/>
    <s v=""/>
    <b v="0"/>
    <s v=""/>
  </r>
  <r>
    <s v="cb5530ad-8b8c-4906-af45-69ab4da911e4"/>
    <s v="2023-02-13"/>
    <x v="3"/>
    <x v="4"/>
    <n v="13"/>
    <s v="08:16"/>
    <n v="1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5dbc4a2-449b-49a4-b450-13f91982def5"/>
    <s v="2023-02-13"/>
    <x v="3"/>
    <x v="4"/>
    <n v="13"/>
    <s v="12:16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d2a5509-95a2-4266-893f-e6b1668148df"/>
    <s v="2023-02-13"/>
    <x v="3"/>
    <x v="4"/>
    <n v="13"/>
    <s v="21:02"/>
    <n v="11957"/>
    <x v="1"/>
    <s v="other"/>
    <x v="1"/>
    <s v="rc_acc_1781955063347_uxz4"/>
    <x v="4"/>
    <s v="advance"/>
    <s v="Advance Paid"/>
    <s v="ThaiBMA"/>
    <m/>
    <s v="import"/>
    <s v=""/>
    <b v="0"/>
    <s v=""/>
  </r>
  <r>
    <s v="48d1ae1c-ab87-498a-8ab3-ceaa930360a1"/>
    <s v="2023-02-12"/>
    <x v="3"/>
    <x v="4"/>
    <n v="12"/>
    <s v="14:17"/>
    <n v="56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f6b2b0a9-0000-4a26-a02a-a3ff1ed41794"/>
    <s v="2023-02-12"/>
    <x v="3"/>
    <x v="4"/>
    <n v="12"/>
    <s v="17:15"/>
    <n v="1049"/>
    <x v="1"/>
    <s v="other"/>
    <x v="1"/>
    <s v="rc_acc_1781955063347_uxz4"/>
    <x v="4"/>
    <s v="advance"/>
    <s v="Advance Paid"/>
    <s v="บาบีก้อนกับอุ้ย"/>
    <m/>
    <s v="import"/>
    <s v=""/>
    <b v="0"/>
    <s v=""/>
  </r>
  <r>
    <s v="c292a545-f1bf-4d36-ba75-6f91d54563b7"/>
    <s v="2023-02-11"/>
    <x v="3"/>
    <x v="4"/>
    <n v="11"/>
    <s v="17:28"/>
    <n v="85"/>
    <x v="0"/>
    <s v="rc_cat_1781955063347_5qjb_1781955063347_tezk"/>
    <x v="5"/>
    <s v="rc_acc_1781955063347_uxz4"/>
    <x v="4"/>
    <s v=""/>
    <m/>
    <s v="coffeelism"/>
    <m/>
    <s v="import"/>
    <s v=""/>
    <b v="0"/>
    <s v=""/>
  </r>
  <r>
    <s v="d9b840cb-f144-45aa-9b2a-a1f2a0b89aa7"/>
    <s v="2023-02-11"/>
    <x v="3"/>
    <x v="4"/>
    <n v="11"/>
    <s v="18:00"/>
    <n v="181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10a5a4e-f24e-4045-9e45-0505b86f3a26"/>
    <s v="2023-02-11"/>
    <x v="3"/>
    <x v="4"/>
    <n v="11"/>
    <s v="18:17"/>
    <n v="12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69c66be-ef01-4945-9d68-7217a758d1d4"/>
    <s v="2023-02-11"/>
    <x v="3"/>
    <x v="4"/>
    <n v="11"/>
    <s v="18:18"/>
    <n v="8900"/>
    <x v="0"/>
    <s v="entertain_1781955063349_gok1"/>
    <x v="18"/>
    <s v="rc_acc_1781955063347_uxz4"/>
    <x v="4"/>
    <s v=""/>
    <m/>
    <s v="luggage etax"/>
    <m/>
    <s v="import"/>
    <s v=""/>
    <b v="0"/>
    <s v=""/>
  </r>
  <r>
    <s v="b57be539-cd7c-4168-a47b-154ff2c5e724"/>
    <s v="2023-02-11"/>
    <x v="3"/>
    <x v="4"/>
    <n v="11"/>
    <s v="18:39"/>
    <n v="39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da44971-3f4e-41ea-b59f-e94cafcb8fef"/>
    <s v="2023-02-09"/>
    <x v="3"/>
    <x v="4"/>
    <n v="9"/>
    <s v="09:39"/>
    <n v="1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bcdd0be-c3cd-4974-a092-6ae3a1c23599"/>
    <s v="2023-02-09"/>
    <x v="3"/>
    <x v="4"/>
    <n v="9"/>
    <s v="13:15"/>
    <n v="400"/>
    <x v="0"/>
    <s v="rc_cat_1781955063347_5qjb_1781955063347_tezk"/>
    <x v="5"/>
    <s v="rc_acc_1781955063347_uxz4"/>
    <x v="4"/>
    <s v=""/>
    <m/>
    <s v="ค่าโง่"/>
    <m/>
    <s v="import"/>
    <s v=""/>
    <b v="0"/>
    <s v=""/>
  </r>
  <r>
    <s v="02c23448-bbd5-4774-81dd-231cdddec1a2"/>
    <s v="2023-02-09"/>
    <x v="3"/>
    <x v="4"/>
    <n v="9"/>
    <s v="13:15"/>
    <n v="13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aa22fe7-d436-4c03-ac12-fb633c871593"/>
    <s v="2023-02-09"/>
    <x v="3"/>
    <x v="4"/>
    <n v="9"/>
    <s v="13:15"/>
    <n v="132"/>
    <x v="1"/>
    <s v="other"/>
    <x v="1"/>
    <s v="rc_acc_1781955063347_uxz4"/>
    <x v="4"/>
    <s v="kbank"/>
    <s v="KBank"/>
    <s v="-"/>
    <m/>
    <s v="import"/>
    <s v=""/>
    <b v="0"/>
    <s v=""/>
  </r>
  <r>
    <s v="fe229eec-982c-4665-a2c1-3c98b57dcf80"/>
    <s v="2023-02-09"/>
    <x v="3"/>
    <x v="4"/>
    <n v="9"/>
    <s v="14:50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2e2f0b5-97e7-4b83-ac94-30207d9cff92"/>
    <s v="2023-02-08"/>
    <x v="3"/>
    <x v="4"/>
    <n v="8"/>
    <s v="15:33"/>
    <n v="39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6e4fe67-d4ef-441c-ac60-f7a0604f0d60"/>
    <s v="2023-02-07"/>
    <x v="3"/>
    <x v="4"/>
    <n v="7"/>
    <s v="09:38"/>
    <n v="12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0bec7dd-2d1d-4ff5-a0fd-dbe20a003d99"/>
    <s v="2023-02-07"/>
    <x v="3"/>
    <x v="4"/>
    <n v="7"/>
    <s v="09:38"/>
    <n v="500"/>
    <x v="0"/>
    <s v="rc_cat_1781955063347_5qjb_1781955063348_xqml"/>
    <x v="31"/>
    <s v="rc_acc_1781955063347_0qmn"/>
    <x v="20"/>
    <s v=""/>
    <m/>
    <s v="หน้ากาก tax"/>
    <m/>
    <s v="import"/>
    <s v=""/>
    <b v="0"/>
    <s v=""/>
  </r>
  <r>
    <s v="4b143225-d03e-4469-8739-7399d975d62b"/>
    <s v="2023-02-05"/>
    <x v="3"/>
    <x v="4"/>
    <n v="5"/>
    <s v="15:36"/>
    <n v="680"/>
    <x v="0"/>
    <s v="rc_cat_1781955063347_5qjb_1781955063347_tezk"/>
    <x v="5"/>
    <s v="rc_acc_1781955063347_0qmn"/>
    <x v="20"/>
    <s v=""/>
    <m/>
    <s v="อาหารคลีน"/>
    <m/>
    <s v="import"/>
    <s v=""/>
    <b v="0"/>
    <s v=""/>
  </r>
  <r>
    <s v="6f4721d6-ba61-464c-bbe5-3f9660cc3125"/>
    <s v="2023-02-05"/>
    <x v="3"/>
    <x v="4"/>
    <n v="5"/>
    <s v="17:55"/>
    <n v="45"/>
    <x v="0"/>
    <s v="rc_cat_1781955063347_5qjb_1781955063347_tezk"/>
    <x v="5"/>
    <s v="kbank"/>
    <x v="0"/>
    <s v=""/>
    <m/>
    <s v="-"/>
    <m/>
    <s v="import"/>
    <s v=""/>
    <b v="0"/>
    <s v=""/>
  </r>
  <r>
    <s v="cf6ba140-1e25-4908-96e7-a3df631fc425"/>
    <s v="2023-02-05"/>
    <x v="3"/>
    <x v="4"/>
    <n v="5"/>
    <s v="18:37"/>
    <n v="364"/>
    <x v="0"/>
    <s v="rc_cat_1781955063347_5qjb_1781955063347_tezk"/>
    <x v="5"/>
    <s v="rc_acc_1781955063347_0qmn"/>
    <x v="20"/>
    <s v=""/>
    <m/>
    <s v="ก๋วยเตี๋ยว หมูจุ่ม"/>
    <m/>
    <s v="import"/>
    <s v=""/>
    <b v="0"/>
    <s v=""/>
  </r>
  <r>
    <s v="c5fabeef-9bd3-4f85-bdc5-04301af5367e"/>
    <s v="2023-02-04"/>
    <x v="3"/>
    <x v="4"/>
    <n v="4"/>
    <s v="14:56"/>
    <n v="16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1f5c6f5-8262-44be-9f4b-d78b7760d125"/>
    <s v="2023-02-04"/>
    <x v="3"/>
    <x v="4"/>
    <n v="4"/>
    <s v="15:55"/>
    <n v="140"/>
    <x v="0"/>
    <s v="rc_cat_1781955063347_5qjb_1781955063348_wpky"/>
    <x v="27"/>
    <s v="rc_acc_1781955063347_0qmn"/>
    <x v="20"/>
    <s v=""/>
    <m/>
    <s v="lock n lock"/>
    <m/>
    <s v="import"/>
    <s v=""/>
    <b v="0"/>
    <s v=""/>
  </r>
  <r>
    <s v="bae683c2-faba-4e04-ab40-8487dc5af5fe"/>
    <s v="2023-02-04"/>
    <x v="3"/>
    <x v="4"/>
    <n v="4"/>
    <s v="17:25"/>
    <n v="5628.52"/>
    <x v="0"/>
    <s v="rc_cat_1781955063347_04qb_1781955063347_wt5p"/>
    <x v="3"/>
    <s v="kbank"/>
    <x v="0"/>
    <s v=""/>
    <m/>
    <s v="-"/>
    <m/>
    <s v="import"/>
    <s v=""/>
    <b v="0"/>
    <s v=""/>
  </r>
  <r>
    <s v="c875b4ed-83cc-4d58-99b3-b20fe0dfe137"/>
    <s v="2023-02-04"/>
    <x v="3"/>
    <x v="4"/>
    <n v="4"/>
    <s v="20:55"/>
    <n v="50"/>
    <x v="0"/>
    <s v="rc_cat_1781955063347_5qjb_1781955063347_tezk"/>
    <x v="5"/>
    <s v="rc_acc_1781955063347_0qmn"/>
    <x v="20"/>
    <s v=""/>
    <m/>
    <s v="ชาตรามือ"/>
    <m/>
    <s v="import"/>
    <s v=""/>
    <b v="0"/>
    <s v=""/>
  </r>
  <r>
    <s v="cdf6fce2-f3ac-42c6-aa86-36e1296deed4"/>
    <s v="2023-02-04"/>
    <x v="3"/>
    <x v="4"/>
    <n v="4"/>
    <s v="22:04"/>
    <n v="10000"/>
    <x v="2"/>
    <s v="income_1781955063347_zblt"/>
    <x v="17"/>
    <s v="rc_acc_1781955063347_0qmn"/>
    <x v="20"/>
    <s v=""/>
    <m/>
    <s v="-"/>
    <m/>
    <s v="import"/>
    <s v=""/>
    <b v="0"/>
    <s v=""/>
  </r>
  <r>
    <s v="8b118829-3c58-4cb9-b64a-657fae1de09b"/>
    <s v="2023-02-04"/>
    <x v="3"/>
    <x v="4"/>
    <n v="4"/>
    <s v="22:07"/>
    <n v="1192"/>
    <x v="0"/>
    <s v="rc_cat_1781955063347_5qjb_1781955063347_tezk"/>
    <x v="5"/>
    <s v="rc_acc_1781955063347_0qmn"/>
    <x v="20"/>
    <s v=""/>
    <m/>
    <s v="pepper lunch 345 tonkatsu 847"/>
    <m/>
    <s v="import"/>
    <s v=""/>
    <b v="0"/>
    <s v=""/>
  </r>
  <r>
    <s v="259e77b2-827e-480c-a65e-a8d761cc62a2"/>
    <s v="2023-02-04"/>
    <x v="3"/>
    <x v="4"/>
    <n v="4"/>
    <s v="22:24"/>
    <n v="2805"/>
    <x v="0"/>
    <s v="entertain_1781955063347_8r8e"/>
    <x v="8"/>
    <s v="kbank"/>
    <x v="0"/>
    <s v=""/>
    <m/>
    <s v="dicecup boardgame tax"/>
    <m/>
    <s v="import"/>
    <s v=""/>
    <b v="0"/>
    <s v=""/>
  </r>
  <r>
    <s v="e5afdd3c-8f73-4332-93d0-f295097ad191"/>
    <s v="2023-02-04"/>
    <x v="3"/>
    <x v="4"/>
    <n v="4"/>
    <s v="22:25"/>
    <n v="3776"/>
    <x v="0"/>
    <s v="entertain_1781955063347_8r8e"/>
    <x v="8"/>
    <s v="kbank"/>
    <x v="0"/>
    <s v=""/>
    <m/>
    <s v="lanlalen tax etax"/>
    <m/>
    <s v="import"/>
    <s v=""/>
    <b v="0"/>
    <s v=""/>
  </r>
  <r>
    <s v="423c977d-10f4-4a72-9456-70632034e3eb"/>
    <s v="2023-02-04"/>
    <x v="3"/>
    <x v="4"/>
    <n v="4"/>
    <s v="22:26"/>
    <n v="478"/>
    <x v="0"/>
    <s v="rc_cat_1781955063347_anhy_1781955063347_qnaz"/>
    <x v="4"/>
    <s v="kbank"/>
    <x v="0"/>
    <s v=""/>
    <m/>
    <s v="-"/>
    <m/>
    <s v="import"/>
    <s v=""/>
    <b v="0"/>
    <s v=""/>
  </r>
  <r>
    <s v="83a86f08-3415-4056-a25a-203ed07ff088"/>
    <s v="2023-02-04"/>
    <x v="3"/>
    <x v="4"/>
    <n v="4"/>
    <s v="22:32"/>
    <n v="1709"/>
    <x v="0"/>
    <s v="rc_cat_1781955063347_5qjb_1781955063348_hrbf"/>
    <x v="28"/>
    <s v="rc_acc_1781955063347_0qmn"/>
    <x v="20"/>
    <s v=""/>
    <m/>
    <s v="ค่าเนตสองเดือน"/>
    <m/>
    <s v="import"/>
    <s v=""/>
    <b v="0"/>
    <s v=""/>
  </r>
  <r>
    <s v="4d70057d-51c8-404f-9f76-a3d420028404"/>
    <s v="2023-02-04"/>
    <x v="3"/>
    <x v="4"/>
    <n v="4"/>
    <s v="22:32"/>
    <n v="3487"/>
    <x v="0"/>
    <s v="rc_cat_1781955063347_5qjb_1781955063347_tezk"/>
    <x v="5"/>
    <s v="rc_acc_1781955063347_0qmn"/>
    <x v="20"/>
    <s v=""/>
    <m/>
    <s v="อาหาร shopee ทั้งเดือน"/>
    <m/>
    <s v="import"/>
    <s v=""/>
    <b v="0"/>
    <s v=""/>
  </r>
  <r>
    <s v="b6eb0be9-bbbe-4543-a28e-dc6d58529d97"/>
    <s v="2023-02-04"/>
    <x v="3"/>
    <x v="4"/>
    <n v="4"/>
    <s v="22:33"/>
    <n v="1000"/>
    <x v="0"/>
    <s v="entertain_1781955063348_kx2f"/>
    <x v="0"/>
    <s v="rc_acc_1781955063347_0qmn"/>
    <x v="20"/>
    <s v=""/>
    <m/>
    <s v="avatar2"/>
    <m/>
    <s v="import"/>
    <s v=""/>
    <b v="0"/>
    <s v=""/>
  </r>
  <r>
    <s v="fdf5a5a1-9bfc-4067-88ea-1d17703e92ac"/>
    <s v="2023-02-04"/>
    <x v="3"/>
    <x v="4"/>
    <n v="4"/>
    <s v="22:40"/>
    <n v="2798"/>
    <x v="0"/>
    <s v="rc_cat_1781955063347_s4sz_1781955063347_deos"/>
    <x v="6"/>
    <s v="rc_acc_1781955063347_uxz4"/>
    <x v="4"/>
    <s v=""/>
    <m/>
    <s v="LTD pants tax etax"/>
    <m/>
    <s v="import"/>
    <s v=""/>
    <b v="0"/>
    <s v=""/>
  </r>
  <r>
    <s v="a65c8e7d-d713-4c9e-95f8-95c2a4cea619"/>
    <s v="2023-02-04"/>
    <x v="3"/>
    <x v="4"/>
    <n v="4"/>
    <s v="22:53"/>
    <n v="8.91"/>
    <x v="0"/>
    <s v="other_1781955063347_5s7r"/>
    <x v="15"/>
    <s v="rc_acc_1781955063347_uxz4"/>
    <x v="4"/>
    <s v=""/>
    <m/>
    <s v="Difference"/>
    <m/>
    <s v="import"/>
    <s v=""/>
    <b v="0"/>
    <s v=""/>
  </r>
  <r>
    <s v="81b24edf-b67a-4024-966b-2548ade88905"/>
    <s v="2023-02-03"/>
    <x v="3"/>
    <x v="4"/>
    <n v="3"/>
    <s v="09:05"/>
    <n v="190"/>
    <x v="0"/>
    <s v="rc_cat_1781955063347_5qjb_1781955063347_tezk"/>
    <x v="5"/>
    <s v="rc_acc_1781955063347_0qmn"/>
    <x v="20"/>
    <s v=""/>
    <m/>
    <s v="ตุ๊ก"/>
    <m/>
    <s v="import"/>
    <s v=""/>
    <b v="0"/>
    <s v=""/>
  </r>
  <r>
    <s v="f57d33b1-2a5f-45b6-a961-4e0de51f6d0b"/>
    <s v="2023-02-03"/>
    <x v="3"/>
    <x v="4"/>
    <n v="3"/>
    <s v="12:25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1e61319-7e71-4d08-a78f-ef4cfc11b479"/>
    <s v="2023-02-02"/>
    <x v="3"/>
    <x v="4"/>
    <n v="2"/>
    <s v="08:50"/>
    <n v="17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628ddeb-86d2-4a03-9ed2-c4cbb6b181a1"/>
    <s v="2023-02-02"/>
    <x v="3"/>
    <x v="4"/>
    <n v="2"/>
    <s v="09:11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3210bde-5a83-4db7-adca-6001c7f38a24"/>
    <s v="2023-02-02"/>
    <x v="3"/>
    <x v="4"/>
    <n v="2"/>
    <s v="12:45"/>
    <n v="8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aa971db-6c51-4eb6-bbb6-4f00ba22de46"/>
    <s v="2023-02-02"/>
    <x v="3"/>
    <x v="4"/>
    <n v="2"/>
    <s v="19:30"/>
    <n v="368"/>
    <x v="0"/>
    <s v="rc_cat_1781955063347_5qjb_1781955063347_tezk"/>
    <x v="5"/>
    <s v="rc_acc_1781955063347_uxz4"/>
    <x v="4"/>
    <s v=""/>
    <m/>
    <s v="เซนปิ่น"/>
    <m/>
    <s v="import"/>
    <s v=""/>
    <b v="0"/>
    <s v=""/>
  </r>
  <r>
    <s v="b88b4ad4-312c-49dd-90b1-65a1e7c2013a"/>
    <s v="2023-02-01"/>
    <x v="3"/>
    <x v="4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31ea5d1f-ca0f-45d1-bacd-87db7148b5ca"/>
    <s v="2023-02-01"/>
    <x v="3"/>
    <x v="4"/>
    <n v="1"/>
    <s v="08:30"/>
    <n v="4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de0a55a-6e27-4e78-916e-18d842512c6d"/>
    <s v="2023-02-01"/>
    <x v="3"/>
    <x v="4"/>
    <n v="1"/>
    <s v="08:54"/>
    <n v="20000"/>
    <x v="1"/>
    <s v="other"/>
    <x v="1"/>
    <s v="rc_acc_1781955063347_uxz4"/>
    <x v="4"/>
    <s v="kbank"/>
    <s v="KBank"/>
    <s v="-"/>
    <m/>
    <s v="import"/>
    <s v=""/>
    <b v="0"/>
    <s v=""/>
  </r>
  <r>
    <s v="86e4ffa0-e9cc-4878-b6b5-3817eba37d56"/>
    <s v="2023-02-01"/>
    <x v="3"/>
    <x v="4"/>
    <n v="1"/>
    <s v="08:5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adc63eb-b8d7-47cb-9925-5f69fcc807c0"/>
    <s v="2023-02-01"/>
    <x v="3"/>
    <x v="4"/>
    <n v="1"/>
    <s v="12:55"/>
    <n v="6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56099e5-6dd6-4653-a078-e31b4ee8ec96"/>
    <s v="2023-01-31"/>
    <x v="3"/>
    <x v="5"/>
    <n v="31"/>
    <s v="08:50"/>
    <n v="111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f619ae5-84c7-4ffd-9854-82b526b4eab3"/>
    <s v="2023-01-31"/>
    <x v="3"/>
    <x v="5"/>
    <n v="31"/>
    <s v="09:00"/>
    <n v="6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0cb32f3-0284-4d9f-83c0-798cd3805bf8"/>
    <s v="2023-01-31"/>
    <x v="3"/>
    <x v="5"/>
    <n v="31"/>
    <s v="12:54"/>
    <n v="7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0416c42-6008-4b1e-ae2d-63ef2fcd3088"/>
    <s v="2023-01-30"/>
    <x v="3"/>
    <x v="5"/>
    <n v="30"/>
    <s v="08:53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b742f9c-93ab-44ee-a0e8-7482d6209331"/>
    <s v="2023-01-30"/>
    <x v="3"/>
    <x v="5"/>
    <n v="30"/>
    <s v="20:53"/>
    <n v="3190"/>
    <x v="0"/>
    <s v="entertain_1781955063348_kx2f"/>
    <x v="0"/>
    <s v="rc_acc_1781955063350_i8ms"/>
    <x v="28"/>
    <s v=""/>
    <m/>
    <s v="s22 ultra(4/10)"/>
    <m/>
    <s v="import"/>
    <s v=""/>
    <b v="0"/>
    <s v=""/>
  </r>
  <r>
    <s v="10c457d6-dc15-49b8-a6aa-09980f6471a6"/>
    <s v="2023-01-29"/>
    <x v="3"/>
    <x v="5"/>
    <n v="29"/>
    <s v="13:05"/>
    <n v="8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d08de52-31d8-41ca-9d5e-bcdc2be6a5dc"/>
    <s v="2023-01-28"/>
    <x v="3"/>
    <x v="5"/>
    <n v="28"/>
    <s v="09:50"/>
    <n v="7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1451946-f66f-4d72-996c-ff8695c1bf99"/>
    <s v="2023-01-28"/>
    <x v="3"/>
    <x v="5"/>
    <n v="28"/>
    <s v="13:40"/>
    <n v="885"/>
    <x v="0"/>
    <s v="rc_cat_1781955063347_5qjb_1781955063347_tezk"/>
    <x v="5"/>
    <s v="rc_acc_1781955063347_0qmn"/>
    <x v="20"/>
    <s v=""/>
    <m/>
    <s v="mk tax"/>
    <m/>
    <s v="import"/>
    <s v=""/>
    <b v="0"/>
    <s v=""/>
  </r>
  <r>
    <s v="dbbda6ca-f686-4d5e-ac4e-16bf30e446a3"/>
    <s v="2023-01-28"/>
    <x v="3"/>
    <x v="5"/>
    <n v="28"/>
    <s v="17:45"/>
    <n v="727"/>
    <x v="0"/>
    <s v="rc_cat_1781955063347_anhy_1781955063347_qnaz"/>
    <x v="4"/>
    <s v="rc_acc_1781955063347_uxz4"/>
    <x v="4"/>
    <s v=""/>
    <m/>
    <s v="-"/>
    <m/>
    <s v="import"/>
    <s v=""/>
    <b v="0"/>
    <s v=""/>
  </r>
  <r>
    <s v="369134bc-b16c-43f4-8a6a-a846dbbe469f"/>
    <s v="2023-01-28"/>
    <x v="3"/>
    <x v="5"/>
    <n v="28"/>
    <s v="19:31"/>
    <n v="75810"/>
    <x v="1"/>
    <s v="other"/>
    <x v="1"/>
    <s v="rc_acc_1781955063348_no9r"/>
    <x v="7"/>
    <s v="rc_acc_1781955063352_d0kz"/>
    <s v="Travelcard"/>
    <s v="-"/>
    <m/>
    <s v="import"/>
    <s v=""/>
    <b v="0"/>
    <s v=""/>
  </r>
  <r>
    <s v="d491c9b4-6e51-48f6-ab8c-5f463a306a15"/>
    <s v="2023-01-28"/>
    <x v="3"/>
    <x v="5"/>
    <n v="28"/>
    <s v="20:40"/>
    <n v="68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1b788ef-1a88-4096-908a-910d6bd8d45c"/>
    <s v="2023-01-28"/>
    <x v="3"/>
    <x v="5"/>
    <n v="28"/>
    <s v="20:51"/>
    <n v="176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d829746-c988-4565-90be-d47a20be239c"/>
    <s v="2023-01-28"/>
    <x v="3"/>
    <x v="5"/>
    <n v="28"/>
    <s v="21:32"/>
    <n v="910"/>
    <x v="0"/>
    <s v="rc_cat_1781955063347_5qjb_1781955063348_edf6"/>
    <x v="30"/>
    <s v="rc_acc_1781955063347_0qmn"/>
    <x v="20"/>
    <s v=""/>
    <m/>
    <s v="fuel tax"/>
    <m/>
    <s v="import"/>
    <s v=""/>
    <b v="0"/>
    <s v=""/>
  </r>
  <r>
    <s v="4f288ea0-dc46-4d2e-9d31-e00605bcf49f"/>
    <s v="2023-01-28"/>
    <x v="3"/>
    <x v="5"/>
    <n v="28"/>
    <s v="21:33"/>
    <n v="3190"/>
    <x v="1"/>
    <s v="other"/>
    <x v="1"/>
    <s v="kbank"/>
    <x v="0"/>
    <s v="rc_acc_1781955063350_i8ms"/>
    <s v="Kbank onesiam"/>
    <s v="-"/>
    <m/>
    <s v="import"/>
    <s v=""/>
    <b v="0"/>
    <s v=""/>
  </r>
  <r>
    <s v="986f6aea-ce44-4223-82e4-aab750e2f7fb"/>
    <s v="2023-01-28"/>
    <x v="3"/>
    <x v="5"/>
    <n v="28"/>
    <s v="21:34"/>
    <n v="990"/>
    <x v="0"/>
    <s v="rc_cat_1781955063347_s4sz_1781955063347_deos"/>
    <x v="6"/>
    <s v="kbank"/>
    <x v="0"/>
    <s v=""/>
    <m/>
    <s v="zara tax"/>
    <m/>
    <s v="import"/>
    <s v=""/>
    <b v="0"/>
    <s v=""/>
  </r>
  <r>
    <s v="858ba64e-52a5-4e23-9d69-975ba0209f5e"/>
    <s v="2023-01-28"/>
    <x v="3"/>
    <x v="5"/>
    <n v="28"/>
    <s v="22:35"/>
    <n v="1214"/>
    <x v="1"/>
    <s v="other"/>
    <x v="1"/>
    <s v="rc_acc_1781955063347_uxz4"/>
    <x v="4"/>
    <s v="rc_acc_1781955063348_w3gp"/>
    <s v="UOB world"/>
    <s v="-"/>
    <m/>
    <s v="import"/>
    <s v=""/>
    <b v="0"/>
    <s v=""/>
  </r>
  <r>
    <s v="deffbd06-eccd-490c-b97a-8d449c6f021d"/>
    <s v="2023-01-27"/>
    <x v="3"/>
    <x v="5"/>
    <n v="27"/>
    <s v="08:45"/>
    <n v="1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a4063ff-e694-431f-b88c-6e28dec45fbc"/>
    <s v="2023-01-26"/>
    <x v="3"/>
    <x v="5"/>
    <n v="26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13761e96-2891-42d9-8432-62c921d08dd9"/>
    <s v="2023-01-26"/>
    <x v="3"/>
    <x v="5"/>
    <n v="26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7835b06a-6976-4cb4-9095-44a7f3af0ce1"/>
    <s v="2023-01-26"/>
    <x v="3"/>
    <x v="5"/>
    <n v="26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7be6b105-7d1a-4b9c-a967-e1b9a2ea7d3e"/>
    <s v="2023-01-26"/>
    <x v="3"/>
    <x v="5"/>
    <n v="26"/>
    <s v="00:00"/>
    <n v="1492.78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0ddcc5f6-8359-4f35-bef9-6b460e31be5c"/>
    <s v="2023-01-26"/>
    <x v="3"/>
    <x v="5"/>
    <n v="26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ff95b692-638c-40c4-9b36-090bf456873c"/>
    <s v="2023-01-26"/>
    <x v="3"/>
    <x v="5"/>
    <n v="26"/>
    <s v="00:00"/>
    <n v="247.08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9f4612ce-5468-426a-8a6d-3523dcccc926"/>
    <s v="2023-01-26"/>
    <x v="3"/>
    <x v="5"/>
    <n v="26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3d58748c-ac49-42ce-a91e-8e24a0b8abec"/>
    <s v="2023-01-26"/>
    <x v="3"/>
    <x v="5"/>
    <n v="26"/>
    <s v="00:00"/>
    <n v="201.34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3be519e4-e0ad-4f6a-9287-ae05cf9becc9"/>
    <s v="2023-01-26"/>
    <x v="3"/>
    <x v="5"/>
    <n v="26"/>
    <s v="08:00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fc671a1-1053-4a8d-8be1-d93d7cfd50ac"/>
    <s v="2023-01-26"/>
    <x v="3"/>
    <x v="5"/>
    <n v="26"/>
    <s v="08:44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386f9cc-daae-440a-8e26-2382ae5983e4"/>
    <s v="2023-01-26"/>
    <x v="3"/>
    <x v="5"/>
    <n v="26"/>
    <s v="08:44"/>
    <n v="1300"/>
    <x v="1"/>
    <s v="other"/>
    <x v="1"/>
    <s v="rc_acc_1781955063347_uxz4"/>
    <x v="4"/>
    <s v="rc_acc_1781955063347_e3zv"/>
    <s v="Cash"/>
    <s v="-"/>
    <m/>
    <s v="import"/>
    <s v=""/>
    <b v="0"/>
    <s v=""/>
  </r>
  <r>
    <s v="c542d555-7e96-42ea-a7a7-7605b0df8806"/>
    <s v="2023-01-26"/>
    <x v="3"/>
    <x v="5"/>
    <n v="26"/>
    <s v="19:51"/>
    <n v="18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90740eb-aacb-4a96-aafb-b9901f582b9c"/>
    <s v="2023-01-25"/>
    <x v="3"/>
    <x v="5"/>
    <n v="25"/>
    <s v="09:30"/>
    <n v="2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9414496-7f82-4323-914a-aeb27a49652a"/>
    <s v="2023-01-25"/>
    <x v="3"/>
    <x v="5"/>
    <n v="25"/>
    <s v="13:43"/>
    <n v="30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75a9957-c7cf-42a4-a611-ad3467b0eef8"/>
    <s v="2023-01-25"/>
    <x v="3"/>
    <x v="5"/>
    <n v="25"/>
    <s v="15:1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a4e017e-b5a5-4263-8f0e-9d65c8998298"/>
    <s v="2023-01-24"/>
    <x v="3"/>
    <x v="5"/>
    <n v="24"/>
    <s v="20:43"/>
    <n v="7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0618bda-f13e-4d1c-91c8-0bc3f3e83a79"/>
    <s v="2023-01-23"/>
    <x v="3"/>
    <x v="5"/>
    <n v="23"/>
    <s v="12:35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cd19a39-2a36-44f8-8386-0f5c75580688"/>
    <s v="2023-01-23"/>
    <x v="3"/>
    <x v="5"/>
    <n v="23"/>
    <s v="12:42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210593b-7f66-40e4-b3bb-a4b862c3be69"/>
    <s v="2023-01-22"/>
    <x v="3"/>
    <x v="5"/>
    <n v="22"/>
    <s v="17:53"/>
    <n v="16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618e0d1-05bf-469a-baaa-1d07d96bddbe"/>
    <s v="2023-01-21"/>
    <x v="3"/>
    <x v="5"/>
    <n v="21"/>
    <s v="09:08"/>
    <n v="2465"/>
    <x v="0"/>
    <s v="rc_cat_1781955063347_5qjb_1781955063348_xqml"/>
    <x v="31"/>
    <s v="rc_acc_1781955063347_0qmn"/>
    <x v="20"/>
    <s v=""/>
    <m/>
    <s v="macro tax"/>
    <m/>
    <s v="import"/>
    <s v=""/>
    <b v="0"/>
    <s v=""/>
  </r>
  <r>
    <s v="cb672a94-72b4-47e7-875a-8e1ce609cc6c"/>
    <s v="2023-01-21"/>
    <x v="3"/>
    <x v="5"/>
    <n v="21"/>
    <s v="10:00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e9f2ba8-b9a8-4149-951a-a2c1c3962f99"/>
    <s v="2023-01-21"/>
    <x v="3"/>
    <x v="5"/>
    <n v="21"/>
    <s v="14:50"/>
    <n v="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7146f3a-5e9a-4930-967f-93a9423ffa7a"/>
    <s v="2023-01-20"/>
    <x v="3"/>
    <x v="5"/>
    <n v="20"/>
    <s v="08:5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48f09e6-c4b4-47ec-b433-190954ca43fc"/>
    <s v="2023-01-20"/>
    <x v="3"/>
    <x v="5"/>
    <n v="20"/>
    <s v="08:50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cfc98f0-23ce-47d7-82e2-88c41a7c66db"/>
    <s v="2023-01-20"/>
    <x v="3"/>
    <x v="5"/>
    <n v="20"/>
    <s v="12:40"/>
    <n v="6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a2d1e2a-b83d-4118-82a1-de70730f37bc"/>
    <s v="2023-01-20"/>
    <x v="3"/>
    <x v="5"/>
    <n v="20"/>
    <s v="20:40"/>
    <n v="5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ca3e504-aa6a-41a7-83ad-8de87cf1eac1"/>
    <s v="2023-01-19"/>
    <x v="3"/>
    <x v="5"/>
    <n v="19"/>
    <s v="09:54"/>
    <n v="550"/>
    <x v="0"/>
    <s v="rc_cat_1781955063347_5qjb_1781955063347_tezk"/>
    <x v="5"/>
    <s v="rc_acc_1781955063347_0qmn"/>
    <x v="20"/>
    <s v=""/>
    <m/>
    <s v="16-19"/>
    <m/>
    <s v="import"/>
    <s v=""/>
    <b v="0"/>
    <s v=""/>
  </r>
  <r>
    <s v="e7512c54-8d6d-47d0-96e4-7ada05f0c2e7"/>
    <s v="2023-01-19"/>
    <x v="3"/>
    <x v="5"/>
    <n v="19"/>
    <s v="13:29"/>
    <n v="22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556b2fd-f740-4bfb-b9ae-69134ec1e436"/>
    <s v="2023-01-18"/>
    <x v="3"/>
    <x v="5"/>
    <n v="18"/>
    <s v="12:50"/>
    <n v="7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b63d1df-a510-4e68-bba0-5fdeea9c6655"/>
    <s v="2023-01-18"/>
    <x v="3"/>
    <x v="5"/>
    <n v="18"/>
    <s v="20:47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43d608e-d18d-4ae3-a3a7-03f96f22f8c2"/>
    <s v="2023-01-17"/>
    <x v="3"/>
    <x v="5"/>
    <n v="17"/>
    <s v="12:39"/>
    <n v="6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db75c93-79d3-431a-a242-7740310d1111"/>
    <s v="2023-01-16"/>
    <x v="3"/>
    <x v="5"/>
    <n v="16"/>
    <s v="12:44"/>
    <n v="1260"/>
    <x v="1"/>
    <s v="other"/>
    <x v="1"/>
    <s v="rc_acc_1781955063347_tvnx"/>
    <x v="13"/>
    <s v="rc_acc_1781955063347_uxz4"/>
    <s v="SCB"/>
    <s v="แอม พี่เนย"/>
    <m/>
    <s v="import"/>
    <s v=""/>
    <b v="0"/>
    <s v=""/>
  </r>
  <r>
    <s v="2fe6b4eb-991c-45b3-9f2e-91fa65581f59"/>
    <s v="2023-01-16"/>
    <x v="3"/>
    <x v="5"/>
    <n v="16"/>
    <s v="13:01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5b72e25-9f3d-4df5-b2ba-ff9c9424a4f0"/>
    <s v="2023-01-15"/>
    <x v="3"/>
    <x v="5"/>
    <n v="15"/>
    <s v="00:00"/>
    <n v="315"/>
    <x v="1"/>
    <s v="other"/>
    <x v="1"/>
    <s v="rc_acc_1781955063348_w3gp"/>
    <x v="6"/>
    <s v="rc_acc_1781955063347_tvnx"/>
    <s v="Netflix in Adv"/>
    <s v="-"/>
    <m/>
    <s v="import"/>
    <s v=""/>
    <b v="0"/>
    <s v=""/>
  </r>
  <r>
    <s v="e08fb2f7-5218-4219-9174-48b44f5dbac1"/>
    <s v="2023-01-15"/>
    <x v="3"/>
    <x v="5"/>
    <n v="15"/>
    <s v="11:25"/>
    <n v="1932"/>
    <x v="0"/>
    <s v="entertain_1781955063348_kx2f"/>
    <x v="0"/>
    <s v="rc_acc_1781955063347_uxz4"/>
    <x v="4"/>
    <s v=""/>
    <m/>
    <s v="hdd tax 2590"/>
    <m/>
    <s v="import"/>
    <s v=""/>
    <b v="0"/>
    <s v=""/>
  </r>
  <r>
    <s v="2538b540-5e83-4cf2-abc4-bd81eb885c34"/>
    <s v="2023-01-15"/>
    <x v="3"/>
    <x v="5"/>
    <n v="15"/>
    <s v="11:52"/>
    <n v="5376"/>
    <x v="1"/>
    <s v="other"/>
    <x v="1"/>
    <s v="rc_acc_1781955063347_uxz4"/>
    <x v="4"/>
    <s v="rc_acc_1781955063347_sv7p"/>
    <s v="UOB Privilages"/>
    <s v="-"/>
    <m/>
    <s v="import"/>
    <s v=""/>
    <b v="0"/>
    <s v=""/>
  </r>
  <r>
    <s v="ae017dcd-6f47-451a-af99-77fe992d0bc0"/>
    <s v="2023-01-15"/>
    <x v="3"/>
    <x v="5"/>
    <n v="15"/>
    <s v="13:48"/>
    <n v="838"/>
    <x v="0"/>
    <s v="rc_cat_1781955063347_5qjb_1781955063347_tezk"/>
    <x v="5"/>
    <s v="rc_acc_1781955063347_0qmn"/>
    <x v="20"/>
    <s v=""/>
    <m/>
    <s v="shabushi"/>
    <m/>
    <s v="import"/>
    <s v=""/>
    <b v="0"/>
    <s v=""/>
  </r>
  <r>
    <s v="0ed3270c-cfb9-40c1-827e-6606fbdbd2c6"/>
    <s v="2023-01-15"/>
    <x v="3"/>
    <x v="5"/>
    <n v="15"/>
    <s v="17:47"/>
    <n v="7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34507c47-eb53-4bef-880d-1493e6540800"/>
    <s v="2023-01-15"/>
    <x v="3"/>
    <x v="5"/>
    <n v="15"/>
    <s v="19:55"/>
    <n v="1921"/>
    <x v="0"/>
    <s v="rc_cat_1781955063347_5qjb_1781955063348_hrbf"/>
    <x v="28"/>
    <s v="rc_acc_1781955063347_0qmn"/>
    <x v="20"/>
    <s v=""/>
    <m/>
    <s v="ค่าไฟ"/>
    <m/>
    <s v="import"/>
    <s v=""/>
    <b v="0"/>
    <s v=""/>
  </r>
  <r>
    <s v="94b24c5f-5dca-4397-a09e-de1a14a7a938"/>
    <s v="2023-01-15"/>
    <x v="3"/>
    <x v="5"/>
    <n v="15"/>
    <s v="19:56"/>
    <n v="1921"/>
    <x v="1"/>
    <s v="other"/>
    <x v="1"/>
    <s v="rc_acc_1781955063348_no9r"/>
    <x v="7"/>
    <s v="rc_acc_1781955063347_uxz4"/>
    <s v="SCB"/>
    <s v="-"/>
    <m/>
    <s v="import"/>
    <s v=""/>
    <b v="0"/>
    <s v=""/>
  </r>
  <r>
    <s v="13ab2109-d950-4600-b65c-0422e5cde413"/>
    <s v="2023-01-15"/>
    <x v="3"/>
    <x v="5"/>
    <n v="15"/>
    <s v="19:57"/>
    <n v="723.13"/>
    <x v="1"/>
    <s v="other"/>
    <x v="1"/>
    <s v="rc_acc_1781955063348_no9r"/>
    <x v="7"/>
    <s v="advance"/>
    <s v="Advance Paid"/>
    <s v="-"/>
    <m/>
    <s v="import"/>
    <s v=""/>
    <b v="0"/>
    <s v=""/>
  </r>
  <r>
    <s v="c1463c33-700c-4cd1-8658-a08329a3b588"/>
    <s v="2023-01-15"/>
    <x v="3"/>
    <x v="5"/>
    <n v="15"/>
    <s v="20:00"/>
    <n v="1162.75"/>
    <x v="1"/>
    <s v="other"/>
    <x v="1"/>
    <s v="rc_acc_1781955063348_no9r"/>
    <x v="7"/>
    <s v="advance"/>
    <s v="Advance Paid"/>
    <s v="-"/>
    <m/>
    <s v="import"/>
    <s v=""/>
    <b v="0"/>
    <s v=""/>
  </r>
  <r>
    <s v="8a92b61c-dec6-4036-9d15-3a78bbf8cedf"/>
    <s v="2023-01-15"/>
    <x v="3"/>
    <x v="5"/>
    <n v="15"/>
    <s v="20:08"/>
    <n v="630"/>
    <x v="1"/>
    <s v="other"/>
    <x v="1"/>
    <s v="rc_acc_1781955063347_tvnx"/>
    <x v="13"/>
    <s v="rc_acc_1781955063347_uxz4"/>
    <s v="SCB"/>
    <s v="netflix hong"/>
    <m/>
    <s v="import"/>
    <s v=""/>
    <b v="0"/>
    <s v=""/>
  </r>
  <r>
    <s v="51e9c794-a3f5-42b9-a5bc-88922f705a70"/>
    <s v="2023-01-14"/>
    <x v="3"/>
    <x v="5"/>
    <n v="14"/>
    <s v="00:00"/>
    <n v="105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a1e3827b-b7dd-4a0c-8802-1116c56c4b8a"/>
    <s v="2023-01-14"/>
    <x v="3"/>
    <x v="5"/>
    <n v="14"/>
    <s v="07:30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7fdc4428-94d7-4638-ba1c-8b494fd11b6e"/>
    <s v="2023-01-14"/>
    <x v="3"/>
    <x v="5"/>
    <n v="14"/>
    <s v="14:09"/>
    <n v="203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2024cdd6-d2ad-4576-9d27-4368f28712cf"/>
    <s v="2023-01-14"/>
    <x v="3"/>
    <x v="5"/>
    <n v="14"/>
    <s v="14:36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e1b0584-0ac4-48fb-9ecd-d8c44e4221f2"/>
    <s v="2023-01-14"/>
    <x v="3"/>
    <x v="5"/>
    <n v="14"/>
    <s v="20:59"/>
    <n v="68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8405a7b-25c9-4730-8f58-fb610c700461"/>
    <s v="2023-01-12"/>
    <x v="3"/>
    <x v="5"/>
    <n v="12"/>
    <s v="09:00"/>
    <n v="16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05906a5-ef23-4014-a22a-898890cd9794"/>
    <s v="2023-01-12"/>
    <x v="3"/>
    <x v="5"/>
    <n v="12"/>
    <s v="09:32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9c15b75-1dc3-4da2-8fad-53394bc00ed9"/>
    <s v="2023-01-12"/>
    <x v="3"/>
    <x v="5"/>
    <n v="12"/>
    <s v="12:50"/>
    <n v="9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3af912a-4e8a-4a69-9827-5b6c3d05af74"/>
    <s v="2023-01-12"/>
    <x v="3"/>
    <x v="5"/>
    <n v="12"/>
    <s v="13:1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135d80b-27fa-4827-b7aa-c111028ba038"/>
    <s v="2023-01-12"/>
    <x v="3"/>
    <x v="5"/>
    <n v="12"/>
    <s v="20:00"/>
    <n v="204"/>
    <x v="0"/>
    <s v="rc_cat_1781955063347_5qjb_1781955063347_tezk"/>
    <x v="5"/>
    <s v="rc_acc_1781955063347_0qmn"/>
    <x v="20"/>
    <s v=""/>
    <m/>
    <s v="lotus prive"/>
    <m/>
    <s v="import"/>
    <s v=""/>
    <b v="0"/>
    <s v=""/>
  </r>
  <r>
    <s v="8224611c-2fb8-4245-8415-5eb6c3928794"/>
    <s v="2023-01-11"/>
    <x v="3"/>
    <x v="5"/>
    <n v="11"/>
    <s v="08:59"/>
    <n v="4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863ff80-0111-4383-be0e-deeca63670a1"/>
    <s v="2023-01-11"/>
    <x v="3"/>
    <x v="5"/>
    <n v="11"/>
    <s v="09:01"/>
    <n v="499"/>
    <x v="0"/>
    <s v="rc_cat_1781955063347_anhy_1781955063347_qnaz"/>
    <x v="4"/>
    <s v="rc_acc_1781955063347_0qmn"/>
    <x v="20"/>
    <s v=""/>
    <m/>
    <s v="-"/>
    <m/>
    <s v="import"/>
    <s v=""/>
    <b v="0"/>
    <s v=""/>
  </r>
  <r>
    <s v="cf4e5a3f-4880-43e3-87be-b11d4bd38844"/>
    <s v="2023-01-11"/>
    <x v="3"/>
    <x v="5"/>
    <n v="11"/>
    <s v="09:32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33fd351-0777-4712-b610-776805251a93"/>
    <s v="2023-01-11"/>
    <x v="3"/>
    <x v="5"/>
    <n v="11"/>
    <s v="12:32"/>
    <n v="5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f98c594-459b-4a05-a0fd-acb96e6671cd"/>
    <s v="2023-01-10"/>
    <x v="3"/>
    <x v="5"/>
    <n v="10"/>
    <s v="08:45"/>
    <n v="1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c6034c3-0d6e-476a-9841-1feeaa5cae24"/>
    <s v="2023-01-10"/>
    <x v="3"/>
    <x v="5"/>
    <n v="10"/>
    <s v="11:55"/>
    <n v="10000"/>
    <x v="2"/>
    <s v="income_1781955063347_zblt"/>
    <x v="17"/>
    <s v="rc_acc_1781955063347_0qmn"/>
    <x v="20"/>
    <s v=""/>
    <m/>
    <s v="-"/>
    <m/>
    <s v="import"/>
    <s v=""/>
    <b v="0"/>
    <s v=""/>
  </r>
  <r>
    <s v="c45315bc-4cab-44bf-9ad6-645717f9cf56"/>
    <s v="2023-01-10"/>
    <x v="3"/>
    <x v="5"/>
    <n v="10"/>
    <s v="12:45"/>
    <n v="6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87db693-0237-434a-bfc7-83fd54b68dc5"/>
    <s v="2023-01-10"/>
    <x v="3"/>
    <x v="5"/>
    <n v="10"/>
    <s v="14:33"/>
    <n v="600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856220e0-f720-44f2-854a-1eab8481bfc0"/>
    <s v="2023-01-10"/>
    <x v="3"/>
    <x v="5"/>
    <n v="10"/>
    <s v="17:39"/>
    <n v="4885"/>
    <x v="0"/>
    <s v="rc_cat_1781955063347_04qb_1781955063347_wt5p"/>
    <x v="3"/>
    <s v="kbank"/>
    <x v="0"/>
    <s v=""/>
    <m/>
    <s v="-"/>
    <m/>
    <s v="import"/>
    <s v=""/>
    <b v="0"/>
    <s v=""/>
  </r>
  <r>
    <s v="f4ed893d-15a0-47a4-8d5c-98adbe8be038"/>
    <s v="2023-01-09"/>
    <x v="3"/>
    <x v="5"/>
    <n v="9"/>
    <s v="09:02"/>
    <n v="13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81eb07b-b3d2-4ae9-909c-5a8fa23c7495"/>
    <s v="2023-01-09"/>
    <x v="3"/>
    <x v="5"/>
    <n v="9"/>
    <s v="09:14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e93cff7-0f55-462f-9dd1-770361f3474d"/>
    <s v="2023-01-09"/>
    <x v="3"/>
    <x v="5"/>
    <n v="9"/>
    <s v="09:43"/>
    <n v="3849"/>
    <x v="1"/>
    <s v="other"/>
    <x v="1"/>
    <s v="kbank"/>
    <x v="0"/>
    <s v="rc_acc_1781955063350_i8ms"/>
    <s v="Kbank onesiam"/>
    <s v="-"/>
    <m/>
    <s v="import"/>
    <s v=""/>
    <b v="0"/>
    <s v=""/>
  </r>
  <r>
    <s v="9eb28f60-9d7a-483e-a6c8-c98a08c75ed2"/>
    <s v="2023-01-09"/>
    <x v="3"/>
    <x v="5"/>
    <n v="9"/>
    <s v="13:00"/>
    <n v="5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3527d03-fcc9-4e6e-83f1-ea9f8810a317"/>
    <s v="2023-01-09"/>
    <x v="3"/>
    <x v="5"/>
    <n v="9"/>
    <s v="13:39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f88f319-d5bc-4e79-9222-23caa4277a5f"/>
    <s v="2023-01-08"/>
    <x v="3"/>
    <x v="5"/>
    <n v="8"/>
    <s v="14:36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2d3b633-1425-45bb-ad1b-950189d0d61f"/>
    <s v="2023-01-08"/>
    <x v="3"/>
    <x v="5"/>
    <n v="8"/>
    <s v="14:37"/>
    <n v="166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13a24f9-e719-46a6-af70-0c850133bce0"/>
    <s v="2023-01-08"/>
    <x v="3"/>
    <x v="5"/>
    <n v="8"/>
    <s v="16:33"/>
    <n v="124"/>
    <x v="0"/>
    <s v="rc_cat_1781955063347_5qjb_1781955063347_tezk"/>
    <x v="5"/>
    <s v="rc_acc_1781955063347_0qmn"/>
    <x v="20"/>
    <s v=""/>
    <m/>
    <s v="waffle"/>
    <m/>
    <s v="import"/>
    <s v=""/>
    <b v="0"/>
    <s v=""/>
  </r>
  <r>
    <s v="1aa4496f-df38-4c32-b27a-0b9925a3f7ee"/>
    <s v="2023-01-08"/>
    <x v="3"/>
    <x v="5"/>
    <n v="8"/>
    <s v="18:31"/>
    <n v="920"/>
    <x v="0"/>
    <s v="rc_cat_1781955063347_5qjb_1781955063348_edf6"/>
    <x v="30"/>
    <s v="rc_acc_1781955063347_0qmn"/>
    <x v="20"/>
    <s v=""/>
    <m/>
    <s v="น้ำมัน tax"/>
    <m/>
    <s v="import"/>
    <s v=""/>
    <b v="0"/>
    <s v=""/>
  </r>
  <r>
    <s v="7105173b-74f7-46e5-b72b-b488cdb3bd4e"/>
    <s v="2023-01-08"/>
    <x v="3"/>
    <x v="5"/>
    <n v="8"/>
    <s v="18:33"/>
    <n v="3341"/>
    <x v="0"/>
    <s v="rc_cat_1781955063347_anhy_1781955063347_qnaz"/>
    <x v="4"/>
    <s v="rc_acc_1781955063347_0qmn"/>
    <x v="20"/>
    <s v=""/>
    <m/>
    <s v="hmpro"/>
    <m/>
    <s v="import"/>
    <s v=""/>
    <b v="0"/>
    <s v=""/>
  </r>
  <r>
    <s v="8c01f30b-a0d5-46ac-8242-dbaabc805f13"/>
    <s v="2023-01-08"/>
    <x v="3"/>
    <x v="5"/>
    <n v="8"/>
    <s v="18:37"/>
    <n v="355"/>
    <x v="1"/>
    <s v="other"/>
    <x v="1"/>
    <s v="rc_acc_1781955063347_uxz4"/>
    <x v="4"/>
    <s v="advance"/>
    <s v="Advance Paid"/>
    <s v="กาแฟหลังร้านเนื้อ"/>
    <m/>
    <s v="import"/>
    <s v=""/>
    <b v="0"/>
    <s v=""/>
  </r>
  <r>
    <s v="8cb7f077-8973-4cc4-a0af-25a3274145de"/>
    <s v="2023-01-08"/>
    <x v="3"/>
    <x v="5"/>
    <n v="8"/>
    <s v="18:48"/>
    <n v="1214"/>
    <x v="0"/>
    <s v="entertain_1781955063348_32wr"/>
    <x v="23"/>
    <s v="rc_acc_1781955063348_w3gp"/>
    <x v="6"/>
    <s v=""/>
    <m/>
    <s v="หนังสือ tax"/>
    <m/>
    <s v="import"/>
    <s v=""/>
    <b v="0"/>
    <s v=""/>
  </r>
  <r>
    <s v="9941fd84-8821-4556-b475-02ba321e619f"/>
    <s v="2023-01-07"/>
    <x v="3"/>
    <x v="5"/>
    <n v="7"/>
    <s v="09:44"/>
    <n v="2000"/>
    <x v="1"/>
    <s v="other"/>
    <x v="1"/>
    <s v="advance"/>
    <x v="2"/>
    <s v="rc_acc_1781955063350_i8ms"/>
    <s v="Kbank onesiam"/>
    <s v="อุ้ยเคลียแล้ว"/>
    <m/>
    <s v="import"/>
    <s v=""/>
    <b v="0"/>
    <s v=""/>
  </r>
  <r>
    <s v="2463c277-3bd0-47d1-ace5-9af8dbc4caf6"/>
    <s v="2023-01-07"/>
    <x v="3"/>
    <x v="5"/>
    <n v="7"/>
    <s v="09:50"/>
    <n v="4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6a19565-0fa3-4cfe-b045-05257d544dbe"/>
    <s v="2023-01-07"/>
    <x v="3"/>
    <x v="5"/>
    <n v="7"/>
    <s v="15:37"/>
    <n v="5849"/>
    <x v="1"/>
    <s v="other"/>
    <x v="1"/>
    <s v="rc_acc_1781955063350_i8ms"/>
    <x v="28"/>
    <s v="advance"/>
    <s v="Advance Paid"/>
    <s v="35 dry edge tax"/>
    <m/>
    <s v="import"/>
    <s v=""/>
    <b v="0"/>
    <s v=""/>
  </r>
  <r>
    <s v="b239471b-5e39-4f18-960b-f8418496edbe"/>
    <s v="2023-01-07"/>
    <x v="3"/>
    <x v="5"/>
    <n v="7"/>
    <s v="18:39"/>
    <n v="680"/>
    <x v="0"/>
    <s v="rc_cat_1781955063347_5qjb_1781955063347_tezk"/>
    <x v="5"/>
    <s v="rc_acc_1781955063347_0qmn"/>
    <x v="20"/>
    <s v=""/>
    <m/>
    <s v="อาหารคลีน"/>
    <m/>
    <s v="import"/>
    <s v=""/>
    <b v="0"/>
    <s v=""/>
  </r>
  <r>
    <s v="7888b45d-b30d-4193-93c3-b2d8ead85e41"/>
    <s v="2023-01-07"/>
    <x v="3"/>
    <x v="5"/>
    <n v="7"/>
    <s v="21:48"/>
    <n v="3849"/>
    <x v="0"/>
    <s v="rc_cat_1781955063347_anhy_1781955063350_fcpb"/>
    <x v="2"/>
    <s v="advance"/>
    <x v="2"/>
    <s v=""/>
    <m/>
    <s v="-"/>
    <m/>
    <s v="import"/>
    <s v=""/>
    <b v="0"/>
    <s v=""/>
  </r>
  <r>
    <s v="639b44d5-3930-4908-a004-3da641c0f60e"/>
    <s v="2023-01-06"/>
    <x v="3"/>
    <x v="5"/>
    <n v="6"/>
    <s v="13:00"/>
    <n v="6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f219894-4e8a-4e4b-8ed3-d552e9e85d1b"/>
    <s v="2023-01-06"/>
    <x v="3"/>
    <x v="5"/>
    <n v="6"/>
    <s v="13:34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9d3ad8a-ba03-4067-8e5a-eaa7d18369b9"/>
    <s v="2023-01-06"/>
    <x v="3"/>
    <x v="5"/>
    <n v="6"/>
    <s v="17:56"/>
    <n v="163"/>
    <x v="0"/>
    <s v="rc_cat_1781955063347_5qjb_1781955063347_tezk"/>
    <x v="5"/>
    <s v="rc_acc_1781955063347_omhz"/>
    <x v="29"/>
    <s v=""/>
    <m/>
    <s v="-"/>
    <m/>
    <s v="import"/>
    <s v=""/>
    <b v="0"/>
    <s v=""/>
  </r>
  <r>
    <s v="2e32439c-9145-49d2-b8b9-d814080109ed"/>
    <s v="2023-01-05"/>
    <x v="3"/>
    <x v="5"/>
    <n v="5"/>
    <s v="09:04"/>
    <n v="13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271ee3c-0bfb-4273-af3a-f48acceb9648"/>
    <s v="2023-01-05"/>
    <x v="3"/>
    <x v="5"/>
    <n v="5"/>
    <s v="11:3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0e96d76-4878-4f48-ad77-2fb40c97ccff"/>
    <s v="2023-01-05"/>
    <x v="3"/>
    <x v="5"/>
    <n v="5"/>
    <s v="12:50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47c8eb1-bb12-4d4a-af56-a9f7d1e40ae4"/>
    <s v="2023-01-05"/>
    <x v="3"/>
    <x v="5"/>
    <n v="5"/>
    <s v="13:04"/>
    <n v="26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9676a9e-4308-4787-a9e6-59f5ac5d043f"/>
    <s v="2023-01-04"/>
    <x v="3"/>
    <x v="5"/>
    <n v="4"/>
    <s v="09:01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d903bd6-1c1f-4bff-884c-60a3260ad412"/>
    <s v="2023-01-04"/>
    <x v="3"/>
    <x v="5"/>
    <n v="4"/>
    <s v="09:01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35cadf7-9a06-4b8b-ae23-efb4c01aa645"/>
    <s v="2023-01-04"/>
    <x v="3"/>
    <x v="5"/>
    <n v="4"/>
    <s v="12:20"/>
    <n v="9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7db2c7a-4cfe-40ef-b290-5402d9bff790"/>
    <s v="2023-01-04"/>
    <x v="3"/>
    <x v="5"/>
    <n v="4"/>
    <s v="19:50"/>
    <n v="18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b7ca79d-6cf4-4928-bda6-b48043c49375"/>
    <s v="2023-01-03"/>
    <x v="3"/>
    <x v="5"/>
    <n v="3"/>
    <s v="08:43"/>
    <n v="8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0bf8d0e-72f2-4e87-a16b-3e5229de3e3b"/>
    <s v="2023-01-03"/>
    <x v="3"/>
    <x v="5"/>
    <n v="3"/>
    <s v="09:1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7e3a64e-4d35-46f0-9290-2acf530126b3"/>
    <s v="2023-01-03"/>
    <x v="3"/>
    <x v="5"/>
    <n v="3"/>
    <s v="13:15"/>
    <n v="153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6aacd49-9014-48b5-aa3c-35d4b031c6f5"/>
    <s v="2023-01-02"/>
    <x v="3"/>
    <x v="5"/>
    <n v="2"/>
    <s v="13:21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1b8fb1e9-ff4a-459d-95e8-4ef64bbf43e8"/>
    <s v="2023-01-02"/>
    <x v="3"/>
    <x v="5"/>
    <n v="2"/>
    <s v="16:23"/>
    <n v="400"/>
    <x v="1"/>
    <s v="other"/>
    <x v="1"/>
    <s v="advance"/>
    <x v="2"/>
    <s v="rc_acc_1781955063347_uxz4"/>
    <s v="SCB"/>
    <s v="ยอดจากวัด บอร์ดเกม 24 dec65"/>
    <m/>
    <s v="import"/>
    <s v=""/>
    <b v="0"/>
    <s v=""/>
  </r>
  <r>
    <s v="879c9f1d-df41-47c1-984b-47dd6517d36b"/>
    <s v="2023-01-02"/>
    <x v="3"/>
    <x v="5"/>
    <n v="2"/>
    <s v="17:16"/>
    <n v="18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a75514a-71ab-4d60-b4ee-d89d1e7088d6"/>
    <s v="2023-01-02"/>
    <x v="3"/>
    <x v="5"/>
    <n v="2"/>
    <s v="17:40"/>
    <n v="92"/>
    <x v="1"/>
    <s v="other"/>
    <x v="1"/>
    <s v="advance"/>
    <x v="2"/>
    <s v="rc_acc_1781955063347_uxz4"/>
    <s v="SCB"/>
    <s v="-"/>
    <m/>
    <s v="import"/>
    <s v=""/>
    <b v="0"/>
    <s v=""/>
  </r>
  <r>
    <s v="b81ee4b2-745a-4536-81ef-7451007f57e5"/>
    <s v="2023-01-02"/>
    <x v="3"/>
    <x v="5"/>
    <n v="2"/>
    <s v="17:42"/>
    <n v="5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ff8fc31-df81-4435-8ae4-3bde568bd9b6"/>
    <s v="2023-01-02"/>
    <x v="3"/>
    <x v="5"/>
    <n v="2"/>
    <s v="19:24"/>
    <n v="78"/>
    <x v="0"/>
    <s v="rc_cat_1781955063347_5qjb_1781955063347_tezk"/>
    <x v="5"/>
    <s v="rc_acc_1781955063347_omhz"/>
    <x v="29"/>
    <s v=""/>
    <m/>
    <s v="เชสเตอร์"/>
    <m/>
    <s v="import"/>
    <s v=""/>
    <b v="0"/>
    <s v=""/>
  </r>
  <r>
    <s v="9ba67d63-eec5-40d3-834c-d3ff86f357bc"/>
    <s v="2023-01-01"/>
    <x v="3"/>
    <x v="5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a80a33ab-ec4a-4004-b8be-016930adcd38"/>
    <s v="2023-01-01"/>
    <x v="3"/>
    <x v="5"/>
    <n v="1"/>
    <s v="00:46"/>
    <n v="1890"/>
    <x v="2"/>
    <s v="other_1781955063347_5s7r"/>
    <x v="15"/>
    <s v="rc_acc_1781955063347_tvnx"/>
    <x v="13"/>
    <s v=""/>
    <m/>
    <s v="Difference"/>
    <m/>
    <s v="import"/>
    <s v=""/>
    <b v="0"/>
    <s v=""/>
  </r>
  <r>
    <s v="97cff978-a682-4a99-b009-500aa6c5ae8a"/>
    <s v="2023-01-01"/>
    <x v="3"/>
    <x v="5"/>
    <n v="1"/>
    <s v="17:43"/>
    <n v="4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759c4571-9136-43d7-8a75-c480b9ebc8e2"/>
    <s v="2023-01-01"/>
    <x v="3"/>
    <x v="5"/>
    <n v="1"/>
    <s v="17:44"/>
    <n v="6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15a5f0de-61a3-4edc-8f7f-a0edf8862c4a"/>
    <s v="2023-01-01"/>
    <x v="3"/>
    <x v="5"/>
    <n v="1"/>
    <s v="18:10"/>
    <n v="4767"/>
    <x v="0"/>
    <s v="entertain_1781955063347_8r8e"/>
    <x v="8"/>
    <s v="rc_acc_1781955063347_uxz4"/>
    <x v="4"/>
    <s v=""/>
    <m/>
    <s v="eclipse tax"/>
    <m/>
    <s v="import"/>
    <s v=""/>
    <b v="0"/>
    <s v=""/>
  </r>
  <r>
    <s v="45486bef-8f1d-4626-858c-fa66fbf7231b"/>
    <s v="2023-01-01"/>
    <x v="3"/>
    <x v="5"/>
    <n v="1"/>
    <s v="18:13"/>
    <n v="998"/>
    <x v="0"/>
    <s v="rc_cat_1781955063347_5qjb_1781955063347_tezk"/>
    <x v="5"/>
    <s v="rc_acc_1781955063347_0qmn"/>
    <x v="20"/>
    <s v=""/>
    <m/>
    <s v="มานีมีหม้อ tax"/>
    <m/>
    <s v="import"/>
    <s v=""/>
    <b v="0"/>
    <s v=""/>
  </r>
  <r>
    <s v="087d735e-b18e-43be-bd55-6ddcab043c52"/>
    <s v="2023-01-01"/>
    <x v="3"/>
    <x v="5"/>
    <n v="1"/>
    <s v="18:15"/>
    <n v="3000"/>
    <x v="0"/>
    <s v="rc_cat_1781955063347_5qjb_1781955063347_tezk"/>
    <x v="5"/>
    <s v="rc_acc_1781955063347_0qmn"/>
    <x v="20"/>
    <s v=""/>
    <m/>
    <s v="shopee food ถึง  18 dec"/>
    <m/>
    <s v="import"/>
    <s v=""/>
    <b v="0"/>
    <s v=""/>
  </r>
  <r>
    <s v="fad22b87-32a2-4b75-ae17-46ce19b9d87d"/>
    <s v="2022-12-31"/>
    <x v="4"/>
    <x v="6"/>
    <n v="31"/>
    <s v="08:58"/>
    <n v="60"/>
    <x v="0"/>
    <s v="rc_cat_1781955063347_5qjb_1781955063347_tezk"/>
    <x v="5"/>
    <s v="rc_acc_1781955063351_8khv"/>
    <x v="21"/>
    <s v=""/>
    <m/>
    <s v="-"/>
    <m/>
    <s v="import"/>
    <s v=""/>
    <b v="0"/>
    <s v=""/>
  </r>
  <r>
    <s v="16b3089a-515c-4290-9014-d3d4410e6716"/>
    <s v="2022-12-31"/>
    <x v="4"/>
    <x v="6"/>
    <n v="31"/>
    <s v="08:58"/>
    <n v="7"/>
    <x v="0"/>
    <s v="rc_cat_1781955063347_5qjb_1781955063347_tezk"/>
    <x v="5"/>
    <s v="rc_acc_1781955063348_w3gp"/>
    <x v="6"/>
    <s v=""/>
    <m/>
    <s v="-"/>
    <m/>
    <s v="import"/>
    <s v=""/>
    <b v="0"/>
    <s v=""/>
  </r>
  <r>
    <s v="f80a4c60-3692-4196-8cf2-098dc5b86414"/>
    <s v="2022-12-31"/>
    <x v="4"/>
    <x v="6"/>
    <n v="31"/>
    <s v="09:53"/>
    <n v="196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06245dd-206f-4a20-803a-ea8ff9f3d0e3"/>
    <s v="2022-12-31"/>
    <x v="4"/>
    <x v="6"/>
    <n v="31"/>
    <s v="09:58"/>
    <n v="5000"/>
    <x v="1"/>
    <s v="other"/>
    <x v="1"/>
    <s v="kbank"/>
    <x v="0"/>
    <s v="rc_acc_1781955063347_e3zv"/>
    <s v="Cash"/>
    <s v="-"/>
    <m/>
    <s v="import"/>
    <s v=""/>
    <b v="0"/>
    <s v=""/>
  </r>
  <r>
    <s v="d6b07b7e-c493-4c9f-88eb-4b6575f93aac"/>
    <s v="2022-12-31"/>
    <x v="4"/>
    <x v="6"/>
    <n v="31"/>
    <s v="10:05"/>
    <n v="236"/>
    <x v="1"/>
    <s v="other"/>
    <x v="1"/>
    <s v="advance"/>
    <x v="2"/>
    <s v="rc_acc_1781955063347_uxz4"/>
    <s v="SCB"/>
    <s v="ค่า royce จากหงส์"/>
    <m/>
    <s v="import"/>
    <s v=""/>
    <b v="0"/>
    <s v=""/>
  </r>
  <r>
    <s v="1f654bf3-bebf-4f84-9a68-22fcbbd60aa4"/>
    <s v="2022-12-31"/>
    <x v="4"/>
    <x v="6"/>
    <n v="31"/>
    <s v="13:53"/>
    <n v="115"/>
    <x v="0"/>
    <s v="rc_cat_1781955063347_5qjb_1781955063347_tezk"/>
    <x v="5"/>
    <s v="rc_acc_1781955063347_0qmn"/>
    <x v="20"/>
    <s v=""/>
    <m/>
    <s v="วัวล้วนล้วย"/>
    <m/>
    <s v="import"/>
    <s v=""/>
    <b v="0"/>
    <s v=""/>
  </r>
  <r>
    <s v="b3d765ce-6a38-4415-a8e7-5c32dc9a726b"/>
    <s v="2022-12-31"/>
    <x v="4"/>
    <x v="6"/>
    <n v="31"/>
    <s v="15:08"/>
    <n v="4500"/>
    <x v="1"/>
    <s v="other"/>
    <x v="1"/>
    <s v="rc_acc_1781955063347_uxz4"/>
    <x v="4"/>
    <s v="advance"/>
    <s v="Advance Paid"/>
    <s v="คืนอุ้ย ของขวัญเด็ก 1430 ฝากซื้อ 1070 รองเท้า 2000"/>
    <m/>
    <s v="import"/>
    <s v=""/>
    <b v="0"/>
    <s v=""/>
  </r>
  <r>
    <s v="6e5ef7cf-6f77-4efd-bcc3-cec71f0697c4"/>
    <s v="2022-12-31"/>
    <x v="4"/>
    <x v="6"/>
    <n v="31"/>
    <s v="15:09"/>
    <n v="2000"/>
    <x v="0"/>
    <s v="other_1781955063348_yjhe"/>
    <x v="26"/>
    <s v="advance"/>
    <x v="2"/>
    <s v=""/>
    <m/>
    <s v="คืนอุ้ย รองเท้า mikki house"/>
    <m/>
    <s v="import"/>
    <s v=""/>
    <b v="0"/>
    <s v=""/>
  </r>
  <r>
    <s v="718cd2ce-6538-4441-8da2-b88243a567a0"/>
    <s v="2022-12-31"/>
    <x v="4"/>
    <x v="6"/>
    <n v="31"/>
    <s v="15:12"/>
    <n v="1430"/>
    <x v="1"/>
    <s v="other"/>
    <x v="1"/>
    <s v="rc_acc_1781955063347_0qmn"/>
    <x v="20"/>
    <s v="rc_acc_1781955063347_uxz4"/>
    <s v="SCB"/>
    <s v="-"/>
    <m/>
    <s v="import"/>
    <s v=""/>
    <b v="0"/>
    <s v=""/>
  </r>
  <r>
    <s v="15454732-d99e-456e-aaf7-d64d24aae325"/>
    <s v="2022-12-31"/>
    <x v="4"/>
    <x v="6"/>
    <n v="31"/>
    <s v="15:13"/>
    <n v="470"/>
    <x v="0"/>
    <s v="rc_cat_1781955063347_anhy_1781955063348_k5l1"/>
    <x v="16"/>
    <s v="advance"/>
    <x v="2"/>
    <s v=""/>
    <m/>
    <s v="butter sand"/>
    <m/>
    <s v="import"/>
    <s v=""/>
    <b v="0"/>
    <s v=""/>
  </r>
  <r>
    <s v="ad2ab90b-73f5-4bd0-8068-4ba0383e4538"/>
    <s v="2022-12-31"/>
    <x v="4"/>
    <x v="6"/>
    <n v="31"/>
    <s v="15:15"/>
    <n v="599"/>
    <x v="1"/>
    <s v="other"/>
    <x v="1"/>
    <s v="rc_acc_1781955063347_0qmn"/>
    <x v="20"/>
    <s v="rc_acc_1781955063347_uxz4"/>
    <s v="SCB"/>
    <s v="ขนม royce"/>
    <m/>
    <s v="import"/>
    <s v=""/>
    <b v="0"/>
    <s v=""/>
  </r>
  <r>
    <s v="d146e3a1-232f-4e6a-afb6-6620ee958455"/>
    <s v="2022-12-31"/>
    <x v="4"/>
    <x v="6"/>
    <n v="31"/>
    <s v="17:51"/>
    <n v="898"/>
    <x v="1"/>
    <s v="other"/>
    <x v="1"/>
    <s v="advance"/>
    <x v="2"/>
    <s v="rc_acc_1781955063347_uxz4"/>
    <s v="SCB"/>
    <s v="ตัดคืนโคคา clear"/>
    <m/>
    <s v="import"/>
    <s v=""/>
    <b v="0"/>
    <s v=""/>
  </r>
  <r>
    <s v="addf85aa-814d-411a-ba1d-ff93f51d9db9"/>
    <s v="2022-12-31"/>
    <x v="4"/>
    <x v="6"/>
    <n v="31"/>
    <s v="20:52"/>
    <n v="928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bc51c93f-7a92-45ea-8a6f-e74915470b5f"/>
    <s v="2022-12-30"/>
    <x v="4"/>
    <x v="6"/>
    <n v="30"/>
    <s v="20:53"/>
    <n v="3190"/>
    <x v="0"/>
    <s v="entertain_1781955063348_kx2f"/>
    <x v="0"/>
    <s v="rc_acc_1781955063350_i8ms"/>
    <x v="28"/>
    <s v=""/>
    <m/>
    <s v="s22 ultra(3/10)"/>
    <m/>
    <s v="import"/>
    <s v=""/>
    <b v="0"/>
    <s v=""/>
  </r>
  <r>
    <s v="68617afa-e972-460c-8915-ee0a24bd246f"/>
    <s v="2022-12-29"/>
    <x v="4"/>
    <x v="6"/>
    <n v="29"/>
    <s v="09:16"/>
    <n v="1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a8b5e13-d78f-409c-b175-0b91a23539ba"/>
    <s v="2022-12-29"/>
    <x v="4"/>
    <x v="6"/>
    <n v="29"/>
    <s v="12:16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c03e420-0305-46ee-963e-c9a533e29732"/>
    <s v="2022-12-29"/>
    <x v="4"/>
    <x v="6"/>
    <n v="29"/>
    <s v="14:17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36fa0ce-c814-473c-a847-9884623fb94d"/>
    <s v="2022-12-28"/>
    <x v="4"/>
    <x v="6"/>
    <n v="28"/>
    <s v="02:24"/>
    <n v="200000"/>
    <x v="1"/>
    <s v="other"/>
    <x v="1"/>
    <s v="kbank"/>
    <x v="0"/>
    <s v="rc_acc_1781955063349_yz2g"/>
    <s v="Investment"/>
    <s v="-"/>
    <m/>
    <s v="import"/>
    <s v=""/>
    <b v="0"/>
    <s v=""/>
  </r>
  <r>
    <s v="be1af43d-0600-4969-b24f-e64d1484d685"/>
    <s v="2022-12-28"/>
    <x v="4"/>
    <x v="6"/>
    <n v="28"/>
    <s v="15:30"/>
    <n v="715"/>
    <x v="0"/>
    <s v="rc_cat_1781955063347_5qjb_1781955063347_tezk"/>
    <x v="5"/>
    <s v="rc_acc_1781955063347_0qmn"/>
    <x v="20"/>
    <s v=""/>
    <m/>
    <s v="ต๋อง"/>
    <m/>
    <s v="import"/>
    <s v=""/>
    <b v="0"/>
    <s v=""/>
  </r>
  <r>
    <s v="377d2366-a8af-423f-815a-9409b636227a"/>
    <s v="2022-12-28"/>
    <x v="4"/>
    <x v="6"/>
    <n v="28"/>
    <s v="17:22"/>
    <n v="11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68d8dca-0350-40fc-ba87-f5ce2eca39b8"/>
    <s v="2022-12-28"/>
    <x v="4"/>
    <x v="6"/>
    <n v="28"/>
    <s v="21:24"/>
    <n v="1890"/>
    <x v="1"/>
    <s v="other"/>
    <x v="1"/>
    <s v="kbank"/>
    <x v="0"/>
    <s v="rc_acc_1781955063350_i8ms"/>
    <s v="Kbank onesiam"/>
    <s v="-"/>
    <m/>
    <s v="import"/>
    <s v=""/>
    <b v="0"/>
    <s v=""/>
  </r>
  <r>
    <s v="cbaa08d4-ab60-42d5-a55c-96ca65b5533f"/>
    <s v="2022-12-28"/>
    <x v="4"/>
    <x v="6"/>
    <n v="28"/>
    <s v="21:24"/>
    <n v="601"/>
    <x v="0"/>
    <s v="entertain_1781955063348_kx2f"/>
    <x v="0"/>
    <s v="kbank"/>
    <x v="0"/>
    <s v=""/>
    <m/>
    <s v="-"/>
    <m/>
    <s v="import"/>
    <s v=""/>
    <b v="0"/>
    <s v=""/>
  </r>
  <r>
    <s v="d6eff5d5-b8f4-4222-a4d4-c5d25646b75f"/>
    <s v="2022-12-28"/>
    <x v="4"/>
    <x v="6"/>
    <n v="28"/>
    <s v="21:30"/>
    <n v="2585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ead2402a-f8b8-48ed-9d4e-421360cead56"/>
    <s v="2022-12-28"/>
    <x v="4"/>
    <x v="6"/>
    <n v="28"/>
    <s v="21:30"/>
    <n v="699"/>
    <x v="0"/>
    <s v="rc_cat_1781955063347_5qjb_1781955063348_xqml"/>
    <x v="31"/>
    <s v="rc_acc_1781955063347_0qmn"/>
    <x v="20"/>
    <s v=""/>
    <m/>
    <s v="macro"/>
    <m/>
    <s v="import"/>
    <s v=""/>
    <b v="0"/>
    <s v=""/>
  </r>
  <r>
    <s v="d618c78f-c4ed-4aff-9cec-9a6bfe226dbc"/>
    <s v="2022-12-28"/>
    <x v="4"/>
    <x v="6"/>
    <n v="28"/>
    <s v="21:31"/>
    <n v="77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8515144-ec37-4cfd-bca4-e7814541ad5b"/>
    <s v="2022-12-28"/>
    <x v="4"/>
    <x v="6"/>
    <n v="28"/>
    <s v="21:36"/>
    <n v="180"/>
    <x v="0"/>
    <s v="rc_cat_1781955063347_5qjb_1781955063347_tezk"/>
    <x v="5"/>
    <s v="rc_acc_1781955063347_0qmn"/>
    <x v="20"/>
    <s v=""/>
    <m/>
    <s v="เขียง grab"/>
    <m/>
    <s v="import"/>
    <s v=""/>
    <b v="0"/>
    <s v=""/>
  </r>
  <r>
    <s v="28c2e32b-558a-456e-b952-7ebaa58afdea"/>
    <s v="2022-12-28"/>
    <x v="4"/>
    <x v="6"/>
    <n v="28"/>
    <s v="21:38"/>
    <n v="900"/>
    <x v="1"/>
    <s v="other"/>
    <x v="1"/>
    <s v="rc_acc_1781955063351_8khv"/>
    <x v="21"/>
    <s v="rc_acc_1781955063347_uxz4"/>
    <s v="SCB"/>
    <s v="-"/>
    <m/>
    <s v="import"/>
    <s v=""/>
    <b v="0"/>
    <s v=""/>
  </r>
  <r>
    <s v="98e65b72-6a14-4bd8-8cfe-a64e764b9c1e"/>
    <s v="2022-12-28"/>
    <x v="4"/>
    <x v="6"/>
    <n v="28"/>
    <s v="21:39"/>
    <n v="155"/>
    <x v="0"/>
    <s v="rc_cat_1781955063347_5qjb_1781955063347_tezk"/>
    <x v="5"/>
    <s v="rc_acc_1781955063351_8khv"/>
    <x v="21"/>
    <s v=""/>
    <m/>
    <s v="-"/>
    <m/>
    <s v="import"/>
    <s v=""/>
    <b v="0"/>
    <s v=""/>
  </r>
  <r>
    <s v="f1ac9689-e186-411f-95f8-c8d196275837"/>
    <s v="2022-12-28"/>
    <x v="4"/>
    <x v="6"/>
    <n v="28"/>
    <s v="21:43"/>
    <n v="900"/>
    <x v="0"/>
    <s v="rc_cat_1781955063347_5qjb_1781955063348_edf6"/>
    <x v="30"/>
    <s v="rc_acc_1781955063347_0qmn"/>
    <x v="20"/>
    <s v=""/>
    <m/>
    <s v="46353"/>
    <m/>
    <s v="import"/>
    <s v=""/>
    <b v="0"/>
    <s v=""/>
  </r>
  <r>
    <s v="b7ca245a-4448-4ea5-94d3-9430adca9c04"/>
    <s v="2022-12-27"/>
    <x v="4"/>
    <x v="6"/>
    <n v="27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94832687-eec0-4b94-a608-5e51c3336a9e"/>
    <s v="2022-12-27"/>
    <x v="4"/>
    <x v="6"/>
    <n v="27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5a0edbf8-2e5c-49b2-b215-a3c177a636ae"/>
    <s v="2022-12-27"/>
    <x v="4"/>
    <x v="6"/>
    <n v="27"/>
    <s v="00:00"/>
    <n v="653.89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51ef8adc-abcb-4c76-bb16-a5a3cb6d9234"/>
    <s v="2022-12-27"/>
    <x v="4"/>
    <x v="6"/>
    <n v="27"/>
    <s v="00:00"/>
    <n v="110.73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06ce09dd-e537-4b14-9c76-af98b6acb5fa"/>
    <s v="2022-12-27"/>
    <x v="4"/>
    <x v="6"/>
    <n v="27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3225684c-e02d-4063-bb96-3ca4e0f2d125"/>
    <s v="2022-12-27"/>
    <x v="4"/>
    <x v="6"/>
    <n v="27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3c8d69bc-d5bd-497e-b735-39dbd94e69d7"/>
    <s v="2022-12-27"/>
    <x v="4"/>
    <x v="6"/>
    <n v="27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1430ca56-cb09-4f6a-b8cc-67d64be520ba"/>
    <s v="2022-12-27"/>
    <x v="4"/>
    <x v="6"/>
    <n v="27"/>
    <s v="00:00"/>
    <n v="505.9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db3754e5-b6d4-4ddd-98db-222cb94d53c9"/>
    <s v="2022-12-27"/>
    <x v="4"/>
    <x v="6"/>
    <n v="27"/>
    <s v="07:50"/>
    <n v="200000"/>
    <x v="1"/>
    <s v="other"/>
    <x v="1"/>
    <s v="rc_acc_1781955063347_uxz4"/>
    <x v="4"/>
    <s v="kbank"/>
    <s v="KBank"/>
    <s v="-"/>
    <m/>
    <s v="import"/>
    <s v=""/>
    <b v="0"/>
    <s v=""/>
  </r>
  <r>
    <s v="535e05ee-a142-4af6-9a45-ea6d42ad3a05"/>
    <s v="2022-12-27"/>
    <x v="4"/>
    <x v="6"/>
    <n v="27"/>
    <s v="08:31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3f91078b-7b74-4b9f-841d-5e7512a7f327"/>
    <s v="2022-12-27"/>
    <x v="4"/>
    <x v="6"/>
    <n v="27"/>
    <s v="09:21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9616b21-a66b-494a-9637-43a1c6ed8939"/>
    <s v="2022-12-27"/>
    <x v="4"/>
    <x v="6"/>
    <n v="27"/>
    <s v="12:29"/>
    <n v="12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0371107-b261-4cfb-a854-b90c144c7a69"/>
    <s v="2022-12-27"/>
    <x v="4"/>
    <x v="6"/>
    <n v="27"/>
    <s v="18:29"/>
    <n v="3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cad9b0f-e2fd-4a5b-8dc5-b14c56e6f2b6"/>
    <s v="2022-12-27"/>
    <x v="4"/>
    <x v="6"/>
    <n v="27"/>
    <s v="21:26"/>
    <n v="1500"/>
    <x v="1"/>
    <s v="other"/>
    <x v="1"/>
    <s v="kbank"/>
    <x v="0"/>
    <s v="rc_acc_1781955063351_8khv"/>
    <s v="Bluewallet"/>
    <s v="-"/>
    <m/>
    <s v="import"/>
    <s v=""/>
    <b v="0"/>
    <s v=""/>
  </r>
  <r>
    <s v="280dc8d0-800a-452f-a274-a2f64b736c84"/>
    <s v="2022-12-26"/>
    <x v="4"/>
    <x v="6"/>
    <n v="26"/>
    <s v="08:20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392e7a6-40b3-49e7-9874-96844e47889a"/>
    <s v="2022-12-25"/>
    <x v="4"/>
    <x v="6"/>
    <n v="25"/>
    <s v="21:19"/>
    <n v="1286.56"/>
    <x v="2"/>
    <s v="income_1781955063347_zblt"/>
    <x v="17"/>
    <s v="rc_acc_1781955063347_uxz4"/>
    <x v="4"/>
    <s v=""/>
    <m/>
    <s v="-"/>
    <m/>
    <s v="import"/>
    <s v=""/>
    <b v="0"/>
    <s v=""/>
  </r>
  <r>
    <s v="07283756-5eeb-4669-8dca-98d826b63837"/>
    <s v="2022-12-25"/>
    <x v="4"/>
    <x v="6"/>
    <n v="25"/>
    <s v="21:34"/>
    <n v="970"/>
    <x v="1"/>
    <s v="other"/>
    <x v="1"/>
    <s v="rc_acc_1781955063347_sv7p"/>
    <x v="12"/>
    <s v="advance"/>
    <s v="Advance Paid"/>
    <s v="mk"/>
    <m/>
    <s v="import"/>
    <s v=""/>
    <b v="0"/>
    <s v=""/>
  </r>
  <r>
    <s v="09137823-0c9a-4af4-bc9a-c71a6da98090"/>
    <s v="2022-12-24"/>
    <x v="4"/>
    <x v="6"/>
    <n v="24"/>
    <s v="21:19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833e95ad-4458-40fc-9c9c-38798eaea1f2"/>
    <s v="2022-12-23"/>
    <x v="4"/>
    <x v="6"/>
    <n v="23"/>
    <s v="09:18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68fcc6f-07e3-4aab-ab44-798b07dea830"/>
    <s v="2022-12-23"/>
    <x v="4"/>
    <x v="6"/>
    <n v="23"/>
    <s v="09:28"/>
    <n v="11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8f9de29-d07d-4e51-84a2-32c5f5a40e4f"/>
    <s v="2022-12-23"/>
    <x v="4"/>
    <x v="6"/>
    <n v="23"/>
    <s v="12:19"/>
    <n v="7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1707c57-d75d-425c-a97a-e54a14b85b6f"/>
    <s v="2022-12-22"/>
    <x v="4"/>
    <x v="6"/>
    <n v="22"/>
    <s v="09:17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1e4635a-0a1f-4a93-937c-4538f7bc5731"/>
    <s v="2022-12-22"/>
    <x v="4"/>
    <x v="6"/>
    <n v="22"/>
    <s v="12:18"/>
    <n v="6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7150b15-97f2-484b-955a-62295368eb07"/>
    <s v="2022-12-20"/>
    <x v="4"/>
    <x v="6"/>
    <n v="20"/>
    <s v="09:17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c1285d6-e175-4e35-9280-9a9305f703f4"/>
    <s v="2022-12-20"/>
    <x v="4"/>
    <x v="6"/>
    <n v="20"/>
    <s v="12:28"/>
    <n v="23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908cd4c-2b94-4b50-a56e-42c754b12f6d"/>
    <s v="2022-12-20"/>
    <x v="4"/>
    <x v="6"/>
    <n v="20"/>
    <s v="12:28"/>
    <n v="1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42ac520-0384-4618-8ff6-7cc6d6e785b2"/>
    <s v="2022-12-20"/>
    <x v="4"/>
    <x v="6"/>
    <n v="20"/>
    <s v="21:36"/>
    <n v="1300"/>
    <x v="2"/>
    <s v="income_1781955063347_zblt"/>
    <x v="17"/>
    <s v="rc_acc_1781955063350_i8ms"/>
    <x v="28"/>
    <s v=""/>
    <m/>
    <s v="-"/>
    <m/>
    <s v="import"/>
    <s v=""/>
    <b v="0"/>
    <s v=""/>
  </r>
  <r>
    <s v="edb7160b-d691-4b96-a283-afe774d27465"/>
    <s v="2022-12-19"/>
    <x v="4"/>
    <x v="6"/>
    <n v="19"/>
    <s v="09:29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e6f94ba-4147-4fa6-ae47-5f0416fed952"/>
    <s v="2022-12-19"/>
    <x v="4"/>
    <x v="6"/>
    <n v="19"/>
    <s v="12:28"/>
    <n v="35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1cdc2d1-9805-48b1-8c9c-f185ea7ff21f"/>
    <s v="2022-12-18"/>
    <x v="4"/>
    <x v="6"/>
    <n v="18"/>
    <s v="12:28"/>
    <n v="200"/>
    <x v="0"/>
    <s v="rc_cat_1781955063347_s4sz_1781955063347_deos"/>
    <x v="6"/>
    <s v="rc_acc_1781955063347_uxz4"/>
    <x v="4"/>
    <s v=""/>
    <m/>
    <s v="ตัดผม"/>
    <m/>
    <s v="import"/>
    <s v=""/>
    <b v="0"/>
    <s v=""/>
  </r>
  <r>
    <s v="18f1810b-a35a-473b-8ec5-f45226574863"/>
    <s v="2022-12-18"/>
    <x v="4"/>
    <x v="6"/>
    <n v="18"/>
    <s v="15:29"/>
    <n v="25"/>
    <x v="0"/>
    <s v="rc_cat_1781955063347_s4sz_1781955063347_deos"/>
    <x v="6"/>
    <s v="rc_acc_1781955063347_uxz4"/>
    <x v="4"/>
    <s v=""/>
    <m/>
    <s v="ปากกา"/>
    <m/>
    <s v="import"/>
    <s v=""/>
    <b v="0"/>
    <s v=""/>
  </r>
  <r>
    <s v="b891a75c-0864-4c62-93bd-a50f21ec0a0c"/>
    <s v="2022-12-18"/>
    <x v="4"/>
    <x v="6"/>
    <n v="18"/>
    <s v="21:27"/>
    <n v="81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9bb2cbc-fb2b-4431-a83c-9ad2f9043104"/>
    <s v="2022-12-18"/>
    <x v="4"/>
    <x v="6"/>
    <n v="18"/>
    <s v="21:27"/>
    <n v="600"/>
    <x v="2"/>
    <s v="income_1781955063347_zblt"/>
    <x v="17"/>
    <s v="rc_acc_1781955063347_0qmn"/>
    <x v="20"/>
    <s v=""/>
    <m/>
    <s v="-"/>
    <m/>
    <s v="import"/>
    <s v=""/>
    <b v="0"/>
    <s v=""/>
  </r>
  <r>
    <s v="712df7b2-fe9b-4306-bc2b-915a1de011fc"/>
    <s v="2022-12-18"/>
    <x v="4"/>
    <x v="6"/>
    <n v="18"/>
    <s v="21:27"/>
    <n v="123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77ae738-993d-4d84-835c-3812ea840810"/>
    <s v="2022-12-16"/>
    <x v="4"/>
    <x v="6"/>
    <n v="16"/>
    <s v="09:11"/>
    <n v="8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ce3a69c-f4fc-4ebc-9a9e-8b3edc277ede"/>
    <s v="2022-12-16"/>
    <x v="4"/>
    <x v="6"/>
    <n v="16"/>
    <s v="20:24"/>
    <n v="519"/>
    <x v="0"/>
    <s v="rc_cat_1781955063347_5qjb_1781955063348_xqml"/>
    <x v="31"/>
    <s v="rc_acc_1781955063347_0qmn"/>
    <x v="20"/>
    <s v=""/>
    <m/>
    <s v="-"/>
    <m/>
    <s v="import"/>
    <s v=""/>
    <b v="0"/>
    <s v=""/>
  </r>
  <r>
    <s v="7fcfcaa1-5b64-4e5e-ad33-a74250ca703b"/>
    <s v="2022-12-16"/>
    <x v="4"/>
    <x v="6"/>
    <n v="16"/>
    <s v="20:25"/>
    <n v="1535"/>
    <x v="0"/>
    <s v="rc_cat_1781955063347_5qjb_1781955063347_tezk"/>
    <x v="5"/>
    <s v="rc_acc_1781955063347_0qmn"/>
    <x v="20"/>
    <s v=""/>
    <m/>
    <s v="james"/>
    <m/>
    <s v="import"/>
    <s v=""/>
    <b v="0"/>
    <s v=""/>
  </r>
  <r>
    <s v="33d68abe-276d-4912-a3cf-43e939e7fa7c"/>
    <s v="2022-12-16"/>
    <x v="4"/>
    <x v="6"/>
    <n v="16"/>
    <s v="20:25"/>
    <n v="534"/>
    <x v="0"/>
    <s v="rc_cat_1781955063347_5qjb_1781955063347_tezk"/>
    <x v="5"/>
    <s v="rc_acc_1781955063347_0qmn"/>
    <x v="20"/>
    <s v=""/>
    <m/>
    <s v="bar b gon"/>
    <m/>
    <s v="import"/>
    <s v=""/>
    <b v="0"/>
    <s v=""/>
  </r>
  <r>
    <s v="7ee57ef3-cbb5-44c3-9d94-f491a2ad644a"/>
    <s v="2022-12-16"/>
    <x v="4"/>
    <x v="6"/>
    <n v="16"/>
    <s v="20:25"/>
    <n v="926"/>
    <x v="0"/>
    <s v="rc_cat_1781955063347_5qjb_1781955063347_tezk"/>
    <x v="5"/>
    <s v="rc_acc_1781955063347_0qmn"/>
    <x v="20"/>
    <s v=""/>
    <m/>
    <s v="46333"/>
    <m/>
    <s v="import"/>
    <s v=""/>
    <b v="0"/>
    <s v=""/>
  </r>
  <r>
    <s v="d6e7a9dc-c2be-4c12-9063-a99147974cc5"/>
    <s v="2022-12-16"/>
    <x v="4"/>
    <x v="6"/>
    <n v="16"/>
    <s v="20:28"/>
    <n v="1452"/>
    <x v="0"/>
    <s v="entertain_1781955063347_8r8e"/>
    <x v="8"/>
    <s v="rc_acc_1781955063347_uxz4"/>
    <x v="4"/>
    <s v=""/>
    <m/>
    <s v="-"/>
    <m/>
    <s v="import"/>
    <s v=""/>
    <b v="0"/>
    <s v=""/>
  </r>
  <r>
    <s v="3b5b8c06-bbcf-49f9-b004-2701f83c4d60"/>
    <s v="2022-12-16"/>
    <x v="4"/>
    <x v="6"/>
    <n v="16"/>
    <s v="20:30"/>
    <n v="659"/>
    <x v="1"/>
    <s v="other"/>
    <x v="1"/>
    <s v="rc_acc_1781955063347_uxz4"/>
    <x v="4"/>
    <s v="advance"/>
    <s v="Advance Paid"/>
    <s v="momo ของวัด clear"/>
    <m/>
    <s v="import"/>
    <s v=""/>
    <b v="0"/>
    <s v=""/>
  </r>
  <r>
    <s v="60d6ebcb-e128-4549-ab82-4a5616e8daad"/>
    <s v="2022-12-16"/>
    <x v="4"/>
    <x v="6"/>
    <n v="16"/>
    <s v="20:30"/>
    <n v="1318"/>
    <x v="0"/>
    <s v="rc_cat_1781955063347_5qjb_1781955063347_tezk"/>
    <x v="5"/>
    <s v="rc_acc_1781955063347_0qmn"/>
    <x v="20"/>
    <s v=""/>
    <m/>
    <s v="momo"/>
    <m/>
    <s v="import"/>
    <s v=""/>
    <b v="0"/>
    <s v=""/>
  </r>
  <r>
    <s v="9c18b511-9532-4374-9ba6-52fc582f69f0"/>
    <s v="2022-12-16"/>
    <x v="4"/>
    <x v="6"/>
    <n v="16"/>
    <s v="20:36"/>
    <n v="1700"/>
    <x v="0"/>
    <s v="entertain_1781955063352_1jgx"/>
    <x v="10"/>
    <s v="rc_acc_1781955063347_uxz4"/>
    <x v="4"/>
    <s v=""/>
    <m/>
    <s v="-"/>
    <m/>
    <s v="import"/>
    <s v=""/>
    <b v="0"/>
    <s v=""/>
  </r>
  <r>
    <s v="2ff29fb8-f8be-4025-8d66-616d5b04f347"/>
    <s v="2022-12-16"/>
    <x v="4"/>
    <x v="6"/>
    <n v="16"/>
    <s v="21:23"/>
    <n v="449.68"/>
    <x v="2"/>
    <s v="income_1781955063347_zblt"/>
    <x v="17"/>
    <s v="kbank"/>
    <x v="0"/>
    <s v=""/>
    <m/>
    <s v="-"/>
    <m/>
    <s v="import"/>
    <s v=""/>
    <b v="0"/>
    <s v=""/>
  </r>
  <r>
    <s v="e87c2b7b-8e50-4d5d-8eea-f5fafc38fa23"/>
    <s v="2022-12-16"/>
    <x v="4"/>
    <x v="6"/>
    <n v="16"/>
    <s v="21:23"/>
    <n v="384"/>
    <x v="0"/>
    <s v="rc_cat_1781955063347_anhy_1781955063347_qnaz"/>
    <x v="4"/>
    <s v="kbank"/>
    <x v="0"/>
    <s v=""/>
    <m/>
    <s v="-"/>
    <m/>
    <s v="import"/>
    <s v=""/>
    <b v="0"/>
    <s v=""/>
  </r>
  <r>
    <s v="d70624d4-de09-4a76-b10e-d8c90ddb2251"/>
    <s v="2022-12-16"/>
    <x v="4"/>
    <x v="6"/>
    <n v="16"/>
    <s v="21:33"/>
    <n v="87.14"/>
    <x v="2"/>
    <s v="income_1781955063347_zblt"/>
    <x v="17"/>
    <s v="rc_acc_1781955063347_0qmn"/>
    <x v="20"/>
    <s v=""/>
    <m/>
    <s v="-"/>
    <m/>
    <s v="import"/>
    <s v=""/>
    <b v="0"/>
    <s v=""/>
  </r>
  <r>
    <s v="94ab7204-4a7b-4c9d-9c5e-18cb317106f9"/>
    <s v="2022-12-15"/>
    <x v="4"/>
    <x v="6"/>
    <n v="15"/>
    <s v="12:11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b99ad0c-7c1c-46f4-b317-e4fa62525cea"/>
    <s v="2022-12-15"/>
    <x v="4"/>
    <x v="6"/>
    <n v="15"/>
    <s v="13:11"/>
    <n v="10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e0455b8-c828-40e7-b4f4-326710c6ea4c"/>
    <s v="2022-12-14"/>
    <x v="4"/>
    <x v="6"/>
    <n v="14"/>
    <s v="07:12"/>
    <n v="419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6a63732d-ab3c-4317-839b-98c6b1e6c43e"/>
    <s v="2022-12-14"/>
    <x v="4"/>
    <x v="6"/>
    <n v="14"/>
    <s v="08:12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730ac2a-75ba-4f67-ba22-c5642e29ed2f"/>
    <s v="2022-12-14"/>
    <x v="4"/>
    <x v="6"/>
    <n v="14"/>
    <s v="08:25"/>
    <n v="13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cbd1112-d282-4f0a-b14a-55fb1fd6a1d7"/>
    <s v="2022-12-14"/>
    <x v="4"/>
    <x v="6"/>
    <n v="14"/>
    <s v="12:41"/>
    <n v="5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c69c7f4-5e74-4547-b578-64527d4a485d"/>
    <s v="2022-12-14"/>
    <x v="4"/>
    <x v="6"/>
    <n v="14"/>
    <s v="19:01"/>
    <n v="267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9074791-8065-4461-9c49-c45c79d7578c"/>
    <s v="2022-12-13"/>
    <x v="4"/>
    <x v="6"/>
    <n v="13"/>
    <s v="08:59"/>
    <n v="2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31b5e33-2bb1-4776-888a-fb01a4fa0740"/>
    <s v="2022-12-13"/>
    <x v="4"/>
    <x v="6"/>
    <n v="13"/>
    <s v="09:10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b4d8143-bbf0-49ef-9940-3946f86ade02"/>
    <s v="2022-12-13"/>
    <x v="4"/>
    <x v="6"/>
    <n v="13"/>
    <s v="12:59"/>
    <n v="183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b52b2bd-ae34-45cd-8d2b-a8a4308d0b2f"/>
    <s v="2022-12-13"/>
    <x v="4"/>
    <x v="6"/>
    <n v="13"/>
    <s v="23:12"/>
    <n v="659"/>
    <x v="1"/>
    <s v="other"/>
    <x v="1"/>
    <s v="advance"/>
    <x v="2"/>
    <s v="rc_acc_1781955063347_uxz4"/>
    <s v="SCB"/>
    <s v="clear"/>
    <m/>
    <s v="import"/>
    <s v=""/>
    <b v="0"/>
    <s v=""/>
  </r>
  <r>
    <s v="376584fd-bde5-4733-862a-50cc623d8374"/>
    <s v="2022-12-12"/>
    <x v="4"/>
    <x v="6"/>
    <n v="12"/>
    <s v="15:11"/>
    <n v="8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cee9c61-7412-4dbe-a3ea-803fcb9469e9"/>
    <s v="2022-12-11"/>
    <x v="4"/>
    <x v="6"/>
    <n v="11"/>
    <s v="15:16"/>
    <n v="8000"/>
    <x v="1"/>
    <s v="other"/>
    <x v="1"/>
    <s v="rc_acc_1781955063347_e3zv"/>
    <x v="16"/>
    <s v="rc_acc_1781955063347_uxz4"/>
    <s v="SCB"/>
    <s v="-"/>
    <m/>
    <s v="import"/>
    <s v=""/>
    <b v="0"/>
    <s v=""/>
  </r>
  <r>
    <s v="a0bebf86-6834-401b-8a1a-36be59625b2f"/>
    <s v="2022-12-11"/>
    <x v="4"/>
    <x v="6"/>
    <n v="11"/>
    <s v="16:58"/>
    <n v="13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bddad9a-ebb5-4276-9cc7-7c1f93e57a2b"/>
    <s v="2022-12-10"/>
    <x v="4"/>
    <x v="6"/>
    <n v="10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b30916a9-8655-4373-8809-82b04791ca30"/>
    <s v="2022-12-10"/>
    <x v="4"/>
    <x v="6"/>
    <n v="10"/>
    <s v="08:45"/>
    <n v="4323.35"/>
    <x v="0"/>
    <s v="rc_cat_1781955063347_04qb_1781955063347_wt5p"/>
    <x v="3"/>
    <s v="rc_acc_1781955063347_uxz4"/>
    <x v="4"/>
    <s v=""/>
    <m/>
    <s v="-"/>
    <m/>
    <s v="import"/>
    <s v=""/>
    <b v="0"/>
    <s v=""/>
  </r>
  <r>
    <s v="54fdb423-4dbc-4fb7-90ab-c83976e47b4c"/>
    <s v="2022-12-10"/>
    <x v="4"/>
    <x v="6"/>
    <n v="10"/>
    <s v="13:49"/>
    <n v="10000"/>
    <x v="2"/>
    <s v="income_1781955063347_5zxt"/>
    <x v="14"/>
    <s v="rc_acc_1781955063347_0qmn"/>
    <x v="20"/>
    <s v=""/>
    <m/>
    <s v="-"/>
    <m/>
    <s v="import"/>
    <s v=""/>
    <b v="0"/>
    <s v=""/>
  </r>
  <r>
    <s v="e418f71b-3d75-4ab2-a30d-662e66fd630e"/>
    <s v="2022-12-10"/>
    <x v="4"/>
    <x v="6"/>
    <n v="10"/>
    <s v="14:15"/>
    <n v="37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9f0524e-0c4d-4d32-a7bd-1d148c892e14"/>
    <s v="2022-12-10"/>
    <x v="4"/>
    <x v="6"/>
    <n v="10"/>
    <s v="17:15"/>
    <n v="583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2362fb74-2ba6-46b1-bf71-4d9bd431af87"/>
    <s v="2022-12-10"/>
    <x v="4"/>
    <x v="6"/>
    <n v="10"/>
    <s v="19:55"/>
    <n v="283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f641566-0186-4ce2-9cc5-2ea5cfdd6ad9"/>
    <s v="2022-12-09"/>
    <x v="4"/>
    <x v="6"/>
    <n v="9"/>
    <s v="08:23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287a747-652c-485c-b537-292284f55c31"/>
    <s v="2022-12-09"/>
    <x v="4"/>
    <x v="6"/>
    <n v="9"/>
    <s v="08:25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6739b2f-6f66-43df-8f0a-b61d116af2f3"/>
    <s v="2022-12-09"/>
    <x v="4"/>
    <x v="6"/>
    <n v="9"/>
    <s v="16:18"/>
    <n v="2438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e7e6bf5e-5cc1-4eba-978c-5e92bfeda771"/>
    <s v="2022-12-08"/>
    <x v="4"/>
    <x v="6"/>
    <n v="8"/>
    <s v="08:54"/>
    <n v="24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369986e6-c23b-4e94-a705-b8612c99c804"/>
    <s v="2022-12-08"/>
    <x v="4"/>
    <x v="6"/>
    <n v="8"/>
    <s v="09:26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b193ae7-d699-4bd3-9c50-d27cf3237e95"/>
    <s v="2022-12-08"/>
    <x v="4"/>
    <x v="6"/>
    <n v="8"/>
    <s v="12:06"/>
    <n v="6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3277193-85a7-4c2b-bc05-0079598a6840"/>
    <s v="2022-12-08"/>
    <x v="4"/>
    <x v="6"/>
    <n v="8"/>
    <s v="12:24"/>
    <n v="22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e01c61b-faa1-4384-81d7-d7f7ae3ee2d3"/>
    <s v="2022-12-07"/>
    <x v="4"/>
    <x v="6"/>
    <n v="7"/>
    <s v="08:28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95fec58-f0f1-4f40-9d37-b9fee354eef1"/>
    <s v="2022-12-07"/>
    <x v="4"/>
    <x v="6"/>
    <n v="7"/>
    <s v="12:2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f207b3f-e827-477a-9c16-b2ac94b6db4c"/>
    <s v="2022-12-07"/>
    <x v="4"/>
    <x v="6"/>
    <n v="7"/>
    <s v="12:27"/>
    <n v="5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0e40f3d-3f66-4500-9a75-e25d89fbfd53"/>
    <s v="2022-12-07"/>
    <x v="4"/>
    <x v="6"/>
    <n v="7"/>
    <s v="21:25"/>
    <n v="100"/>
    <x v="0"/>
    <s v="rc_cat_1781955063347_5qjb_1781955063347_tezk"/>
    <x v="5"/>
    <s v="kbank"/>
    <x v="0"/>
    <s v=""/>
    <m/>
    <s v="-"/>
    <m/>
    <s v="import"/>
    <s v=""/>
    <b v="0"/>
    <s v=""/>
  </r>
  <r>
    <s v="1b0633c0-3942-42c6-bdb7-bc417be179cb"/>
    <s v="2022-12-06"/>
    <x v="4"/>
    <x v="6"/>
    <n v="6"/>
    <s v="08:53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766a0ab-8ad2-4a8d-bf17-6b38370bcf39"/>
    <s v="2022-12-06"/>
    <x v="4"/>
    <x v="6"/>
    <n v="6"/>
    <s v="08:54"/>
    <n v="125"/>
    <x v="0"/>
    <s v="rc_cat_1781955063347_5qjb_1781955063348_xqml"/>
    <x v="31"/>
    <s v="rc_acc_1781955063347_0qmn"/>
    <x v="20"/>
    <s v=""/>
    <m/>
    <s v="-"/>
    <m/>
    <s v="import"/>
    <s v=""/>
    <b v="0"/>
    <s v=""/>
  </r>
  <r>
    <s v="80f134f8-3c03-49c3-a79c-a4318b942d86"/>
    <s v="2022-12-06"/>
    <x v="4"/>
    <x v="6"/>
    <n v="6"/>
    <s v="16:28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eed92ed-894d-4b0a-86a1-9cb07316e7a4"/>
    <s v="2022-12-06"/>
    <x v="4"/>
    <x v="6"/>
    <n v="6"/>
    <s v="19:54"/>
    <n v="1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37d9a672-7b12-465a-807a-cbe9be6bdda2"/>
    <s v="2022-12-04"/>
    <x v="4"/>
    <x v="6"/>
    <n v="4"/>
    <s v="10:39"/>
    <n v="1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b9c8656-c382-489b-98cb-2f004363c1e7"/>
    <s v="2022-12-02"/>
    <x v="4"/>
    <x v="6"/>
    <n v="2"/>
    <s v="08:30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0dadffd-9379-4d4c-be4e-911c26ff02d4"/>
    <s v="2022-12-02"/>
    <x v="4"/>
    <x v="6"/>
    <n v="2"/>
    <s v="12:49"/>
    <n v="8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2890c82-2bf6-4886-a788-d0442b46b10c"/>
    <s v="2022-12-02"/>
    <x v="4"/>
    <x v="6"/>
    <n v="2"/>
    <s v="20:29"/>
    <n v="55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bbd6ef9-bef6-44dc-b314-f25035017717"/>
    <s v="2022-12-02"/>
    <x v="4"/>
    <x v="6"/>
    <n v="2"/>
    <s v="20:30"/>
    <n v="9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7b399e7-8473-443c-8180-cfe2a2e50b50"/>
    <s v="2022-12-01"/>
    <x v="4"/>
    <x v="6"/>
    <n v="1"/>
    <s v="08:52"/>
    <n v="13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8625677-262a-4801-b487-93dc1873baa3"/>
    <s v="2022-12-01"/>
    <x v="4"/>
    <x v="6"/>
    <n v="1"/>
    <s v="09:19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3cd7c57-62f5-420b-a16c-34e9d22f3cfc"/>
    <s v="2022-12-01"/>
    <x v="4"/>
    <x v="6"/>
    <n v="1"/>
    <s v="10:45"/>
    <n v="2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73f3be4-06fb-43ef-a007-bd78cf8e971a"/>
    <s v="2022-12-01"/>
    <x v="4"/>
    <x v="6"/>
    <n v="1"/>
    <s v="12:32"/>
    <n v="12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0c3816c-2681-4f9c-91f3-dbe351453de1"/>
    <s v="2022-12-01"/>
    <x v="4"/>
    <x v="6"/>
    <n v="1"/>
    <s v="12:52"/>
    <n v="37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2dd6962-9581-4431-88fd-10eb1a7b6f9c"/>
    <s v="2022-12-01"/>
    <x v="4"/>
    <x v="6"/>
    <n v="1"/>
    <s v="12:52"/>
    <n v="1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535c77c-7a8e-49e6-8db1-7eb4488c3559"/>
    <s v="2022-11-30"/>
    <x v="4"/>
    <x v="7"/>
    <n v="30"/>
    <s v="09:20"/>
    <n v="723"/>
    <x v="1"/>
    <s v="other"/>
    <x v="1"/>
    <s v="rc_acc_1781955063347_0qmn"/>
    <x v="20"/>
    <s v="rc_acc_1781955063347_uxz4"/>
    <s v="SCB"/>
    <s v="-"/>
    <m/>
    <s v="import"/>
    <s v=""/>
    <b v="0"/>
    <s v=""/>
  </r>
  <r>
    <s v="567ba574-73f5-4e9f-90a7-e69b9b5c8864"/>
    <s v="2022-11-30"/>
    <x v="4"/>
    <x v="7"/>
    <n v="30"/>
    <s v="20:53"/>
    <n v="3190"/>
    <x v="0"/>
    <s v="entertain_1781955063348_kx2f"/>
    <x v="0"/>
    <s v="rc_acc_1781955063350_i8ms"/>
    <x v="28"/>
    <s v=""/>
    <m/>
    <s v="s22 ultra(2/10)"/>
    <m/>
    <s v="import"/>
    <s v=""/>
    <b v="0"/>
    <s v=""/>
  </r>
  <r>
    <s v="36e6262e-f44e-40e9-bb3c-c1fde54ff562"/>
    <s v="2022-11-30"/>
    <x v="4"/>
    <x v="7"/>
    <n v="30"/>
    <s v="21:25"/>
    <n v="130"/>
    <x v="0"/>
    <s v="rc_cat_1781955063347_5qjb_1781955063347_tezk"/>
    <x v="5"/>
    <s v="kbank"/>
    <x v="0"/>
    <s v=""/>
    <m/>
    <s v="-"/>
    <m/>
    <s v="import"/>
    <s v=""/>
    <b v="0"/>
    <s v=""/>
  </r>
  <r>
    <s v="9b595bb4-52fe-4b7e-838f-69e8b1ad064b"/>
    <s v="2022-11-29"/>
    <x v="4"/>
    <x v="7"/>
    <n v="29"/>
    <s v="08:59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a249041-d0ce-4594-bd10-dc744f3fe478"/>
    <s v="2022-11-29"/>
    <x v="4"/>
    <x v="7"/>
    <n v="29"/>
    <s v="12:45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78af365-207c-490a-bb96-34b424480298"/>
    <s v="2022-11-28"/>
    <x v="4"/>
    <x v="7"/>
    <n v="28"/>
    <s v="00:00"/>
    <n v="5000"/>
    <x v="0"/>
    <s v="rc_cat_1781955063347_anhy_1781955063347_qnaz"/>
    <x v="4"/>
    <s v="kbank"/>
    <x v="0"/>
    <s v=""/>
    <m/>
    <s v="-"/>
    <m/>
    <s v="import"/>
    <s v=""/>
    <b v="0"/>
    <s v=""/>
  </r>
  <r>
    <s v="96ded516-adbb-4759-b1cc-dfed5d5cf661"/>
    <s v="2022-11-28"/>
    <x v="4"/>
    <x v="7"/>
    <n v="28"/>
    <s v="09:00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3e1c2ba-4eec-4d96-8519-46db833dbad4"/>
    <s v="2022-11-28"/>
    <x v="4"/>
    <x v="7"/>
    <n v="28"/>
    <s v="12:31"/>
    <n v="6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094bcd3-9b91-469e-90f6-9f2d0ec09873"/>
    <s v="2022-11-28"/>
    <x v="4"/>
    <x v="7"/>
    <n v="28"/>
    <s v="15:38"/>
    <n v="300"/>
    <x v="0"/>
    <s v="rc_cat_1781955063347_anhy_1781955063348_k5l1"/>
    <x v="16"/>
    <s v="rc_acc_1781955063347_uxz4"/>
    <x v="4"/>
    <s v=""/>
    <m/>
    <s v="เงินฝ่าย"/>
    <m/>
    <s v="import"/>
    <s v=""/>
    <b v="0"/>
    <s v=""/>
  </r>
  <r>
    <s v="348946ab-7687-4349-bf5d-c2543f16f289"/>
    <s v="2022-11-28"/>
    <x v="4"/>
    <x v="7"/>
    <n v="28"/>
    <s v="18:44"/>
    <n v="209"/>
    <x v="1"/>
    <s v="other"/>
    <x v="1"/>
    <s v="rc_acc_1781955063353_k5yx"/>
    <x v="18"/>
    <s v="advance"/>
    <s v="Advance Paid"/>
    <s v="-"/>
    <m/>
    <s v="import"/>
    <s v=""/>
    <b v="0"/>
    <s v=""/>
  </r>
  <r>
    <s v="ec2b08eb-175b-432e-9f08-dbfa4afadfe4"/>
    <s v="2022-11-28"/>
    <x v="4"/>
    <x v="7"/>
    <n v="28"/>
    <s v="21:34"/>
    <n v="1713"/>
    <x v="1"/>
    <s v="other"/>
    <x v="1"/>
    <s v="rc_acc_1781955063347_sv7p"/>
    <x v="12"/>
    <s v="advance"/>
    <s v="Advance Paid"/>
    <s v="ค่าเนต"/>
    <m/>
    <s v="import"/>
    <s v=""/>
    <b v="0"/>
    <s v=""/>
  </r>
  <r>
    <s v="535e6670-815c-45d0-8f5d-2f131d0b2967"/>
    <s v="2022-11-27"/>
    <x v="4"/>
    <x v="7"/>
    <n v="27"/>
    <s v="12:30"/>
    <n v="11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4d745df-60dc-406f-b730-a3bbd7a7acd9"/>
    <s v="2022-11-27"/>
    <x v="4"/>
    <x v="7"/>
    <n v="27"/>
    <s v="14:51"/>
    <n v="186"/>
    <x v="1"/>
    <s v="other"/>
    <x v="1"/>
    <s v="rc_acc_1781955063348_w3gp"/>
    <x v="6"/>
    <s v="advance"/>
    <s v="Advance Paid"/>
    <s v="dounkin"/>
    <m/>
    <s v="import"/>
    <s v=""/>
    <b v="0"/>
    <s v=""/>
  </r>
  <r>
    <s v="1e011cad-c279-45fb-aaa0-4cb351ede8c0"/>
    <s v="2022-11-27"/>
    <x v="4"/>
    <x v="7"/>
    <n v="27"/>
    <s v="14:51"/>
    <n v="338"/>
    <x v="0"/>
    <s v="rc_cat_1781955063347_5qjb_1781955063348_xqml"/>
    <x v="31"/>
    <s v="rc_acc_1781955063347_0qmn"/>
    <x v="20"/>
    <s v=""/>
    <m/>
    <s v="-"/>
    <m/>
    <s v="import"/>
    <s v=""/>
    <b v="0"/>
    <s v=""/>
  </r>
  <r>
    <s v="0df38f58-424f-4cbb-992d-0ca6d2c19419"/>
    <s v="2022-11-27"/>
    <x v="4"/>
    <x v="7"/>
    <n v="27"/>
    <s v="19:49"/>
    <n v="14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f615aec-0c42-4365-85bf-8490abe252e2"/>
    <s v="2022-11-27"/>
    <x v="4"/>
    <x v="7"/>
    <n v="27"/>
    <s v="19:50"/>
    <n v="8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48d8edc-0090-4916-8b8e-a72bccf5c3f1"/>
    <s v="2022-11-26"/>
    <x v="4"/>
    <x v="7"/>
    <n v="26"/>
    <s v="10:44"/>
    <n v="165"/>
    <x v="1"/>
    <s v="other"/>
    <x v="1"/>
    <s v="kbank"/>
    <x v="0"/>
    <s v="rc_acc_1781955063347_uxz4"/>
    <s v="SCB"/>
    <s v="-"/>
    <m/>
    <s v="import"/>
    <s v=""/>
    <b v="0"/>
    <s v=""/>
  </r>
  <r>
    <s v="f7b854b2-a983-4fb1-87af-ae977c9f4eb0"/>
    <s v="2022-11-26"/>
    <x v="4"/>
    <x v="7"/>
    <n v="26"/>
    <s v="10:45"/>
    <n v="16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4303560-9b0f-4ccb-9e18-e2537e0bb90b"/>
    <s v="2022-11-26"/>
    <x v="4"/>
    <x v="7"/>
    <n v="26"/>
    <s v="10:46"/>
    <n v="746"/>
    <x v="0"/>
    <s v="other_1781955063348_yjhe"/>
    <x v="26"/>
    <s v="rc_acc_1781955063347_0qmn"/>
    <x v="20"/>
    <s v=""/>
    <m/>
    <s v="ของทำคุกกี้"/>
    <m/>
    <s v="import"/>
    <s v=""/>
    <b v="0"/>
    <s v=""/>
  </r>
  <r>
    <s v="6e8ac130-ef10-4067-a80b-b08e7033a7a1"/>
    <s v="2022-11-26"/>
    <x v="4"/>
    <x v="7"/>
    <n v="26"/>
    <s v="10:50"/>
    <n v="3190"/>
    <x v="1"/>
    <s v="other"/>
    <x v="1"/>
    <s v="kbank"/>
    <x v="0"/>
    <s v="rc_acc_1781955063350_i8ms"/>
    <s v="Kbank onesiam"/>
    <s v="-"/>
    <m/>
    <s v="import"/>
    <s v=""/>
    <b v="0"/>
    <s v=""/>
  </r>
  <r>
    <s v="828af14c-3cb2-4dee-b5b3-9d89f60bf14f"/>
    <s v="2022-11-26"/>
    <x v="4"/>
    <x v="7"/>
    <n v="26"/>
    <s v="10:51"/>
    <n v="105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d377141f-cdf7-432f-acac-28b7b6266f47"/>
    <s v="2022-11-26"/>
    <x v="4"/>
    <x v="7"/>
    <n v="26"/>
    <s v="10:56"/>
    <n v="549"/>
    <x v="1"/>
    <s v="other"/>
    <x v="1"/>
    <s v="rc_acc_1781955063347_uxz4"/>
    <x v="4"/>
    <s v="rc_acc_1781955063347_hv85"/>
    <s v="HOMEPRO"/>
    <s v="-"/>
    <m/>
    <s v="import"/>
    <s v=""/>
    <b v="0"/>
    <s v=""/>
  </r>
  <r>
    <s v="48840e21-4484-491d-b7ba-cbf90d9154cb"/>
    <s v="2022-11-26"/>
    <x v="4"/>
    <x v="7"/>
    <n v="26"/>
    <s v="10:57"/>
    <n v="225"/>
    <x v="2"/>
    <s v="other_1781955063347_5s7r"/>
    <x v="15"/>
    <s v="rc_acc_1781955063347_hv85"/>
    <x v="5"/>
    <s v=""/>
    <m/>
    <s v="Difference"/>
    <m/>
    <s v="import"/>
    <s v=""/>
    <b v="0"/>
    <s v=""/>
  </r>
  <r>
    <s v="ea738a27-212d-490e-b18f-324e85c7aa30"/>
    <s v="2022-11-26"/>
    <x v="4"/>
    <x v="7"/>
    <n v="26"/>
    <s v="11:00"/>
    <n v="57.21"/>
    <x v="0"/>
    <s v="other_1781955063348_27zj"/>
    <x v="0"/>
    <s v="rc_acc_1781955063347_sv7p"/>
    <x v="12"/>
    <s v=""/>
    <m/>
    <s v="-"/>
    <m/>
    <s v="import"/>
    <s v=""/>
    <b v="0"/>
    <s v=""/>
  </r>
  <r>
    <s v="35d7b394-3953-44dc-a6d8-99d04c58369c"/>
    <s v="2022-11-26"/>
    <x v="4"/>
    <x v="7"/>
    <n v="26"/>
    <s v="11:00"/>
    <n v="3677.45"/>
    <x v="0"/>
    <s v="other_1781955063348_27zj"/>
    <x v="0"/>
    <s v="rc_acc_1781955063347_sv7p"/>
    <x v="12"/>
    <s v=""/>
    <m/>
    <s v="datacamp"/>
    <m/>
    <s v="import"/>
    <s v=""/>
    <b v="0"/>
    <s v=""/>
  </r>
  <r>
    <s v="7afa6730-0008-4df5-8d46-54aad728715b"/>
    <s v="2022-11-26"/>
    <x v="4"/>
    <x v="7"/>
    <n v="26"/>
    <s v="11:05"/>
    <n v="14485.49"/>
    <x v="1"/>
    <s v="other"/>
    <x v="1"/>
    <s v="rc_acc_1781955063347_uxz4"/>
    <x v="4"/>
    <s v="rc_acc_1781955063347_sv7p"/>
    <s v="UOB Privilages"/>
    <s v="-"/>
    <m/>
    <s v="import"/>
    <s v=""/>
    <b v="0"/>
    <s v=""/>
  </r>
  <r>
    <s v="a9785504-45ef-4897-8252-902a5d3052ec"/>
    <s v="2022-11-26"/>
    <x v="4"/>
    <x v="7"/>
    <n v="26"/>
    <s v="11:27"/>
    <n v="293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4d96622-c86e-4c11-af8e-14d529f7f9e8"/>
    <s v="2022-11-26"/>
    <x v="4"/>
    <x v="7"/>
    <n v="26"/>
    <s v="11:27"/>
    <n v="963"/>
    <x v="0"/>
    <s v="rc_cat_1781955063347_5qjb_1781955063348_wpky"/>
    <x v="27"/>
    <s v="rc_acc_1781955063347_0qmn"/>
    <x v="20"/>
    <s v=""/>
    <m/>
    <s v="-"/>
    <m/>
    <s v="import"/>
    <s v=""/>
    <b v="0"/>
    <s v=""/>
  </r>
  <r>
    <s v="343acab2-992e-4b74-9598-4784d8d90294"/>
    <s v="2022-11-26"/>
    <x v="4"/>
    <x v="7"/>
    <n v="26"/>
    <s v="12:08"/>
    <n v="649.5"/>
    <x v="0"/>
    <s v="rc_cat_1781955063347_5qjb_1781955063347_tezk"/>
    <x v="5"/>
    <s v="rc_acc_1781955063347_0qmn"/>
    <x v="20"/>
    <s v=""/>
    <m/>
    <s v="ยอด 7-11 ถึง 26 nov"/>
    <m/>
    <s v="import"/>
    <s v=""/>
    <b v="0"/>
    <s v=""/>
  </r>
  <r>
    <s v="20df614b-f23e-46c9-b3cf-ea7e7759ce97"/>
    <s v="2022-11-26"/>
    <x v="4"/>
    <x v="7"/>
    <n v="26"/>
    <s v="12:17"/>
    <n v="768.5"/>
    <x v="1"/>
    <s v="other"/>
    <x v="1"/>
    <s v="rc_acc_1781955063347_uxz4"/>
    <x v="4"/>
    <s v="advance"/>
    <s v="Advance Paid"/>
    <s v="aka"/>
    <m/>
    <s v="import"/>
    <s v=""/>
    <b v="0"/>
    <s v=""/>
  </r>
  <r>
    <s v="93872b43-7453-4361-941f-afa62ea8e5c6"/>
    <s v="2022-11-26"/>
    <x v="4"/>
    <x v="7"/>
    <n v="26"/>
    <s v="17:15"/>
    <n v="34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008738f-d199-446f-9a73-84dc6837328c"/>
    <s v="2022-11-26"/>
    <x v="4"/>
    <x v="7"/>
    <n v="26"/>
    <s v="19:49"/>
    <n v="29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aea4ffd-d6cc-4686-9b19-7f6a454c835f"/>
    <s v="2022-11-25"/>
    <x v="4"/>
    <x v="7"/>
    <n v="25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1ebc978a-c03b-48a7-9d2b-a28054183b66"/>
    <s v="2022-11-25"/>
    <x v="4"/>
    <x v="7"/>
    <n v="25"/>
    <s v="00:00"/>
    <n v="615.36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37d2f0c0-0e14-4a04-b656-88b2df510292"/>
    <s v="2022-11-25"/>
    <x v="4"/>
    <x v="7"/>
    <n v="25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037d75ca-2e78-4efd-ae7f-1b52a355561a"/>
    <s v="2022-11-25"/>
    <x v="4"/>
    <x v="7"/>
    <n v="25"/>
    <s v="00:00"/>
    <n v="106.54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c35166e0-84bb-4a9c-ae72-5d9dedf833d3"/>
    <s v="2022-11-25"/>
    <x v="4"/>
    <x v="7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b1fdf993-fca8-446f-b4c1-a8a0e6191e2d"/>
    <s v="2022-11-25"/>
    <x v="4"/>
    <x v="7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590ce968-1aad-4f82-b3fb-06bad9554ac7"/>
    <s v="2022-11-25"/>
    <x v="4"/>
    <x v="7"/>
    <n v="25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af39e8dc-f7d2-4e04-b2fa-6539d8c3a2e1"/>
    <s v="2022-11-25"/>
    <x v="4"/>
    <x v="7"/>
    <n v="25"/>
    <s v="00:00"/>
    <n v="505.9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8f96f568-d4af-4155-b0e7-c4fb593af3ef"/>
    <s v="2022-11-24"/>
    <x v="4"/>
    <x v="7"/>
    <n v="24"/>
    <s v="09:01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08f9088-af58-4989-a69d-050657e5f1ac"/>
    <s v="2022-11-24"/>
    <x v="4"/>
    <x v="7"/>
    <n v="24"/>
    <s v="09:01"/>
    <n v="8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a64e454-50c3-4161-8273-9970e19e6023"/>
    <s v="2022-11-24"/>
    <x v="4"/>
    <x v="7"/>
    <n v="24"/>
    <s v="09:1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98b8727-9de3-4e37-879b-476980e660f2"/>
    <s v="2022-11-24"/>
    <x v="4"/>
    <x v="7"/>
    <n v="24"/>
    <s v="12:39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c63f9de-f7a4-478a-a8f0-46b4fb78d60f"/>
    <s v="2022-11-24"/>
    <x v="4"/>
    <x v="7"/>
    <n v="24"/>
    <s v="19:30"/>
    <n v="1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1b5556d-558a-4c37-841c-5f7b488bd795"/>
    <s v="2022-11-24"/>
    <x v="4"/>
    <x v="7"/>
    <n v="24"/>
    <s v="19:30"/>
    <n v="9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91989ba-5947-4898-bd8b-f672dc2221eb"/>
    <s v="2022-11-24"/>
    <x v="4"/>
    <x v="7"/>
    <n v="24"/>
    <s v="19:30"/>
    <n v="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bfee656-9b90-4034-a72c-b2d3ef7f3c75"/>
    <s v="2022-11-23"/>
    <x v="4"/>
    <x v="7"/>
    <n v="23"/>
    <s v="09:05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abbd6d5-037e-4c6e-a9b1-69d3587f0205"/>
    <s v="2022-11-23"/>
    <x v="4"/>
    <x v="7"/>
    <n v="23"/>
    <s v="09:55"/>
    <n v="3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1d97666-c875-402d-8b98-e8b025314b64"/>
    <s v="2022-11-23"/>
    <x v="4"/>
    <x v="7"/>
    <n v="23"/>
    <s v="10:34"/>
    <n v="267"/>
    <x v="0"/>
    <s v="rc_cat_1781955063347_5qjb_1781955063347_tezk"/>
    <x v="5"/>
    <s v="rc_acc_1781955063347_0qmn"/>
    <x v="20"/>
    <s v=""/>
    <m/>
    <s v="เสต็กหน้าแบงก์"/>
    <m/>
    <s v="import"/>
    <s v=""/>
    <b v="0"/>
    <s v=""/>
  </r>
  <r>
    <s v="bd502516-d5be-4203-84d5-53e063a736cc"/>
    <s v="2022-11-23"/>
    <x v="4"/>
    <x v="7"/>
    <n v="23"/>
    <s v="10:53"/>
    <n v="249"/>
    <x v="0"/>
    <s v="entertain_1781955063352_1jgx"/>
    <x v="10"/>
    <s v="rc_acc_1781955063347_hv85"/>
    <x v="5"/>
    <s v=""/>
    <m/>
    <s v="-"/>
    <m/>
    <s v="import"/>
    <s v=""/>
    <b v="0"/>
    <s v=""/>
  </r>
  <r>
    <s v="7e68d7a4-2c3b-4d12-96ab-16a41a83bda3"/>
    <s v="2022-11-23"/>
    <x v="4"/>
    <x v="7"/>
    <n v="23"/>
    <s v="12:1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f2d43ae-50b5-4519-9ac7-375adfdf0da3"/>
    <s v="2022-11-23"/>
    <x v="4"/>
    <x v="7"/>
    <n v="23"/>
    <s v="12:56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f48935d-2f34-4057-9e9a-f9643f04418f"/>
    <s v="2022-11-23"/>
    <x v="4"/>
    <x v="7"/>
    <n v="23"/>
    <s v="21:25"/>
    <n v="1910"/>
    <x v="0"/>
    <s v="rc_cat_1781955063347_s4sz_1781955063347_9tpp"/>
    <x v="9"/>
    <s v="rc_acc_1781955063347_uxz4"/>
    <x v="4"/>
    <s v=""/>
    <m/>
    <s v="-"/>
    <m/>
    <s v="import"/>
    <s v=""/>
    <b v="0"/>
    <s v=""/>
  </r>
  <r>
    <s v="2d27c5a2-d791-4955-9beb-aebfbda74e65"/>
    <s v="2022-11-23"/>
    <x v="4"/>
    <x v="7"/>
    <n v="23"/>
    <s v="22:34"/>
    <n v="859"/>
    <x v="0"/>
    <s v="rc_cat_1781955063347_5qjb_1781955063348_wpky"/>
    <x v="27"/>
    <s v="rc_acc_1781955063347_0qmn"/>
    <x v="20"/>
    <s v=""/>
    <m/>
    <s v="แขวนทีวี"/>
    <m/>
    <s v="import"/>
    <s v=""/>
    <b v="0"/>
    <s v=""/>
  </r>
  <r>
    <s v="0c78c2ad-2105-4ba6-be24-b4747fc3c41b"/>
    <s v="2022-11-22"/>
    <x v="4"/>
    <x v="7"/>
    <n v="22"/>
    <s v="08:54"/>
    <n v="6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ce8be66-2a0b-4c72-a32c-dcef4c2b039b"/>
    <s v="2022-11-22"/>
    <x v="4"/>
    <x v="7"/>
    <n v="22"/>
    <s v="09:54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1dc3ec1-4461-4826-9d94-da1b37f68ec3"/>
    <s v="2022-11-22"/>
    <x v="4"/>
    <x v="7"/>
    <n v="22"/>
    <s v="14:08"/>
    <n v="7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687a665-b18b-47fe-bf77-a27ddf560529"/>
    <s v="2022-11-22"/>
    <x v="4"/>
    <x v="7"/>
    <n v="22"/>
    <s v="14:08"/>
    <n v="134"/>
    <x v="0"/>
    <s v="entertain_1781955063348_kx2f"/>
    <x v="0"/>
    <s v="rc_acc_1781955063347_uxz4"/>
    <x v="4"/>
    <s v=""/>
    <m/>
    <s v="-"/>
    <m/>
    <s v="import"/>
    <s v=""/>
    <b v="0"/>
    <s v=""/>
  </r>
  <r>
    <s v="e33a10e8-7f45-4700-8f94-1dee6769397d"/>
    <s v="2022-11-21"/>
    <x v="4"/>
    <x v="7"/>
    <n v="21"/>
    <s v="09:10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d8ffeae-22a6-4b14-9f19-14862c099b7c"/>
    <s v="2022-11-21"/>
    <x v="4"/>
    <x v="7"/>
    <n v="21"/>
    <s v="10:38"/>
    <n v="9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220aeb71-caf6-46f1-8379-ebebe2f59bea"/>
    <s v="2022-11-21"/>
    <x v="4"/>
    <x v="7"/>
    <n v="21"/>
    <s v="12:57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c37f683-4c9d-4dcb-9e27-92124d097da1"/>
    <s v="2022-11-20"/>
    <x v="4"/>
    <x v="7"/>
    <n v="20"/>
    <s v="07:53"/>
    <n v="1795.33"/>
    <x v="1"/>
    <s v="other"/>
    <x v="1"/>
    <s v="rc_acc_1781955063347_sv7p"/>
    <x v="12"/>
    <s v="advance"/>
    <s v="Advance Paid"/>
    <s v="โคคา"/>
    <m/>
    <s v="import"/>
    <s v=""/>
    <b v="0"/>
    <s v=""/>
  </r>
  <r>
    <s v="39065748-db99-44da-bfc3-b56428e1db4d"/>
    <s v="2022-11-20"/>
    <x v="4"/>
    <x v="7"/>
    <n v="20"/>
    <s v="11:52"/>
    <n v="73"/>
    <x v="0"/>
    <s v="rc_cat_1781955063347_5qjb_1781955063348_wpky"/>
    <x v="27"/>
    <s v="rc_acc_1781955063347_0qmn"/>
    <x v="20"/>
    <s v=""/>
    <m/>
    <s v="-"/>
    <m/>
    <s v="import"/>
    <s v=""/>
    <b v="0"/>
    <s v=""/>
  </r>
  <r>
    <s v="259bccbc-14c7-4615-af1c-0bfea4319928"/>
    <s v="2022-11-20"/>
    <x v="4"/>
    <x v="7"/>
    <n v="20"/>
    <s v="16:38"/>
    <n v="4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98aac73-6ace-41c5-a0af-adec70e3210d"/>
    <s v="2022-11-20"/>
    <x v="4"/>
    <x v="7"/>
    <n v="20"/>
    <s v="17:48"/>
    <n v="898"/>
    <x v="1"/>
    <s v="other"/>
    <x v="1"/>
    <s v="rc_acc_1781955063347_sv7p"/>
    <x v="12"/>
    <s v="advance"/>
    <s v="Advance Paid"/>
    <s v="โคคาอุ้ย เคลีย"/>
    <m/>
    <s v="import"/>
    <s v=""/>
    <b v="0"/>
    <s v=""/>
  </r>
  <r>
    <s v="d02a1f05-cc16-4989-98ee-494a3a685291"/>
    <s v="2022-11-19"/>
    <x v="4"/>
    <x v="7"/>
    <n v="19"/>
    <s v="11:02"/>
    <n v="9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ae79e92-3170-4698-b268-d8a3e26655d9"/>
    <s v="2022-11-19"/>
    <x v="4"/>
    <x v="7"/>
    <n v="19"/>
    <s v="15:00"/>
    <n v="400"/>
    <x v="1"/>
    <s v="other"/>
    <x v="1"/>
    <s v="kbank"/>
    <x v="0"/>
    <s v="rc_acc_1781955063347_e3zv"/>
    <s v="Cash"/>
    <s v="-"/>
    <m/>
    <s v="import"/>
    <s v=""/>
    <b v="0"/>
    <s v=""/>
  </r>
  <r>
    <s v="ce1288a1-8909-4ba5-9150-946948f4b77f"/>
    <s v="2022-11-19"/>
    <x v="4"/>
    <x v="7"/>
    <n v="19"/>
    <s v="15:00"/>
    <n v="45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5221d0b2-12df-4b1a-b3ad-dce50783783c"/>
    <s v="2022-11-19"/>
    <x v="4"/>
    <x v="7"/>
    <n v="19"/>
    <s v="17:26"/>
    <n v="682"/>
    <x v="0"/>
    <s v="rc_cat_1781955063347_5qjb_1781955063347_tezk"/>
    <x v="5"/>
    <s v="rc_acc_1781955063347_0qmn"/>
    <x v="20"/>
    <s v=""/>
    <m/>
    <s v="yakiniku like"/>
    <m/>
    <s v="import"/>
    <s v=""/>
    <b v="0"/>
    <s v=""/>
  </r>
  <r>
    <s v="8a50b632-253a-4b7b-ac7a-2100832795e7"/>
    <s v="2022-11-18"/>
    <x v="4"/>
    <x v="7"/>
    <n v="18"/>
    <s v="09:39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133b981-1915-4e37-b3bc-2ad24fe06cd9"/>
    <s v="2022-11-18"/>
    <x v="4"/>
    <x v="7"/>
    <n v="18"/>
    <s v="09:52"/>
    <n v="7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06c1baa-aafb-41de-af0f-8a5b827c7c20"/>
    <s v="2022-11-18"/>
    <x v="4"/>
    <x v="7"/>
    <n v="18"/>
    <s v="12:53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995720b-04d8-4ca4-a5a1-555240aa02c8"/>
    <s v="2022-11-18"/>
    <x v="4"/>
    <x v="7"/>
    <n v="18"/>
    <s v="20:21"/>
    <n v="127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69e47a4-3478-4282-9d10-3a084e92ba54"/>
    <s v="2022-11-17"/>
    <x v="4"/>
    <x v="7"/>
    <n v="17"/>
    <s v="10:39"/>
    <n v="4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8dea2b8-01f4-4733-b67e-7ba50f84eeed"/>
    <s v="2022-11-17"/>
    <x v="4"/>
    <x v="7"/>
    <n v="17"/>
    <s v="16:55"/>
    <n v="5000"/>
    <x v="1"/>
    <s v="other"/>
    <x v="1"/>
    <s v="rc_acc_1781955063347_uxz4"/>
    <x v="4"/>
    <s v="rc_acc_1781955063349_qn1n"/>
    <s v="Loan"/>
    <s v="Yuang"/>
    <m/>
    <s v="import"/>
    <s v=""/>
    <b v="0"/>
    <s v=""/>
  </r>
  <r>
    <s v="44266662-993d-45ec-a34c-dc2308966e6d"/>
    <s v="2022-11-17"/>
    <x v="4"/>
    <x v="7"/>
    <n v="17"/>
    <s v="18:54"/>
    <n v="463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34f3629-166b-4acb-b7dd-6936861d549a"/>
    <s v="2022-11-17"/>
    <x v="4"/>
    <x v="7"/>
    <n v="17"/>
    <s v="19:59"/>
    <n v="8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8bbfd30-6cb4-41ea-a0b9-d7ca332e5fa9"/>
    <s v="2022-11-15"/>
    <x v="4"/>
    <x v="7"/>
    <n v="15"/>
    <s v="09:24"/>
    <n v="2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6e1f71c-fea6-4c71-a4db-f8f9e8142b3f"/>
    <s v="2022-11-15"/>
    <x v="4"/>
    <x v="7"/>
    <n v="15"/>
    <s v="12:46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78859b1-ca87-45b0-b3e6-4c35d1151a21"/>
    <s v="2022-11-15"/>
    <x v="4"/>
    <x v="7"/>
    <n v="15"/>
    <s v="12:53"/>
    <n v="2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59d91d7-1c59-4c6f-88ca-83335b2ba2ce"/>
    <s v="2022-11-15"/>
    <x v="4"/>
    <x v="7"/>
    <n v="15"/>
    <s v="18:41"/>
    <n v="294"/>
    <x v="0"/>
    <s v="rc_cat_1781955063347_5qjb_1781955063347_tezk"/>
    <x v="5"/>
    <s v="rc_acc_1781955063347_0qmn"/>
    <x v="20"/>
    <s v=""/>
    <m/>
    <s v="เสต็กหน้าแบงก์"/>
    <m/>
    <s v="import"/>
    <s v=""/>
    <b v="0"/>
    <s v=""/>
  </r>
  <r>
    <s v="b79dd19f-2b4a-47b6-92ae-ff9728dbee67"/>
    <s v="2022-11-14"/>
    <x v="4"/>
    <x v="7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43b26276-2104-4bd4-802c-25937062c0c6"/>
    <s v="2022-11-14"/>
    <x v="4"/>
    <x v="7"/>
    <n v="14"/>
    <s v="07:51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8fb7eb17-8a67-4aef-bede-e44c4cd72bca"/>
    <s v="2022-11-14"/>
    <x v="4"/>
    <x v="7"/>
    <n v="14"/>
    <s v="12:51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e37c35d-16d3-4935-9f77-c6f7e02a0cb9"/>
    <s v="2022-11-14"/>
    <x v="4"/>
    <x v="7"/>
    <n v="14"/>
    <s v="12:52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3c3d420-8bf9-487f-8057-ea491200e898"/>
    <s v="2022-11-14"/>
    <x v="4"/>
    <x v="7"/>
    <n v="14"/>
    <s v="21:00"/>
    <n v="26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e738c8f-7449-4508-b042-ef3f95c1204f"/>
    <s v="2022-11-13"/>
    <x v="4"/>
    <x v="7"/>
    <n v="13"/>
    <s v="11:25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8b4a3ff-429e-4dc4-9849-3f5a248a0abd"/>
    <s v="2022-11-13"/>
    <x v="4"/>
    <x v="7"/>
    <n v="13"/>
    <s v="13:38"/>
    <n v="54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e7911de-abd0-487b-88a7-373903457a1b"/>
    <s v="2022-11-13"/>
    <x v="4"/>
    <x v="7"/>
    <n v="13"/>
    <s v="15:30"/>
    <n v="100"/>
    <x v="0"/>
    <s v="rc_cat_1781955063347_s4sz_1781955063347_deos"/>
    <x v="6"/>
    <s v="rc_acc_1781955063347_uxz4"/>
    <x v="4"/>
    <s v=""/>
    <m/>
    <s v="-"/>
    <m/>
    <s v="import"/>
    <s v=""/>
    <b v="0"/>
    <s v=""/>
  </r>
  <r>
    <s v="0b4880e7-f6a9-4060-8430-11943ae16399"/>
    <s v="2022-11-13"/>
    <x v="4"/>
    <x v="7"/>
    <n v="13"/>
    <s v="18:30"/>
    <n v="73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eae200b1-65b9-4e70-bd79-adc8912b8e0a"/>
    <s v="2022-11-12"/>
    <x v="4"/>
    <x v="7"/>
    <n v="12"/>
    <s v="12:34"/>
    <n v="180"/>
    <x v="0"/>
    <s v="entertain_1781955063348_gj0i"/>
    <x v="25"/>
    <s v="rc_acc_1781955063347_uxz4"/>
    <x v="4"/>
    <s v=""/>
    <m/>
    <s v="-"/>
    <m/>
    <s v="import"/>
    <s v=""/>
    <b v="0"/>
    <s v=""/>
  </r>
  <r>
    <s v="c84872ea-c88e-466e-bde9-2994a265d9ba"/>
    <s v="2022-11-12"/>
    <x v="4"/>
    <x v="7"/>
    <n v="12"/>
    <s v="13:14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33c88c6-5e1b-47e2-9dc1-3c60fe6afca0"/>
    <s v="2022-11-12"/>
    <x v="4"/>
    <x v="7"/>
    <n v="12"/>
    <s v="13:20"/>
    <n v="450"/>
    <x v="0"/>
    <s v="rc_cat_1781955063347_s4sz_1781955063347_deos"/>
    <x v="6"/>
    <s v="rc_acc_1781955063347_uxz4"/>
    <x v="4"/>
    <s v=""/>
    <m/>
    <s v="-"/>
    <m/>
    <s v="import"/>
    <s v=""/>
    <b v="0"/>
    <s v=""/>
  </r>
  <r>
    <s v="c678cee5-28fe-48a3-b9d7-c91bdac051df"/>
    <s v="2022-11-12"/>
    <x v="4"/>
    <x v="7"/>
    <n v="12"/>
    <s v="13:22"/>
    <n v="579"/>
    <x v="0"/>
    <s v="entertain_1781955063348_kx2f"/>
    <x v="0"/>
    <s v="rc_acc_1781955063347_0qmn"/>
    <x v="20"/>
    <s v=""/>
    <m/>
    <s v="blackpanthet popcorn"/>
    <m/>
    <s v="import"/>
    <s v=""/>
    <b v="0"/>
    <s v=""/>
  </r>
  <r>
    <s v="94a4e49f-66ab-42c3-87e9-9e8f569edd21"/>
    <s v="2022-11-12"/>
    <x v="4"/>
    <x v="7"/>
    <n v="12"/>
    <s v="13:28"/>
    <n v="2030"/>
    <x v="0"/>
    <s v="rc_cat_1781955063347_s4sz_1781955063347_deos"/>
    <x v="6"/>
    <s v="kbank"/>
    <x v="0"/>
    <s v=""/>
    <m/>
    <s v="-"/>
    <m/>
    <s v="import"/>
    <s v=""/>
    <b v="0"/>
    <s v=""/>
  </r>
  <r>
    <s v="eec2a4e5-397f-402f-b270-a42c10ba0973"/>
    <s v="2022-11-12"/>
    <x v="4"/>
    <x v="7"/>
    <n v="12"/>
    <s v="15:42"/>
    <n v="600"/>
    <x v="0"/>
    <s v="rc_cat_1781955063347_5qjb_1781955063347_tezk"/>
    <x v="5"/>
    <s v="rc_acc_1781955063347_0qmn"/>
    <x v="20"/>
    <s v=""/>
    <m/>
    <s v="ตี๋น้อย"/>
    <m/>
    <s v="import"/>
    <s v=""/>
    <b v="0"/>
    <s v=""/>
  </r>
  <r>
    <s v="7889db17-4ef0-4e1d-aa22-dfb191f99e48"/>
    <s v="2022-11-12"/>
    <x v="4"/>
    <x v="7"/>
    <n v="12"/>
    <s v="15:43"/>
    <n v="298"/>
    <x v="0"/>
    <s v="entertain_1781955063348_kx2f"/>
    <x v="0"/>
    <s v="rc_acc_1781955063347_uxz4"/>
    <x v="4"/>
    <s v=""/>
    <m/>
    <s v="-"/>
    <m/>
    <s v="import"/>
    <s v=""/>
    <b v="0"/>
    <s v=""/>
  </r>
  <r>
    <s v="5cfb6239-a914-4025-88f6-5cd845456040"/>
    <s v="2022-11-12"/>
    <x v="4"/>
    <x v="7"/>
    <n v="12"/>
    <s v="15:43"/>
    <n v="600"/>
    <x v="1"/>
    <s v="other"/>
    <x v="1"/>
    <s v="rc_acc_1781955063347_e3zv"/>
    <x v="16"/>
    <s v="rc_acc_1781955063347_uxz4"/>
    <s v="SCB"/>
    <s v="-"/>
    <m/>
    <s v="import"/>
    <s v=""/>
    <b v="0"/>
    <s v=""/>
  </r>
  <r>
    <s v="eb2af7ae-2e74-4ea8-904c-b12837ccdd14"/>
    <s v="2022-11-11"/>
    <x v="4"/>
    <x v="7"/>
    <n v="11"/>
    <s v="00:25"/>
    <n v="249"/>
    <x v="1"/>
    <s v="other"/>
    <x v="1"/>
    <s v="rc_acc_1781955063347_omhz"/>
    <x v="29"/>
    <s v="advance"/>
    <s v="Advance Paid"/>
    <s v="-"/>
    <m/>
    <s v="import"/>
    <s v=""/>
    <b v="0"/>
    <s v=""/>
  </r>
  <r>
    <s v="55bcdd4a-720f-4a2a-ba47-30e765d18759"/>
    <s v="2022-11-11"/>
    <x v="4"/>
    <x v="7"/>
    <n v="11"/>
    <s v="00:34"/>
    <n v="714"/>
    <x v="0"/>
    <s v="rc_cat_1781955063347_s4sz_1781955063347_deos"/>
    <x v="6"/>
    <s v="rc_acc_1781955063347_uxz4"/>
    <x v="4"/>
    <s v=""/>
    <m/>
    <s v="-"/>
    <m/>
    <s v="import"/>
    <s v=""/>
    <b v="0"/>
    <s v=""/>
  </r>
  <r>
    <s v="61f3e8eb-582a-4852-b98f-256be8b5f5db"/>
    <s v="2022-11-11"/>
    <x v="4"/>
    <x v="7"/>
    <n v="11"/>
    <s v="00:35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37fe7447-1f56-4c0b-a889-9ca56a3991d6"/>
    <s v="2022-11-11"/>
    <x v="4"/>
    <x v="7"/>
    <n v="11"/>
    <s v="08:52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162b2df-77a3-4f73-b2cb-97a2ee48c1e4"/>
    <s v="2022-11-11"/>
    <x v="4"/>
    <x v="7"/>
    <n v="11"/>
    <s v="12:24"/>
    <n v="1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3054efb-0a2c-49bd-bada-926899c9c98c"/>
    <s v="2022-11-11"/>
    <x v="4"/>
    <x v="7"/>
    <n v="11"/>
    <s v="18:54"/>
    <n v="726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7f612bd3-4114-4250-83de-de30dcdd3109"/>
    <s v="2022-11-11"/>
    <x v="4"/>
    <x v="7"/>
    <n v="11"/>
    <s v="19:33"/>
    <n v="8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17085e0-1208-43ab-b31d-39f32cd2bb88"/>
    <s v="2022-11-11"/>
    <x v="4"/>
    <x v="7"/>
    <n v="11"/>
    <s v="20:07"/>
    <n v="260"/>
    <x v="0"/>
    <s v="rc_cat_1781955063347_5qjb_1781955063348_xqml"/>
    <x v="31"/>
    <s v="rc_acc_1781955063347_0qmn"/>
    <x v="20"/>
    <s v=""/>
    <m/>
    <s v="-"/>
    <m/>
    <s v="import"/>
    <s v=""/>
    <b v="0"/>
    <s v=""/>
  </r>
  <r>
    <s v="0af43260-a71c-4c75-8d87-525e0ff145f4"/>
    <s v="2022-11-11"/>
    <x v="4"/>
    <x v="7"/>
    <n v="11"/>
    <s v="20:40"/>
    <n v="69"/>
    <x v="0"/>
    <s v="rc_cat_1781955063347_5qjb_1781955063347_tezk"/>
    <x v="5"/>
    <s v="rc_acc_1781955063347_0qmn"/>
    <x v="20"/>
    <s v=""/>
    <m/>
    <s v="aprils bakery"/>
    <m/>
    <s v="import"/>
    <s v=""/>
    <b v="0"/>
    <s v=""/>
  </r>
  <r>
    <s v="56eb0bf0-eacb-40b7-8d17-d8e68c1ea2c0"/>
    <s v="2022-11-10"/>
    <x v="4"/>
    <x v="7"/>
    <n v="10"/>
    <s v="16:46"/>
    <n v="500"/>
    <x v="1"/>
    <s v="other"/>
    <x v="1"/>
    <s v="kbank"/>
    <x v="0"/>
    <s v="rc_acc_1781955063347_uxz4"/>
    <s v="SCB"/>
    <s v="ptt blue connect"/>
    <m/>
    <s v="import"/>
    <s v=""/>
    <b v="0"/>
    <s v=""/>
  </r>
  <r>
    <s v="1e3522e9-61dd-4f1e-87f5-f5591e6d5da7"/>
    <s v="2022-11-10"/>
    <x v="4"/>
    <x v="7"/>
    <n v="10"/>
    <s v="16:48"/>
    <n v="56"/>
    <x v="1"/>
    <s v="other"/>
    <x v="1"/>
    <s v="kbank"/>
    <x v="0"/>
    <s v="rc_acc_1781955063347_uxz4"/>
    <s v="SCB"/>
    <s v="-"/>
    <m/>
    <s v="import"/>
    <s v=""/>
    <b v="0"/>
    <s v=""/>
  </r>
  <r>
    <s v="86b051a2-2aec-4634-b3d0-88b73798d68f"/>
    <s v="2022-11-10"/>
    <x v="4"/>
    <x v="7"/>
    <n v="10"/>
    <s v="17:16"/>
    <n v="1814"/>
    <x v="0"/>
    <s v="rc_cat_1781955063347_5qjb_1781955063348_xqml"/>
    <x v="31"/>
    <s v="rc_acc_1781955063347_0qmn"/>
    <x v="20"/>
    <s v=""/>
    <m/>
    <s v="lotus ตั้งแต่ก่อนไป JP"/>
    <m/>
    <s v="import"/>
    <s v=""/>
    <b v="0"/>
    <s v=""/>
  </r>
  <r>
    <s v="fbbed855-b00f-43a5-82be-aa10934142a8"/>
    <s v="2022-11-10"/>
    <x v="4"/>
    <x v="7"/>
    <n v="10"/>
    <s v="17:17"/>
    <n v="460"/>
    <x v="0"/>
    <s v="rc_cat_1781955063347_5qjb_1781955063347_tezk"/>
    <x v="5"/>
    <s v="rc_acc_1781955063347_0qmn"/>
    <x v="20"/>
    <s v=""/>
    <m/>
    <s v="ยอด 7-11 ถึง 14 oct"/>
    <m/>
    <s v="import"/>
    <s v=""/>
    <b v="0"/>
    <s v=""/>
  </r>
  <r>
    <s v="5d1bfcfe-e78c-42ea-a8a0-9a16a3e995a3"/>
    <s v="2022-11-10"/>
    <x v="4"/>
    <x v="7"/>
    <n v="10"/>
    <s v="17:18"/>
    <n v="1005"/>
    <x v="0"/>
    <s v="rc_cat_1781955063347_5qjb_1781955063347_tezk"/>
    <x v="5"/>
    <s v="rc_acc_1781955063347_0qmn"/>
    <x v="20"/>
    <s v=""/>
    <m/>
    <s v="กินข้าว trip pattaya"/>
    <m/>
    <s v="import"/>
    <s v=""/>
    <b v="0"/>
    <s v=""/>
  </r>
  <r>
    <s v="489dfecb-14c5-4209-9199-60d557be4cc6"/>
    <s v="2022-11-10"/>
    <x v="4"/>
    <x v="7"/>
    <n v="10"/>
    <s v="17:53"/>
    <n v="564.74"/>
    <x v="0"/>
    <s v="rc_cat_1781955063347_anhy_1781955063347_qnaz"/>
    <x v="4"/>
    <s v="rc_acc_1781955063347_uxz4"/>
    <x v="4"/>
    <s v=""/>
    <m/>
    <s v="ais mobile"/>
    <m/>
    <s v="import"/>
    <s v=""/>
    <b v="0"/>
    <s v=""/>
  </r>
  <r>
    <s v="09d7b3cc-157b-43fc-9523-ef6a998476e7"/>
    <s v="2022-11-10"/>
    <x v="4"/>
    <x v="7"/>
    <n v="10"/>
    <s v="17:58"/>
    <n v="4966.32"/>
    <x v="0"/>
    <s v="other_1781955063348_27zj"/>
    <x v="0"/>
    <s v="rc_acc_1781955063347_uxz4"/>
    <x v="4"/>
    <s v=""/>
    <m/>
    <s v="UOB fee"/>
    <m/>
    <s v="import"/>
    <s v=""/>
    <b v="0"/>
    <s v=""/>
  </r>
  <r>
    <s v="b4db7ea5-7b85-4912-9440-04059caf5af1"/>
    <s v="2022-11-10"/>
    <x v="4"/>
    <x v="7"/>
    <n v="10"/>
    <s v="18:04"/>
    <n v="34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e0310fd-bf3c-4550-adab-aaecd1641402"/>
    <s v="2022-11-10"/>
    <x v="4"/>
    <x v="7"/>
    <n v="10"/>
    <s v="18:05"/>
    <n v="150"/>
    <x v="0"/>
    <s v="entertain_1781955063352_1jgx"/>
    <x v="10"/>
    <s v="rc_acc_1781955063347_hv85"/>
    <x v="5"/>
    <s v=""/>
    <m/>
    <s v="-"/>
    <m/>
    <s v="import"/>
    <s v=""/>
    <b v="0"/>
    <s v=""/>
  </r>
  <r>
    <s v="fe0c8f35-2a6e-4b00-a490-aaf7f0cf0be0"/>
    <s v="2022-11-10"/>
    <x v="4"/>
    <x v="7"/>
    <n v="10"/>
    <s v="18:12"/>
    <n v="764"/>
    <x v="0"/>
    <s v="rc_cat_1781955063347_5qjb_1781955063347_tezk"/>
    <x v="5"/>
    <s v="rc_acc_1781955063347_0qmn"/>
    <x v="20"/>
    <s v=""/>
    <m/>
    <s v="shopee food ถึง 14 oct"/>
    <m/>
    <s v="import"/>
    <s v=""/>
    <b v="0"/>
    <s v=""/>
  </r>
  <r>
    <s v="a87cfd2c-5d24-459d-acb3-cb159b47bf06"/>
    <s v="2022-11-10"/>
    <x v="4"/>
    <x v="7"/>
    <n v="10"/>
    <s v="18:22"/>
    <n v="153"/>
    <x v="1"/>
    <s v="other"/>
    <x v="1"/>
    <s v="rc_acc_1781955063347_omhz"/>
    <x v="29"/>
    <s v="advance"/>
    <s v="Advance Paid"/>
    <s v="-"/>
    <m/>
    <s v="import"/>
    <s v=""/>
    <b v="0"/>
    <s v=""/>
  </r>
  <r>
    <s v="519aa892-c07a-4ff7-bb69-fce49e7ee7bf"/>
    <s v="2022-11-10"/>
    <x v="4"/>
    <x v="7"/>
    <n v="10"/>
    <s v="18:30"/>
    <n v="100"/>
    <x v="2"/>
    <s v="other_1781955063347_5s7r"/>
    <x v="15"/>
    <s v="rc_acc_1781955063347_omhz"/>
    <x v="29"/>
    <s v=""/>
    <m/>
    <s v="Difference"/>
    <m/>
    <s v="import"/>
    <s v=""/>
    <b v="0"/>
    <s v=""/>
  </r>
  <r>
    <s v="1061456c-4ca9-43dd-9169-1e9bb27138a2"/>
    <s v="2022-11-10"/>
    <x v="4"/>
    <x v="7"/>
    <n v="10"/>
    <s v="18:34"/>
    <n v="546"/>
    <x v="1"/>
    <s v="other"/>
    <x v="1"/>
    <s v="advance"/>
    <x v="2"/>
    <s v="rc_acc_1781955063347_uxz4"/>
    <s v="SCB"/>
    <s v="-"/>
    <m/>
    <s v="import"/>
    <s v=""/>
    <b v="0"/>
    <s v=""/>
  </r>
  <r>
    <s v="559cfcc4-1a50-4974-919a-10ac00169fa7"/>
    <s v="2022-11-10"/>
    <x v="4"/>
    <x v="7"/>
    <n v="10"/>
    <s v="18:34"/>
    <n v="546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005f619-352a-4834-8e89-8c68b7a2f063"/>
    <s v="2022-11-10"/>
    <x v="4"/>
    <x v="7"/>
    <n v="10"/>
    <s v="18:35"/>
    <n v="5580.05"/>
    <x v="2"/>
    <s v="other_1781955063347_5s7r"/>
    <x v="15"/>
    <s v="advance"/>
    <x v="2"/>
    <s v=""/>
    <m/>
    <s v="Difference"/>
    <m/>
    <s v="import"/>
    <s v=""/>
    <b v="0"/>
    <s v=""/>
  </r>
  <r>
    <s v="131a2ea0-9732-4e49-a678-1b915b529f72"/>
    <s v="2022-11-09"/>
    <x v="4"/>
    <x v="7"/>
    <n v="9"/>
    <s v="09:45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62825201-6a68-4c97-a5a6-63900191f496"/>
    <s v="2022-11-09"/>
    <x v="4"/>
    <x v="7"/>
    <n v="9"/>
    <s v="10:57"/>
    <n v="300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7f0513f6-b994-4f0c-a7a3-9ceb4599a815"/>
    <s v="2022-11-09"/>
    <x v="4"/>
    <x v="7"/>
    <n v="9"/>
    <s v="12:58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b3f4aa3-12b7-4f70-828a-bb8a8f2e4da6"/>
    <s v="2022-11-08"/>
    <x v="4"/>
    <x v="7"/>
    <n v="8"/>
    <s v="09:44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1735591-b4f5-46bf-9ddd-3de4d2dce046"/>
    <s v="2022-11-08"/>
    <x v="4"/>
    <x v="7"/>
    <n v="8"/>
    <s v="12:43"/>
    <n v="5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4ede2db-28e0-4afb-ab11-5d7e1b4605c5"/>
    <s v="2022-11-08"/>
    <x v="4"/>
    <x v="7"/>
    <n v="8"/>
    <s v="12:57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dec1002-9e44-4c9d-ada4-9260ebd8a7ce"/>
    <s v="2022-11-08"/>
    <x v="4"/>
    <x v="7"/>
    <n v="8"/>
    <s v="22:25"/>
    <n v="73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5e29117-6a52-4050-a17f-920c8d9fb9d1"/>
    <s v="2022-11-07"/>
    <x v="4"/>
    <x v="7"/>
    <n v="7"/>
    <s v="09:44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6fa4a8a-5470-4c95-abd8-bfa0fb85e26a"/>
    <s v="2022-11-07"/>
    <x v="4"/>
    <x v="7"/>
    <n v="7"/>
    <s v="13:17"/>
    <n v="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bffd81b-0a3e-4b8c-9e97-16554908a5fe"/>
    <s v="2022-11-06"/>
    <x v="4"/>
    <x v="7"/>
    <n v="6"/>
    <s v="15:58"/>
    <n v="78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fe2c3442-b23a-445e-806d-1f526ec4b66c"/>
    <s v="2022-11-06"/>
    <x v="4"/>
    <x v="7"/>
    <n v="6"/>
    <s v="15:58"/>
    <n v="15000"/>
    <x v="1"/>
    <s v="other"/>
    <x v="1"/>
    <s v="kbank"/>
    <x v="0"/>
    <s v="advance"/>
    <s v="Advance Paid"/>
    <s v="-"/>
    <m/>
    <s v="import"/>
    <s v=""/>
    <b v="0"/>
    <s v=""/>
  </r>
  <r>
    <s v="1dd5a656-a257-4ac2-88d7-57625f673c52"/>
    <s v="2022-11-06"/>
    <x v="4"/>
    <x v="7"/>
    <n v="6"/>
    <s v="16:58"/>
    <n v="250"/>
    <x v="0"/>
    <s v="rc_cat_1781955063347_5qjb_1781955063347_tezk"/>
    <x v="5"/>
    <s v="rc_acc_1781955063347_uxz4"/>
    <x v="4"/>
    <s v=""/>
    <m/>
    <s v="burger iconsiam"/>
    <m/>
    <s v="import"/>
    <s v=""/>
    <b v="0"/>
    <s v=""/>
  </r>
  <r>
    <s v="724d73c8-9571-43d5-acc9-e78f58e71bd1"/>
    <s v="2022-11-06"/>
    <x v="4"/>
    <x v="7"/>
    <n v="6"/>
    <s v="18:15"/>
    <n v="56"/>
    <x v="0"/>
    <s v="rc_cat_1781955063347_5qjb_1781955063347_tezk"/>
    <x v="5"/>
    <s v="rc_acc_1781955063347_0qmn"/>
    <x v="20"/>
    <s v=""/>
    <m/>
    <s v="yamasaki"/>
    <m/>
    <s v="import"/>
    <s v=""/>
    <b v="0"/>
    <s v=""/>
  </r>
  <r>
    <s v="7b5d06c7-924b-4d5a-82c8-a310a0029136"/>
    <s v="2022-11-06"/>
    <x v="4"/>
    <x v="7"/>
    <n v="6"/>
    <s v="18:17"/>
    <n v="50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12ab0838-9dfa-4558-8268-41367cd3c9bf"/>
    <s v="2022-11-06"/>
    <x v="4"/>
    <x v="7"/>
    <n v="6"/>
    <s v="18:22"/>
    <n v="226"/>
    <x v="1"/>
    <s v="other"/>
    <x v="1"/>
    <s v="rc_acc_1781955063347_omhz"/>
    <x v="29"/>
    <s v="advance"/>
    <s v="Advance Paid"/>
    <s v="-"/>
    <m/>
    <s v="import"/>
    <s v=""/>
    <b v="0"/>
    <s v=""/>
  </r>
  <r>
    <s v="5e9a693d-9c66-4dca-a6d2-ca16ac5d36e9"/>
    <s v="2022-11-06"/>
    <x v="4"/>
    <x v="7"/>
    <n v="6"/>
    <s v="19:02"/>
    <n v="770"/>
    <x v="1"/>
    <s v="other"/>
    <x v="1"/>
    <s v="rc_acc_1781955063351_8khv"/>
    <x v="21"/>
    <s v="rc_acc_1781955063347_uxz4"/>
    <s v="SCB"/>
    <s v="-"/>
    <m/>
    <s v="import"/>
    <s v=""/>
    <b v="0"/>
    <s v=""/>
  </r>
  <r>
    <s v="e1a9fb4d-b0af-45f5-9ef7-9e4b68786e60"/>
    <s v="2022-11-06"/>
    <x v="4"/>
    <x v="7"/>
    <n v="6"/>
    <s v="19:42"/>
    <n v="15000"/>
    <x v="1"/>
    <s v="other"/>
    <x v="1"/>
    <s v="advance"/>
    <x v="2"/>
    <s v="rc_acc_1781955063347_uxz4"/>
    <s v="SCB"/>
    <s v="-"/>
    <m/>
    <s v="import"/>
    <s v=""/>
    <b v="0"/>
    <s v=""/>
  </r>
  <r>
    <s v="bbe45ef1-9e06-44e9-8768-251e003feee6"/>
    <s v="2022-11-06"/>
    <x v="4"/>
    <x v="7"/>
    <n v="6"/>
    <s v="19:59"/>
    <n v="49229"/>
    <x v="1"/>
    <s v="other"/>
    <x v="1"/>
    <s v="advance"/>
    <x v="2"/>
    <s v="rc_acc_1781955063347_uxz4"/>
    <s v="SCB"/>
    <s v="-"/>
    <m/>
    <s v="import"/>
    <s v=""/>
    <b v="0"/>
    <s v=""/>
  </r>
  <r>
    <s v="aa4a0bfd-19fa-4eaf-aa65-883d6f156d4a"/>
    <s v="2022-11-06"/>
    <x v="4"/>
    <x v="7"/>
    <n v="6"/>
    <s v="21:20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2347d384-d8d8-4aa9-90e2-00d868f744ec"/>
    <s v="2022-11-05"/>
    <x v="4"/>
    <x v="7"/>
    <n v="5"/>
    <s v="10:35"/>
    <n v="165"/>
    <x v="0"/>
    <s v="rc_cat_1781955063347_5qjb_1781955063347_tezk"/>
    <x v="5"/>
    <s v="rc_acc_1781955063347_0qmn"/>
    <x v="20"/>
    <s v=""/>
    <m/>
    <s v="coffeelism"/>
    <m/>
    <s v="import"/>
    <s v=""/>
    <b v="0"/>
    <s v=""/>
  </r>
  <r>
    <s v="c20605b1-929d-4158-8374-7fbdff6bc014"/>
    <s v="2022-11-05"/>
    <x v="4"/>
    <x v="7"/>
    <n v="5"/>
    <s v="11:55"/>
    <n v="130"/>
    <x v="0"/>
    <s v="rc_cat_1781955063347_5qjb_1781955063347_tezk"/>
    <x v="5"/>
    <s v="rc_acc_1781955063347_uxz4"/>
    <x v="4"/>
    <s v=""/>
    <m/>
    <s v="ของกินสยาม"/>
    <m/>
    <s v="import"/>
    <s v=""/>
    <b v="0"/>
    <s v=""/>
  </r>
  <r>
    <s v="0ed35aee-6d3e-4ed3-a0ff-d5c1180afede"/>
    <s v="2022-11-05"/>
    <x v="4"/>
    <x v="7"/>
    <n v="5"/>
    <s v="12:11"/>
    <n v="140"/>
    <x v="0"/>
    <s v="rc_cat_1781955063347_5qjb_1781955063347_tezk"/>
    <x v="5"/>
    <s v="rc_acc_1781955063347_0qmn"/>
    <x v="20"/>
    <s v=""/>
    <m/>
    <s v="wargrill"/>
    <m/>
    <s v="import"/>
    <s v=""/>
    <b v="0"/>
    <s v=""/>
  </r>
  <r>
    <s v="5a6d9ea7-d40d-4fc7-a3e4-d46b8605f978"/>
    <s v="2022-11-05"/>
    <x v="4"/>
    <x v="7"/>
    <n v="5"/>
    <s v="14:09"/>
    <n v="8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9acaac2-0f1d-4b82-b329-0bbf8cfd1685"/>
    <s v="2022-11-05"/>
    <x v="4"/>
    <x v="7"/>
    <n v="5"/>
    <s v="16:59"/>
    <n v="10750.83"/>
    <x v="0"/>
    <s v="rc_cat_1781955063347_5qjb_1781955063347_irl1"/>
    <x v="0"/>
    <s v="rc_acc_1781955063347_sv7p"/>
    <x v="12"/>
    <s v=""/>
    <m/>
    <s v="-"/>
    <m/>
    <s v="import"/>
    <s v=""/>
    <b v="0"/>
    <s v=""/>
  </r>
  <r>
    <s v="97010127-fc7e-4365-8fdb-7c7d22679a05"/>
    <s v="2022-11-05"/>
    <x v="4"/>
    <x v="7"/>
    <n v="5"/>
    <s v="18:28"/>
    <n v="491"/>
    <x v="0"/>
    <s v="rc_cat_1781955063347_5qjb_1781955063348_xqml"/>
    <x v="31"/>
    <s v="rc_acc_1781955063347_0qmn"/>
    <x v="20"/>
    <s v=""/>
    <m/>
    <s v="-"/>
    <m/>
    <s v="import"/>
    <s v=""/>
    <b v="0"/>
    <s v=""/>
  </r>
  <r>
    <s v="6213f2ca-a410-4735-bf9a-dcf6af8f4fa6"/>
    <s v="2022-11-05"/>
    <x v="4"/>
    <x v="7"/>
    <n v="5"/>
    <s v="19:03"/>
    <n v="9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992bdea-88b7-4be0-a139-dbd138f58966"/>
    <s v="2022-11-05"/>
    <x v="4"/>
    <x v="7"/>
    <n v="5"/>
    <s v="19:07"/>
    <n v="23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a82d2766-3f25-451e-a871-9f1c4b4ee965"/>
    <s v="2022-11-05"/>
    <x v="4"/>
    <x v="7"/>
    <n v="5"/>
    <s v="19:07"/>
    <n v="235"/>
    <x v="1"/>
    <s v="other"/>
    <x v="1"/>
    <s v="rc_acc_1781955063348_998o"/>
    <x v="32"/>
    <s v="rc_acc_1781955063347_uxz4"/>
    <s v="SCB"/>
    <s v="-"/>
    <m/>
    <s v="import"/>
    <s v=""/>
    <b v="0"/>
    <s v=""/>
  </r>
  <r>
    <s v="7fe0074d-42db-4600-b844-7b05cecfab90"/>
    <s v="2022-11-04"/>
    <x v="4"/>
    <x v="7"/>
    <n v="4"/>
    <s v="09:05"/>
    <n v="70"/>
    <x v="0"/>
    <s v="rc_cat_1781955063347_5qjb_1781955063347_tezk"/>
    <x v="5"/>
    <s v="kbank"/>
    <x v="0"/>
    <s v=""/>
    <m/>
    <s v="-"/>
    <m/>
    <s v="import"/>
    <s v=""/>
    <b v="0"/>
    <s v=""/>
  </r>
  <r>
    <s v="78ba9f24-2b68-4838-88f9-a0dd35772305"/>
    <s v="2022-11-04"/>
    <x v="4"/>
    <x v="7"/>
    <n v="4"/>
    <s v="09:20"/>
    <n v="100"/>
    <x v="0"/>
    <s v="rc_cat_1781955063347_5qjb_1781955063347_tezk"/>
    <x v="5"/>
    <s v="rc_acc_1781955063347_0qmn"/>
    <x v="20"/>
    <s v=""/>
    <m/>
    <s v="coffeelism"/>
    <m/>
    <s v="import"/>
    <s v=""/>
    <b v="0"/>
    <s v=""/>
  </r>
  <r>
    <s v="63a6f1fb-2c9b-45f5-9003-0fe1221c9a75"/>
    <s v="2022-11-04"/>
    <x v="4"/>
    <x v="7"/>
    <n v="4"/>
    <s v="12:54"/>
    <n v="1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09724a3-59e3-4c51-a9db-f88d83793893"/>
    <s v="2022-11-03"/>
    <x v="4"/>
    <x v="7"/>
    <n v="3"/>
    <s v="08:30"/>
    <n v="105"/>
    <x v="0"/>
    <s v="rc_cat_1781955063347_5qjb_1781955063347_tezk"/>
    <x v="5"/>
    <s v="kbank"/>
    <x v="0"/>
    <s v=""/>
    <m/>
    <s v="-"/>
    <m/>
    <s v="import"/>
    <s v=""/>
    <b v="0"/>
    <s v=""/>
  </r>
  <r>
    <s v="20d5597e-d481-4488-a808-094bc6854a21"/>
    <s v="2022-11-03"/>
    <x v="4"/>
    <x v="7"/>
    <n v="3"/>
    <s v="09:15"/>
    <n v="12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7a9ca27-5861-42a1-ae13-ce9b7c36e737"/>
    <s v="2022-11-03"/>
    <x v="4"/>
    <x v="7"/>
    <n v="3"/>
    <s v="09:54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7806eac-3f4a-48c3-9dfc-c5378f220c67"/>
    <s v="2022-11-02"/>
    <x v="4"/>
    <x v="7"/>
    <n v="2"/>
    <s v="09:00"/>
    <n v="120"/>
    <x v="0"/>
    <s v="rc_cat_1781955063347_5qjb_1781955063347_tezk"/>
    <x v="5"/>
    <s v="rc_acc_1781955063347_0qmn"/>
    <x v="20"/>
    <s v=""/>
    <m/>
    <s v="ขาหมู"/>
    <m/>
    <s v="import"/>
    <s v=""/>
    <b v="0"/>
    <s v=""/>
  </r>
  <r>
    <s v="6b44d50a-e47e-405f-9d6d-6423d266cb5b"/>
    <s v="2022-11-02"/>
    <x v="4"/>
    <x v="7"/>
    <n v="2"/>
    <s v="09:25"/>
    <n v="100"/>
    <x v="0"/>
    <s v="rc_cat_1781955063347_5qjb_1781955063347_tezk"/>
    <x v="5"/>
    <s v="rc_acc_1781955063347_0qmn"/>
    <x v="20"/>
    <s v=""/>
    <m/>
    <s v="coffeelism"/>
    <m/>
    <s v="import"/>
    <s v=""/>
    <b v="0"/>
    <s v=""/>
  </r>
  <r>
    <s v="9c3dce95-f1d8-4058-a934-10ecbd6dc98e"/>
    <s v="2022-11-02"/>
    <x v="4"/>
    <x v="7"/>
    <n v="2"/>
    <s v="12:19"/>
    <n v="4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2801685-9c7a-49e9-aa45-bd253528a774"/>
    <s v="2022-11-02"/>
    <x v="4"/>
    <x v="7"/>
    <n v="2"/>
    <s v="12:19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5309a17-c4f1-4453-b7b2-8ac3350ba67b"/>
    <s v="2022-11-01"/>
    <x v="4"/>
    <x v="7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ab57d74a-f59f-4143-a337-49e899385a5e"/>
    <s v="2022-11-01"/>
    <x v="4"/>
    <x v="7"/>
    <n v="1"/>
    <s v="09:07"/>
    <n v="1011"/>
    <x v="0"/>
    <s v="rc_cat_1781955063347_5qjb_1781955063347_tezk"/>
    <x v="5"/>
    <s v="rc_acc_1781955063347_0qmn"/>
    <x v="20"/>
    <s v=""/>
    <m/>
    <s v="ยอดถึง 13 ตค"/>
    <m/>
    <s v="import"/>
    <s v=""/>
    <b v="0"/>
    <s v=""/>
  </r>
  <r>
    <s v="52800ea4-a551-49d7-8761-50a100913539"/>
    <s v="2022-11-01"/>
    <x v="4"/>
    <x v="7"/>
    <n v="1"/>
    <s v="09:15"/>
    <n v="167"/>
    <x v="1"/>
    <s v="other"/>
    <x v="1"/>
    <s v="rc_acc_1781955063347_omhz"/>
    <x v="29"/>
    <s v="advance"/>
    <s v="Advance Paid"/>
    <s v="-"/>
    <m/>
    <s v="import"/>
    <s v=""/>
    <b v="0"/>
    <s v=""/>
  </r>
  <r>
    <s v="f08e94f9-b0b0-4da2-9f79-a95b050b6c77"/>
    <s v="2022-11-01"/>
    <x v="4"/>
    <x v="7"/>
    <n v="1"/>
    <s v="09:19"/>
    <n v="4294.54"/>
    <x v="0"/>
    <s v="rc_cat_1781955063347_04qb_1781955063347_wt5p"/>
    <x v="3"/>
    <s v="rc_acc_1781955063347_uxz4"/>
    <x v="4"/>
    <s v=""/>
    <m/>
    <s v="-"/>
    <m/>
    <s v="import"/>
    <s v=""/>
    <b v="0"/>
    <s v=""/>
  </r>
  <r>
    <s v="133aa821-77db-4776-9ef4-47f1a222bb72"/>
    <s v="2022-11-01"/>
    <x v="4"/>
    <x v="7"/>
    <n v="1"/>
    <s v="10:15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cabe0514-aee8-4f59-bc2a-4cf3afd0509b"/>
    <s v="2022-11-01"/>
    <x v="4"/>
    <x v="7"/>
    <n v="1"/>
    <s v="12:50"/>
    <n v="10000"/>
    <x v="2"/>
    <s v="income_1781955063347_5zxt"/>
    <x v="14"/>
    <s v="rc_acc_1781955063347_0qmn"/>
    <x v="20"/>
    <s v=""/>
    <m/>
    <s v="-"/>
    <m/>
    <s v="import"/>
    <s v=""/>
    <b v="0"/>
    <s v=""/>
  </r>
  <r>
    <s v="caae9c0a-a865-4ad1-ac44-3a97bef444ab"/>
    <s v="2022-11-01"/>
    <x v="4"/>
    <x v="7"/>
    <n v="1"/>
    <s v="13:33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a3a0457-36a2-4736-afe2-f9f83993c644"/>
    <s v="2022-10-31"/>
    <x v="4"/>
    <x v="8"/>
    <n v="31"/>
    <s v="09:09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a1c7c63-30a4-43f5-b418-fb810660746e"/>
    <s v="2022-10-31"/>
    <x v="4"/>
    <x v="8"/>
    <n v="31"/>
    <s v="10:08"/>
    <n v="5000"/>
    <x v="0"/>
    <s v="rc_cat_1781955063347_anhy_1781955063348_k5l1"/>
    <x v="16"/>
    <s v="rc_acc_1781955063347_uxz4"/>
    <x v="4"/>
    <s v=""/>
    <m/>
    <s v="ที่พัก outing"/>
    <m/>
    <s v="import"/>
    <s v=""/>
    <b v="0"/>
    <s v=""/>
  </r>
  <r>
    <s v="7e533b64-5167-44aa-ad63-678dd2c5799f"/>
    <s v="2022-10-31"/>
    <x v="4"/>
    <x v="8"/>
    <n v="31"/>
    <s v="11:53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766662f-1e16-41db-b01b-81ed95663084"/>
    <s v="2022-10-31"/>
    <x v="4"/>
    <x v="8"/>
    <n v="31"/>
    <s v="12:56"/>
    <n v="7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0c14f49-b46e-469a-82b4-0d9bf88f3ea3"/>
    <s v="2022-10-31"/>
    <x v="4"/>
    <x v="8"/>
    <n v="31"/>
    <s v="16:10"/>
    <n v="1000"/>
    <x v="0"/>
    <s v="entertain_1781955063349_gok1"/>
    <x v="18"/>
    <s v="rc_acc_1781955063347_uxz4"/>
    <x v="4"/>
    <s v=""/>
    <m/>
    <s v="ที่พัก outing"/>
    <m/>
    <s v="import"/>
    <s v=""/>
    <b v="0"/>
    <s v=""/>
  </r>
  <r>
    <s v="213168d4-e17c-4270-84dd-05d76ac228a8"/>
    <s v="2022-10-31"/>
    <x v="4"/>
    <x v="8"/>
    <n v="31"/>
    <s v="17:52"/>
    <n v="6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9372d5b-6550-4769-86c3-b2a8ff68897a"/>
    <s v="2022-10-31"/>
    <x v="4"/>
    <x v="8"/>
    <n v="31"/>
    <s v="18:53"/>
    <n v="138"/>
    <x v="0"/>
    <s v="entertain_1781955063349_gok1"/>
    <x v="18"/>
    <s v="rc_acc_1781955063347_uxz4"/>
    <x v="4"/>
    <s v=""/>
    <m/>
    <s v="-"/>
    <m/>
    <s v="import"/>
    <s v=""/>
    <b v="0"/>
    <s v=""/>
  </r>
  <r>
    <s v="7b33a7aa-cb78-44a6-bf07-78b3a03c80cb"/>
    <s v="2022-10-31"/>
    <x v="4"/>
    <x v="8"/>
    <n v="31"/>
    <s v="21:51"/>
    <n v="1496"/>
    <x v="0"/>
    <s v="rc_cat_1781955063347_5qjb_1781955063347_tezk"/>
    <x v="5"/>
    <s v="rc_acc_1781955063347_0qmn"/>
    <x v="20"/>
    <s v=""/>
    <m/>
    <s v="shabushi หลังกลับสนามบิน"/>
    <m/>
    <s v="import"/>
    <s v=""/>
    <b v="0"/>
    <s v=""/>
  </r>
  <r>
    <s v="07636454-244d-47be-b45d-b3d3c5eb5e52"/>
    <s v="2022-10-31"/>
    <x v="4"/>
    <x v="8"/>
    <n v="31"/>
    <s v="23:51"/>
    <n v="10000"/>
    <x v="1"/>
    <s v="other"/>
    <x v="1"/>
    <s v="rc_acc_1781955063349_qn1n"/>
    <x v="31"/>
    <s v="rc_acc_1781955063347_uxz4"/>
    <s v="SCB"/>
    <s v="Yuang"/>
    <m/>
    <s v="import"/>
    <s v=""/>
    <b v="0"/>
    <s v=""/>
  </r>
  <r>
    <s v="9249ebb5-6066-4d2e-af94-fce95e6ca981"/>
    <s v="2022-10-30"/>
    <x v="4"/>
    <x v="8"/>
    <n v="30"/>
    <s v="12:03"/>
    <n v="8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ca3a6c1-4093-4b77-9608-3cdfad13f7ab"/>
    <s v="2022-10-30"/>
    <x v="4"/>
    <x v="8"/>
    <n v="30"/>
    <s v="13:23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d87344a-5786-4553-87a6-3e75b65a780c"/>
    <s v="2022-10-30"/>
    <x v="4"/>
    <x v="8"/>
    <n v="30"/>
    <s v="14:02"/>
    <n v="130"/>
    <x v="0"/>
    <s v="rc_cat_1781955063347_5qjb_1781955063347_irl1"/>
    <x v="0"/>
    <s v="rc_acc_1781955063347_uxz4"/>
    <x v="4"/>
    <s v=""/>
    <m/>
    <s v="-"/>
    <m/>
    <s v="import"/>
    <s v=""/>
    <b v="0"/>
    <s v=""/>
  </r>
  <r>
    <s v="c63e2b5a-e2de-4bf0-8832-cbfa1972ec5e"/>
    <s v="2022-10-30"/>
    <x v="4"/>
    <x v="8"/>
    <n v="30"/>
    <s v="18:09"/>
    <n v="3190"/>
    <x v="1"/>
    <s v="other"/>
    <x v="1"/>
    <s v="rc_acc_1781955063347_uxz4"/>
    <x v="4"/>
    <s v="rc_acc_1781955063350_i8ms"/>
    <s v="Kbank onesiam"/>
    <s v="-"/>
    <m/>
    <s v="import"/>
    <s v=""/>
    <b v="0"/>
    <s v=""/>
  </r>
  <r>
    <s v="6295d420-d68e-42e6-a1a6-473fb010a161"/>
    <s v="2022-10-30"/>
    <x v="4"/>
    <x v="8"/>
    <n v="30"/>
    <s v="20:12"/>
    <n v="1800"/>
    <x v="0"/>
    <s v="rc_cat_1781955063347_s4sz_1781955063347_9tpp"/>
    <x v="9"/>
    <s v="rc_acc_1781955063347_uxz4"/>
    <x v="4"/>
    <s v=""/>
    <m/>
    <s v="-"/>
    <m/>
    <s v="import"/>
    <s v=""/>
    <b v="0"/>
    <s v=""/>
  </r>
  <r>
    <s v="b5422ba4-d094-4bf9-93ce-1c3ec9d96004"/>
    <s v="2022-10-30"/>
    <x v="4"/>
    <x v="8"/>
    <n v="30"/>
    <s v="20:18"/>
    <n v="419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dd5901a7-97f6-43f1-8f54-5a09cfae9b83"/>
    <s v="2022-10-30"/>
    <x v="4"/>
    <x v="8"/>
    <n v="30"/>
    <s v="20:23"/>
    <n v="7815.42"/>
    <x v="1"/>
    <s v="other"/>
    <x v="1"/>
    <s v="kbank"/>
    <x v="0"/>
    <s v="advance"/>
    <s v="Advance Paid"/>
    <s v="JPY ที่พัก"/>
    <m/>
    <s v="import"/>
    <s v=""/>
    <b v="0"/>
    <s v=""/>
  </r>
  <r>
    <s v="30228c56-602e-4090-a09a-b1f07f14c0df"/>
    <s v="2022-10-30"/>
    <x v="4"/>
    <x v="8"/>
    <n v="30"/>
    <s v="20:53"/>
    <n v="3190"/>
    <x v="0"/>
    <s v="entertain_1781955063348_kx2f"/>
    <x v="0"/>
    <s v="rc_acc_1781955063350_i8ms"/>
    <x v="28"/>
    <s v=""/>
    <m/>
    <s v="s22 ultra(1/10)"/>
    <m/>
    <s v="import"/>
    <s v=""/>
    <b v="0"/>
    <s v=""/>
  </r>
  <r>
    <s v="d9cee0f7-5fcd-46fd-a7ca-070c502c2dd2"/>
    <s v="2022-10-29"/>
    <x v="4"/>
    <x v="8"/>
    <n v="29"/>
    <s v="07:02"/>
    <n v="3999"/>
    <x v="2"/>
    <s v="income_1781955063347_zblt"/>
    <x v="17"/>
    <s v="rc_acc_1781955063347_uxz4"/>
    <x v="4"/>
    <s v=""/>
    <m/>
    <s v="ยอดเฟินตีกลับ"/>
    <m/>
    <s v="import"/>
    <s v=""/>
    <b v="0"/>
    <s v=""/>
  </r>
  <r>
    <s v="6b8cfc56-8888-40f4-92ec-f87cd9f3755f"/>
    <s v="2022-10-29"/>
    <x v="4"/>
    <x v="8"/>
    <n v="29"/>
    <s v="14:47"/>
    <n v="100"/>
    <x v="0"/>
    <s v="rc_cat_1781955063347_s4sz_1781955063347_9tpp"/>
    <x v="9"/>
    <s v="rc_acc_1781955063347_uxz4"/>
    <x v="4"/>
    <s v=""/>
    <m/>
    <s v="เสื้อ theme"/>
    <m/>
    <s v="import"/>
    <s v=""/>
    <b v="0"/>
    <s v=""/>
  </r>
  <r>
    <s v="ba784866-81fa-459b-aa46-b88c6d10bcbe"/>
    <s v="2022-10-29"/>
    <x v="4"/>
    <x v="8"/>
    <n v="29"/>
    <s v="15:47"/>
    <n v="1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20bf0e4-0542-4064-b90b-7dcaba588efd"/>
    <s v="2022-10-29"/>
    <x v="4"/>
    <x v="8"/>
    <n v="29"/>
    <s v="17:12"/>
    <n v="316"/>
    <x v="0"/>
    <s v="entertain_1781955063349_gok1"/>
    <x v="18"/>
    <s v="rc_acc_1781955063347_uxz4"/>
    <x v="4"/>
    <s v=""/>
    <m/>
    <s v="ซื้อของแต่งตัวโลตัส"/>
    <m/>
    <s v="import"/>
    <s v=""/>
    <b v="0"/>
    <s v=""/>
  </r>
  <r>
    <s v="a85e80cc-0059-4776-ad19-37471c9e61f9"/>
    <s v="2022-10-28"/>
    <x v="4"/>
    <x v="8"/>
    <n v="28"/>
    <s v="08:05"/>
    <n v="1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01dff81-b3db-438a-92ba-4190f6ecabe0"/>
    <s v="2022-10-28"/>
    <x v="4"/>
    <x v="8"/>
    <n v="28"/>
    <s v="08:48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73a7bfe-b53a-49d2-9bf3-7d7da635931a"/>
    <s v="2022-10-28"/>
    <x v="4"/>
    <x v="8"/>
    <n v="28"/>
    <s v="10:01"/>
    <n v="31359"/>
    <x v="1"/>
    <s v="other"/>
    <x v="1"/>
    <s v="advance"/>
    <x v="2"/>
    <s v="rc_acc_1781955063347_uxz4"/>
    <s v="SCB"/>
    <s v="JPY ยอดวัด"/>
    <m/>
    <s v="import"/>
    <s v=""/>
    <b v="0"/>
    <s v=""/>
  </r>
  <r>
    <s v="3237b465-cd1d-4a13-8c33-182b659bd408"/>
    <s v="2022-10-28"/>
    <x v="4"/>
    <x v="8"/>
    <n v="28"/>
    <s v="11:33"/>
    <n v="6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944d995-c1fb-49c0-8ea6-74ed96e47ae2"/>
    <s v="2022-10-27"/>
    <x v="4"/>
    <x v="8"/>
    <n v="27"/>
    <s v="07:45"/>
    <n v="11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1cf2cbe-4fd9-4c40-8aad-137019ef2d7e"/>
    <s v="2022-10-27"/>
    <x v="4"/>
    <x v="8"/>
    <n v="27"/>
    <s v="08:10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a725491-9b02-41c0-a9bf-1c778f8a0304"/>
    <s v="2022-10-27"/>
    <x v="4"/>
    <x v="8"/>
    <n v="27"/>
    <s v="12:25"/>
    <n v="7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02fc798-83ba-4e5b-9ff0-92773c7580e0"/>
    <s v="2022-10-27"/>
    <x v="4"/>
    <x v="8"/>
    <n v="27"/>
    <s v="12:4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c7689af-0bff-475c-b69c-adb2ca5fe6e2"/>
    <s v="2022-10-27"/>
    <x v="4"/>
    <x v="8"/>
    <n v="27"/>
    <s v="20:26"/>
    <n v="1317"/>
    <x v="0"/>
    <s v="rc_cat_1781955063347_5qjb_1781955063347_tezk"/>
    <x v="5"/>
    <s v="rc_acc_1781955063347_0qmn"/>
    <x v="20"/>
    <s v=""/>
    <m/>
    <s v="momo"/>
    <m/>
    <s v="import"/>
    <s v=""/>
    <b v="0"/>
    <s v=""/>
  </r>
  <r>
    <s v="6adecc0c-aca8-4cc9-8ea6-9a95fd3124ee"/>
    <s v="2022-10-27"/>
    <x v="4"/>
    <x v="8"/>
    <n v="27"/>
    <s v="23:05"/>
    <n v="28989"/>
    <x v="1"/>
    <s v="other"/>
    <x v="1"/>
    <s v="advance"/>
    <x v="2"/>
    <s v="rc_acc_1781955063347_uxz4"/>
    <s v="SCB"/>
    <s v="JPY ยอดพี่อั๋น"/>
    <m/>
    <s v="import"/>
    <s v=""/>
    <b v="0"/>
    <s v=""/>
  </r>
  <r>
    <s v="fb84eb10-8f64-48cb-8089-d8602824c502"/>
    <s v="2022-10-26"/>
    <x v="4"/>
    <x v="8"/>
    <n v="26"/>
    <s v="00:00"/>
    <n v="105.64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cbb96782-5a06-4888-9d65-e6b453875ddb"/>
    <s v="2022-10-26"/>
    <x v="4"/>
    <x v="8"/>
    <n v="26"/>
    <s v="00:00"/>
    <n v="597.12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aaf684f4-7453-49f9-809f-31c4a767b14a"/>
    <s v="2022-10-26"/>
    <x v="4"/>
    <x v="8"/>
    <n v="26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aedf8424-4671-4e97-acd5-26a4b00ff3ab"/>
    <s v="2022-10-26"/>
    <x v="4"/>
    <x v="8"/>
    <n v="26"/>
    <s v="00:00"/>
    <n v="791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f9d4b8ec-bb71-4640-9ffa-e67931d703ba"/>
    <s v="2022-10-26"/>
    <x v="4"/>
    <x v="8"/>
    <n v="26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88395fb7-d55b-4480-b042-0e3fd3f6e30b"/>
    <s v="2022-10-26"/>
    <x v="4"/>
    <x v="8"/>
    <n v="26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140e022f-bd74-4d50-a9c8-dd896e059e0a"/>
    <s v="2022-10-26"/>
    <x v="4"/>
    <x v="8"/>
    <n v="26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d6999863-cbe9-45d9-81ab-0ac9396175d4"/>
    <s v="2022-10-26"/>
    <x v="4"/>
    <x v="8"/>
    <n v="26"/>
    <s v="00:00"/>
    <n v="505.9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b4ca84c7-d9fa-4bd9-a849-e41b767ff58f"/>
    <s v="2022-10-26"/>
    <x v="4"/>
    <x v="8"/>
    <n v="26"/>
    <s v="08:58"/>
    <n v="93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4a11ad9-5917-4d38-bde9-510b834dad05"/>
    <s v="2022-10-26"/>
    <x v="4"/>
    <x v="8"/>
    <n v="26"/>
    <s v="09:28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104f84a-e797-46c7-9dac-5c533e4a1ead"/>
    <s v="2022-10-26"/>
    <x v="4"/>
    <x v="8"/>
    <n v="26"/>
    <s v="19:27"/>
    <n v="261"/>
    <x v="0"/>
    <s v="rc_cat_1781955063347_5qjb_1781955063347_tezk"/>
    <x v="5"/>
    <s v="rc_acc_1781955063347_0qmn"/>
    <x v="20"/>
    <s v=""/>
    <m/>
    <s v="เสต็กหน้าแบงก์"/>
    <m/>
    <s v="import"/>
    <s v=""/>
    <b v="0"/>
    <s v=""/>
  </r>
  <r>
    <s v="84f01038-0b07-4d15-940b-ea62b2857c66"/>
    <s v="2022-10-25"/>
    <x v="4"/>
    <x v="8"/>
    <n v="25"/>
    <s v="09:35"/>
    <n v="16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42c387d-0609-416f-964a-bf993cc7293c"/>
    <s v="2022-10-25"/>
    <x v="4"/>
    <x v="8"/>
    <n v="25"/>
    <s v="12:45"/>
    <n v="6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1fd77ab-4e4d-402e-ac06-b403c79160d3"/>
    <s v="2022-10-25"/>
    <x v="4"/>
    <x v="8"/>
    <n v="25"/>
    <s v="18:55"/>
    <n v="7389.2"/>
    <x v="1"/>
    <s v="other"/>
    <x v="1"/>
    <s v="rc_acc_1781955063347_uxz4"/>
    <x v="4"/>
    <s v="advance"/>
    <s v="Advance Paid"/>
    <s v="JPY huis ten bosch"/>
    <m/>
    <s v="import"/>
    <s v=""/>
    <b v="0"/>
    <s v=""/>
  </r>
  <r>
    <s v="5bba07d2-1848-4ad5-93d1-cddece1c41cf"/>
    <s v="2022-10-25"/>
    <x v="4"/>
    <x v="8"/>
    <n v="25"/>
    <s v="18:55"/>
    <n v="2142"/>
    <x v="1"/>
    <s v="other"/>
    <x v="1"/>
    <s v="advance"/>
    <x v="2"/>
    <s v="rc_acc_1781955063347_uxz4"/>
    <s v="SCB"/>
    <s v="JPY ค่ารองเท้าเฟิน ส่วนของอุ้ย"/>
    <m/>
    <s v="import"/>
    <s v=""/>
    <b v="0"/>
    <s v=""/>
  </r>
  <r>
    <s v="2cce80a0-5499-4df1-9436-49aa859fdc3d"/>
    <s v="2022-10-24"/>
    <x v="4"/>
    <x v="8"/>
    <n v="24"/>
    <s v="15:24"/>
    <n v="120"/>
    <x v="0"/>
    <s v="rc_cat_1781955063347_5qjb_1781955063347_tezk"/>
    <x v="5"/>
    <s v="kbank"/>
    <x v="0"/>
    <s v=""/>
    <m/>
    <s v="alto"/>
    <m/>
    <s v="import"/>
    <s v=""/>
    <b v="0"/>
    <s v=""/>
  </r>
  <r>
    <s v="d7d20b4e-e79c-4acb-b9b9-2ce1346a0628"/>
    <s v="2022-10-24"/>
    <x v="4"/>
    <x v="8"/>
    <n v="24"/>
    <s v="19:44"/>
    <n v="18095"/>
    <x v="0"/>
    <s v="entertain_1781955063349_gok1"/>
    <x v="18"/>
    <s v="advance"/>
    <x v="2"/>
    <s v=""/>
    <m/>
    <s v="เงินสด JPY ใช้เอง"/>
    <m/>
    <s v="import"/>
    <s v=""/>
    <b v="0"/>
    <s v=""/>
  </r>
  <r>
    <s v="1e188ff0-c18f-4fbd-8506-a7800580b0cf"/>
    <s v="2022-10-24"/>
    <x v="4"/>
    <x v="8"/>
    <n v="24"/>
    <s v="19:53"/>
    <n v="80960.23"/>
    <x v="1"/>
    <s v="other"/>
    <x v="1"/>
    <s v="rc_acc_1781955063352_d0kz"/>
    <x v="24"/>
    <s v="advance"/>
    <s v="Advance Paid"/>
    <s v="-"/>
    <m/>
    <s v="import"/>
    <s v=""/>
    <b v="0"/>
    <s v=""/>
  </r>
  <r>
    <s v="08bbe262-c5bd-4e4b-873c-b8d646d57588"/>
    <s v="2022-10-24"/>
    <x v="4"/>
    <x v="8"/>
    <n v="24"/>
    <s v="20:02"/>
    <n v="30389.05"/>
    <x v="0"/>
    <s v="entertain_1781955063349_gok1"/>
    <x v="18"/>
    <s v="advance"/>
    <x v="2"/>
    <s v=""/>
    <m/>
    <s v="ยอด travel card เราเอง"/>
    <m/>
    <s v="import"/>
    <s v=""/>
    <b v="0"/>
    <s v=""/>
  </r>
  <r>
    <s v="a58cf90c-7097-4d2d-923c-4aa2e5b574fe"/>
    <s v="2022-10-24"/>
    <x v="4"/>
    <x v="8"/>
    <n v="24"/>
    <s v="20:14"/>
    <n v="9327.5"/>
    <x v="0"/>
    <s v="entertain_1781955063349_gok1"/>
    <x v="18"/>
    <s v="advance"/>
    <x v="2"/>
    <s v=""/>
    <m/>
    <s v="ยอดเงินสดคนอื่นออกให้ JPY"/>
    <m/>
    <s v="import"/>
    <s v=""/>
    <b v="0"/>
    <s v=""/>
  </r>
  <r>
    <s v="0f0e8f2c-2b01-4d88-bb96-0056b11706f9"/>
    <s v="2022-10-24"/>
    <x v="4"/>
    <x v="8"/>
    <n v="24"/>
    <s v="20:18"/>
    <n v="12514"/>
    <x v="0"/>
    <s v="entertain_1781955063349_gok1"/>
    <x v="18"/>
    <s v="advance"/>
    <x v="2"/>
    <s v=""/>
    <m/>
    <s v="ยอด thb เราเอง"/>
    <m/>
    <s v="import"/>
    <s v=""/>
    <b v="0"/>
    <s v=""/>
  </r>
  <r>
    <s v="45f43ea9-ece1-4908-8467-98732d97994c"/>
    <s v="2022-10-23"/>
    <x v="4"/>
    <x v="8"/>
    <n v="23"/>
    <s v="20:07"/>
    <n v="97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310d4ea1-b5e9-4257-bae4-7dbeb80a49f1"/>
    <s v="2022-10-14"/>
    <x v="4"/>
    <x v="8"/>
    <n v="14"/>
    <s v="00:20"/>
    <n v="100000"/>
    <x v="1"/>
    <s v="other"/>
    <x v="1"/>
    <s v="rc_acc_1781955063347_uxz4"/>
    <x v="4"/>
    <s v="rc_acc_1781955063348_no9r"/>
    <s v="Krungthai Next"/>
    <s v="-"/>
    <m/>
    <s v="import"/>
    <s v=""/>
    <b v="0"/>
    <s v=""/>
  </r>
  <r>
    <s v="5062f082-cc0b-45bf-a088-fa7df78da24a"/>
    <s v="2022-10-13"/>
    <x v="4"/>
    <x v="8"/>
    <n v="13"/>
    <s v="09:53"/>
    <n v="8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5b87dec-b3e7-4405-9189-1a1a219f477b"/>
    <s v="2022-10-13"/>
    <x v="4"/>
    <x v="8"/>
    <n v="13"/>
    <s v="22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7ae543c1-c03b-457a-8353-13a4d9b302ad"/>
    <s v="2022-10-12"/>
    <x v="4"/>
    <x v="8"/>
    <n v="12"/>
    <s v="09:14"/>
    <n v="101"/>
    <x v="0"/>
    <s v="rc_cat_1781955063347_5qjb_1781955063347_tezk"/>
    <x v="5"/>
    <s v="rc_acc_1781955063347_0qmn"/>
    <x v="20"/>
    <s v=""/>
    <m/>
    <s v="หมูปิ้ง"/>
    <m/>
    <s v="import"/>
    <s v=""/>
    <b v="0"/>
    <s v=""/>
  </r>
  <r>
    <s v="ce4a4d6d-2015-464e-b6af-06bb0a156b0d"/>
    <s v="2022-10-12"/>
    <x v="4"/>
    <x v="8"/>
    <n v="12"/>
    <s v="09:14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b8b74da-0804-4c51-bbf2-22ec6ef86eec"/>
    <s v="2022-10-12"/>
    <x v="4"/>
    <x v="8"/>
    <n v="12"/>
    <s v="12:30"/>
    <n v="14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04f953b-948d-409b-b3c7-187d924a9fde"/>
    <s v="2022-10-12"/>
    <x v="4"/>
    <x v="8"/>
    <n v="12"/>
    <s v="12:53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2bbcfa2-2195-48c6-b206-39bb30de06ea"/>
    <s v="2022-10-12"/>
    <x v="4"/>
    <x v="8"/>
    <n v="12"/>
    <s v="19:00"/>
    <n v="351"/>
    <x v="2"/>
    <s v="income_1781955063351_3ab8"/>
    <x v="22"/>
    <s v="rc_acc_1781955063348_hnxg"/>
    <x v="9"/>
    <s v=""/>
    <m/>
    <s v="-"/>
    <m/>
    <s v="import"/>
    <s v=""/>
    <b v="0"/>
    <s v=""/>
  </r>
  <r>
    <s v="1278378e-30c5-42c4-8f15-4357546b71ab"/>
    <s v="2022-10-12"/>
    <x v="4"/>
    <x v="8"/>
    <n v="12"/>
    <s v="19:21"/>
    <n v="98586.53"/>
    <x v="1"/>
    <s v="other"/>
    <x v="1"/>
    <s v="rc_acc_1781955063348_no9r"/>
    <x v="7"/>
    <s v="rc_acc_1781955063352_d0kz"/>
    <s v="Travelcard"/>
    <s v="-"/>
    <m/>
    <s v="import"/>
    <s v=""/>
    <b v="0"/>
    <s v=""/>
  </r>
  <r>
    <s v="7d374e2d-3037-4392-ae93-80ec0f4fc69c"/>
    <s v="2022-10-11"/>
    <x v="4"/>
    <x v="8"/>
    <n v="11"/>
    <s v="08:50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2243b63-9e96-4937-baf6-ec08ef9f2e67"/>
    <s v="2022-10-11"/>
    <x v="4"/>
    <x v="8"/>
    <n v="11"/>
    <s v="09:20"/>
    <n v="6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46995a0-0ffd-43dd-a5f1-54ff39eda929"/>
    <s v="2022-10-11"/>
    <x v="4"/>
    <x v="8"/>
    <n v="11"/>
    <s v="09:36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9b21f68-e2dc-44d8-8097-3a99677335aa"/>
    <s v="2022-10-11"/>
    <x v="4"/>
    <x v="8"/>
    <n v="11"/>
    <s v="14:51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88fa0db-cce2-4c8a-acc6-39c2f203ede2"/>
    <s v="2022-10-11"/>
    <x v="4"/>
    <x v="8"/>
    <n v="11"/>
    <s v="18:51"/>
    <n v="1392"/>
    <x v="1"/>
    <s v="other"/>
    <x v="1"/>
    <s v="rc_acc_1781955063347_uxz4"/>
    <x v="4"/>
    <s v="advance"/>
    <s v="Advance Paid"/>
    <s v="JPY MSIG"/>
    <m/>
    <s v="import"/>
    <s v=""/>
    <b v="0"/>
    <s v=""/>
  </r>
  <r>
    <s v="7713212e-5f24-4c03-963b-4d481155607d"/>
    <s v="2022-10-11"/>
    <x v="4"/>
    <x v="8"/>
    <n v="11"/>
    <s v="18:58"/>
    <n v="209"/>
    <x v="0"/>
    <s v="rc_cat_1781955063347_5qjb_1781955063347_tezk"/>
    <x v="5"/>
    <s v="rc_acc_1781955063347_0qmn"/>
    <x v="20"/>
    <s v=""/>
    <m/>
    <s v="คั่วไก่"/>
    <m/>
    <s v="import"/>
    <s v=""/>
    <b v="0"/>
    <s v=""/>
  </r>
  <r>
    <s v="c95cab03-92bf-45e0-92e3-ed6ffa948c51"/>
    <s v="2022-10-10"/>
    <x v="4"/>
    <x v="8"/>
    <n v="10"/>
    <s v="10:24"/>
    <n v="214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744cf467-3223-4aa8-971f-1be6e616c6dd"/>
    <s v="2022-10-10"/>
    <x v="4"/>
    <x v="8"/>
    <n v="10"/>
    <s v="10:37"/>
    <n v="1435"/>
    <x v="0"/>
    <s v="rc_cat_1781955063347_5qjb_1781955063347_tezk"/>
    <x v="5"/>
    <s v="rc_acc_1781955063347_0qmn"/>
    <x v="20"/>
    <s v=""/>
    <m/>
    <s v="ยอด shopee ถึง 10 ตค"/>
    <m/>
    <s v="import"/>
    <s v=""/>
    <b v="0"/>
    <s v=""/>
  </r>
  <r>
    <s v="077e1ee9-90ac-4dc8-b731-c015897ca0b3"/>
    <s v="2022-10-10"/>
    <x v="4"/>
    <x v="8"/>
    <n v="10"/>
    <s v="10:38"/>
    <n v="773"/>
    <x v="0"/>
    <s v="entertain_1781955063349_gok1"/>
    <x v="18"/>
    <s v="rc_acc_1781955063347_0qmn"/>
    <x v="20"/>
    <s v=""/>
    <m/>
    <s v="sim2fly"/>
    <m/>
    <s v="import"/>
    <s v=""/>
    <b v="0"/>
    <s v=""/>
  </r>
  <r>
    <s v="7cf631e9-e135-4ad3-b285-b172fafbc4f9"/>
    <s v="2022-10-10"/>
    <x v="4"/>
    <x v="8"/>
    <n v="10"/>
    <s v="10:38"/>
    <n v="421"/>
    <x v="0"/>
    <s v="entertain_1781955063349_gok1"/>
    <x v="18"/>
    <s v="rc_acc_1781955063347_0qmn"/>
    <x v="20"/>
    <s v=""/>
    <m/>
    <s v="เกงวอร์ม"/>
    <m/>
    <s v="import"/>
    <s v=""/>
    <b v="0"/>
    <s v=""/>
  </r>
  <r>
    <s v="7fb3ffd4-c225-4591-9f5d-2ffc8dba62fc"/>
    <s v="2022-10-10"/>
    <x v="4"/>
    <x v="8"/>
    <n v="10"/>
    <s v="11:07"/>
    <n v="338"/>
    <x v="0"/>
    <s v="rc_cat_1781955063347_5qjb_1781955063347_tezk"/>
    <x v="5"/>
    <s v="rc_acc_1781955063347_0qmn"/>
    <x v="20"/>
    <s v=""/>
    <m/>
    <s v="santafe"/>
    <m/>
    <s v="import"/>
    <s v=""/>
    <b v="0"/>
    <s v=""/>
  </r>
  <r>
    <s v="816c6708-9035-4f96-80be-684dae87bf3a"/>
    <s v="2022-10-10"/>
    <x v="4"/>
    <x v="8"/>
    <n v="10"/>
    <s v="11:07"/>
    <n v="35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a438b99-00cf-440f-a971-be21c92f276b"/>
    <s v="2022-10-10"/>
    <x v="4"/>
    <x v="8"/>
    <n v="10"/>
    <s v="11:18"/>
    <n v="39754"/>
    <x v="1"/>
    <s v="other"/>
    <x v="1"/>
    <s v="rc_acc_1781955063347_uxz4"/>
    <x v="4"/>
    <s v="advance"/>
    <s v="Advance Paid"/>
    <s v="JPY ตั๋ว airasia"/>
    <m/>
    <s v="import"/>
    <s v=""/>
    <b v="0"/>
    <s v=""/>
  </r>
  <r>
    <s v="a2e8c7a9-9cb4-4b9e-8ae8-a5bca7ea7991"/>
    <s v="2022-10-10"/>
    <x v="4"/>
    <x v="8"/>
    <n v="10"/>
    <s v="11:20"/>
    <n v="880"/>
    <x v="0"/>
    <s v="entertain_1781955063348_32wr"/>
    <x v="23"/>
    <s v="rc_acc_1781955063347_uxz4"/>
    <x v="4"/>
    <s v=""/>
    <m/>
    <s v="-"/>
    <m/>
    <s v="import"/>
    <s v=""/>
    <b v="0"/>
    <s v=""/>
  </r>
  <r>
    <s v="05f7b8b9-1d54-4b61-82d7-91b4410c97bd"/>
    <s v="2022-10-10"/>
    <x v="4"/>
    <x v="8"/>
    <n v="10"/>
    <s v="11:20"/>
    <n v="448.64"/>
    <x v="0"/>
    <s v="rc_cat_1781955063347_anhy_1781955063347_qnaz"/>
    <x v="4"/>
    <s v="rc_acc_1781955063347_uxz4"/>
    <x v="4"/>
    <s v=""/>
    <m/>
    <s v="-"/>
    <m/>
    <s v="import"/>
    <s v=""/>
    <b v="0"/>
    <s v=""/>
  </r>
  <r>
    <s v="057b0804-00ab-429f-a985-06e5e649bc37"/>
    <s v="2022-10-10"/>
    <x v="4"/>
    <x v="8"/>
    <n v="10"/>
    <s v="18:22"/>
    <n v="178"/>
    <x v="0"/>
    <s v="rc_cat_1781955063347_s4sz_1781955063347_9tpp"/>
    <x v="9"/>
    <s v="rc_acc_1781955063347_omhz"/>
    <x v="29"/>
    <s v=""/>
    <m/>
    <s v="s22 ultra case"/>
    <m/>
    <s v="import"/>
    <s v=""/>
    <b v="0"/>
    <s v=""/>
  </r>
  <r>
    <s v="33bcbd2c-f94d-4c2d-8e69-5982077bbb30"/>
    <s v="2022-10-09"/>
    <x v="4"/>
    <x v="8"/>
    <n v="9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c7a25716-ba28-496a-9c64-f34865e13981"/>
    <s v="2022-10-09"/>
    <x v="4"/>
    <x v="8"/>
    <n v="9"/>
    <s v="11:23"/>
    <n v="4398.77"/>
    <x v="0"/>
    <s v="rc_cat_1781955063347_04qb_1781955063347_wt5p"/>
    <x v="3"/>
    <s v="rc_acc_1781955063347_uxz4"/>
    <x v="4"/>
    <s v=""/>
    <m/>
    <s v="-"/>
    <m/>
    <s v="import"/>
    <s v=""/>
    <b v="0"/>
    <s v=""/>
  </r>
  <r>
    <s v="d64ae640-aead-4f0e-8732-558d54cec51b"/>
    <s v="2022-10-09"/>
    <x v="4"/>
    <x v="8"/>
    <n v="9"/>
    <s v="11:24"/>
    <n v="36000"/>
    <x v="1"/>
    <s v="other"/>
    <x v="1"/>
    <s v="rc_acc_1781955063347_uxz4"/>
    <x v="4"/>
    <s v="advance"/>
    <s v="Advance Paid"/>
    <s v="-"/>
    <m/>
    <s v="import"/>
    <s v=""/>
    <b v="0"/>
    <s v=""/>
  </r>
  <r>
    <s v="a3f0729b-1b06-44e5-9edc-821115e6a8ea"/>
    <s v="2022-10-09"/>
    <x v="4"/>
    <x v="8"/>
    <n v="9"/>
    <s v="11:29"/>
    <n v="87"/>
    <x v="0"/>
    <s v="rc_cat_1781955063347_5qjb_1781955063347_tezk"/>
    <x v="5"/>
    <s v="rc_acc_1781955063349_mitc"/>
    <x v="23"/>
    <s v=""/>
    <m/>
    <s v="-"/>
    <m/>
    <s v="import"/>
    <s v=""/>
    <b v="0"/>
    <s v=""/>
  </r>
  <r>
    <s v="48ec5d2c-8d91-4f75-a969-1830467a2225"/>
    <s v="2022-10-09"/>
    <x v="4"/>
    <x v="8"/>
    <n v="9"/>
    <s v="12:39"/>
    <n v="10000"/>
    <x v="2"/>
    <s v="income_1781955063347_5zxt"/>
    <x v="14"/>
    <s v="rc_acc_1781955063347_0qmn"/>
    <x v="20"/>
    <s v=""/>
    <m/>
    <s v="-"/>
    <m/>
    <s v="import"/>
    <s v=""/>
    <b v="0"/>
    <s v=""/>
  </r>
  <r>
    <s v="1296880f-1550-41f3-b79d-b3988b041374"/>
    <s v="2022-10-09"/>
    <x v="4"/>
    <x v="8"/>
    <n v="9"/>
    <s v="13:22"/>
    <n v="69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fd3fda2-afce-43b9-b3f8-6e3dc6ed66d6"/>
    <s v="2022-10-09"/>
    <x v="4"/>
    <x v="8"/>
    <n v="9"/>
    <s v="19:25"/>
    <n v="239"/>
    <x v="0"/>
    <s v="other_1781955063348_27zj"/>
    <x v="0"/>
    <s v="rc_acc_1781955063347_uxz4"/>
    <x v="4"/>
    <s v=""/>
    <m/>
    <s v="ติดฟิล์ม"/>
    <m/>
    <s v="import"/>
    <s v=""/>
    <b v="0"/>
    <s v=""/>
  </r>
  <r>
    <s v="0246d16a-8d58-4fb5-a160-54b8da2831ac"/>
    <s v="2022-10-09"/>
    <x v="4"/>
    <x v="8"/>
    <n v="9"/>
    <s v="19:35"/>
    <n v="412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4b35272-d484-44e8-b8a0-102276dfc982"/>
    <s v="2022-10-08"/>
    <x v="4"/>
    <x v="8"/>
    <n v="8"/>
    <s v="10:55"/>
    <n v="125"/>
    <x v="1"/>
    <s v="other"/>
    <x v="1"/>
    <s v="rc_acc_1781955063349_mitc"/>
    <x v="23"/>
    <s v="rc_acc_1781955063347_uxz4"/>
    <s v="SCB"/>
    <s v="-"/>
    <m/>
    <s v="import"/>
    <s v=""/>
    <b v="0"/>
    <s v=""/>
  </r>
  <r>
    <s v="59d85a60-e1af-45a9-8152-476905c07e67"/>
    <s v="2022-10-07"/>
    <x v="4"/>
    <x v="8"/>
    <n v="7"/>
    <s v="08:56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940ea70-8d03-4001-8d13-f0f8260b2513"/>
    <s v="2022-10-07"/>
    <x v="4"/>
    <x v="8"/>
    <n v="7"/>
    <s v="09:39"/>
    <n v="8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ad9e28e-4aa4-475d-ae06-715a55ea4c37"/>
    <s v="2022-10-07"/>
    <x v="4"/>
    <x v="8"/>
    <n v="7"/>
    <s v="10:58"/>
    <n v="60"/>
    <x v="0"/>
    <s v="rc_cat_1781955063347_5qjb_1781955063347_tezk"/>
    <x v="5"/>
    <s v="kbank"/>
    <x v="0"/>
    <s v=""/>
    <m/>
    <s v="-"/>
    <m/>
    <s v="import"/>
    <s v=""/>
    <b v="0"/>
    <s v=""/>
  </r>
  <r>
    <s v="909d7083-b8a5-48f1-952a-069171c096c2"/>
    <s v="2022-10-07"/>
    <x v="4"/>
    <x v="8"/>
    <n v="7"/>
    <s v="12:30"/>
    <n v="6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5f83f57-14ff-4c67-82b4-11b538321bb1"/>
    <s v="2022-10-07"/>
    <x v="4"/>
    <x v="8"/>
    <n v="7"/>
    <s v="14:19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76e708d-9f04-4ffd-a425-938ba943b394"/>
    <s v="2022-10-06"/>
    <x v="4"/>
    <x v="8"/>
    <n v="6"/>
    <s v="00:30"/>
    <n v="70"/>
    <x v="0"/>
    <s v="rc_cat_1781955063347_5qjb_1781955063347_tezk"/>
    <x v="5"/>
    <s v="kbank"/>
    <x v="0"/>
    <s v=""/>
    <m/>
    <s v="-"/>
    <m/>
    <s v="import"/>
    <s v=""/>
    <b v="0"/>
    <s v=""/>
  </r>
  <r>
    <s v="92110d5e-f33b-4216-b22a-95611676ea12"/>
    <s v="2022-10-06"/>
    <x v="4"/>
    <x v="8"/>
    <n v="6"/>
    <s v="08:50"/>
    <n v="6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01f404f-05e1-4801-99c7-3b890fdb60db"/>
    <s v="2022-10-06"/>
    <x v="4"/>
    <x v="8"/>
    <n v="6"/>
    <s v="09:36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fefd32d-3232-4f7b-a149-79917aedb217"/>
    <s v="2022-10-06"/>
    <x v="4"/>
    <x v="8"/>
    <n v="6"/>
    <s v="18:55"/>
    <n v="269"/>
    <x v="0"/>
    <s v="rc_cat_1781955063347_5qjb_1781955063347_tezk"/>
    <x v="5"/>
    <s v="rc_acc_1781955063347_0qmn"/>
    <x v="20"/>
    <s v=""/>
    <m/>
    <s v="แอนคั่วไก่"/>
    <m/>
    <s v="import"/>
    <s v=""/>
    <b v="0"/>
    <s v=""/>
  </r>
  <r>
    <s v="1c975f34-b7d4-45b8-93b8-c7671f665c47"/>
    <s v="2022-10-05"/>
    <x v="4"/>
    <x v="8"/>
    <n v="5"/>
    <s v="09:18"/>
    <n v="6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b92376a-f353-403c-b5ef-29ba8ea819c5"/>
    <s v="2022-10-05"/>
    <x v="4"/>
    <x v="8"/>
    <n v="5"/>
    <s v="09:34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283394dd-84b4-473e-820c-90b1edda8991"/>
    <s v="2022-10-05"/>
    <x v="4"/>
    <x v="8"/>
    <n v="5"/>
    <s v="12:18"/>
    <n v="7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e9cbf40-1097-4ebc-8ceb-943aa89ddbf0"/>
    <s v="2022-10-05"/>
    <x v="4"/>
    <x v="8"/>
    <n v="5"/>
    <s v="12:30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8996100-3444-4940-b753-bb0c7af828d6"/>
    <s v="2022-10-05"/>
    <x v="4"/>
    <x v="8"/>
    <n v="5"/>
    <s v="17:34"/>
    <n v="552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5a6008c-02ef-4f5d-9f48-a40b0b2d6dcf"/>
    <s v="2022-10-05"/>
    <x v="4"/>
    <x v="8"/>
    <n v="5"/>
    <s v="18:23"/>
    <n v="99"/>
    <x v="1"/>
    <s v="other"/>
    <x v="1"/>
    <s v="rc_acc_1781955063347_omhz"/>
    <x v="29"/>
    <s v="advance"/>
    <s v="Advance Paid"/>
    <s v="เครื่องชั่งน้ำหนัก"/>
    <m/>
    <s v="import"/>
    <s v=""/>
    <b v="0"/>
    <s v=""/>
  </r>
  <r>
    <s v="2dd9a2ce-5ae1-4477-b4f8-62b46eff843f"/>
    <s v="2022-10-05"/>
    <x v="4"/>
    <x v="8"/>
    <n v="5"/>
    <s v="21:37"/>
    <n v="99"/>
    <x v="0"/>
    <s v="entertain_1781955063349_gok1"/>
    <x v="18"/>
    <s v="rc_acc_1781955063347_0qmn"/>
    <x v="20"/>
    <s v=""/>
    <m/>
    <s v="ที่ชั่งน้ำหนัก"/>
    <m/>
    <s v="import"/>
    <s v=""/>
    <b v="0"/>
    <s v=""/>
  </r>
  <r>
    <s v="2de6a10d-0a6b-4c7d-982c-e85eebccd0ea"/>
    <s v="2022-10-04"/>
    <x v="4"/>
    <x v="8"/>
    <n v="4"/>
    <s v="08:15"/>
    <n v="300"/>
    <x v="1"/>
    <s v="other"/>
    <x v="1"/>
    <s v="rc_acc_1781955063347_uxz4"/>
    <x v="4"/>
    <s v="advance"/>
    <s v="Advance Paid"/>
    <s v="กางเกง"/>
    <m/>
    <s v="import"/>
    <s v=""/>
    <b v="0"/>
    <s v=""/>
  </r>
  <r>
    <s v="ec7497bd-852f-4c18-888c-e0a1aedb964d"/>
    <s v="2022-10-04"/>
    <x v="4"/>
    <x v="8"/>
    <n v="4"/>
    <s v="09:16"/>
    <n v="8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9db5ef1-2d1e-4bae-8c78-93c3a54365bc"/>
    <s v="2022-10-04"/>
    <x v="4"/>
    <x v="8"/>
    <n v="4"/>
    <s v="09:16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acea383-d02c-42fc-b963-c71d268b87b9"/>
    <s v="2022-10-04"/>
    <x v="4"/>
    <x v="8"/>
    <n v="4"/>
    <s v="12:17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64ac28e-b65f-4140-b686-ef156a8e4bf1"/>
    <s v="2022-10-03"/>
    <x v="4"/>
    <x v="8"/>
    <n v="3"/>
    <s v="12:14"/>
    <n v="40"/>
    <x v="0"/>
    <s v="rc_cat_1781955063347_5qjb_1781955063347_irl1"/>
    <x v="0"/>
    <s v="rc_acc_1781955063347_e3zv"/>
    <x v="16"/>
    <s v=""/>
    <m/>
    <s v="-"/>
    <m/>
    <s v="import"/>
    <s v=""/>
    <b v="0"/>
    <s v=""/>
  </r>
  <r>
    <s v="054b9cca-f8b3-40fb-86b7-8f05f26119f9"/>
    <s v="2022-10-03"/>
    <x v="4"/>
    <x v="8"/>
    <n v="3"/>
    <s v="13:30"/>
    <n v="50"/>
    <x v="0"/>
    <s v="rc_cat_1781955063347_5qjb_1781955063347_irl1"/>
    <x v="0"/>
    <s v="rc_acc_1781955063347_uxz4"/>
    <x v="4"/>
    <s v=""/>
    <m/>
    <s v="-"/>
    <m/>
    <s v="import"/>
    <s v=""/>
    <b v="0"/>
    <s v=""/>
  </r>
  <r>
    <s v="4f301431-2d6c-429d-bac1-76ba6b9086d1"/>
    <s v="2022-10-03"/>
    <x v="4"/>
    <x v="8"/>
    <n v="3"/>
    <s v="14:15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33bbc44-57dc-4852-8424-f6213485845d"/>
    <s v="2022-10-02"/>
    <x v="4"/>
    <x v="8"/>
    <n v="2"/>
    <s v="07:40"/>
    <n v="8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c26ccff-4028-47bf-999e-c4a54a1a5077"/>
    <s v="2022-10-02"/>
    <x v="4"/>
    <x v="8"/>
    <n v="2"/>
    <s v="18:26"/>
    <n v="114"/>
    <x v="0"/>
    <s v="rc_cat_1781955063347_5qjb_1781955063347_tezk"/>
    <x v="5"/>
    <s v="rc_acc_1781955063347_omhz"/>
    <x v="29"/>
    <s v=""/>
    <m/>
    <s v="-"/>
    <m/>
    <s v="import"/>
    <s v=""/>
    <b v="0"/>
    <s v=""/>
  </r>
  <r>
    <s v="572d127a-4c0c-406a-82a9-65b6ec3253f9"/>
    <s v="2022-10-02"/>
    <x v="4"/>
    <x v="8"/>
    <n v="2"/>
    <s v="19:11"/>
    <n v="200"/>
    <x v="0"/>
    <s v="other_1781955063348_27zj"/>
    <x v="0"/>
    <s v="rc_acc_1781955063347_uxz4"/>
    <x v="4"/>
    <s v=""/>
    <m/>
    <s v="trip ถ่ายรูป"/>
    <m/>
    <s v="import"/>
    <s v=""/>
    <b v="0"/>
    <s v=""/>
  </r>
  <r>
    <s v="535552bb-82a2-42ca-ba81-bb00c79590cd"/>
    <s v="2022-10-02"/>
    <x v="4"/>
    <x v="8"/>
    <n v="2"/>
    <s v="19:50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a67df1be-ca2d-43ba-8c72-e22b89ad6afa"/>
    <s v="2022-10-01"/>
    <x v="4"/>
    <x v="8"/>
    <n v="1"/>
    <s v="10:25"/>
    <n v="480"/>
    <x v="0"/>
    <s v="rc_cat_1781955063347_5qjb_1781955063347_tezk"/>
    <x v="5"/>
    <s v="rc_acc_1781955063347_0qmn"/>
    <x v="20"/>
    <s v=""/>
    <m/>
    <s v="bonchon"/>
    <m/>
    <s v="import"/>
    <s v=""/>
    <b v="0"/>
    <s v=""/>
  </r>
  <r>
    <s v="ad91ec31-5c44-4dd6-a2ab-d9113682b763"/>
    <s v="2022-10-01"/>
    <x v="4"/>
    <x v="8"/>
    <n v="1"/>
    <s v="11:09"/>
    <n v="200"/>
    <x v="0"/>
    <s v="other_1781955063348_27zj"/>
    <x v="0"/>
    <s v="rc_acc_1781955063347_uxz4"/>
    <x v="4"/>
    <s v=""/>
    <m/>
    <s v="ตัดผม"/>
    <m/>
    <s v="import"/>
    <s v=""/>
    <b v="0"/>
    <s v=""/>
  </r>
  <r>
    <s v="7fb9b6ae-0680-4a2e-901f-8fc56657ac97"/>
    <s v="2022-10-01"/>
    <x v="4"/>
    <x v="8"/>
    <n v="1"/>
    <s v="13:10"/>
    <n v="9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d1a0241-e843-483b-96cf-3608fc4d5376"/>
    <s v="2022-09-30"/>
    <x v="4"/>
    <x v="9"/>
    <n v="30"/>
    <s v="10:32"/>
    <n v="8000"/>
    <x v="1"/>
    <s v="other"/>
    <x v="1"/>
    <s v="rc_acc_1781955063347_e3zv"/>
    <x v="16"/>
    <s v="rc_acc_1781955063347_uxz4"/>
    <s v="SCB"/>
    <s v="-"/>
    <m/>
    <s v="import"/>
    <s v=""/>
    <b v="0"/>
    <s v=""/>
  </r>
  <r>
    <s v="b4063333-2181-4369-baea-aa27b3e484a3"/>
    <s v="2022-09-30"/>
    <x v="4"/>
    <x v="9"/>
    <n v="30"/>
    <s v="10:48"/>
    <n v="40000"/>
    <x v="1"/>
    <s v="other"/>
    <x v="1"/>
    <s v="advance"/>
    <x v="2"/>
    <s v="rc_acc_1781955063347_uxz4"/>
    <s v="SCB"/>
    <s v="-"/>
    <m/>
    <s v="import"/>
    <s v=""/>
    <b v="0"/>
    <s v=""/>
  </r>
  <r>
    <s v="ca44420d-4be5-404f-9c3d-be9efcd4bc21"/>
    <s v="2022-09-30"/>
    <x v="4"/>
    <x v="9"/>
    <n v="30"/>
    <s v="10:50"/>
    <n v="7000"/>
    <x v="1"/>
    <s v="other"/>
    <x v="1"/>
    <s v="rc_acc_1781955063347_e3zv"/>
    <x v="16"/>
    <s v="rc_acc_1781955063347_uxz4"/>
    <s v="SCB"/>
    <s v="-"/>
    <m/>
    <s v="import"/>
    <s v=""/>
    <b v="0"/>
    <s v=""/>
  </r>
  <r>
    <s v="f52accc8-88e8-4406-bae9-515e59a04848"/>
    <s v="2022-09-30"/>
    <x v="4"/>
    <x v="9"/>
    <n v="30"/>
    <s v="14:49"/>
    <n v="15"/>
    <x v="0"/>
    <s v="rc_cat_1781955063347_5qjb_1781955063347_irl1"/>
    <x v="0"/>
    <s v="rc_acc_1781955063347_uxz4"/>
    <x v="4"/>
    <s v=""/>
    <m/>
    <s v="-"/>
    <m/>
    <s v="import"/>
    <s v=""/>
    <b v="0"/>
    <s v=""/>
  </r>
  <r>
    <s v="3671d7f5-a3a9-4b42-b79e-95eb26299f42"/>
    <s v="2022-09-30"/>
    <x v="4"/>
    <x v="9"/>
    <n v="30"/>
    <s v="15:01"/>
    <n v="400"/>
    <x v="1"/>
    <s v="other"/>
    <x v="1"/>
    <s v="rc_acc_1781955063348_no9r"/>
    <x v="7"/>
    <s v="rc_acc_1781955063347_e3zv"/>
    <s v="Cash"/>
    <s v="-"/>
    <m/>
    <s v="import"/>
    <s v=""/>
    <b v="0"/>
    <s v=""/>
  </r>
  <r>
    <s v="e38fa1b1-38bb-4777-b638-3a83ece6e91a"/>
    <s v="2022-09-30"/>
    <x v="4"/>
    <x v="9"/>
    <n v="30"/>
    <s v="15:40"/>
    <n v="3000"/>
    <x v="1"/>
    <s v="other"/>
    <x v="1"/>
    <s v="kbank"/>
    <x v="0"/>
    <s v="rc_acc_1781955063347_e3zv"/>
    <s v="Cash"/>
    <s v="-"/>
    <m/>
    <s v="import"/>
    <s v=""/>
    <b v="0"/>
    <s v=""/>
  </r>
  <r>
    <s v="bf7e88df-a278-4304-9c16-c187e6a91fcc"/>
    <s v="2022-09-30"/>
    <x v="4"/>
    <x v="9"/>
    <n v="30"/>
    <s v="15:52"/>
    <n v="4500"/>
    <x v="1"/>
    <s v="other"/>
    <x v="1"/>
    <s v="rc_acc_1781955063347_uxz4"/>
    <x v="4"/>
    <s v="rc_acc_1781955063347_e3zv"/>
    <s v="Cash"/>
    <s v="-"/>
    <m/>
    <s v="import"/>
    <s v=""/>
    <b v="0"/>
    <s v=""/>
  </r>
  <r>
    <s v="c61be1fc-fd96-4215-9da1-735c84c027a2"/>
    <s v="2022-09-30"/>
    <x v="4"/>
    <x v="9"/>
    <n v="30"/>
    <s v="16:07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448536f-516c-41cd-84d7-4ec6a5cae645"/>
    <s v="2022-09-30"/>
    <x v="4"/>
    <x v="9"/>
    <n v="30"/>
    <s v="16:52"/>
    <n v="4000"/>
    <x v="1"/>
    <s v="other"/>
    <x v="1"/>
    <s v="rc_acc_1781955063347_e3zv"/>
    <x v="16"/>
    <s v="advance"/>
    <s v="Advance Paid"/>
    <s v="-"/>
    <m/>
    <s v="import"/>
    <s v=""/>
    <b v="0"/>
    <s v=""/>
  </r>
  <r>
    <s v="c7e7ccd3-7b3a-412e-b172-5229f55027e4"/>
    <s v="2022-09-29"/>
    <x v="4"/>
    <x v="9"/>
    <n v="29"/>
    <s v="13:31"/>
    <n v="4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6b84417-39de-40a9-9b94-e5439a107a8e"/>
    <s v="2022-09-29"/>
    <x v="4"/>
    <x v="9"/>
    <n v="29"/>
    <s v="13:31"/>
    <n v="10000"/>
    <x v="1"/>
    <s v="other"/>
    <x v="1"/>
    <s v="rc_acc_1781955063347_uxz4"/>
    <x v="4"/>
    <s v="rc_acc_1781955063347_e3zv"/>
    <s v="Cash"/>
    <s v="-"/>
    <m/>
    <s v="import"/>
    <s v=""/>
    <b v="0"/>
    <s v=""/>
  </r>
  <r>
    <s v="2c0ab889-d57b-4bf7-9a81-3f3763a2d8f7"/>
    <s v="2022-09-29"/>
    <x v="4"/>
    <x v="9"/>
    <n v="29"/>
    <s v="13:31"/>
    <n v="2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169f6fd-2f99-4223-9944-1e4919f661aa"/>
    <s v="2022-09-28"/>
    <x v="4"/>
    <x v="9"/>
    <n v="28"/>
    <s v="09:45"/>
    <n v="114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737a9f8-caa3-47a0-bf52-673742475371"/>
    <s v="2022-09-28"/>
    <x v="4"/>
    <x v="9"/>
    <n v="28"/>
    <s v="10:29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abee249-f576-4dfb-9b6e-64ae7f5ac2a3"/>
    <s v="2022-09-28"/>
    <x v="4"/>
    <x v="9"/>
    <n v="28"/>
    <s v="10:30"/>
    <n v="20000"/>
    <x v="0"/>
    <s v="other_1781955063348_yjhe"/>
    <x v="26"/>
    <s v="rc_acc_1781955063347_e3zv"/>
    <x v="16"/>
    <s v=""/>
    <m/>
    <s v="-"/>
    <m/>
    <s v="import"/>
    <s v=""/>
    <b v="0"/>
    <s v=""/>
  </r>
  <r>
    <s v="064d5d2c-d228-4963-b4d3-fae91c4f2e02"/>
    <s v="2022-09-28"/>
    <x v="4"/>
    <x v="9"/>
    <n v="28"/>
    <s v="14:27"/>
    <n v="20000"/>
    <x v="1"/>
    <s v="other"/>
    <x v="1"/>
    <s v="rc_acc_1781955063348_hnxg"/>
    <x v="9"/>
    <s v="rc_acc_1781955063347_e3zv"/>
    <s v="Cash"/>
    <s v="-"/>
    <m/>
    <s v="import"/>
    <s v=""/>
    <b v="0"/>
    <s v=""/>
  </r>
  <r>
    <s v="a7454eba-88d2-4b91-9c17-10aae9952726"/>
    <s v="2022-09-28"/>
    <x v="4"/>
    <x v="9"/>
    <n v="28"/>
    <s v="14:27"/>
    <n v="5000"/>
    <x v="1"/>
    <s v="other"/>
    <x v="1"/>
    <s v="rc_acc_1781955063348_hnxg"/>
    <x v="9"/>
    <s v="rc_acc_1781955063347_e3zv"/>
    <s v="Cash"/>
    <s v="-"/>
    <m/>
    <s v="import"/>
    <s v=""/>
    <b v="0"/>
    <s v=""/>
  </r>
  <r>
    <s v="95c7c4d0-c2b0-4254-b487-b773eb95fd2a"/>
    <s v="2022-09-28"/>
    <x v="4"/>
    <x v="9"/>
    <n v="28"/>
    <s v="15:00"/>
    <n v="12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05e8926-6d9f-4a31-b32c-708e51a5b71b"/>
    <s v="2022-09-28"/>
    <x v="4"/>
    <x v="9"/>
    <n v="28"/>
    <s v="18:20"/>
    <n v="5000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9c872958-96c2-40cd-bf69-6fafcfd20d69"/>
    <s v="2022-09-27"/>
    <x v="4"/>
    <x v="9"/>
    <n v="27"/>
    <s v="00:00"/>
    <n v="661.19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ea2d05c5-6171-4a9e-9722-7d7d8f84c3f1"/>
    <s v="2022-09-27"/>
    <x v="4"/>
    <x v="9"/>
    <n v="27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df333089-2913-4fa4-966c-9a8ba9ebe85c"/>
    <s v="2022-09-27"/>
    <x v="4"/>
    <x v="9"/>
    <n v="27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31d9f209-e4e5-4e09-8ad7-ea26ec2082cb"/>
    <s v="2022-09-27"/>
    <x v="4"/>
    <x v="9"/>
    <n v="27"/>
    <s v="00:00"/>
    <n v="119.48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5ab9b372-10b7-442e-a985-42a80e888249"/>
    <s v="2022-09-27"/>
    <x v="4"/>
    <x v="9"/>
    <n v="27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1486b88c-29fb-4080-a853-ed7127da89a7"/>
    <s v="2022-09-27"/>
    <x v="4"/>
    <x v="9"/>
    <n v="27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34a9b19f-e763-4f84-bae3-b6654e6229fe"/>
    <s v="2022-09-27"/>
    <x v="4"/>
    <x v="9"/>
    <n v="27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a15b01dc-e4f1-47c9-83ad-25bd94a65cc1"/>
    <s v="2022-09-27"/>
    <x v="4"/>
    <x v="9"/>
    <n v="27"/>
    <s v="00:00"/>
    <n v="505.9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a554a523-fde7-4ac4-80b7-f5699872798f"/>
    <s v="2022-09-27"/>
    <x v="4"/>
    <x v="9"/>
    <n v="27"/>
    <s v="00:00"/>
    <n v="90"/>
    <x v="0"/>
    <s v="rc_cat_1781955063347_anhy_1781955063347_qnaz"/>
    <x v="4"/>
    <s v="rc_acc_1781955063347_uxz4"/>
    <x v="4"/>
    <s v=""/>
    <m/>
    <s v="รักษาเกินสิทธิ"/>
    <m/>
    <s v="import"/>
    <s v=""/>
    <b v="0"/>
    <s v=""/>
  </r>
  <r>
    <s v="4d783cf2-1462-41e2-b23b-ec29237de95c"/>
    <s v="2022-09-27"/>
    <x v="4"/>
    <x v="9"/>
    <n v="27"/>
    <s v="11:27"/>
    <n v="245"/>
    <x v="0"/>
    <s v="rc_cat_1781955063347_5qjb_1781955063347_tezk"/>
    <x v="5"/>
    <s v="rc_acc_1781955063349_mitc"/>
    <x v="23"/>
    <s v=""/>
    <m/>
    <s v="-"/>
    <m/>
    <s v="import"/>
    <s v=""/>
    <b v="0"/>
    <s v=""/>
  </r>
  <r>
    <s v="41a687bd-6931-452e-8e8f-ee89517528b2"/>
    <s v="2022-09-27"/>
    <x v="4"/>
    <x v="9"/>
    <n v="27"/>
    <s v="12:33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eeba647-d5c8-4355-b0c4-d6193a4b526b"/>
    <s v="2022-09-27"/>
    <x v="4"/>
    <x v="9"/>
    <n v="27"/>
    <s v="12:41"/>
    <n v="70"/>
    <x v="0"/>
    <s v="rc_cat_1781955063347_5qjb_1781955063347_tezk"/>
    <x v="5"/>
    <s v="kbank"/>
    <x v="0"/>
    <s v=""/>
    <m/>
    <s v="-"/>
    <m/>
    <s v="import"/>
    <s v=""/>
    <b v="0"/>
    <s v=""/>
  </r>
  <r>
    <s v="553eec9b-3018-4c1d-88a9-2f01c8a96a42"/>
    <s v="2022-09-26"/>
    <x v="4"/>
    <x v="9"/>
    <n v="26"/>
    <s v="00:56"/>
    <n v="87"/>
    <x v="0"/>
    <s v="rc_cat_1781955063347_5qjb_1781955063347_tezk"/>
    <x v="5"/>
    <s v="kbank"/>
    <x v="0"/>
    <s v=""/>
    <m/>
    <s v="-"/>
    <m/>
    <s v="import"/>
    <s v=""/>
    <b v="0"/>
    <s v=""/>
  </r>
  <r>
    <s v="87b61915-5e23-4b41-9b90-a06e46b40268"/>
    <s v="2022-09-26"/>
    <x v="4"/>
    <x v="9"/>
    <n v="26"/>
    <s v="12:33"/>
    <n v="3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a121537-a976-4a25-bc50-8000e5313e3d"/>
    <s v="2022-09-25"/>
    <x v="4"/>
    <x v="9"/>
    <n v="25"/>
    <s v="12:17"/>
    <n v="115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37ec80fc-ad34-4887-9429-7aadc83ecca5"/>
    <s v="2022-09-25"/>
    <x v="4"/>
    <x v="9"/>
    <n v="25"/>
    <s v="12:17"/>
    <n v="364"/>
    <x v="0"/>
    <s v="rc_cat_1781955063347_5qjb_1781955063347_tezk"/>
    <x v="5"/>
    <s v="kbank"/>
    <x v="0"/>
    <s v=""/>
    <m/>
    <s v="tonshin mercure vill"/>
    <m/>
    <s v="import"/>
    <s v=""/>
    <b v="0"/>
    <s v=""/>
  </r>
  <r>
    <s v="b688c9d4-c93f-4565-82e8-a5e3e2a660f0"/>
    <s v="2022-09-25"/>
    <x v="4"/>
    <x v="9"/>
    <n v="25"/>
    <s v="12:39"/>
    <n v="165"/>
    <x v="0"/>
    <s v="rc_cat_1781955063347_5qjb_1781955063348_xqml"/>
    <x v="31"/>
    <s v="kbank"/>
    <x v="0"/>
    <s v=""/>
    <m/>
    <s v="แป้ง"/>
    <m/>
    <s v="import"/>
    <s v=""/>
    <b v="0"/>
    <s v=""/>
  </r>
  <r>
    <s v="c1abdc0c-487a-42a4-a33d-03714ad38e4e"/>
    <s v="2022-09-25"/>
    <x v="4"/>
    <x v="9"/>
    <n v="25"/>
    <s v="12:42"/>
    <n v="351"/>
    <x v="0"/>
    <s v="rc_cat_1781955063347_5qjb_1781955063347_tezk"/>
    <x v="5"/>
    <s v="rc_acc_1781955063347_0qmn"/>
    <x v="20"/>
    <s v=""/>
    <m/>
    <s v="เขียง"/>
    <m/>
    <s v="import"/>
    <s v=""/>
    <b v="0"/>
    <s v=""/>
  </r>
  <r>
    <s v="297757e3-3a0a-4131-b3d6-2a533a4c94d6"/>
    <s v="2022-09-25"/>
    <x v="4"/>
    <x v="9"/>
    <n v="25"/>
    <s v="12:43"/>
    <n v="141"/>
    <x v="0"/>
    <s v="rc_cat_1781955063347_5qjb_1781955063347_tezk"/>
    <x v="5"/>
    <s v="kbank"/>
    <x v="0"/>
    <s v=""/>
    <m/>
    <s v="-"/>
    <m/>
    <s v="import"/>
    <s v=""/>
    <b v="0"/>
    <s v=""/>
  </r>
  <r>
    <s v="d6da1a79-00c2-43ba-ad26-78be021e10d5"/>
    <s v="2022-09-25"/>
    <x v="4"/>
    <x v="9"/>
    <n v="25"/>
    <s v="12:44"/>
    <n v="659"/>
    <x v="1"/>
    <s v="other"/>
    <x v="1"/>
    <s v="kbank"/>
    <x v="0"/>
    <s v="advance"/>
    <s v="Advance Paid"/>
    <s v="-"/>
    <m/>
    <s v="import"/>
    <s v=""/>
    <b v="0"/>
    <s v=""/>
  </r>
  <r>
    <s v="b8f3bf56-f134-4c72-aaf9-81c5668fceea"/>
    <s v="2022-09-25"/>
    <x v="4"/>
    <x v="9"/>
    <n v="25"/>
    <s v="12:44"/>
    <n v="418"/>
    <x v="1"/>
    <s v="other"/>
    <x v="1"/>
    <s v="advance"/>
    <x v="2"/>
    <s v="rc_acc_1781955063347_uxz4"/>
    <s v="SCB"/>
    <s v="-"/>
    <m/>
    <s v="import"/>
    <s v=""/>
    <b v="0"/>
    <s v=""/>
  </r>
  <r>
    <s v="09294624-dfbb-44db-a134-ff66af00a9b3"/>
    <s v="2022-09-25"/>
    <x v="4"/>
    <x v="9"/>
    <n v="25"/>
    <s v="13:05"/>
    <n v="500"/>
    <x v="0"/>
    <s v="rc_cat_1781955063347_5qjb_1781955063348_hrbf"/>
    <x v="28"/>
    <s v="rc_acc_1781955063347_0qmn"/>
    <x v="20"/>
    <s v=""/>
    <m/>
    <s v="เนต"/>
    <m/>
    <s v="import"/>
    <s v=""/>
    <b v="0"/>
    <s v=""/>
  </r>
  <r>
    <s v="389655e6-4948-466e-9258-7bdd8e20fb3c"/>
    <s v="2022-09-25"/>
    <x v="4"/>
    <x v="9"/>
    <n v="25"/>
    <s v="13:06"/>
    <n v="354.93"/>
    <x v="0"/>
    <s v="rc_cat_1781955063347_5qjb_1781955063348_hrbf"/>
    <x v="28"/>
    <s v="rc_acc_1781955063347_uxz4"/>
    <x v="4"/>
    <s v=""/>
    <m/>
    <s v="มือถือ"/>
    <m/>
    <s v="import"/>
    <s v=""/>
    <b v="0"/>
    <s v=""/>
  </r>
  <r>
    <s v="0b87b26b-959e-464c-b0a2-aa766d53787d"/>
    <s v="2022-09-25"/>
    <x v="4"/>
    <x v="9"/>
    <n v="25"/>
    <s v="13:12"/>
    <n v="1380"/>
    <x v="0"/>
    <s v="rc_cat_1781955063347_5qjb_1781955063348_hrbf"/>
    <x v="28"/>
    <s v="rc_acc_1781955063347_0qmn"/>
    <x v="20"/>
    <s v=""/>
    <m/>
    <s v="ค่าน้ำย้อน 7 เดือน"/>
    <m/>
    <s v="import"/>
    <s v=""/>
    <b v="0"/>
    <s v=""/>
  </r>
  <r>
    <s v="90b1d9bd-3794-47e1-a7aa-0f79042071b9"/>
    <s v="2022-09-25"/>
    <x v="4"/>
    <x v="9"/>
    <n v="25"/>
    <s v="13:12"/>
    <n v="2999"/>
    <x v="0"/>
    <s v="rc_cat_1781955063347_5qjb_1781955063347_tezk"/>
    <x v="5"/>
    <s v="rc_acc_1781955063347_0qmn"/>
    <x v="20"/>
    <s v=""/>
    <m/>
    <s v="shopee food ยอด 13-25 กย"/>
    <m/>
    <s v="import"/>
    <s v=""/>
    <b v="0"/>
    <s v=""/>
  </r>
  <r>
    <s v="9ee958d2-5388-45d4-b3a1-16a9897c36ae"/>
    <s v="2022-09-25"/>
    <x v="4"/>
    <x v="9"/>
    <n v="25"/>
    <s v="13:28"/>
    <n v="375"/>
    <x v="0"/>
    <s v="entertain_1781955063348_kx2f"/>
    <x v="0"/>
    <s v="rc_acc_1781955063348_obza"/>
    <x v="8"/>
    <s v=""/>
    <m/>
    <s v="-"/>
    <m/>
    <s v="import"/>
    <s v=""/>
    <b v="0"/>
    <s v=""/>
  </r>
  <r>
    <s v="695fee55-85b2-4676-adf8-adad763726cf"/>
    <s v="2022-09-25"/>
    <x v="4"/>
    <x v="9"/>
    <n v="25"/>
    <s v="13:42"/>
    <n v="400"/>
    <x v="1"/>
    <s v="other"/>
    <x v="1"/>
    <s v="advance"/>
    <x v="2"/>
    <s v="rc_acc_1781955063348_hnxg"/>
    <s v="BBL"/>
    <s v="-"/>
    <m/>
    <s v="import"/>
    <s v=""/>
    <b v="0"/>
    <s v=""/>
  </r>
  <r>
    <s v="911bd85c-360f-41fb-8bf6-4493e3cbc5df"/>
    <s v="2022-09-25"/>
    <x v="4"/>
    <x v="9"/>
    <n v="25"/>
    <s v="16:30"/>
    <n v="662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4208d54-a564-4df2-a1e4-2eca7a78209c"/>
    <s v="2022-09-25"/>
    <x v="4"/>
    <x v="9"/>
    <n v="25"/>
    <s v="17:31"/>
    <n v="590"/>
    <x v="0"/>
    <s v="rc_cat_1781955063347_5qjb_1781955063347_tezk"/>
    <x v="5"/>
    <s v="rc_acc_1781955063347_0qmn"/>
    <x v="20"/>
    <s v=""/>
    <m/>
    <s v="งาน food"/>
    <m/>
    <s v="import"/>
    <s v=""/>
    <b v="0"/>
    <s v=""/>
  </r>
  <r>
    <s v="663920be-eca4-41ff-a85f-43b21775f7f9"/>
    <s v="2022-09-25"/>
    <x v="4"/>
    <x v="9"/>
    <n v="25"/>
    <s v="20:25"/>
    <n v="1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3a89c14-9048-4d66-b448-331d982ef198"/>
    <s v="2022-09-24"/>
    <x v="4"/>
    <x v="9"/>
    <n v="24"/>
    <s v="10:45"/>
    <n v="400"/>
    <x v="1"/>
    <s v="other"/>
    <x v="1"/>
    <s v="rc_acc_1781955063348_hnxg"/>
    <x v="9"/>
    <s v="rc_acc_1781955063347_e3zv"/>
    <s v="Cash"/>
    <s v="-"/>
    <m/>
    <s v="import"/>
    <s v=""/>
    <b v="0"/>
    <s v=""/>
  </r>
  <r>
    <s v="0d0dd183-72d6-41d7-9480-f5286967c2ea"/>
    <s v="2022-09-24"/>
    <x v="4"/>
    <x v="9"/>
    <n v="24"/>
    <s v="10:45"/>
    <n v="120"/>
    <x v="0"/>
    <s v="rc_cat_1781955063347_5qjb_1781955063347_irl1"/>
    <x v="0"/>
    <s v="rc_acc_1781955063347_e3zv"/>
    <x v="16"/>
    <s v=""/>
    <m/>
    <s v="-"/>
    <m/>
    <s v="import"/>
    <s v=""/>
    <b v="0"/>
    <s v=""/>
  </r>
  <r>
    <s v="dea7cd0b-298e-45b1-9ff7-ae1f6190f0e2"/>
    <s v="2022-09-24"/>
    <x v="4"/>
    <x v="9"/>
    <n v="24"/>
    <s v="12:12"/>
    <n v="836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dc5992c-dbec-473a-9918-71619d8363dc"/>
    <s v="2022-09-24"/>
    <x v="4"/>
    <x v="9"/>
    <n v="24"/>
    <s v="20:43"/>
    <n v="419"/>
    <x v="1"/>
    <s v="other"/>
    <x v="1"/>
    <s v="rc_acc_1781955063347_uxz4"/>
    <x v="4"/>
    <s v="advance"/>
    <s v="Advance Paid"/>
    <s v="สุกี้เฉลิมนคร"/>
    <m/>
    <s v="import"/>
    <s v=""/>
    <b v="0"/>
    <s v=""/>
  </r>
  <r>
    <s v="16d90273-99e5-4415-8a6f-f746225d2239"/>
    <s v="2022-09-23"/>
    <x v="4"/>
    <x v="9"/>
    <n v="23"/>
    <s v="12:15"/>
    <n v="25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0352f14-c7f0-4833-aeec-a7e67fd36f64"/>
    <s v="2022-09-23"/>
    <x v="4"/>
    <x v="9"/>
    <n v="23"/>
    <s v="12:30"/>
    <n v="5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0a8e3d9-0296-4c70-aff8-9ba8d10adbf6"/>
    <s v="2022-09-20"/>
    <x v="4"/>
    <x v="9"/>
    <n v="20"/>
    <s v="11:42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4323d34-99f0-4c98-a093-949b8ad7e593"/>
    <s v="2022-09-20"/>
    <x v="4"/>
    <x v="9"/>
    <n v="20"/>
    <s v="12:15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ca350cd-ca56-45ca-a5f6-ec865282ba01"/>
    <s v="2022-09-20"/>
    <x v="4"/>
    <x v="9"/>
    <n v="20"/>
    <s v="18:55"/>
    <n v="38775"/>
    <x v="1"/>
    <s v="other"/>
    <x v="1"/>
    <s v="rc_acc_1781955063347_uxz4"/>
    <x v="4"/>
    <s v="advance"/>
    <s v="Advance Paid"/>
    <s v="แลกเงิน JPY"/>
    <m/>
    <s v="import"/>
    <s v=""/>
    <b v="0"/>
    <s v=""/>
  </r>
  <r>
    <s v="cc86f710-8a3c-4dd2-9f1d-ff5de112238f"/>
    <s v="2022-09-19"/>
    <x v="4"/>
    <x v="9"/>
    <n v="19"/>
    <s v="08:15"/>
    <n v="8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90d1f3a-8635-498c-8a85-cf38d4c39b10"/>
    <s v="2022-09-19"/>
    <x v="4"/>
    <x v="9"/>
    <n v="19"/>
    <s v="11:41"/>
    <n v="8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7aedecd-dad6-4593-8406-73a1434e4b0e"/>
    <s v="2022-09-19"/>
    <x v="4"/>
    <x v="9"/>
    <n v="19"/>
    <s v="19:41"/>
    <n v="2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d4a9f62-a782-4c88-b5a4-e998cffbabab"/>
    <s v="2022-09-19"/>
    <x v="4"/>
    <x v="9"/>
    <n v="19"/>
    <s v="20:41"/>
    <n v="30"/>
    <x v="0"/>
    <s v="rc_cat_1781955063347_5qjb_1781955063347_irl1"/>
    <x v="0"/>
    <s v="rc_acc_1781955063347_uxz4"/>
    <x v="4"/>
    <s v=""/>
    <m/>
    <s v="-"/>
    <m/>
    <s v="import"/>
    <s v=""/>
    <b v="0"/>
    <s v=""/>
  </r>
  <r>
    <s v="3fcb01bb-bcec-403c-9535-3c3af5de7c90"/>
    <s v="2022-09-18"/>
    <x v="4"/>
    <x v="9"/>
    <n v="18"/>
    <s v="12:14"/>
    <n v="588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5984628d-f061-432f-9bea-d17d219e5dcb"/>
    <s v="2022-09-18"/>
    <x v="4"/>
    <x v="9"/>
    <n v="18"/>
    <s v="17:14"/>
    <n v="958"/>
    <x v="0"/>
    <s v="rc_cat_1781955063347_5qjb_1781955063348_xqml"/>
    <x v="31"/>
    <s v="rc_acc_1781955063347_0qmn"/>
    <x v="20"/>
    <s v=""/>
    <m/>
    <s v="macro"/>
    <m/>
    <s v="import"/>
    <s v=""/>
    <b v="0"/>
    <s v=""/>
  </r>
  <r>
    <s v="7e1c7028-8625-44d7-a77a-196e9a9febc8"/>
    <s v="2022-09-18"/>
    <x v="4"/>
    <x v="9"/>
    <n v="18"/>
    <s v="23:40"/>
    <n v="100000"/>
    <x v="1"/>
    <s v="other"/>
    <x v="1"/>
    <s v="rc_acc_1781955063347_uxz4"/>
    <x v="4"/>
    <s v="rc_acc_1781955063348_no9r"/>
    <s v="Krungthai Next"/>
    <s v="-"/>
    <m/>
    <s v="import"/>
    <s v=""/>
    <b v="0"/>
    <s v=""/>
  </r>
  <r>
    <s v="a072daf7-7098-427f-987f-2c2f89f79b77"/>
    <s v="2022-09-14"/>
    <x v="4"/>
    <x v="9"/>
    <n v="14"/>
    <s v="00:00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7b733a7b-d18e-4e6d-ba12-a3c0fc1feb0d"/>
    <s v="2022-09-14"/>
    <x v="4"/>
    <x v="9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bf7a12ee-8ce6-4979-8873-684c72bd8ad6"/>
    <s v="2022-09-14"/>
    <x v="4"/>
    <x v="9"/>
    <n v="14"/>
    <s v="11:38"/>
    <n v="185"/>
    <x v="1"/>
    <s v="other"/>
    <x v="1"/>
    <s v="rc_acc_1781955063347_uxz4"/>
    <x v="4"/>
    <s v="advance"/>
    <s v="Advance Paid"/>
    <s v="pasta"/>
    <m/>
    <s v="import"/>
    <s v=""/>
    <b v="0"/>
    <s v=""/>
  </r>
  <r>
    <s v="d9700233-8ea2-47fa-97b1-50a688a43fd0"/>
    <s v="2022-09-14"/>
    <x v="4"/>
    <x v="9"/>
    <n v="14"/>
    <s v="12:52"/>
    <n v="395"/>
    <x v="0"/>
    <s v="rc_cat_1781955063347_5qjb_1781955063347_tezk"/>
    <x v="5"/>
    <s v="rc_acc_1781955063347_uxz4"/>
    <x v="4"/>
    <s v=""/>
    <m/>
    <s v="pasta"/>
    <m/>
    <s v="import"/>
    <s v=""/>
    <b v="0"/>
    <s v=""/>
  </r>
  <r>
    <s v="9a55a30d-2f54-4aea-8604-420783f7511e"/>
    <s v="2022-09-14"/>
    <x v="4"/>
    <x v="9"/>
    <n v="14"/>
    <s v="13:15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524555b-aa82-49ca-bda2-dd22e7e3add2"/>
    <s v="2022-09-14"/>
    <x v="4"/>
    <x v="9"/>
    <n v="14"/>
    <s v="15:30"/>
    <n v="540"/>
    <x v="0"/>
    <s v="rc_cat_1781955063347_anhy_1781955063348_k5l1"/>
    <x v="16"/>
    <s v="advance"/>
    <x v="2"/>
    <s v=""/>
    <m/>
    <s v="ของพี่นัทส่วนเรา"/>
    <m/>
    <s v="import"/>
    <s v=""/>
    <b v="0"/>
    <s v=""/>
  </r>
  <r>
    <s v="ef91b6e7-bc80-4870-a7df-fe59827bec34"/>
    <s v="2022-09-14"/>
    <x v="4"/>
    <x v="9"/>
    <n v="14"/>
    <s v="15:38"/>
    <n v="1080"/>
    <x v="1"/>
    <s v="other"/>
    <x v="1"/>
    <s v="advance"/>
    <x v="2"/>
    <s v="rc_acc_1781955063347_uxz4"/>
    <s v="SCB"/>
    <s v="พี่กิ๊บพี่บูน 540*2"/>
    <m/>
    <s v="import"/>
    <s v=""/>
    <b v="0"/>
    <s v=""/>
  </r>
  <r>
    <s v="63bcc74c-d6ad-4adf-a439-8aec44a7d8ae"/>
    <s v="2022-09-14"/>
    <x v="4"/>
    <x v="9"/>
    <n v="14"/>
    <s v="15:54"/>
    <n v="3840"/>
    <x v="0"/>
    <s v="entertain_1781955063347_8r8e"/>
    <x v="8"/>
    <s v="rc_acc_1781955063347_uxz4"/>
    <x v="4"/>
    <s v=""/>
    <m/>
    <s v="-"/>
    <m/>
    <s v="import"/>
    <s v=""/>
    <b v="0"/>
    <s v=""/>
  </r>
  <r>
    <s v="5ce67561-9e7f-441c-a76b-c669cc95c815"/>
    <s v="2022-09-14"/>
    <x v="4"/>
    <x v="9"/>
    <n v="14"/>
    <s v="16:32"/>
    <n v="540"/>
    <x v="1"/>
    <s v="other"/>
    <x v="1"/>
    <s v="advance"/>
    <x v="2"/>
    <s v="rc_acc_1781955063348_hnxg"/>
    <s v="BBL"/>
    <s v="ของพี่อาท"/>
    <m/>
    <s v="import"/>
    <s v=""/>
    <b v="0"/>
    <s v=""/>
  </r>
  <r>
    <s v="1dc66ec1-69ac-4ef4-a728-c55a856cd6e4"/>
    <s v="2022-09-14"/>
    <x v="4"/>
    <x v="9"/>
    <n v="14"/>
    <s v="16:49"/>
    <n v="1370"/>
    <x v="1"/>
    <s v="other"/>
    <x v="1"/>
    <s v="advance"/>
    <x v="2"/>
    <s v="rc_acc_1781955063347_uxz4"/>
    <s v="SCB"/>
    <s v="ค่าข้าว 395*2  ของ 540"/>
    <m/>
    <s v="import"/>
    <s v=""/>
    <b v="0"/>
    <s v=""/>
  </r>
  <r>
    <s v="8c3da57f-ba99-463d-8ea5-c131de687b74"/>
    <s v="2022-09-14"/>
    <x v="4"/>
    <x v="9"/>
    <n v="14"/>
    <s v="19:15"/>
    <n v="14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697d9ff-a078-4159-a33a-1acc6f4e69bb"/>
    <s v="2022-09-13"/>
    <x v="4"/>
    <x v="9"/>
    <n v="13"/>
    <s v="12:14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1a17226-a164-4384-a747-8aac9ae2829f"/>
    <s v="2022-09-13"/>
    <x v="4"/>
    <x v="9"/>
    <n v="13"/>
    <s v="12:26"/>
    <n v="8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4b935c7-cc1f-4a36-88e7-ed5dcd68b19d"/>
    <s v="2022-09-13"/>
    <x v="4"/>
    <x v="9"/>
    <n v="13"/>
    <s v="12:33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56dfecb-376a-44e8-97db-f23e13f82263"/>
    <s v="2022-09-13"/>
    <x v="4"/>
    <x v="9"/>
    <n v="13"/>
    <s v="14:35"/>
    <n v="1000"/>
    <x v="1"/>
    <s v="other"/>
    <x v="1"/>
    <s v="rc_acc_1781955063347_uxz4"/>
    <x v="4"/>
    <s v="advance"/>
    <s v="Advance Paid"/>
    <s v="pasta"/>
    <m/>
    <s v="import"/>
    <s v=""/>
    <b v="0"/>
    <s v=""/>
  </r>
  <r>
    <s v="baa992f2-ee7f-4ad9-b450-e55d51e47121"/>
    <s v="2022-09-12"/>
    <x v="4"/>
    <x v="9"/>
    <n v="12"/>
    <s v="09:00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5aebc3e-fc22-4c9d-92e2-7f2cd6e2a8bc"/>
    <s v="2022-09-12"/>
    <x v="4"/>
    <x v="9"/>
    <n v="12"/>
    <s v="11:25"/>
    <n v="659"/>
    <x v="1"/>
    <s v="other"/>
    <x v="1"/>
    <s v="advance"/>
    <x v="2"/>
    <s v="rc_acc_1781955063347_uxz4"/>
    <s v="SCB"/>
    <s v="โมโมจากวัด"/>
    <m/>
    <s v="import"/>
    <s v=""/>
    <b v="0"/>
    <s v=""/>
  </r>
  <r>
    <s v="0eb5cd0d-0227-41fe-a955-678c9c1d181a"/>
    <s v="2022-09-11"/>
    <x v="4"/>
    <x v="9"/>
    <n v="11"/>
    <s v="12:35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1d16787-7459-4478-b078-056efe1f5eb3"/>
    <s v="2022-09-11"/>
    <x v="4"/>
    <x v="9"/>
    <n v="11"/>
    <s v="12:35"/>
    <n v="410"/>
    <x v="0"/>
    <s v="rc_cat_1781955063347_5qjb_1781955063347_tezk"/>
    <x v="5"/>
    <s v="rc_acc_1781955063347_0qmn"/>
    <x v="20"/>
    <s v=""/>
    <m/>
    <s v="a ramen"/>
    <m/>
    <s v="import"/>
    <s v=""/>
    <b v="0"/>
    <s v=""/>
  </r>
  <r>
    <s v="c9fabe6f-d97a-4bd5-acce-7280372277f8"/>
    <s v="2022-09-11"/>
    <x v="4"/>
    <x v="9"/>
    <n v="11"/>
    <s v="12:35"/>
    <n v="60"/>
    <x v="0"/>
    <s v="rc_cat_1781955063347_5qjb_1781955063348_wpky"/>
    <x v="27"/>
    <s v="rc_acc_1781955063347_0qmn"/>
    <x v="20"/>
    <s v=""/>
    <m/>
    <s v="ยา"/>
    <m/>
    <s v="import"/>
    <s v=""/>
    <b v="0"/>
    <s v=""/>
  </r>
  <r>
    <s v="4cce60fa-3514-4773-9b36-a028a5bf44ba"/>
    <s v="2022-09-11"/>
    <x v="4"/>
    <x v="9"/>
    <n v="11"/>
    <s v="19:19"/>
    <n v="131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78ad641-2341-49ba-b034-0948f8107dc7"/>
    <s v="2022-09-11"/>
    <x v="4"/>
    <x v="9"/>
    <n v="11"/>
    <s v="19:19"/>
    <n v="56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9da6a83-9cca-41e7-98aa-d337c59b3d87"/>
    <s v="2022-09-11"/>
    <x v="4"/>
    <x v="9"/>
    <n v="11"/>
    <s v="19:19"/>
    <n v="525"/>
    <x v="0"/>
    <s v="entertain_1781955063347_8r8e"/>
    <x v="8"/>
    <s v="rc_acc_1781955063347_uxz4"/>
    <x v="4"/>
    <s v=""/>
    <m/>
    <s v="-"/>
    <m/>
    <s v="import"/>
    <s v=""/>
    <b v="0"/>
    <s v=""/>
  </r>
  <r>
    <s v="750687e9-55ab-4236-90c3-e624e1a75e1f"/>
    <s v="2022-09-10"/>
    <x v="4"/>
    <x v="9"/>
    <n v="10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91efbe1b-3594-4447-ba0c-b38f1fb23676"/>
    <s v="2022-09-10"/>
    <x v="4"/>
    <x v="9"/>
    <n v="10"/>
    <s v="12:45"/>
    <n v="100"/>
    <x v="0"/>
    <s v="rc_cat_1781955063347_5qjb_1781955063347_tezk"/>
    <x v="5"/>
    <s v="rc_acc_1781955063347_0qmn"/>
    <x v="20"/>
    <s v=""/>
    <m/>
    <s v="โรตีชาชัก"/>
    <m/>
    <s v="import"/>
    <s v=""/>
    <b v="0"/>
    <s v=""/>
  </r>
  <r>
    <s v="4aaaa45e-a321-4fb1-9267-7ae815fc0a72"/>
    <s v="2022-09-10"/>
    <x v="4"/>
    <x v="9"/>
    <n v="10"/>
    <s v="12:54"/>
    <n v="189"/>
    <x v="0"/>
    <s v="rc_cat_1781955063347_5qjb_1781955063347_tezk"/>
    <x v="5"/>
    <s v="rc_acc_1781955063347_0qmn"/>
    <x v="20"/>
    <s v=""/>
    <m/>
    <s v="สุกี้แห้ง เกี้ยวซ่า สกายลัค"/>
    <m/>
    <s v="import"/>
    <s v=""/>
    <b v="0"/>
    <s v=""/>
  </r>
  <r>
    <s v="e1c1ef5c-5de4-44b7-ac42-5d54fc75a084"/>
    <s v="2022-09-10"/>
    <x v="4"/>
    <x v="9"/>
    <n v="10"/>
    <s v="13:33"/>
    <n v="55"/>
    <x v="0"/>
    <s v="rc_cat_1781955063347_5qjb_1781955063347_tezk"/>
    <x v="5"/>
    <s v="rc_acc_1781955063347_uxz4"/>
    <x v="4"/>
    <s v=""/>
    <m/>
    <s v="dolce gelato"/>
    <m/>
    <s v="import"/>
    <s v=""/>
    <b v="0"/>
    <s v=""/>
  </r>
  <r>
    <s v="ef24a8fd-49ff-4487-9844-05e8104b5702"/>
    <s v="2022-09-10"/>
    <x v="4"/>
    <x v="9"/>
    <n v="10"/>
    <s v="14:55"/>
    <n v="165"/>
    <x v="0"/>
    <s v="rc_cat_1781955063347_5qjb_1781955063348_xqml"/>
    <x v="31"/>
    <s v="rc_acc_1781955063347_0qmn"/>
    <x v="20"/>
    <s v=""/>
    <m/>
    <s v="หน้ากาก ปากกา"/>
    <m/>
    <s v="import"/>
    <s v=""/>
    <b v="0"/>
    <s v=""/>
  </r>
  <r>
    <s v="f917352c-b81a-424f-9e6b-18fbd72e5e9b"/>
    <s v="2022-09-10"/>
    <x v="4"/>
    <x v="9"/>
    <n v="10"/>
    <s v="18:09"/>
    <n v="174"/>
    <x v="0"/>
    <s v="rc_cat_1781955063347_5qjb_1781955063347_tezk"/>
    <x v="5"/>
    <s v="rc_acc_1781955063347_0qmn"/>
    <x v="20"/>
    <s v=""/>
    <m/>
    <s v="เขียง  grab 5/9"/>
    <m/>
    <s v="import"/>
    <s v=""/>
    <b v="0"/>
    <s v=""/>
  </r>
  <r>
    <s v="61de06c7-735b-489c-9216-37e0a83e2862"/>
    <s v="2022-09-10"/>
    <x v="4"/>
    <x v="9"/>
    <n v="10"/>
    <s v="18:12"/>
    <n v="86"/>
    <x v="0"/>
    <s v="rc_cat_1781955063347_anhy_1781955063348_k5l1"/>
    <x v="16"/>
    <s v="kbank"/>
    <x v="0"/>
    <s v=""/>
    <m/>
    <s v="ไอติม gussdamgood"/>
    <m/>
    <s v="import"/>
    <s v=""/>
    <b v="0"/>
    <s v=""/>
  </r>
  <r>
    <s v="92456b26-cea2-4635-9002-3aeb19365469"/>
    <s v="2022-09-10"/>
    <x v="4"/>
    <x v="9"/>
    <n v="10"/>
    <s v="18:13"/>
    <n v="500"/>
    <x v="1"/>
    <s v="other"/>
    <x v="1"/>
    <s v="kbank"/>
    <x v="0"/>
    <s v="rc_acc_1781955063347_uxz4"/>
    <s v="SCB"/>
    <s v="-"/>
    <m/>
    <s v="import"/>
    <s v=""/>
    <b v="0"/>
    <s v=""/>
  </r>
  <r>
    <s v="ae47f07f-79a8-414a-aa92-5e939476b2cc"/>
    <s v="2022-09-10"/>
    <x v="4"/>
    <x v="9"/>
    <n v="10"/>
    <s v="18:16"/>
    <n v="1230.72"/>
    <x v="0"/>
    <s v="rc_cat_1781955063347_5qjb_1781955063348_hrbf"/>
    <x v="28"/>
    <s v="rc_acc_1781955063347_0qmn"/>
    <x v="20"/>
    <s v=""/>
    <m/>
    <s v="ค่าไฟ กย"/>
    <m/>
    <s v="import"/>
    <s v=""/>
    <b v="0"/>
    <s v=""/>
  </r>
  <r>
    <s v="d2b24606-2f03-44c6-8575-1128bb4f7fb5"/>
    <s v="2022-09-10"/>
    <x v="4"/>
    <x v="9"/>
    <n v="10"/>
    <s v="18:20"/>
    <n v="1100"/>
    <x v="0"/>
    <s v="rc_cat_1781955063347_5qjb_1781955063348_edf6"/>
    <x v="30"/>
    <s v="rc_acc_1781955063347_0qmn"/>
    <x v="20"/>
    <s v=""/>
    <m/>
    <s v="น้ำมัน 1128 aug"/>
    <m/>
    <s v="import"/>
    <s v=""/>
    <b v="0"/>
    <s v=""/>
  </r>
  <r>
    <s v="6e1ae74e-dd38-4430-ba13-345f2496ad53"/>
    <s v="2022-09-10"/>
    <x v="4"/>
    <x v="9"/>
    <n v="10"/>
    <s v="18:25"/>
    <n v="45"/>
    <x v="2"/>
    <s v="other_1781955063347_5s7r"/>
    <x v="15"/>
    <s v="rc_acc_1781955063351_8khv"/>
    <x v="21"/>
    <s v=""/>
    <m/>
    <s v="Difference"/>
    <m/>
    <s v="import"/>
    <s v=""/>
    <b v="0"/>
    <s v=""/>
  </r>
  <r>
    <s v="5ce3eb7a-9f5a-4eb3-82ba-850a2fcbbbf0"/>
    <s v="2022-09-10"/>
    <x v="4"/>
    <x v="9"/>
    <n v="10"/>
    <s v="18:28"/>
    <n v="1050"/>
    <x v="1"/>
    <s v="other"/>
    <x v="1"/>
    <s v="rc_acc_1781955063351_8khv"/>
    <x v="21"/>
    <s v="rc_acc_1781955063347_uxz4"/>
    <s v="SCB"/>
    <s v="-"/>
    <m/>
    <s v="import"/>
    <s v=""/>
    <b v="0"/>
    <s v=""/>
  </r>
  <r>
    <s v="0f8adba7-3383-4730-974a-375c1e4df492"/>
    <s v="2022-09-10"/>
    <x v="4"/>
    <x v="9"/>
    <n v="10"/>
    <s v="18:31"/>
    <n v="1050"/>
    <x v="0"/>
    <s v="rc_cat_1781955063347_5qjb_1781955063348_edf6"/>
    <x v="30"/>
    <s v="rc_acc_1781955063347_0qmn"/>
    <x v="20"/>
    <s v=""/>
    <m/>
    <s v="น้ำมัน 4 กย"/>
    <m/>
    <s v="import"/>
    <s v=""/>
    <b v="0"/>
    <s v=""/>
  </r>
  <r>
    <s v="1a6d4683-ca7c-4c81-b765-ecb8d6ada36f"/>
    <s v="2022-09-10"/>
    <x v="4"/>
    <x v="9"/>
    <n v="10"/>
    <s v="18:48"/>
    <n v="1462"/>
    <x v="0"/>
    <s v="rc_cat_1781955063347_s4sz_1781955063347_deos"/>
    <x v="6"/>
    <s v="rc_acc_1781955063347_uxz4"/>
    <x v="4"/>
    <s v=""/>
    <m/>
    <s v="เครื่องคิดเลข"/>
    <m/>
    <s v="import"/>
    <s v=""/>
    <b v="0"/>
    <s v=""/>
  </r>
  <r>
    <s v="e4326d00-ce20-443a-a00d-301a3d48df9c"/>
    <s v="2022-09-10"/>
    <x v="4"/>
    <x v="9"/>
    <n v="10"/>
    <s v="18:48"/>
    <n v="2723"/>
    <x v="1"/>
    <s v="other"/>
    <x v="1"/>
    <s v="rc_acc_1781955063347_uxz4"/>
    <x v="4"/>
    <s v="advance"/>
    <s v="Advance Paid"/>
    <s v="เม้าส์พี่นัท"/>
    <m/>
    <s v="import"/>
    <s v=""/>
    <b v="0"/>
    <s v=""/>
  </r>
  <r>
    <s v="bbd3d52e-6966-45ee-a9d6-24abc1e48b42"/>
    <s v="2022-09-10"/>
    <x v="4"/>
    <x v="9"/>
    <n v="10"/>
    <s v="18:56"/>
    <n v="401"/>
    <x v="0"/>
    <s v="other_1781955063347_5s7r"/>
    <x v="15"/>
    <s v="rc_acc_1781955063349_mitc"/>
    <x v="23"/>
    <s v=""/>
    <m/>
    <s v="Difference"/>
    <m/>
    <s v="import"/>
    <s v=""/>
    <b v="0"/>
    <s v=""/>
  </r>
  <r>
    <s v="f479e162-cb8a-4516-9e9b-9299d7479c01"/>
    <s v="2022-09-10"/>
    <x v="4"/>
    <x v="9"/>
    <n v="10"/>
    <s v="19:28"/>
    <n v="46752.76"/>
    <x v="0"/>
    <s v="other_1781955063348_27zj"/>
    <x v="0"/>
    <s v="rc_acc_1781955063347_uxz4"/>
    <x v="4"/>
    <s v=""/>
    <m/>
    <s v="cfa"/>
    <m/>
    <s v="import"/>
    <s v=""/>
    <b v="0"/>
    <s v=""/>
  </r>
  <r>
    <s v="bd3d7247-0452-4f9c-84d1-c6a4b2baa5dc"/>
    <s v="2022-09-10"/>
    <x v="4"/>
    <x v="9"/>
    <n v="10"/>
    <s v="19:28"/>
    <n v="830.27"/>
    <x v="0"/>
    <s v="rc_cat_1781955063347_anhy_1781955063350_fcpb"/>
    <x v="2"/>
    <s v="rc_acc_1781955063347_uxz4"/>
    <x v="4"/>
    <s v=""/>
    <m/>
    <s v="birthday"/>
    <m/>
    <s v="import"/>
    <s v=""/>
    <b v="0"/>
    <s v=""/>
  </r>
  <r>
    <s v="a6e3dd72-e918-4fd4-b80c-9203f01f0aff"/>
    <s v="2022-09-10"/>
    <x v="4"/>
    <x v="9"/>
    <n v="10"/>
    <s v="19:48"/>
    <n v="380"/>
    <x v="0"/>
    <s v="entertain_1781955063348_kx2f"/>
    <x v="0"/>
    <s v="kbank"/>
    <x v="0"/>
    <s v=""/>
    <m/>
    <s v="หน้ากาก ที่ชาจ shopee"/>
    <m/>
    <s v="import"/>
    <s v=""/>
    <b v="0"/>
    <s v=""/>
  </r>
  <r>
    <s v="8569d85c-a043-4e07-bf92-8a9eada0ead9"/>
    <s v="2022-09-10"/>
    <x v="4"/>
    <x v="9"/>
    <n v="10"/>
    <s v="19:55"/>
    <n v="1463"/>
    <x v="1"/>
    <s v="other"/>
    <x v="1"/>
    <s v="advance"/>
    <x v="2"/>
    <s v="rc_acc_1781955063347_uxz4"/>
    <s v="SCB"/>
    <s v="-"/>
    <m/>
    <s v="import"/>
    <s v=""/>
    <b v="0"/>
    <s v=""/>
  </r>
  <r>
    <s v="01bcd2e6-bef7-4430-b0a3-1e9dc5b8d9bb"/>
    <s v="2022-09-10"/>
    <x v="4"/>
    <x v="9"/>
    <n v="10"/>
    <s v="19:56"/>
    <n v="1463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330ad6a-d421-46bb-8836-da04a2e10e83"/>
    <s v="2022-09-10"/>
    <x v="4"/>
    <x v="9"/>
    <n v="10"/>
    <s v="20:01"/>
    <n v="182"/>
    <x v="0"/>
    <s v="rc_cat_1781955063347_5qjb_1781955063347_tezk"/>
    <x v="5"/>
    <s v="rc_acc_1781955063347_0qmn"/>
    <x v="20"/>
    <s v=""/>
    <m/>
    <s v="coffeelism 99"/>
    <m/>
    <s v="import"/>
    <s v=""/>
    <b v="0"/>
    <s v=""/>
  </r>
  <r>
    <s v="3545a3c6-2680-4bef-8344-bd19a6208ed6"/>
    <s v="2022-09-10"/>
    <x v="4"/>
    <x v="9"/>
    <n v="10"/>
    <s v="20:04"/>
    <n v="788"/>
    <x v="1"/>
    <s v="other"/>
    <x v="1"/>
    <s v="rc_acc_1781955063347_uxz4"/>
    <x v="4"/>
    <s v="rc_acc_1781955063348_w3gp"/>
    <s v="UOB world"/>
    <s v="-"/>
    <m/>
    <s v="import"/>
    <s v=""/>
    <b v="0"/>
    <s v=""/>
  </r>
  <r>
    <s v="c74fe314-b78a-4442-8681-11ed197637c9"/>
    <s v="2022-09-09"/>
    <x v="4"/>
    <x v="9"/>
    <n v="9"/>
    <s v="00:25"/>
    <n v="172"/>
    <x v="1"/>
    <s v="other"/>
    <x v="1"/>
    <s v="rc_acc_1781955063347_omhz"/>
    <x v="29"/>
    <s v="advance"/>
    <s v="Advance Paid"/>
    <s v="-"/>
    <m/>
    <s v="import"/>
    <s v=""/>
    <b v="0"/>
    <s v=""/>
  </r>
  <r>
    <s v="4bfc8c06-33da-417a-98d7-c7a44d88bd77"/>
    <s v="2022-09-09"/>
    <x v="4"/>
    <x v="9"/>
    <n v="9"/>
    <s v="12:01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82b795a-fb81-470c-b44c-82f3dcb24ecb"/>
    <s v="2022-09-09"/>
    <x v="4"/>
    <x v="9"/>
    <n v="9"/>
    <s v="12:45"/>
    <n v="9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de33f271-28a7-4a0c-8e07-b607cdd3bebf"/>
    <s v="2022-09-09"/>
    <x v="4"/>
    <x v="9"/>
    <n v="9"/>
    <s v="17:53"/>
    <n v="552"/>
    <x v="0"/>
    <s v="rc_cat_1781955063347_5qjb_1781955063347_tezk"/>
    <x v="5"/>
    <s v="rc_acc_1781955063347_0qmn"/>
    <x v="20"/>
    <s v=""/>
    <m/>
    <s v="ตี๋น้อย"/>
    <m/>
    <s v="import"/>
    <s v=""/>
    <b v="0"/>
    <s v=""/>
  </r>
  <r>
    <s v="68242935-84f0-4610-adc5-22c77925fae8"/>
    <s v="2022-09-09"/>
    <x v="4"/>
    <x v="9"/>
    <n v="9"/>
    <s v="19:23"/>
    <n v="375"/>
    <x v="0"/>
    <s v="entertain_1781955063348_kx2f"/>
    <x v="0"/>
    <s v="rc_acc_1781955063347_hv85"/>
    <x v="5"/>
    <s v=""/>
    <m/>
    <s v="-"/>
    <m/>
    <s v="import"/>
    <s v=""/>
    <b v="0"/>
    <s v=""/>
  </r>
  <r>
    <s v="2f8831fa-232e-4fc0-a67f-fdd44d0944c0"/>
    <s v="2022-09-08"/>
    <x v="4"/>
    <x v="9"/>
    <n v="8"/>
    <s v="09:05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081433a-3c28-4bc7-be31-b909d6d89999"/>
    <s v="2022-09-08"/>
    <x v="4"/>
    <x v="9"/>
    <n v="8"/>
    <s v="09:15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7733c36-a037-4903-b38c-afa0e1231780"/>
    <s v="2022-09-08"/>
    <x v="4"/>
    <x v="9"/>
    <n v="8"/>
    <s v="12:05"/>
    <n v="50"/>
    <x v="0"/>
    <s v="rc_cat_1781955063347_5qjb_1781955063347_tezk"/>
    <x v="5"/>
    <s v="rc_acc_1781955063347_uxz4"/>
    <x v="4"/>
    <s v=""/>
    <m/>
    <s v="ข้าวผัด"/>
    <m/>
    <s v="import"/>
    <s v=""/>
    <b v="0"/>
    <s v=""/>
  </r>
  <r>
    <s v="38f8f92d-c427-4780-a1da-eb1984de3e0a"/>
    <s v="2022-09-08"/>
    <x v="4"/>
    <x v="9"/>
    <n v="8"/>
    <s v="12:20"/>
    <n v="2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01f6902-8795-405f-91d7-6785498a2b30"/>
    <s v="2022-09-08"/>
    <x v="4"/>
    <x v="9"/>
    <n v="8"/>
    <s v="17:00"/>
    <n v="8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7d8287a-7f21-4444-bf55-c7b580286563"/>
    <s v="2022-09-08"/>
    <x v="4"/>
    <x v="9"/>
    <n v="8"/>
    <s v="19:19"/>
    <n v="116"/>
    <x v="1"/>
    <s v="other"/>
    <x v="1"/>
    <s v="rc_acc_1781955063348_w3gp"/>
    <x v="6"/>
    <s v="advance"/>
    <s v="Advance Paid"/>
    <s v="-"/>
    <m/>
    <s v="import"/>
    <s v=""/>
    <b v="0"/>
    <s v=""/>
  </r>
  <r>
    <s v="10f551ac-9213-421f-88ca-0948b857535d"/>
    <s v="2022-09-08"/>
    <x v="4"/>
    <x v="9"/>
    <n v="8"/>
    <s v="19:19"/>
    <n v="88"/>
    <x v="1"/>
    <s v="other"/>
    <x v="1"/>
    <s v="rc_acc_1781955063348_w3gp"/>
    <x v="6"/>
    <s v="advance"/>
    <s v="Advance Paid"/>
    <s v="-"/>
    <m/>
    <s v="import"/>
    <s v=""/>
    <b v="0"/>
    <s v=""/>
  </r>
  <r>
    <s v="66e18409-a571-4f39-ba24-14ceb403039e"/>
    <s v="2022-09-07"/>
    <x v="4"/>
    <x v="9"/>
    <n v="7"/>
    <s v="09:15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0c557f1-0bb5-43f2-bd7f-805f76bdf1a4"/>
    <s v="2022-09-07"/>
    <x v="4"/>
    <x v="9"/>
    <n v="7"/>
    <s v="12:58"/>
    <n v="7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60999b1-2861-4b82-b823-a5553f9837de"/>
    <s v="2022-09-07"/>
    <x v="4"/>
    <x v="9"/>
    <n v="7"/>
    <s v="12:58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3e5a035-cef4-43fb-8fa0-3049625482d3"/>
    <s v="2022-09-07"/>
    <x v="4"/>
    <x v="9"/>
    <n v="7"/>
    <s v="19:19"/>
    <n v="30"/>
    <x v="1"/>
    <s v="other"/>
    <x v="1"/>
    <s v="rc_acc_1781955063348_w3gp"/>
    <x v="6"/>
    <s v="advance"/>
    <s v="Advance Paid"/>
    <s v="-"/>
    <m/>
    <s v="import"/>
    <s v=""/>
    <b v="0"/>
    <s v=""/>
  </r>
  <r>
    <s v="e6af6938-a159-4163-a0c8-99ae790b2973"/>
    <s v="2022-09-06"/>
    <x v="4"/>
    <x v="9"/>
    <n v="6"/>
    <s v="09:06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58e034f-7200-4a12-8d1e-2933721d6e77"/>
    <s v="2022-09-06"/>
    <x v="4"/>
    <x v="9"/>
    <n v="6"/>
    <s v="09:20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6c62226-770a-473e-83b4-bd51ab487fdc"/>
    <s v="2022-09-06"/>
    <x v="4"/>
    <x v="9"/>
    <n v="6"/>
    <s v="10:48"/>
    <n v="10000"/>
    <x v="2"/>
    <s v="income_1781955063347_5zxt"/>
    <x v="14"/>
    <s v="rc_acc_1781955063347_0qmn"/>
    <x v="20"/>
    <s v=""/>
    <m/>
    <s v="hong"/>
    <m/>
    <s v="import"/>
    <s v=""/>
    <b v="0"/>
    <s v=""/>
  </r>
  <r>
    <s v="90cb08ac-490c-4c8c-936e-a93f3e044361"/>
    <s v="2022-09-06"/>
    <x v="4"/>
    <x v="9"/>
    <n v="6"/>
    <s v="12:57"/>
    <n v="6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84496ba-983e-4273-99a6-c5fcf1a13a75"/>
    <s v="2022-09-06"/>
    <x v="4"/>
    <x v="9"/>
    <n v="6"/>
    <s v="19:19"/>
    <n v="16"/>
    <x v="1"/>
    <s v="other"/>
    <x v="1"/>
    <s v="rc_acc_1781955063348_w3gp"/>
    <x v="6"/>
    <s v="advance"/>
    <s v="Advance Paid"/>
    <s v="-"/>
    <m/>
    <s v="import"/>
    <s v=""/>
    <b v="0"/>
    <s v=""/>
  </r>
  <r>
    <s v="501b16af-33ab-4f3d-b47c-55104317b3dd"/>
    <s v="2022-09-06"/>
    <x v="4"/>
    <x v="9"/>
    <n v="6"/>
    <s v="20:57"/>
    <n v="4504"/>
    <x v="0"/>
    <s v="rc_cat_1781955063347_04qb_1781955063347_wt5p"/>
    <x v="3"/>
    <s v="rc_acc_1781955063347_uxz4"/>
    <x v="4"/>
    <s v=""/>
    <m/>
    <s v="-"/>
    <m/>
    <s v="import"/>
    <s v=""/>
    <b v="0"/>
    <s v=""/>
  </r>
  <r>
    <s v="7001a68f-4bd9-4fc6-b20d-fa81b333ed80"/>
    <s v="2022-09-05"/>
    <x v="4"/>
    <x v="9"/>
    <n v="5"/>
    <s v="09:07"/>
    <n v="84"/>
    <x v="1"/>
    <s v="other"/>
    <x v="1"/>
    <s v="rc_acc_1781955063347_omhz"/>
    <x v="29"/>
    <s v="advance"/>
    <s v="Advance Paid"/>
    <s v="-"/>
    <m/>
    <s v="import"/>
    <s v=""/>
    <b v="0"/>
    <s v=""/>
  </r>
  <r>
    <s v="f92feab3-679c-40d5-a1af-6b6167e02282"/>
    <s v="2022-09-04"/>
    <x v="4"/>
    <x v="9"/>
    <n v="4"/>
    <s v="11:52"/>
    <n v="801"/>
    <x v="1"/>
    <s v="other"/>
    <x v="1"/>
    <s v="rc_acc_1781955063347_uxz4"/>
    <x v="4"/>
    <s v="advance"/>
    <s v="Advance Paid"/>
    <s v="treespace ทริปพัทยา"/>
    <m/>
    <s v="import"/>
    <s v=""/>
    <b v="0"/>
    <s v=""/>
  </r>
  <r>
    <s v="e1c3f932-cfe4-4db0-9e4c-a7f0ddf93fec"/>
    <s v="2022-09-04"/>
    <x v="4"/>
    <x v="9"/>
    <n v="4"/>
    <s v="13:53"/>
    <n v="785"/>
    <x v="1"/>
    <s v="other"/>
    <x v="1"/>
    <s v="rc_acc_1781955063347_uxz4"/>
    <x v="4"/>
    <s v="advance"/>
    <s v="Advance Paid"/>
    <s v="โกอั๋น"/>
    <m/>
    <s v="import"/>
    <s v=""/>
    <b v="0"/>
    <s v=""/>
  </r>
  <r>
    <s v="c89758df-7050-43ab-826d-334a88c550ac"/>
    <s v="2022-09-04"/>
    <x v="4"/>
    <x v="9"/>
    <n v="4"/>
    <s v="13:54"/>
    <n v="35"/>
    <x v="0"/>
    <s v="rc_cat_1781955063347_5qjb_1781955063347_tezk"/>
    <x v="5"/>
    <s v="rc_acc_1781955063347_uxz4"/>
    <x v="4"/>
    <s v=""/>
    <m/>
    <s v="โกอั๋น เราเอง"/>
    <m/>
    <s v="import"/>
    <s v=""/>
    <b v="0"/>
    <s v=""/>
  </r>
  <r>
    <s v="db322943-a5c8-492c-8a4d-bfd7e2333ce5"/>
    <s v="2022-09-04"/>
    <x v="4"/>
    <x v="9"/>
    <n v="4"/>
    <s v="14:54"/>
    <n v="295"/>
    <x v="0"/>
    <s v="rc_cat_1781955063347_5qjb_1781955063347_tezk"/>
    <x v="5"/>
    <s v="rc_acc_1781955063347_0qmn"/>
    <x v="20"/>
    <s v=""/>
    <m/>
    <s v="toffeecake ของฝาก"/>
    <m/>
    <s v="import"/>
    <s v=""/>
    <b v="0"/>
    <s v=""/>
  </r>
  <r>
    <s v="7d3b51b3-e30d-41d6-b2af-2b5e8eab8577"/>
    <s v="2022-09-04"/>
    <x v="4"/>
    <x v="9"/>
    <n v="4"/>
    <s v="16:30"/>
    <n v="2000"/>
    <x v="1"/>
    <s v="other"/>
    <x v="1"/>
    <s v="kbank"/>
    <x v="0"/>
    <s v="rc_acc_1781955063351_8khv"/>
    <s v="Bluewallet"/>
    <s v="-"/>
    <m/>
    <s v="import"/>
    <s v=""/>
    <b v="0"/>
    <s v=""/>
  </r>
  <r>
    <s v="007fbacd-e348-4958-af9d-3d83fb3b5ce2"/>
    <s v="2022-09-04"/>
    <x v="4"/>
    <x v="9"/>
    <n v="4"/>
    <s v="18:56"/>
    <n v="5000"/>
    <x v="1"/>
    <s v="other"/>
    <x v="1"/>
    <s v="advance"/>
    <x v="2"/>
    <s v="rc_acc_1781955063347_uxz4"/>
    <s v="SCB"/>
    <s v="-"/>
    <m/>
    <s v="import"/>
    <s v=""/>
    <b v="0"/>
    <s v=""/>
  </r>
  <r>
    <s v="2c8f3e46-3e5d-41a3-a361-6caddae78742"/>
    <s v="2022-09-04"/>
    <x v="4"/>
    <x v="9"/>
    <n v="4"/>
    <s v="18:58"/>
    <n v="1189"/>
    <x v="0"/>
    <s v="other_1781955063348_27zj"/>
    <x v="0"/>
    <s v="advance"/>
    <x v="2"/>
    <s v=""/>
    <m/>
    <s v="-"/>
    <m/>
    <s v="import"/>
    <s v=""/>
    <b v="0"/>
    <s v=""/>
  </r>
  <r>
    <s v="303d38ea-22d4-4431-8b6b-e66f01b36d5d"/>
    <s v="2022-09-03"/>
    <x v="4"/>
    <x v="9"/>
    <n v="3"/>
    <s v="09:08"/>
    <n v="164"/>
    <x v="1"/>
    <s v="other"/>
    <x v="1"/>
    <s v="rc_acc_1781955063347_omhz"/>
    <x v="29"/>
    <s v="advance"/>
    <s v="Advance Paid"/>
    <s v="coffeelism"/>
    <m/>
    <s v="import"/>
    <s v=""/>
    <b v="0"/>
    <s v=""/>
  </r>
  <r>
    <s v="3a2584f5-6155-48bb-9b03-f2dd09398541"/>
    <s v="2022-09-03"/>
    <x v="4"/>
    <x v="9"/>
    <n v="3"/>
    <s v="09:20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4b474c44-13e3-405c-bcde-5ca12353adc6"/>
    <s v="2022-09-03"/>
    <x v="4"/>
    <x v="9"/>
    <n v="3"/>
    <s v="18:49"/>
    <n v="1797"/>
    <x v="1"/>
    <s v="other"/>
    <x v="1"/>
    <s v="rc_acc_1781955063349_mitc"/>
    <x v="23"/>
    <s v="advance"/>
    <s v="Advance Paid"/>
    <s v="มุมอร่อย"/>
    <m/>
    <s v="import"/>
    <s v=""/>
    <b v="0"/>
    <s v=""/>
  </r>
  <r>
    <s v="0dacba1f-f7e6-4066-9ba4-9d35b98a2def"/>
    <s v="2022-09-03"/>
    <x v="4"/>
    <x v="9"/>
    <n v="3"/>
    <s v="18:51"/>
    <n v="3000"/>
    <x v="1"/>
    <s v="other"/>
    <x v="1"/>
    <s v="rc_acc_1781955063347_uxz4"/>
    <x v="4"/>
    <s v="rc_acc_1781955063349_mitc"/>
    <s v="Pao tung"/>
    <s v="-"/>
    <m/>
    <s v="import"/>
    <s v=""/>
    <b v="0"/>
    <s v=""/>
  </r>
  <r>
    <s v="88824d11-6a70-4fff-8b2a-1eae513f0251"/>
    <s v="2022-09-03"/>
    <x v="4"/>
    <x v="9"/>
    <n v="3"/>
    <s v="19:07"/>
    <n v="93"/>
    <x v="1"/>
    <s v="other"/>
    <x v="1"/>
    <s v="rc_acc_1781955063347_omhz"/>
    <x v="29"/>
    <s v="advance"/>
    <s v="Advance Paid"/>
    <s v="-"/>
    <m/>
    <s v="import"/>
    <s v=""/>
    <b v="0"/>
    <s v=""/>
  </r>
  <r>
    <s v="c3ba49d2-cbb6-4022-9642-888f2ff7b7ea"/>
    <s v="2022-09-02"/>
    <x v="4"/>
    <x v="9"/>
    <n v="2"/>
    <s v="09:05"/>
    <n v="15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d3afe41-b09a-4d11-a9d7-8c2e3fd0e06c"/>
    <s v="2022-09-02"/>
    <x v="4"/>
    <x v="9"/>
    <n v="2"/>
    <s v="09:30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2cde062-0c9d-4b1a-a6d0-090649d5c370"/>
    <s v="2022-09-02"/>
    <x v="4"/>
    <x v="9"/>
    <n v="2"/>
    <s v="15:11"/>
    <n v="570"/>
    <x v="0"/>
    <s v="rc_cat_1781955063347_anhy_1781955063348_k5l1"/>
    <x v="16"/>
    <s v="kbank"/>
    <x v="0"/>
    <s v=""/>
    <m/>
    <s v="เค้ก วันเกิดฝน"/>
    <m/>
    <s v="import"/>
    <s v=""/>
    <b v="0"/>
    <s v=""/>
  </r>
  <r>
    <s v="c4816425-c08a-470c-8489-05187ec858fd"/>
    <s v="2022-09-02"/>
    <x v="4"/>
    <x v="9"/>
    <n v="2"/>
    <s v="19:18"/>
    <n v="16"/>
    <x v="1"/>
    <s v="other"/>
    <x v="1"/>
    <s v="rc_acc_1781955063348_w3gp"/>
    <x v="6"/>
    <s v="advance"/>
    <s v="Advance Paid"/>
    <s v="-"/>
    <m/>
    <s v="import"/>
    <s v=""/>
    <b v="0"/>
    <s v=""/>
  </r>
  <r>
    <s v="a14263aa-2a28-4b54-9832-c497f76f1acd"/>
    <s v="2022-09-01"/>
    <x v="4"/>
    <x v="9"/>
    <n v="1"/>
    <s v="08:51"/>
    <n v="11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a5e618a-1712-46a2-bbbf-ddf6672e2f7a"/>
    <s v="2022-09-01"/>
    <x v="4"/>
    <x v="9"/>
    <n v="1"/>
    <s v="12:48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cd4512d-a8f5-4366-8a9d-619d6b5c4c9f"/>
    <s v="2022-09-01"/>
    <x v="4"/>
    <x v="9"/>
    <n v="1"/>
    <s v="12:50"/>
    <n v="50"/>
    <x v="0"/>
    <s v="rc_cat_1781955063347_5qjb_1781955063347_tezk"/>
    <x v="5"/>
    <s v="rc_acc_1781955063347_uxz4"/>
    <x v="4"/>
    <s v=""/>
    <m/>
    <s v="coffeelism"/>
    <m/>
    <s v="import"/>
    <s v=""/>
    <b v="0"/>
    <s v=""/>
  </r>
  <r>
    <s v="1021cde4-099c-4a6c-b685-03e0e22c30d9"/>
    <s v="2022-09-01"/>
    <x v="4"/>
    <x v="9"/>
    <n v="1"/>
    <s v="17:51"/>
    <n v="317"/>
    <x v="0"/>
    <s v="rc_cat_1781955063347_5qjb_1781955063347_tezk"/>
    <x v="5"/>
    <s v="rc_acc_1781955063347_0qmn"/>
    <x v="20"/>
    <s v=""/>
    <m/>
    <s v="steak"/>
    <m/>
    <s v="import"/>
    <s v=""/>
    <b v="0"/>
    <s v=""/>
  </r>
  <r>
    <s v="0bde45d9-6128-4593-94b7-a796f6f69504"/>
    <s v="2022-08-31"/>
    <x v="4"/>
    <x v="10"/>
    <n v="31"/>
    <s v="09:15"/>
    <n v="155"/>
    <x v="1"/>
    <s v="other"/>
    <x v="1"/>
    <s v="rc_acc_1781955063348_w3gp"/>
    <x v="6"/>
    <s v="advance"/>
    <s v="Advance Paid"/>
    <s v="-"/>
    <m/>
    <s v="import"/>
    <s v=""/>
    <b v="0"/>
    <s v=""/>
  </r>
  <r>
    <s v="b634ab83-6860-46ae-8734-a7a1729eb130"/>
    <s v="2022-08-31"/>
    <x v="4"/>
    <x v="10"/>
    <n v="31"/>
    <s v="10:30"/>
    <n v="7000"/>
    <x v="1"/>
    <s v="other"/>
    <x v="1"/>
    <s v="rc_acc_1781955063349_qn1n"/>
    <x v="31"/>
    <s v="rc_acc_1781955063347_uxz4"/>
    <s v="SCB"/>
    <s v="Yuang"/>
    <m/>
    <s v="import"/>
    <s v=""/>
    <b v="0"/>
    <s v=""/>
  </r>
  <r>
    <s v="9f5179ba-0b37-426c-967d-89d36df45ca8"/>
    <s v="2022-08-31"/>
    <x v="4"/>
    <x v="10"/>
    <n v="31"/>
    <s v="11:10"/>
    <n v="230"/>
    <x v="1"/>
    <s v="other"/>
    <x v="1"/>
    <s v="rc_acc_1781955063347_omhz"/>
    <x v="29"/>
    <s v="advance"/>
    <s v="Advance Paid"/>
    <s v="-"/>
    <m/>
    <s v="import"/>
    <s v=""/>
    <b v="0"/>
    <s v=""/>
  </r>
  <r>
    <s v="7dd6230a-f379-4386-8ad8-379222630263"/>
    <s v="2022-08-31"/>
    <x v="4"/>
    <x v="10"/>
    <n v="31"/>
    <s v="11:40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c80f3038-0db7-43b8-9bb5-d91910e4abc8"/>
    <s v="2022-08-31"/>
    <x v="4"/>
    <x v="10"/>
    <n v="31"/>
    <s v="17:16"/>
    <n v="299"/>
    <x v="1"/>
    <s v="other"/>
    <x v="1"/>
    <s v="rc_acc_1781955063348_w3gp"/>
    <x v="6"/>
    <s v="advance"/>
    <s v="Advance Paid"/>
    <s v="-"/>
    <m/>
    <s v="import"/>
    <s v=""/>
    <b v="0"/>
    <s v=""/>
  </r>
  <r>
    <s v="5fd111ca-6a92-49d0-98dd-fbb0a01fedbe"/>
    <s v="2022-08-31"/>
    <x v="4"/>
    <x v="10"/>
    <n v="31"/>
    <s v="21:47"/>
    <n v="100"/>
    <x v="1"/>
    <s v="other"/>
    <x v="1"/>
    <s v="rc_acc_1781955063349_mitc"/>
    <x v="23"/>
    <s v="rc_acc_1781955063347_uxz4"/>
    <s v="SCB"/>
    <s v="-"/>
    <m/>
    <s v="import"/>
    <s v=""/>
    <b v="0"/>
    <s v=""/>
  </r>
  <r>
    <s v="dc9df4d2-f70c-48d4-9142-464b4bb305af"/>
    <s v="2022-08-30"/>
    <x v="4"/>
    <x v="10"/>
    <n v="30"/>
    <s v="09:00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6f6d81e-e8f6-476b-b710-d0e10346baf4"/>
    <s v="2022-08-30"/>
    <x v="4"/>
    <x v="10"/>
    <n v="30"/>
    <s v="12:4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74d372b-2899-4b94-b4a3-62726a33ea7e"/>
    <s v="2022-08-30"/>
    <x v="4"/>
    <x v="10"/>
    <n v="30"/>
    <s v="12:45"/>
    <n v="50"/>
    <x v="0"/>
    <s v="rc_cat_1781955063347_5qjb_1781955063347_tezk"/>
    <x v="5"/>
    <s v="rc_acc_1781955063347_uxz4"/>
    <x v="4"/>
    <s v=""/>
    <m/>
    <s v="coffeelism"/>
    <m/>
    <s v="import"/>
    <s v=""/>
    <b v="0"/>
    <s v=""/>
  </r>
  <r>
    <s v="e8704bb3-6d80-4f8c-bad7-a4a3655fc598"/>
    <s v="2022-08-30"/>
    <x v="4"/>
    <x v="10"/>
    <n v="30"/>
    <s v="18:38"/>
    <n v="237"/>
    <x v="2"/>
    <s v="income_1781955063351_3ab8"/>
    <x v="22"/>
    <s v="kbank"/>
    <x v="0"/>
    <s v=""/>
    <m/>
    <s v="-"/>
    <m/>
    <s v="import"/>
    <s v=""/>
    <b v="0"/>
    <s v=""/>
  </r>
  <r>
    <s v="8bc9265f-89ae-4f41-b713-de9855650099"/>
    <s v="2022-08-29"/>
    <x v="4"/>
    <x v="10"/>
    <n v="29"/>
    <s v="09:15"/>
    <n v="8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c7bc853-da1b-4cd1-8a2d-f41bd9e5727c"/>
    <s v="2022-08-29"/>
    <x v="4"/>
    <x v="10"/>
    <n v="29"/>
    <s v="09:20"/>
    <n v="10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8a1e91b-e42a-48db-bbdc-3cdfd0818b6d"/>
    <s v="2022-08-29"/>
    <x v="4"/>
    <x v="10"/>
    <n v="29"/>
    <s v="12:45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cb272bd-1aa8-4327-8d2a-920b00787424"/>
    <s v="2022-08-28"/>
    <x v="4"/>
    <x v="10"/>
    <n v="28"/>
    <s v="09:24"/>
    <n v="375"/>
    <x v="0"/>
    <s v="rc_cat_1781955063347_5qjb_1781955063347_tezk"/>
    <x v="5"/>
    <s v="rc_acc_1781955063347_0qmn"/>
    <x v="20"/>
    <s v=""/>
    <m/>
    <s v="172 203 shopee ktc เขียง ก้อน"/>
    <m/>
    <s v="import"/>
    <s v=""/>
    <b v="0"/>
    <s v=""/>
  </r>
  <r>
    <s v="fb73372d-b077-4632-bf57-11e71cadb4aa"/>
    <s v="2022-08-28"/>
    <x v="4"/>
    <x v="10"/>
    <n v="28"/>
    <s v="09:32"/>
    <n v="529"/>
    <x v="0"/>
    <s v="rc_cat_1781955063347_5qjb_1781955063347_tezk"/>
    <x v="5"/>
    <s v="rc_acc_1781955063347_0qmn"/>
    <x v="20"/>
    <s v=""/>
    <m/>
    <s v="shopee 108 171 164 86"/>
    <m/>
    <s v="import"/>
    <s v=""/>
    <b v="0"/>
    <s v=""/>
  </r>
  <r>
    <s v="262f8b1e-e490-4e88-8a91-89dcd64fb320"/>
    <s v="2022-08-28"/>
    <x v="4"/>
    <x v="10"/>
    <n v="28"/>
    <s v="09:35"/>
    <n v="582"/>
    <x v="0"/>
    <s v="rc_cat_1781955063347_5qjb_1781955063347_tezk"/>
    <x v="5"/>
    <s v="kbank"/>
    <x v="0"/>
    <s v=""/>
    <m/>
    <s v="easybuddy 2 sry im hungry"/>
    <m/>
    <s v="import"/>
    <s v=""/>
    <b v="0"/>
    <s v=""/>
  </r>
  <r>
    <s v="ee9711e8-a3aa-4308-868c-ba01f34bad49"/>
    <s v="2022-08-28"/>
    <x v="4"/>
    <x v="10"/>
    <n v="28"/>
    <s v="09:47"/>
    <n v="246.88"/>
    <x v="2"/>
    <s v="other_1781955063347_5s7r"/>
    <x v="15"/>
    <s v="rc_acc_1781955063351_9sgw"/>
    <x v="26"/>
    <s v=""/>
    <m/>
    <s v="Difference"/>
    <m/>
    <s v="import"/>
    <s v=""/>
    <b v="0"/>
    <s v=""/>
  </r>
  <r>
    <s v="26575bcd-76a9-4c46-a79d-b38b47832c56"/>
    <s v="2022-08-28"/>
    <x v="4"/>
    <x v="10"/>
    <n v="28"/>
    <s v="10:01"/>
    <n v="500"/>
    <x v="0"/>
    <s v="rc_cat_1781955063347_5qjb_1781955063348_hrbf"/>
    <x v="28"/>
    <s v="rc_acc_1781955063347_0qmn"/>
    <x v="20"/>
    <s v=""/>
    <m/>
    <s v="เนต"/>
    <m/>
    <s v="import"/>
    <s v=""/>
    <b v="0"/>
    <s v=""/>
  </r>
  <r>
    <s v="7dc8bff1-f3a4-4075-9a9e-a8583fd57a25"/>
    <s v="2022-08-28"/>
    <x v="4"/>
    <x v="10"/>
    <n v="28"/>
    <s v="10:01"/>
    <n v="354.93"/>
    <x v="0"/>
    <s v="rc_cat_1781955063347_5qjb_1781955063348_hrbf"/>
    <x v="28"/>
    <s v="rc_acc_1781955063347_uxz4"/>
    <x v="4"/>
    <s v=""/>
    <m/>
    <s v="โทรสัพ"/>
    <m/>
    <s v="import"/>
    <s v=""/>
    <b v="0"/>
    <s v=""/>
  </r>
  <r>
    <s v="0faff139-69ec-4752-b3e3-9f199138388f"/>
    <s v="2022-08-28"/>
    <x v="4"/>
    <x v="10"/>
    <n v="28"/>
    <s v="12:5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79a301a-4057-48d5-8b11-10ab81ec92e1"/>
    <s v="2022-08-28"/>
    <x v="4"/>
    <x v="10"/>
    <n v="28"/>
    <s v="17:43"/>
    <n v="2177"/>
    <x v="0"/>
    <s v="rc_cat_1781955063347_anhy_1781955063347_qnaz"/>
    <x v="4"/>
    <s v="rc_acc_1781955063347_uxz4"/>
    <x v="4"/>
    <s v=""/>
    <m/>
    <s v="ชาเขียวน้ำผึ้ง ชาบูบ้านสวน ปังเยน"/>
    <m/>
    <s v="import"/>
    <s v=""/>
    <b v="0"/>
    <s v=""/>
  </r>
  <r>
    <s v="db21841b-7599-4893-b53f-08eb0fdafd47"/>
    <s v="2022-08-28"/>
    <x v="4"/>
    <x v="10"/>
    <n v="28"/>
    <s v="18:39"/>
    <n v="60"/>
    <x v="0"/>
    <s v="rc_cat_1781955063347_5qjb_1781955063347_tezk"/>
    <x v="5"/>
    <s v="kbank"/>
    <x v="0"/>
    <s v=""/>
    <m/>
    <s v="-"/>
    <m/>
    <s v="import"/>
    <s v=""/>
    <b v="0"/>
    <s v=""/>
  </r>
  <r>
    <s v="2d972bc4-4e87-440a-99dc-c39905abd673"/>
    <s v="2022-08-27"/>
    <x v="4"/>
    <x v="10"/>
    <n v="27"/>
    <s v="00:00"/>
    <n v="5000"/>
    <x v="0"/>
    <s v="rc_cat_1781955063347_anhy_1781955063347_qnaz"/>
    <x v="4"/>
    <s v="kbank"/>
    <x v="0"/>
    <s v=""/>
    <m/>
    <s v="-"/>
    <m/>
    <s v="import"/>
    <s v=""/>
    <b v="0"/>
    <s v=""/>
  </r>
  <r>
    <s v="f28f8785-a995-413a-b5ec-109d67c68066"/>
    <s v="2022-08-27"/>
    <x v="4"/>
    <x v="10"/>
    <n v="27"/>
    <s v="09:42"/>
    <n v="12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e251f23-99c5-44cf-831b-aed7797e694d"/>
    <s v="2022-08-27"/>
    <x v="4"/>
    <x v="10"/>
    <n v="27"/>
    <s v="13:27"/>
    <n v="286"/>
    <x v="0"/>
    <s v="rc_cat_1781955063347_anhy_1781955063347_qnaz"/>
    <x v="4"/>
    <s v="rc_acc_1781955063347_e3zv"/>
    <x v="16"/>
    <s v=""/>
    <m/>
    <s v="เจ้อ้วน"/>
    <m/>
    <s v="import"/>
    <s v=""/>
    <b v="0"/>
    <s v=""/>
  </r>
  <r>
    <s v="22914adf-3259-4279-ad43-3c3b8c2ead83"/>
    <s v="2022-08-27"/>
    <x v="4"/>
    <x v="10"/>
    <n v="27"/>
    <s v="16:07"/>
    <n v="69"/>
    <x v="0"/>
    <s v="rc_cat_1781955063347_5qjb_1781955063347_tezk"/>
    <x v="5"/>
    <s v="rc_acc_1781955063347_omhz"/>
    <x v="29"/>
    <s v=""/>
    <m/>
    <s v="สกายลัค"/>
    <m/>
    <s v="import"/>
    <s v=""/>
    <b v="0"/>
    <s v=""/>
  </r>
  <r>
    <s v="b00fff1d-18c5-4e1e-aed1-d2a44e0397a1"/>
    <s v="2022-08-27"/>
    <x v="4"/>
    <x v="10"/>
    <n v="27"/>
    <s v="16:38"/>
    <n v="105"/>
    <x v="0"/>
    <s v="rc_cat_1781955063347_5qjb_1781955063347_tezk"/>
    <x v="5"/>
    <s v="rc_acc_1781955063347_0qmn"/>
    <x v="20"/>
    <s v=""/>
    <m/>
    <s v="ซีคอน"/>
    <m/>
    <s v="import"/>
    <s v=""/>
    <b v="0"/>
    <s v=""/>
  </r>
  <r>
    <s v="b72ac38d-6283-4e1f-a3f3-2abccf00f1cc"/>
    <s v="2022-08-27"/>
    <x v="4"/>
    <x v="10"/>
    <n v="27"/>
    <s v="19:37"/>
    <n v="1395.89"/>
    <x v="0"/>
    <s v="rc_cat_1781955063347_5qjb_1781955063348_hrbf"/>
    <x v="28"/>
    <s v="rc_acc_1781955063347_0qmn"/>
    <x v="20"/>
    <s v=""/>
    <m/>
    <s v="-"/>
    <m/>
    <s v="import"/>
    <s v=""/>
    <b v="0"/>
    <s v=""/>
  </r>
  <r>
    <s v="64986ea2-4224-4bc5-8e7f-56cf4a5a0670"/>
    <s v="2022-08-26"/>
    <x v="4"/>
    <x v="10"/>
    <n v="26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d598759c-b6cf-4d5e-983b-d801c93af0ac"/>
    <s v="2022-08-26"/>
    <x v="4"/>
    <x v="10"/>
    <n v="26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8d4e16ab-b045-48bb-9b09-1d89931b11b0"/>
    <s v="2022-08-26"/>
    <x v="4"/>
    <x v="10"/>
    <n v="26"/>
    <s v="00:00"/>
    <n v="725.69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108728f8-34d3-46ad-b6ab-c3df5eb9c7e1"/>
    <s v="2022-08-26"/>
    <x v="4"/>
    <x v="10"/>
    <n v="26"/>
    <s v="00:00"/>
    <n v="133.87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eb277d0f-6963-4af4-bef6-4348b54f6729"/>
    <s v="2022-08-26"/>
    <x v="4"/>
    <x v="10"/>
    <n v="26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dff01616-6fa1-4232-8cdb-35c5adc269d7"/>
    <s v="2022-08-26"/>
    <x v="4"/>
    <x v="10"/>
    <n v="26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bf666497-593b-422d-b0bf-047a9d954453"/>
    <s v="2022-08-26"/>
    <x v="4"/>
    <x v="10"/>
    <n v="26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e7b2265f-9cf8-4597-86d4-e8f0dace491f"/>
    <s v="2022-08-26"/>
    <x v="4"/>
    <x v="10"/>
    <n v="26"/>
    <s v="00:32"/>
    <n v="505.93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66d53dba-4352-476c-ac96-a052e8f3e2ec"/>
    <s v="2022-08-26"/>
    <x v="4"/>
    <x v="10"/>
    <n v="26"/>
    <s v="09:04"/>
    <n v="7000"/>
    <x v="1"/>
    <s v="other"/>
    <x v="1"/>
    <s v="rc_acc_1781955063347_uxz4"/>
    <x v="4"/>
    <s v="rc_acc_1781955063349_qn1n"/>
    <s v="Loan"/>
    <s v="Yuang"/>
    <m/>
    <s v="import"/>
    <s v=""/>
    <b v="0"/>
    <s v=""/>
  </r>
  <r>
    <s v="e433aaab-e6a4-4071-bcaa-73ce365de609"/>
    <s v="2022-08-25"/>
    <x v="4"/>
    <x v="10"/>
    <n v="25"/>
    <s v="09:02"/>
    <n v="15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94245bf-979d-47a4-a25e-df3b646f4cc2"/>
    <s v="2022-08-25"/>
    <x v="4"/>
    <x v="10"/>
    <n v="25"/>
    <s v="09:02"/>
    <n v="3000"/>
    <x v="1"/>
    <s v="other"/>
    <x v="1"/>
    <s v="rc_acc_1781955063347_uxz4"/>
    <x v="4"/>
    <s v="rc_acc_1781955063349_mitc"/>
    <s v="Pao tung"/>
    <s v="-"/>
    <m/>
    <s v="import"/>
    <s v=""/>
    <b v="0"/>
    <s v=""/>
  </r>
  <r>
    <s v="1539f85b-c72d-4998-86da-974374bc3337"/>
    <s v="2022-08-25"/>
    <x v="4"/>
    <x v="10"/>
    <n v="25"/>
    <s v="12:00"/>
    <n v="805"/>
    <x v="0"/>
    <s v="rc_cat_1781955063347_s4sz_1781955063347_deos"/>
    <x v="6"/>
    <s v="kbank"/>
    <x v="0"/>
    <s v=""/>
    <m/>
    <s v="-"/>
    <m/>
    <s v="import"/>
    <s v=""/>
    <b v="0"/>
    <s v=""/>
  </r>
  <r>
    <s v="17b922cd-dc25-4a11-9e7d-053c418f6b62"/>
    <s v="2022-08-25"/>
    <x v="4"/>
    <x v="10"/>
    <n v="25"/>
    <s v="17:20"/>
    <n v="500"/>
    <x v="1"/>
    <s v="other"/>
    <x v="1"/>
    <s v="rc_acc_1781955063347_uxz4"/>
    <x v="4"/>
    <s v="rc_acc_1781955063351_9sgw"/>
    <s v="Truewallet"/>
    <s v="-"/>
    <m/>
    <s v="import"/>
    <s v=""/>
    <b v="0"/>
    <s v=""/>
  </r>
  <r>
    <s v="d9f109b3-c1f8-463f-81a5-7ed416602b4e"/>
    <s v="2022-08-25"/>
    <x v="4"/>
    <x v="10"/>
    <n v="25"/>
    <s v="18:50"/>
    <n v="2806.65"/>
    <x v="1"/>
    <s v="other"/>
    <x v="1"/>
    <s v="rc_acc_1781955063349_mitc"/>
    <x v="23"/>
    <s v="advance"/>
    <s v="Advance Paid"/>
    <s v="-"/>
    <m/>
    <s v="import"/>
    <s v=""/>
    <b v="0"/>
    <s v=""/>
  </r>
  <r>
    <s v="6fcc43e1-706c-4fb2-bc4a-9bbf336cc047"/>
    <s v="2022-08-25"/>
    <x v="4"/>
    <x v="10"/>
    <n v="25"/>
    <s v="19:44"/>
    <n v="68"/>
    <x v="0"/>
    <s v="rc_cat_1781955063347_5qjb_1781955063347_tezk"/>
    <x v="5"/>
    <s v="rc_acc_1781955063348_w3gp"/>
    <x v="6"/>
    <s v=""/>
    <m/>
    <s v="-"/>
    <m/>
    <s v="import"/>
    <s v=""/>
    <b v="0"/>
    <s v=""/>
  </r>
  <r>
    <s v="214cb0ff-f88f-4a41-be3a-4241166be2a7"/>
    <s v="2022-08-24"/>
    <x v="4"/>
    <x v="10"/>
    <n v="24"/>
    <s v="09:01"/>
    <n v="50"/>
    <x v="0"/>
    <s v="rc_cat_1781955063347_5qjb_1781955063347_tezk"/>
    <x v="5"/>
    <s v="rc_acc_1781955063347_uxz4"/>
    <x v="4"/>
    <s v=""/>
    <m/>
    <s v="coffeelism"/>
    <m/>
    <s v="import"/>
    <s v=""/>
    <b v="0"/>
    <s v=""/>
  </r>
  <r>
    <s v="b26fbc0d-e7ec-476e-bc6b-9001edc597a2"/>
    <s v="2022-08-24"/>
    <x v="4"/>
    <x v="10"/>
    <n v="24"/>
    <s v="20:01"/>
    <n v="849"/>
    <x v="0"/>
    <s v="rc_cat_1781955063347_s4sz_1781955063347_deos"/>
    <x v="6"/>
    <s v="rc_acc_1781955063347_uxz4"/>
    <x v="4"/>
    <s v=""/>
    <m/>
    <s v="กางเกง"/>
    <m/>
    <s v="import"/>
    <s v=""/>
    <b v="0"/>
    <s v=""/>
  </r>
  <r>
    <s v="efebd460-6e20-4995-b619-151d78cae346"/>
    <s v="2022-08-23"/>
    <x v="4"/>
    <x v="10"/>
    <n v="23"/>
    <s v="09:39"/>
    <n v="120"/>
    <x v="0"/>
    <s v="rc_cat_1781955063347_5qjb_1781955063347_tezk"/>
    <x v="5"/>
    <s v="rc_acc_1781955063347_0qmn"/>
    <x v="20"/>
    <s v=""/>
    <m/>
    <s v="หมูทอด"/>
    <m/>
    <s v="import"/>
    <s v=""/>
    <b v="0"/>
    <s v=""/>
  </r>
  <r>
    <s v="8396484d-c934-4fad-a544-d33145721837"/>
    <s v="2022-08-23"/>
    <x v="4"/>
    <x v="10"/>
    <n v="23"/>
    <s v="12:50"/>
    <n v="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a968835-0641-47af-b3cf-68c59638be18"/>
    <s v="2022-08-23"/>
    <x v="4"/>
    <x v="10"/>
    <n v="23"/>
    <s v="12:55"/>
    <n v="50"/>
    <x v="0"/>
    <s v="rc_cat_1781955063347_5qjb_1781955063347_tezk"/>
    <x v="5"/>
    <s v="rc_acc_1781955063347_uxz4"/>
    <x v="4"/>
    <s v=""/>
    <m/>
    <s v="coffeelism"/>
    <m/>
    <s v="import"/>
    <s v=""/>
    <b v="0"/>
    <s v=""/>
  </r>
  <r>
    <s v="545f4354-4cbf-4060-9f9c-7ec231fea78a"/>
    <s v="2022-08-22"/>
    <x v="4"/>
    <x v="10"/>
    <n v="22"/>
    <s v="09:40"/>
    <n v="165"/>
    <x v="0"/>
    <s v="rc_cat_1781955063347_5qjb_1781955063347_tezk"/>
    <x v="5"/>
    <s v="rc_acc_1781955063347_0qmn"/>
    <x v="20"/>
    <s v=""/>
    <m/>
    <s v="หมูทุบ"/>
    <m/>
    <s v="import"/>
    <s v=""/>
    <b v="0"/>
    <s v=""/>
  </r>
  <r>
    <s v="6992255f-c6cd-409c-a97b-3f68bc205a42"/>
    <s v="2022-08-22"/>
    <x v="4"/>
    <x v="10"/>
    <n v="22"/>
    <s v="09:41"/>
    <n v="90"/>
    <x v="0"/>
    <s v="rc_cat_1781955063347_5qjb_1781955063347_tezk"/>
    <x v="5"/>
    <s v="rc_acc_1781955063347_0qmn"/>
    <x v="20"/>
    <s v=""/>
    <m/>
    <s v="coffeelism"/>
    <m/>
    <s v="import"/>
    <s v=""/>
    <b v="0"/>
    <s v=""/>
  </r>
  <r>
    <s v="1322c101-75b7-4c02-8634-28761a133cfb"/>
    <s v="2022-08-22"/>
    <x v="4"/>
    <x v="10"/>
    <n v="22"/>
    <s v="12:41"/>
    <n v="112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a13056f-7832-46d1-be18-90e1a285927d"/>
    <s v="2022-08-21"/>
    <x v="4"/>
    <x v="10"/>
    <n v="21"/>
    <s v="11:22"/>
    <n v="481"/>
    <x v="0"/>
    <s v="rc_cat_1781955063347_anhy_1781955063347_qnaz"/>
    <x v="4"/>
    <s v="rc_acc_1781955063347_sv7p"/>
    <x v="12"/>
    <s v=""/>
    <m/>
    <s v="ค่าโทรศัพท์ สค"/>
    <m/>
    <s v="import"/>
    <s v=""/>
    <b v="0"/>
    <s v=""/>
  </r>
  <r>
    <s v="94452404-5962-46ad-8112-d0f587a2237e"/>
    <s v="2022-08-21"/>
    <x v="4"/>
    <x v="10"/>
    <n v="21"/>
    <s v="11:49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d88c589d-e1dc-48f3-a402-e8efc37c7f24"/>
    <s v="2022-08-21"/>
    <x v="4"/>
    <x v="10"/>
    <n v="21"/>
    <s v="11:58"/>
    <n v="1071.95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90a36f83-e43a-48df-9dfe-59111f1f47c3"/>
    <s v="2022-08-21"/>
    <x v="4"/>
    <x v="10"/>
    <n v="21"/>
    <s v="11:59"/>
    <n v="74.75"/>
    <x v="0"/>
    <s v="entertain_1781955063348_kx2f"/>
    <x v="0"/>
    <s v="kbank"/>
    <x v="0"/>
    <s v=""/>
    <m/>
    <s v="steam games"/>
    <m/>
    <s v="import"/>
    <s v=""/>
    <b v="0"/>
    <s v=""/>
  </r>
  <r>
    <s v="9f1947e1-3d29-484f-97b2-6c880797136c"/>
    <s v="2022-08-21"/>
    <x v="4"/>
    <x v="10"/>
    <n v="21"/>
    <s v="12:00"/>
    <n v="159"/>
    <x v="0"/>
    <s v="rc_cat_1781955063347_5qjb_1781955063347_tezk"/>
    <x v="5"/>
    <s v="rc_acc_1781955063347_0qmn"/>
    <x v="20"/>
    <s v=""/>
    <m/>
    <s v="siam takashimaya 17 aug"/>
    <m/>
    <s v="import"/>
    <s v=""/>
    <b v="0"/>
    <s v=""/>
  </r>
  <r>
    <s v="b45b29d5-fa98-4a40-97e3-0c4f84657b27"/>
    <s v="2022-08-21"/>
    <x v="4"/>
    <x v="10"/>
    <n v="21"/>
    <s v="12:02"/>
    <n v="705"/>
    <x v="0"/>
    <s v="entertain_1781955063348_kx2f"/>
    <x v="0"/>
    <s v="kbank"/>
    <x v="0"/>
    <s v=""/>
    <m/>
    <s v="หูฟัง"/>
    <m/>
    <s v="import"/>
    <s v=""/>
    <b v="0"/>
    <s v=""/>
  </r>
  <r>
    <s v="3c069aee-bfe3-4d31-87db-a62ebcde4e48"/>
    <s v="2022-08-21"/>
    <x v="4"/>
    <x v="10"/>
    <n v="21"/>
    <s v="12:23"/>
    <n v="225"/>
    <x v="0"/>
    <s v="rc_cat_1781955063347_5qjb_1781955063347_tezk"/>
    <x v="5"/>
    <s v="rc_acc_1781955063347_0qmn"/>
    <x v="20"/>
    <s v=""/>
    <m/>
    <s v="104-121"/>
    <m/>
    <s v="import"/>
    <s v=""/>
    <b v="0"/>
    <s v=""/>
  </r>
  <r>
    <s v="80ca7854-d306-41ae-a214-7cd160ebfce8"/>
    <s v="2022-08-21"/>
    <x v="4"/>
    <x v="10"/>
    <n v="21"/>
    <s v="12:26"/>
    <n v="546"/>
    <x v="0"/>
    <s v="rc_cat_1781955063347_5qjb_1781955063347_tezk"/>
    <x v="5"/>
    <s v="rc_acc_1781955063347_0qmn"/>
    <x v="20"/>
    <s v=""/>
    <m/>
    <s v="จ่าย grab"/>
    <m/>
    <s v="import"/>
    <s v=""/>
    <b v="0"/>
    <s v=""/>
  </r>
  <r>
    <s v="e55b36d4-0643-44c0-aa50-082556316b1d"/>
    <s v="2022-08-21"/>
    <x v="4"/>
    <x v="10"/>
    <n v="21"/>
    <s v="12:49"/>
    <n v="164"/>
    <x v="0"/>
    <s v="rc_cat_1781955063347_5qjb_1781955063347_tezk"/>
    <x v="5"/>
    <s v="rc_acc_1781955063347_omhz"/>
    <x v="29"/>
    <s v=""/>
    <m/>
    <s v="-"/>
    <m/>
    <s v="import"/>
    <s v=""/>
    <b v="0"/>
    <s v=""/>
  </r>
  <r>
    <s v="3ab46921-477f-4ec9-8b65-5f769e06d6c5"/>
    <s v="2022-08-21"/>
    <x v="4"/>
    <x v="10"/>
    <n v="21"/>
    <s v="12:49"/>
    <n v="164"/>
    <x v="1"/>
    <s v="other"/>
    <x v="1"/>
    <s v="rc_acc_1781955063347_0qmn"/>
    <x v="20"/>
    <s v="rc_acc_1781955063347_uxz4"/>
    <s v="SCB"/>
    <s v="-"/>
    <m/>
    <s v="import"/>
    <s v=""/>
    <b v="0"/>
    <s v=""/>
  </r>
  <r>
    <s v="eace56c3-dabe-4b1b-87cb-20b13f2e33c3"/>
    <s v="2022-08-21"/>
    <x v="4"/>
    <x v="10"/>
    <n v="21"/>
    <s v="12:52"/>
    <n v="92"/>
    <x v="1"/>
    <s v="other"/>
    <x v="1"/>
    <s v="rc_acc_1781955063347_0qmn"/>
    <x v="20"/>
    <s v="rc_acc_1781955063347_uxz4"/>
    <s v="SCB"/>
    <s v="หมูทอด"/>
    <m/>
    <s v="import"/>
    <s v=""/>
    <b v="0"/>
    <s v=""/>
  </r>
  <r>
    <s v="8cf26de4-08a2-4982-b143-ff7a457c81c7"/>
    <s v="2022-08-21"/>
    <x v="4"/>
    <x v="10"/>
    <n v="21"/>
    <s v="12:54"/>
    <n v="52.35"/>
    <x v="0"/>
    <s v="other_1781955063347_5s7r"/>
    <x v="15"/>
    <s v="rc_acc_1781955063347_omhz"/>
    <x v="29"/>
    <s v=""/>
    <m/>
    <s v="Difference"/>
    <m/>
    <s v="import"/>
    <s v=""/>
    <b v="0"/>
    <s v=""/>
  </r>
  <r>
    <s v="fa5a3f1f-166f-4a69-b04f-09e89f472fe5"/>
    <s v="2022-08-21"/>
    <x v="4"/>
    <x v="10"/>
    <n v="21"/>
    <s v="12:58"/>
    <n v="577.01"/>
    <x v="0"/>
    <s v="entertain_1781955063349_gok1"/>
    <x v="18"/>
    <s v="rc_acc_1781955063347_0qmn"/>
    <x v="20"/>
    <s v=""/>
    <m/>
    <s v="KR k eta application"/>
    <m/>
    <s v="import"/>
    <s v=""/>
    <b v="0"/>
    <s v=""/>
  </r>
  <r>
    <s v="265353ab-3bdd-40d4-9f0b-630d464e5713"/>
    <s v="2022-08-21"/>
    <x v="4"/>
    <x v="10"/>
    <n v="21"/>
    <s v="12:58"/>
    <n v="481"/>
    <x v="1"/>
    <s v="other"/>
    <x v="1"/>
    <s v="rc_acc_1781955063347_uxz4"/>
    <x v="4"/>
    <s v="rc_acc_1781955063347_sv7p"/>
    <s v="UOB Privilages"/>
    <s v="-"/>
    <m/>
    <s v="import"/>
    <s v=""/>
    <b v="0"/>
    <s v=""/>
  </r>
  <r>
    <s v="2416cf81-a4db-4310-b35c-bf1ff94db790"/>
    <s v="2022-08-21"/>
    <x v="4"/>
    <x v="10"/>
    <n v="21"/>
    <s v="13:03"/>
    <n v="233.93"/>
    <x v="0"/>
    <s v="rc_cat_1781955063347_5qjb_1781955063347_tezk"/>
    <x v="5"/>
    <s v="rc_acc_1781955063347_0qmn"/>
    <x v="20"/>
    <s v=""/>
    <m/>
    <s v="เซเว่นครึ่งเดือนแรก 92 67 65 9"/>
    <m/>
    <s v="import"/>
    <s v=""/>
    <b v="0"/>
    <s v=""/>
  </r>
  <r>
    <s v="28b460fd-a0b2-41f9-ad3f-76dbc6132f61"/>
    <s v="2022-08-21"/>
    <x v="4"/>
    <x v="10"/>
    <n v="21"/>
    <s v="13:04"/>
    <n v="78"/>
    <x v="2"/>
    <s v="other_1781955063347_5s7r"/>
    <x v="15"/>
    <s v="rc_acc_1781955063350_i8ms"/>
    <x v="28"/>
    <s v=""/>
    <m/>
    <s v="Difference"/>
    <m/>
    <s v="import"/>
    <s v=""/>
    <b v="0"/>
    <s v=""/>
  </r>
  <r>
    <s v="8b4b8361-9f21-43ed-95b8-6f0181ac81cf"/>
    <s v="2022-08-21"/>
    <x v="4"/>
    <x v="10"/>
    <n v="21"/>
    <s v="13:06"/>
    <n v="249"/>
    <x v="1"/>
    <s v="other"/>
    <x v="1"/>
    <s v="rc_acc_1781955063348_obza"/>
    <x v="8"/>
    <s v="rc_acc_1781955063347_hv85"/>
    <s v="HOMEPRO"/>
    <s v="-"/>
    <m/>
    <s v="import"/>
    <s v=""/>
    <b v="0"/>
    <s v=""/>
  </r>
  <r>
    <s v="16b89330-623c-4ac5-812c-2ab40f5cf43e"/>
    <s v="2022-08-20"/>
    <x v="4"/>
    <x v="10"/>
    <n v="20"/>
    <s v="11:50"/>
    <n v="187"/>
    <x v="0"/>
    <s v="rc_cat_1781955063347_5qjb_1781955063347_tezk"/>
    <x v="5"/>
    <s v="rc_acc_1781955063347_0qmn"/>
    <x v="20"/>
    <s v=""/>
    <m/>
    <s v="ร้านตรงข้ามสวนกุหลาบ"/>
    <m/>
    <s v="import"/>
    <s v=""/>
    <b v="0"/>
    <s v=""/>
  </r>
  <r>
    <s v="01860d4e-6f43-4602-a62f-aba9fd6c5580"/>
    <s v="2022-08-20"/>
    <x v="4"/>
    <x v="10"/>
    <n v="20"/>
    <s v="13:51"/>
    <n v="180"/>
    <x v="0"/>
    <s v="rc_cat_1781955063347_5qjb_1781955063347_tezk"/>
    <x v="5"/>
    <s v="rc_acc_1781955063347_0qmn"/>
    <x v="20"/>
    <s v=""/>
    <m/>
    <s v="จิงจิง"/>
    <m/>
    <s v="import"/>
    <s v=""/>
    <b v="0"/>
    <s v=""/>
  </r>
  <r>
    <s v="af799ffc-ced4-4e12-b4ee-5802f17e06cf"/>
    <s v="2022-08-20"/>
    <x v="4"/>
    <x v="10"/>
    <n v="20"/>
    <s v="17:50"/>
    <n v="552"/>
    <x v="0"/>
    <s v="rc_cat_1781955063347_5qjb_1781955063347_tezk"/>
    <x v="5"/>
    <s v="rc_acc_1781955063347_0qmn"/>
    <x v="20"/>
    <s v=""/>
    <m/>
    <s v="สุกี้ตี๋น้อย"/>
    <m/>
    <s v="import"/>
    <s v=""/>
    <b v="0"/>
    <s v=""/>
  </r>
  <r>
    <s v="dfcd0c08-2091-411f-a7fd-fbb82d94fc7b"/>
    <s v="2022-08-20"/>
    <x v="4"/>
    <x v="10"/>
    <n v="20"/>
    <s v="18:59"/>
    <n v="1046"/>
    <x v="0"/>
    <s v="rc_cat_1781955063347_5qjb_1781955063348_xqml"/>
    <x v="31"/>
    <s v="rc_acc_1781955063347_0qmn"/>
    <x v="20"/>
    <s v=""/>
    <m/>
    <s v="แมคโคร"/>
    <m/>
    <s v="import"/>
    <s v=""/>
    <b v="0"/>
    <s v=""/>
  </r>
  <r>
    <s v="06f12802-417b-4c30-bb8f-6b4236e7d90c"/>
    <s v="2022-08-19"/>
    <x v="4"/>
    <x v="10"/>
    <n v="19"/>
    <s v="14:47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13a4c91-00ba-4a50-8d17-27e0bac27702"/>
    <s v="2022-08-18"/>
    <x v="4"/>
    <x v="10"/>
    <n v="18"/>
    <s v="09:48"/>
    <n v="100"/>
    <x v="0"/>
    <s v="rc_cat_1781955063347_5qjb_1781955063347_tezk"/>
    <x v="5"/>
    <s v="rc_acc_1781955063347_omhz"/>
    <x v="29"/>
    <s v=""/>
    <m/>
    <s v="-"/>
    <m/>
    <s v="import"/>
    <s v=""/>
    <b v="0"/>
    <s v=""/>
  </r>
  <r>
    <s v="4bcf3352-5a6a-4286-8fbf-0e1039da1c0d"/>
    <s v="2022-08-17"/>
    <x v="4"/>
    <x v="10"/>
    <n v="17"/>
    <s v="08:51"/>
    <n v="95"/>
    <x v="0"/>
    <s v="rc_cat_1781955063347_5qjb_1781955063347_tezk"/>
    <x v="5"/>
    <s v="rc_acc_1781955063347_0qmn"/>
    <x v="20"/>
    <s v=""/>
    <m/>
    <s v="หมูปิ้ง"/>
    <m/>
    <s v="import"/>
    <s v=""/>
    <b v="0"/>
    <s v=""/>
  </r>
  <r>
    <s v="e68101fd-de42-41ac-ba23-83af8a6e5d19"/>
    <s v="2022-08-17"/>
    <x v="4"/>
    <x v="10"/>
    <n v="17"/>
    <s v="12:46"/>
    <n v="5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d7f2c9a-60b6-4d03-ade8-6791ceceb82c"/>
    <s v="2022-08-17"/>
    <x v="4"/>
    <x v="10"/>
    <n v="17"/>
    <s v="17:46"/>
    <n v="105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9badef92-2a8f-4b32-be64-6210428361d5"/>
    <s v="2022-08-17"/>
    <x v="4"/>
    <x v="10"/>
    <n v="17"/>
    <s v="19:51"/>
    <n v="100"/>
    <x v="0"/>
    <s v="rc_cat_1781955063347_5qjb_1781955063347_tezk"/>
    <x v="5"/>
    <s v="rc_acc_1781955063347_0qmn"/>
    <x v="20"/>
    <s v=""/>
    <m/>
    <s v="ชาตรามือ"/>
    <m/>
    <s v="import"/>
    <s v=""/>
    <b v="0"/>
    <s v=""/>
  </r>
  <r>
    <s v="fd730eaf-87d4-4db8-9af0-d52edc0ee582"/>
    <s v="2022-08-16"/>
    <x v="4"/>
    <x v="10"/>
    <n v="16"/>
    <s v="08:45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8ca1b74-4620-409e-9eff-995e3dfade59"/>
    <s v="2022-08-16"/>
    <x v="4"/>
    <x v="10"/>
    <n v="16"/>
    <s v="12:30"/>
    <n v="10000"/>
    <x v="2"/>
    <s v="income_1781955063347_5zxt"/>
    <x v="14"/>
    <s v="rc_acc_1781955063347_0qmn"/>
    <x v="20"/>
    <s v=""/>
    <m/>
    <s v="หง"/>
    <m/>
    <s v="import"/>
    <s v=""/>
    <b v="0"/>
    <s v=""/>
  </r>
  <r>
    <s v="29d13848-2f4f-4732-81d3-4ffaa2d7423d"/>
    <s v="2022-08-16"/>
    <x v="4"/>
    <x v="10"/>
    <n v="16"/>
    <s v="12:30"/>
    <n v="134"/>
    <x v="0"/>
    <s v="rc_cat_1781955063347_5qjb_1781955063347_tezk"/>
    <x v="5"/>
    <s v="rc_acc_1781955063347_0qmn"/>
    <x v="20"/>
    <s v=""/>
    <m/>
    <s v="เยนตาโฟ"/>
    <m/>
    <s v="import"/>
    <s v=""/>
    <b v="0"/>
    <s v=""/>
  </r>
  <r>
    <s v="4b1081c6-b6fb-4abc-83be-d41307c15afd"/>
    <s v="2022-08-16"/>
    <x v="4"/>
    <x v="10"/>
    <n v="16"/>
    <s v="12:52"/>
    <n v="100"/>
    <x v="0"/>
    <s v="rc_cat_1781955063347_5qjb_1781955063347_tezk"/>
    <x v="5"/>
    <s v="rc_acc_1781955063347_0qmn"/>
    <x v="20"/>
    <s v=""/>
    <m/>
    <s v="coffeelism"/>
    <m/>
    <s v="import"/>
    <s v=""/>
    <b v="0"/>
    <s v=""/>
  </r>
  <r>
    <s v="58530b1e-e8ad-4aca-960a-d17464a83a42"/>
    <s v="2022-08-15"/>
    <x v="4"/>
    <x v="10"/>
    <n v="15"/>
    <s v="08:53"/>
    <n v="100"/>
    <x v="0"/>
    <s v="rc_cat_1781955063347_5qjb_1781955063347_tezk"/>
    <x v="5"/>
    <s v="rc_acc_1781955063347_0qmn"/>
    <x v="20"/>
    <s v=""/>
    <m/>
    <s v="coffeelism"/>
    <m/>
    <s v="import"/>
    <s v=""/>
    <b v="0"/>
    <s v=""/>
  </r>
  <r>
    <s v="0b02eadc-f7fe-440e-9097-0632b2ec85b4"/>
    <s v="2022-08-15"/>
    <x v="4"/>
    <x v="10"/>
    <n v="15"/>
    <s v="11:39"/>
    <n v="456"/>
    <x v="0"/>
    <s v="rc_cat_1781955063347_anhy_1781955063348_k5l1"/>
    <x v="16"/>
    <s v="rc_acc_1781955063347_uxz4"/>
    <x v="4"/>
    <s v=""/>
    <m/>
    <s v="เทดดี้เลี้ยงเจต"/>
    <m/>
    <s v="import"/>
    <s v=""/>
    <b v="0"/>
    <s v=""/>
  </r>
  <r>
    <s v="ed3fed0c-73e4-4bee-9d00-481f0a3c7526"/>
    <s v="2022-08-15"/>
    <x v="4"/>
    <x v="10"/>
    <n v="15"/>
    <s v="12:40"/>
    <n v="50"/>
    <x v="0"/>
    <s v="rc_cat_1781955063347_5qjb_1781955063347_tezk"/>
    <x v="5"/>
    <s v="rc_acc_1781955063347_uxz4"/>
    <x v="4"/>
    <s v=""/>
    <m/>
    <s v="coffeelism"/>
    <m/>
    <s v="import"/>
    <s v=""/>
    <b v="0"/>
    <s v=""/>
  </r>
  <r>
    <s v="caab507c-da9d-4875-8163-6ef2fd03001e"/>
    <s v="2022-08-14"/>
    <x v="4"/>
    <x v="10"/>
    <n v="14"/>
    <s v="00:00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83a1cfaf-83ee-4ea1-92df-fd9341e6e085"/>
    <s v="2022-08-14"/>
    <x v="4"/>
    <x v="10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b2ceb1ae-b239-44e8-8411-dcdcee7ba2bf"/>
    <s v="2022-08-14"/>
    <x v="4"/>
    <x v="10"/>
    <n v="14"/>
    <s v="11:38"/>
    <n v="82"/>
    <x v="0"/>
    <s v="rc_cat_1781955063347_5qjb_1781955063347_tezk"/>
    <x v="5"/>
    <s v="rc_acc_1781955063347_uxz4"/>
    <x v="4"/>
    <s v=""/>
    <m/>
    <s v="เกาเหลาเนื้อ"/>
    <m/>
    <s v="import"/>
    <s v=""/>
    <b v="0"/>
    <s v=""/>
  </r>
  <r>
    <s v="e775a936-993a-4936-abec-1a7bce62d885"/>
    <s v="2022-08-14"/>
    <x v="4"/>
    <x v="10"/>
    <n v="14"/>
    <s v="17:38"/>
    <n v="1381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61f91d3-c1d2-4cb7-94b3-6a6e87fa2e0c"/>
    <s v="2022-08-13"/>
    <x v="4"/>
    <x v="10"/>
    <n v="13"/>
    <s v="16:31"/>
    <n v="100"/>
    <x v="0"/>
    <s v="rc_cat_1781955063347_5qjb_1781955063347_tezk"/>
    <x v="5"/>
    <s v="rc_acc_1781955063347_uxz4"/>
    <x v="4"/>
    <s v=""/>
    <m/>
    <s v="28ml"/>
    <m/>
    <s v="import"/>
    <s v=""/>
    <b v="0"/>
    <s v=""/>
  </r>
  <r>
    <s v="1017d155-246d-416f-97c2-8273f5ef1f52"/>
    <s v="2022-08-13"/>
    <x v="4"/>
    <x v="10"/>
    <n v="13"/>
    <s v="18:22"/>
    <n v="1318"/>
    <x v="0"/>
    <s v="rc_cat_1781955063347_5qjb_1781955063347_tezk"/>
    <x v="5"/>
    <s v="rc_acc_1781955063347_0qmn"/>
    <x v="20"/>
    <s v=""/>
    <m/>
    <s v="momo"/>
    <m/>
    <s v="import"/>
    <s v=""/>
    <b v="0"/>
    <s v=""/>
  </r>
  <r>
    <s v="bc89976c-bf68-46ee-8987-45ca2757b426"/>
    <s v="2022-08-13"/>
    <x v="4"/>
    <x v="10"/>
    <n v="13"/>
    <s v="18:23"/>
    <n v="1105.2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0facfdfa-a773-4281-b220-4ce6e233031c"/>
    <s v="2022-08-13"/>
    <x v="4"/>
    <x v="10"/>
    <n v="13"/>
    <s v="18:23"/>
    <n v="56"/>
    <x v="0"/>
    <s v="rc_cat_1781955063347_5qjb_1781955063347_tezk"/>
    <x v="5"/>
    <s v="rc_acc_1781955063347_0qmn"/>
    <x v="20"/>
    <s v=""/>
    <m/>
    <s v="โดนัท"/>
    <m/>
    <s v="import"/>
    <s v=""/>
    <b v="0"/>
    <s v=""/>
  </r>
  <r>
    <s v="12209a13-775d-4c8f-81ca-87446f6312f7"/>
    <s v="2022-08-13"/>
    <x v="4"/>
    <x v="10"/>
    <n v="13"/>
    <s v="18:23"/>
    <n v="33"/>
    <x v="0"/>
    <s v="rc_cat_1781955063347_5qjb_1781955063347_tezk"/>
    <x v="5"/>
    <s v="rc_acc_1781955063347_0qmn"/>
    <x v="20"/>
    <s v=""/>
    <m/>
    <s v="ปังสยาม"/>
    <m/>
    <s v="import"/>
    <s v=""/>
    <b v="0"/>
    <s v=""/>
  </r>
  <r>
    <s v="cce9a274-fa72-4075-82b1-c0659fdea69a"/>
    <s v="2022-08-13"/>
    <x v="4"/>
    <x v="10"/>
    <n v="13"/>
    <s v="18:36"/>
    <n v="531"/>
    <x v="0"/>
    <s v="rc_cat_1781955063347_5qjb_1781955063347_tezk"/>
    <x v="5"/>
    <s v="rc_acc_1781955063347_0qmn"/>
    <x v="20"/>
    <s v=""/>
    <m/>
    <s v="ข้าวตั้งแต่ 9 สค 171 177 183"/>
    <m/>
    <s v="import"/>
    <s v=""/>
    <b v="0"/>
    <s v=""/>
  </r>
  <r>
    <s v="f6aa34a3-9cbf-475d-9ab0-280a55e019ea"/>
    <s v="2022-08-13"/>
    <x v="4"/>
    <x v="10"/>
    <n v="13"/>
    <s v="18:39"/>
    <n v="4593.85"/>
    <x v="0"/>
    <s v="rc_cat_1781955063347_anhy_1781955063348_k5l1"/>
    <x v="16"/>
    <s v="kbank"/>
    <x v="0"/>
    <s v=""/>
    <m/>
    <s v="hai ti lao"/>
    <m/>
    <s v="import"/>
    <s v=""/>
    <b v="0"/>
    <s v=""/>
  </r>
  <r>
    <s v="495f4e7a-89aa-47f3-8e2d-fafebdbcaea9"/>
    <s v="2022-08-12"/>
    <x v="4"/>
    <x v="10"/>
    <n v="12"/>
    <s v="13:40"/>
    <n v="345"/>
    <x v="0"/>
    <s v="rc_cat_1781955063347_anhy_1781955063347_qnaz"/>
    <x v="4"/>
    <s v="rc_acc_1781955063347_uxz4"/>
    <x v="4"/>
    <s v=""/>
    <m/>
    <s v="starbucks"/>
    <m/>
    <s v="import"/>
    <s v=""/>
    <b v="0"/>
    <s v=""/>
  </r>
  <r>
    <s v="db56a0ba-69e5-42db-b366-cc229556790e"/>
    <s v="2022-08-12"/>
    <x v="4"/>
    <x v="10"/>
    <n v="12"/>
    <s v="15:46"/>
    <n v="269"/>
    <x v="0"/>
    <s v="entertain_1781955063348_kx2f"/>
    <x v="0"/>
    <s v="rc_acc_1781955063347_0qmn"/>
    <x v="20"/>
    <s v=""/>
    <m/>
    <s v="ราวตากผ้า ตะกร้า"/>
    <m/>
    <s v="import"/>
    <s v=""/>
    <b v="0"/>
    <s v=""/>
  </r>
  <r>
    <s v="d3401fcf-e5a3-4c8d-b119-d6231a045c7c"/>
    <s v="2022-08-12"/>
    <x v="4"/>
    <x v="10"/>
    <n v="12"/>
    <s v="15:48"/>
    <n v="269"/>
    <x v="1"/>
    <s v="other"/>
    <x v="1"/>
    <s v="rc_acc_1781955063347_omhz"/>
    <x v="29"/>
    <s v="rc_acc_1781955063347_uxz4"/>
    <s v="SCB"/>
    <s v="-"/>
    <m/>
    <s v="import"/>
    <s v=""/>
    <b v="0"/>
    <s v=""/>
  </r>
  <r>
    <s v="adf7bdb9-cc8e-47c9-9f06-9cd6a539c79c"/>
    <s v="2022-08-10"/>
    <x v="4"/>
    <x v="10"/>
    <n v="10"/>
    <s v="02:49"/>
    <n v="50000"/>
    <x v="1"/>
    <s v="other"/>
    <x v="1"/>
    <s v="rc_acc_1781955063347_6gmg"/>
    <x v="33"/>
    <s v="rc_acc_1781955063347_uxz4"/>
    <s v="SCB"/>
    <s v="vp กลางปี ปะนะ"/>
    <m/>
    <s v="import"/>
    <s v=""/>
    <b v="0"/>
    <s v=""/>
  </r>
  <r>
    <s v="f48c59dd-9165-4149-8b1f-2b9121ca16c8"/>
    <s v="2022-08-10"/>
    <x v="4"/>
    <x v="10"/>
    <n v="10"/>
    <s v="07:29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8372d995-c2bc-4ad8-9e49-b623f8a905a3"/>
    <s v="2022-08-10"/>
    <x v="4"/>
    <x v="10"/>
    <n v="10"/>
    <s v="12:30"/>
    <n v="86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ab5b4e3-6e1a-4d4d-9e0b-269cbd222497"/>
    <s v="2022-08-10"/>
    <x v="4"/>
    <x v="10"/>
    <n v="10"/>
    <s v="12:40"/>
    <n v="60"/>
    <x v="0"/>
    <s v="rc_cat_1781955063347_5qjb_1781955063347_tezk"/>
    <x v="5"/>
    <s v="rc_acc_1781955063347_uxz4"/>
    <x v="4"/>
    <s v=""/>
    <m/>
    <s v="yakkcafe"/>
    <m/>
    <s v="import"/>
    <s v=""/>
    <b v="0"/>
    <s v=""/>
  </r>
  <r>
    <s v="d2eac02e-bd67-4d6a-a8e5-a805fb2ead38"/>
    <s v="2022-08-10"/>
    <x v="4"/>
    <x v="10"/>
    <n v="10"/>
    <s v="18:28"/>
    <n v="85"/>
    <x v="0"/>
    <s v="rc_cat_1781955063347_5qjb_1781955063347_tezk"/>
    <x v="5"/>
    <s v="rc_acc_1781955063347_0qmn"/>
    <x v="20"/>
    <s v=""/>
    <m/>
    <s v="หมูปิ้ง"/>
    <m/>
    <s v="import"/>
    <s v=""/>
    <b v="0"/>
    <s v=""/>
  </r>
  <r>
    <s v="3cd98707-674d-405f-bb80-1de16cd2769d"/>
    <s v="2022-08-10"/>
    <x v="4"/>
    <x v="10"/>
    <n v="10"/>
    <s v="21:29"/>
    <n v="100"/>
    <x v="0"/>
    <s v="rc_cat_1781955063347_5qjb_1781955063347_tezk"/>
    <x v="5"/>
    <s v="rc_acc_1781955063347_0qmn"/>
    <x v="20"/>
    <s v=""/>
    <m/>
    <s v="white coffee"/>
    <m/>
    <s v="import"/>
    <s v=""/>
    <b v="0"/>
    <s v=""/>
  </r>
  <r>
    <s v="57bc78c1-818e-46e2-9a3c-a54b28480ceb"/>
    <s v="2022-08-09"/>
    <x v="4"/>
    <x v="10"/>
    <n v="9"/>
    <s v="09:24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32a004c-7564-4f4d-8b23-f17132ca866f"/>
    <s v="2022-08-09"/>
    <x v="4"/>
    <x v="10"/>
    <n v="9"/>
    <s v="09:41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ae2b489-6684-444b-9e59-9c1eaab18a6c"/>
    <s v="2022-08-09"/>
    <x v="4"/>
    <x v="10"/>
    <n v="9"/>
    <s v="12:46"/>
    <n v="5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b311337-68e1-4978-a740-a44db681b137"/>
    <s v="2022-08-09"/>
    <x v="4"/>
    <x v="10"/>
    <n v="9"/>
    <s v="12:55"/>
    <n v="50"/>
    <x v="0"/>
    <s v="rc_cat_1781955063347_5qjb_1781955063347_tezk"/>
    <x v="5"/>
    <s v="rc_acc_1781955063347_uxz4"/>
    <x v="4"/>
    <s v=""/>
    <m/>
    <s v="coffeelism"/>
    <m/>
    <s v="import"/>
    <s v=""/>
    <b v="0"/>
    <s v=""/>
  </r>
  <r>
    <s v="61ffdcae-f023-4d66-b14a-8db49cc358a2"/>
    <s v="2022-08-08"/>
    <x v="4"/>
    <x v="10"/>
    <n v="8"/>
    <s v="11:55"/>
    <n v="50"/>
    <x v="0"/>
    <s v="rc_cat_1781955063347_5qjb_1781955063347_tezk"/>
    <x v="5"/>
    <s v="kbank"/>
    <x v="0"/>
    <s v=""/>
    <m/>
    <s v="-"/>
    <m/>
    <s v="import"/>
    <s v=""/>
    <b v="0"/>
    <s v=""/>
  </r>
  <r>
    <s v="2d314f63-d3c5-4d5f-9751-a813abb04a81"/>
    <s v="2022-08-08"/>
    <x v="4"/>
    <x v="10"/>
    <n v="8"/>
    <s v="12:35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3f1b25f-d817-493a-a031-c7b2a8e62fdf"/>
    <s v="2022-08-08"/>
    <x v="4"/>
    <x v="10"/>
    <n v="8"/>
    <s v="12:52"/>
    <n v="2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0a030fcf-cc17-4607-9819-bec45c324007"/>
    <s v="2022-08-08"/>
    <x v="4"/>
    <x v="10"/>
    <n v="8"/>
    <s v="20:35"/>
    <n v="30"/>
    <x v="0"/>
    <s v="entertain_1781955063348_kx2f"/>
    <x v="0"/>
    <s v="rc_acc_1781955063347_omhz"/>
    <x v="29"/>
    <s v=""/>
    <m/>
    <s v="ที่ชาจ"/>
    <m/>
    <s v="import"/>
    <s v=""/>
    <b v="0"/>
    <s v=""/>
  </r>
  <r>
    <s v="7743cd2b-7a5d-4dd3-bf00-5a34dcb0ef80"/>
    <s v="2022-08-08"/>
    <x v="4"/>
    <x v="10"/>
    <n v="8"/>
    <s v="20:44"/>
    <n v="202"/>
    <x v="0"/>
    <s v="entertain_1781955063348_kx2f"/>
    <x v="0"/>
    <s v="rc_acc_1781955063347_uxz4"/>
    <x v="4"/>
    <s v=""/>
    <m/>
    <s v="สายคล้อง หมอน กาตูน"/>
    <m/>
    <s v="import"/>
    <s v=""/>
    <b v="0"/>
    <s v=""/>
  </r>
  <r>
    <s v="f3056a7e-e7ce-4891-a2a7-b6a566db2246"/>
    <s v="2022-08-08"/>
    <x v="4"/>
    <x v="10"/>
    <n v="8"/>
    <s v="20:47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55109c1a-8af0-465b-b7e3-2777aa2103c9"/>
    <s v="2022-08-07"/>
    <x v="4"/>
    <x v="10"/>
    <n v="7"/>
    <s v="10:24"/>
    <n v="310"/>
    <x v="0"/>
    <s v="entertain_1781955063349_gok1"/>
    <x v="18"/>
    <s v="rc_acc_1781955063347_0qmn"/>
    <x v="20"/>
    <s v=""/>
    <m/>
    <s v="ชะอำ 6 aug ของฝาก"/>
    <m/>
    <s v="import"/>
    <s v=""/>
    <b v="0"/>
    <s v=""/>
  </r>
  <r>
    <s v="bbf45d34-a4fb-40b1-a5be-2593aa61a0b8"/>
    <s v="2022-08-07"/>
    <x v="4"/>
    <x v="10"/>
    <n v="7"/>
    <s v="10:33"/>
    <n v="50"/>
    <x v="0"/>
    <s v="rc_cat_1781955063347_5qjb_1781955063347_tezk"/>
    <x v="5"/>
    <s v="rc_acc_1781955063347_0qmn"/>
    <x v="20"/>
    <s v=""/>
    <m/>
    <s v="ชะอำ 6 aug ชาไทย baugett"/>
    <m/>
    <s v="import"/>
    <s v=""/>
    <b v="0"/>
    <s v=""/>
  </r>
  <r>
    <s v="c57a6718-fb1d-448c-a1cc-70e41cd003e0"/>
    <s v="2022-08-07"/>
    <x v="4"/>
    <x v="10"/>
    <n v="7"/>
    <s v="11:29"/>
    <n v="310"/>
    <x v="1"/>
    <s v="other"/>
    <x v="1"/>
    <s v="rc_acc_1781955063347_e3zv"/>
    <x v="16"/>
    <s v="rc_acc_1781955063347_uxz4"/>
    <s v="SCB"/>
    <s v="ของฝากชะอำ"/>
    <m/>
    <s v="import"/>
    <s v=""/>
    <b v="0"/>
    <s v=""/>
  </r>
  <r>
    <s v="0070e411-fe65-41e1-a363-764f980a0753"/>
    <s v="2022-08-07"/>
    <x v="4"/>
    <x v="10"/>
    <n v="7"/>
    <s v="11:34"/>
    <n v="50"/>
    <x v="1"/>
    <s v="other"/>
    <x v="1"/>
    <s v="rc_acc_1781955063347_e3zv"/>
    <x v="16"/>
    <s v="rc_acc_1781955063347_uxz4"/>
    <s v="SCB"/>
    <s v="-"/>
    <m/>
    <s v="import"/>
    <s v=""/>
    <b v="0"/>
    <s v=""/>
  </r>
  <r>
    <s v="8e3d0e0b-3559-4120-aae6-8434a1108e70"/>
    <s v="2022-08-07"/>
    <x v="4"/>
    <x v="10"/>
    <n v="7"/>
    <s v="12:21"/>
    <n v="175"/>
    <x v="0"/>
    <s v="rc_cat_1781955063347_5qjb_1781955063347_tezk"/>
    <x v="5"/>
    <s v="rc_acc_1781955063347_0qmn"/>
    <x v="20"/>
    <s v=""/>
    <m/>
    <s v="ชะอำ 6 aug diamond dust coffee"/>
    <m/>
    <s v="import"/>
    <s v=""/>
    <b v="0"/>
    <s v=""/>
  </r>
  <r>
    <s v="308c5f89-cdf7-4fa7-936a-5b72c2caa6a1"/>
    <s v="2022-08-07"/>
    <x v="4"/>
    <x v="10"/>
    <n v="7"/>
    <s v="13:55"/>
    <n v="1650"/>
    <x v="1"/>
    <s v="other"/>
    <x v="1"/>
    <s v="rc_acc_1781955063347_e3zv"/>
    <x v="16"/>
    <s v="rc_acc_1781955063347_uxz4"/>
    <s v="SCB"/>
    <s v="ชะอำ 6 aug ครัวห้วยทราย"/>
    <m/>
    <s v="import"/>
    <s v=""/>
    <b v="0"/>
    <s v=""/>
  </r>
  <r>
    <s v="102b5de4-c765-4faf-adf1-7ee89920b625"/>
    <s v="2022-08-07"/>
    <x v="4"/>
    <x v="10"/>
    <n v="7"/>
    <s v="19:11"/>
    <n v="24422.84"/>
    <x v="0"/>
    <s v="other_1781955063347_5s7r"/>
    <x v="15"/>
    <s v="advance"/>
    <x v="2"/>
    <s v=""/>
    <m/>
    <s v="Difference"/>
    <m/>
    <s v="import"/>
    <s v=""/>
    <b v="0"/>
    <s v=""/>
  </r>
  <r>
    <s v="fbb50487-3bb5-44c2-b85a-6e594d738c6b"/>
    <s v="2022-08-07"/>
    <x v="4"/>
    <x v="10"/>
    <n v="7"/>
    <s v="19:22"/>
    <n v="1300"/>
    <x v="0"/>
    <s v="rc_cat_1781955063347_5qjb_1781955063347_tezk"/>
    <x v="5"/>
    <s v="rc_acc_1781955063347_0qmn"/>
    <x v="20"/>
    <s v=""/>
    <m/>
    <s v="ชะอำ 6 aug ครัวห้วยทราย 1650 ลบยอดโอนคืน 350"/>
    <m/>
    <s v="import"/>
    <s v=""/>
    <b v="0"/>
    <s v=""/>
  </r>
  <r>
    <s v="47e8e933-c037-4d3d-8c2b-fb20a17121d4"/>
    <s v="2022-08-07"/>
    <x v="4"/>
    <x v="10"/>
    <n v="7"/>
    <s v="19:24"/>
    <n v="105"/>
    <x v="0"/>
    <s v="rc_cat_1781955063347_5qjb_1781955063347_tezk"/>
    <x v="5"/>
    <s v="rc_acc_1781955063347_0qmn"/>
    <x v="20"/>
    <s v=""/>
    <m/>
    <s v="ชะอำ 6 aug kfc"/>
    <m/>
    <s v="import"/>
    <s v=""/>
    <b v="0"/>
    <s v=""/>
  </r>
  <r>
    <s v="b838dd31-3585-49ba-b88c-50740e59246e"/>
    <s v="2022-08-07"/>
    <x v="4"/>
    <x v="10"/>
    <n v="7"/>
    <s v="19:36"/>
    <n v="1150"/>
    <x v="0"/>
    <s v="rc_cat_1781955063347_5qjb_1781955063348_edf6"/>
    <x v="30"/>
    <s v="rc_acc_1781955063347_0qmn"/>
    <x v="20"/>
    <s v=""/>
    <m/>
    <s v="ชะอำ 6 aug น้ำมันเริ่มทริป"/>
    <m/>
    <s v="import"/>
    <s v=""/>
    <b v="0"/>
    <s v=""/>
  </r>
  <r>
    <s v="52f427e4-54de-4f2b-bda3-825162404607"/>
    <s v="2022-08-07"/>
    <x v="4"/>
    <x v="10"/>
    <n v="7"/>
    <s v="23:55"/>
    <n v="5"/>
    <x v="0"/>
    <s v="other_1781955063347_5s7r"/>
    <x v="15"/>
    <s v="rc_acc_1781955063347_uxz4"/>
    <x v="4"/>
    <s v=""/>
    <m/>
    <s v="Difference"/>
    <m/>
    <s v="import"/>
    <s v=""/>
    <b v="0"/>
    <s v=""/>
  </r>
  <r>
    <s v="2b0e31d5-fc41-4456-87fa-135794191a34"/>
    <s v="2022-08-06"/>
    <x v="4"/>
    <x v="10"/>
    <n v="6"/>
    <s v="06:03"/>
    <n v="799"/>
    <x v="0"/>
    <s v="rc_cat_1781955063347_5qjb_1781955063347_tezk"/>
    <x v="5"/>
    <s v="rc_acc_1781955063347_0qmn"/>
    <x v="20"/>
    <s v=""/>
    <m/>
    <s v="ข้าวสี่ order 3-4 สค 193 237 102 267"/>
    <m/>
    <s v="import"/>
    <s v=""/>
    <b v="0"/>
    <s v=""/>
  </r>
  <r>
    <s v="ea8bbf89-86e1-4636-b31a-eab9c6666673"/>
    <s v="2022-08-06"/>
    <x v="4"/>
    <x v="10"/>
    <n v="6"/>
    <s v="08:53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5bf6fb2b-d5b0-45a3-8f25-33a3c80bea8d"/>
    <s v="2022-08-06"/>
    <x v="4"/>
    <x v="10"/>
    <n v="6"/>
    <s v="08:53"/>
    <n v="11853.33"/>
    <x v="1"/>
    <s v="other"/>
    <x v="1"/>
    <s v="rc_acc_1781955063347_uxz4"/>
    <x v="4"/>
    <s v="advance"/>
    <s v="Advance Paid"/>
    <s v="สำรองจ่ายกองกลาง"/>
    <m/>
    <s v="import"/>
    <s v=""/>
    <b v="0"/>
    <s v=""/>
  </r>
  <r>
    <s v="2f6f4606-392d-42b9-9db1-55444e75c89e"/>
    <s v="2022-08-06"/>
    <x v="4"/>
    <x v="10"/>
    <n v="6"/>
    <s v="08:57"/>
    <n v="4172.87"/>
    <x v="0"/>
    <s v="rc_cat_1781955063347_04qb_1781955063347_wt5p"/>
    <x v="3"/>
    <s v="rc_acc_1781955063347_uxz4"/>
    <x v="4"/>
    <s v=""/>
    <m/>
    <s v="-"/>
    <m/>
    <s v="import"/>
    <s v=""/>
    <b v="0"/>
    <s v=""/>
  </r>
  <r>
    <s v="c6344de0-91b6-4e1f-91db-9bc3776bbe87"/>
    <s v="2022-08-06"/>
    <x v="4"/>
    <x v="10"/>
    <n v="6"/>
    <s v="13:35"/>
    <n v="124"/>
    <x v="0"/>
    <s v="rc_cat_1781955063347_5qjb_1781955063347_tezk"/>
    <x v="5"/>
    <s v="rc_acc_1781955063347_0qmn"/>
    <x v="20"/>
    <s v=""/>
    <m/>
    <s v="blackcanyon"/>
    <m/>
    <s v="import"/>
    <s v=""/>
    <b v="0"/>
    <s v=""/>
  </r>
  <r>
    <s v="44a199db-8b88-46d9-9fc9-861b63ac29d1"/>
    <s v="2022-08-06"/>
    <x v="4"/>
    <x v="10"/>
    <n v="6"/>
    <s v="14:15"/>
    <n v="250"/>
    <x v="0"/>
    <s v="rc_cat_1781955063347_5qjb_1781955063347_tezk"/>
    <x v="5"/>
    <s v="rc_acc_1781955063347_0qmn"/>
    <x v="20"/>
    <s v=""/>
    <m/>
    <s v="ชะอำ 6 aug กะเพราเนื้อตุ๋น"/>
    <m/>
    <s v="import"/>
    <s v=""/>
    <b v="0"/>
    <s v=""/>
  </r>
  <r>
    <s v="423f05a4-4f5e-466a-9e50-85c321ffde68"/>
    <s v="2022-08-06"/>
    <x v="4"/>
    <x v="10"/>
    <n v="6"/>
    <s v="14:16"/>
    <n v="45"/>
    <x v="0"/>
    <s v="rc_cat_1781955063347_5qjb_1781955063347_tezk"/>
    <x v="5"/>
    <s v="rc_acc_1781955063347_0qmn"/>
    <x v="20"/>
    <s v=""/>
    <m/>
    <s v="ชะอำ 6 aug ขนมครก"/>
    <m/>
    <s v="import"/>
    <s v=""/>
    <b v="0"/>
    <s v=""/>
  </r>
  <r>
    <s v="753d2407-7659-4836-a42f-b7b00adc01d2"/>
    <s v="2022-08-06"/>
    <x v="4"/>
    <x v="10"/>
    <n v="6"/>
    <s v="14:16"/>
    <n v="100"/>
    <x v="0"/>
    <s v="rc_cat_1781955063347_5qjb_1781955063347_tezk"/>
    <x v="5"/>
    <s v="rc_acc_1781955063347_0qmn"/>
    <x v="20"/>
    <s v=""/>
    <m/>
    <s v="ชะอำ 6 aug cafe amazon"/>
    <m/>
    <s v="import"/>
    <s v=""/>
    <b v="0"/>
    <s v=""/>
  </r>
  <r>
    <s v="cb2dce36-d702-4181-9609-7a30d289e867"/>
    <s v="2022-08-06"/>
    <x v="4"/>
    <x v="10"/>
    <n v="6"/>
    <s v="19:15"/>
    <n v="70"/>
    <x v="0"/>
    <s v="rc_cat_1781955063347_5qjb_1781955063347_tezk"/>
    <x v="5"/>
    <s v="rc_acc_1781955063347_e3zv"/>
    <x v="16"/>
    <s v=""/>
    <m/>
    <s v="ชะอำ 6 aug โรตี"/>
    <m/>
    <s v="import"/>
    <s v=""/>
    <b v="0"/>
    <s v=""/>
  </r>
  <r>
    <s v="f58dc484-b2df-464c-add5-a730c41d4e7b"/>
    <s v="2022-08-06"/>
    <x v="4"/>
    <x v="10"/>
    <n v="6"/>
    <s v="19:19"/>
    <n v="190"/>
    <x v="0"/>
    <s v="rc_cat_1781955063347_5qjb_1781955063347_tezk"/>
    <x v="5"/>
    <s v="rc_acc_1781955063347_0qmn"/>
    <x v="20"/>
    <s v=""/>
    <m/>
    <s v="ชะอำ 6 aug ตลาดโต้รุ่ง หมู 150 40"/>
    <m/>
    <s v="import"/>
    <s v=""/>
    <b v="0"/>
    <s v=""/>
  </r>
  <r>
    <s v="5d933d1c-cb00-489e-b62f-46299632d18f"/>
    <s v="2022-08-05"/>
    <x v="4"/>
    <x v="10"/>
    <n v="5"/>
    <s v="09:25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c46bc70-8d17-4cad-8b75-f2b03c650cab"/>
    <s v="2022-08-05"/>
    <x v="4"/>
    <x v="10"/>
    <n v="5"/>
    <s v="12:45"/>
    <n v="120"/>
    <x v="0"/>
    <s v="rc_cat_1781955063347_5qjb_1781955063347_tezk"/>
    <x v="5"/>
    <s v="rc_acc_1781955063347_uxz4"/>
    <x v="4"/>
    <s v=""/>
    <m/>
    <s v="ตุ้กริมคลอง"/>
    <m/>
    <s v="import"/>
    <s v=""/>
    <b v="0"/>
    <s v=""/>
  </r>
  <r>
    <s v="960c13c9-5bd3-48cf-b338-32a6cfe498f7"/>
    <s v="2022-08-05"/>
    <x v="4"/>
    <x v="10"/>
    <n v="5"/>
    <s v="18:52"/>
    <n v="552"/>
    <x v="0"/>
    <s v="rc_cat_1781955063347_5qjb_1781955063347_tezk"/>
    <x v="5"/>
    <s v="rc_acc_1781955063347_0qmn"/>
    <x v="20"/>
    <s v=""/>
    <m/>
    <s v="เจริญรส"/>
    <m/>
    <s v="import"/>
    <s v=""/>
    <b v="0"/>
    <s v=""/>
  </r>
  <r>
    <s v="ba235b48-94a1-4e70-80e5-e106021f2c98"/>
    <s v="2022-08-04"/>
    <x v="4"/>
    <x v="10"/>
    <n v="4"/>
    <s v="09:01"/>
    <n v="351"/>
    <x v="0"/>
    <s v="rc_cat_1781955063347_5qjb_1781955063347_tezk"/>
    <x v="5"/>
    <s v="rc_acc_1781955063347_0qmn"/>
    <x v="20"/>
    <s v=""/>
    <m/>
    <s v="เขียง หง wfh"/>
    <m/>
    <s v="import"/>
    <s v=""/>
    <b v="0"/>
    <s v=""/>
  </r>
  <r>
    <s v="e8d709b4-bb42-4f14-baab-96c28dff06e2"/>
    <s v="2022-08-03"/>
    <x v="4"/>
    <x v="10"/>
    <n v="3"/>
    <s v="12:52"/>
    <n v="92"/>
    <x v="0"/>
    <s v="rc_cat_1781955063347_5qjb_1781955063347_tezk"/>
    <x v="5"/>
    <s v="rc_acc_1781955063347_omhz"/>
    <x v="29"/>
    <s v=""/>
    <m/>
    <s v="-"/>
    <m/>
    <s v="import"/>
    <s v=""/>
    <b v="0"/>
    <s v=""/>
  </r>
  <r>
    <s v="b920607c-9166-4fab-91bd-0f16cb2b68db"/>
    <s v="2022-08-02"/>
    <x v="4"/>
    <x v="10"/>
    <n v="2"/>
    <s v="12:05"/>
    <n v="8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4a12168-a5cf-4ac6-af34-bb9cfca55260"/>
    <s v="2022-08-02"/>
    <x v="4"/>
    <x v="10"/>
    <n v="2"/>
    <s v="12:39"/>
    <n v="110"/>
    <x v="0"/>
    <s v="rc_cat_1781955063347_5qjb_1781955063347_tezk"/>
    <x v="5"/>
    <s v="rc_acc_1781955063347_uxz4"/>
    <x v="4"/>
    <s v=""/>
    <m/>
    <s v="coffeelism+YAKKCAFE"/>
    <m/>
    <s v="import"/>
    <s v=""/>
    <b v="0"/>
    <s v=""/>
  </r>
  <r>
    <s v="ddbdfbcd-585f-4d8b-96aa-cd3c819d66e7"/>
    <s v="2022-08-02"/>
    <x v="4"/>
    <x v="10"/>
    <n v="2"/>
    <s v="15:54"/>
    <n v="10000"/>
    <x v="1"/>
    <s v="other"/>
    <x v="1"/>
    <s v="rc_acc_1781955063349_qn1n"/>
    <x v="31"/>
    <s v="rc_acc_1781955063347_uxz4"/>
    <s v="SCB"/>
    <s v="Yuang"/>
    <m/>
    <s v="import"/>
    <s v=""/>
    <b v="0"/>
    <s v=""/>
  </r>
  <r>
    <s v="905ae240-72f1-458a-a510-bd56d2ac5041"/>
    <s v="2022-08-02"/>
    <x v="4"/>
    <x v="10"/>
    <n v="2"/>
    <s v="18:51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2b248e2f-75c9-43b5-8f9a-da5f27a98c09"/>
    <s v="2022-08-01"/>
    <x v="4"/>
    <x v="10"/>
    <n v="1"/>
    <s v="12:25"/>
    <n v="42"/>
    <x v="0"/>
    <s v="rc_cat_1781955063347_5qjb_1781955063347_tezk"/>
    <x v="5"/>
    <s v="kbank"/>
    <x v="0"/>
    <s v=""/>
    <m/>
    <s v="-"/>
    <m/>
    <s v="import"/>
    <s v=""/>
    <b v="0"/>
    <s v=""/>
  </r>
  <r>
    <s v="7c1cd322-5552-4b30-b8ad-4bb848e34b41"/>
    <s v="2022-08-01"/>
    <x v="4"/>
    <x v="10"/>
    <n v="1"/>
    <s v="15:55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1c43acc-daa4-4486-99ce-6a99abd38b5b"/>
    <s v="2022-07-31"/>
    <x v="4"/>
    <x v="11"/>
    <n v="31"/>
    <s v="08:52"/>
    <n v="50225"/>
    <x v="0"/>
    <s v="other_1781955063347_5s7r"/>
    <x v="15"/>
    <s v="rc_acc_1781955063347_0qmn"/>
    <x v="20"/>
    <s v=""/>
    <m/>
    <s v="Difference"/>
    <m/>
    <s v="import"/>
    <s v=""/>
    <b v="0"/>
    <s v=""/>
  </r>
  <r>
    <s v="14326237-2aa6-4c33-96f2-c9f7002ee063"/>
    <s v="2022-07-29"/>
    <x v="4"/>
    <x v="11"/>
    <n v="29"/>
    <s v="13:35"/>
    <n v="1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b8bcddd-9c61-4cad-a4c5-a0a59e9bcac3"/>
    <s v="2022-07-28"/>
    <x v="4"/>
    <x v="11"/>
    <n v="28"/>
    <s v="09:06"/>
    <n v="77"/>
    <x v="0"/>
    <s v="other_1781955063348_27zj"/>
    <x v="0"/>
    <s v="rc_acc_1781955063347_omhz"/>
    <x v="29"/>
    <s v=""/>
    <m/>
    <s v="สายไฟ"/>
    <m/>
    <s v="import"/>
    <s v=""/>
    <b v="0"/>
    <s v=""/>
  </r>
  <r>
    <s v="a89ff5e9-d9f4-430d-8adb-fc28b58149c3"/>
    <s v="2022-07-28"/>
    <x v="4"/>
    <x v="11"/>
    <n v="28"/>
    <s v="20:34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e7a59669-05c8-453f-88b1-f386d829c40a"/>
    <s v="2022-07-27"/>
    <x v="4"/>
    <x v="11"/>
    <n v="27"/>
    <s v="12:34"/>
    <n v="89"/>
    <x v="0"/>
    <s v="rc_cat_1781955063347_5qjb_1781955063347_tezk"/>
    <x v="5"/>
    <s v="rc_acc_1781955063347_uxz4"/>
    <x v="4"/>
    <s v=""/>
    <m/>
    <s v="มงคลชัย"/>
    <m/>
    <s v="import"/>
    <s v=""/>
    <b v="0"/>
    <s v=""/>
  </r>
  <r>
    <s v="88b153a8-b642-4eda-90f5-8d8d67d7ce2f"/>
    <s v="2022-07-27"/>
    <x v="4"/>
    <x v="11"/>
    <n v="27"/>
    <s v="15:3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9c17b08-93b9-4985-9333-999211d3167b"/>
    <s v="2022-07-26"/>
    <x v="4"/>
    <x v="11"/>
    <n v="26"/>
    <s v="09:00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3832335-c47c-4738-8c1d-9808bdcdce0c"/>
    <s v="2022-07-26"/>
    <x v="4"/>
    <x v="11"/>
    <n v="26"/>
    <s v="09:00"/>
    <n v="105"/>
    <x v="1"/>
    <s v="other"/>
    <x v="1"/>
    <s v="rc_acc_1781955063348_jnjs"/>
    <x v="34"/>
    <s v="rc_acc_1781955063347_uxz4"/>
    <s v="SCB"/>
    <s v="-"/>
    <m/>
    <s v="import"/>
    <s v=""/>
    <b v="0"/>
    <s v=""/>
  </r>
  <r>
    <s v="cb2e167a-2315-4310-b3ce-7f3bf416f4f0"/>
    <s v="2022-07-26"/>
    <x v="4"/>
    <x v="11"/>
    <n v="26"/>
    <s v="11:56"/>
    <n v="260"/>
    <x v="0"/>
    <s v="rc_cat_1781955063347_anhy_1781955063350_fcpb"/>
    <x v="2"/>
    <s v="kbank"/>
    <x v="0"/>
    <s v=""/>
    <m/>
    <s v="-"/>
    <m/>
    <s v="import"/>
    <s v=""/>
    <b v="0"/>
    <s v=""/>
  </r>
  <r>
    <s v="064dc89f-a579-4a8c-bab4-8c0148278c4b"/>
    <s v="2022-07-26"/>
    <x v="4"/>
    <x v="11"/>
    <n v="26"/>
    <s v="12:32"/>
    <n v="86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260cd0f-05ed-437a-9788-f7a64b6f8392"/>
    <s v="2022-07-26"/>
    <x v="4"/>
    <x v="11"/>
    <n v="26"/>
    <s v="12:35"/>
    <n v="60"/>
    <x v="0"/>
    <s v="rc_cat_1781955063347_5qjb_1781955063347_tezk"/>
    <x v="5"/>
    <s v="rc_acc_1781955063347_uxz4"/>
    <x v="4"/>
    <s v=""/>
    <m/>
    <s v="yakkcafe"/>
    <m/>
    <s v="import"/>
    <s v=""/>
    <b v="0"/>
    <s v=""/>
  </r>
  <r>
    <s v="a1e7c2d0-79d6-4d1f-ac79-b3bf87f14438"/>
    <s v="2022-07-25"/>
    <x v="4"/>
    <x v="11"/>
    <n v="25"/>
    <s v="09:31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a05c6bf-227a-4e2e-b7fd-b650a7191738"/>
    <s v="2022-07-25"/>
    <x v="4"/>
    <x v="11"/>
    <n v="25"/>
    <s v="12:31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5d7c41a-90b9-49de-b557-4ca5fabcb559"/>
    <s v="2022-07-25"/>
    <x v="4"/>
    <x v="11"/>
    <n v="25"/>
    <s v="12:36"/>
    <n v="140"/>
    <x v="1"/>
    <s v="other"/>
    <x v="1"/>
    <s v="rc_acc_1781955063347_uxz4"/>
    <x v="4"/>
    <s v="rc_acc_1781955063347_e3zv"/>
    <s v="Cash"/>
    <s v="-"/>
    <m/>
    <s v="import"/>
    <s v=""/>
    <b v="0"/>
    <s v=""/>
  </r>
  <r>
    <s v="eabfdacf-ef90-469c-b342-2df5bae4676d"/>
    <s v="2022-07-25"/>
    <x v="4"/>
    <x v="11"/>
    <n v="25"/>
    <s v="12:36"/>
    <n v="144"/>
    <x v="0"/>
    <s v="rc_cat_1781955063347_5qjb_1781955063347_tezk"/>
    <x v="5"/>
    <s v="rc_acc_1781955063347_uxz4"/>
    <x v="4"/>
    <s v=""/>
    <m/>
    <s v="-"/>
    <m/>
    <s v="import"/>
    <s v=""/>
    <b v="0"/>
    <s v=""/>
  </r>
  <r>
    <s v="79eb4dab-3de9-46ca-a93d-ff2cb35bebf9"/>
    <s v="2022-07-23"/>
    <x v="4"/>
    <x v="11"/>
    <n v="23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d1384950-5df7-4296-9b72-7f329667044e"/>
    <s v="2022-07-23"/>
    <x v="4"/>
    <x v="11"/>
    <n v="23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3092f236-65a1-48de-8b94-d7e3c38e4974"/>
    <s v="2022-07-23"/>
    <x v="4"/>
    <x v="11"/>
    <n v="23"/>
    <s v="00:00"/>
    <n v="520.15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4946ac53-2836-4dad-a229-f029a854107c"/>
    <s v="2022-07-23"/>
    <x v="4"/>
    <x v="11"/>
    <n v="23"/>
    <s v="00:00"/>
    <n v="97.9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2a045941-4383-4c8a-b37b-0921d78e1cfe"/>
    <s v="2022-07-23"/>
    <x v="4"/>
    <x v="11"/>
    <n v="23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039b5683-d635-47a9-bba3-40b2bb8ef1bd"/>
    <s v="2022-07-23"/>
    <x v="4"/>
    <x v="11"/>
    <n v="23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7d04e9e8-61ad-4378-9cf3-22357da74ea3"/>
    <s v="2022-07-23"/>
    <x v="4"/>
    <x v="11"/>
    <n v="23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ec43f099-0f2c-4b3a-bf0e-6c98cd8b091f"/>
    <s v="2022-07-23"/>
    <x v="4"/>
    <x v="11"/>
    <n v="23"/>
    <s v="00:00"/>
    <n v="505.39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ad4daf44-e933-45b5-aac0-282f0c5b747f"/>
    <s v="2022-07-23"/>
    <x v="4"/>
    <x v="11"/>
    <n v="23"/>
    <s v="00:00"/>
    <n v="135"/>
    <x v="0"/>
    <s v="rc_cat_1781955063347_anhy_1781955063347_qnaz"/>
    <x v="4"/>
    <s v="rc_acc_1781955063347_uxz4"/>
    <x v="4"/>
    <s v=""/>
    <m/>
    <s v="-"/>
    <m/>
    <s v="import"/>
    <s v=""/>
    <b v="0"/>
    <s v=""/>
  </r>
  <r>
    <s v="29f5182f-bd87-43f9-9186-3cd8759aa738"/>
    <s v="2022-07-23"/>
    <x v="4"/>
    <x v="11"/>
    <n v="23"/>
    <s v="12:42"/>
    <n v="270"/>
    <x v="0"/>
    <s v="entertain_1781955063348_kx2f"/>
    <x v="0"/>
    <s v="kbank"/>
    <x v="0"/>
    <s v=""/>
    <m/>
    <s v="s7 case"/>
    <m/>
    <s v="import"/>
    <s v=""/>
    <b v="0"/>
    <s v=""/>
  </r>
  <r>
    <s v="3cf947d5-3878-422d-b12c-d9a0e798d8d7"/>
    <s v="2022-07-23"/>
    <x v="4"/>
    <x v="11"/>
    <n v="23"/>
    <s v="12:53"/>
    <n v="470"/>
    <x v="1"/>
    <s v="other"/>
    <x v="1"/>
    <s v="advance"/>
    <x v="2"/>
    <s v="rc_acc_1781955063347_uxz4"/>
    <s v="SCB"/>
    <s v="-"/>
    <m/>
    <s v="import"/>
    <s v=""/>
    <b v="0"/>
    <s v=""/>
  </r>
  <r>
    <s v="e8029928-2122-42b4-9346-26611cc8e740"/>
    <s v="2022-07-23"/>
    <x v="4"/>
    <x v="11"/>
    <n v="23"/>
    <s v="12:54"/>
    <n v="115"/>
    <x v="1"/>
    <s v="other"/>
    <x v="1"/>
    <s v="rc_acc_1781955063348_w3gp"/>
    <x v="6"/>
    <s v="rc_acc_1781955063347_uxz4"/>
    <s v="SCB"/>
    <s v="-"/>
    <m/>
    <s v="import"/>
    <s v=""/>
    <b v="0"/>
    <s v=""/>
  </r>
  <r>
    <s v="e2b41ae9-fc83-4ce9-9b0f-d9aadc14b6c0"/>
    <s v="2022-07-23"/>
    <x v="4"/>
    <x v="11"/>
    <n v="23"/>
    <s v="12:54"/>
    <n v="100"/>
    <x v="1"/>
    <s v="other"/>
    <x v="1"/>
    <s v="rc_acc_1781955063347_e3zv"/>
    <x v="16"/>
    <s v="rc_acc_1781955063347_uxz4"/>
    <s v="SCB"/>
    <s v="-"/>
    <m/>
    <s v="import"/>
    <s v=""/>
    <b v="0"/>
    <s v=""/>
  </r>
  <r>
    <s v="07d3d303-f207-42d7-b828-5b2c0f09c949"/>
    <s v="2022-07-23"/>
    <x v="4"/>
    <x v="11"/>
    <n v="23"/>
    <s v="12:56"/>
    <n v="250"/>
    <x v="1"/>
    <s v="other"/>
    <x v="1"/>
    <s v="advance"/>
    <x v="2"/>
    <s v="rc_acc_1781955063347_uxz4"/>
    <s v="SCB"/>
    <s v="ส่วนของวัด"/>
    <m/>
    <s v="import"/>
    <s v=""/>
    <b v="0"/>
    <s v=""/>
  </r>
  <r>
    <s v="f55ddf1f-5389-4fe1-b157-7072dbf0705c"/>
    <s v="2022-07-23"/>
    <x v="4"/>
    <x v="11"/>
    <n v="23"/>
    <s v="12:56"/>
    <n v="50"/>
    <x v="0"/>
    <s v="rc_cat_1781955063347_5qjb_1781955063347_tezk"/>
    <x v="5"/>
    <s v="advance"/>
    <x v="2"/>
    <s v=""/>
    <m/>
    <s v="-"/>
    <m/>
    <s v="import"/>
    <s v=""/>
    <b v="0"/>
    <s v=""/>
  </r>
  <r>
    <s v="36e85d52-5f87-4cea-ba80-fa4c5c1fd00e"/>
    <s v="2022-07-23"/>
    <x v="4"/>
    <x v="11"/>
    <n v="23"/>
    <s v="13:00"/>
    <n v="580"/>
    <x v="1"/>
    <s v="other"/>
    <x v="1"/>
    <s v="rc_acc_1781955063348_w3gp"/>
    <x v="6"/>
    <s v="advance"/>
    <s v="Advance Paid"/>
    <s v="-"/>
    <m/>
    <s v="import"/>
    <s v=""/>
    <b v="0"/>
    <s v=""/>
  </r>
  <r>
    <s v="5e41caa6-d5e0-4ebe-9e23-f177d78eaaeb"/>
    <s v="2022-07-23"/>
    <x v="4"/>
    <x v="11"/>
    <n v="23"/>
    <s v="13:03"/>
    <n v="580"/>
    <x v="1"/>
    <s v="other"/>
    <x v="1"/>
    <s v="advance"/>
    <x v="2"/>
    <s v="rc_acc_1781955063348_w3gp"/>
    <s v="UOB world"/>
    <s v="-"/>
    <m/>
    <s v="import"/>
    <s v=""/>
    <b v="0"/>
    <s v=""/>
  </r>
  <r>
    <s v="b9854eaa-e1ca-41ce-9ea8-5b87f703e736"/>
    <s v="2022-07-23"/>
    <x v="4"/>
    <x v="11"/>
    <n v="23"/>
    <s v="13:05"/>
    <n v="2122.42"/>
    <x v="1"/>
    <s v="other"/>
    <x v="1"/>
    <s v="advance"/>
    <x v="2"/>
    <s v="rc_acc_1781955063348_w3gp"/>
    <s v="UOB world"/>
    <s v="-"/>
    <m/>
    <s v="import"/>
    <s v=""/>
    <b v="0"/>
    <s v=""/>
  </r>
  <r>
    <s v="4c9132aa-da88-4b1a-bf03-38c112067f83"/>
    <s v="2022-07-23"/>
    <x v="4"/>
    <x v="11"/>
    <n v="23"/>
    <s v="13:06"/>
    <n v="892.32"/>
    <x v="2"/>
    <s v="other_1781955063347_5s7r"/>
    <x v="15"/>
    <s v="rc_acc_1781955063348_w3gp"/>
    <x v="6"/>
    <s v=""/>
    <m/>
    <s v="Difference"/>
    <m/>
    <s v="import"/>
    <s v=""/>
    <b v="0"/>
    <s v=""/>
  </r>
  <r>
    <s v="81b4bf5b-b9db-4807-beca-484c63502936"/>
    <s v="2022-07-23"/>
    <x v="4"/>
    <x v="11"/>
    <n v="23"/>
    <s v="13:10"/>
    <n v="586.31"/>
    <x v="1"/>
    <s v="other"/>
    <x v="1"/>
    <s v="rc_acc_1781955063347_uxz4"/>
    <x v="4"/>
    <s v="advance"/>
    <s v="Advance Paid"/>
    <s v="-"/>
    <m/>
    <s v="import"/>
    <s v=""/>
    <b v="0"/>
    <s v=""/>
  </r>
  <r>
    <s v="c30fe408-0e19-4c77-b2aa-ad3aeb587f53"/>
    <s v="2022-07-23"/>
    <x v="4"/>
    <x v="11"/>
    <n v="23"/>
    <s v="13:17"/>
    <n v="354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a40a4141-e91c-4bcd-af9e-075fd59d96fb"/>
    <s v="2022-07-23"/>
    <x v="4"/>
    <x v="11"/>
    <n v="23"/>
    <s v="18:28"/>
    <n v="249"/>
    <x v="0"/>
    <s v="entertain_1781955063348_kx2f"/>
    <x v="0"/>
    <s v="rc_acc_1781955063347_hv85"/>
    <x v="5"/>
    <s v=""/>
    <m/>
    <s v="ffbe wotv"/>
    <m/>
    <s v="import"/>
    <s v=""/>
    <b v="0"/>
    <s v=""/>
  </r>
  <r>
    <s v="5fc765fe-dfb1-428f-bd2c-8db8d90fae70"/>
    <s v="2022-07-22"/>
    <x v="4"/>
    <x v="11"/>
    <n v="22"/>
    <s v="12:33"/>
    <n v="13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1493b90-a2cf-47b8-b121-e499063eb2ba"/>
    <s v="2022-07-22"/>
    <x v="4"/>
    <x v="11"/>
    <n v="22"/>
    <s v="15:33"/>
    <n v="1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c65e9e9-9e77-4913-83a5-fccf32e8c77f"/>
    <s v="2022-07-22"/>
    <x v="4"/>
    <x v="11"/>
    <n v="22"/>
    <s v="19:34"/>
    <n v="2072"/>
    <x v="0"/>
    <s v="rc_cat_1781955063347_anhy_1781955063348_k5l1"/>
    <x v="16"/>
    <s v="rc_acc_1781955063347_uxz4"/>
    <x v="4"/>
    <s v=""/>
    <m/>
    <s v="izakaya"/>
    <m/>
    <s v="import"/>
    <s v=""/>
    <b v="0"/>
    <s v=""/>
  </r>
  <r>
    <s v="b53017b8-c17b-48bc-b6b7-f6bc5bc5dfbb"/>
    <s v="2022-07-21"/>
    <x v="4"/>
    <x v="11"/>
    <n v="21"/>
    <s v="12:32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071e5f5-8449-476b-aacc-a3a937dcab60"/>
    <s v="2022-07-21"/>
    <x v="4"/>
    <x v="11"/>
    <n v="21"/>
    <s v="12:33"/>
    <n v="1000"/>
    <x v="1"/>
    <s v="other"/>
    <x v="1"/>
    <s v="rc_acc_1781955063347_e3zv"/>
    <x v="16"/>
    <s v="rc_acc_1781955063347_uxz4"/>
    <s v="SCB"/>
    <s v="-"/>
    <m/>
    <s v="import"/>
    <s v=""/>
    <b v="0"/>
    <s v=""/>
  </r>
  <r>
    <s v="46cc5516-615b-4a94-b992-ff5bea8815c3"/>
    <s v="2022-07-21"/>
    <x v="4"/>
    <x v="11"/>
    <n v="21"/>
    <s v="13:00"/>
    <n v="24"/>
    <x v="0"/>
    <s v="rc_cat_1781955063347_5qjb_1781955063347_tezk"/>
    <x v="5"/>
    <s v="rc_acc_1781955063348_w3gp"/>
    <x v="6"/>
    <s v=""/>
    <m/>
    <s v="-"/>
    <m/>
    <s v="import"/>
    <s v=""/>
    <b v="0"/>
    <s v=""/>
  </r>
  <r>
    <s v="9813e3fa-c8a9-4ec8-81ed-9cadfc6537e9"/>
    <s v="2022-07-20"/>
    <x v="4"/>
    <x v="11"/>
    <n v="20"/>
    <s v="12:32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7bf110f-e4db-4019-b953-664d326d6286"/>
    <s v="2022-07-20"/>
    <x v="4"/>
    <x v="11"/>
    <n v="20"/>
    <s v="12:32"/>
    <n v="1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e22bbbc-f0d0-4d14-bcd8-5502c1bc7167"/>
    <s v="2022-07-19"/>
    <x v="4"/>
    <x v="11"/>
    <n v="19"/>
    <s v="12:31"/>
    <n v="1890"/>
    <x v="1"/>
    <s v="other"/>
    <x v="1"/>
    <s v="rc_acc_1781955063347_tvnx"/>
    <x v="13"/>
    <s v="rc_acc_1781955063347_uxz4"/>
    <s v="SCB"/>
    <s v="-"/>
    <m/>
    <s v="import"/>
    <s v=""/>
    <b v="0"/>
    <s v=""/>
  </r>
  <r>
    <s v="f3cf5b6c-90a7-4094-ad87-d4fb650fba1e"/>
    <s v="2022-07-18"/>
    <x v="4"/>
    <x v="11"/>
    <n v="18"/>
    <s v="12:28"/>
    <n v="57"/>
    <x v="0"/>
    <s v="rc_cat_1781955063347_5qjb_1781955063347_tezk"/>
    <x v="5"/>
    <s v="rc_acc_1781955063347_uxz4"/>
    <x v="4"/>
    <s v=""/>
    <m/>
    <s v="จั๊บยวน"/>
    <m/>
    <s v="import"/>
    <s v=""/>
    <b v="0"/>
    <s v=""/>
  </r>
  <r>
    <s v="e9c6cbf4-c9c5-4906-90f3-0b4a3af7af5c"/>
    <s v="2022-07-18"/>
    <x v="4"/>
    <x v="11"/>
    <n v="18"/>
    <s v="12:29"/>
    <n v="100"/>
    <x v="0"/>
    <s v="rc_cat_1781955063347_5qjb_1781955063347_tezk"/>
    <x v="5"/>
    <s v="rc_acc_1781955063347_uxz4"/>
    <x v="4"/>
    <s v=""/>
    <m/>
    <s v="coffeelism"/>
    <m/>
    <s v="import"/>
    <s v=""/>
    <b v="0"/>
    <s v=""/>
  </r>
  <r>
    <s v="a5bf21c0-8224-4536-920b-4b1234229370"/>
    <s v="2022-07-15"/>
    <x v="4"/>
    <x v="11"/>
    <n v="15"/>
    <s v="12:59"/>
    <n v="29.81"/>
    <x v="0"/>
    <s v="other_1781955063348_27zj"/>
    <x v="0"/>
    <s v="rc_acc_1781955063348_w3gp"/>
    <x v="6"/>
    <s v=""/>
    <m/>
    <s v="-"/>
    <m/>
    <s v="import"/>
    <s v=""/>
    <b v="0"/>
    <s v=""/>
  </r>
  <r>
    <s v="15a000d4-a08b-416a-90ca-bd646b099cf1"/>
    <s v="2022-07-14"/>
    <x v="4"/>
    <x v="11"/>
    <n v="14"/>
    <s v="00:00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bf5eebc6-5238-4be5-aa8e-a0b14ba9e846"/>
    <s v="2022-07-14"/>
    <x v="4"/>
    <x v="11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94dc9d78-f7a2-48d0-bb47-383d73451819"/>
    <s v="2022-07-14"/>
    <x v="4"/>
    <x v="11"/>
    <n v="14"/>
    <s v="08:27"/>
    <n v="55"/>
    <x v="0"/>
    <s v="rc_cat_1781955063347_5qjb_1781955063347_tezk"/>
    <x v="5"/>
    <s v="rc_acc_1781955063347_uxz4"/>
    <x v="4"/>
    <s v=""/>
    <m/>
    <s v="ตุ๊กริมคลอง"/>
    <m/>
    <s v="import"/>
    <s v=""/>
    <b v="0"/>
    <s v=""/>
  </r>
  <r>
    <s v="3e4a97d9-d694-47e8-9a2f-571802beba1a"/>
    <s v="2022-07-14"/>
    <x v="4"/>
    <x v="11"/>
    <n v="14"/>
    <s v="12:28"/>
    <n v="50"/>
    <x v="0"/>
    <s v="rc_cat_1781955063347_5qjb_1781955063347_tezk"/>
    <x v="5"/>
    <s v="rc_acc_1781955063347_uxz4"/>
    <x v="4"/>
    <s v=""/>
    <m/>
    <s v="coffeelism"/>
    <m/>
    <s v="import"/>
    <s v=""/>
    <b v="0"/>
    <s v=""/>
  </r>
  <r>
    <s v="56f2c353-bb4b-4b26-89e3-b33bd0bb643a"/>
    <s v="2022-07-14"/>
    <x v="4"/>
    <x v="11"/>
    <n v="14"/>
    <s v="12:59"/>
    <n v="28"/>
    <x v="0"/>
    <s v="rc_cat_1781955063347_5qjb_1781955063347_tezk"/>
    <x v="5"/>
    <s v="rc_acc_1781955063348_w3gp"/>
    <x v="6"/>
    <s v=""/>
    <m/>
    <s v="-"/>
    <m/>
    <s v="import"/>
    <s v=""/>
    <b v="0"/>
    <s v=""/>
  </r>
  <r>
    <s v="9695f2d4-a3b9-4a9a-b893-cffda2198049"/>
    <s v="2022-07-13"/>
    <x v="4"/>
    <x v="11"/>
    <n v="13"/>
    <s v="12:26"/>
    <n v="770"/>
    <x v="1"/>
    <s v="other"/>
    <x v="1"/>
    <s v="rc_acc_1781955063347_uxz4"/>
    <x v="4"/>
    <s v="advance"/>
    <s v="Advance Paid"/>
    <s v="standard burger"/>
    <m/>
    <s v="import"/>
    <s v=""/>
    <b v="0"/>
    <s v=""/>
  </r>
  <r>
    <s v="8427ca2d-b5bb-4dd6-9db7-6e128f3e8b3d"/>
    <s v="2022-07-13"/>
    <x v="4"/>
    <x v="11"/>
    <n v="13"/>
    <s v="13:27"/>
    <n v="40"/>
    <x v="0"/>
    <s v="rc_cat_1781955063347_5qjb_1781955063347_tezk"/>
    <x v="5"/>
    <s v="rc_acc_1781955063347_uxz4"/>
    <x v="4"/>
    <s v=""/>
    <m/>
    <s v="เต่าบิน"/>
    <m/>
    <s v="import"/>
    <s v=""/>
    <b v="0"/>
    <s v=""/>
  </r>
  <r>
    <s v="efa45b58-6470-4f19-b1a8-f0653d7045ed"/>
    <s v="2022-07-12"/>
    <x v="4"/>
    <x v="11"/>
    <n v="12"/>
    <s v="12:3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f0743ce8-89d4-4d9d-8193-c61704d3e1f6"/>
    <s v="2022-07-12"/>
    <x v="4"/>
    <x v="11"/>
    <n v="12"/>
    <s v="14:16"/>
    <n v="265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d475ce1d-4b03-4fb6-84ca-4e6167f62e5e"/>
    <s v="2022-07-12"/>
    <x v="4"/>
    <x v="11"/>
    <n v="12"/>
    <s v="17:37"/>
    <n v="14035"/>
    <x v="0"/>
    <s v="entertain_1781955063348_kx2f"/>
    <x v="0"/>
    <s v="kbank"/>
    <x v="0"/>
    <s v=""/>
    <m/>
    <s v="tab s7fe"/>
    <m/>
    <s v="import"/>
    <s v=""/>
    <b v="0"/>
    <s v=""/>
  </r>
  <r>
    <s v="bff397c5-2e9b-4a93-905b-fcc96ab8a3b7"/>
    <s v="2022-07-12"/>
    <x v="4"/>
    <x v="11"/>
    <n v="12"/>
    <s v="17:46"/>
    <n v="532.5"/>
    <x v="1"/>
    <s v="other"/>
    <x v="1"/>
    <s v="rc_acc_1781955063348_w3gp"/>
    <x v="6"/>
    <s v="advance"/>
    <s v="Advance Paid"/>
    <s v="ของเซ่เว่น"/>
    <m/>
    <s v="import"/>
    <s v=""/>
    <b v="0"/>
    <s v=""/>
  </r>
  <r>
    <s v="af0adaec-1d0a-4201-bfa1-e75a1eecb3f6"/>
    <s v="2022-07-12"/>
    <x v="4"/>
    <x v="11"/>
    <n v="12"/>
    <s v="17:47"/>
    <n v="3134.87"/>
    <x v="1"/>
    <s v="other"/>
    <x v="1"/>
    <s v="rc_acc_1781955063347_uxz4"/>
    <x v="4"/>
    <s v="rc_acc_1781955063348_w3gp"/>
    <s v="UOB world"/>
    <s v="-"/>
    <m/>
    <s v="import"/>
    <s v=""/>
    <b v="0"/>
    <s v=""/>
  </r>
  <r>
    <s v="6def5ad6-1fa3-44e5-91d4-b762f90b5c54"/>
    <s v="2022-07-12"/>
    <x v="4"/>
    <x v="11"/>
    <n v="12"/>
    <s v="17:54"/>
    <n v="16310"/>
    <x v="1"/>
    <s v="other"/>
    <x v="1"/>
    <s v="advance"/>
    <x v="2"/>
    <s v="rc_acc_1781955063347_uxz4"/>
    <s v="SCB"/>
    <s v="-"/>
    <m/>
    <s v="import"/>
    <s v=""/>
    <b v="0"/>
    <s v=""/>
  </r>
  <r>
    <s v="2741df72-c772-44a7-8c80-929ca8003563"/>
    <s v="2022-07-11"/>
    <x v="4"/>
    <x v="11"/>
    <n v="11"/>
    <s v="09:16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34114ef-48dc-4242-8814-fd1196f8c68c"/>
    <s v="2022-07-10"/>
    <x v="4"/>
    <x v="11"/>
    <n v="10"/>
    <s v="15:49"/>
    <n v="3635.66"/>
    <x v="0"/>
    <s v="rc_cat_1781955063347_5qjb_1781955063348_wpky"/>
    <x v="27"/>
    <s v="rc_acc_1781955063347_hv85"/>
    <x v="5"/>
    <s v=""/>
    <m/>
    <s v="(6/6)"/>
    <m/>
    <s v="import"/>
    <s v=""/>
    <b v="0"/>
    <s v=""/>
  </r>
  <r>
    <s v="e7174e0c-9291-46ed-8eac-424cbfb44091"/>
    <s v="2022-07-09"/>
    <x v="4"/>
    <x v="11"/>
    <n v="9"/>
    <s v="08:47"/>
    <n v="5000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11ad3bb4-2ccf-424b-a867-ceedfac503e6"/>
    <s v="2022-07-09"/>
    <x v="4"/>
    <x v="11"/>
    <n v="9"/>
    <s v="17:13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f3b1663-f080-49ba-b53f-0f9493d5985c"/>
    <s v="2022-07-09"/>
    <x v="4"/>
    <x v="11"/>
    <n v="9"/>
    <s v="17:15"/>
    <n v="5000"/>
    <x v="1"/>
    <s v="other"/>
    <x v="1"/>
    <s v="rc_acc_1781955063347_uxz4"/>
    <x v="4"/>
    <s v="rc_acc_1781955063347_e3zv"/>
    <s v="Cash"/>
    <s v="-"/>
    <m/>
    <s v="import"/>
    <s v=""/>
    <b v="0"/>
    <s v=""/>
  </r>
  <r>
    <s v="e194c389-f742-411d-840c-259892b48158"/>
    <s v="2022-07-07"/>
    <x v="4"/>
    <x v="11"/>
    <n v="7"/>
    <s v="17:11"/>
    <n v="300"/>
    <x v="0"/>
    <s v="rc_cat_1781955063347_s4sz_1781955063347_9tpp"/>
    <x v="9"/>
    <s v="rc_acc_1781955063347_uxz4"/>
    <x v="4"/>
    <s v=""/>
    <m/>
    <s v="haircut"/>
    <m/>
    <s v="import"/>
    <s v=""/>
    <b v="0"/>
    <s v=""/>
  </r>
  <r>
    <s v="175f71cc-c0d1-42fc-8fb6-522c8951e1e5"/>
    <s v="2022-07-06"/>
    <x v="4"/>
    <x v="11"/>
    <n v="6"/>
    <s v="12:10"/>
    <n v="60"/>
    <x v="0"/>
    <s v="rc_cat_1781955063347_5qjb_1781955063347_tezk"/>
    <x v="5"/>
    <s v="rc_acc_1781955063347_uxz4"/>
    <x v="4"/>
    <s v=""/>
    <m/>
    <s v="yakkcafe"/>
    <m/>
    <s v="import"/>
    <s v=""/>
    <b v="0"/>
    <s v=""/>
  </r>
  <r>
    <s v="ee2a7129-3aff-4770-a2cc-cf3cdbfa098d"/>
    <s v="2022-07-06"/>
    <x v="4"/>
    <x v="11"/>
    <n v="6"/>
    <s v="12:35"/>
    <n v="6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37a07f8-80aa-4dec-993b-779ea8186c21"/>
    <s v="2022-07-06"/>
    <x v="4"/>
    <x v="11"/>
    <n v="6"/>
    <s v="17:11"/>
    <n v="678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c3a56f9-84bd-44c3-a29a-1675fa5066c4"/>
    <s v="2022-07-05"/>
    <x v="4"/>
    <x v="11"/>
    <n v="5"/>
    <s v="12:09"/>
    <n v="100"/>
    <x v="0"/>
    <s v="rc_cat_1781955063347_5qjb_1781955063347_tezk"/>
    <x v="5"/>
    <s v="rc_acc_1781955063347_uxz4"/>
    <x v="4"/>
    <s v=""/>
    <m/>
    <s v="coffeelism"/>
    <m/>
    <s v="import"/>
    <s v=""/>
    <b v="0"/>
    <s v=""/>
  </r>
  <r>
    <s v="ea1059b5-bf11-4c55-bff0-017b97185d9e"/>
    <s v="2022-07-05"/>
    <x v="4"/>
    <x v="11"/>
    <n v="5"/>
    <s v="12:45"/>
    <n v="6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c8a71c7-a36e-4f81-9b06-efe8a2ef9ff2"/>
    <s v="2022-07-04"/>
    <x v="4"/>
    <x v="11"/>
    <n v="4"/>
    <s v="12:25"/>
    <n v="1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dc6c6b3-f2e7-4c9a-9fc2-8d500ac21c6f"/>
    <s v="2022-07-04"/>
    <x v="4"/>
    <x v="11"/>
    <n v="4"/>
    <s v="12:29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a9346d4-dcdd-449b-9418-eb792d5e1ec3"/>
    <s v="2022-07-03"/>
    <x v="4"/>
    <x v="11"/>
    <n v="3"/>
    <s v="17:07"/>
    <n v="316"/>
    <x v="1"/>
    <s v="other"/>
    <x v="1"/>
    <s v="kbank"/>
    <x v="0"/>
    <s v="rc_acc_1781955063347_uxz4"/>
    <s v="SCB"/>
    <s v="-"/>
    <m/>
    <s v="import"/>
    <s v=""/>
    <b v="0"/>
    <s v=""/>
  </r>
  <r>
    <s v="965a2698-fbf2-4279-b03f-c8318350daa1"/>
    <s v="2022-07-03"/>
    <x v="4"/>
    <x v="11"/>
    <n v="3"/>
    <s v="17:08"/>
    <n v="4412.88"/>
    <x v="0"/>
    <s v="rc_cat_1781955063347_04qb_1781955063347_wt5p"/>
    <x v="3"/>
    <s v="rc_acc_1781955063347_uxz4"/>
    <x v="4"/>
    <s v=""/>
    <m/>
    <s v="-"/>
    <m/>
    <s v="import"/>
    <s v=""/>
    <b v="0"/>
    <s v=""/>
  </r>
  <r>
    <s v="213c6ee8-2bef-45e2-a765-c02e57b44ba2"/>
    <s v="2022-07-03"/>
    <x v="4"/>
    <x v="11"/>
    <n v="3"/>
    <s v="17:08"/>
    <n v="2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30a5e32f-2b57-4e86-83db-5d7d688245db"/>
    <s v="2022-07-02"/>
    <x v="4"/>
    <x v="11"/>
    <n v="2"/>
    <s v="12:04"/>
    <n v="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dcebd76-3f55-4335-8652-68dc5b993740"/>
    <s v="2022-07-02"/>
    <x v="4"/>
    <x v="11"/>
    <n v="2"/>
    <s v="12:0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145ad32-2033-4036-bb8f-e3fd583f4a7c"/>
    <s v="2022-07-02"/>
    <x v="4"/>
    <x v="11"/>
    <n v="2"/>
    <s v="14:05"/>
    <n v="298"/>
    <x v="0"/>
    <s v="rc_cat_1781955063347_s4sz_1781955063347_9tpp"/>
    <x v="9"/>
    <s v="rc_acc_1781955063347_uxz4"/>
    <x v="4"/>
    <s v=""/>
    <m/>
    <s v="-"/>
    <m/>
    <s v="import"/>
    <s v=""/>
    <b v="0"/>
    <s v=""/>
  </r>
  <r>
    <s v="4e40e3c5-befc-440b-9495-be691e819997"/>
    <s v="2022-07-02"/>
    <x v="4"/>
    <x v="11"/>
    <n v="2"/>
    <s v="15:05"/>
    <n v="40"/>
    <x v="0"/>
    <s v="rc_cat_1781955063347_5qjb_1781955063347_tezk"/>
    <x v="5"/>
    <s v="rc_acc_1781955063347_uxz4"/>
    <x v="4"/>
    <s v=""/>
    <m/>
    <s v="budds"/>
    <m/>
    <s v="import"/>
    <s v=""/>
    <b v="0"/>
    <s v=""/>
  </r>
  <r>
    <s v="6310bd18-95d1-43fd-9f49-207b6ca69dab"/>
    <s v="2022-07-02"/>
    <x v="4"/>
    <x v="11"/>
    <n v="2"/>
    <s v="15:06"/>
    <n v="50"/>
    <x v="0"/>
    <s v="rc_cat_1781955063347_5qjb_1781955063347_tezk"/>
    <x v="5"/>
    <s v="rc_acc_1781955063347_uxz4"/>
    <x v="4"/>
    <s v=""/>
    <m/>
    <s v="เกี้ยวซ่า"/>
    <m/>
    <s v="import"/>
    <s v=""/>
    <b v="0"/>
    <s v=""/>
  </r>
  <r>
    <s v="60162e76-bd3d-40f5-bab7-63b26b59a7e7"/>
    <s v="2022-07-01"/>
    <x v="4"/>
    <x v="11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21f4b08e-0a92-4a8c-ad23-d83e401af16e"/>
    <s v="2022-07-01"/>
    <x v="4"/>
    <x v="11"/>
    <n v="1"/>
    <s v="08:35"/>
    <n v="8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b382e1a-dc5c-4282-8da0-367755faa2c3"/>
    <s v="2022-07-01"/>
    <x v="4"/>
    <x v="11"/>
    <n v="1"/>
    <s v="12:01"/>
    <n v="83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57ef70a-4c27-4baa-8676-453e9e2b726a"/>
    <s v="2022-07-01"/>
    <x v="4"/>
    <x v="11"/>
    <n v="1"/>
    <s v="12:5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0279cf4-1c02-4683-8c68-586da7da118a"/>
    <s v="2022-06-30"/>
    <x v="4"/>
    <x v="0"/>
    <n v="30"/>
    <s v="20:56"/>
    <n v="3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edae848-18ab-4015-a6dc-1851efb23a35"/>
    <s v="2022-06-28"/>
    <x v="4"/>
    <x v="0"/>
    <n v="28"/>
    <s v="13:00"/>
    <n v="1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c099e62-e275-4010-a7fd-92e5dc52f959"/>
    <s v="2022-06-28"/>
    <x v="4"/>
    <x v="0"/>
    <n v="28"/>
    <s v="13:50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43e6102-2b80-43ff-9c8d-91f97c007caf"/>
    <s v="2022-06-28"/>
    <x v="4"/>
    <x v="0"/>
    <n v="28"/>
    <s v="16:5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75c2e07c-cf67-4136-83c4-b858c19d73ac"/>
    <s v="2022-06-27"/>
    <x v="4"/>
    <x v="0"/>
    <n v="27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3ab88745-83c0-41f0-8933-295df1f140cf"/>
    <s v="2022-06-27"/>
    <x v="4"/>
    <x v="0"/>
    <n v="27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158bf4fc-1f29-4639-95c1-4b155219c91c"/>
    <s v="2022-06-27"/>
    <x v="4"/>
    <x v="0"/>
    <n v="27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a006705a-56d8-4655-9f0f-747fe72e4579"/>
    <s v="2022-06-27"/>
    <x v="4"/>
    <x v="0"/>
    <n v="27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808c6b32-7b44-43de-9ee8-abaa49c5014b"/>
    <s v="2022-06-27"/>
    <x v="4"/>
    <x v="0"/>
    <n v="27"/>
    <s v="00:00"/>
    <n v="668.09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c414eb2d-7bea-4601-906a-def7d201613f"/>
    <s v="2022-06-27"/>
    <x v="4"/>
    <x v="0"/>
    <n v="27"/>
    <s v="00:00"/>
    <n v="128.23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083bb56b-a714-4d86-99b8-67465b1801f2"/>
    <s v="2022-06-27"/>
    <x v="4"/>
    <x v="0"/>
    <n v="27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c3f5ae39-380d-47f8-9894-3688cb93bb46"/>
    <s v="2022-06-27"/>
    <x v="4"/>
    <x v="0"/>
    <n v="27"/>
    <s v="00:00"/>
    <n v="51660"/>
    <x v="2"/>
    <s v="income_1781955063347_zblt"/>
    <x v="17"/>
    <s v="rc_acc_1781955063347_uxz4"/>
    <x v="4"/>
    <s v=""/>
    <m/>
    <s v="vp"/>
    <m/>
    <s v="import"/>
    <s v=""/>
    <b v="0"/>
    <s v=""/>
  </r>
  <r>
    <s v="f1156304-c8f9-4365-8655-a58fafd3de2d"/>
    <s v="2022-06-27"/>
    <x v="4"/>
    <x v="0"/>
    <n v="27"/>
    <s v="00:00"/>
    <n v="5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c9163413-5c31-4515-98b3-53b4c7f7796f"/>
    <s v="2022-06-27"/>
    <x v="4"/>
    <x v="0"/>
    <n v="27"/>
    <s v="00:00"/>
    <n v="4062.72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392f2ee3-352f-41c5-ab2f-685841f43f92"/>
    <s v="2022-06-27"/>
    <x v="4"/>
    <x v="0"/>
    <n v="27"/>
    <s v="15:46"/>
    <n v="2000"/>
    <x v="1"/>
    <s v="other"/>
    <x v="1"/>
    <s v="rc_acc_1781955063347_uxz4"/>
    <x v="4"/>
    <s v="rc_acc_1781955063347_e3zv"/>
    <s v="Cash"/>
    <s v="-"/>
    <m/>
    <s v="import"/>
    <s v=""/>
    <b v="0"/>
    <s v=""/>
  </r>
  <r>
    <s v="6348970b-13f1-4c1c-a5cd-aec404296000"/>
    <s v="2022-06-26"/>
    <x v="4"/>
    <x v="0"/>
    <n v="26"/>
    <s v="20:05"/>
    <n v="9.35"/>
    <x v="0"/>
    <s v="other_1781955063348_27zj"/>
    <x v="0"/>
    <s v="rc_acc_1781955063347_kjxt"/>
    <x v="1"/>
    <s v=""/>
    <m/>
    <s v="-"/>
    <m/>
    <s v="import"/>
    <s v=""/>
    <b v="0"/>
    <s v=""/>
  </r>
  <r>
    <s v="fd8ef85e-ad45-4cae-a2fe-ec3ad97ccdb5"/>
    <s v="2022-06-26"/>
    <x v="4"/>
    <x v="0"/>
    <n v="26"/>
    <s v="20:07"/>
    <n v="11586.41"/>
    <x v="1"/>
    <s v="other"/>
    <x v="1"/>
    <s v="rc_acc_1781955063347_uxz4"/>
    <x v="4"/>
    <s v="rc_acc_1781955063347_kjxt"/>
    <s v="KTC JCB"/>
    <s v="-"/>
    <m/>
    <s v="import"/>
    <s v=""/>
    <b v="0"/>
    <s v=""/>
  </r>
  <r>
    <s v="a627a095-1861-4b65-b18d-6ae0801a7150"/>
    <s v="2022-06-26"/>
    <x v="4"/>
    <x v="0"/>
    <n v="26"/>
    <s v="20:20"/>
    <n v="1295"/>
    <x v="1"/>
    <s v="other"/>
    <x v="1"/>
    <s v="kbank"/>
    <x v="0"/>
    <s v="rc_acc_1781955063350_i8ms"/>
    <s v="Kbank onesiam"/>
    <s v="-"/>
    <m/>
    <s v="import"/>
    <s v=""/>
    <b v="0"/>
    <s v=""/>
  </r>
  <r>
    <s v="a2791344-1a96-4381-9dfd-d4817cedec25"/>
    <s v="2022-06-26"/>
    <x v="4"/>
    <x v="0"/>
    <n v="26"/>
    <s v="20:31"/>
    <n v="459"/>
    <x v="0"/>
    <s v="other_1781955063347_5s7r"/>
    <x v="15"/>
    <s v="rc_acc_1781955063347_omhz"/>
    <x v="29"/>
    <s v=""/>
    <m/>
    <s v="Difference"/>
    <m/>
    <s v="import"/>
    <s v=""/>
    <b v="0"/>
    <s v=""/>
  </r>
  <r>
    <s v="fb6d0ce8-7aa3-4678-a591-af15dabd4828"/>
    <s v="2022-06-26"/>
    <x v="4"/>
    <x v="0"/>
    <n v="26"/>
    <s v="20:41"/>
    <n v="854.93"/>
    <x v="1"/>
    <s v="other"/>
    <x v="1"/>
    <s v="rc_acc_1781955063348_w3gp"/>
    <x v="6"/>
    <s v="advance"/>
    <s v="Advance Paid"/>
    <s v="ค่าเนต มิย"/>
    <m/>
    <s v="import"/>
    <s v=""/>
    <b v="0"/>
    <s v=""/>
  </r>
  <r>
    <s v="ac2f7c3d-a284-45d0-8d12-b93222d1b474"/>
    <s v="2022-06-26"/>
    <x v="4"/>
    <x v="0"/>
    <n v="26"/>
    <s v="20:50"/>
    <n v="810.38"/>
    <x v="1"/>
    <s v="other"/>
    <x v="1"/>
    <s v="rc_acc_1781955063348_w3gp"/>
    <x v="6"/>
    <s v="advance"/>
    <s v="Advance Paid"/>
    <s v="ของเซเว่น"/>
    <m/>
    <s v="import"/>
    <s v=""/>
    <b v="0"/>
    <s v=""/>
  </r>
  <r>
    <s v="7d8ab453-529d-4d7e-a946-6e7f6c82000e"/>
    <s v="2022-06-26"/>
    <x v="4"/>
    <x v="0"/>
    <n v="26"/>
    <s v="20:59"/>
    <n v="500"/>
    <x v="0"/>
    <s v="rc_cat_1781955063347_5qjb_1781955063348_laj8"/>
    <x v="29"/>
    <s v="advance"/>
    <x v="2"/>
    <s v=""/>
    <m/>
    <s v="-"/>
    <m/>
    <s v="import"/>
    <s v=""/>
    <b v="0"/>
    <s v=""/>
  </r>
  <r>
    <s v="79b2f56c-35c7-4285-a261-410ea51a3bb8"/>
    <s v="2022-06-25"/>
    <x v="4"/>
    <x v="0"/>
    <n v="25"/>
    <s v="18:45"/>
    <n v="1290"/>
    <x v="1"/>
    <s v="other"/>
    <x v="1"/>
    <s v="rc_acc_1781955063350_i8ms"/>
    <x v="28"/>
    <s v="rc_acc_1781955063347_uxz4"/>
    <s v="SCB"/>
    <s v="-"/>
    <m/>
    <s v="import"/>
    <s v=""/>
    <b v="0"/>
    <s v=""/>
  </r>
  <r>
    <s v="3913c2d3-0166-4bc6-9b18-3c54bca3bf91"/>
    <s v="2022-06-25"/>
    <x v="4"/>
    <x v="0"/>
    <n v="25"/>
    <s v="19:57"/>
    <n v="893.77"/>
    <x v="2"/>
    <s v="income_1781955063351_3ab8"/>
    <x v="22"/>
    <s v="rc_acc_1781955063347_uxz4"/>
    <x v="4"/>
    <s v=""/>
    <m/>
    <s v="-"/>
    <m/>
    <s v="import"/>
    <s v=""/>
    <b v="0"/>
    <s v=""/>
  </r>
  <r>
    <s v="699ee54c-fb02-4fda-ad59-bbb0a88245fe"/>
    <s v="2022-06-23"/>
    <x v="4"/>
    <x v="0"/>
    <n v="23"/>
    <s v="18:15"/>
    <n v="400"/>
    <x v="1"/>
    <s v="other"/>
    <x v="1"/>
    <s v="kbank"/>
    <x v="0"/>
    <s v="rc_acc_1781955063347_e3zv"/>
    <s v="Cash"/>
    <s v="-"/>
    <m/>
    <s v="import"/>
    <s v=""/>
    <b v="0"/>
    <s v=""/>
  </r>
  <r>
    <s v="93711ec2-98f6-4ac2-be2f-ee5d83c8cb49"/>
    <s v="2022-06-23"/>
    <x v="4"/>
    <x v="0"/>
    <n v="23"/>
    <s v="19:54"/>
    <n v="286.5"/>
    <x v="0"/>
    <s v="rc_cat_1781955063347_anhy_1781955063347_qnaz"/>
    <x v="4"/>
    <s v="rc_acc_1781955063347_uxz4"/>
    <x v="4"/>
    <s v=""/>
    <m/>
    <s v="พวงหรีด"/>
    <m/>
    <s v="import"/>
    <s v=""/>
    <b v="0"/>
    <s v=""/>
  </r>
  <r>
    <s v="62549475-da6e-424f-9ed6-54867e718044"/>
    <s v="2022-06-22"/>
    <x v="4"/>
    <x v="0"/>
    <n v="22"/>
    <s v="12:52"/>
    <n v="1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b630817-4c46-4e86-9124-673747371a23"/>
    <s v="2022-06-22"/>
    <x v="4"/>
    <x v="0"/>
    <n v="22"/>
    <s v="17:50"/>
    <n v="2000"/>
    <x v="0"/>
    <s v="rc_cat_1781955063347_anhy_1781955063348_k5l1"/>
    <x v="16"/>
    <s v="rc_acc_1781955063347_e3zv"/>
    <x v="16"/>
    <s v=""/>
    <m/>
    <s v="งานศพตานัท"/>
    <m/>
    <s v="import"/>
    <s v=""/>
    <b v="0"/>
    <s v=""/>
  </r>
  <r>
    <s v="6f526210-6f23-4f2a-8bd3-952de23a0a3d"/>
    <s v="2022-06-22"/>
    <x v="4"/>
    <x v="0"/>
    <n v="22"/>
    <s v="17:52"/>
    <n v="45"/>
    <x v="0"/>
    <s v="rc_cat_1781955063347_5qjb_1781955063347_irl1"/>
    <x v="0"/>
    <s v="rc_acc_1781955063347_uxz4"/>
    <x v="4"/>
    <s v=""/>
    <m/>
    <s v="-"/>
    <m/>
    <s v="import"/>
    <s v=""/>
    <b v="0"/>
    <s v=""/>
  </r>
  <r>
    <s v="4bb6b2ed-e2df-4acd-8da7-5fc08bbe575c"/>
    <s v="2022-06-21"/>
    <x v="4"/>
    <x v="0"/>
    <n v="21"/>
    <s v="12:50"/>
    <n v="8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22ae97b-25fc-40df-aaa5-021528771d35"/>
    <s v="2022-06-21"/>
    <x v="4"/>
    <x v="0"/>
    <n v="21"/>
    <s v="19:50"/>
    <n v="3000"/>
    <x v="1"/>
    <s v="other"/>
    <x v="1"/>
    <s v="rc_acc_1781955063347_e3zv"/>
    <x v="16"/>
    <s v="rc_acc_1781955063347_uxz4"/>
    <s v="SCB"/>
    <s v="-"/>
    <m/>
    <s v="import"/>
    <s v=""/>
    <b v="0"/>
    <s v=""/>
  </r>
  <r>
    <s v="d3f6cf01-47c3-4b85-87bf-36f3c512725c"/>
    <s v="2022-06-20"/>
    <x v="4"/>
    <x v="0"/>
    <n v="20"/>
    <s v="20:16"/>
    <n v="150"/>
    <x v="0"/>
    <s v="rc_cat_1781955063347_5qjb_1781955063347_tezk"/>
    <x v="5"/>
    <s v="kbank"/>
    <x v="0"/>
    <s v=""/>
    <m/>
    <s v="-"/>
    <m/>
    <s v="import"/>
    <s v=""/>
    <b v="0"/>
    <s v=""/>
  </r>
  <r>
    <s v="459a1842-7a05-47cf-89c2-bf9d1b89670d"/>
    <s v="2022-06-19"/>
    <x v="4"/>
    <x v="0"/>
    <n v="19"/>
    <s v="20:50"/>
    <n v="439.97"/>
    <x v="1"/>
    <s v="other"/>
    <x v="1"/>
    <s v="rc_acc_1781955063348_w3gp"/>
    <x v="6"/>
    <s v="advance"/>
    <s v="Advance Paid"/>
    <s v="-"/>
    <m/>
    <s v="import"/>
    <s v=""/>
    <b v="0"/>
    <s v=""/>
  </r>
  <r>
    <s v="9ce8afcc-1a50-4346-b3cb-b2a0bed5ee7c"/>
    <s v="2022-06-18"/>
    <x v="4"/>
    <x v="0"/>
    <n v="18"/>
    <s v="12:47"/>
    <n v="5000"/>
    <x v="1"/>
    <s v="other"/>
    <x v="1"/>
    <s v="rc_acc_1781955063347_uxz4"/>
    <x v="4"/>
    <s v="rc_acc_1781955063347_e3zv"/>
    <s v="Cash"/>
    <s v="-"/>
    <m/>
    <s v="import"/>
    <s v=""/>
    <b v="0"/>
    <s v=""/>
  </r>
  <r>
    <s v="c2157676-9902-4493-b2ab-ed219a3a3de9"/>
    <s v="2022-06-18"/>
    <x v="4"/>
    <x v="0"/>
    <n v="18"/>
    <s v="15:1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fc44be2-9c1d-4f13-8180-25c29f87a71c"/>
    <s v="2022-06-17"/>
    <x v="4"/>
    <x v="0"/>
    <n v="17"/>
    <s v="09:35"/>
    <n v="1000"/>
    <x v="1"/>
    <s v="other"/>
    <x v="1"/>
    <s v="advance"/>
    <x v="2"/>
    <s v="rc_acc_1781955063347_uxz4"/>
    <s v="SCB"/>
    <s v="keyboard ส่วนของพงศ์"/>
    <m/>
    <s v="import"/>
    <s v=""/>
    <b v="0"/>
    <s v=""/>
  </r>
  <r>
    <s v="8b3691a2-8954-4496-aea9-f30c2e252e36"/>
    <s v="2022-06-17"/>
    <x v="4"/>
    <x v="0"/>
    <n v="17"/>
    <s v="20:16"/>
    <n v="695.18"/>
    <x v="2"/>
    <s v="income_1781955063351_3ab8"/>
    <x v="22"/>
    <s v="kbank"/>
    <x v="0"/>
    <s v=""/>
    <m/>
    <s v="-"/>
    <m/>
    <s v="import"/>
    <s v=""/>
    <b v="0"/>
    <s v=""/>
  </r>
  <r>
    <s v="da57d900-b545-47b7-b69a-36642b87d3c1"/>
    <s v="2022-06-17"/>
    <x v="4"/>
    <x v="0"/>
    <n v="17"/>
    <s v="20:45"/>
    <n v="400"/>
    <x v="1"/>
    <s v="other"/>
    <x v="1"/>
    <s v="rc_acc_1781955063348_obza"/>
    <x v="8"/>
    <s v="rc_acc_1781955063347_e3zv"/>
    <s v="Cash"/>
    <s v="-"/>
    <m/>
    <s v="import"/>
    <s v=""/>
    <b v="0"/>
    <s v=""/>
  </r>
  <r>
    <s v="6e2b1d41-b2cd-4055-9185-18bc07f0e254"/>
    <s v="2022-06-16"/>
    <x v="4"/>
    <x v="0"/>
    <n v="16"/>
    <s v="12:44"/>
    <n v="18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08e8828-ecfc-4e0e-895d-f6a0b17e7fa4"/>
    <s v="2022-06-15"/>
    <x v="4"/>
    <x v="0"/>
    <n v="15"/>
    <s v="17:55"/>
    <n v="250"/>
    <x v="1"/>
    <s v="other"/>
    <x v="1"/>
    <s v="rc_acc_1781955063347_uxz4"/>
    <x v="4"/>
    <s v="advance"/>
    <s v="Advance Paid"/>
    <s v="-"/>
    <m/>
    <s v="import"/>
    <s v=""/>
    <b v="0"/>
    <s v=""/>
  </r>
  <r>
    <s v="ad94b8ca-637e-414c-bb94-225f694eafe2"/>
    <s v="2022-06-15"/>
    <x v="4"/>
    <x v="0"/>
    <n v="15"/>
    <s v="19:43"/>
    <n v="5250"/>
    <x v="1"/>
    <s v="other"/>
    <x v="1"/>
    <s v="rc_acc_1781955063347_uxz4"/>
    <x v="4"/>
    <s v="advance"/>
    <s v="Advance Paid"/>
    <s v="ผ้าม่าน"/>
    <m/>
    <s v="import"/>
    <s v=""/>
    <b v="0"/>
    <s v=""/>
  </r>
  <r>
    <s v="9446b3de-ed31-45d8-9789-ff25aa6d3671"/>
    <s v="2022-06-14"/>
    <x v="4"/>
    <x v="0"/>
    <n v="14"/>
    <s v="00:00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ab262fb0-21f4-441c-a781-8fe8069ffa59"/>
    <s v="2022-06-14"/>
    <x v="4"/>
    <x v="0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cddf7ba6-c288-4f3b-8dc5-f53d1f1a62dd"/>
    <s v="2022-06-14"/>
    <x v="4"/>
    <x v="0"/>
    <n v="14"/>
    <s v="14:42"/>
    <n v="212"/>
    <x v="0"/>
    <s v="rc_cat_1781955063347_5qjb_1781955063347_tezk"/>
    <x v="5"/>
    <s v="rc_acc_1781955063347_uxz4"/>
    <x v="4"/>
    <s v=""/>
    <m/>
    <s v="น้ำ"/>
    <m/>
    <s v="import"/>
    <s v=""/>
    <b v="0"/>
    <s v=""/>
  </r>
  <r>
    <s v="c5479a28-ff50-4d9e-9651-fe7c7083a47c"/>
    <s v="2022-06-14"/>
    <x v="4"/>
    <x v="0"/>
    <n v="14"/>
    <s v="20:02"/>
    <n v="180"/>
    <x v="1"/>
    <s v="other"/>
    <x v="1"/>
    <s v="rc_acc_1781955063347_kjxt"/>
    <x v="1"/>
    <s v="advance"/>
    <s v="Advance Paid"/>
    <s v="-"/>
    <m/>
    <s v="import"/>
    <s v=""/>
    <b v="0"/>
    <s v=""/>
  </r>
  <r>
    <s v="0270110a-15be-4859-b3cc-1b2b0dade888"/>
    <s v="2022-06-12"/>
    <x v="4"/>
    <x v="0"/>
    <n v="12"/>
    <s v="14:41"/>
    <n v="14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7062b41-bd21-458c-9022-c1bc8a8953e7"/>
    <s v="2022-06-12"/>
    <x v="4"/>
    <x v="0"/>
    <n v="12"/>
    <s v="20:01"/>
    <n v="1048"/>
    <x v="1"/>
    <s v="other"/>
    <x v="1"/>
    <s v="rc_acc_1781955063347_kjxt"/>
    <x v="1"/>
    <s v="advance"/>
    <s v="Advance Paid"/>
    <s v="-"/>
    <m/>
    <s v="import"/>
    <s v=""/>
    <b v="0"/>
    <s v=""/>
  </r>
  <r>
    <s v="af4f2f5f-f5b9-43f3-96ff-9b6c7afed471"/>
    <s v="2022-06-12"/>
    <x v="4"/>
    <x v="0"/>
    <n v="12"/>
    <s v="20:01"/>
    <n v="1560"/>
    <x v="0"/>
    <s v="rc_cat_1781955063347_5qjb_1781955063348_edf6"/>
    <x v="30"/>
    <s v="rc_acc_1781955063347_kjxt"/>
    <x v="1"/>
    <s v=""/>
    <m/>
    <s v="-"/>
    <m/>
    <s v="import"/>
    <s v=""/>
    <b v="0"/>
    <s v=""/>
  </r>
  <r>
    <s v="b23fc68f-7882-4646-8192-e525aa0ca2f6"/>
    <s v="2022-06-12"/>
    <x v="4"/>
    <x v="0"/>
    <n v="12"/>
    <s v="22:06"/>
    <n v="1000"/>
    <x v="1"/>
    <s v="other"/>
    <x v="1"/>
    <s v="advance"/>
    <x v="2"/>
    <s v="rc_acc_1781955063347_e3zv"/>
    <s v="Cash"/>
    <s v="ค่า locknlock"/>
    <m/>
    <s v="import"/>
    <s v=""/>
    <b v="0"/>
    <s v=""/>
  </r>
  <r>
    <s v="8724408e-a6e2-41d2-bf5e-ab0760c2ccef"/>
    <s v="2022-06-11"/>
    <x v="4"/>
    <x v="0"/>
    <n v="11"/>
    <s v="12:14"/>
    <n v="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efbfc6b-171d-4958-a114-01347a82005d"/>
    <s v="2022-06-11"/>
    <x v="4"/>
    <x v="0"/>
    <n v="11"/>
    <s v="12:14"/>
    <n v="100"/>
    <x v="0"/>
    <s v="rc_cat_1781955063347_s4sz_1781955063347_deos"/>
    <x v="6"/>
    <s v="rc_acc_1781955063347_uxz4"/>
    <x v="4"/>
    <s v=""/>
    <m/>
    <s v="hafele"/>
    <m/>
    <s v="import"/>
    <s v=""/>
    <b v="0"/>
    <s v=""/>
  </r>
  <r>
    <s v="698e8334-7287-4224-9767-43998772e6cf"/>
    <s v="2022-06-11"/>
    <x v="4"/>
    <x v="0"/>
    <n v="11"/>
    <s v="12:24"/>
    <n v="5810"/>
    <x v="1"/>
    <s v="other"/>
    <x v="1"/>
    <s v="rc_acc_1781955063347_kjxt"/>
    <x v="1"/>
    <s v="advance"/>
    <s v="Advance Paid"/>
    <s v="hafele"/>
    <m/>
    <s v="import"/>
    <s v=""/>
    <b v="0"/>
    <s v=""/>
  </r>
  <r>
    <s v="a862503b-70d1-4477-8748-0ad34701bb8c"/>
    <s v="2022-06-11"/>
    <x v="4"/>
    <x v="0"/>
    <n v="11"/>
    <s v="21:13"/>
    <n v="1570.64"/>
    <x v="1"/>
    <s v="other"/>
    <x v="1"/>
    <s v="rc_acc_1781955063348_no9r"/>
    <x v="7"/>
    <s v="rc_acc_1781955063347_uxz4"/>
    <s v="SCB"/>
    <s v="-"/>
    <m/>
    <s v="import"/>
    <s v=""/>
    <b v="0"/>
    <s v=""/>
  </r>
  <r>
    <s v="97b1b5a9-9a4e-4e35-a7a8-c77eb832ea89"/>
    <s v="2022-06-11"/>
    <x v="4"/>
    <x v="0"/>
    <n v="11"/>
    <s v="22:07"/>
    <n v="461"/>
    <x v="1"/>
    <s v="other"/>
    <x v="1"/>
    <s v="advance"/>
    <x v="2"/>
    <s v="rc_acc_1781955063347_kjxt"/>
    <s v="KTC JCB"/>
    <s v="-"/>
    <m/>
    <s v="import"/>
    <s v=""/>
    <b v="0"/>
    <s v=""/>
  </r>
  <r>
    <s v="81b4d9c9-dcce-4128-9f0b-5405b7399b9f"/>
    <s v="2022-06-11"/>
    <x v="4"/>
    <x v="0"/>
    <n v="11"/>
    <s v="22:11"/>
    <n v="5112.04"/>
    <x v="0"/>
    <s v="rc_cat_1781955063347_anhy_1781955063350_fcpb"/>
    <x v="2"/>
    <s v="rc_acc_1781955063347_uxz4"/>
    <x v="4"/>
    <s v=""/>
    <m/>
    <s v="keycron"/>
    <m/>
    <s v="import"/>
    <s v=""/>
    <b v="0"/>
    <s v=""/>
  </r>
  <r>
    <s v="3a7ca0ac-616b-40c9-a020-3a1a277c6421"/>
    <s v="2022-06-11"/>
    <x v="4"/>
    <x v="0"/>
    <n v="11"/>
    <s v="22:40"/>
    <n v="920"/>
    <x v="1"/>
    <s v="other"/>
    <x v="1"/>
    <s v="advance"/>
    <x v="2"/>
    <s v="rc_acc_1781955063347_uxz4"/>
    <s v="SCB"/>
    <s v="-"/>
    <m/>
    <s v="import"/>
    <s v=""/>
    <b v="0"/>
    <s v=""/>
  </r>
  <r>
    <s v="b98d877d-2ece-43ba-9e33-ea1263e607a4"/>
    <s v="2022-06-11"/>
    <x v="4"/>
    <x v="0"/>
    <n v="11"/>
    <s v="22:45"/>
    <n v="10336.7"/>
    <x v="1"/>
    <s v="other"/>
    <x v="1"/>
    <s v="rc_acc_1781955063347_uxz4"/>
    <x v="4"/>
    <s v="rc_acc_1781955063347_hv85"/>
    <s v="HOMEPRO"/>
    <s v="-"/>
    <m/>
    <s v="import"/>
    <s v=""/>
    <b v="0"/>
    <s v=""/>
  </r>
  <r>
    <s v="03e233e9-5ad3-408b-9d30-a3d5f7cae6da"/>
    <s v="2022-06-10"/>
    <x v="4"/>
    <x v="0"/>
    <n v="10"/>
    <s v="12:08"/>
    <n v="3004.92"/>
    <x v="0"/>
    <s v="rc_cat_1781955063347_5qjb_1781955063347_irl1"/>
    <x v="0"/>
    <s v="rc_acc_1781955063347_hv85"/>
    <x v="5"/>
    <s v=""/>
    <m/>
    <s v="(6/6)"/>
    <m/>
    <s v="import"/>
    <s v=""/>
    <b v="0"/>
    <s v=""/>
  </r>
  <r>
    <s v="79233969-0328-47b0-abe6-8ecb9a4f4e8e"/>
    <s v="2022-06-10"/>
    <x v="4"/>
    <x v="0"/>
    <n v="10"/>
    <s v="15:49"/>
    <n v="3635.66"/>
    <x v="0"/>
    <s v="rc_cat_1781955063347_5qjb_1781955063348_wpky"/>
    <x v="27"/>
    <s v="rc_acc_1781955063347_hv85"/>
    <x v="5"/>
    <s v=""/>
    <m/>
    <s v="(5/6)"/>
    <m/>
    <s v="import"/>
    <s v=""/>
    <b v="0"/>
    <s v=""/>
  </r>
  <r>
    <s v="330f7652-ce31-4b4e-9154-9d2a84c3b1aa"/>
    <s v="2022-06-08"/>
    <x v="4"/>
    <x v="0"/>
    <n v="8"/>
    <s v="17:12"/>
    <n v="532"/>
    <x v="0"/>
    <s v="rc_cat_1781955063347_anhy_1781955063348_k5l1"/>
    <x v="16"/>
    <s v="rc_acc_1781955063347_uxz4"/>
    <x v="4"/>
    <s v=""/>
    <m/>
    <s v="ของขวัญเติ้ล"/>
    <m/>
    <s v="import"/>
    <s v=""/>
    <b v="0"/>
    <s v=""/>
  </r>
  <r>
    <s v="48f6a856-3efd-4158-b7b5-1526a85d2054"/>
    <s v="2022-06-08"/>
    <x v="4"/>
    <x v="0"/>
    <n v="8"/>
    <s v="21:13"/>
    <n v="2000"/>
    <x v="0"/>
    <s v="rc_cat_1781955063347_anhy_1781955063348_k5l1"/>
    <x v="16"/>
    <s v="rc_acc_1781955063347_uxz4"/>
    <x v="4"/>
    <s v=""/>
    <m/>
    <s v="เงิน สคส"/>
    <m/>
    <s v="import"/>
    <s v=""/>
    <b v="0"/>
    <s v=""/>
  </r>
  <r>
    <s v="89d574f4-8d0f-42ba-b3f3-e9b2123e2927"/>
    <s v="2022-06-07"/>
    <x v="4"/>
    <x v="0"/>
    <n v="7"/>
    <s v="12:20"/>
    <n v="5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5bc8f2e-4598-407e-b6be-464a0223da39"/>
    <s v="2022-06-07"/>
    <x v="4"/>
    <x v="0"/>
    <n v="7"/>
    <s v="12:45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dc58305-7830-4f11-9e28-7da12d1e336c"/>
    <s v="2022-06-06"/>
    <x v="4"/>
    <x v="0"/>
    <n v="6"/>
    <s v="20:28"/>
    <n v="225"/>
    <x v="1"/>
    <s v="other"/>
    <x v="1"/>
    <s v="rc_acc_1781955063347_omhz"/>
    <x v="29"/>
    <s v="advance"/>
    <s v="Advance Paid"/>
    <s v="-"/>
    <m/>
    <s v="import"/>
    <s v=""/>
    <b v="0"/>
    <s v=""/>
  </r>
  <r>
    <s v="0110d094-5750-495c-aa88-9a620fbdc3fb"/>
    <s v="2022-06-06"/>
    <x v="4"/>
    <x v="0"/>
    <n v="6"/>
    <s v="21:55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f9e62bb7-8511-4773-a43a-308fd44d30a7"/>
    <s v="2022-06-04"/>
    <x v="4"/>
    <x v="0"/>
    <n v="4"/>
    <s v="13:37"/>
    <n v="3000"/>
    <x v="1"/>
    <s v="other"/>
    <x v="1"/>
    <s v="rc_acc_1781955063347_uxz4"/>
    <x v="4"/>
    <s v="rc_acc_1781955063347_e3zv"/>
    <s v="Cash"/>
    <s v="-"/>
    <m/>
    <s v="import"/>
    <s v=""/>
    <b v="0"/>
    <s v=""/>
  </r>
  <r>
    <s v="f91b68e7-fcdb-43a1-affd-65436d007b30"/>
    <s v="2022-06-04"/>
    <x v="4"/>
    <x v="0"/>
    <n v="4"/>
    <s v="18:37"/>
    <n v="2800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772efbb8-4743-4d6a-94e4-6657237110ef"/>
    <s v="2022-06-03"/>
    <x v="4"/>
    <x v="0"/>
    <n v="3"/>
    <s v="14:12"/>
    <n v="5000"/>
    <x v="0"/>
    <s v="rc_cat_1781955063347_anhy_1781955063347_qnaz"/>
    <x v="4"/>
    <s v="kbank"/>
    <x v="0"/>
    <s v=""/>
    <m/>
    <s v="-"/>
    <m/>
    <s v="import"/>
    <s v=""/>
    <b v="0"/>
    <s v=""/>
  </r>
  <r>
    <s v="6971b749-3bc9-4f0f-a390-886810a00795"/>
    <s v="2022-06-03"/>
    <x v="4"/>
    <x v="0"/>
    <n v="3"/>
    <s v="17:23"/>
    <n v="1318"/>
    <x v="1"/>
    <s v="other"/>
    <x v="1"/>
    <s v="rc_acc_1781955063347_kjxt"/>
    <x v="1"/>
    <s v="advance"/>
    <s v="Advance Paid"/>
    <s v="momo"/>
    <m/>
    <s v="import"/>
    <s v=""/>
    <b v="0"/>
    <s v=""/>
  </r>
  <r>
    <s v="ea006b51-f33e-4d4f-a549-1298058c28de"/>
    <s v="2022-06-03"/>
    <x v="4"/>
    <x v="0"/>
    <n v="3"/>
    <s v="18:23"/>
    <n v="461"/>
    <x v="1"/>
    <s v="other"/>
    <x v="1"/>
    <s v="rc_acc_1781955063347_kjxt"/>
    <x v="1"/>
    <s v="advance"/>
    <s v="Advance Paid"/>
    <s v="tops silomcomplex"/>
    <m/>
    <s v="import"/>
    <s v=""/>
    <b v="0"/>
    <s v=""/>
  </r>
  <r>
    <s v="5d7df778-1abb-47b4-9149-b8fae6867640"/>
    <s v="2022-06-02"/>
    <x v="4"/>
    <x v="0"/>
    <n v="2"/>
    <s v="14:04"/>
    <n v="57"/>
    <x v="0"/>
    <s v="rc_cat_1781955063347_5qjb_1781955063347_tezk"/>
    <x v="5"/>
    <s v="rc_acc_1781955063347_uxz4"/>
    <x v="4"/>
    <s v=""/>
    <m/>
    <s v="จั๊บญวน"/>
    <m/>
    <s v="import"/>
    <s v=""/>
    <b v="0"/>
    <s v=""/>
  </r>
  <r>
    <s v="e88eefe5-5fff-428e-be6e-f400689b3067"/>
    <s v="2022-06-02"/>
    <x v="4"/>
    <x v="0"/>
    <n v="2"/>
    <s v="14:04"/>
    <n v="60"/>
    <x v="0"/>
    <s v="rc_cat_1781955063347_5qjb_1781955063347_tezk"/>
    <x v="5"/>
    <s v="rc_acc_1781955063347_uxz4"/>
    <x v="4"/>
    <s v=""/>
    <m/>
    <s v="slowbar"/>
    <m/>
    <s v="import"/>
    <s v=""/>
    <b v="0"/>
    <s v=""/>
  </r>
  <r>
    <s v="24191312-8e97-405f-b53d-aaca69adf403"/>
    <s v="2022-06-01"/>
    <x v="4"/>
    <x v="0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d619a890-38f0-4dcd-a28e-e4515d99717b"/>
    <s v="2022-06-01"/>
    <x v="4"/>
    <x v="0"/>
    <n v="1"/>
    <s v="13:39"/>
    <n v="4350"/>
    <x v="0"/>
    <s v="rc_cat_1781955063347_04qb_1781955063347_wt5p"/>
    <x v="3"/>
    <s v="rc_acc_1781955063347_uxz4"/>
    <x v="4"/>
    <s v=""/>
    <m/>
    <s v="-"/>
    <m/>
    <s v="import"/>
    <s v=""/>
    <b v="0"/>
    <s v=""/>
  </r>
  <r>
    <s v="ab8d5cfc-574e-4bbd-aa82-bcea27f917bd"/>
    <s v="2022-06-01"/>
    <x v="4"/>
    <x v="0"/>
    <n v="1"/>
    <s v="14:02"/>
    <n v="5250"/>
    <x v="1"/>
    <s v="other"/>
    <x v="1"/>
    <s v="rc_acc_1781955063347_uxz4"/>
    <x v="4"/>
    <s v="advance"/>
    <s v="Advance Paid"/>
    <s v="ผ้าม่าน มัดจำ"/>
    <m/>
    <s v="import"/>
    <s v=""/>
    <b v="0"/>
    <s v=""/>
  </r>
  <r>
    <s v="36e32b21-5506-4adb-91d8-c8fcbc1787a9"/>
    <s v="2022-06-01"/>
    <x v="4"/>
    <x v="0"/>
    <n v="1"/>
    <s v="21:58"/>
    <n v="854.93"/>
    <x v="1"/>
    <s v="other"/>
    <x v="1"/>
    <s v="rc_acc_1781955063348_w3gp"/>
    <x v="6"/>
    <s v="advance"/>
    <s v="Advance Paid"/>
    <s v="ค่าเนต พค"/>
    <m/>
    <s v="import"/>
    <s v=""/>
    <b v="0"/>
    <s v=""/>
  </r>
  <r>
    <s v="c10b306e-0498-412a-87b2-95710edfb8b7"/>
    <s v="2022-05-31"/>
    <x v="4"/>
    <x v="1"/>
    <n v="31"/>
    <s v="13:39"/>
    <n v="19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469de5dc-59bb-4548-9cfd-3d541d982af6"/>
    <s v="2022-05-31"/>
    <x v="4"/>
    <x v="1"/>
    <n v="31"/>
    <s v="13:39"/>
    <n v="13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4645444-300e-423c-994d-67d54d02a1a3"/>
    <s v="2022-05-30"/>
    <x v="4"/>
    <x v="1"/>
    <n v="30"/>
    <s v="08:40"/>
    <n v="85"/>
    <x v="0"/>
    <s v="rc_cat_1781955063347_5qjb_1781955063347_tezk"/>
    <x v="5"/>
    <s v="rc_acc_1781955063347_uxz4"/>
    <x v="4"/>
    <s v=""/>
    <m/>
    <s v="หมูทุบ"/>
    <m/>
    <s v="import"/>
    <s v=""/>
    <b v="0"/>
    <s v=""/>
  </r>
  <r>
    <s v="335b4a39-21b7-404e-ac1a-de572c7bd327"/>
    <s v="2022-05-30"/>
    <x v="4"/>
    <x v="1"/>
    <n v="30"/>
    <s v="09:4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185d8b6-4f67-49a8-9fbe-ecad255a53a9"/>
    <s v="2022-05-30"/>
    <x v="4"/>
    <x v="1"/>
    <n v="30"/>
    <s v="18:22"/>
    <n v="180"/>
    <x v="1"/>
    <s v="other"/>
    <x v="1"/>
    <s v="rc_acc_1781955063347_kjxt"/>
    <x v="1"/>
    <s v="advance"/>
    <s v="Advance Paid"/>
    <s v="-"/>
    <m/>
    <s v="import"/>
    <s v=""/>
    <b v="0"/>
    <s v=""/>
  </r>
  <r>
    <s v="eb6c92ec-8a02-441a-8f49-c7df242f3fae"/>
    <s v="2022-05-30"/>
    <x v="4"/>
    <x v="1"/>
    <n v="30"/>
    <s v="20:48"/>
    <n v="225"/>
    <x v="1"/>
    <s v="other"/>
    <x v="1"/>
    <s v="rc_acc_1781955063348_w3gp"/>
    <x v="6"/>
    <s v="advance"/>
    <s v="Advance Paid"/>
    <s v="-"/>
    <m/>
    <s v="import"/>
    <s v=""/>
    <b v="0"/>
    <s v=""/>
  </r>
  <r>
    <s v="05e92769-20f5-4c6b-b844-61b12c5c597f"/>
    <s v="2022-05-28"/>
    <x v="4"/>
    <x v="1"/>
    <n v="28"/>
    <s v="17:30"/>
    <n v="1480.67"/>
    <x v="1"/>
    <s v="other"/>
    <x v="1"/>
    <s v="rc_acc_1781955063347_kjxt"/>
    <x v="1"/>
    <s v="advance"/>
    <s v="Advance Paid"/>
    <s v="-"/>
    <m/>
    <s v="import"/>
    <s v=""/>
    <b v="0"/>
    <s v=""/>
  </r>
  <r>
    <s v="d128cc36-f806-4ace-9405-50e1332d37b8"/>
    <s v="2022-05-27"/>
    <x v="4"/>
    <x v="1"/>
    <n v="27"/>
    <s v="14:01"/>
    <n v="7990"/>
    <x v="1"/>
    <s v="other"/>
    <x v="1"/>
    <s v="rc_acc_1781955063347_uxz4"/>
    <x v="4"/>
    <s v="advance"/>
    <s v="Advance Paid"/>
    <s v="-"/>
    <m/>
    <s v="import"/>
    <s v=""/>
    <b v="0"/>
    <s v=""/>
  </r>
  <r>
    <s v="1efbb3ab-cea3-45a3-91c9-07ae0b408165"/>
    <s v="2022-05-27"/>
    <x v="4"/>
    <x v="1"/>
    <n v="27"/>
    <s v="14:40"/>
    <n v="72"/>
    <x v="0"/>
    <s v="other_1781955063348_27zj"/>
    <x v="0"/>
    <s v="rc_acc_1781955063347_uxz4"/>
    <x v="4"/>
    <s v=""/>
    <m/>
    <s v="-"/>
    <m/>
    <s v="import"/>
    <s v=""/>
    <b v="0"/>
    <s v=""/>
  </r>
  <r>
    <s v="40f51268-d6b1-49d0-9a8f-59d2cf4f8226"/>
    <s v="2022-05-27"/>
    <x v="4"/>
    <x v="1"/>
    <n v="27"/>
    <s v="14:50"/>
    <n v="902.9"/>
    <x v="1"/>
    <s v="other"/>
    <x v="1"/>
    <s v="advance"/>
    <x v="2"/>
    <s v="rc_acc_1781955063350_i8ms"/>
    <s v="Kbank onesiam"/>
    <s v="-"/>
    <m/>
    <s v="import"/>
    <s v=""/>
    <b v="0"/>
    <s v=""/>
  </r>
  <r>
    <s v="1845b94d-45b9-4faa-9e3e-1f88e4fa3a73"/>
    <s v="2022-05-27"/>
    <x v="4"/>
    <x v="1"/>
    <n v="27"/>
    <s v="15:07"/>
    <n v="29"/>
    <x v="1"/>
    <s v="other"/>
    <x v="1"/>
    <s v="rc_acc_1781955063348_w3gp"/>
    <x v="6"/>
    <s v="advance"/>
    <s v="Advance Paid"/>
    <s v="-"/>
    <m/>
    <s v="import"/>
    <s v=""/>
    <b v="0"/>
    <s v=""/>
  </r>
  <r>
    <s v="b6d3e48d-1e17-4089-891d-d69365ea2c24"/>
    <s v="2022-05-27"/>
    <x v="4"/>
    <x v="1"/>
    <n v="27"/>
    <s v="15:09"/>
    <n v="60"/>
    <x v="0"/>
    <s v="rc_cat_1781955063347_5qjb_1781955063347_tezk"/>
    <x v="5"/>
    <s v="rc_acc_1781955063348_w3gp"/>
    <x v="6"/>
    <s v=""/>
    <m/>
    <s v="-"/>
    <m/>
    <s v="import"/>
    <s v=""/>
    <b v="0"/>
    <s v=""/>
  </r>
  <r>
    <s v="0edc4411-a946-45f3-9c30-19646705d2a9"/>
    <s v="2022-05-27"/>
    <x v="4"/>
    <x v="1"/>
    <n v="27"/>
    <s v="15:09"/>
    <n v="60"/>
    <x v="1"/>
    <s v="other"/>
    <x v="1"/>
    <s v="rc_acc_1781955063347_uxz4"/>
    <x v="4"/>
    <s v="rc_acc_1781955063348_w3gp"/>
    <s v="UOB world"/>
    <s v="-"/>
    <m/>
    <s v="import"/>
    <s v=""/>
    <b v="0"/>
    <s v=""/>
  </r>
  <r>
    <s v="cd150bff-afcb-4699-9ff4-998aa01c7316"/>
    <s v="2022-05-27"/>
    <x v="4"/>
    <x v="1"/>
    <n v="27"/>
    <s v="15:09"/>
    <n v="2171.7"/>
    <x v="0"/>
    <s v="other_1781955063348_27zj"/>
    <x v="0"/>
    <s v="rc_acc_1781955063348_w3gp"/>
    <x v="6"/>
    <s v=""/>
    <m/>
    <s v="annual fee"/>
    <m/>
    <s v="import"/>
    <s v=""/>
    <b v="0"/>
    <s v=""/>
  </r>
  <r>
    <s v="651160ec-ddee-42f4-873d-51043c7f1df4"/>
    <s v="2022-05-27"/>
    <x v="4"/>
    <x v="1"/>
    <n v="27"/>
    <s v="21:35"/>
    <n v="3300"/>
    <x v="1"/>
    <s v="other"/>
    <x v="1"/>
    <s v="rc_acc_1781955063347_0qmn"/>
    <x v="20"/>
    <s v="rc_acc_1781955063348_w3gp"/>
    <s v="UOB world"/>
    <s v="-"/>
    <m/>
    <s v="import"/>
    <s v=""/>
    <b v="0"/>
    <s v=""/>
  </r>
  <r>
    <s v="4eb69f4c-0793-4218-aac7-fc99fef8cfba"/>
    <s v="2022-05-26"/>
    <x v="4"/>
    <x v="1"/>
    <n v="26"/>
    <s v="12:0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62a9156-99ba-4f42-a79c-f9bbeebdb1a2"/>
    <s v="2022-05-26"/>
    <x v="4"/>
    <x v="1"/>
    <n v="26"/>
    <s v="15:07"/>
    <n v="290"/>
    <x v="1"/>
    <s v="other"/>
    <x v="1"/>
    <s v="rc_acc_1781955063348_w3gp"/>
    <x v="6"/>
    <s v="advance"/>
    <s v="Advance Paid"/>
    <s v="today steak"/>
    <m/>
    <s v="import"/>
    <s v=""/>
    <b v="0"/>
    <s v=""/>
  </r>
  <r>
    <s v="e792dcd3-272b-4f4c-8cce-a5306e568072"/>
    <s v="2022-05-25"/>
    <x v="4"/>
    <x v="1"/>
    <n v="25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2821d03a-e17c-42c6-83a5-fd6cb418b86c"/>
    <s v="2022-05-25"/>
    <x v="4"/>
    <x v="1"/>
    <n v="25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140b6c22-91e7-4405-a472-fe169e219fae"/>
    <s v="2022-05-25"/>
    <x v="4"/>
    <x v="1"/>
    <n v="25"/>
    <s v="00:00"/>
    <n v="628.49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77476a68-c114-46e4-9e59-d924883724f7"/>
    <s v="2022-05-25"/>
    <x v="4"/>
    <x v="1"/>
    <n v="25"/>
    <s v="00:00"/>
    <n v="122.95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0955358b-2673-4cd5-9ee6-958dd4a3adfe"/>
    <s v="2022-05-25"/>
    <x v="4"/>
    <x v="1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b445b64f-52bb-4c65-9fb8-e1d990b14852"/>
    <s v="2022-05-25"/>
    <x v="4"/>
    <x v="1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4ec4ca87-a325-48c5-90fb-e1e0a3febcf9"/>
    <s v="2022-05-25"/>
    <x v="4"/>
    <x v="1"/>
    <n v="25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f2cd2a1d-5fb8-4c29-b9f0-8151320c3e21"/>
    <s v="2022-05-25"/>
    <x v="4"/>
    <x v="1"/>
    <n v="25"/>
    <s v="00:41"/>
    <n v="416.26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5fd3f5a8-4abe-47f3-8d69-63c4eb8f6b82"/>
    <s v="2022-05-25"/>
    <x v="4"/>
    <x v="1"/>
    <n v="25"/>
    <s v="12:20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02ae662-1746-4c25-8e81-0debe03096d3"/>
    <s v="2022-05-21"/>
    <x v="4"/>
    <x v="1"/>
    <n v="21"/>
    <s v="13:54"/>
    <n v="435"/>
    <x v="0"/>
    <s v="rc_cat_1781955063347_5qjb_1781955063347_tezk"/>
    <x v="5"/>
    <s v="rc_acc_1781955063347_uxz4"/>
    <x v="4"/>
    <s v=""/>
    <m/>
    <s v="burger จ่ายให้นิว"/>
    <m/>
    <s v="import"/>
    <s v=""/>
    <b v="0"/>
    <s v=""/>
  </r>
  <r>
    <s v="92a7a53a-ae6e-487a-aefb-39ab20f44de7"/>
    <s v="2022-05-21"/>
    <x v="4"/>
    <x v="1"/>
    <n v="21"/>
    <s v="16:55"/>
    <n v="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b0030d6-8497-4c03-bcb4-f5ef510fe005"/>
    <s v="2022-05-19"/>
    <x v="4"/>
    <x v="1"/>
    <n v="19"/>
    <s v="13:53"/>
    <n v="7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817bd81-8ade-4765-a1fc-8de6dd2a4feb"/>
    <s v="2022-05-19"/>
    <x v="4"/>
    <x v="1"/>
    <n v="19"/>
    <s v="13:54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b426147-8c48-4dd4-9bd8-cdca52ef97aa"/>
    <s v="2022-05-18"/>
    <x v="4"/>
    <x v="1"/>
    <n v="18"/>
    <s v="08:53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a2082f1-0e20-4fb7-842d-58bdec2ac85a"/>
    <s v="2022-05-18"/>
    <x v="4"/>
    <x v="1"/>
    <n v="18"/>
    <s v="13:00"/>
    <n v="80"/>
    <x v="0"/>
    <s v="rc_cat_1781955063347_5qjb_1781955063347_tezk"/>
    <x v="5"/>
    <s v="rc_acc_1781955063347_uxz4"/>
    <x v="4"/>
    <s v=""/>
    <m/>
    <s v="inter"/>
    <m/>
    <s v="import"/>
    <s v=""/>
    <b v="0"/>
    <s v=""/>
  </r>
  <r>
    <s v="8c770f6a-ff29-4c23-a23e-8545944d6b54"/>
    <s v="2022-05-18"/>
    <x v="4"/>
    <x v="1"/>
    <n v="18"/>
    <s v="14:51"/>
    <n v="478"/>
    <x v="1"/>
    <s v="other"/>
    <x v="1"/>
    <s v="rc_acc_1781955063350_i8ms"/>
    <x v="28"/>
    <s v="advance"/>
    <s v="Advance Paid"/>
    <s v="-"/>
    <m/>
    <s v="import"/>
    <s v=""/>
    <b v="0"/>
    <s v=""/>
  </r>
  <r>
    <s v="b4ed19b7-1f06-449f-8b07-142699d4b01e"/>
    <s v="2022-05-17"/>
    <x v="4"/>
    <x v="1"/>
    <n v="17"/>
    <s v="13:44"/>
    <n v="75"/>
    <x v="0"/>
    <s v="rc_cat_1781955063347_5qjb_1781955063347_tezk"/>
    <x v="5"/>
    <s v="rc_acc_1781955063347_uxz4"/>
    <x v="4"/>
    <s v=""/>
    <m/>
    <s v="สมจิตร"/>
    <m/>
    <s v="import"/>
    <s v=""/>
    <b v="0"/>
    <s v=""/>
  </r>
  <r>
    <s v="fef8a1aa-5928-4aec-8917-75bd2dd82e41"/>
    <s v="2022-05-16"/>
    <x v="4"/>
    <x v="1"/>
    <n v="16"/>
    <s v="12:43"/>
    <n v="791"/>
    <x v="0"/>
    <s v="rc_cat_1781955063347_anhy_1781955063347_qnaz"/>
    <x v="4"/>
    <s v="rc_acc_1781955063347_uxz4"/>
    <x v="4"/>
    <s v=""/>
    <m/>
    <s v="-"/>
    <m/>
    <s v="import"/>
    <s v=""/>
    <b v="0"/>
    <s v=""/>
  </r>
  <r>
    <s v="da0a2893-7ee7-4fc7-8e25-6542eceedf64"/>
    <s v="2022-05-16"/>
    <x v="4"/>
    <x v="1"/>
    <n v="16"/>
    <s v="21:43"/>
    <n v="76"/>
    <x v="0"/>
    <s v="entertain_1781955063348_gj0i"/>
    <x v="25"/>
    <s v="rc_acc_1781955063347_uxz4"/>
    <x v="4"/>
    <s v=""/>
    <m/>
    <s v="-"/>
    <m/>
    <s v="import"/>
    <s v=""/>
    <b v="0"/>
    <s v=""/>
  </r>
  <r>
    <s v="ff85dec9-17eb-49d0-a18e-59736f49d2b2"/>
    <s v="2022-05-15"/>
    <x v="4"/>
    <x v="1"/>
    <n v="15"/>
    <s v="13:48"/>
    <n v="8000"/>
    <x v="1"/>
    <s v="other"/>
    <x v="1"/>
    <s v="advance"/>
    <x v="2"/>
    <s v="rc_acc_1781955063347_uxz4"/>
    <s v="SCB"/>
    <s v="tablet พ่อ"/>
    <m/>
    <s v="import"/>
    <s v=""/>
    <b v="0"/>
    <s v=""/>
  </r>
  <r>
    <s v="49b0ddcc-b371-422c-9332-23d595818f4d"/>
    <s v="2022-05-14"/>
    <x v="4"/>
    <x v="1"/>
    <n v="14"/>
    <s v="00:00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719aa9d4-a041-481c-9422-9cdd17401841"/>
    <s v="2022-05-14"/>
    <x v="4"/>
    <x v="1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b131df60-cb33-446b-ac5f-699a9a145b47"/>
    <s v="2022-05-14"/>
    <x v="4"/>
    <x v="1"/>
    <n v="14"/>
    <s v="14:40"/>
    <n v="10529.39"/>
    <x v="1"/>
    <s v="other"/>
    <x v="1"/>
    <s v="rc_acc_1781955063347_uxz4"/>
    <x v="4"/>
    <s v="rc_acc_1781955063347_kjxt"/>
    <s v="KTC JCB"/>
    <s v="-"/>
    <m/>
    <s v="import"/>
    <s v=""/>
    <b v="0"/>
    <s v=""/>
  </r>
  <r>
    <s v="442b3e7b-0f67-4e33-a01a-18ba5593e4c7"/>
    <s v="2022-05-14"/>
    <x v="4"/>
    <x v="1"/>
    <n v="14"/>
    <s v="14:49"/>
    <n v="442"/>
    <x v="1"/>
    <s v="other"/>
    <x v="1"/>
    <s v="rc_acc_1781955063348_w3gp"/>
    <x v="6"/>
    <s v="advance"/>
    <s v="Advance Paid"/>
    <s v="-"/>
    <m/>
    <s v="import"/>
    <s v=""/>
    <b v="0"/>
    <s v=""/>
  </r>
  <r>
    <s v="5f24ae3a-1a1e-49fd-af8b-88a580627ac7"/>
    <s v="2022-05-14"/>
    <x v="4"/>
    <x v="1"/>
    <n v="14"/>
    <s v="14:58"/>
    <n v="60"/>
    <x v="0"/>
    <s v="entertain_1781955063348_kx2f"/>
    <x v="0"/>
    <s v="rc_acc_1781955063347_hv85"/>
    <x v="5"/>
    <s v=""/>
    <m/>
    <s v="-"/>
    <m/>
    <s v="import"/>
    <s v=""/>
    <b v="0"/>
    <s v=""/>
  </r>
  <r>
    <s v="56ddb9c8-a428-435a-885a-3b3905c8179f"/>
    <s v="2022-05-14"/>
    <x v="4"/>
    <x v="1"/>
    <n v="14"/>
    <s v="15:01"/>
    <n v="6730.59"/>
    <x v="1"/>
    <s v="other"/>
    <x v="1"/>
    <s v="rc_acc_1781955063348_obza"/>
    <x v="8"/>
    <s v="rc_acc_1781955063347_hv85"/>
    <s v="HOMEPRO"/>
    <s v="-"/>
    <m/>
    <s v="import"/>
    <s v=""/>
    <b v="0"/>
    <s v=""/>
  </r>
  <r>
    <s v="9579228e-cfa1-483a-9025-92400e729406"/>
    <s v="2022-05-14"/>
    <x v="4"/>
    <x v="1"/>
    <n v="14"/>
    <s v="15:03"/>
    <n v="168"/>
    <x v="1"/>
    <s v="other"/>
    <x v="1"/>
    <s v="rc_acc_1781955063350_i8ms"/>
    <x v="28"/>
    <s v="advance"/>
    <s v="Advance Paid"/>
    <s v="bread"/>
    <m/>
    <s v="import"/>
    <s v=""/>
    <b v="0"/>
    <s v=""/>
  </r>
  <r>
    <s v="66d22c0f-feb5-465e-bcd9-f61e8edd9587"/>
    <s v="2022-05-14"/>
    <x v="4"/>
    <x v="1"/>
    <n v="14"/>
    <s v="15:12"/>
    <n v="2350"/>
    <x v="1"/>
    <s v="other"/>
    <x v="1"/>
    <s v="advance"/>
    <x v="2"/>
    <s v="rc_acc_1781955063348_u1qk"/>
    <s v="Kbank BLUECARD"/>
    <s v="-"/>
    <m/>
    <s v="import"/>
    <s v=""/>
    <b v="0"/>
    <s v=""/>
  </r>
  <r>
    <s v="c19e9337-c3f2-4cc5-b7fe-3af4250bc0fa"/>
    <s v="2022-05-14"/>
    <x v="4"/>
    <x v="1"/>
    <n v="14"/>
    <s v="15:27"/>
    <n v="2879"/>
    <x v="0"/>
    <s v="other_1781955063347_5s7r"/>
    <x v="15"/>
    <s v="rc_acc_1781955063347_e3zv"/>
    <x v="16"/>
    <s v=""/>
    <m/>
    <s v="Difference"/>
    <m/>
    <s v="import"/>
    <s v=""/>
    <b v="0"/>
    <s v=""/>
  </r>
  <r>
    <s v="c4e1bfa8-d9a6-48db-9f82-8422019cab22"/>
    <s v="2022-05-12"/>
    <x v="4"/>
    <x v="1"/>
    <n v="12"/>
    <s v="09:29"/>
    <n v="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3cd1407-2f12-4186-87b3-50c468b93d68"/>
    <s v="2022-05-12"/>
    <x v="4"/>
    <x v="1"/>
    <n v="12"/>
    <s v="12:55"/>
    <n v="1000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34ce5d73-e3a2-4b16-b350-5919974b2edb"/>
    <s v="2022-05-12"/>
    <x v="4"/>
    <x v="1"/>
    <n v="12"/>
    <s v="17:19"/>
    <n v="195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2c763463-8a8b-4fd7-907f-bbde3c491cc9"/>
    <s v="2022-05-11"/>
    <x v="4"/>
    <x v="1"/>
    <n v="11"/>
    <s v="12:19"/>
    <n v="22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80df699-f5b1-49a6-990b-e2e1cb5214f9"/>
    <s v="2022-05-11"/>
    <x v="4"/>
    <x v="1"/>
    <n v="11"/>
    <s v="13:20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bbac58df-c71f-4b6b-95d7-6054c931b9a7"/>
    <s v="2022-05-11"/>
    <x v="4"/>
    <x v="1"/>
    <n v="11"/>
    <s v="14:34"/>
    <n v="691"/>
    <x v="0"/>
    <s v="entertain_1781955063348_kx2f"/>
    <x v="0"/>
    <s v="rc_acc_1781955063347_kjxt"/>
    <x v="1"/>
    <s v=""/>
    <m/>
    <s v="usb hub &amp; sfilm"/>
    <m/>
    <s v="import"/>
    <s v=""/>
    <b v="0"/>
    <s v=""/>
  </r>
  <r>
    <s v="52ba6ba0-5083-4641-a96b-bf052ce5ade0"/>
    <s v="2022-05-10"/>
    <x v="4"/>
    <x v="1"/>
    <n v="10"/>
    <s v="12:08"/>
    <n v="3004.92"/>
    <x v="0"/>
    <s v="rc_cat_1781955063347_5qjb_1781955063347_irl1"/>
    <x v="0"/>
    <s v="rc_acc_1781955063347_hv85"/>
    <x v="5"/>
    <s v=""/>
    <m/>
    <s v="(5/6)"/>
    <m/>
    <s v="import"/>
    <s v=""/>
    <b v="0"/>
    <s v=""/>
  </r>
  <r>
    <s v="d63ccc91-7d22-45c0-9b1f-721f337fdd8b"/>
    <s v="2022-05-10"/>
    <x v="4"/>
    <x v="1"/>
    <n v="10"/>
    <s v="12:27"/>
    <n v="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a508b84-605f-44b6-aace-70a0447bc279"/>
    <s v="2022-05-10"/>
    <x v="4"/>
    <x v="1"/>
    <n v="10"/>
    <s v="12:28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cfc440b-0ebe-4e5b-ae2b-65e352406002"/>
    <s v="2022-05-10"/>
    <x v="4"/>
    <x v="1"/>
    <n v="10"/>
    <s v="15:49"/>
    <n v="3635.66"/>
    <x v="0"/>
    <s v="rc_cat_1781955063347_5qjb_1781955063348_wpky"/>
    <x v="27"/>
    <s v="rc_acc_1781955063347_hv85"/>
    <x v="5"/>
    <s v=""/>
    <m/>
    <s v="(4/6)"/>
    <m/>
    <s v="import"/>
    <s v=""/>
    <b v="0"/>
    <s v=""/>
  </r>
  <r>
    <s v="86505d61-c664-4c97-9138-ba90846d49ee"/>
    <s v="2022-05-08"/>
    <x v="4"/>
    <x v="1"/>
    <n v="8"/>
    <s v="15:03"/>
    <n v="82.5"/>
    <x v="1"/>
    <s v="other"/>
    <x v="1"/>
    <s v="rc_acc_1781955063350_i8ms"/>
    <x v="28"/>
    <s v="advance"/>
    <s v="Advance Paid"/>
    <s v="harrods"/>
    <m/>
    <s v="import"/>
    <s v=""/>
    <b v="0"/>
    <s v=""/>
  </r>
  <r>
    <s v="a14a7b8d-636e-4a13-99a8-e28bb5d0290f"/>
    <s v="2022-05-08"/>
    <x v="4"/>
    <x v="1"/>
    <n v="8"/>
    <s v="16:26"/>
    <n v="79"/>
    <x v="0"/>
    <s v="rc_cat_1781955063347_5qjb_1781955063347_tezk"/>
    <x v="5"/>
    <s v="rc_acc_1781955063347_uxz4"/>
    <x v="4"/>
    <s v=""/>
    <m/>
    <s v="kfc"/>
    <m/>
    <s v="import"/>
    <s v=""/>
    <b v="0"/>
    <s v=""/>
  </r>
  <r>
    <s v="504de71d-7a75-4d3d-8fe3-2ba83bd16638"/>
    <s v="2022-05-08"/>
    <x v="4"/>
    <x v="1"/>
    <n v="8"/>
    <s v="17:27"/>
    <n v="139"/>
    <x v="1"/>
    <s v="other"/>
    <x v="1"/>
    <s v="rc_acc_1781955063347_uxz4"/>
    <x v="4"/>
    <s v="advance"/>
    <s v="Advance Paid"/>
    <s v="Mister dougnut"/>
    <m/>
    <s v="import"/>
    <s v=""/>
    <b v="0"/>
    <s v=""/>
  </r>
  <r>
    <s v="d914b16a-882c-4291-9292-3b239cc2be2f"/>
    <s v="2022-05-08"/>
    <x v="4"/>
    <x v="1"/>
    <n v="8"/>
    <s v="17:42"/>
    <n v="55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6a226d9a-995d-403f-b0f2-b9082c329289"/>
    <s v="2022-05-06"/>
    <x v="4"/>
    <x v="1"/>
    <n v="6"/>
    <s v="13:43"/>
    <n v="305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bc15ba1c-1c5b-48c4-a35e-1a2ee7a00ea4"/>
    <s v="2022-05-05"/>
    <x v="4"/>
    <x v="1"/>
    <n v="5"/>
    <s v="20:08"/>
    <n v="72"/>
    <x v="0"/>
    <s v="rc_cat_1781955063347_5qjb_1781955063347_tezk"/>
    <x v="5"/>
    <s v="rc_acc_1781955063347_uxz4"/>
    <x v="4"/>
    <s v=""/>
    <m/>
    <s v="ค่าข้าววันบอร์ดเกม"/>
    <m/>
    <s v="import"/>
    <s v=""/>
    <b v="0"/>
    <s v=""/>
  </r>
  <r>
    <s v="20db25d5-cf0d-4feb-a634-ff0c25a8a227"/>
    <s v="2022-05-04"/>
    <x v="4"/>
    <x v="1"/>
    <n v="4"/>
    <s v="11:09"/>
    <n v="82"/>
    <x v="0"/>
    <s v="rc_cat_1781955063347_5qjb_1781955063347_tezk"/>
    <x v="5"/>
    <s v="rc_acc_1781955063347_uxz4"/>
    <x v="4"/>
    <s v=""/>
    <m/>
    <s v="เกาเหลาเนื้อ"/>
    <m/>
    <s v="import"/>
    <s v=""/>
    <b v="0"/>
    <s v=""/>
  </r>
  <r>
    <s v="636ac99d-32e9-40f6-9081-faed690b1059"/>
    <s v="2022-05-03"/>
    <x v="4"/>
    <x v="1"/>
    <n v="3"/>
    <s v="14:48"/>
    <n v="783.46"/>
    <x v="0"/>
    <s v="rc_cat_1781955063347_anhy_1781955063347_qnaz"/>
    <x v="4"/>
    <s v="rc_acc_1781955063348_w3gp"/>
    <x v="6"/>
    <s v=""/>
    <m/>
    <s v="-"/>
    <m/>
    <s v="import"/>
    <s v=""/>
    <b v="0"/>
    <s v=""/>
  </r>
  <r>
    <s v="26fee5a8-9181-4435-90e4-800de8066905"/>
    <s v="2022-05-03"/>
    <x v="4"/>
    <x v="1"/>
    <n v="3"/>
    <s v="20:06"/>
    <n v="4320.12"/>
    <x v="0"/>
    <s v="rc_cat_1781955063347_04qb_1781955063347_wt5p"/>
    <x v="3"/>
    <s v="rc_acc_1781955063347_uxz4"/>
    <x v="4"/>
    <s v=""/>
    <m/>
    <s v="-"/>
    <m/>
    <s v="import"/>
    <s v=""/>
    <b v="0"/>
    <s v=""/>
  </r>
  <r>
    <s v="b37f069c-5f3b-45a5-b1be-ff829efe6ffe"/>
    <s v="2022-05-03"/>
    <x v="4"/>
    <x v="1"/>
    <n v="3"/>
    <s v="20:06"/>
    <n v="2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c092eb36-332d-401b-9d5f-f5f48dac8501"/>
    <s v="2022-05-02"/>
    <x v="4"/>
    <x v="1"/>
    <n v="2"/>
    <s v="14:03"/>
    <n v="500"/>
    <x v="1"/>
    <s v="other"/>
    <x v="1"/>
    <s v="rc_acc_1781955063347_kjxt"/>
    <x v="1"/>
    <s v="rc_acc_1781955063347_uxz4"/>
    <s v="SCB"/>
    <s v="กองกลางช่วยออก"/>
    <m/>
    <s v="import"/>
    <s v=""/>
    <b v="0"/>
    <s v=""/>
  </r>
  <r>
    <s v="69f07b34-0b36-4274-8254-457090507e8d"/>
    <s v="2022-05-02"/>
    <x v="4"/>
    <x v="1"/>
    <n v="2"/>
    <s v="14:24"/>
    <n v="122"/>
    <x v="0"/>
    <s v="rc_cat_1781955063347_5qjb_1781955063348_xqml"/>
    <x v="31"/>
    <s v="rc_acc_1781955063347_uxz4"/>
    <x v="4"/>
    <s v=""/>
    <m/>
    <s v="-"/>
    <m/>
    <s v="import"/>
    <s v=""/>
    <b v="0"/>
    <s v=""/>
  </r>
  <r>
    <s v="07627887-d850-4f57-aa4d-150e6ebc7843"/>
    <s v="2022-05-01"/>
    <x v="4"/>
    <x v="1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4735b3d3-4c8d-40f7-ace7-5acbe1a5f613"/>
    <s v="2022-05-01"/>
    <x v="4"/>
    <x v="1"/>
    <n v="1"/>
    <s v="12:51"/>
    <n v="629"/>
    <x v="1"/>
    <s v="other"/>
    <x v="1"/>
    <s v="rc_acc_1781955063347_kjxt"/>
    <x v="1"/>
    <s v="advance"/>
    <s v="Advance Paid"/>
    <s v="tsuta"/>
    <m/>
    <s v="import"/>
    <s v=""/>
    <b v="0"/>
    <s v=""/>
  </r>
  <r>
    <s v="874100a5-03ff-4d77-b793-3cd2391e5ca4"/>
    <s v="2022-05-01"/>
    <x v="4"/>
    <x v="1"/>
    <n v="1"/>
    <s v="14:39"/>
    <n v="90"/>
    <x v="2"/>
    <s v="income_1781955063347_zblt"/>
    <x v="17"/>
    <s v="rc_acc_1781955063347_kjxt"/>
    <x v="1"/>
    <s v=""/>
    <m/>
    <s v="-"/>
    <m/>
    <s v="import"/>
    <s v=""/>
    <b v="0"/>
    <s v=""/>
  </r>
  <r>
    <s v="0125647a-93e8-412e-aaef-9f809cb31e12"/>
    <s v="2022-05-01"/>
    <x v="4"/>
    <x v="1"/>
    <n v="1"/>
    <s v="14:48"/>
    <n v="747.93"/>
    <x v="1"/>
    <s v="other"/>
    <x v="1"/>
    <s v="rc_acc_1781955063348_w3gp"/>
    <x v="6"/>
    <s v="advance"/>
    <s v="Advance Paid"/>
    <s v="-"/>
    <m/>
    <s v="import"/>
    <s v=""/>
    <b v="0"/>
    <s v=""/>
  </r>
  <r>
    <s v="86db2cee-9ced-461a-b8de-76637418d2e0"/>
    <s v="2022-05-01"/>
    <x v="4"/>
    <x v="1"/>
    <n v="1"/>
    <s v="15:02"/>
    <n v="1150"/>
    <x v="1"/>
    <s v="other"/>
    <x v="1"/>
    <s v="rc_acc_1781955063348_u1qk"/>
    <x v="35"/>
    <s v="advance"/>
    <s v="Advance Paid"/>
    <s v="-"/>
    <m/>
    <s v="import"/>
    <s v=""/>
    <b v="0"/>
    <s v=""/>
  </r>
  <r>
    <s v="001282c3-bf21-4c64-bc8f-78baa28eddaf"/>
    <s v="2022-05-01"/>
    <x v="4"/>
    <x v="1"/>
    <n v="1"/>
    <s v="16:12"/>
    <n v="100"/>
    <x v="1"/>
    <s v="other"/>
    <x v="1"/>
    <s v="rc_acc_1781955063347_e3zv"/>
    <x v="16"/>
    <s v="rc_acc_1781955063347_uxz4"/>
    <s v="SCB"/>
    <s v="-"/>
    <m/>
    <s v="import"/>
    <s v=""/>
    <b v="0"/>
    <s v=""/>
  </r>
  <r>
    <s v="26dd7a58-6248-41bf-9190-2f41233d4056"/>
    <s v="2022-05-01"/>
    <x v="4"/>
    <x v="1"/>
    <n v="1"/>
    <s v="16:12"/>
    <n v="2000"/>
    <x v="1"/>
    <s v="other"/>
    <x v="1"/>
    <s v="rc_acc_1781955063347_uxz4"/>
    <x v="4"/>
    <s v="rc_acc_1781955063347_e3zv"/>
    <s v="Cash"/>
    <s v="-"/>
    <m/>
    <s v="import"/>
    <s v=""/>
    <b v="0"/>
    <s v=""/>
  </r>
  <r>
    <s v="63725e88-192c-42bc-9e56-a43394ff1724"/>
    <s v="2022-05-01"/>
    <x v="4"/>
    <x v="1"/>
    <n v="1"/>
    <s v="16:13"/>
    <n v="810"/>
    <x v="0"/>
    <s v="rc_cat_1781955063347_5qjb_1781955063348_wpky"/>
    <x v="27"/>
    <s v="rc_acc_1781955063347_uxz4"/>
    <x v="4"/>
    <s v=""/>
    <m/>
    <s v="น้ำหอม"/>
    <m/>
    <s v="import"/>
    <s v=""/>
    <b v="0"/>
    <s v=""/>
  </r>
  <r>
    <s v="91c2aa95-bd49-42a5-abfa-95bb894919b4"/>
    <s v="2022-05-01"/>
    <x v="4"/>
    <x v="1"/>
    <n v="1"/>
    <s v="16:51"/>
    <n v="695"/>
    <x v="0"/>
    <s v="entertain_1781955063348_32wr"/>
    <x v="23"/>
    <s v="rc_acc_1781955063347_kjxt"/>
    <x v="1"/>
    <s v=""/>
    <m/>
    <s v="salt"/>
    <m/>
    <s v="import"/>
    <s v=""/>
    <b v="0"/>
    <s v=""/>
  </r>
  <r>
    <s v="fdeb8193-4ba8-4d8b-8cf7-b254e0465561"/>
    <s v="2022-04-30"/>
    <x v="4"/>
    <x v="2"/>
    <n v="30"/>
    <s v="14:57"/>
    <n v="783.46"/>
    <x v="0"/>
    <s v="rc_cat_1781955063347_anhy_1781955063347_qnaz"/>
    <x v="4"/>
    <s v="rc_acc_1781955063347_sv7p"/>
    <x v="12"/>
    <s v=""/>
    <m/>
    <s v="-"/>
    <m/>
    <s v="import"/>
    <s v=""/>
    <b v="0"/>
    <s v=""/>
  </r>
  <r>
    <s v="8111740c-61cd-4a07-a792-09fceb2ee3a8"/>
    <s v="2022-04-30"/>
    <x v="4"/>
    <x v="2"/>
    <n v="30"/>
    <s v="15:13"/>
    <n v="1071"/>
    <x v="1"/>
    <s v="other"/>
    <x v="1"/>
    <s v="rc_acc_1781955063348_w3gp"/>
    <x v="6"/>
    <s v="advance"/>
    <s v="Advance Paid"/>
    <s v="ยอดถึง 27 apr"/>
    <m/>
    <s v="import"/>
    <s v=""/>
    <b v="0"/>
    <s v=""/>
  </r>
  <r>
    <s v="684c4f6c-e5bb-4cf5-8491-cfbbe0de9aa5"/>
    <s v="2022-04-30"/>
    <x v="4"/>
    <x v="2"/>
    <n v="30"/>
    <s v="15:15"/>
    <n v="783.46"/>
    <x v="2"/>
    <s v="other_1781955063347_5s7r"/>
    <x v="15"/>
    <s v="rc_acc_1781955063347_sv7p"/>
    <x v="12"/>
    <s v=""/>
    <m/>
    <s v="บัญชีแม่จ่ายเอง"/>
    <m/>
    <s v="import"/>
    <s v=""/>
    <b v="0"/>
    <s v=""/>
  </r>
  <r>
    <s v="8dd145f3-1322-407c-8df6-18ef63722334"/>
    <s v="2022-04-29"/>
    <x v="4"/>
    <x v="2"/>
    <n v="29"/>
    <s v="18:30"/>
    <n v="190"/>
    <x v="1"/>
    <s v="other"/>
    <x v="1"/>
    <s v="rc_acc_1781955063347_e3zv"/>
    <x v="16"/>
    <s v="rc_acc_1781955063347_uxz4"/>
    <s v="SCB"/>
    <s v="-"/>
    <m/>
    <s v="import"/>
    <s v=""/>
    <b v="0"/>
    <s v=""/>
  </r>
  <r>
    <s v="3f9dd57e-b8e8-4957-9267-050259778eb3"/>
    <s v="2022-04-29"/>
    <x v="4"/>
    <x v="2"/>
    <n v="29"/>
    <s v="18:31"/>
    <n v="87"/>
    <x v="1"/>
    <s v="other"/>
    <x v="1"/>
    <s v="rc_acc_1781955063349_mitc"/>
    <x v="23"/>
    <s v="rc_acc_1781955063347_uxz4"/>
    <s v="SCB"/>
    <s v="-"/>
    <m/>
    <s v="import"/>
    <s v=""/>
    <b v="0"/>
    <s v=""/>
  </r>
  <r>
    <s v="426551e5-1bc9-4e43-9324-acde8bbca038"/>
    <s v="2022-04-28"/>
    <x v="4"/>
    <x v="2"/>
    <n v="28"/>
    <s v="08:32"/>
    <n v="108"/>
    <x v="1"/>
    <s v="other"/>
    <x v="1"/>
    <s v="rc_acc_1781955063349_mitc"/>
    <x v="23"/>
    <s v="rc_acc_1781955063347_uxz4"/>
    <s v="SCB"/>
    <s v="-"/>
    <m/>
    <s v="import"/>
    <s v=""/>
    <b v="0"/>
    <s v=""/>
  </r>
  <r>
    <s v="f9ca350a-6c78-461e-8dce-1e10610df21a"/>
    <s v="2022-04-28"/>
    <x v="4"/>
    <x v="2"/>
    <n v="28"/>
    <s v="10:32"/>
    <n v="24"/>
    <x v="1"/>
    <s v="other"/>
    <x v="1"/>
    <s v="rc_acc_1781955063347_kjxt"/>
    <x v="1"/>
    <s v="rc_acc_1781955063347_uxz4"/>
    <s v="SCB"/>
    <s v="-"/>
    <m/>
    <s v="import"/>
    <s v=""/>
    <b v="0"/>
    <s v=""/>
  </r>
  <r>
    <s v="166d0c53-37a0-4a69-8ff4-41993c72ca15"/>
    <s v="2022-04-28"/>
    <x v="4"/>
    <x v="2"/>
    <n v="28"/>
    <s v="14:49"/>
    <n v="285"/>
    <x v="1"/>
    <s v="other"/>
    <x v="1"/>
    <s v="rc_acc_1781955063347_kjxt"/>
    <x v="1"/>
    <s v="advance"/>
    <s v="Advance Paid"/>
    <s v="-"/>
    <m/>
    <s v="import"/>
    <s v=""/>
    <b v="0"/>
    <s v=""/>
  </r>
  <r>
    <s v="df049ce6-9389-4958-a778-98c2feba467d"/>
    <s v="2022-04-26"/>
    <x v="4"/>
    <x v="2"/>
    <n v="26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03d2346a-97d8-4133-b855-a9d479e9e897"/>
    <s v="2022-04-26"/>
    <x v="4"/>
    <x v="2"/>
    <n v="26"/>
    <s v="00:00"/>
    <n v="121.49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d48b01e2-f555-4c68-bf15-224c9ec1c79d"/>
    <s v="2022-04-26"/>
    <x v="4"/>
    <x v="2"/>
    <n v="26"/>
    <s v="00:00"/>
    <n v="609.63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f92b4229-5679-4f77-8618-1df208c4eaab"/>
    <s v="2022-04-26"/>
    <x v="4"/>
    <x v="2"/>
    <n v="26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72e89763-091b-423e-9ef4-09a04a4e0e68"/>
    <s v="2022-04-26"/>
    <x v="4"/>
    <x v="2"/>
    <n v="26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ad0b8e9a-834d-4f68-9d4d-89dbcd732238"/>
    <s v="2022-04-26"/>
    <x v="4"/>
    <x v="2"/>
    <n v="26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57d0fad3-32f8-42b2-8620-1202d038ca23"/>
    <s v="2022-04-26"/>
    <x v="4"/>
    <x v="2"/>
    <n v="26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4d0fc574-65b9-4fd6-9bdc-2249bb1f4c19"/>
    <s v="2022-04-26"/>
    <x v="4"/>
    <x v="2"/>
    <n v="26"/>
    <s v="10:42"/>
    <n v="29696.67"/>
    <x v="2"/>
    <s v="income_1781955063347_zblt"/>
    <x v="17"/>
    <s v="rc_acc_1781955063347_uxz4"/>
    <x v="4"/>
    <s v=""/>
    <m/>
    <s v="-"/>
    <m/>
    <s v="import"/>
    <s v=""/>
    <b v="0"/>
    <s v=""/>
  </r>
  <r>
    <s v="aa5934cf-3caa-458c-8c31-ce09827de974"/>
    <s v="2022-04-26"/>
    <x v="4"/>
    <x v="2"/>
    <n v="26"/>
    <s v="14:40"/>
    <n v="416"/>
    <x v="0"/>
    <s v="other_1781955063348_27zj"/>
    <x v="0"/>
    <s v="rc_acc_1781955063347_uxz4"/>
    <x v="4"/>
    <s v=""/>
    <m/>
    <s v="-"/>
    <m/>
    <s v="import"/>
    <s v=""/>
    <b v="0"/>
    <s v=""/>
  </r>
  <r>
    <s v="c06a470e-c931-4ffd-9279-007025b66959"/>
    <s v="2022-04-25"/>
    <x v="4"/>
    <x v="2"/>
    <n v="25"/>
    <s v="14:47"/>
    <n v="135"/>
    <x v="1"/>
    <s v="other"/>
    <x v="1"/>
    <s v="rc_acc_1781955063347_kjxt"/>
    <x v="1"/>
    <s v="advance"/>
    <s v="Advance Paid"/>
    <s v="-"/>
    <m/>
    <s v="import"/>
    <s v=""/>
    <b v="0"/>
    <s v=""/>
  </r>
  <r>
    <s v="fa3f3a57-ce6f-44df-a87e-78a700ad1ba1"/>
    <s v="2022-04-25"/>
    <x v="4"/>
    <x v="2"/>
    <n v="25"/>
    <s v="18:42"/>
    <n v="257.4"/>
    <x v="0"/>
    <s v="entertain_1781955063348_kx2f"/>
    <x v="0"/>
    <s v="rc_acc_1781955063350_i8ms"/>
    <x v="28"/>
    <s v=""/>
    <m/>
    <s v="-"/>
    <m/>
    <s v="import"/>
    <s v=""/>
    <b v="0"/>
    <s v=""/>
  </r>
  <r>
    <s v="c0ef192b-b3f7-495c-99c1-1be59b1d3eaf"/>
    <s v="2022-04-24"/>
    <x v="4"/>
    <x v="2"/>
    <n v="24"/>
    <s v="00:00"/>
    <n v="1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4c52004-3bb0-49a1-9dbd-9dc7bf773a8d"/>
    <s v="2022-04-23"/>
    <x v="4"/>
    <x v="2"/>
    <n v="23"/>
    <s v="15:06"/>
    <n v="1200"/>
    <x v="1"/>
    <s v="other"/>
    <x v="1"/>
    <s v="rc_acc_1781955063348_u1qk"/>
    <x v="35"/>
    <s v="advance"/>
    <s v="Advance Paid"/>
    <s v="-"/>
    <m/>
    <s v="import"/>
    <s v=""/>
    <b v="0"/>
    <s v=""/>
  </r>
  <r>
    <s v="a0f8fd2b-4599-4141-989f-055bf2f446da"/>
    <s v="2022-04-22"/>
    <x v="4"/>
    <x v="2"/>
    <n v="22"/>
    <s v="00:00"/>
    <n v="13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9bf6295-b653-4265-9a57-9d7780b5efa6"/>
    <s v="2022-04-19"/>
    <x v="4"/>
    <x v="2"/>
    <n v="19"/>
    <s v="14:45"/>
    <n v="16"/>
    <x v="2"/>
    <s v="income_1781955063347_zblt"/>
    <x v="17"/>
    <s v="rc_acc_1781955063347_kjxt"/>
    <x v="1"/>
    <s v=""/>
    <m/>
    <s v="-"/>
    <m/>
    <s v="import"/>
    <s v=""/>
    <b v="0"/>
    <s v=""/>
  </r>
  <r>
    <s v="d2ab883c-09d0-4d5b-b5e5-851c06b11b41"/>
    <s v="2022-04-17"/>
    <x v="4"/>
    <x v="2"/>
    <n v="17"/>
    <s v="14:52"/>
    <n v="59"/>
    <x v="0"/>
    <s v="entertain_1781955063348_kx2f"/>
    <x v="0"/>
    <s v="rc_acc_1781955063347_hv85"/>
    <x v="5"/>
    <s v=""/>
    <m/>
    <s v="11 bit"/>
    <m/>
    <s v="import"/>
    <s v=""/>
    <b v="0"/>
    <s v=""/>
  </r>
  <r>
    <s v="dea9b54b-7ce6-430b-9dbb-3b01f841a27a"/>
    <s v="2022-04-17"/>
    <x v="4"/>
    <x v="2"/>
    <n v="17"/>
    <s v="14:53"/>
    <n v="31"/>
    <x v="0"/>
    <s v="entertain_1781955063348_kx2f"/>
    <x v="0"/>
    <s v="rc_acc_1781955063347_hv85"/>
    <x v="5"/>
    <s v=""/>
    <m/>
    <s v="-"/>
    <m/>
    <s v="import"/>
    <s v=""/>
    <b v="0"/>
    <s v=""/>
  </r>
  <r>
    <s v="d249322f-0bcd-4280-b32e-7ef5bd2c1d37"/>
    <s v="2022-04-16"/>
    <x v="4"/>
    <x v="2"/>
    <n v="16"/>
    <s v="12:32"/>
    <n v="7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baf7030-a8e1-489e-ae29-36a6ca21e2ed"/>
    <s v="2022-04-16"/>
    <x v="4"/>
    <x v="2"/>
    <n v="16"/>
    <s v="12:51"/>
    <n v="20000"/>
    <x v="1"/>
    <s v="other"/>
    <x v="1"/>
    <s v="rc_acc_1781955063347_uxz4"/>
    <x v="4"/>
    <s v="rc_acc_1781955063348_obza"/>
    <s v="KRUNGSRI"/>
    <s v="-"/>
    <m/>
    <s v="import"/>
    <s v=""/>
    <b v="0"/>
    <s v=""/>
  </r>
  <r>
    <s v="737aa1c0-e1a2-4a0e-b36e-5816eead047c"/>
    <s v="2022-04-16"/>
    <x v="4"/>
    <x v="2"/>
    <n v="16"/>
    <s v="12:52"/>
    <n v="8485.16"/>
    <x v="1"/>
    <s v="other"/>
    <x v="1"/>
    <s v="rc_acc_1781955063348_obza"/>
    <x v="8"/>
    <s v="rc_acc_1781955063347_hv85"/>
    <s v="HOMEPRO"/>
    <s v="-"/>
    <m/>
    <s v="import"/>
    <s v=""/>
    <b v="0"/>
    <s v=""/>
  </r>
  <r>
    <s v="479bf413-b3e6-412b-84b1-e642b822925a"/>
    <s v="2022-04-16"/>
    <x v="4"/>
    <x v="2"/>
    <n v="16"/>
    <s v="12:56"/>
    <n v="54"/>
    <x v="0"/>
    <s v="rc_cat_1781955063347_5qjb_1781955063347_tezk"/>
    <x v="5"/>
    <s v="kbank"/>
    <x v="0"/>
    <s v=""/>
    <m/>
    <s v="-"/>
    <m/>
    <s v="import"/>
    <s v=""/>
    <b v="0"/>
    <s v=""/>
  </r>
  <r>
    <s v="b660e91c-70e5-4565-aa78-c7ae1b97da22"/>
    <s v="2022-04-15"/>
    <x v="4"/>
    <x v="2"/>
    <n v="15"/>
    <s v="12:35"/>
    <n v="1940"/>
    <x v="1"/>
    <s v="other"/>
    <x v="1"/>
    <s v="rc_acc_1781955063347_kjxt"/>
    <x v="1"/>
    <s v="advance"/>
    <s v="Advance Paid"/>
    <s v="mk gold buffet"/>
    <m/>
    <s v="import"/>
    <s v=""/>
    <b v="0"/>
    <s v=""/>
  </r>
  <r>
    <s v="908f0c09-c208-451d-8612-2994cdfae58d"/>
    <s v="2022-04-14"/>
    <x v="4"/>
    <x v="2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c61d2643-fa63-4ba6-bb4a-4269ea2f79cb"/>
    <s v="2022-04-14"/>
    <x v="4"/>
    <x v="2"/>
    <n v="14"/>
    <s v="00:00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41662c70-6bba-4049-83cd-f2132ec03043"/>
    <s v="2022-04-14"/>
    <x v="4"/>
    <x v="2"/>
    <n v="14"/>
    <s v="16:38"/>
    <n v="259"/>
    <x v="1"/>
    <s v="other"/>
    <x v="1"/>
    <s v="rc_acc_1781955063347_kjxt"/>
    <x v="1"/>
    <s v="advance"/>
    <s v="Advance Paid"/>
    <s v="-"/>
    <m/>
    <s v="import"/>
    <s v=""/>
    <b v="0"/>
    <s v=""/>
  </r>
  <r>
    <s v="4bc79979-b54b-42cc-8bfd-0e57b84e2b0a"/>
    <s v="2022-04-13"/>
    <x v="4"/>
    <x v="2"/>
    <n v="13"/>
    <s v="12:45"/>
    <n v="2167"/>
    <x v="1"/>
    <s v="other"/>
    <x v="1"/>
    <s v="rc_acc_1781955063347_uxz4"/>
    <x v="4"/>
    <s v="advance"/>
    <s v="Advance Paid"/>
    <s v="369 เนื้อ"/>
    <m/>
    <s v="import"/>
    <s v=""/>
    <b v="0"/>
    <s v=""/>
  </r>
  <r>
    <s v="bfa24d73-1777-4ff5-8e0a-92750bc6f0dc"/>
    <s v="2022-04-13"/>
    <x v="4"/>
    <x v="2"/>
    <n v="13"/>
    <s v="13:05"/>
    <n v="130"/>
    <x v="0"/>
    <s v="rc_cat_1781955063347_5qjb_1781955063347_tezk"/>
    <x v="5"/>
    <s v="rc_acc_1781955063347_uxz4"/>
    <x v="4"/>
    <s v=""/>
    <m/>
    <s v="nana"/>
    <m/>
    <s v="import"/>
    <s v=""/>
    <b v="0"/>
    <s v=""/>
  </r>
  <r>
    <s v="1beff15b-a333-487f-8a49-13ccf17fa35e"/>
    <s v="2022-04-13"/>
    <x v="4"/>
    <x v="2"/>
    <n v="13"/>
    <s v="20:34"/>
    <n v="3695.78"/>
    <x v="1"/>
    <s v="other"/>
    <x v="1"/>
    <s v="rc_acc_1781955063347_kjxt"/>
    <x v="1"/>
    <s v="advance"/>
    <s v="Advance Paid"/>
    <s v="fallabella"/>
    <m/>
    <s v="import"/>
    <s v=""/>
    <b v="0"/>
    <s v=""/>
  </r>
  <r>
    <s v="0d0e4344-2c28-4611-b2f9-6e39e8b9cb90"/>
    <s v="2022-04-13"/>
    <x v="4"/>
    <x v="2"/>
    <n v="13"/>
    <s v="21:45"/>
    <n v="1635.54"/>
    <x v="0"/>
    <s v="rc_cat_1781955063347_5qjb_1781955063347_tezk"/>
    <x v="5"/>
    <s v="advance"/>
    <x v="2"/>
    <s v=""/>
    <m/>
    <s v="เนื้อ กับฟาราเบล เฉพาะยอดเรา 650 +985"/>
    <m/>
    <s v="import"/>
    <s v=""/>
    <b v="0"/>
    <s v=""/>
  </r>
  <r>
    <s v="fe7f3f98-e9bd-492a-9b55-a3c71674c665"/>
    <s v="2022-04-13"/>
    <x v="4"/>
    <x v="2"/>
    <n v="13"/>
    <s v="23:30"/>
    <n v="965.5"/>
    <x v="1"/>
    <s v="other"/>
    <x v="1"/>
    <s v="advance"/>
    <x v="2"/>
    <s v="rc_acc_1781955063347_uxz4"/>
    <s v="SCB"/>
    <s v="กับข้าวกับปลา"/>
    <m/>
    <s v="import"/>
    <s v=""/>
    <b v="0"/>
    <s v=""/>
  </r>
  <r>
    <s v="b189706c-7eaf-49e1-91a6-1b47e37d56a5"/>
    <s v="2022-04-13"/>
    <x v="4"/>
    <x v="2"/>
    <n v="13"/>
    <s v="23:39"/>
    <n v="2892"/>
    <x v="1"/>
    <s v="other"/>
    <x v="1"/>
    <s v="advance"/>
    <x v="2"/>
    <s v="rc_acc_1781955063347_uxz4"/>
    <s v="SCB"/>
    <s v="ริด วัด นิว โอนให้"/>
    <m/>
    <s v="import"/>
    <s v=""/>
    <b v="0"/>
    <s v=""/>
  </r>
  <r>
    <s v="bdc747ff-94e3-45e1-8129-44ed6da365a9"/>
    <s v="2022-04-11"/>
    <x v="4"/>
    <x v="2"/>
    <n v="11"/>
    <s v="12:36"/>
    <n v="140"/>
    <x v="1"/>
    <s v="other"/>
    <x v="1"/>
    <s v="rc_acc_1781955063347_kjxt"/>
    <x v="1"/>
    <s v="advance"/>
    <s v="Advance Paid"/>
    <s v="grab"/>
    <m/>
    <s v="import"/>
    <s v=""/>
    <b v="0"/>
    <s v=""/>
  </r>
  <r>
    <s v="4cf33432-0df8-4c4c-9f0a-294df4383424"/>
    <s v="2022-04-10"/>
    <x v="4"/>
    <x v="2"/>
    <n v="10"/>
    <s v="12:08"/>
    <n v="3004.92"/>
    <x v="0"/>
    <s v="rc_cat_1781955063347_5qjb_1781955063347_irl1"/>
    <x v="0"/>
    <s v="rc_acc_1781955063347_hv85"/>
    <x v="5"/>
    <s v=""/>
    <m/>
    <s v="(4/6)"/>
    <m/>
    <s v="import"/>
    <s v=""/>
    <b v="0"/>
    <s v=""/>
  </r>
  <r>
    <s v="fcc1c8cf-d833-42d5-ad55-cd644b28ba9b"/>
    <s v="2022-04-10"/>
    <x v="4"/>
    <x v="2"/>
    <n v="10"/>
    <s v="15:49"/>
    <n v="3635.66"/>
    <x v="0"/>
    <s v="rc_cat_1781955063347_5qjb_1781955063348_wpky"/>
    <x v="27"/>
    <s v="rc_acc_1781955063347_hv85"/>
    <x v="5"/>
    <s v=""/>
    <m/>
    <s v="(3/6)"/>
    <m/>
    <s v="import"/>
    <s v=""/>
    <b v="0"/>
    <s v=""/>
  </r>
  <r>
    <s v="fbabd8fd-3506-4ea0-b329-259883cdfef1"/>
    <s v="2022-04-10"/>
    <x v="4"/>
    <x v="2"/>
    <n v="10"/>
    <s v="16:15"/>
    <n v="215"/>
    <x v="0"/>
    <s v="rc_cat_1781955063347_anhy_1781955063347_qnaz"/>
    <x v="4"/>
    <s v="rc_acc_1781955063347_uxz4"/>
    <x v="4"/>
    <s v=""/>
    <m/>
    <s v="บ้านกาแฟ"/>
    <m/>
    <s v="import"/>
    <s v=""/>
    <b v="0"/>
    <s v=""/>
  </r>
  <r>
    <s v="00a9bc8e-4c51-4471-acd2-af565e7e57b2"/>
    <s v="2022-04-10"/>
    <x v="4"/>
    <x v="2"/>
    <n v="10"/>
    <s v="20:55"/>
    <n v="200"/>
    <x v="1"/>
    <s v="other"/>
    <x v="1"/>
    <s v="rc_acc_1781955063347_uxz4"/>
    <x v="4"/>
    <s v="rc_acc_1781955063347_e3zv"/>
    <s v="Cash"/>
    <s v="เคลียยอดฟาร์มสมใจ"/>
    <m/>
    <s v="import"/>
    <s v=""/>
    <b v="0"/>
    <s v=""/>
  </r>
  <r>
    <s v="9d74c56e-ef33-45c4-8ed5-f9439dfcaffa"/>
    <s v="2022-04-10"/>
    <x v="4"/>
    <x v="2"/>
    <n v="10"/>
    <s v="22:38"/>
    <n v="1800"/>
    <x v="0"/>
    <s v="rc_cat_1781955063347_anhy_1781955063347_qnaz"/>
    <x v="4"/>
    <s v="rc_acc_1781955063347_uxz4"/>
    <x v="4"/>
    <s v=""/>
    <m/>
    <s v="ฟาร์มสมใจ"/>
    <m/>
    <s v="import"/>
    <s v=""/>
    <b v="0"/>
    <s v=""/>
  </r>
  <r>
    <s v="dbf97fa0-1d46-43c8-9765-9c235f681566"/>
    <s v="2022-04-09"/>
    <x v="4"/>
    <x v="2"/>
    <n v="9"/>
    <s v="12:32"/>
    <n v="790"/>
    <x v="0"/>
    <s v="rc_cat_1781955063347_anhy_1781955063350_fcpb"/>
    <x v="2"/>
    <s v="rc_acc_1781955063347_uxz4"/>
    <x v="4"/>
    <s v=""/>
    <m/>
    <s v="natura cafe"/>
    <m/>
    <s v="import"/>
    <s v=""/>
    <b v="0"/>
    <s v=""/>
  </r>
  <r>
    <s v="85fabc92-7f69-416e-b598-60af2e9afb95"/>
    <s v="2022-04-09"/>
    <x v="4"/>
    <x v="2"/>
    <n v="9"/>
    <s v="15:35"/>
    <n v="530"/>
    <x v="1"/>
    <s v="other"/>
    <x v="1"/>
    <s v="rc_acc_1781955063347_e3zv"/>
    <x v="16"/>
    <s v="rc_acc_1781955063347_uxz4"/>
    <s v="SCB"/>
    <s v="-"/>
    <m/>
    <s v="import"/>
    <s v=""/>
    <b v="0"/>
    <s v=""/>
  </r>
  <r>
    <s v="633fc7a7-b871-478e-a0e2-3b60f704a367"/>
    <s v="2022-04-09"/>
    <x v="4"/>
    <x v="2"/>
    <n v="9"/>
    <s v="16:01"/>
    <n v="5902.75"/>
    <x v="0"/>
    <s v="entertain_1781955063348_32wr"/>
    <x v="23"/>
    <s v="rc_acc_1781955063347_uxz4"/>
    <x v="4"/>
    <s v=""/>
    <m/>
    <s v="books uob"/>
    <m/>
    <s v="import"/>
    <s v=""/>
    <b v="0"/>
    <s v=""/>
  </r>
  <r>
    <s v="d2ace294-31e8-4edd-89e4-d12bd81bea13"/>
    <s v="2022-04-09"/>
    <x v="4"/>
    <x v="2"/>
    <n v="9"/>
    <s v="18:02"/>
    <n v="80"/>
    <x v="0"/>
    <s v="rc_cat_1781955063347_5qjb_1781955063347_tezk"/>
    <x v="5"/>
    <s v="rc_acc_1781955063349_mitc"/>
    <x v="23"/>
    <s v=""/>
    <m/>
    <s v="-"/>
    <m/>
    <s v="import"/>
    <s v=""/>
    <b v="0"/>
    <s v=""/>
  </r>
  <r>
    <s v="fc4d9cb6-df90-4e2f-aff1-afaf080f0114"/>
    <s v="2022-04-07"/>
    <x v="4"/>
    <x v="2"/>
    <n v="7"/>
    <s v="15:36"/>
    <n v="2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db09eb66-5f13-4c8f-a04d-19da07eb48a5"/>
    <s v="2022-04-07"/>
    <x v="4"/>
    <x v="2"/>
    <n v="7"/>
    <s v="15:36"/>
    <n v="200"/>
    <x v="1"/>
    <s v="other"/>
    <x v="1"/>
    <s v="rc_acc_1781955063347_uxz4"/>
    <x v="4"/>
    <s v="kbank"/>
    <s v="KBank"/>
    <s v="-"/>
    <m/>
    <s v="import"/>
    <s v=""/>
    <b v="0"/>
    <s v=""/>
  </r>
  <r>
    <s v="99a7830e-4ad7-4776-a5fa-b79cfbd9ba41"/>
    <s v="2022-04-07"/>
    <x v="4"/>
    <x v="2"/>
    <n v="7"/>
    <s v="16:07"/>
    <n v="2306.97"/>
    <x v="1"/>
    <s v="other"/>
    <x v="1"/>
    <s v="kbank"/>
    <x v="0"/>
    <s v="advance"/>
    <s v="Advance Paid"/>
    <s v="-"/>
    <m/>
    <s v="import"/>
    <s v=""/>
    <b v="0"/>
    <s v=""/>
  </r>
  <r>
    <s v="de9a7a97-8a83-4bc4-b022-3ba0f57ca209"/>
    <s v="2022-04-06"/>
    <x v="4"/>
    <x v="2"/>
    <n v="6"/>
    <s v="08:35"/>
    <n v="225"/>
    <x v="0"/>
    <s v="entertain_1781955063347_8r8e"/>
    <x v="8"/>
    <s v="rc_acc_1781955063347_uxz4"/>
    <x v="4"/>
    <s v=""/>
    <m/>
    <s v="atk"/>
    <m/>
    <s v="import"/>
    <s v=""/>
    <b v="0"/>
    <s v=""/>
  </r>
  <r>
    <s v="ce6d254b-faaf-46ce-86ff-8791bb0a3457"/>
    <s v="2022-04-06"/>
    <x v="4"/>
    <x v="2"/>
    <n v="6"/>
    <s v="18:35"/>
    <n v="275"/>
    <x v="0"/>
    <s v="rc_cat_1781955063347_5qjb_1781955063347_tezk"/>
    <x v="5"/>
    <s v="rc_acc_1781955063347_uxz4"/>
    <x v="4"/>
    <s v=""/>
    <m/>
    <s v="standard burger"/>
    <m/>
    <s v="import"/>
    <s v=""/>
    <b v="0"/>
    <s v=""/>
  </r>
  <r>
    <s v="210cb3ac-7bb6-4add-a16f-94e2aa4e00bf"/>
    <s v="2022-04-05"/>
    <x v="4"/>
    <x v="2"/>
    <n v="5"/>
    <s v="00:47"/>
    <n v="835"/>
    <x v="0"/>
    <s v="entertain_1781955063347_8r8e"/>
    <x v="8"/>
    <s v="rc_acc_1781955063347_kjxt"/>
    <x v="1"/>
    <s v=""/>
    <m/>
    <s v="powergrid boardgame"/>
    <m/>
    <s v="import"/>
    <s v=""/>
    <b v="0"/>
    <s v=""/>
  </r>
  <r>
    <s v="7fab9d66-99b0-4aa2-9a8b-2935873df058"/>
    <s v="2022-04-05"/>
    <x v="4"/>
    <x v="2"/>
    <n v="5"/>
    <s v="00:48"/>
    <n v="702"/>
    <x v="0"/>
    <s v="rc_cat_1781955063347_s4sz_1781955063347_deos"/>
    <x v="6"/>
    <s v="rc_acc_1781955063347_kjxt"/>
    <x v="1"/>
    <s v=""/>
    <m/>
    <s v="ชั้นวางจอคอม"/>
    <m/>
    <s v="import"/>
    <s v=""/>
    <b v="0"/>
    <s v=""/>
  </r>
  <r>
    <s v="fb6e4bb0-0316-4394-b53a-e38c20352043"/>
    <s v="2022-04-05"/>
    <x v="4"/>
    <x v="2"/>
    <n v="5"/>
    <s v="00:49"/>
    <n v="105"/>
    <x v="0"/>
    <s v="rc_cat_1781955063347_s4sz_1781955063347_9tpp"/>
    <x v="9"/>
    <s v="rc_acc_1781955063347_kjxt"/>
    <x v="1"/>
    <s v=""/>
    <m/>
    <s v="ไม้แขวน กางเกง สาย hdmi"/>
    <m/>
    <s v="import"/>
    <s v=""/>
    <b v="0"/>
    <s v=""/>
  </r>
  <r>
    <s v="655305b4-6dff-47b0-800b-e00afe263455"/>
    <s v="2022-04-05"/>
    <x v="4"/>
    <x v="2"/>
    <n v="5"/>
    <s v="09:32"/>
    <n v="10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865c380b-654a-4f11-a743-cd1a73ac2863"/>
    <s v="2022-04-05"/>
    <x v="4"/>
    <x v="2"/>
    <n v="5"/>
    <s v="11:33"/>
    <n v="255"/>
    <x v="0"/>
    <s v="rc_cat_1781955063347_5qjb_1781955063347_tezk"/>
    <x v="5"/>
    <s v="rc_acc_1781955063347_uxz4"/>
    <x v="4"/>
    <s v=""/>
    <m/>
    <s v="standard burger"/>
    <m/>
    <s v="import"/>
    <s v=""/>
    <b v="0"/>
    <s v=""/>
  </r>
  <r>
    <s v="365aa4a8-17a4-4ff1-a47a-7597a75ef013"/>
    <s v="2022-04-05"/>
    <x v="4"/>
    <x v="2"/>
    <n v="5"/>
    <s v="13:25"/>
    <n v="240"/>
    <x v="0"/>
    <s v="entertain_1781955063348_32wr"/>
    <x v="23"/>
    <s v="rc_acc_1781955063347_uxz4"/>
    <x v="4"/>
    <s v=""/>
    <m/>
    <s v="-"/>
    <m/>
    <s v="import"/>
    <s v=""/>
    <b v="0"/>
    <s v=""/>
  </r>
  <r>
    <s v="7c62cfd3-8052-4803-97bd-77acd9922cdf"/>
    <s v="2022-04-05"/>
    <x v="4"/>
    <x v="2"/>
    <n v="5"/>
    <s v="16:34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6249e0d-dc38-4376-9e70-2441704c707a"/>
    <s v="2022-04-04"/>
    <x v="4"/>
    <x v="2"/>
    <n v="4"/>
    <s v="01:32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33f4ba77-1ffc-476a-82f7-b8f0b64c8585"/>
    <s v="2022-04-03"/>
    <x v="4"/>
    <x v="2"/>
    <n v="3"/>
    <s v="12:41"/>
    <n v="56"/>
    <x v="0"/>
    <s v="rc_cat_1781955063347_5qjb_1781955063347_tezk"/>
    <x v="5"/>
    <s v="kbank"/>
    <x v="0"/>
    <s v=""/>
    <m/>
    <s v="-"/>
    <m/>
    <s v="import"/>
    <s v=""/>
    <b v="0"/>
    <s v=""/>
  </r>
  <r>
    <s v="2075170f-c545-4806-a58c-917d0cc2debd"/>
    <s v="2022-04-02"/>
    <x v="4"/>
    <x v="2"/>
    <n v="2"/>
    <s v="12:52"/>
    <n v="40"/>
    <x v="2"/>
    <s v="income_1781955063347_zblt"/>
    <x v="17"/>
    <s v="rc_acc_1781955063347_hv85"/>
    <x v="5"/>
    <s v=""/>
    <m/>
    <s v="-"/>
    <m/>
    <s v="import"/>
    <s v=""/>
    <b v="0"/>
    <s v=""/>
  </r>
  <r>
    <s v="a01daf6f-00e6-4572-bc14-03fd397ad5e4"/>
    <s v="2022-04-02"/>
    <x v="4"/>
    <x v="2"/>
    <n v="2"/>
    <s v="15:39"/>
    <n v="1108"/>
    <x v="1"/>
    <s v="other"/>
    <x v="1"/>
    <s v="advance"/>
    <x v="2"/>
    <s v="rc_acc_1781955063347_hv85"/>
    <s v="HOMEPRO"/>
    <s v="จ่ายคืน"/>
    <m/>
    <s v="import"/>
    <s v=""/>
    <b v="0"/>
    <s v=""/>
  </r>
  <r>
    <s v="a0ff9c8b-853b-4155-a763-93065140328a"/>
    <s v="2022-04-02"/>
    <x v="4"/>
    <x v="2"/>
    <n v="2"/>
    <s v="17:14"/>
    <n v="25"/>
    <x v="0"/>
    <s v="rc_cat_1781955063347_5qjb_1781955063347_tezk"/>
    <x v="5"/>
    <s v="rc_acc_1781955063348_998o"/>
    <x v="32"/>
    <s v=""/>
    <m/>
    <s v="-"/>
    <m/>
    <s v="import"/>
    <s v=""/>
    <b v="0"/>
    <s v=""/>
  </r>
  <r>
    <s v="c924b6f7-4c18-4fce-8443-c277e25ece3b"/>
    <s v="2022-04-02"/>
    <x v="4"/>
    <x v="2"/>
    <n v="2"/>
    <s v="17:15"/>
    <n v="2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8d5cfd1-469f-46ab-ac5d-722a0ed80b58"/>
    <s v="2022-04-02"/>
    <x v="4"/>
    <x v="2"/>
    <n v="2"/>
    <s v="17:15"/>
    <n v="806"/>
    <x v="1"/>
    <s v="other"/>
    <x v="1"/>
    <s v="rc_acc_1781955063347_hv85"/>
    <x v="5"/>
    <s v="rc_acc_1781955063347_uxz4"/>
    <s v="SCB"/>
    <s v="-"/>
    <m/>
    <s v="import"/>
    <s v=""/>
    <b v="0"/>
    <s v=""/>
  </r>
  <r>
    <s v="26036073-5c30-415c-825c-44cd30f72146"/>
    <s v="2022-04-02"/>
    <x v="4"/>
    <x v="2"/>
    <n v="2"/>
    <s v="21:31"/>
    <n v="256"/>
    <x v="1"/>
    <s v="other"/>
    <x v="1"/>
    <s v="advance"/>
    <x v="2"/>
    <s v="rc_acc_1781955063347_uxz4"/>
    <s v="SCB"/>
    <s v="pepper lunch"/>
    <m/>
    <s v="import"/>
    <s v=""/>
    <b v="0"/>
    <s v=""/>
  </r>
  <r>
    <s v="88a69286-9ae0-4a77-940e-19f0a27d136a"/>
    <s v="2022-04-02"/>
    <x v="4"/>
    <x v="2"/>
    <n v="2"/>
    <s v="22:46"/>
    <n v="5563"/>
    <x v="1"/>
    <s v="other"/>
    <x v="1"/>
    <s v="rc_acc_1781955063347_uxz4"/>
    <x v="4"/>
    <s v="rc_acc_1781955063347_kjxt"/>
    <s v="KTC JCB"/>
    <s v="-"/>
    <m/>
    <s v="import"/>
    <s v=""/>
    <b v="0"/>
    <s v=""/>
  </r>
  <r>
    <s v="51bb4b2c-8b88-4790-8792-eaedff579eae"/>
    <s v="2022-04-01"/>
    <x v="4"/>
    <x v="2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751ee734-a280-4cfa-b4c7-6dda5b93db5e"/>
    <s v="2022-04-01"/>
    <x v="4"/>
    <x v="2"/>
    <n v="1"/>
    <s v="15:06"/>
    <n v="55"/>
    <x v="2"/>
    <s v="other_1781955063347_5s7r"/>
    <x v="15"/>
    <s v="rc_acc_1781955063348_u1qk"/>
    <x v="35"/>
    <s v=""/>
    <m/>
    <s v="Difference"/>
    <m/>
    <s v="import"/>
    <s v=""/>
    <b v="0"/>
    <s v=""/>
  </r>
  <r>
    <s v="914ac81c-1bf2-4100-80a9-fd2443c982cb"/>
    <s v="2022-04-01"/>
    <x v="4"/>
    <x v="2"/>
    <n v="1"/>
    <s v="20:19"/>
    <n v="4461.2"/>
    <x v="0"/>
    <s v="rc_cat_1781955063347_04qb_1781955063347_wt5p"/>
    <x v="3"/>
    <s v="rc_acc_1781955063347_uxz4"/>
    <x v="4"/>
    <s v=""/>
    <m/>
    <s v="-"/>
    <m/>
    <s v="import"/>
    <s v=""/>
    <b v="0"/>
    <s v=""/>
  </r>
  <r>
    <s v="554b971d-b042-4f0a-a960-a787196e5de3"/>
    <s v="2022-04-01"/>
    <x v="4"/>
    <x v="2"/>
    <n v="1"/>
    <s v="21:25"/>
    <n v="335"/>
    <x v="0"/>
    <s v="entertain_1781955063348_32wr"/>
    <x v="23"/>
    <s v="rc_acc_1781955063347_kjxt"/>
    <x v="1"/>
    <s v=""/>
    <m/>
    <s v="-"/>
    <m/>
    <s v="import"/>
    <s v=""/>
    <b v="0"/>
    <s v=""/>
  </r>
  <r>
    <s v="616b6ac6-5f91-42dd-ae60-df4a887d0aae"/>
    <s v="2022-03-31"/>
    <x v="4"/>
    <x v="3"/>
    <n v="31"/>
    <s v="17:35"/>
    <n v="10000"/>
    <x v="1"/>
    <s v="other"/>
    <x v="1"/>
    <s v="rc_acc_1781955063349_qn1n"/>
    <x v="31"/>
    <s v="rc_acc_1781955063347_uxz4"/>
    <s v="SCB"/>
    <s v="Yuang"/>
    <m/>
    <s v="import"/>
    <s v=""/>
    <b v="0"/>
    <s v=""/>
  </r>
  <r>
    <s v="a58abba8-7b1b-4437-a908-3155eb232285"/>
    <s v="2022-03-31"/>
    <x v="4"/>
    <x v="3"/>
    <n v="31"/>
    <s v="17:35"/>
    <n v="2500"/>
    <x v="2"/>
    <s v="income_1781955063347_zblt"/>
    <x v="17"/>
    <s v="rc_acc_1781955063347_uxz4"/>
    <x v="4"/>
    <s v=""/>
    <m/>
    <s v="-"/>
    <m/>
    <s v="import"/>
    <s v=""/>
    <b v="0"/>
    <s v=""/>
  </r>
  <r>
    <s v="175e51f7-d2f5-4511-b58f-45a2124d2767"/>
    <s v="2022-03-31"/>
    <x v="4"/>
    <x v="3"/>
    <n v="31"/>
    <s v="21:05"/>
    <n v="90"/>
    <x v="0"/>
    <s v="entertain_1781955063348_kx2f"/>
    <x v="0"/>
    <s v="rc_acc_1781955063347_uxz4"/>
    <x v="4"/>
    <s v=""/>
    <m/>
    <s v="bluetooth"/>
    <m/>
    <s v="import"/>
    <s v=""/>
    <b v="0"/>
    <s v=""/>
  </r>
  <r>
    <s v="56d03d12-f949-4811-ae54-70d3f17a9c25"/>
    <s v="2022-03-30"/>
    <x v="4"/>
    <x v="3"/>
    <n v="30"/>
    <s v="11:03"/>
    <n v="84"/>
    <x v="2"/>
    <s v="income_1781955063347_zblt"/>
    <x v="17"/>
    <s v="rc_acc_1781955063347_uxz4"/>
    <x v="4"/>
    <s v=""/>
    <m/>
    <s v="coin convert คุ้มสึ"/>
    <m/>
    <s v="import"/>
    <s v=""/>
    <b v="0"/>
    <s v=""/>
  </r>
  <r>
    <s v="1ba6cd1e-a102-483a-88f8-ca2a138764f7"/>
    <s v="2022-03-29"/>
    <x v="4"/>
    <x v="3"/>
    <n v="29"/>
    <s v="09:01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f9a60883-0af5-4d1c-a18b-199e5f461a53"/>
    <s v="2022-03-29"/>
    <x v="4"/>
    <x v="3"/>
    <n v="29"/>
    <s v="11:29"/>
    <n v="256"/>
    <x v="1"/>
    <s v="other"/>
    <x v="1"/>
    <s v="rc_acc_1781955063347_uxz4"/>
    <x v="4"/>
    <s v="advance"/>
    <s v="Advance Paid"/>
    <s v="pepperlunck shpf"/>
    <m/>
    <s v="import"/>
    <s v=""/>
    <b v="0"/>
    <s v=""/>
  </r>
  <r>
    <s v="089a3bbe-7c6a-49db-8fc2-19168803420e"/>
    <s v="2022-03-29"/>
    <x v="4"/>
    <x v="3"/>
    <n v="29"/>
    <s v="17:34"/>
    <n v="28376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0efc7688-d3a4-44bd-b1dd-ab094170c0d1"/>
    <s v="2022-03-28"/>
    <x v="4"/>
    <x v="3"/>
    <n v="28"/>
    <s v="00:00"/>
    <n v="696.09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1f73d06e-164e-4269-b82e-ee47a10ae90a"/>
    <s v="2022-03-28"/>
    <x v="4"/>
    <x v="3"/>
    <n v="28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524181e3-f157-4ceb-927a-b7dd98592cee"/>
    <s v="2022-03-28"/>
    <x v="4"/>
    <x v="3"/>
    <n v="28"/>
    <s v="00:00"/>
    <n v="2066.4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79446020-19d5-4618-a592-8fa70945ab53"/>
    <s v="2022-03-28"/>
    <x v="4"/>
    <x v="3"/>
    <n v="28"/>
    <s v="00:00"/>
    <n v="141.26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57fb2af6-c62c-438b-92b0-2b238e868e1f"/>
    <s v="2022-03-28"/>
    <x v="4"/>
    <x v="3"/>
    <n v="28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8b45084d-00dd-4f9a-9695-8a3e6a1e4beb"/>
    <s v="2022-03-28"/>
    <x v="4"/>
    <x v="3"/>
    <n v="28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6bd1bae8-f254-4431-9bf3-7c80e6c9707f"/>
    <s v="2022-03-28"/>
    <x v="4"/>
    <x v="3"/>
    <n v="28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3802bfe1-8b21-4dd3-96e9-70e1abb1e745"/>
    <s v="2022-03-28"/>
    <x v="4"/>
    <x v="3"/>
    <n v="28"/>
    <s v="00:40"/>
    <n v="25"/>
    <x v="0"/>
    <s v="rc_cat_1781955063347_anhy_1781955063347_qnaz"/>
    <x v="4"/>
    <s v="rc_acc_1781955063347_uxz4"/>
    <x v="4"/>
    <s v=""/>
    <m/>
    <s v="-"/>
    <m/>
    <s v="import"/>
    <s v=""/>
    <b v="0"/>
    <s v=""/>
  </r>
  <r>
    <s v="f52b3dc6-ce7e-4564-a892-0a176ca376e0"/>
    <s v="2022-03-28"/>
    <x v="4"/>
    <x v="3"/>
    <n v="28"/>
    <s v="00:41"/>
    <n v="416.26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197a8d13-6b6b-4428-8bfb-169e0a2dd253"/>
    <s v="2022-03-28"/>
    <x v="4"/>
    <x v="3"/>
    <n v="28"/>
    <s v="01:00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96572a7c-d4fb-4dd2-85ce-f9eefe15a567"/>
    <s v="2022-03-28"/>
    <x v="4"/>
    <x v="3"/>
    <n v="28"/>
    <s v="18:42"/>
    <n v="5790"/>
    <x v="0"/>
    <s v="rc_cat_1781955063347_anhy_1781955063347_qnaz"/>
    <x v="4"/>
    <s v="rc_acc_1781955063347_uxz4"/>
    <x v="4"/>
    <s v=""/>
    <m/>
    <s v="bangpakok inter"/>
    <m/>
    <s v="import"/>
    <s v=""/>
    <b v="0"/>
    <s v=""/>
  </r>
  <r>
    <s v="10adb248-27b6-4e1a-a22b-6848e15ae95f"/>
    <s v="2022-03-27"/>
    <x v="4"/>
    <x v="3"/>
    <n v="27"/>
    <s v="11:38"/>
    <n v="136"/>
    <x v="0"/>
    <s v="rc_cat_1781955063347_anhy_1781955063347_qnaz"/>
    <x v="4"/>
    <s v="rc_acc_1781955063347_hv85"/>
    <x v="5"/>
    <s v=""/>
    <m/>
    <s v="ขนตู้เย็น"/>
    <m/>
    <s v="import"/>
    <s v=""/>
    <b v="0"/>
    <s v=""/>
  </r>
  <r>
    <s v="2a79dce4-249d-4527-b420-14d1e96dee37"/>
    <s v="2022-03-27"/>
    <x v="4"/>
    <x v="3"/>
    <n v="27"/>
    <s v="11:58"/>
    <n v="697"/>
    <x v="1"/>
    <s v="other"/>
    <x v="1"/>
    <s v="rc_acc_1781955063347_e3zv"/>
    <x v="16"/>
    <s v="rc_acc_1781955063347_uxz4"/>
    <s v="SCB"/>
    <s v="-"/>
    <m/>
    <s v="import"/>
    <s v=""/>
    <b v="0"/>
    <s v=""/>
  </r>
  <r>
    <s v="39421e35-26f1-4c20-8f39-b8c0aeca359f"/>
    <s v="2022-03-27"/>
    <x v="4"/>
    <x v="3"/>
    <n v="27"/>
    <s v="15:07"/>
    <n v="140"/>
    <x v="1"/>
    <s v="other"/>
    <x v="1"/>
    <s v="rc_acc_1781955063347_e3zv"/>
    <x v="16"/>
    <s v="advance"/>
    <s v="Advance Paid"/>
    <s v="ชาตรามือ"/>
    <m/>
    <s v="import"/>
    <s v=""/>
    <b v="0"/>
    <s v=""/>
  </r>
  <r>
    <s v="8d0b30c8-310b-4c7c-8806-9d3a974a2ba6"/>
    <s v="2022-03-27"/>
    <x v="4"/>
    <x v="3"/>
    <n v="27"/>
    <s v="18:07"/>
    <n v="129"/>
    <x v="1"/>
    <s v="other"/>
    <x v="1"/>
    <s v="rc_acc_1781955063347_e3zv"/>
    <x v="16"/>
    <s v="advance"/>
    <s v="Advance Paid"/>
    <s v="คอหมู"/>
    <m/>
    <s v="import"/>
    <s v=""/>
    <b v="0"/>
    <s v=""/>
  </r>
  <r>
    <s v="766dc5df-f92c-4151-81d4-93c6c856b0ae"/>
    <s v="2022-03-27"/>
    <x v="4"/>
    <x v="3"/>
    <n v="27"/>
    <s v="18:08"/>
    <n v="58"/>
    <x v="1"/>
    <s v="other"/>
    <x v="1"/>
    <s v="rc_acc_1781955063347_e3zv"/>
    <x v="16"/>
    <s v="advance"/>
    <s v="Advance Paid"/>
    <s v="ขนมปัง"/>
    <m/>
    <s v="import"/>
    <s v=""/>
    <b v="0"/>
    <s v=""/>
  </r>
  <r>
    <s v="d349dc68-afbb-431a-86b2-4fbac32d7938"/>
    <s v="2022-03-27"/>
    <x v="4"/>
    <x v="3"/>
    <n v="27"/>
    <s v="20:57"/>
    <n v="50"/>
    <x v="0"/>
    <s v="rc_cat_1781955063347_5qjb_1781955063347_tezk"/>
    <x v="5"/>
    <s v="rc_acc_1781955063347_uxz4"/>
    <x v="4"/>
    <s v=""/>
    <m/>
    <s v="pacamara"/>
    <m/>
    <s v="import"/>
    <s v=""/>
    <b v="0"/>
    <s v=""/>
  </r>
  <r>
    <s v="23b275ab-1952-4dae-8713-90728e3f7de1"/>
    <s v="2022-03-26"/>
    <x v="4"/>
    <x v="3"/>
    <n v="26"/>
    <s v="14:38"/>
    <n v="535"/>
    <x v="1"/>
    <s v="other"/>
    <x v="1"/>
    <s v="rc_acc_1781955063347_hv85"/>
    <x v="5"/>
    <s v="advance"/>
    <s v="Advance Paid"/>
    <s v="donki"/>
    <m/>
    <s v="import"/>
    <s v=""/>
    <b v="0"/>
    <s v=""/>
  </r>
  <r>
    <s v="0d1a32a4-ca09-4df6-964c-fc8362e0ea5c"/>
    <s v="2022-03-26"/>
    <x v="4"/>
    <x v="3"/>
    <n v="26"/>
    <s v="17:36"/>
    <n v="573"/>
    <x v="1"/>
    <s v="other"/>
    <x v="1"/>
    <s v="rc_acc_1781955063347_hv85"/>
    <x v="5"/>
    <s v="advance"/>
    <s v="Advance Paid"/>
    <s v="lotus"/>
    <m/>
    <s v="import"/>
    <s v=""/>
    <b v="0"/>
    <s v=""/>
  </r>
  <r>
    <s v="5172a44c-af3e-47cd-bac1-742b98679f44"/>
    <s v="2022-03-24"/>
    <x v="4"/>
    <x v="3"/>
    <n v="24"/>
    <s v="21:00"/>
    <n v="69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2efbec1-63ea-4aad-9175-e28bf6fad731"/>
    <s v="2022-03-20"/>
    <x v="4"/>
    <x v="3"/>
    <n v="20"/>
    <s v="08:08"/>
    <n v="100"/>
    <x v="0"/>
    <s v="rc_cat_1781955063347_5qjb_1781955063347_tezk"/>
    <x v="5"/>
    <s v="rc_acc_1781955063347_omhz"/>
    <x v="29"/>
    <s v=""/>
    <m/>
    <s v="-"/>
    <m/>
    <s v="import"/>
    <s v=""/>
    <b v="0"/>
    <s v=""/>
  </r>
  <r>
    <s v="7fb7dd22-c198-44e6-8cce-c5b530c2d6dd"/>
    <s v="2022-03-20"/>
    <x v="4"/>
    <x v="3"/>
    <n v="20"/>
    <s v="12:42"/>
    <n v="200"/>
    <x v="1"/>
    <s v="other"/>
    <x v="1"/>
    <s v="kbank"/>
    <x v="0"/>
    <s v="advance"/>
    <s v="Advance Paid"/>
    <s v="-"/>
    <m/>
    <s v="import"/>
    <s v=""/>
    <b v="0"/>
    <s v=""/>
  </r>
  <r>
    <s v="d95bcb0d-016b-4451-989d-21bea438bc56"/>
    <s v="2022-03-20"/>
    <x v="4"/>
    <x v="3"/>
    <n v="20"/>
    <s v="13:10"/>
    <n v="8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5283990-aa5c-466a-bd13-fe6d8d733660"/>
    <s v="2022-03-20"/>
    <x v="4"/>
    <x v="3"/>
    <n v="20"/>
    <s v="13:43"/>
    <n v="358"/>
    <x v="0"/>
    <s v="rc_cat_1781955063347_anhy_1781955063350_fcpb"/>
    <x v="2"/>
    <s v="rc_acc_1781955063347_kjxt"/>
    <x v="1"/>
    <s v=""/>
    <m/>
    <s v="t shirt"/>
    <m/>
    <s v="import"/>
    <s v=""/>
    <b v="0"/>
    <s v=""/>
  </r>
  <r>
    <s v="b6b5d673-c1e2-41c6-821f-c8cfc13e4c6f"/>
    <s v="2022-03-20"/>
    <x v="4"/>
    <x v="3"/>
    <n v="20"/>
    <s v="14:03"/>
    <n v="6673.18"/>
    <x v="1"/>
    <s v="other"/>
    <x v="1"/>
    <s v="rc_acc_1781955063348_obza"/>
    <x v="8"/>
    <s v="rc_acc_1781955063347_hv85"/>
    <s v="HOMEPRO"/>
    <s v="-"/>
    <m/>
    <s v="import"/>
    <s v=""/>
    <b v="0"/>
    <s v=""/>
  </r>
  <r>
    <s v="be258859-157c-4dcd-adac-378d8631d8f2"/>
    <s v="2022-03-20"/>
    <x v="4"/>
    <x v="3"/>
    <n v="20"/>
    <s v="14:46"/>
    <n v="591.48"/>
    <x v="2"/>
    <s v="other_1781955063347_5s7r"/>
    <x v="15"/>
    <s v="rc_acc_1781955063348_w3gp"/>
    <x v="6"/>
    <s v=""/>
    <m/>
    <s v="Difference"/>
    <m/>
    <s v="import"/>
    <s v=""/>
    <b v="0"/>
    <s v=""/>
  </r>
  <r>
    <s v="70e88125-e448-404c-8ae1-555ed2870dcd"/>
    <s v="2022-03-20"/>
    <x v="4"/>
    <x v="3"/>
    <n v="20"/>
    <s v="14:47"/>
    <n v="531.48"/>
    <x v="0"/>
    <s v="rc_cat_1781955063347_anhy_1781955063347_qnaz"/>
    <x v="4"/>
    <s v="rc_acc_1781955063348_w3gp"/>
    <x v="6"/>
    <s v=""/>
    <m/>
    <s v="-"/>
    <m/>
    <s v="import"/>
    <s v=""/>
    <b v="0"/>
    <s v=""/>
  </r>
  <r>
    <s v="404b8c5f-7548-482c-8036-e48e1cb71d21"/>
    <s v="2022-03-20"/>
    <x v="4"/>
    <x v="3"/>
    <n v="20"/>
    <s v="14:55"/>
    <n v="1243"/>
    <x v="1"/>
    <s v="other"/>
    <x v="1"/>
    <s v="advance"/>
    <x v="2"/>
    <s v="rc_acc_1781955063347_uxz4"/>
    <s v="SCB"/>
    <s v="บัตร uob"/>
    <m/>
    <s v="import"/>
    <s v=""/>
    <b v="0"/>
    <s v=""/>
  </r>
  <r>
    <s v="48308508-f3fd-4df3-b652-4f4f48db54f9"/>
    <s v="2022-03-20"/>
    <x v="4"/>
    <x v="3"/>
    <n v="20"/>
    <s v="14:57"/>
    <n v="3030.45"/>
    <x v="1"/>
    <s v="other"/>
    <x v="1"/>
    <s v="rc_acc_1781955063347_uxz4"/>
    <x v="4"/>
    <s v="rc_acc_1781955063347_sv7p"/>
    <s v="UOB Privilages"/>
    <s v="-"/>
    <m/>
    <s v="import"/>
    <s v=""/>
    <b v="0"/>
    <s v=""/>
  </r>
  <r>
    <s v="920caf01-6259-4021-a752-25bdb854137d"/>
    <s v="2022-03-20"/>
    <x v="4"/>
    <x v="3"/>
    <n v="20"/>
    <s v="14:58"/>
    <n v="2400"/>
    <x v="0"/>
    <s v="other_1781955063347_5s7r"/>
    <x v="15"/>
    <s v="rc_acc_1781955063348_2vnx"/>
    <x v="36"/>
    <s v=""/>
    <m/>
    <s v="Difference"/>
    <m/>
    <s v="import"/>
    <s v=""/>
    <b v="0"/>
    <s v=""/>
  </r>
  <r>
    <s v="a003a8c9-3060-4dc0-9118-172f2ca17e0d"/>
    <s v="2022-03-20"/>
    <x v="4"/>
    <x v="3"/>
    <n v="20"/>
    <s v="14:59"/>
    <n v="124"/>
    <x v="0"/>
    <s v="other_1781955063347_5s7r"/>
    <x v="15"/>
    <s v="rc_acc_1781955063347_pixu"/>
    <x v="37"/>
    <s v=""/>
    <m/>
    <s v="Difference"/>
    <m/>
    <s v="import"/>
    <s v=""/>
    <b v="0"/>
    <s v=""/>
  </r>
  <r>
    <s v="27ec1e13-db29-47ea-84dd-319368766c60"/>
    <s v="2022-03-20"/>
    <x v="4"/>
    <x v="3"/>
    <n v="20"/>
    <s v="15:04"/>
    <n v="100"/>
    <x v="0"/>
    <s v="other_1781955063348_27zj"/>
    <x v="0"/>
    <s v="advance"/>
    <x v="2"/>
    <s v=""/>
    <m/>
    <s v="คิดผิด"/>
    <m/>
    <s v="import"/>
    <s v=""/>
    <b v="0"/>
    <s v=""/>
  </r>
  <r>
    <s v="b5ec9ef6-ce3e-4325-914a-a45fd748fc6a"/>
    <s v="2022-03-20"/>
    <x v="4"/>
    <x v="3"/>
    <n v="20"/>
    <s v="15:05"/>
    <n v="3400"/>
    <x v="0"/>
    <s v="rc_cat_1781955063347_anhy_1781955063350_fcpb"/>
    <x v="2"/>
    <s v="advance"/>
    <x v="2"/>
    <s v=""/>
    <m/>
    <s v="จ่ายค่ารถให้"/>
    <m/>
    <s v="import"/>
    <s v=""/>
    <b v="0"/>
    <s v=""/>
  </r>
  <r>
    <s v="b6456425-c7e8-4cd2-919e-26354060fd1d"/>
    <s v="2022-03-20"/>
    <x v="4"/>
    <x v="3"/>
    <n v="20"/>
    <s v="15:15"/>
    <n v="6926.1"/>
    <x v="1"/>
    <s v="other"/>
    <x v="1"/>
    <s v="advance"/>
    <x v="2"/>
    <s v="rc_acc_1781955063347_uxz4"/>
    <s v="SCB"/>
    <s v="-"/>
    <m/>
    <s v="import"/>
    <s v=""/>
    <b v="0"/>
    <s v=""/>
  </r>
  <r>
    <s v="5076da16-0958-45d7-a13f-3c6a888b26b8"/>
    <s v="2022-03-19"/>
    <x v="4"/>
    <x v="3"/>
    <n v="19"/>
    <s v="09:20"/>
    <n v="44"/>
    <x v="0"/>
    <s v="rc_cat_1781955063347_5qjb_1781955063347_irl1"/>
    <x v="0"/>
    <s v="rc_acc_1781955063347_uxz4"/>
    <x v="4"/>
    <s v=""/>
    <m/>
    <s v="-"/>
    <m/>
    <s v="import"/>
    <s v=""/>
    <b v="0"/>
    <s v=""/>
  </r>
  <r>
    <s v="dcda9671-011f-4ae0-9a11-1e3fc4c7595c"/>
    <s v="2022-03-19"/>
    <x v="4"/>
    <x v="3"/>
    <n v="19"/>
    <s v="10:00"/>
    <n v="2000"/>
    <x v="1"/>
    <s v="other"/>
    <x v="1"/>
    <s v="rc_acc_1781955063347_uxz4"/>
    <x v="4"/>
    <s v="rc_acc_1781955063347_e3zv"/>
    <s v="Cash"/>
    <s v="-"/>
    <m/>
    <s v="import"/>
    <s v=""/>
    <b v="0"/>
    <s v=""/>
  </r>
  <r>
    <s v="3fec285f-2936-4586-bfcf-d0c868c3599a"/>
    <s v="2022-03-19"/>
    <x v="4"/>
    <x v="3"/>
    <n v="19"/>
    <s v="13:05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befc6ee2-21d7-4ee8-a134-b95b5a62bfd4"/>
    <s v="2022-03-19"/>
    <x v="4"/>
    <x v="3"/>
    <n v="19"/>
    <s v="13:35"/>
    <n v="20"/>
    <x v="0"/>
    <s v="rc_cat_1781955063347_5qjb_1781955063347_irl1"/>
    <x v="0"/>
    <s v="rc_acc_1781955063347_uxz4"/>
    <x v="4"/>
    <s v=""/>
    <m/>
    <s v="-"/>
    <m/>
    <s v="import"/>
    <s v=""/>
    <b v="0"/>
    <s v=""/>
  </r>
  <r>
    <s v="0f19d18d-39e8-46c2-8f19-52a280273122"/>
    <s v="2022-03-19"/>
    <x v="4"/>
    <x v="3"/>
    <n v="19"/>
    <s v="13:43"/>
    <n v="1318"/>
    <x v="1"/>
    <s v="other"/>
    <x v="1"/>
    <s v="rc_acc_1781955063347_kjxt"/>
    <x v="1"/>
    <s v="advance"/>
    <s v="Advance Paid"/>
    <s v="momo"/>
    <m/>
    <s v="import"/>
    <s v=""/>
    <b v="0"/>
    <s v=""/>
  </r>
  <r>
    <s v="46712fb6-e246-4012-918e-11518b510ba7"/>
    <s v="2022-03-19"/>
    <x v="4"/>
    <x v="3"/>
    <n v="19"/>
    <s v="14:09"/>
    <n v="130"/>
    <x v="1"/>
    <s v="other"/>
    <x v="1"/>
    <s v="rc_acc_1781955063347_omhz"/>
    <x v="29"/>
    <s v="advance"/>
    <s v="Advance Paid"/>
    <s v="tao bin"/>
    <m/>
    <s v="import"/>
    <s v=""/>
    <b v="0"/>
    <s v=""/>
  </r>
  <r>
    <s v="8206e294-9808-4a4b-949d-145f2cd08429"/>
    <s v="2022-03-19"/>
    <x v="4"/>
    <x v="3"/>
    <n v="19"/>
    <s v="14:56"/>
    <n v="2786.55"/>
    <x v="0"/>
    <s v="rc_cat_1781955063347_5qjb_1781955063347_irl1"/>
    <x v="0"/>
    <s v="rc_acc_1781955063347_sv7p"/>
    <x v="12"/>
    <s v=""/>
    <m/>
    <s v="-"/>
    <m/>
    <s v="import"/>
    <s v=""/>
    <b v="0"/>
    <s v=""/>
  </r>
  <r>
    <s v="02306f96-b2a4-4624-b289-9fb052d47989"/>
    <s v="2022-03-19"/>
    <x v="4"/>
    <x v="3"/>
    <n v="19"/>
    <s v="19:09"/>
    <n v="90"/>
    <x v="1"/>
    <s v="other"/>
    <x v="1"/>
    <s v="advance"/>
    <x v="2"/>
    <s v="rc_acc_1781955063347_uxz4"/>
    <s v="SCB"/>
    <s v="paybck dq 21/2"/>
    <m/>
    <s v="import"/>
    <s v=""/>
    <b v="0"/>
    <s v=""/>
  </r>
  <r>
    <s v="773ef149-8641-4228-9d6a-62b6cba8a43b"/>
    <s v="2022-03-19"/>
    <x v="4"/>
    <x v="3"/>
    <n v="19"/>
    <s v="19:17"/>
    <n v="340"/>
    <x v="1"/>
    <s v="other"/>
    <x v="1"/>
    <s v="advance"/>
    <x v="2"/>
    <s v="rc_acc_1781955063347_uxz4"/>
    <s v="SCB"/>
    <s v="-"/>
    <m/>
    <s v="import"/>
    <s v=""/>
    <b v="0"/>
    <s v=""/>
  </r>
  <r>
    <s v="6eff7947-46fb-47d8-bb68-b6b804a2ec40"/>
    <s v="2022-03-19"/>
    <x v="4"/>
    <x v="3"/>
    <n v="19"/>
    <s v="19:59"/>
    <n v="133"/>
    <x v="1"/>
    <s v="other"/>
    <x v="1"/>
    <s v="advance"/>
    <x v="2"/>
    <s v="rc_acc_1781955063347_uxz4"/>
    <s v="SCB"/>
    <s v="-"/>
    <m/>
    <s v="import"/>
    <s v=""/>
    <b v="0"/>
    <s v=""/>
  </r>
  <r>
    <s v="ed0abfb4-59f1-4496-a8d7-5812bd270c2e"/>
    <s v="2022-03-19"/>
    <x v="4"/>
    <x v="3"/>
    <n v="19"/>
    <s v="20:00"/>
    <n v="124"/>
    <x v="2"/>
    <s v="income_1781955063347_zblt"/>
    <x v="17"/>
    <s v="rc_acc_1781955063347_uxz4"/>
    <x v="4"/>
    <s v=""/>
    <m/>
    <s v="coin"/>
    <m/>
    <s v="import"/>
    <s v=""/>
    <b v="0"/>
    <s v=""/>
  </r>
  <r>
    <s v="3be5a418-4ea1-4f93-b678-37cf6783c47c"/>
    <s v="2022-03-19"/>
    <x v="4"/>
    <x v="3"/>
    <n v="19"/>
    <s v="20:45"/>
    <n v="50"/>
    <x v="1"/>
    <s v="other"/>
    <x v="1"/>
    <s v="advance"/>
    <x v="2"/>
    <s v="rc_acc_1781955063347_uxz4"/>
    <s v="SCB"/>
    <s v="-"/>
    <m/>
    <s v="import"/>
    <s v=""/>
    <b v="0"/>
    <s v=""/>
  </r>
  <r>
    <s v="16c96652-268f-4446-b729-5ee18614a881"/>
    <s v="2022-03-18"/>
    <x v="4"/>
    <x v="3"/>
    <n v="18"/>
    <s v="12:00"/>
    <n v="1080"/>
    <x v="0"/>
    <s v="rc_cat_1781955063347_anhy_1781955063348_k5l1"/>
    <x v="16"/>
    <s v="rc_acc_1781955063347_e3zv"/>
    <x v="16"/>
    <s v=""/>
    <m/>
    <s v="-"/>
    <m/>
    <s v="import"/>
    <s v=""/>
    <b v="0"/>
    <s v=""/>
  </r>
  <r>
    <s v="57cd9791-0a58-4a37-84ca-73075f9ce309"/>
    <s v="2022-03-18"/>
    <x v="4"/>
    <x v="3"/>
    <n v="18"/>
    <s v="13:40"/>
    <n v="250"/>
    <x v="0"/>
    <s v="rc_cat_1781955063347_anhy_1781955063348_k5l1"/>
    <x v="16"/>
    <s v="rc_acc_1781955063347_uxz4"/>
    <x v="4"/>
    <s v=""/>
    <m/>
    <s v="-"/>
    <m/>
    <s v="import"/>
    <s v=""/>
    <b v="0"/>
    <s v=""/>
  </r>
  <r>
    <s v="cdd00176-d7d5-4b0e-a3ea-9aed5e260200"/>
    <s v="2022-03-18"/>
    <x v="4"/>
    <x v="3"/>
    <n v="18"/>
    <s v="14:01"/>
    <n v="942.58"/>
    <x v="0"/>
    <s v="rc_cat_1781955063347_5qjb_1781955063347_irl1"/>
    <x v="0"/>
    <s v="rc_acc_1781955063347_hv85"/>
    <x v="5"/>
    <s v=""/>
    <m/>
    <s v="auto tax"/>
    <m/>
    <s v="import"/>
    <s v=""/>
    <b v="0"/>
    <s v=""/>
  </r>
  <r>
    <s v="c23a74eb-5298-4a85-9020-41a1b8aac898"/>
    <s v="2022-03-18"/>
    <x v="4"/>
    <x v="3"/>
    <n v="18"/>
    <s v="18:17"/>
    <n v="125"/>
    <x v="1"/>
    <s v="other"/>
    <x v="1"/>
    <s v="rc_acc_1781955063347_omhz"/>
    <x v="29"/>
    <s v="advance"/>
    <s v="Advance Paid"/>
    <s v="dq"/>
    <m/>
    <s v="import"/>
    <s v=""/>
    <b v="0"/>
    <s v=""/>
  </r>
  <r>
    <s v="c8e03edb-f72d-416c-9468-ea0b0b372248"/>
    <s v="2022-03-18"/>
    <x v="4"/>
    <x v="3"/>
    <n v="18"/>
    <s v="19:44"/>
    <n v="199"/>
    <x v="1"/>
    <s v="other"/>
    <x v="1"/>
    <s v="rc_acc_1781955063347_kjxt"/>
    <x v="1"/>
    <s v="advance"/>
    <s v="Advance Paid"/>
    <s v="big c water"/>
    <m/>
    <s v="import"/>
    <s v=""/>
    <b v="0"/>
    <s v=""/>
  </r>
  <r>
    <s v="b2a9d965-f342-46fc-8855-e126fee3664c"/>
    <s v="2022-03-18"/>
    <x v="4"/>
    <x v="3"/>
    <n v="18"/>
    <s v="21:30"/>
    <n v="2000"/>
    <x v="1"/>
    <s v="other"/>
    <x v="1"/>
    <s v="rc_acc_1781955063347_uxz4"/>
    <x v="4"/>
    <s v="rc_acc_1781955063348_no9r"/>
    <s v="Krungthai Next"/>
    <s v="-"/>
    <m/>
    <s v="import"/>
    <s v=""/>
    <b v="0"/>
    <s v=""/>
  </r>
  <r>
    <s v="0f0e8c3e-9e6c-4854-bf88-f9b53a77cf01"/>
    <s v="2022-03-17"/>
    <x v="4"/>
    <x v="3"/>
    <n v="17"/>
    <s v="17:25"/>
    <n v="120.2"/>
    <x v="1"/>
    <s v="other"/>
    <x v="1"/>
    <s v="rc_acc_1781955063347_uxz4"/>
    <x v="4"/>
    <s v="advance"/>
    <s v="Advance Paid"/>
    <s v="-"/>
    <m/>
    <s v="import"/>
    <s v=""/>
    <b v="0"/>
    <s v=""/>
  </r>
  <r>
    <s v="d7703c90-9061-4341-8ae5-21b219e429d6"/>
    <s v="2022-03-17"/>
    <x v="4"/>
    <x v="3"/>
    <n v="17"/>
    <s v="17:38"/>
    <n v="400"/>
    <x v="1"/>
    <s v="other"/>
    <x v="1"/>
    <s v="rc_acc_1781955063347_uxz4"/>
    <x v="4"/>
    <s v="rc_acc_1781955063347_pixu"/>
    <s v="Grabpay"/>
    <s v="-"/>
    <m/>
    <s v="import"/>
    <s v=""/>
    <b v="0"/>
    <s v=""/>
  </r>
  <r>
    <s v="0821630e-58b1-46c5-b2b4-9785563378ca"/>
    <s v="2022-03-17"/>
    <x v="4"/>
    <x v="3"/>
    <n v="17"/>
    <s v="21:36"/>
    <n v="325"/>
    <x v="0"/>
    <s v="rc_cat_1781955063347_5qjb_1781955063347_tezk"/>
    <x v="5"/>
    <s v="rc_acc_1781955063347_kjxt"/>
    <x v="1"/>
    <s v=""/>
    <m/>
    <s v="lui fire meat"/>
    <m/>
    <s v="import"/>
    <s v=""/>
    <b v="0"/>
    <s v=""/>
  </r>
  <r>
    <s v="a0f0cedd-395c-4d76-b0b8-47a047008d7d"/>
    <s v="2022-03-16"/>
    <x v="4"/>
    <x v="3"/>
    <n v="16"/>
    <s v="13:23"/>
    <n v="815"/>
    <x v="1"/>
    <s v="other"/>
    <x v="1"/>
    <s v="advance"/>
    <x v="2"/>
    <s v="rc_acc_1781955063347_uxz4"/>
    <s v="SCB"/>
    <s v="aui paybackfortrip"/>
    <m/>
    <s v="import"/>
    <s v=""/>
    <b v="0"/>
    <s v=""/>
  </r>
  <r>
    <s v="ea987ed3-f5bc-4f12-a55c-69540d84c7da"/>
    <s v="2022-03-15"/>
    <x v="4"/>
    <x v="3"/>
    <n v="15"/>
    <s v="12:22"/>
    <n v="10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6c4e8cde-b16a-40c5-b116-fb2f3cdcbfd5"/>
    <s v="2022-03-14"/>
    <x v="4"/>
    <x v="3"/>
    <n v="14"/>
    <s v="00:00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31cac034-1448-46e6-842a-74c53e944f97"/>
    <s v="2022-03-14"/>
    <x v="4"/>
    <x v="3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d7a141ef-e97e-4399-876e-6d49a9d1af09"/>
    <s v="2022-03-13"/>
    <x v="4"/>
    <x v="3"/>
    <n v="13"/>
    <s v="17:40"/>
    <n v="382.25"/>
    <x v="1"/>
    <s v="other"/>
    <x v="1"/>
    <s v="rc_acc_1781955063347_kjxt"/>
    <x v="1"/>
    <s v="advance"/>
    <s v="Advance Paid"/>
    <s v="-"/>
    <m/>
    <s v="import"/>
    <s v=""/>
    <b v="0"/>
    <s v=""/>
  </r>
  <r>
    <s v="5a4a4633-f06c-40ee-9571-ed37a387f66f"/>
    <s v="2022-03-13"/>
    <x v="4"/>
    <x v="3"/>
    <n v="13"/>
    <s v="18:40"/>
    <n v="120"/>
    <x v="1"/>
    <s v="other"/>
    <x v="1"/>
    <s v="rc_acc_1781955063347_omhz"/>
    <x v="29"/>
    <s v="advance"/>
    <s v="Advance Paid"/>
    <s v="-"/>
    <m/>
    <s v="import"/>
    <s v=""/>
    <b v="0"/>
    <s v=""/>
  </r>
  <r>
    <s v="8a5681aa-f061-417c-862c-f50b215a67da"/>
    <s v="2022-03-12"/>
    <x v="4"/>
    <x v="3"/>
    <n v="12"/>
    <s v="10:18"/>
    <n v="120"/>
    <x v="1"/>
    <s v="other"/>
    <x v="1"/>
    <s v="rc_acc_1781955063347_uxz4"/>
    <x v="4"/>
    <s v="advance"/>
    <s v="Advance Paid"/>
    <s v="-"/>
    <m/>
    <s v="import"/>
    <s v=""/>
    <b v="0"/>
    <s v=""/>
  </r>
  <r>
    <s v="fa966e1d-8691-4bf6-8fe7-daad56738c23"/>
    <s v="2022-03-12"/>
    <x v="4"/>
    <x v="3"/>
    <n v="12"/>
    <s v="12:45"/>
    <n v="150"/>
    <x v="1"/>
    <s v="other"/>
    <x v="1"/>
    <s v="rc_acc_1781955063347_uxz4"/>
    <x v="4"/>
    <s v="advance"/>
    <s v="Advance Paid"/>
    <s v="กาแฟ ร้านแม่อะไรสักอย่าง"/>
    <m/>
    <s v="import"/>
    <s v=""/>
    <b v="0"/>
    <s v=""/>
  </r>
  <r>
    <s v="4e8f56cd-67a2-431e-9c9f-4685164a8c31"/>
    <s v="2022-03-12"/>
    <x v="4"/>
    <x v="3"/>
    <n v="12"/>
    <s v="14:04"/>
    <n v="3000"/>
    <x v="0"/>
    <s v="other_1781955063348_yjhe"/>
    <x v="26"/>
    <s v="rc_acc_1781955063347_e3zv"/>
    <x v="16"/>
    <s v=""/>
    <m/>
    <s v="ซอง เติ้ล"/>
    <m/>
    <s v="import"/>
    <s v=""/>
    <b v="0"/>
    <s v=""/>
  </r>
  <r>
    <s v="20f14358-fbad-47e9-b2be-94fba4da57ac"/>
    <s v="2022-03-12"/>
    <x v="4"/>
    <x v="3"/>
    <n v="12"/>
    <s v="14:20"/>
    <n v="305"/>
    <x v="1"/>
    <s v="other"/>
    <x v="1"/>
    <s v="rc_acc_1781955063347_uxz4"/>
    <x v="4"/>
    <s v="advance"/>
    <s v="Advance Paid"/>
    <s v="noodle"/>
    <m/>
    <s v="import"/>
    <s v=""/>
    <b v="0"/>
    <s v=""/>
  </r>
  <r>
    <s v="3d3ccb5d-1a02-42b2-860a-a3f9231c5560"/>
    <s v="2022-03-12"/>
    <x v="4"/>
    <x v="3"/>
    <n v="12"/>
    <s v="14:45"/>
    <n v="195"/>
    <x v="1"/>
    <s v="other"/>
    <x v="1"/>
    <s v="rc_acc_1781955063347_uxz4"/>
    <x v="4"/>
    <s v="advance"/>
    <s v="Advance Paid"/>
    <s v="379"/>
    <m/>
    <s v="import"/>
    <s v=""/>
    <b v="0"/>
    <s v=""/>
  </r>
  <r>
    <s v="187b0fa7-3dc8-4e86-b2b7-5d8a02d86e52"/>
    <s v="2022-03-12"/>
    <x v="4"/>
    <x v="3"/>
    <n v="12"/>
    <s v="18:04"/>
    <n v="1500"/>
    <x v="0"/>
    <s v="other_1781955063348_yjhe"/>
    <x v="26"/>
    <s v="rc_acc_1781955063347_e3zv"/>
    <x v="16"/>
    <s v=""/>
    <m/>
    <s v="ซอง แมน"/>
    <m/>
    <s v="import"/>
    <s v=""/>
    <b v="0"/>
    <s v=""/>
  </r>
  <r>
    <s v="bfafb837-4150-49f8-a9fe-daf6fdb620e8"/>
    <s v="2022-03-11"/>
    <x v="4"/>
    <x v="3"/>
    <n v="11"/>
    <s v="12:10"/>
    <n v="785"/>
    <x v="1"/>
    <s v="other"/>
    <x v="1"/>
    <s v="rc_acc_1781955063347_uxz4"/>
    <x v="4"/>
    <s v="advance"/>
    <s v="Advance Paid"/>
    <s v="krua see oae"/>
    <m/>
    <s v="import"/>
    <s v=""/>
    <b v="0"/>
    <s v=""/>
  </r>
  <r>
    <s v="90a9bc32-491c-4931-85b6-da063d18aa43"/>
    <s v="2022-03-11"/>
    <x v="4"/>
    <x v="3"/>
    <n v="11"/>
    <s v="18:26"/>
    <n v="470"/>
    <x v="1"/>
    <s v="other"/>
    <x v="1"/>
    <s v="rc_acc_1781955063349_mitc"/>
    <x v="23"/>
    <s v="advance"/>
    <s v="Advance Paid"/>
    <s v="-"/>
    <m/>
    <s v="import"/>
    <s v=""/>
    <b v="0"/>
    <s v=""/>
  </r>
  <r>
    <s v="d121aba6-9669-4fd2-91ab-a81f6e2fdff7"/>
    <s v="2022-03-11"/>
    <x v="4"/>
    <x v="3"/>
    <n v="11"/>
    <s v="19:08"/>
    <n v="1500"/>
    <x v="2"/>
    <s v="other_1781955063348_27zj"/>
    <x v="0"/>
    <s v="rc_acc_1781955063347_uxz4"/>
    <x v="4"/>
    <s v=""/>
    <m/>
    <s v="man"/>
    <m/>
    <s v="import"/>
    <s v=""/>
    <b v="0"/>
    <s v=""/>
  </r>
  <r>
    <s v="dea34784-f4a3-4006-b97f-aac6c458ad21"/>
    <s v="2022-03-11"/>
    <x v="4"/>
    <x v="3"/>
    <n v="11"/>
    <s v="20:36"/>
    <n v="2000"/>
    <x v="1"/>
    <s v="other"/>
    <x v="1"/>
    <s v="rc_acc_1781955063347_uxz4"/>
    <x v="4"/>
    <s v="rc_acc_1781955063348_no9r"/>
    <s v="Krungthai Next"/>
    <s v="-"/>
    <m/>
    <s v="import"/>
    <s v=""/>
    <b v="0"/>
    <s v=""/>
  </r>
  <r>
    <s v="0fc3371c-0072-4875-8db6-0907ca176f7e"/>
    <s v="2022-03-11"/>
    <x v="4"/>
    <x v="3"/>
    <n v="11"/>
    <s v="21:23"/>
    <n v="2000"/>
    <x v="1"/>
    <s v="other"/>
    <x v="1"/>
    <s v="rc_acc_1781955063348_no9r"/>
    <x v="7"/>
    <s v="rc_acc_1781955063349_mitc"/>
    <s v="Pao tung"/>
    <s v="-"/>
    <m/>
    <s v="import"/>
    <s v=""/>
    <b v="0"/>
    <s v=""/>
  </r>
  <r>
    <s v="6f346c86-ebf3-47b0-8d2b-4e3c8d97f41e"/>
    <s v="2022-03-11"/>
    <x v="4"/>
    <x v="3"/>
    <n v="11"/>
    <s v="21:35"/>
    <n v="70"/>
    <x v="1"/>
    <s v="other"/>
    <x v="1"/>
    <s v="rc_acc_1781955063349_mitc"/>
    <x v="23"/>
    <s v="rc_acc_1781955063347_uxz4"/>
    <s v="SCB"/>
    <s v="-"/>
    <m/>
    <s v="import"/>
    <s v=""/>
    <b v="0"/>
    <s v=""/>
  </r>
  <r>
    <s v="7ffb2fbf-7ca4-4498-95cc-4bac1658323d"/>
    <s v="2022-03-11"/>
    <x v="4"/>
    <x v="3"/>
    <n v="11"/>
    <s v="21:45"/>
    <n v="500"/>
    <x v="1"/>
    <s v="other"/>
    <x v="1"/>
    <s v="kbank"/>
    <x v="0"/>
    <s v="rc_acc_1781955063347_e3zv"/>
    <s v="Cash"/>
    <s v="-"/>
    <m/>
    <s v="import"/>
    <s v=""/>
    <b v="0"/>
    <s v=""/>
  </r>
  <r>
    <s v="2e25fcb3-3a10-4c61-873c-c3c16ddd8f8b"/>
    <s v="2022-03-11"/>
    <x v="4"/>
    <x v="3"/>
    <n v="11"/>
    <s v="22:04"/>
    <n v="470"/>
    <x v="1"/>
    <s v="other"/>
    <x v="1"/>
    <s v="advance"/>
    <x v="2"/>
    <s v="rc_acc_1781955063347_uxz4"/>
    <s v="SCB"/>
    <s v="aui roddeeded"/>
    <m/>
    <s v="import"/>
    <s v=""/>
    <b v="0"/>
    <s v=""/>
  </r>
  <r>
    <s v="3dda8b1e-100e-4672-a41e-e743406116f5"/>
    <s v="2022-03-11"/>
    <x v="4"/>
    <x v="3"/>
    <n v="11"/>
    <s v="22:50"/>
    <n v="65"/>
    <x v="2"/>
    <s v="income_1781955063347_zblt"/>
    <x v="17"/>
    <s v="rc_acc_1781955063347_uxz4"/>
    <x v="4"/>
    <s v=""/>
    <m/>
    <s v="-"/>
    <m/>
    <s v="import"/>
    <s v=""/>
    <b v="0"/>
    <s v=""/>
  </r>
  <r>
    <s v="3c81e39d-bb22-4974-9af9-94018b25b6cc"/>
    <s v="2022-03-10"/>
    <x v="4"/>
    <x v="3"/>
    <n v="10"/>
    <s v="12:08"/>
    <n v="3004.92"/>
    <x v="0"/>
    <s v="rc_cat_1781955063347_5qjb_1781955063347_irl1"/>
    <x v="0"/>
    <s v="rc_acc_1781955063347_hv85"/>
    <x v="5"/>
    <s v=""/>
    <m/>
    <s v="(3/6)"/>
    <m/>
    <s v="import"/>
    <s v=""/>
    <b v="0"/>
    <s v=""/>
  </r>
  <r>
    <s v="b00ab6f5-d3c4-4804-86ac-e2d06c1df592"/>
    <s v="2022-03-10"/>
    <x v="4"/>
    <x v="3"/>
    <n v="10"/>
    <s v="13:33"/>
    <n v="300"/>
    <x v="0"/>
    <s v="rc_cat_1781955063347_s4sz_1781955063347_deos"/>
    <x v="6"/>
    <s v="rc_acc_1781955063347_uxz4"/>
    <x v="4"/>
    <s v=""/>
    <m/>
    <s v="ตัดผม"/>
    <m/>
    <s v="import"/>
    <s v=""/>
    <b v="0"/>
    <s v=""/>
  </r>
  <r>
    <s v="f3e71b3f-c428-4da9-9e36-c660e432f9eb"/>
    <s v="2022-03-10"/>
    <x v="4"/>
    <x v="3"/>
    <n v="10"/>
    <s v="13:39"/>
    <n v="1210"/>
    <x v="1"/>
    <s v="other"/>
    <x v="1"/>
    <s v="rc_acc_1781955063347_kjxt"/>
    <x v="1"/>
    <s v="advance"/>
    <s v="Advance Paid"/>
    <s v="-"/>
    <m/>
    <s v="import"/>
    <s v=""/>
    <b v="0"/>
    <s v=""/>
  </r>
  <r>
    <s v="a2e8d43d-1093-416e-ba07-9e458e6eab6b"/>
    <s v="2022-03-10"/>
    <x v="4"/>
    <x v="3"/>
    <n v="10"/>
    <s v="14:20"/>
    <n v="151"/>
    <x v="1"/>
    <s v="other"/>
    <x v="1"/>
    <s v="rc_acc_1781955063347_0qmn"/>
    <x v="20"/>
    <s v="rc_acc_1781955063347_omhz"/>
    <s v="Shopee"/>
    <s v="-"/>
    <m/>
    <s v="import"/>
    <s v=""/>
    <b v="0"/>
    <s v=""/>
  </r>
  <r>
    <s v="b1308ddc-a38b-4dd2-a5d0-2477c369eef9"/>
    <s v="2022-03-10"/>
    <x v="4"/>
    <x v="3"/>
    <n v="10"/>
    <s v="14:38"/>
    <n v="5000"/>
    <x v="1"/>
    <s v="other"/>
    <x v="1"/>
    <s v="rc_acc_1781955063348_hnxg"/>
    <x v="9"/>
    <s v="rc_acc_1781955063347_e3zv"/>
    <s v="Cash"/>
    <s v="-"/>
    <m/>
    <s v="import"/>
    <s v=""/>
    <b v="0"/>
    <s v=""/>
  </r>
  <r>
    <s v="54b8778a-79c3-4248-ab91-83cd8c51aaff"/>
    <s v="2022-03-10"/>
    <x v="4"/>
    <x v="3"/>
    <n v="10"/>
    <s v="15:49"/>
    <n v="3635.66"/>
    <x v="0"/>
    <s v="rc_cat_1781955063347_5qjb_1781955063348_wpky"/>
    <x v="27"/>
    <s v="rc_acc_1781955063347_hv85"/>
    <x v="5"/>
    <s v=""/>
    <m/>
    <s v="(2/6)"/>
    <m/>
    <s v="import"/>
    <s v=""/>
    <b v="0"/>
    <s v=""/>
  </r>
  <r>
    <s v="98137ce1-97b0-4d30-9dd3-c82b89aad5a7"/>
    <s v="2022-03-10"/>
    <x v="4"/>
    <x v="3"/>
    <n v="10"/>
    <s v="17:01"/>
    <n v="548"/>
    <x v="0"/>
    <s v="rc_cat_1781955063347_anhy_1781955063347_qnaz"/>
    <x v="4"/>
    <s v="rc_acc_1781955063347_kjxt"/>
    <x v="1"/>
    <s v=""/>
    <m/>
    <s v="kfc"/>
    <m/>
    <s v="import"/>
    <s v=""/>
    <b v="0"/>
    <s v=""/>
  </r>
  <r>
    <s v="7bf83a6c-baf5-4ad4-a9c6-0f3d4a771990"/>
    <s v="2022-03-10"/>
    <x v="4"/>
    <x v="3"/>
    <n v="10"/>
    <s v="18:05"/>
    <n v="5000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720c7ab7-a8f6-40c9-8dd0-b1f9ff190ad0"/>
    <s v="2022-03-09"/>
    <x v="4"/>
    <x v="3"/>
    <n v="9"/>
    <s v="13:38"/>
    <n v="187"/>
    <x v="1"/>
    <s v="other"/>
    <x v="1"/>
    <s v="rc_acc_1781955063347_kjxt"/>
    <x v="1"/>
    <s v="advance"/>
    <s v="Advance Paid"/>
    <s v="grab daily"/>
    <m/>
    <s v="import"/>
    <s v=""/>
    <b v="0"/>
    <s v=""/>
  </r>
  <r>
    <s v="04ca98ef-d458-47f7-9f5c-30f6d08c7a21"/>
    <s v="2022-03-08"/>
    <x v="4"/>
    <x v="3"/>
    <n v="8"/>
    <s v="13:37"/>
    <n v="144"/>
    <x v="1"/>
    <s v="other"/>
    <x v="1"/>
    <s v="rc_acc_1781955063347_kjxt"/>
    <x v="1"/>
    <s v="advance"/>
    <s v="Advance Paid"/>
    <s v="grab daily"/>
    <m/>
    <s v="import"/>
    <s v=""/>
    <b v="0"/>
    <s v=""/>
  </r>
  <r>
    <s v="2b2564c5-8516-47f2-9d1b-157c329e128f"/>
    <s v="2022-03-07"/>
    <x v="4"/>
    <x v="3"/>
    <n v="7"/>
    <s v="11:58"/>
    <n v="133"/>
    <x v="1"/>
    <s v="other"/>
    <x v="1"/>
    <s v="rc_acc_1781955063347_uxz4"/>
    <x v="4"/>
    <s v="advance"/>
    <s v="Advance Paid"/>
    <s v="-"/>
    <m/>
    <s v="import"/>
    <s v=""/>
    <b v="0"/>
    <s v=""/>
  </r>
  <r>
    <s v="f18f9676-e680-423d-b4ab-10ddbb99ef75"/>
    <s v="2022-03-06"/>
    <x v="4"/>
    <x v="3"/>
    <n v="6"/>
    <s v="11:01"/>
    <n v="1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a050dc7-7d0e-457b-a786-5828cc2fa261"/>
    <s v="2022-03-06"/>
    <x v="4"/>
    <x v="3"/>
    <n v="6"/>
    <s v="11:24"/>
    <n v="200"/>
    <x v="1"/>
    <s v="other"/>
    <x v="1"/>
    <s v="rc_acc_1781955063348_no9r"/>
    <x v="7"/>
    <s v="rc_acc_1781955063349_mitc"/>
    <s v="Pao tung"/>
    <s v="-"/>
    <m/>
    <s v="import"/>
    <s v=""/>
    <b v="0"/>
    <s v=""/>
  </r>
  <r>
    <s v="4c1fdc80-eece-45cf-b53b-ef87849c0cf2"/>
    <s v="2022-03-06"/>
    <x v="4"/>
    <x v="3"/>
    <n v="6"/>
    <s v="11:30"/>
    <n v="30"/>
    <x v="1"/>
    <s v="other"/>
    <x v="1"/>
    <s v="rc_acc_1781955063347_uxz4"/>
    <x v="4"/>
    <s v="advance"/>
    <s v="Advance Paid"/>
    <s v="ของฝาก"/>
    <m/>
    <s v="import"/>
    <s v=""/>
    <b v="0"/>
    <s v=""/>
  </r>
  <r>
    <s v="b8aef0a3-6f17-45d4-a7ac-33003d68aa3b"/>
    <s v="2022-03-06"/>
    <x v="4"/>
    <x v="3"/>
    <n v="6"/>
    <s v="13:53"/>
    <n v="332"/>
    <x v="1"/>
    <s v="other"/>
    <x v="1"/>
    <s v="rc_acc_1781955063347_e3zv"/>
    <x v="16"/>
    <s v="advance"/>
    <s v="Advance Paid"/>
    <s v="-"/>
    <m/>
    <s v="import"/>
    <s v=""/>
    <b v="0"/>
    <s v=""/>
  </r>
  <r>
    <s v="c5729f6a-dfbe-4d37-aae9-3c5e74470ecd"/>
    <s v="2022-03-06"/>
    <x v="4"/>
    <x v="3"/>
    <n v="6"/>
    <s v="13:54"/>
    <n v="664"/>
    <x v="1"/>
    <s v="other"/>
    <x v="1"/>
    <s v="rc_acc_1781955063347_e3zv"/>
    <x v="16"/>
    <s v="rc_acc_1781955063347_uxz4"/>
    <s v="SCB"/>
    <s v="-"/>
    <m/>
    <s v="import"/>
    <s v=""/>
    <b v="0"/>
    <s v=""/>
  </r>
  <r>
    <s v="96ca6c3e-4eba-411d-beb7-c8b4a5c907fa"/>
    <s v="2022-03-06"/>
    <x v="4"/>
    <x v="3"/>
    <n v="6"/>
    <s v="14:10"/>
    <n v="275"/>
    <x v="1"/>
    <s v="other"/>
    <x v="1"/>
    <s v="rc_acc_1781955063347_uxz4"/>
    <x v="4"/>
    <s v="advance"/>
    <s v="Advance Paid"/>
    <s v="pk เถียงนา"/>
    <m/>
    <s v="import"/>
    <s v=""/>
    <b v="0"/>
    <s v=""/>
  </r>
  <r>
    <s v="40fc2e67-0f59-43bf-95b4-ed6d9bb13851"/>
    <s v="2022-03-06"/>
    <x v="4"/>
    <x v="3"/>
    <n v="6"/>
    <s v="15:56"/>
    <n v="3400"/>
    <x v="1"/>
    <s v="other"/>
    <x v="1"/>
    <s v="rc_acc_1781955063347_uxz4"/>
    <x v="4"/>
    <s v="advance"/>
    <s v="Advance Paid"/>
    <s v="-"/>
    <m/>
    <s v="import"/>
    <s v=""/>
    <b v="0"/>
    <s v=""/>
  </r>
  <r>
    <s v="00f68a4c-90b2-4df0-a52a-33a381c6a7ed"/>
    <s v="2022-03-05"/>
    <x v="4"/>
    <x v="3"/>
    <n v="5"/>
    <s v="09:37"/>
    <n v="100"/>
    <x v="1"/>
    <s v="other"/>
    <x v="1"/>
    <s v="rc_acc_1781955063347_kjxt"/>
    <x v="1"/>
    <s v="advance"/>
    <s v="Advance Paid"/>
    <s v="pk coffee"/>
    <m/>
    <s v="import"/>
    <s v=""/>
    <b v="0"/>
    <s v=""/>
  </r>
  <r>
    <s v="ca0374f5-08e8-4179-b548-6ff947455a98"/>
    <s v="2022-03-05"/>
    <x v="4"/>
    <x v="3"/>
    <n v="5"/>
    <s v="13:50"/>
    <n v="260"/>
    <x v="1"/>
    <s v="other"/>
    <x v="1"/>
    <s v="rc_acc_1781955063347_uxz4"/>
    <x v="4"/>
    <s v="advance"/>
    <s v="Advance Paid"/>
    <s v="pk ครัวลัดดา"/>
    <m/>
    <s v="import"/>
    <s v=""/>
    <b v="0"/>
    <s v=""/>
  </r>
  <r>
    <s v="7bfb2de3-feb1-4483-b7c2-9bbd9520c9fa"/>
    <s v="2022-03-05"/>
    <x v="4"/>
    <x v="3"/>
    <n v="5"/>
    <s v="17:03"/>
    <n v="3000"/>
    <x v="0"/>
    <s v="other_1781955063348_yjhe"/>
    <x v="26"/>
    <s v="rc_acc_1781955063347_e3zv"/>
    <x v="16"/>
    <s v=""/>
    <m/>
    <s v="pk ซอง"/>
    <m/>
    <s v="import"/>
    <s v=""/>
    <b v="0"/>
    <s v=""/>
  </r>
  <r>
    <s v="79405db6-ab3d-4efe-b5c3-462005ae7bd0"/>
    <s v="2022-03-05"/>
    <x v="4"/>
    <x v="3"/>
    <n v="5"/>
    <s v="17:09"/>
    <n v="1000"/>
    <x v="1"/>
    <s v="other"/>
    <x v="1"/>
    <s v="rc_acc_1781955063347_e3zv"/>
    <x v="16"/>
    <s v="rc_acc_1781955063347_uxz4"/>
    <s v="SCB"/>
    <s v="-"/>
    <m/>
    <s v="import"/>
    <s v=""/>
    <b v="0"/>
    <s v=""/>
  </r>
  <r>
    <s v="8721ca32-0bb0-4f3b-89e7-e57efaf2e2c9"/>
    <s v="2022-03-04"/>
    <x v="4"/>
    <x v="3"/>
    <n v="4"/>
    <s v="02:46"/>
    <n v="2197.5"/>
    <x v="2"/>
    <s v="income_1781955063347_zblt"/>
    <x v="17"/>
    <s v="rc_acc_1781955063347_uxz4"/>
    <x v="4"/>
    <s v=""/>
    <m/>
    <s v="-"/>
    <m/>
    <s v="import"/>
    <s v=""/>
    <b v="0"/>
    <s v=""/>
  </r>
  <r>
    <s v="c38d97b8-06c8-4c8b-b918-5a7da1d3cbf3"/>
    <s v="2022-03-04"/>
    <x v="4"/>
    <x v="3"/>
    <n v="4"/>
    <s v="11:47"/>
    <n v="230"/>
    <x v="1"/>
    <s v="other"/>
    <x v="1"/>
    <s v="rc_acc_1781955063347_uxz4"/>
    <x v="4"/>
    <s v="advance"/>
    <s v="Advance Paid"/>
    <s v="rbh"/>
    <m/>
    <s v="import"/>
    <s v=""/>
    <b v="0"/>
    <s v=""/>
  </r>
  <r>
    <s v="e6b97647-d344-4a87-998a-0001152c33a5"/>
    <s v="2022-03-04"/>
    <x v="4"/>
    <x v="3"/>
    <n v="4"/>
    <s v="19:48"/>
    <n v="127"/>
    <x v="1"/>
    <s v="other"/>
    <x v="1"/>
    <s v="rc_acc_1781955063347_uxz4"/>
    <x v="4"/>
    <s v="advance"/>
    <s v="Advance Paid"/>
    <s v="pk mac ขาไป"/>
    <m/>
    <s v="import"/>
    <s v=""/>
    <b v="0"/>
    <s v=""/>
  </r>
  <r>
    <s v="db23d1f4-187f-4ee6-8a87-c151e9ba264c"/>
    <s v="2022-03-03"/>
    <x v="4"/>
    <x v="3"/>
    <n v="3"/>
    <s v="09:08"/>
    <n v="2071"/>
    <x v="0"/>
    <s v="entertain_1781955063347_8r8e"/>
    <x v="8"/>
    <s v="rc_acc_1781955063347_uxz4"/>
    <x v="4"/>
    <s v=""/>
    <m/>
    <s v="-"/>
    <m/>
    <s v="import"/>
    <s v=""/>
    <b v="0"/>
    <s v=""/>
  </r>
  <r>
    <s v="5c5174ce-4579-4902-953a-aece76382f9f"/>
    <s v="2022-03-03"/>
    <x v="4"/>
    <x v="3"/>
    <n v="3"/>
    <s v="19:38"/>
    <n v="5000"/>
    <x v="1"/>
    <s v="other"/>
    <x v="1"/>
    <s v="rc_acc_1781955063348_hnxg"/>
    <x v="9"/>
    <s v="rc_acc_1781955063347_e3zv"/>
    <s v="Cash"/>
    <s v="-"/>
    <m/>
    <s v="import"/>
    <s v=""/>
    <b v="0"/>
    <s v=""/>
  </r>
  <r>
    <s v="6a86049b-dd28-4a17-bd34-f08bb2888a32"/>
    <s v="2022-03-03"/>
    <x v="4"/>
    <x v="3"/>
    <n v="3"/>
    <s v="19:45"/>
    <n v="4294.3"/>
    <x v="0"/>
    <s v="rc_cat_1781955063347_04qb_1781955063347_wt5p"/>
    <x v="3"/>
    <s v="rc_acc_1781955063347_uxz4"/>
    <x v="4"/>
    <s v=""/>
    <m/>
    <s v="-"/>
    <m/>
    <s v="import"/>
    <s v=""/>
    <b v="0"/>
    <s v=""/>
  </r>
  <r>
    <s v="1b2d51eb-9a75-4b7f-b140-51b9dba91884"/>
    <s v="2022-03-01"/>
    <x v="4"/>
    <x v="3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fab89f26-21c1-4474-8025-066f6f5ef10f"/>
    <s v="2022-02-28"/>
    <x v="4"/>
    <x v="4"/>
    <n v="28"/>
    <s v="00:00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8b543184-99d6-4763-8bca-8f20bc71967f"/>
    <s v="2022-02-28"/>
    <x v="4"/>
    <x v="4"/>
    <n v="28"/>
    <s v="13:29"/>
    <n v="40000"/>
    <x v="1"/>
    <s v="other"/>
    <x v="1"/>
    <s v="rc_acc_1781955063349_qn1n"/>
    <x v="31"/>
    <s v="rc_acc_1781955063347_uxz4"/>
    <s v="SCB"/>
    <s v="Fill"/>
    <m/>
    <s v="import"/>
    <s v=""/>
    <b v="0"/>
    <s v=""/>
  </r>
  <r>
    <s v="96aa3158-4708-41d9-a7eb-d6232686775a"/>
    <s v="2022-02-28"/>
    <x v="4"/>
    <x v="4"/>
    <n v="28"/>
    <s v="18:50"/>
    <n v="323.9"/>
    <x v="1"/>
    <s v="other"/>
    <x v="1"/>
    <s v="rc_acc_1781955063347_sv7p"/>
    <x v="12"/>
    <s v="advance"/>
    <s v="Advance Paid"/>
    <s v="ข้าวใช้กับวอยเชอ"/>
    <m/>
    <s v="import"/>
    <s v=""/>
    <b v="0"/>
    <s v=""/>
  </r>
  <r>
    <s v="0a8215c3-8c84-4723-8e0c-54834258b768"/>
    <s v="2022-02-28"/>
    <x v="4"/>
    <x v="4"/>
    <n v="28"/>
    <s v="19:44"/>
    <n v="211"/>
    <x v="1"/>
    <s v="other"/>
    <x v="1"/>
    <s v="rc_acc_1781955063347_uxz4"/>
    <x v="4"/>
    <s v="advance"/>
    <s v="Advance Paid"/>
    <s v="-"/>
    <m/>
    <s v="import"/>
    <s v=""/>
    <b v="0"/>
    <s v=""/>
  </r>
  <r>
    <s v="c4853166-c5df-4108-90ff-e0bbca610777"/>
    <s v="2022-02-27"/>
    <x v="4"/>
    <x v="4"/>
    <n v="27"/>
    <s v="13:34"/>
    <n v="456.75"/>
    <x v="1"/>
    <s v="other"/>
    <x v="1"/>
    <s v="rc_acc_1781955063347_kjxt"/>
    <x v="1"/>
    <s v="advance"/>
    <s v="Advance Paid"/>
    <s v="tops ladya"/>
    <m/>
    <s v="import"/>
    <s v=""/>
    <b v="0"/>
    <s v=""/>
  </r>
  <r>
    <s v="9ef94812-6eb9-415f-8990-fe6daca9181c"/>
    <s v="2022-02-27"/>
    <x v="4"/>
    <x v="4"/>
    <n v="27"/>
    <s v="14:01"/>
    <n v="33"/>
    <x v="0"/>
    <s v="entertain_1781955063348_kx2f"/>
    <x v="0"/>
    <s v="rc_acc_1781955063347_hv85"/>
    <x v="5"/>
    <s v=""/>
    <m/>
    <s v="-"/>
    <m/>
    <s v="import"/>
    <s v=""/>
    <b v="0"/>
    <s v=""/>
  </r>
  <r>
    <s v="a03651cc-5f0b-42e5-a604-a3b820e06677"/>
    <s v="2022-02-27"/>
    <x v="4"/>
    <x v="4"/>
    <n v="27"/>
    <s v="17:00"/>
    <n v="55"/>
    <x v="0"/>
    <s v="rc_cat_1781955063347_5qjb_1781955063347_tezk"/>
    <x v="5"/>
    <s v="kbank"/>
    <x v="0"/>
    <s v=""/>
    <m/>
    <s v="-"/>
    <m/>
    <s v="import"/>
    <s v=""/>
    <b v="0"/>
    <s v=""/>
  </r>
  <r>
    <s v="627705de-9bcd-474d-bd69-8e0d1b5fe8a2"/>
    <s v="2022-02-27"/>
    <x v="4"/>
    <x v="4"/>
    <n v="27"/>
    <s v="17:52"/>
    <n v="5000"/>
    <x v="1"/>
    <s v="other"/>
    <x v="1"/>
    <s v="rc_acc_1781955063348_hnxg"/>
    <x v="9"/>
    <s v="rc_acc_1781955063347_e3zv"/>
    <s v="Cash"/>
    <s v="-"/>
    <m/>
    <s v="import"/>
    <s v=""/>
    <b v="0"/>
    <s v=""/>
  </r>
  <r>
    <s v="e3a2960a-39fa-45c4-82f4-8b910b218f48"/>
    <s v="2022-02-26"/>
    <x v="4"/>
    <x v="4"/>
    <n v="26"/>
    <s v="19:40"/>
    <n v="1338"/>
    <x v="1"/>
    <s v="other"/>
    <x v="1"/>
    <s v="rc_acc_1781955063347_0qmn"/>
    <x v="20"/>
    <s v="rc_acc_1781955063347_uxz4"/>
    <s v="SCB"/>
    <s v="-"/>
    <m/>
    <s v="import"/>
    <s v=""/>
    <b v="0"/>
    <s v=""/>
  </r>
  <r>
    <s v="3e8d00ba-100e-4481-8b6e-3c7862eedc30"/>
    <s v="2022-02-26"/>
    <x v="4"/>
    <x v="4"/>
    <n v="26"/>
    <s v="19:57"/>
    <n v="95"/>
    <x v="2"/>
    <s v="income_1781955063347_zblt"/>
    <x v="17"/>
    <s v="rc_acc_1781955063347_uxz4"/>
    <x v="4"/>
    <s v=""/>
    <m/>
    <s v="คอยน์"/>
    <m/>
    <s v="import"/>
    <s v=""/>
    <b v="0"/>
    <s v=""/>
  </r>
  <r>
    <s v="d8deddff-d1b7-4f43-baf9-d67ea3816530"/>
    <s v="2022-02-26"/>
    <x v="4"/>
    <x v="4"/>
    <n v="26"/>
    <s v="20:10"/>
    <n v="5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1b9ec244-134a-4778-90d3-b19db9f8adee"/>
    <s v="2022-02-26"/>
    <x v="4"/>
    <x v="4"/>
    <n v="26"/>
    <s v="20:22"/>
    <n v="611"/>
    <x v="0"/>
    <s v="rc_cat_1781955063347_5qjb_1781955063348_wpky"/>
    <x v="27"/>
    <s v="rc_acc_1781955063347_kjxt"/>
    <x v="1"/>
    <s v=""/>
    <m/>
    <s v="-"/>
    <m/>
    <s v="import"/>
    <s v=""/>
    <b v="0"/>
    <s v=""/>
  </r>
  <r>
    <s v="48f2e33f-7238-43f6-8845-960197ea3e20"/>
    <s v="2022-02-26"/>
    <x v="4"/>
    <x v="4"/>
    <n v="26"/>
    <s v="20:22"/>
    <n v="1790"/>
    <x v="0"/>
    <s v="rc_cat_1781955063347_anhy_1781955063350_fcpb"/>
    <x v="2"/>
    <s v="rc_acc_1781955063347_kjxt"/>
    <x v="1"/>
    <s v=""/>
    <m/>
    <s v="-"/>
    <m/>
    <s v="import"/>
    <s v=""/>
    <b v="0"/>
    <s v=""/>
  </r>
  <r>
    <s v="fb4eae41-1a76-4535-b1c5-f11966510514"/>
    <s v="2022-02-26"/>
    <x v="4"/>
    <x v="4"/>
    <n v="26"/>
    <s v="20:50"/>
    <n v="13507.6"/>
    <x v="1"/>
    <s v="other"/>
    <x v="1"/>
    <s v="rc_acc_1781955063347_uxz4"/>
    <x v="4"/>
    <s v="rc_acc_1781955063347_kjxt"/>
    <s v="KTC JCB"/>
    <s v="-"/>
    <m/>
    <s v="import"/>
    <s v=""/>
    <b v="0"/>
    <s v=""/>
  </r>
  <r>
    <s v="757e35e4-89e3-4d46-a15e-a1a6a44094eb"/>
    <s v="2022-02-26"/>
    <x v="4"/>
    <x v="4"/>
    <n v="26"/>
    <s v="20:54"/>
    <n v="920"/>
    <x v="1"/>
    <s v="other"/>
    <x v="1"/>
    <s v="rc_acc_1781955063347_sv7p"/>
    <x v="12"/>
    <s v="rc_acc_1781955063347_uxz4"/>
    <s v="SCB"/>
    <s v="-"/>
    <m/>
    <s v="import"/>
    <s v=""/>
    <b v="0"/>
    <s v=""/>
  </r>
  <r>
    <s v="441b3219-c199-41bc-bc90-5b2ea25f5d51"/>
    <s v="2022-02-26"/>
    <x v="4"/>
    <x v="4"/>
    <n v="26"/>
    <s v="21:00"/>
    <n v="8757"/>
    <x v="1"/>
    <s v="other"/>
    <x v="1"/>
    <s v="rc_acc_1781955063347_uxz4"/>
    <x v="4"/>
    <s v="rc_acc_1781955063347_hv85"/>
    <s v="HOMEPRO"/>
    <s v="-"/>
    <m/>
    <s v="import"/>
    <s v=""/>
    <b v="0"/>
    <s v=""/>
  </r>
  <r>
    <s v="c31ca644-eeb0-4c61-b3ea-ac7034f42d67"/>
    <s v="2022-02-25"/>
    <x v="4"/>
    <x v="4"/>
    <n v="25"/>
    <s v="19:51"/>
    <n v="40000"/>
    <x v="1"/>
    <s v="other"/>
    <x v="1"/>
    <s v="rc_acc_1781955063347_uxz4"/>
    <x v="4"/>
    <s v="rc_acc_1781955063349_qn1n"/>
    <s v="Loan"/>
    <s v="Fill"/>
    <m/>
    <s v="import"/>
    <s v=""/>
    <b v="0"/>
    <s v=""/>
  </r>
  <r>
    <s v="475c5f38-fd1f-447c-8c7a-f893208db191"/>
    <s v="2022-02-25"/>
    <x v="4"/>
    <x v="4"/>
    <n v="25"/>
    <s v="20:19"/>
    <n v="52"/>
    <x v="0"/>
    <s v="entertain_1781955063348_gj0i"/>
    <x v="25"/>
    <s v="rc_acc_1781955063347_omhz"/>
    <x v="29"/>
    <s v=""/>
    <m/>
    <s v="-"/>
    <m/>
    <s v="import"/>
    <s v=""/>
    <b v="0"/>
    <s v=""/>
  </r>
  <r>
    <s v="56ac1906-19e6-45bf-84d2-22443dfee1b6"/>
    <s v="2022-02-23"/>
    <x v="4"/>
    <x v="4"/>
    <n v="23"/>
    <s v="00:00"/>
    <n v="2215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726c73ea-85be-4992-a3e0-aa6d46be310d"/>
    <s v="2022-02-23"/>
    <x v="4"/>
    <x v="4"/>
    <n v="23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b3505d6d-026c-4f5d-bc19-9b6bc61dec53"/>
    <s v="2022-02-23"/>
    <x v="4"/>
    <x v="4"/>
    <n v="23"/>
    <s v="00:00"/>
    <n v="592.63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797779b7-1b0a-4f37-88a6-4493bc6c2cbb"/>
    <s v="2022-02-23"/>
    <x v="4"/>
    <x v="4"/>
    <n v="23"/>
    <s v="00:00"/>
    <n v="122.41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71a55c1b-7f08-4da1-84b8-c5cee3e38f7a"/>
    <s v="2022-02-23"/>
    <x v="4"/>
    <x v="4"/>
    <n v="23"/>
    <s v="00:00"/>
    <n v="103320"/>
    <x v="2"/>
    <s v="income_1781955063347_5zxt"/>
    <x v="14"/>
    <s v="rc_acc_1781955063347_uxz4"/>
    <x v="4"/>
    <s v=""/>
    <m/>
    <s v="-"/>
    <m/>
    <s v="import"/>
    <s v=""/>
    <b v="0"/>
    <s v=""/>
  </r>
  <r>
    <s v="876f38ee-e48c-43fb-8a16-a71289615fe1"/>
    <s v="2022-02-23"/>
    <x v="4"/>
    <x v="4"/>
    <n v="23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d856005a-9c03-4e9f-b89c-4eab4710320a"/>
    <s v="2022-02-23"/>
    <x v="4"/>
    <x v="4"/>
    <n v="23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d341da9f-a05f-422f-9a94-4590ab88f31b"/>
    <s v="2022-02-23"/>
    <x v="4"/>
    <x v="4"/>
    <n v="23"/>
    <s v="00:00"/>
    <n v="22430"/>
    <x v="2"/>
    <s v="income_1781955063347_zblt"/>
    <x v="17"/>
    <s v="rc_acc_1781955063347_uxz4"/>
    <x v="4"/>
    <s v=""/>
    <m/>
    <s v="vp star + repay"/>
    <m/>
    <s v="import"/>
    <s v=""/>
    <b v="0"/>
    <s v=""/>
  </r>
  <r>
    <s v="ff3f13a3-bcef-452c-8e6f-b00953f5d119"/>
    <s v="2022-02-23"/>
    <x v="4"/>
    <x v="4"/>
    <n v="23"/>
    <s v="00:00"/>
    <n v="7588.47"/>
    <x v="0"/>
    <s v="rc_cat_1781955063347_04qb_1781955063350_acgf"/>
    <x v="11"/>
    <s v="rc_acc_1781955063347_uxz4"/>
    <x v="4"/>
    <s v=""/>
    <m/>
    <s v="-"/>
    <m/>
    <s v="import"/>
    <s v=""/>
    <b v="0"/>
    <s v=""/>
  </r>
  <r>
    <s v="1ef111bb-2a69-4c46-b9ff-194489081626"/>
    <s v="2022-02-23"/>
    <x v="4"/>
    <x v="4"/>
    <n v="23"/>
    <s v="00:00"/>
    <n v="163013"/>
    <x v="2"/>
    <s v="income_1781955063347_zblt"/>
    <x v="17"/>
    <s v="rc_acc_1781955063347_uxz4"/>
    <x v="4"/>
    <s v=""/>
    <m/>
    <s v="vp"/>
    <m/>
    <s v="import"/>
    <s v=""/>
    <b v="0"/>
    <s v=""/>
  </r>
  <r>
    <s v="523d9b67-94cb-4f41-ad25-8dfc6108704b"/>
    <s v="2022-02-23"/>
    <x v="4"/>
    <x v="4"/>
    <n v="23"/>
    <s v="00:11"/>
    <n v="0.5"/>
    <x v="0"/>
    <s v="other_1781955063348_27zj"/>
    <x v="0"/>
    <s v="rc_acc_1781955063347_uxz4"/>
    <x v="4"/>
    <s v=""/>
    <m/>
    <s v="-"/>
    <m/>
    <s v="import"/>
    <s v=""/>
    <b v="0"/>
    <s v=""/>
  </r>
  <r>
    <s v="2579294f-b97b-4cc6-b8c8-2cff3c32576f"/>
    <s v="2022-02-23"/>
    <x v="4"/>
    <x v="4"/>
    <n v="23"/>
    <s v="12:55"/>
    <n v="55"/>
    <x v="0"/>
    <s v="rc_cat_1781955063347_5qjb_1781955063347_tezk"/>
    <x v="5"/>
    <s v="rc_acc_1781955063347_uxz4"/>
    <x v="4"/>
    <s v=""/>
    <m/>
    <s v="YAAK"/>
    <m/>
    <s v="import"/>
    <s v=""/>
    <b v="0"/>
    <s v=""/>
  </r>
  <r>
    <s v="f7a424f9-21f5-4ec7-915a-f90e784c8853"/>
    <s v="2022-02-23"/>
    <x v="4"/>
    <x v="4"/>
    <n v="23"/>
    <s v="14:34"/>
    <n v="156"/>
    <x v="0"/>
    <s v="rc_cat_1781955063347_5qjb_1781955063347_tezk"/>
    <x v="5"/>
    <s v="rc_acc_1781955063349_mitc"/>
    <x v="23"/>
    <s v=""/>
    <m/>
    <s v="ถึง 26/2"/>
    <m/>
    <s v="import"/>
    <s v=""/>
    <b v="0"/>
    <s v=""/>
  </r>
  <r>
    <s v="6410c37f-daeb-4274-be73-5038844cc9f1"/>
    <s v="2022-02-22"/>
    <x v="4"/>
    <x v="4"/>
    <n v="22"/>
    <s v="14:31"/>
    <n v="97.5"/>
    <x v="0"/>
    <s v="rc_cat_1781955063347_5qjb_1781955063347_tezk"/>
    <x v="5"/>
    <s v="rc_acc_1781955063349_mitc"/>
    <x v="23"/>
    <s v=""/>
    <m/>
    <s v="-"/>
    <m/>
    <s v="import"/>
    <s v=""/>
    <b v="0"/>
    <s v=""/>
  </r>
  <r>
    <s v="8ea7a7b2-c3b8-447a-8746-957d3ddd5a7f"/>
    <s v="2022-02-22"/>
    <x v="4"/>
    <x v="4"/>
    <n v="22"/>
    <s v="14:31"/>
    <n v="190"/>
    <x v="0"/>
    <s v="rc_cat_1781955063347_5qjb_1781955063347_tezk"/>
    <x v="5"/>
    <s v="rc_acc_1781955063349_mitc"/>
    <x v="23"/>
    <s v=""/>
    <m/>
    <s v="-"/>
    <m/>
    <s v="import"/>
    <s v=""/>
    <b v="0"/>
    <s v=""/>
  </r>
  <r>
    <s v="3f965711-beda-4426-beed-cb7deb1996b8"/>
    <s v="2022-02-21"/>
    <x v="4"/>
    <x v="4"/>
    <n v="21"/>
    <s v="14:30"/>
    <n v="115"/>
    <x v="0"/>
    <s v="rc_cat_1781955063347_5qjb_1781955063347_tezk"/>
    <x v="5"/>
    <s v="rc_acc_1781955063349_mitc"/>
    <x v="23"/>
    <s v=""/>
    <m/>
    <s v="50 35 30"/>
    <m/>
    <s v="import"/>
    <s v=""/>
    <b v="0"/>
    <s v=""/>
  </r>
  <r>
    <s v="ad06d850-3248-4111-a030-0dbbd65f9893"/>
    <s v="2022-02-21"/>
    <x v="4"/>
    <x v="4"/>
    <n v="21"/>
    <s v="19:55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18d2d20a-3398-4adb-9217-f39da1cb2ab7"/>
    <s v="2022-02-21"/>
    <x v="4"/>
    <x v="4"/>
    <n v="21"/>
    <s v="20:00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54ff457-4137-433c-b844-09c7a7930a6a"/>
    <s v="2022-02-21"/>
    <x v="4"/>
    <x v="4"/>
    <n v="21"/>
    <s v="20:17"/>
    <n v="90"/>
    <x v="1"/>
    <s v="other"/>
    <x v="1"/>
    <s v="rc_acc_1781955063347_omhz"/>
    <x v="29"/>
    <s v="advance"/>
    <s v="Advance Paid"/>
    <s v="dairy queen"/>
    <m/>
    <s v="import"/>
    <s v=""/>
    <b v="0"/>
    <s v=""/>
  </r>
  <r>
    <s v="6ba3090b-e5a5-4427-8e8e-df3e1feeecd9"/>
    <s v="2022-02-21"/>
    <x v="4"/>
    <x v="4"/>
    <n v="21"/>
    <s v="20:21"/>
    <n v="462"/>
    <x v="0"/>
    <s v="rc_cat_1781955063347_5qjb_1781955063348_wpky"/>
    <x v="27"/>
    <s v="rc_acc_1781955063347_kjxt"/>
    <x v="1"/>
    <s v=""/>
    <m/>
    <s v="-"/>
    <m/>
    <s v="import"/>
    <s v=""/>
    <b v="0"/>
    <s v=""/>
  </r>
  <r>
    <s v="79cb1c62-d26f-493a-ae21-a11e14a882b8"/>
    <s v="2022-02-20"/>
    <x v="4"/>
    <x v="4"/>
    <n v="20"/>
    <s v="09:13"/>
    <n v="1509.27"/>
    <x v="1"/>
    <s v="other"/>
    <x v="1"/>
    <s v="rc_acc_1781955063348_no9r"/>
    <x v="7"/>
    <s v="rc_acc_1781955063349_mitc"/>
    <s v="Pao tung"/>
    <s v="-"/>
    <m/>
    <s v="import"/>
    <s v=""/>
    <b v="0"/>
    <s v=""/>
  </r>
  <r>
    <s v="10fe5b2b-16d7-4f0f-9761-ce33a166813c"/>
    <s v="2022-02-20"/>
    <x v="4"/>
    <x v="4"/>
    <n v="20"/>
    <s v="16:28"/>
    <n v="1068"/>
    <x v="1"/>
    <s v="other"/>
    <x v="1"/>
    <s v="rc_acc_1781955063349_mitc"/>
    <x v="23"/>
    <s v="advance"/>
    <s v="Advance Paid"/>
    <s v="ที่พักทริปเติ้ล"/>
    <m/>
    <s v="import"/>
    <s v=""/>
    <b v="0"/>
    <s v=""/>
  </r>
  <r>
    <s v="c19b09ed-fd5c-4191-9ace-d3457e1668d7"/>
    <s v="2022-02-19"/>
    <x v="4"/>
    <x v="4"/>
    <n v="19"/>
    <s v="11:35"/>
    <n v="65"/>
    <x v="0"/>
    <s v="rc_cat_1781955063347_5qjb_1781955063347_tezk"/>
    <x v="5"/>
    <s v="rc_acc_1781955063349_mitc"/>
    <x v="23"/>
    <s v=""/>
    <m/>
    <s v="-"/>
    <m/>
    <s v="import"/>
    <s v=""/>
    <b v="0"/>
    <s v=""/>
  </r>
  <r>
    <s v="4b374274-aabc-4a86-bebe-3211a84dc083"/>
    <s v="2022-02-19"/>
    <x v="4"/>
    <x v="4"/>
    <n v="19"/>
    <s v="15:20"/>
    <n v="81"/>
    <x v="0"/>
    <s v="entertain_1781955063348_gj0i"/>
    <x v="25"/>
    <s v="rc_acc_1781955063347_uxz4"/>
    <x v="4"/>
    <s v=""/>
    <m/>
    <s v="qed 13"/>
    <m/>
    <s v="import"/>
    <s v=""/>
    <b v="0"/>
    <s v=""/>
  </r>
  <r>
    <s v="938536eb-9582-4b2a-90e3-ec249d6f19ea"/>
    <s v="2022-02-19"/>
    <x v="4"/>
    <x v="4"/>
    <n v="19"/>
    <s v="19:59"/>
    <n v="40"/>
    <x v="1"/>
    <s v="other"/>
    <x v="1"/>
    <s v="rc_acc_1781955063347_e3zv"/>
    <x v="16"/>
    <s v="rc_acc_1781955063347_uxz4"/>
    <s v="SCB"/>
    <s v="-"/>
    <m/>
    <s v="import"/>
    <s v=""/>
    <b v="0"/>
    <s v=""/>
  </r>
  <r>
    <s v="ed196a11-af5e-4689-bee5-dde906fbd3c0"/>
    <s v="2022-02-19"/>
    <x v="4"/>
    <x v="4"/>
    <n v="19"/>
    <s v="20:44"/>
    <n v="26.1"/>
    <x v="0"/>
    <s v="other_1781955063348_27zj"/>
    <x v="0"/>
    <s v="rc_acc_1781955063347_kjxt"/>
    <x v="1"/>
    <s v=""/>
    <m/>
    <s v="-"/>
    <m/>
    <s v="import"/>
    <s v=""/>
    <b v="0"/>
    <s v=""/>
  </r>
  <r>
    <s v="a556b4d4-885d-4913-8b17-459c62cbf366"/>
    <s v="2022-02-16"/>
    <x v="4"/>
    <x v="4"/>
    <n v="16"/>
    <s v="18:51"/>
    <n v="90"/>
    <x v="0"/>
    <s v="rc_cat_1781955063347_5qjb_1781955063347_tezk"/>
    <x v="5"/>
    <s v="rc_acc_1781955063347_uxz4"/>
    <x v="4"/>
    <s v=""/>
    <m/>
    <s v="the alley"/>
    <m/>
    <s v="import"/>
    <s v=""/>
    <b v="0"/>
    <s v=""/>
  </r>
  <r>
    <s v="4e7d8aed-80e4-4cb1-94f2-62e88fe8a17e"/>
    <s v="2022-02-15"/>
    <x v="4"/>
    <x v="4"/>
    <n v="15"/>
    <s v="12:46"/>
    <n v="64"/>
    <x v="0"/>
    <s v="rc_cat_1781955063347_5qjb_1781955063347_tezk"/>
    <x v="5"/>
    <s v="rc_acc_1781955063347_uxz4"/>
    <x v="4"/>
    <s v=""/>
    <m/>
    <s v="-"/>
    <m/>
    <s v="import"/>
    <s v=""/>
    <b v="0"/>
    <s v=""/>
  </r>
  <r>
    <s v="14f32bad-2cd7-4cec-a69e-a1027130661a"/>
    <s v="2022-02-15"/>
    <x v="4"/>
    <x v="4"/>
    <n v="15"/>
    <s v="13:46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90baa95-a5e8-4469-a91c-38ec1427c00e"/>
    <s v="2022-02-15"/>
    <x v="4"/>
    <x v="4"/>
    <n v="15"/>
    <s v="19:55"/>
    <n v="400"/>
    <x v="0"/>
    <s v="rc_cat_1781955063347_5qjb_1781955063347_tezk"/>
    <x v="5"/>
    <s v="rc_acc_1781955063347_uxz4"/>
    <x v="4"/>
    <s v=""/>
    <m/>
    <s v="isakaya"/>
    <m/>
    <s v="import"/>
    <s v=""/>
    <b v="0"/>
    <s v=""/>
  </r>
  <r>
    <s v="d0238a50-8137-41a3-9955-a9ed206e6344"/>
    <s v="2022-02-14"/>
    <x v="4"/>
    <x v="4"/>
    <n v="14"/>
    <s v="00:00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2c78a354-3479-414e-8def-d79b08d9074b"/>
    <s v="2022-02-14"/>
    <x v="4"/>
    <x v="4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2fdda738-e13e-42b9-a6f1-ac67b95b75ff"/>
    <s v="2022-02-14"/>
    <x v="4"/>
    <x v="4"/>
    <n v="14"/>
    <s v="12:51"/>
    <n v="353"/>
    <x v="0"/>
    <s v="rc_cat_1781955063347_5qjb_1781955063347_tezk"/>
    <x v="5"/>
    <s v="rc_acc_1781955063347_kjxt"/>
    <x v="1"/>
    <s v=""/>
    <m/>
    <s v="-"/>
    <m/>
    <s v="import"/>
    <s v=""/>
    <b v="0"/>
    <s v=""/>
  </r>
  <r>
    <s v="e5c1fbbf-3b66-44de-addd-2fd08ab67dbd"/>
    <s v="2022-02-14"/>
    <x v="4"/>
    <x v="4"/>
    <n v="14"/>
    <s v="12:51"/>
    <n v="55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09a97fde-e53d-4adc-b84c-79dee7cfcca1"/>
    <s v="2022-02-13"/>
    <x v="4"/>
    <x v="4"/>
    <n v="13"/>
    <s v="15:37"/>
    <n v="2000"/>
    <x v="1"/>
    <s v="other"/>
    <x v="1"/>
    <s v="rc_acc_1781955063347_uxz4"/>
    <x v="4"/>
    <s v="rc_acc_1781955063349_yz2g"/>
    <s v="Investment"/>
    <s v="scb port"/>
    <m/>
    <s v="import"/>
    <s v=""/>
    <b v="0"/>
    <s v=""/>
  </r>
  <r>
    <s v="9b3c8591-ac32-4643-aaff-e48d09ac51e3"/>
    <s v="2022-02-13"/>
    <x v="4"/>
    <x v="4"/>
    <n v="13"/>
    <s v="15:43"/>
    <n v="570"/>
    <x v="1"/>
    <s v="other"/>
    <x v="1"/>
    <s v="rc_acc_1781955063347_uxz4"/>
    <x v="4"/>
    <s v="advance"/>
    <s v="Advance Paid"/>
    <s v="oui roddeeded"/>
    <m/>
    <s v="import"/>
    <s v=""/>
    <b v="0"/>
    <s v=""/>
  </r>
  <r>
    <s v="d808fa76-f76f-4154-91ac-77e96e2c31c7"/>
    <s v="2022-02-13"/>
    <x v="4"/>
    <x v="4"/>
    <n v="13"/>
    <s v="16:36"/>
    <n v="21814"/>
    <x v="1"/>
    <s v="other"/>
    <x v="1"/>
    <s v="rc_acc_1781955063347_0qmn"/>
    <x v="20"/>
    <s v="rc_acc_1781955063347_uxz4"/>
    <s v="SCB"/>
    <s v="-"/>
    <m/>
    <s v="import"/>
    <s v=""/>
    <b v="0"/>
    <s v=""/>
  </r>
  <r>
    <s v="43048c0f-064a-4372-9980-a43947b2b367"/>
    <s v="2022-02-13"/>
    <x v="4"/>
    <x v="4"/>
    <n v="13"/>
    <s v="18:39"/>
    <n v="25"/>
    <x v="1"/>
    <s v="other"/>
    <x v="1"/>
    <s v="rc_acc_1781955063347_uxz4"/>
    <x v="4"/>
    <s v="rc_acc_1781955063347_omhz"/>
    <s v="Shopee"/>
    <s v="-"/>
    <m/>
    <s v="import"/>
    <s v=""/>
    <b v="0"/>
    <s v=""/>
  </r>
  <r>
    <s v="0c4ffce6-6ff8-46ee-aec0-b53d0f40905d"/>
    <s v="2022-02-13"/>
    <x v="4"/>
    <x v="4"/>
    <n v="13"/>
    <s v="18:43"/>
    <n v="70"/>
    <x v="1"/>
    <s v="other"/>
    <x v="1"/>
    <s v="rc_acc_1781955063347_omhz"/>
    <x v="29"/>
    <s v="rc_acc_1781955063347_uxz4"/>
    <s v="SCB"/>
    <s v="-"/>
    <m/>
    <s v="import"/>
    <s v=""/>
    <b v="0"/>
    <s v=""/>
  </r>
  <r>
    <s v="b62cb474-6f76-41fd-bb4c-01cecbeb9628"/>
    <s v="2022-02-13"/>
    <x v="4"/>
    <x v="4"/>
    <n v="13"/>
    <s v="18:57"/>
    <n v="254"/>
    <x v="2"/>
    <s v="other_1781955063347_5s7r"/>
    <x v="15"/>
    <s v="rc_acc_1781955063347_omhz"/>
    <x v="29"/>
    <s v=""/>
    <m/>
    <s v="Difference"/>
    <m/>
    <s v="import"/>
    <s v=""/>
    <b v="0"/>
    <s v=""/>
  </r>
  <r>
    <s v="bdc20880-bb26-4d07-b7d0-ee96a70d6d53"/>
    <s v="2022-02-12"/>
    <x v="4"/>
    <x v="4"/>
    <n v="12"/>
    <s v="15:40"/>
    <n v="2070"/>
    <x v="0"/>
    <s v="rc_cat_1781955063347_anhy_1781955063347_qnaz"/>
    <x v="4"/>
    <s v="rc_acc_1781955063347_uxz4"/>
    <x v="4"/>
    <s v=""/>
    <m/>
    <s v="ของเล่นฟรังโฟริน"/>
    <m/>
    <s v="import"/>
    <s v=""/>
    <b v="0"/>
    <s v=""/>
  </r>
  <r>
    <s v="cf8cebca-7ca7-4876-9589-4c471edf0497"/>
    <s v="2022-02-12"/>
    <x v="4"/>
    <x v="4"/>
    <n v="12"/>
    <s v="15:45"/>
    <n v="345"/>
    <x v="0"/>
    <s v="rc_cat_1781955063347_anhy_1781955063350_fcpb"/>
    <x v="2"/>
    <s v="rc_acc_1781955063347_kjxt"/>
    <x v="1"/>
    <s v=""/>
    <m/>
    <s v="-"/>
    <m/>
    <s v="import"/>
    <s v=""/>
    <b v="0"/>
    <s v=""/>
  </r>
  <r>
    <s v="b3561092-6512-41bd-951b-05c7081d31e9"/>
    <s v="2022-02-10"/>
    <x v="4"/>
    <x v="4"/>
    <n v="10"/>
    <s v="12:08"/>
    <n v="3004.92"/>
    <x v="0"/>
    <s v="rc_cat_1781955063347_5qjb_1781955063347_irl1"/>
    <x v="0"/>
    <s v="rc_acc_1781955063347_hv85"/>
    <x v="5"/>
    <s v=""/>
    <m/>
    <s v="(2/6)"/>
    <m/>
    <s v="import"/>
    <s v=""/>
    <b v="0"/>
    <s v=""/>
  </r>
  <r>
    <s v="b9b19900-505c-4fcf-925e-3966ddba9638"/>
    <s v="2022-02-10"/>
    <x v="4"/>
    <x v="4"/>
    <n v="10"/>
    <s v="15:49"/>
    <n v="3635.7"/>
    <x v="0"/>
    <s v="rc_cat_1781955063347_5qjb_1781955063348_wpky"/>
    <x v="27"/>
    <s v="rc_acc_1781955063347_hv85"/>
    <x v="5"/>
    <s v=""/>
    <m/>
    <s v="(1/6)"/>
    <m/>
    <s v="import"/>
    <s v=""/>
    <b v="0"/>
    <s v=""/>
  </r>
  <r>
    <s v="321d1c78-413b-4413-a037-1907f8cb6fae"/>
    <s v="2022-02-09"/>
    <x v="4"/>
    <x v="4"/>
    <n v="9"/>
    <s v="16:00"/>
    <n v="1000"/>
    <x v="2"/>
    <s v="income_1781955063347_zblt"/>
    <x v="17"/>
    <s v="rc_acc_1781955063347_sv7p"/>
    <x v="12"/>
    <s v=""/>
    <m/>
    <s v="-"/>
    <m/>
    <s v="import"/>
    <s v=""/>
    <b v="0"/>
    <s v=""/>
  </r>
  <r>
    <s v="ff362bd7-a3b7-4c80-ada9-100d71ce22c1"/>
    <s v="2022-02-06"/>
    <x v="4"/>
    <x v="4"/>
    <n v="6"/>
    <s v="11:45"/>
    <n v="82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0aa3b57-acd4-4877-ab04-7a6b371b48b9"/>
    <s v="2022-02-04"/>
    <x v="4"/>
    <x v="4"/>
    <n v="4"/>
    <s v="18:50"/>
    <n v="55"/>
    <x v="0"/>
    <s v="rc_cat_1781955063347_5qjb_1781955063347_tezk"/>
    <x v="5"/>
    <s v="rc_acc_1781955063347_omhz"/>
    <x v="29"/>
    <s v=""/>
    <m/>
    <s v="-"/>
    <m/>
    <s v="import"/>
    <s v=""/>
    <b v="0"/>
    <s v=""/>
  </r>
  <r>
    <s v="08981b75-fd90-4546-ab9c-30602df88088"/>
    <s v="2022-02-02"/>
    <x v="4"/>
    <x v="4"/>
    <n v="2"/>
    <s v="12:40"/>
    <n v="4367.4"/>
    <x v="0"/>
    <s v="rc_cat_1781955063347_04qb_1781955063347_wt5p"/>
    <x v="3"/>
    <s v="rc_acc_1781955063347_uxz4"/>
    <x v="4"/>
    <s v=""/>
    <m/>
    <s v="-"/>
    <m/>
    <s v="import"/>
    <s v=""/>
    <b v="0"/>
    <s v=""/>
  </r>
  <r>
    <s v="95d3906f-64d7-4205-a8bf-f99214bddd48"/>
    <s v="2022-02-02"/>
    <x v="4"/>
    <x v="4"/>
    <n v="2"/>
    <s v="14:13"/>
    <n v="15000"/>
    <x v="0"/>
    <s v="rc_cat_1781955063347_5qjb_1781955063348_xqml"/>
    <x v="31"/>
    <s v="rc_acc_1781955063347_uxz4"/>
    <x v="4"/>
    <s v=""/>
    <m/>
    <s v="ตู้เยน digital door lock"/>
    <m/>
    <s v="import"/>
    <s v=""/>
    <b v="0"/>
    <s v=""/>
  </r>
  <r>
    <s v="28917754-aab7-421f-9d47-63781d363386"/>
    <s v="2022-02-02"/>
    <x v="4"/>
    <x v="4"/>
    <n v="2"/>
    <s v="14:14"/>
    <n v="700"/>
    <x v="1"/>
    <s v="other"/>
    <x v="1"/>
    <s v="rc_acc_1781955063347_kjxt"/>
    <x v="1"/>
    <s v="rc_acc_1781955063347_uxz4"/>
    <s v="SCB"/>
    <s v="รับค่าบอร์ดเกมล่วงหน้า"/>
    <m/>
    <s v="import"/>
    <s v=""/>
    <b v="0"/>
    <s v=""/>
  </r>
  <r>
    <s v="072aabfb-a42e-4ec5-9e0d-3dcf0ed51452"/>
    <s v="2022-02-02"/>
    <x v="4"/>
    <x v="4"/>
    <n v="2"/>
    <s v="14:19"/>
    <n v="5313"/>
    <x v="0"/>
    <s v="entertain_1781955063347_8r8e"/>
    <x v="8"/>
    <s v="rc_acc_1781955063347_kjxt"/>
    <x v="1"/>
    <s v=""/>
    <m/>
    <s v="boardgame"/>
    <m/>
    <s v="import"/>
    <s v=""/>
    <b v="0"/>
    <s v=""/>
  </r>
  <r>
    <s v="7074b0bc-4f3c-403f-9a28-c022974efb33"/>
    <s v="2022-02-02"/>
    <x v="4"/>
    <x v="4"/>
    <n v="2"/>
    <s v="18:48"/>
    <n v="150"/>
    <x v="0"/>
    <s v="entertain_1781955063348_kx2f"/>
    <x v="0"/>
    <s v="rc_acc_1781955063347_omhz"/>
    <x v="29"/>
    <s v=""/>
    <m/>
    <s v="ฐาน ฟิล์ม"/>
    <m/>
    <s v="import"/>
    <s v=""/>
    <b v="0"/>
    <s v=""/>
  </r>
  <r>
    <s v="d135644a-8bca-47c8-a21b-4959b15b471c"/>
    <s v="2022-02-02"/>
    <x v="4"/>
    <x v="4"/>
    <n v="2"/>
    <s v="18:57"/>
    <n v="105"/>
    <x v="1"/>
    <s v="other"/>
    <x v="1"/>
    <s v="rc_acc_1781955063347_omhz"/>
    <x v="29"/>
    <s v="rc_acc_1781955063347_uxz4"/>
    <s v="SCB"/>
    <s v="-"/>
    <m/>
    <s v="import"/>
    <s v=""/>
    <b v="0"/>
    <s v=""/>
  </r>
  <r>
    <s v="b37451f5-80f1-4200-a082-1e5f80d9eb0e"/>
    <s v="2022-02-02"/>
    <x v="4"/>
    <x v="4"/>
    <n v="2"/>
    <s v="19:08"/>
    <n v="254"/>
    <x v="0"/>
    <s v="rc_cat_1781955063347_5qjb_1781955063348_xqml"/>
    <x v="31"/>
    <s v="rc_acc_1781955063347_omhz"/>
    <x v="29"/>
    <s v=""/>
    <m/>
    <s v="-"/>
    <m/>
    <s v="import"/>
    <s v=""/>
    <b v="0"/>
    <s v=""/>
  </r>
  <r>
    <s v="063f177c-91ee-413c-8473-48e0211d1552"/>
    <s v="2022-02-02"/>
    <x v="4"/>
    <x v="4"/>
    <n v="2"/>
    <s v="19:09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97974b5e-21b1-4017-8757-6f54091e9af8"/>
    <s v="2022-02-02"/>
    <x v="4"/>
    <x v="4"/>
    <n v="2"/>
    <s v="20:58"/>
    <n v="8924"/>
    <x v="1"/>
    <s v="other"/>
    <x v="1"/>
    <s v="rc_acc_1781955063347_0qmn"/>
    <x v="20"/>
    <s v="rc_acc_1781955063347_hv85"/>
    <s v="HOMEPRO"/>
    <s v="-"/>
    <m/>
    <s v="import"/>
    <s v=""/>
    <b v="0"/>
    <s v=""/>
  </r>
  <r>
    <s v="4bd21363-a70a-410f-ac9c-bf3f14317f36"/>
    <s v="2022-02-01"/>
    <x v="4"/>
    <x v="4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71e84dc4-6806-4737-8b9a-96ca37418f67"/>
    <s v="2022-02-01"/>
    <x v="4"/>
    <x v="4"/>
    <n v="1"/>
    <s v="08:47"/>
    <n v="4307"/>
    <x v="1"/>
    <s v="other"/>
    <x v="1"/>
    <s v="rc_acc_1781955063348_obza"/>
    <x v="8"/>
    <s v="rc_acc_1781955063347_hv85"/>
    <s v="HOMEPRO"/>
    <s v="-"/>
    <m/>
    <s v="import"/>
    <s v=""/>
    <b v="0"/>
    <s v=""/>
  </r>
  <r>
    <s v="84abbbdc-d71a-4a02-b5ab-1613c0ce387a"/>
    <s v="2022-02-01"/>
    <x v="4"/>
    <x v="4"/>
    <n v="1"/>
    <s v="18:48"/>
    <n v="1366"/>
    <x v="1"/>
    <s v="other"/>
    <x v="1"/>
    <s v="rc_acc_1781955063347_uxz4"/>
    <x v="4"/>
    <s v="rc_acc_1781955063347_e3zv"/>
    <s v="Cash"/>
    <s v="-"/>
    <m/>
    <s v="import"/>
    <s v=""/>
    <b v="0"/>
    <s v=""/>
  </r>
  <r>
    <s v="07f7a4a6-05da-44a3-9dfd-b7a3a15f4a01"/>
    <s v="2022-02-01"/>
    <x v="4"/>
    <x v="4"/>
    <n v="1"/>
    <s v="20:00"/>
    <n v="2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db6c395-f4bb-4564-a1ba-d622aa6dbd7b"/>
    <s v="2022-01-31"/>
    <x v="4"/>
    <x v="5"/>
    <n v="31"/>
    <s v="20:47"/>
    <n v="736"/>
    <x v="0"/>
    <s v="rc_cat_1781955063347_anhy_1781955063350_fcpb"/>
    <x v="2"/>
    <s v="rc_acc_1781955063347_kjxt"/>
    <x v="1"/>
    <s v=""/>
    <m/>
    <s v="barbgon"/>
    <m/>
    <s v="import"/>
    <s v=""/>
    <b v="0"/>
    <s v=""/>
  </r>
  <r>
    <s v="84ec7caa-4241-44d3-8628-e1c68a2f2f2d"/>
    <s v="2022-01-30"/>
    <x v="4"/>
    <x v="5"/>
    <n v="30"/>
    <s v="14:17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5d3d0797-559e-47bc-b59e-57daadd98ca6"/>
    <s v="2022-01-30"/>
    <x v="4"/>
    <x v="5"/>
    <n v="30"/>
    <s v="14:17"/>
    <n v="20000"/>
    <x v="0"/>
    <s v="rc_cat_1781955063347_anhy_1781955063347_qnaz"/>
    <x v="4"/>
    <s v="rc_acc_1781955063347_uxz4"/>
    <x v="4"/>
    <s v=""/>
    <m/>
    <s v="แต๊ะเอีย"/>
    <m/>
    <s v="import"/>
    <s v=""/>
    <b v="0"/>
    <s v=""/>
  </r>
  <r>
    <s v="ea08c72b-0101-4002-8980-e1f3c1cd7ce2"/>
    <s v="2022-01-28"/>
    <x v="4"/>
    <x v="5"/>
    <n v="28"/>
    <s v="00:00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092b61a8-afb0-49a9-ba24-1628d7add4a4"/>
    <s v="2022-01-26"/>
    <x v="4"/>
    <x v="5"/>
    <n v="26"/>
    <s v="13:46"/>
    <n v="82"/>
    <x v="0"/>
    <s v="rc_cat_1781955063347_5qjb_1781955063347_tezk"/>
    <x v="5"/>
    <s v="rc_acc_1781955063347_uxz4"/>
    <x v="4"/>
    <s v=""/>
    <m/>
    <s v="เกาเหลา"/>
    <m/>
    <s v="import"/>
    <s v=""/>
    <b v="0"/>
    <s v=""/>
  </r>
  <r>
    <s v="c3d61e94-7ba3-415d-bb0f-1be60dd80c28"/>
    <s v="2022-01-25"/>
    <x v="4"/>
    <x v="5"/>
    <n v="25"/>
    <s v="00:00"/>
    <n v="637.12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7d64ae3f-b14d-426d-9c9c-7025b58a70f4"/>
    <s v="2022-01-25"/>
    <x v="4"/>
    <x v="5"/>
    <n v="25"/>
    <s v="00:00"/>
    <n v="133.88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afc5168b-a90a-4e50-847d-78304ad8235c"/>
    <s v="2022-01-25"/>
    <x v="4"/>
    <x v="5"/>
    <n v="25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c7a0d06a-9cb0-402f-8812-dcddb958a970"/>
    <s v="2022-01-25"/>
    <x v="4"/>
    <x v="5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181d16aa-3326-4f29-b687-9bac952012b6"/>
    <s v="2022-01-25"/>
    <x v="4"/>
    <x v="5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eb4301d1-5e76-43ac-8783-4d886f0e661b"/>
    <s v="2022-01-25"/>
    <x v="4"/>
    <x v="5"/>
    <n v="25"/>
    <s v="00:00"/>
    <n v="1917.8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1d16b9ae-5cd9-448b-b2b7-add042c1c718"/>
    <s v="2022-01-25"/>
    <x v="4"/>
    <x v="5"/>
    <n v="25"/>
    <s v="00:00"/>
    <n v="95890"/>
    <x v="2"/>
    <s v="income_1781955063347_5zxt"/>
    <x v="14"/>
    <s v="rc_acc_1781955063347_uxz4"/>
    <x v="4"/>
    <s v=""/>
    <m/>
    <s v="-"/>
    <m/>
    <s v="import"/>
    <s v=""/>
    <b v="0"/>
    <s v=""/>
  </r>
  <r>
    <s v="41969719-1468-4f03-8e3e-5e1fb9b94e86"/>
    <s v="2022-01-25"/>
    <x v="4"/>
    <x v="5"/>
    <n v="25"/>
    <s v="00:00"/>
    <n v="2550"/>
    <x v="2"/>
    <s v="income_1781955063347_zblt"/>
    <x v="17"/>
    <s v="rc_acc_1781955063347_uxz4"/>
    <x v="4"/>
    <s v=""/>
    <m/>
    <s v="-"/>
    <m/>
    <s v="import"/>
    <s v=""/>
    <b v="0"/>
    <s v=""/>
  </r>
  <r>
    <s v="39bf498c-c5ac-4c80-add8-a43507cd238c"/>
    <s v="2022-01-25"/>
    <x v="4"/>
    <x v="5"/>
    <n v="25"/>
    <s v="08:46"/>
    <n v="298"/>
    <x v="0"/>
    <s v="rc_cat_1781955063347_5qjb_1781955063348_wpky"/>
    <x v="27"/>
    <s v="rc_acc_1781955063347_uxz4"/>
    <x v="4"/>
    <s v=""/>
    <m/>
    <s v="-"/>
    <m/>
    <s v="import"/>
    <s v=""/>
    <b v="0"/>
    <s v=""/>
  </r>
  <r>
    <s v="510e18a3-686a-4c4c-9f21-d01746d1ea23"/>
    <s v="2022-01-23"/>
    <x v="4"/>
    <x v="5"/>
    <n v="23"/>
    <s v="11:54"/>
    <n v="155.96"/>
    <x v="0"/>
    <s v="other_1781955063347_5s7r"/>
    <x v="15"/>
    <s v="rc_acc_1781955063348_w3gp"/>
    <x v="6"/>
    <s v=""/>
    <m/>
    <s v="Difference"/>
    <m/>
    <s v="import"/>
    <s v=""/>
    <b v="0"/>
    <s v=""/>
  </r>
  <r>
    <s v="d7aa40c6-08fd-4b71-94e3-bce1a88a7e53"/>
    <s v="2022-01-23"/>
    <x v="4"/>
    <x v="5"/>
    <n v="23"/>
    <s v="12:38"/>
    <n v="1867"/>
    <x v="1"/>
    <s v="other"/>
    <x v="1"/>
    <s v="rc_acc_1781955063347_0qmn"/>
    <x v="20"/>
    <s v="rc_acc_1781955063347_uxz4"/>
    <s v="SCB"/>
    <s v="-"/>
    <m/>
    <s v="import"/>
    <s v=""/>
    <b v="0"/>
    <s v=""/>
  </r>
  <r>
    <s v="7a27c764-9c71-4720-97f2-8d0b67a1d193"/>
    <s v="2022-01-23"/>
    <x v="4"/>
    <x v="5"/>
    <n v="23"/>
    <s v="12:39"/>
    <n v="2394"/>
    <x v="1"/>
    <s v="other"/>
    <x v="1"/>
    <s v="rc_acc_1781955063347_uxz4"/>
    <x v="4"/>
    <s v="rc_acc_1781955063347_sv7p"/>
    <s v="UOB Privilages"/>
    <s v="-"/>
    <m/>
    <s v="import"/>
    <s v=""/>
    <b v="0"/>
    <s v=""/>
  </r>
  <r>
    <s v="4941935d-ae50-47f3-955a-20473378298a"/>
    <s v="2022-01-23"/>
    <x v="4"/>
    <x v="5"/>
    <n v="23"/>
    <s v="12:41"/>
    <n v="344"/>
    <x v="0"/>
    <s v="rc_cat_1781955063347_5qjb_1781955063347_tezk"/>
    <x v="5"/>
    <s v="rc_acc_1781955063347_sv7p"/>
    <x v="12"/>
    <s v=""/>
    <m/>
    <s v="-"/>
    <m/>
    <s v="import"/>
    <s v=""/>
    <b v="0"/>
    <s v=""/>
  </r>
  <r>
    <s v="fe60b663-2396-40b4-9bd8-d613e68c6aaa"/>
    <s v="2022-01-23"/>
    <x v="4"/>
    <x v="5"/>
    <n v="23"/>
    <s v="12:41"/>
    <n v="135.62"/>
    <x v="0"/>
    <s v="other_1781955063347_5s7r"/>
    <x v="15"/>
    <s v="rc_acc_1781955063347_sv7p"/>
    <x v="12"/>
    <s v=""/>
    <m/>
    <s v="Difference"/>
    <m/>
    <s v="import"/>
    <s v=""/>
    <b v="0"/>
    <s v=""/>
  </r>
  <r>
    <s v="669c23ad-a940-4638-a1d8-6512d79f3a70"/>
    <s v="2022-01-23"/>
    <x v="4"/>
    <x v="5"/>
    <n v="23"/>
    <s v="13:22"/>
    <n v="700"/>
    <x v="2"/>
    <s v="income_1781955063347_zblt"/>
    <x v="17"/>
    <s v="rc_acc_1781955063347_uxz4"/>
    <x v="4"/>
    <s v=""/>
    <m/>
    <s v="โคคาจากอุ้ย"/>
    <m/>
    <s v="import"/>
    <s v=""/>
    <b v="0"/>
    <s v=""/>
  </r>
  <r>
    <s v="5611003f-43ee-4a5a-96e5-44dbd9c28f1c"/>
    <s v="2022-01-23"/>
    <x v="4"/>
    <x v="5"/>
    <n v="23"/>
    <s v="23:11"/>
    <n v="1439"/>
    <x v="0"/>
    <s v="entertain_1781955063348_kx2f"/>
    <x v="0"/>
    <s v="rc_acc_1781955063347_hv85"/>
    <x v="5"/>
    <s v=""/>
    <m/>
    <s v="youtube premium"/>
    <m/>
    <s v="import"/>
    <s v=""/>
    <b v="0"/>
    <s v=""/>
  </r>
  <r>
    <s v="0b9c0526-65b3-49a0-a185-e0f0e42fb2ac"/>
    <s v="2022-01-22"/>
    <x v="4"/>
    <x v="5"/>
    <n v="22"/>
    <s v="11:54"/>
    <n v="60"/>
    <x v="0"/>
    <s v="entertain_1781955063348_kx2f"/>
    <x v="0"/>
    <s v="rc_acc_1781955063348_w3gp"/>
    <x v="6"/>
    <s v=""/>
    <m/>
    <s v="spirit island app"/>
    <m/>
    <s v="import"/>
    <s v=""/>
    <b v="0"/>
    <s v=""/>
  </r>
  <r>
    <s v="2c22721d-4912-4c13-8aae-2f89e1b92926"/>
    <s v="2022-01-21"/>
    <x v="4"/>
    <x v="5"/>
    <n v="21"/>
    <s v="11:30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5723fdb-5206-4f94-98dd-82a9b7b2ed81"/>
    <s v="2022-01-21"/>
    <x v="4"/>
    <x v="5"/>
    <n v="21"/>
    <s v="19:15"/>
    <n v="311"/>
    <x v="0"/>
    <s v="entertain_1781955063348_32wr"/>
    <x v="23"/>
    <s v="rc_acc_1781955063347_uxz4"/>
    <x v="4"/>
    <s v=""/>
    <m/>
    <s v="-"/>
    <m/>
    <s v="import"/>
    <s v=""/>
    <b v="0"/>
    <s v=""/>
  </r>
  <r>
    <s v="4b3c60a0-ce32-458c-97b0-e6fcca2830be"/>
    <s v="2022-01-20"/>
    <x v="4"/>
    <x v="5"/>
    <n v="20"/>
    <s v="11:14"/>
    <n v="1890"/>
    <x v="2"/>
    <s v="income_1781955063347_zblt"/>
    <x v="17"/>
    <s v="rc_acc_1781955063347_uxz4"/>
    <x v="4"/>
    <s v=""/>
    <m/>
    <s v="-"/>
    <m/>
    <s v="import"/>
    <s v=""/>
    <b v="0"/>
    <s v=""/>
  </r>
  <r>
    <s v="afe06a96-b3fe-4df5-b4aa-46365b1fc5ef"/>
    <s v="2022-01-19"/>
    <x v="4"/>
    <x v="5"/>
    <n v="19"/>
    <s v="20:01"/>
    <n v="2904"/>
    <x v="0"/>
    <s v="rc_cat_1781955063347_s4sz_1781955063347_deos"/>
    <x v="6"/>
    <s v="rc_acc_1781955063347_kjxt"/>
    <x v="1"/>
    <s v=""/>
    <m/>
    <s v="mx master 3"/>
    <m/>
    <s v="import"/>
    <s v=""/>
    <b v="0"/>
    <s v=""/>
  </r>
  <r>
    <s v="1c1db7ae-2c56-45da-bc75-7d43169ebd44"/>
    <s v="2022-01-16"/>
    <x v="4"/>
    <x v="5"/>
    <n v="16"/>
    <s v="12:10"/>
    <n v="8924"/>
    <x v="0"/>
    <s v="rc_cat_1781955063347_5qjb_1781955063348_wpky"/>
    <x v="27"/>
    <s v="rc_acc_1781955063347_hv85"/>
    <x v="5"/>
    <s v=""/>
    <m/>
    <s v="-"/>
    <m/>
    <s v="import"/>
    <s v=""/>
    <b v="0"/>
    <s v=""/>
  </r>
  <r>
    <s v="7a405d5a-8fcd-45c0-a543-ea8684ba488e"/>
    <s v="2022-01-15"/>
    <x v="4"/>
    <x v="5"/>
    <n v="15"/>
    <s v="15:13"/>
    <n v="190"/>
    <x v="0"/>
    <s v="rc_cat_1781955063347_5qjb_1781955063347_tezk"/>
    <x v="5"/>
    <s v="rc_acc_1781955063347_uxz4"/>
    <x v="4"/>
    <s v=""/>
    <m/>
    <s v="starbucks"/>
    <m/>
    <s v="import"/>
    <s v=""/>
    <b v="0"/>
    <s v=""/>
  </r>
  <r>
    <s v="5b8e5431-55f2-4737-b684-0083bc48c239"/>
    <s v="2022-01-15"/>
    <x v="4"/>
    <x v="5"/>
    <n v="15"/>
    <s v="15:49"/>
    <n v="450"/>
    <x v="0"/>
    <s v="rc_cat_1781955063347_anhy_1781955063347_qnaz"/>
    <x v="4"/>
    <s v="rc_acc_1781955063347_e3zv"/>
    <x v="16"/>
    <s v=""/>
    <m/>
    <s v="moderna"/>
    <m/>
    <s v="import"/>
    <s v=""/>
    <b v="0"/>
    <s v=""/>
  </r>
  <r>
    <s v="6cffefd3-2346-484d-861e-99e8d6b39382"/>
    <s v="2022-01-15"/>
    <x v="4"/>
    <x v="5"/>
    <n v="15"/>
    <s v="15:54"/>
    <n v="400"/>
    <x v="1"/>
    <s v="other"/>
    <x v="1"/>
    <s v="rc_acc_1781955063347_0qmn"/>
    <x v="20"/>
    <s v="kbank"/>
    <s v="KBank"/>
    <s v="-"/>
    <m/>
    <s v="import"/>
    <s v=""/>
    <b v="0"/>
    <s v=""/>
  </r>
  <r>
    <s v="d1eae704-9a18-483d-8a77-1124893d829a"/>
    <s v="2022-01-14"/>
    <x v="4"/>
    <x v="5"/>
    <n v="14"/>
    <s v="00:00"/>
    <n v="419"/>
    <x v="1"/>
    <s v="other"/>
    <x v="1"/>
    <s v="rc_acc_1781955063347_uxz4"/>
    <x v="4"/>
    <s v="rc_acc_1781955063348_w3gp"/>
    <s v="UOB world"/>
    <s v="-"/>
    <m/>
    <s v="import"/>
    <s v=""/>
    <b v="0"/>
    <s v=""/>
  </r>
  <r>
    <s v="be695deb-bd08-41f0-9556-22dfb09976b0"/>
    <s v="2022-01-14"/>
    <x v="4"/>
    <x v="5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d40eb26c-44fe-4130-bb1d-ae710fe50a76"/>
    <s v="2022-01-12"/>
    <x v="4"/>
    <x v="5"/>
    <n v="12"/>
    <s v="12:17"/>
    <n v="100"/>
    <x v="2"/>
    <s v="income_1781955063347_zblt"/>
    <x v="17"/>
    <s v="rc_acc_1781955063347_hv85"/>
    <x v="5"/>
    <s v=""/>
    <m/>
    <s v="-"/>
    <m/>
    <s v="import"/>
    <s v=""/>
    <b v="0"/>
    <s v=""/>
  </r>
  <r>
    <s v="5d767771-0b12-4c56-ab6d-4e67133d2539"/>
    <s v="2022-01-11"/>
    <x v="4"/>
    <x v="5"/>
    <n v="11"/>
    <s v="12:16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2e8d7d41-f419-4587-8264-be54a9bd6063"/>
    <s v="2022-01-11"/>
    <x v="4"/>
    <x v="5"/>
    <n v="11"/>
    <s v="12:40"/>
    <n v="125"/>
    <x v="0"/>
    <s v="rc_cat_1781955063347_5qjb_1781955063347_tezk"/>
    <x v="5"/>
    <s v="rc_acc_1781955063347_sv7p"/>
    <x v="12"/>
    <s v=""/>
    <m/>
    <s v="-"/>
    <m/>
    <s v="import"/>
    <s v=""/>
    <b v="0"/>
    <s v=""/>
  </r>
  <r>
    <s v="3de179e8-99e5-42fb-8a00-eda3fbc93c2f"/>
    <s v="2022-01-10"/>
    <x v="4"/>
    <x v="5"/>
    <n v="10"/>
    <s v="12:08"/>
    <n v="3004.92"/>
    <x v="0"/>
    <s v="rc_cat_1781955063347_5qjb_1781955063347_irl1"/>
    <x v="0"/>
    <s v="rc_acc_1781955063347_hv85"/>
    <x v="5"/>
    <s v=""/>
    <m/>
    <s v="(1/6)"/>
    <m/>
    <s v="import"/>
    <s v=""/>
    <b v="0"/>
    <s v=""/>
  </r>
  <r>
    <s v="1dc8cbe9-c6ce-45c2-a2bc-742a905f5ddb"/>
    <s v="2022-01-09"/>
    <x v="4"/>
    <x v="5"/>
    <n v="9"/>
    <s v="14:18"/>
    <n v="4000"/>
    <x v="0"/>
    <s v="other_1781955063348_yjhe"/>
    <x v="26"/>
    <s v="rc_acc_1781955063347_e3zv"/>
    <x v="16"/>
    <s v=""/>
    <m/>
    <s v="ซองงานแต่ง"/>
    <m/>
    <s v="import"/>
    <s v=""/>
    <b v="0"/>
    <s v=""/>
  </r>
  <r>
    <s v="e5587b5d-7b63-4cd4-b258-95233510155d"/>
    <s v="2022-01-09"/>
    <x v="4"/>
    <x v="5"/>
    <n v="9"/>
    <s v="14:51"/>
    <n v="145"/>
    <x v="1"/>
    <s v="other"/>
    <x v="1"/>
    <s v="rc_acc_1781955063347_omhz"/>
    <x v="29"/>
    <s v="rc_acc_1781955063347_uxz4"/>
    <s v="SCB"/>
    <s v="-"/>
    <m/>
    <s v="import"/>
    <s v=""/>
    <b v="0"/>
    <s v=""/>
  </r>
  <r>
    <s v="0d7c34e2-24cc-4180-8fe3-2770fae6147a"/>
    <s v="2022-01-09"/>
    <x v="4"/>
    <x v="5"/>
    <n v="9"/>
    <s v="15:48"/>
    <n v="2097"/>
    <x v="0"/>
    <s v="rc_cat_1781955063347_5qjb_1781955063347_tezk"/>
    <x v="5"/>
    <s v="rc_acc_1781955063347_sv7p"/>
    <x v="12"/>
    <s v=""/>
    <m/>
    <s v="coca"/>
    <m/>
    <s v="import"/>
    <s v=""/>
    <b v="0"/>
    <s v=""/>
  </r>
  <r>
    <s v="f9430763-016a-4071-a733-9bf167c64979"/>
    <s v="2022-01-08"/>
    <x v="4"/>
    <x v="5"/>
    <n v="8"/>
    <s v="15:12"/>
    <n v="600"/>
    <x v="0"/>
    <s v="rc_cat_1781955063347_s4sz_1781955063349_sg2w"/>
    <x v="32"/>
    <s v="rc_acc_1781955063347_e3zv"/>
    <x v="16"/>
    <s v=""/>
    <m/>
    <s v="ซักแห้ง แพงสัส"/>
    <m/>
    <s v="import"/>
    <s v=""/>
    <b v="0"/>
    <s v=""/>
  </r>
  <r>
    <s v="950e7fd5-6e84-4bde-8d0c-47fac9f41c74"/>
    <s v="2022-01-08"/>
    <x v="4"/>
    <x v="5"/>
    <n v="8"/>
    <s v="15:50"/>
    <n v="12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5dad88ec-72c8-429e-9333-0110c2a04e29"/>
    <s v="2022-01-08"/>
    <x v="4"/>
    <x v="5"/>
    <n v="8"/>
    <s v="17:04"/>
    <n v="3000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dc508743-d9a5-49cb-9385-bd4e9b65c8a3"/>
    <s v="2022-01-08"/>
    <x v="4"/>
    <x v="5"/>
    <n v="8"/>
    <s v="17:04"/>
    <n v="6000"/>
    <x v="1"/>
    <s v="other"/>
    <x v="1"/>
    <s v="kbank"/>
    <x v="0"/>
    <s v="rc_acc_1781955063347_e3zv"/>
    <s v="Cash"/>
    <s v="-"/>
    <m/>
    <s v="import"/>
    <s v=""/>
    <b v="0"/>
    <s v=""/>
  </r>
  <r>
    <s v="bc1b8f7b-cbfa-4129-bbba-fe10edf9b754"/>
    <s v="2022-01-07"/>
    <x v="4"/>
    <x v="5"/>
    <n v="7"/>
    <s v="18:57"/>
    <n v="421"/>
    <x v="1"/>
    <s v="other"/>
    <x v="1"/>
    <s v="rc_acc_1781955063347_pixu"/>
    <x v="37"/>
    <s v="rc_acc_1781955063347_uxz4"/>
    <s v="SCB"/>
    <s v="-"/>
    <m/>
    <s v="import"/>
    <s v=""/>
    <b v="0"/>
    <s v=""/>
  </r>
  <r>
    <s v="6a05694c-dfeb-49f8-a2c6-574db1c809f1"/>
    <s v="2022-01-07"/>
    <x v="4"/>
    <x v="5"/>
    <n v="7"/>
    <s v="19:03"/>
    <n v="1100"/>
    <x v="0"/>
    <s v="other_1781955063347_5s7r"/>
    <x v="15"/>
    <s v="rc_acc_1781955063348_2vnx"/>
    <x v="36"/>
    <s v=""/>
    <m/>
    <s v="Difference"/>
    <m/>
    <s v="import"/>
    <s v=""/>
    <b v="0"/>
    <s v=""/>
  </r>
  <r>
    <s v="cd36551b-cbe0-4283-85d3-8b2b1045a570"/>
    <s v="2022-01-06"/>
    <x v="4"/>
    <x v="5"/>
    <n v="6"/>
    <s v="18:03"/>
    <n v="184"/>
    <x v="0"/>
    <s v="entertain_1781955063348_kx2f"/>
    <x v="0"/>
    <s v="rc_acc_1781955063347_uxz4"/>
    <x v="4"/>
    <s v=""/>
    <m/>
    <s v="-"/>
    <m/>
    <s v="import"/>
    <s v=""/>
    <b v="0"/>
    <s v=""/>
  </r>
  <r>
    <s v="4e9da82c-e5e1-4c07-ac5e-070b33a9bab7"/>
    <s v="2022-01-06"/>
    <x v="4"/>
    <x v="5"/>
    <n v="6"/>
    <s v="18:57"/>
    <n v="400"/>
    <x v="1"/>
    <s v="other"/>
    <x v="1"/>
    <s v="kbank"/>
    <x v="0"/>
    <s v="rc_acc_1781955063347_pixu"/>
    <s v="Grabpay"/>
    <s v="-"/>
    <m/>
    <s v="import"/>
    <s v=""/>
    <b v="0"/>
    <s v=""/>
  </r>
  <r>
    <s v="850901ce-8aae-4324-ae31-edc8a736ef03"/>
    <s v="2022-01-05"/>
    <x v="4"/>
    <x v="5"/>
    <n v="5"/>
    <s v="11:39"/>
    <n v="354.93"/>
    <x v="0"/>
    <s v="rc_cat_1781955063347_anhy_1781955063347_qnaz"/>
    <x v="4"/>
    <s v="rc_acc_1781955063348_w3gp"/>
    <x v="6"/>
    <s v=""/>
    <m/>
    <s v="ค่าโทรศัพม์จ่ายล่วงหน้า"/>
    <m/>
    <s v="import"/>
    <s v=""/>
    <b v="0"/>
    <s v=""/>
  </r>
  <r>
    <s v="5d410405-0077-475f-bc82-3795b4aad5c6"/>
    <s v="2022-01-04"/>
    <x v="4"/>
    <x v="5"/>
    <n v="4"/>
    <s v="18:49"/>
    <n v="4511.68"/>
    <x v="0"/>
    <s v="rc_cat_1781955063347_04qb_1781955063347_wt5p"/>
    <x v="3"/>
    <s v="rc_acc_1781955063347_uxz4"/>
    <x v="4"/>
    <s v=""/>
    <m/>
    <s v="-"/>
    <m/>
    <s v="import"/>
    <s v=""/>
    <b v="0"/>
    <s v=""/>
  </r>
  <r>
    <s v="fdc82208-d400-405c-aae7-90b31abe8b57"/>
    <s v="2022-01-04"/>
    <x v="4"/>
    <x v="5"/>
    <n v="4"/>
    <s v="18:51"/>
    <n v="500"/>
    <x v="2"/>
    <s v="income_1781955063347_zblt"/>
    <x v="17"/>
    <s v="rc_acc_1781955063347_uxz4"/>
    <x v="4"/>
    <s v=""/>
    <m/>
    <s v="-"/>
    <m/>
    <s v="import"/>
    <s v=""/>
    <b v="0"/>
    <s v=""/>
  </r>
  <r>
    <s v="3e3d0368-40ff-42f1-b382-8339155bb259"/>
    <s v="2022-01-04"/>
    <x v="4"/>
    <x v="5"/>
    <n v="4"/>
    <s v="18:51"/>
    <n v="100"/>
    <x v="1"/>
    <s v="other"/>
    <x v="1"/>
    <s v="rc_acc_1781955063347_pixu"/>
    <x v="37"/>
    <s v="rc_acc_1781955063347_uxz4"/>
    <s v="SCB"/>
    <s v="-"/>
    <m/>
    <s v="import"/>
    <s v=""/>
    <b v="0"/>
    <s v=""/>
  </r>
  <r>
    <s v="fee39eff-c97f-4a55-9d18-096c5a85b0d5"/>
    <s v="2022-01-03"/>
    <x v="4"/>
    <x v="5"/>
    <n v="3"/>
    <s v="14:18"/>
    <n v="258"/>
    <x v="1"/>
    <s v="other"/>
    <x v="1"/>
    <s v="rc_acc_1781955063347_e3zv"/>
    <x v="16"/>
    <s v="rc_acc_1781955063347_uxz4"/>
    <s v="SCB"/>
    <s v="-"/>
    <m/>
    <s v="import"/>
    <s v=""/>
    <b v="0"/>
    <s v=""/>
  </r>
  <r>
    <s v="214ffbde-c4fd-482d-9b51-5df4a53ffc69"/>
    <s v="2022-01-03"/>
    <x v="4"/>
    <x v="5"/>
    <n v="3"/>
    <s v="14:18"/>
    <n v="49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482c44b6-039e-4289-96f7-85d8968beea7"/>
    <s v="2022-01-03"/>
    <x v="4"/>
    <x v="5"/>
    <n v="3"/>
    <s v="17:25"/>
    <n v="590"/>
    <x v="0"/>
    <s v="rc_cat_1781955063347_s4sz_1781955063347_9tpp"/>
    <x v="9"/>
    <s v="rc_acc_1781955063347_hv85"/>
    <x v="5"/>
    <s v=""/>
    <m/>
    <s v="-"/>
    <m/>
    <s v="import"/>
    <s v=""/>
    <b v="0"/>
    <s v=""/>
  </r>
  <r>
    <s v="c0939264-ea22-49da-8476-610c51a9409d"/>
    <s v="2022-01-03"/>
    <x v="4"/>
    <x v="5"/>
    <n v="3"/>
    <s v="20:33"/>
    <n v="82"/>
    <x v="0"/>
    <s v="rc_cat_1781955063347_5qjb_1781955063347_tezk"/>
    <x v="5"/>
    <s v="rc_acc_1781955063347_uxz4"/>
    <x v="4"/>
    <s v=""/>
    <m/>
    <s v="เกาเกลาเนื้อ"/>
    <m/>
    <s v="import"/>
    <s v=""/>
    <b v="0"/>
    <s v=""/>
  </r>
  <r>
    <s v="17d3010a-1620-429f-b8ea-faa1bf04d076"/>
    <s v="2022-01-02"/>
    <x v="4"/>
    <x v="5"/>
    <n v="2"/>
    <s v="09:35"/>
    <n v="3500"/>
    <x v="1"/>
    <s v="other"/>
    <x v="1"/>
    <s v="kbank"/>
    <x v="0"/>
    <s v="rc_acc_1781955063347_e3zv"/>
    <s v="Cash"/>
    <s v="-"/>
    <m/>
    <s v="import"/>
    <s v=""/>
    <b v="0"/>
    <s v=""/>
  </r>
  <r>
    <s v="dbc8de6b-eb39-41b4-935d-23d33d83bf4c"/>
    <s v="2022-01-02"/>
    <x v="4"/>
    <x v="5"/>
    <n v="2"/>
    <s v="20:34"/>
    <n v="75"/>
    <x v="1"/>
    <s v="other"/>
    <x v="1"/>
    <s v="rc_acc_1781955063347_omhz"/>
    <x v="29"/>
    <s v="rc_acc_1781955063347_uxz4"/>
    <s v="SCB"/>
    <s v="dairy queen"/>
    <m/>
    <s v="import"/>
    <s v=""/>
    <b v="0"/>
    <s v=""/>
  </r>
  <r>
    <s v="84d29d1f-951d-48cb-b6d4-3525bbd3b721"/>
    <s v="2022-01-01"/>
    <x v="4"/>
    <x v="5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c4eabaee-a1d5-4f46-9587-e8c48f44f2b9"/>
    <s v="2022-01-01"/>
    <x v="4"/>
    <x v="5"/>
    <n v="1"/>
    <s v="19:05"/>
    <n v="40"/>
    <x v="0"/>
    <s v="rc_cat_1781955063347_5qjb_1781955063347_tezk"/>
    <x v="5"/>
    <s v="rc_acc_1781955063348_w3gp"/>
    <x v="6"/>
    <s v=""/>
    <m/>
    <s v="magnum"/>
    <m/>
    <s v="import"/>
    <s v=""/>
    <b v="0"/>
    <s v=""/>
  </r>
  <r>
    <s v="bbe3e263-6d6d-46af-b627-e9260a4728b8"/>
    <s v="2021-12-31"/>
    <x v="5"/>
    <x v="6"/>
    <n v="31"/>
    <s v="14:18"/>
    <n v="1798"/>
    <x v="0"/>
    <s v="other_1781955063347_5s7r"/>
    <x v="15"/>
    <s v="rc_acc_1781955063347_sv7p"/>
    <x v="12"/>
    <s v=""/>
    <m/>
    <s v="Difference"/>
    <m/>
    <s v="import"/>
    <s v=""/>
    <b v="0"/>
    <s v=""/>
  </r>
  <r>
    <s v="343eec4f-6cdd-4065-a173-96af9fba8ecf"/>
    <s v="2021-12-31"/>
    <x v="5"/>
    <x v="6"/>
    <n v="31"/>
    <s v="14:49"/>
    <n v="55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dec3c9ea-f921-4474-9ff9-88ddb3dafb9d"/>
    <s v="2021-12-31"/>
    <x v="5"/>
    <x v="6"/>
    <n v="31"/>
    <s v="19:16"/>
    <n v="28176.43"/>
    <x v="0"/>
    <s v="other_1781955063347_5s7r"/>
    <x v="15"/>
    <s v="rc_acc_1781955063347_0qmn"/>
    <x v="20"/>
    <s v=""/>
    <m/>
    <s v="Difference"/>
    <m/>
    <s v="import"/>
    <s v=""/>
    <b v="0"/>
    <s v=""/>
  </r>
  <r>
    <s v="4865afce-803e-46b7-bceb-cadeb2f3f744"/>
    <s v="2021-12-31"/>
    <x v="5"/>
    <x v="6"/>
    <n v="31"/>
    <s v="23:01"/>
    <n v="169"/>
    <x v="1"/>
    <s v="other"/>
    <x v="1"/>
    <s v="rc_acc_1781955063347_kjxt"/>
    <x v="1"/>
    <s v="rc_acc_1781955063347_uxz4"/>
    <s v="SCB"/>
    <s v="-"/>
    <m/>
    <s v="import"/>
    <s v=""/>
    <b v="0"/>
    <s v=""/>
  </r>
  <r>
    <s v="f62b0b32-4e22-4ec8-a992-9a660b59e3c5"/>
    <s v="2021-12-31"/>
    <x v="5"/>
    <x v="6"/>
    <n v="31"/>
    <s v="23:01"/>
    <n v="1502"/>
    <x v="1"/>
    <s v="other"/>
    <x v="1"/>
    <s v="rc_acc_1781955063347_pixu"/>
    <x v="37"/>
    <s v="rc_acc_1781955063347_uxz4"/>
    <s v="SCB"/>
    <s v="-"/>
    <m/>
    <s v="import"/>
    <s v=""/>
    <b v="0"/>
    <s v=""/>
  </r>
  <r>
    <s v="9b07d334-d1e6-4ea8-a9c1-625ee0cd60e6"/>
    <s v="2021-12-31"/>
    <x v="5"/>
    <x v="6"/>
    <n v="31"/>
    <s v="23:02"/>
    <n v="1388"/>
    <x v="1"/>
    <s v="other"/>
    <x v="1"/>
    <s v="rc_acc_1781955063347_omhz"/>
    <x v="29"/>
    <s v="rc_acc_1781955063347_uxz4"/>
    <s v="SCB"/>
    <s v="-"/>
    <m/>
    <s v="import"/>
    <s v=""/>
    <b v="0"/>
    <s v=""/>
  </r>
  <r>
    <s v="2ad3819a-83c2-42a6-be45-84bf9159dcee"/>
    <s v="2021-12-31"/>
    <x v="5"/>
    <x v="6"/>
    <n v="31"/>
    <s v="23:04"/>
    <n v="4000"/>
    <x v="0"/>
    <s v="other_1781955063347_5s7r"/>
    <x v="15"/>
    <s v="rc_acc_1781955063348_2vnx"/>
    <x v="36"/>
    <s v=""/>
    <m/>
    <s v="Difference"/>
    <m/>
    <s v="import"/>
    <s v=""/>
    <b v="0"/>
    <s v=""/>
  </r>
  <r>
    <s v="a3c3717e-00a1-4f3c-9304-b2353a359bee"/>
    <s v="2021-12-31"/>
    <x v="5"/>
    <x v="6"/>
    <n v="31"/>
    <s v="23:04"/>
    <n v="20"/>
    <x v="2"/>
    <s v="other_1781955063347_5s7r"/>
    <x v="15"/>
    <s v="rc_acc_1781955063347_pixu"/>
    <x v="37"/>
    <s v=""/>
    <m/>
    <s v="Difference"/>
    <m/>
    <s v="import"/>
    <s v=""/>
    <b v="0"/>
    <s v=""/>
  </r>
  <r>
    <s v="c4d43f9f-577c-4810-8e72-7385abc8cd35"/>
    <s v="2021-12-31"/>
    <x v="5"/>
    <x v="6"/>
    <n v="31"/>
    <s v="23:05"/>
    <n v="200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fb5622a7-9401-41dd-8a37-05ed6e98887f"/>
    <s v="2021-12-31"/>
    <x v="5"/>
    <x v="6"/>
    <n v="31"/>
    <s v="23:05"/>
    <n v="355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95cbff11-e00d-4044-be32-7ad0a93b66f7"/>
    <s v="2021-12-31"/>
    <x v="5"/>
    <x v="6"/>
    <n v="31"/>
    <s v="23:06"/>
    <n v="349"/>
    <x v="0"/>
    <s v="other_1781955063347_5s7r"/>
    <x v="15"/>
    <s v="rc_acc_1781955063347_omhz"/>
    <x v="29"/>
    <s v=""/>
    <m/>
    <s v="Difference"/>
    <m/>
    <s v="import"/>
    <s v=""/>
    <b v="0"/>
    <s v=""/>
  </r>
  <r>
    <s v="22e1b299-8a76-48d7-85c8-1688c7f67f25"/>
    <s v="2021-12-31"/>
    <x v="5"/>
    <x v="6"/>
    <n v="31"/>
    <s v="23:13"/>
    <n v="724.76"/>
    <x v="2"/>
    <s v="other_1781955063347_5s7r"/>
    <x v="15"/>
    <s v="rc_acc_1781955063347_uxz4"/>
    <x v="4"/>
    <s v=""/>
    <m/>
    <s v="Difference"/>
    <m/>
    <s v="import"/>
    <s v=""/>
    <b v="0"/>
    <s v=""/>
  </r>
  <r>
    <s v="f680055d-edb0-4454-8d38-6348e3f5ff04"/>
    <s v="2021-12-31"/>
    <x v="5"/>
    <x v="6"/>
    <n v="31"/>
    <s v="23:14"/>
    <n v="4.76"/>
    <x v="2"/>
    <s v="other_1781955063347_5s7r"/>
    <x v="15"/>
    <s v="rc_acc_1781955063348_obza"/>
    <x v="8"/>
    <s v=""/>
    <m/>
    <s v="Difference"/>
    <m/>
    <s v="import"/>
    <s v=""/>
    <b v="0"/>
    <s v=""/>
  </r>
  <r>
    <s v="9b178efa-ecf7-4447-916a-e790e4fc8b0f"/>
    <s v="2021-12-31"/>
    <x v="5"/>
    <x v="6"/>
    <n v="31"/>
    <s v="23:22"/>
    <n v="1288.16"/>
    <x v="0"/>
    <s v="other_1781955063347_5s7r"/>
    <x v="15"/>
    <s v="rc_acc_1781955063347_hv85"/>
    <x v="5"/>
    <s v=""/>
    <m/>
    <s v="Difference"/>
    <m/>
    <s v="import"/>
    <s v=""/>
    <b v="0"/>
    <s v=""/>
  </r>
  <r>
    <s v="c9a827da-90be-4643-b2bd-fecfdee7390e"/>
    <s v="2021-12-31"/>
    <x v="5"/>
    <x v="6"/>
    <n v="31"/>
    <s v="23:23"/>
    <n v="406.11"/>
    <x v="2"/>
    <s v="other_1781955063347_5s7r"/>
    <x v="15"/>
    <s v="rc_acc_1781955063348_hnxg"/>
    <x v="9"/>
    <s v=""/>
    <m/>
    <s v="Difference"/>
    <m/>
    <s v="import"/>
    <s v=""/>
    <b v="0"/>
    <s v=""/>
  </r>
  <r>
    <s v="e55fbec3-e6e0-4470-8aff-17e74c942729"/>
    <s v="2021-12-31"/>
    <x v="5"/>
    <x v="6"/>
    <n v="31"/>
    <s v="23:25"/>
    <n v="182.54"/>
    <x v="2"/>
    <s v="other_1781955063347_5s7r"/>
    <x v="15"/>
    <s v="kbank"/>
    <x v="0"/>
    <s v=""/>
    <m/>
    <s v="Difference"/>
    <m/>
    <s v="import"/>
    <s v=""/>
    <b v="0"/>
    <s v=""/>
  </r>
  <r>
    <s v="978c20be-0d46-4fcc-8ed1-fc4d79f0b81d"/>
    <s v="2021-12-31"/>
    <x v="5"/>
    <x v="6"/>
    <n v="31"/>
    <s v="23:25"/>
    <n v="2833"/>
    <x v="0"/>
    <s v="other_1781955063347_5s7r"/>
    <x v="15"/>
    <s v="rc_acc_1781955063347_e3zv"/>
    <x v="16"/>
    <s v=""/>
    <m/>
    <s v="Difference"/>
    <m/>
    <s v="import"/>
    <s v=""/>
    <b v="0"/>
    <s v=""/>
  </r>
  <r>
    <s v="f8120496-fde9-49b8-a27c-dd04d5173777"/>
    <s v="2021-12-31"/>
    <x v="5"/>
    <x v="6"/>
    <n v="31"/>
    <s v="23:27"/>
    <n v="79.86"/>
    <x v="0"/>
    <s v="other_1781955063347_5s7r"/>
    <x v="15"/>
    <s v="rc_acc_1781955063348_w3gp"/>
    <x v="6"/>
    <s v=""/>
    <m/>
    <s v="Difference"/>
    <m/>
    <s v="import"/>
    <s v=""/>
    <b v="0"/>
    <s v=""/>
  </r>
  <r>
    <s v="f5ed1a9b-6844-4af9-a208-7445205859eb"/>
    <s v="2021-12-31"/>
    <x v="5"/>
    <x v="6"/>
    <n v="31"/>
    <s v="23:28"/>
    <n v="1260"/>
    <x v="2"/>
    <s v="other_1781955063347_5s7r"/>
    <x v="15"/>
    <s v="rc_acc_1781955063347_tvnx"/>
    <x v="13"/>
    <s v=""/>
    <m/>
    <s v="Difference"/>
    <m/>
    <s v="import"/>
    <s v=""/>
    <b v="0"/>
    <s v=""/>
  </r>
  <r>
    <s v="d3eded62-b619-4b88-b9c1-04aaa45ef40c"/>
    <s v="2021-12-30"/>
    <x v="5"/>
    <x v="6"/>
    <n v="30"/>
    <s v="19:10"/>
    <n v="190"/>
    <x v="0"/>
    <s v="rc_cat_1781955063347_5qjb_1781955063347_tezk"/>
    <x v="5"/>
    <s v="rc_acc_1781955063347_uxz4"/>
    <x v="4"/>
    <s v=""/>
    <m/>
    <s v="standard burger"/>
    <m/>
    <s v="import"/>
    <s v=""/>
    <b v="0"/>
    <s v=""/>
  </r>
  <r>
    <s v="0985969d-cd92-4407-a880-dd7cca1afc5a"/>
    <s v="2021-12-29"/>
    <x v="5"/>
    <x v="6"/>
    <n v="29"/>
    <s v="08:09"/>
    <n v="400"/>
    <x v="1"/>
    <s v="other"/>
    <x v="1"/>
    <s v="rc_acc_1781955063347_uxz4"/>
    <x v="4"/>
    <s v="rc_acc_1781955063347_pixu"/>
    <s v="Grabpay"/>
    <s v="-"/>
    <m/>
    <s v="import"/>
    <s v=""/>
    <b v="0"/>
    <s v=""/>
  </r>
  <r>
    <s v="25e9eb3c-c4a3-4223-8ca5-552cd0acb8f3"/>
    <s v="2021-12-29"/>
    <x v="5"/>
    <x v="6"/>
    <n v="29"/>
    <s v="12:54"/>
    <n v="6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3b39844-e211-41bf-8091-24f9f05f0167"/>
    <s v="2021-12-29"/>
    <x v="5"/>
    <x v="6"/>
    <n v="29"/>
    <s v="14:53"/>
    <n v="180000"/>
    <x v="1"/>
    <s v="other"/>
    <x v="1"/>
    <s v="rc_acc_1781955063347_uxz4"/>
    <x v="4"/>
    <s v="kbank"/>
    <s v="KBank"/>
    <s v="-"/>
    <m/>
    <s v="import"/>
    <s v=""/>
    <b v="0"/>
    <s v=""/>
  </r>
  <r>
    <s v="02eac684-3254-4e2d-a145-b7888e361489"/>
    <s v="2021-12-29"/>
    <x v="5"/>
    <x v="6"/>
    <n v="29"/>
    <s v="14:53"/>
    <n v="90000"/>
    <x v="1"/>
    <s v="other"/>
    <x v="1"/>
    <s v="kbank"/>
    <x v="0"/>
    <s v="rc_acc_1781955063349_yz2g"/>
    <s v="Investment"/>
    <s v="-"/>
    <m/>
    <s v="import"/>
    <s v=""/>
    <b v="0"/>
    <s v=""/>
  </r>
  <r>
    <s v="d1cffbc2-73e5-4c9a-84bb-6b287177d48a"/>
    <s v="2021-12-29"/>
    <x v="5"/>
    <x v="6"/>
    <n v="29"/>
    <s v="15:03"/>
    <n v="122"/>
    <x v="1"/>
    <s v="other"/>
    <x v="1"/>
    <s v="rc_acc_1781955063347_pixu"/>
    <x v="37"/>
    <s v="rc_acc_1781955063347_uxz4"/>
    <s v="SCB"/>
    <s v="-"/>
    <m/>
    <s v="import"/>
    <s v=""/>
    <b v="0"/>
    <s v=""/>
  </r>
  <r>
    <s v="0ab5d1ce-c5f2-463c-a6e4-482585d2e0fd"/>
    <s v="2021-12-29"/>
    <x v="5"/>
    <x v="6"/>
    <n v="29"/>
    <s v="17:34"/>
    <n v="424"/>
    <x v="0"/>
    <s v="rc_cat_1781955063347_5qjb_1781955063347_tezk"/>
    <x v="5"/>
    <s v="rc_acc_1781955063347_uxz4"/>
    <x v="4"/>
    <s v=""/>
    <m/>
    <s v="steve"/>
    <m/>
    <s v="import"/>
    <s v=""/>
    <b v="0"/>
    <s v=""/>
  </r>
  <r>
    <s v="d92c6f03-b4c1-46c4-b71a-0c8bbc6878d4"/>
    <s v="2021-12-28"/>
    <x v="5"/>
    <x v="6"/>
    <n v="28"/>
    <s v="12:37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b1b56d4c-e553-45c8-a14c-55da8ce947db"/>
    <s v="2021-12-27"/>
    <x v="5"/>
    <x v="6"/>
    <n v="27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e541692e-fbc3-4e0e-bd0c-2c93e45d16b5"/>
    <s v="2021-12-27"/>
    <x v="5"/>
    <x v="6"/>
    <n v="27"/>
    <s v="00:00"/>
    <n v="666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0140c5e5-c305-4835-b3f9-efb4f62a9853"/>
    <s v="2021-12-27"/>
    <x v="5"/>
    <x v="6"/>
    <n v="27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35ac8670-7e70-4111-b53a-2cf5e118f9dd"/>
    <s v="2021-12-27"/>
    <x v="5"/>
    <x v="6"/>
    <n v="27"/>
    <s v="00:00"/>
    <n v="1917.8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e0d25efa-e027-4c9e-b3b4-369b7a9657e6"/>
    <s v="2021-12-27"/>
    <x v="5"/>
    <x v="6"/>
    <n v="27"/>
    <s v="00:00"/>
    <n v="95890"/>
    <x v="2"/>
    <s v="income_1781955063347_5zxt"/>
    <x v="14"/>
    <s v="rc_acc_1781955063347_uxz4"/>
    <x v="4"/>
    <s v=""/>
    <m/>
    <s v="-"/>
    <m/>
    <s v="import"/>
    <s v=""/>
    <b v="0"/>
    <s v=""/>
  </r>
  <r>
    <s v="95e92683-28c2-49cb-85ee-1e5d7c94dd37"/>
    <s v="2021-12-27"/>
    <x v="5"/>
    <x v="6"/>
    <n v="27"/>
    <s v="00:00"/>
    <n v="733.87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85520a6c-6e8f-43fd-a088-d77ee713604b"/>
    <s v="2021-12-27"/>
    <x v="5"/>
    <x v="6"/>
    <n v="27"/>
    <s v="00:00"/>
    <n v="167.23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a98c1f2b-54b5-4d06-acdf-4e3041b5777a"/>
    <s v="2021-12-27"/>
    <x v="5"/>
    <x v="6"/>
    <n v="27"/>
    <s v="12:38"/>
    <n v="500"/>
    <x v="1"/>
    <s v="other"/>
    <x v="1"/>
    <s v="rc_acc_1781955063347_uxz4"/>
    <x v="4"/>
    <s v="rc_acc_1781955063347_e3zv"/>
    <s v="Cash"/>
    <s v="-"/>
    <m/>
    <s v="import"/>
    <s v=""/>
    <b v="0"/>
    <s v=""/>
  </r>
  <r>
    <s v="2c85de65-8cd5-4fa2-b4f2-6d8259913635"/>
    <s v="2021-12-26"/>
    <x v="5"/>
    <x v="6"/>
    <n v="26"/>
    <s v="09:26"/>
    <n v="5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8f1d4df1-3fbc-4a69-837f-2fea47b70bc4"/>
    <s v="2021-12-26"/>
    <x v="5"/>
    <x v="6"/>
    <n v="26"/>
    <s v="12:57"/>
    <n v="2433"/>
    <x v="2"/>
    <s v="other_1781955063348_27zj"/>
    <x v="0"/>
    <s v="rc_acc_1781955063347_uxz4"/>
    <x v="4"/>
    <s v=""/>
    <m/>
    <s v="ค่าห้องสำรองจ่าย"/>
    <m/>
    <s v="import"/>
    <s v=""/>
    <b v="0"/>
    <s v=""/>
  </r>
  <r>
    <s v="fa072dd2-f7a4-46c7-8d08-5e456d6d2e1f"/>
    <s v="2021-12-26"/>
    <x v="5"/>
    <x v="6"/>
    <n v="26"/>
    <s v="21:27"/>
    <n v="55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f10df95f-39da-47c1-ab5a-59902ae386a6"/>
    <s v="2021-12-25"/>
    <x v="5"/>
    <x v="6"/>
    <n v="25"/>
    <s v="00:55"/>
    <n v="884.81"/>
    <x v="2"/>
    <s v="income_1781955063347_zblt"/>
    <x v="17"/>
    <s v="rc_acc_1781955063347_uxz4"/>
    <x v="4"/>
    <s v=""/>
    <m/>
    <s v="-"/>
    <m/>
    <s v="import"/>
    <s v=""/>
    <b v="0"/>
    <s v=""/>
  </r>
  <r>
    <s v="1d41a679-ecbd-465c-8a20-7db14d1b6ab4"/>
    <s v="2021-12-25"/>
    <x v="5"/>
    <x v="6"/>
    <n v="25"/>
    <s v="22:00"/>
    <n v="12518"/>
    <x v="1"/>
    <s v="other"/>
    <x v="1"/>
    <s v="rc_acc_1781955063347_uxz4"/>
    <x v="4"/>
    <s v="rc_acc_1781955063347_hv85"/>
    <s v="HOMEPRO"/>
    <s v="-"/>
    <m/>
    <s v="import"/>
    <s v=""/>
    <b v="0"/>
    <s v=""/>
  </r>
  <r>
    <s v="63f8a713-6c2c-4256-b1ea-96c6e284a569"/>
    <s v="2021-12-25"/>
    <x v="5"/>
    <x v="6"/>
    <n v="25"/>
    <s v="22:22"/>
    <n v="508.25"/>
    <x v="1"/>
    <s v="other"/>
    <x v="1"/>
    <s v="rc_acc_1781955063348_w3gp"/>
    <x v="6"/>
    <s v="rc_acc_1781955063347_uxz4"/>
    <s v="SCB"/>
    <s v="-"/>
    <m/>
    <s v="import"/>
    <s v=""/>
    <b v="0"/>
    <s v=""/>
  </r>
  <r>
    <s v="7a09d942-bd96-4075-87e9-148104b8cda1"/>
    <s v="2021-12-25"/>
    <x v="5"/>
    <x v="6"/>
    <n v="25"/>
    <s v="22:27"/>
    <n v="510"/>
    <x v="1"/>
    <s v="other"/>
    <x v="1"/>
    <s v="rc_acc_1781955063348_w3gp"/>
    <x v="6"/>
    <s v="rc_acc_1781955063347_uxz4"/>
    <s v="SCB"/>
    <s v="-"/>
    <m/>
    <s v="import"/>
    <s v=""/>
    <b v="0"/>
    <s v=""/>
  </r>
  <r>
    <s v="09ad4940-982d-4c4c-a4b7-a861a2ea0b0d"/>
    <s v="2021-12-25"/>
    <x v="5"/>
    <x v="6"/>
    <n v="25"/>
    <s v="22:33"/>
    <n v="2080"/>
    <x v="1"/>
    <s v="other"/>
    <x v="1"/>
    <s v="rc_acc_1781955063347_uxz4"/>
    <x v="4"/>
    <s v="rc_acc_1781955063347_sv7p"/>
    <s v="UOB Privilages"/>
    <s v="-"/>
    <m/>
    <s v="import"/>
    <s v=""/>
    <b v="0"/>
    <s v=""/>
  </r>
  <r>
    <s v="6a6847c4-e3d3-45e3-a467-399301fc52ed"/>
    <s v="2021-12-25"/>
    <x v="5"/>
    <x v="6"/>
    <n v="25"/>
    <s v="22:54"/>
    <n v="180"/>
    <x v="0"/>
    <s v="other_1781955063347_5s7r"/>
    <x v="15"/>
    <s v="rc_acc_1781955063347_uxz4"/>
    <x v="4"/>
    <s v=""/>
    <m/>
    <s v="Difference"/>
    <m/>
    <s v="import"/>
    <s v=""/>
    <b v="0"/>
    <s v=""/>
  </r>
  <r>
    <s v="c97153b5-3f42-4a9d-bd40-a20939c7406c"/>
    <s v="2021-12-24"/>
    <x v="5"/>
    <x v="6"/>
    <n v="24"/>
    <s v="14:27"/>
    <n v="1595"/>
    <x v="0"/>
    <s v="rc_cat_1781955063347_s4sz_1781955063347_deos"/>
    <x v="6"/>
    <s v="rc_acc_1781955063347_uxz4"/>
    <x v="4"/>
    <s v=""/>
    <m/>
    <s v="jabra elite"/>
    <m/>
    <s v="import"/>
    <s v=""/>
    <b v="0"/>
    <s v=""/>
  </r>
  <r>
    <s v="66062e92-2430-43d9-80bb-00d1c0297910"/>
    <s v="2021-12-24"/>
    <x v="5"/>
    <x v="6"/>
    <n v="24"/>
    <s v="14:28"/>
    <n v="20000"/>
    <x v="1"/>
    <s v="other"/>
    <x v="1"/>
    <s v="rc_acc_1781955063347_uxz4"/>
    <x v="4"/>
    <s v="kbank"/>
    <s v="KBank"/>
    <s v="-"/>
    <m/>
    <s v="import"/>
    <s v=""/>
    <b v="0"/>
    <s v=""/>
  </r>
  <r>
    <s v="4d9151bb-dbe3-41bd-80a7-f43ea9db4fea"/>
    <s v="2021-12-24"/>
    <x v="5"/>
    <x v="6"/>
    <n v="24"/>
    <s v="14:28"/>
    <n v="1135"/>
    <x v="0"/>
    <s v="rc_cat_1781955063347_anhy_1781955063348_k5l1"/>
    <x v="16"/>
    <s v="rc_acc_1781955063347_uxz4"/>
    <x v="4"/>
    <s v=""/>
    <m/>
    <s v="ranee"/>
    <m/>
    <s v="import"/>
    <s v=""/>
    <b v="0"/>
    <s v=""/>
  </r>
  <r>
    <s v="aa6e16a5-9144-4985-a2ec-704dbbaf848f"/>
    <s v="2021-12-24"/>
    <x v="5"/>
    <x v="6"/>
    <n v="24"/>
    <s v="14:29"/>
    <n v="3317"/>
    <x v="0"/>
    <s v="entertain_1781955063347_8r8e"/>
    <x v="8"/>
    <s v="rc_acc_1781955063347_uxz4"/>
    <x v="4"/>
    <s v=""/>
    <m/>
    <s v="-"/>
    <m/>
    <s v="import"/>
    <s v=""/>
    <b v="0"/>
    <s v=""/>
  </r>
  <r>
    <s v="9c21a2a7-c76d-4913-9902-91ac985629c3"/>
    <s v="2021-12-23"/>
    <x v="5"/>
    <x v="6"/>
    <n v="23"/>
    <s v="14:27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7f305fe-7a02-48f4-a3d4-f21d849aac26"/>
    <s v="2021-12-23"/>
    <x v="5"/>
    <x v="6"/>
    <n v="23"/>
    <s v="21:56"/>
    <n v="40"/>
    <x v="0"/>
    <s v="entertain_1781955063348_kx2f"/>
    <x v="0"/>
    <s v="rc_acc_1781955063347_hv85"/>
    <x v="5"/>
    <s v=""/>
    <m/>
    <s v="-"/>
    <m/>
    <s v="import"/>
    <s v=""/>
    <b v="0"/>
    <s v=""/>
  </r>
  <r>
    <s v="9b632795-3d34-4103-a13a-596a3dc1b66d"/>
    <s v="2021-12-22"/>
    <x v="5"/>
    <x v="6"/>
    <n v="22"/>
    <s v="12:26"/>
    <n v="2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96a9d56a-a2a0-4f20-8967-604a1e5a30f1"/>
    <s v="2021-12-22"/>
    <x v="5"/>
    <x v="6"/>
    <n v="22"/>
    <s v="22:03"/>
    <n v="60"/>
    <x v="0"/>
    <s v="entertain_1781955063348_kx2f"/>
    <x v="0"/>
    <s v="rc_acc_1781955063348_w3gp"/>
    <x v="6"/>
    <s v=""/>
    <m/>
    <s v="spirit island app"/>
    <m/>
    <s v="import"/>
    <s v=""/>
    <b v="0"/>
    <s v=""/>
  </r>
  <r>
    <s v="ed83500d-c868-4ea8-8a1a-00cce939b66a"/>
    <s v="2021-12-21"/>
    <x v="5"/>
    <x v="6"/>
    <n v="21"/>
    <s v="14:25"/>
    <n v="1135"/>
    <x v="0"/>
    <s v="rc_cat_1781955063347_anhy_1781955063348_k5l1"/>
    <x v="16"/>
    <s v="kbank"/>
    <x v="0"/>
    <s v=""/>
    <m/>
    <s v="-"/>
    <m/>
    <s v="import"/>
    <s v=""/>
    <b v="0"/>
    <s v=""/>
  </r>
  <r>
    <s v="fba9062f-5afd-43f1-aa4d-888e92e475b7"/>
    <s v="2021-12-20"/>
    <x v="5"/>
    <x v="6"/>
    <n v="20"/>
    <s v="12:20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083e75f5-a6d0-4c62-971a-8e7ab703e50a"/>
    <s v="2021-12-19"/>
    <x v="5"/>
    <x v="6"/>
    <n v="19"/>
    <s v="21:58"/>
    <n v="166"/>
    <x v="0"/>
    <s v="entertain_1781955063347_8r8e"/>
    <x v="8"/>
    <s v="rc_acc_1781955063347_hv85"/>
    <x v="5"/>
    <s v=""/>
    <m/>
    <s v="ห่อปก b2s"/>
    <m/>
    <s v="import"/>
    <s v=""/>
    <b v="0"/>
    <s v=""/>
  </r>
  <r>
    <s v="3a44c446-9410-447b-92df-b720f29e1c11"/>
    <s v="2021-12-18"/>
    <x v="5"/>
    <x v="6"/>
    <n v="18"/>
    <s v="10:18"/>
    <n v="4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70df632-480e-4819-af49-14af76e82f20"/>
    <s v="2021-12-18"/>
    <x v="5"/>
    <x v="6"/>
    <n v="18"/>
    <s v="14:18"/>
    <n v="400"/>
    <x v="1"/>
    <s v="other"/>
    <x v="1"/>
    <s v="rc_acc_1781955063347_uxz4"/>
    <x v="4"/>
    <s v="rc_acc_1781955063347_e3zv"/>
    <s v="Cash"/>
    <s v="-"/>
    <m/>
    <s v="import"/>
    <s v=""/>
    <b v="0"/>
    <s v=""/>
  </r>
  <r>
    <s v="ef21dbca-8931-4637-a9d3-236b1ca8dc83"/>
    <s v="2021-12-18"/>
    <x v="5"/>
    <x v="6"/>
    <n v="18"/>
    <s v="19:19"/>
    <n v="2115"/>
    <x v="0"/>
    <s v="rc_cat_1781955063347_anhy_1781955063347_qnaz"/>
    <x v="4"/>
    <s v="rc_acc_1781955063347_uxz4"/>
    <x v="4"/>
    <s v=""/>
    <m/>
    <s v="mk"/>
    <m/>
    <s v="import"/>
    <s v=""/>
    <b v="0"/>
    <s v=""/>
  </r>
  <r>
    <s v="4a945276-5d03-4ddd-ab86-be7acd6fcee0"/>
    <s v="2021-12-17"/>
    <x v="5"/>
    <x v="6"/>
    <n v="17"/>
    <s v="12:15"/>
    <n v="5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c418800b-4710-4073-8ce1-12bc2a2170dc"/>
    <s v="2021-12-17"/>
    <x v="5"/>
    <x v="6"/>
    <n v="17"/>
    <s v="12:35"/>
    <n v="55"/>
    <x v="0"/>
    <s v="rc_cat_1781955063347_5qjb_1781955063347_tezk"/>
    <x v="5"/>
    <s v="rc_acc_1781955063347_uxz4"/>
    <x v="4"/>
    <s v=""/>
    <m/>
    <s v="YAAK"/>
    <m/>
    <s v="import"/>
    <s v=""/>
    <b v="0"/>
    <s v=""/>
  </r>
  <r>
    <s v="c95a951e-64ca-4215-8b7f-a86f5e79179c"/>
    <s v="2021-12-16"/>
    <x v="5"/>
    <x v="6"/>
    <n v="16"/>
    <s v="13:35"/>
    <n v="5874.68"/>
    <x v="1"/>
    <s v="other"/>
    <x v="1"/>
    <s v="rc_acc_1781955063347_uxz4"/>
    <x v="4"/>
    <s v="rc_acc_1781955063347_sv7p"/>
    <s v="UOB Privilages"/>
    <s v="-"/>
    <m/>
    <s v="import"/>
    <s v=""/>
    <b v="0"/>
    <s v=""/>
  </r>
  <r>
    <s v="7ef3c811-8e12-4d7f-bdf9-1aaf6b37c300"/>
    <s v="2021-12-15"/>
    <x v="5"/>
    <x v="6"/>
    <n v="15"/>
    <s v="14:09"/>
    <n v="140"/>
    <x v="0"/>
    <s v="rc_cat_1781955063347_5qjb_1781955063347_tezk"/>
    <x v="5"/>
    <s v="rc_acc_1781955063347_uxz4"/>
    <x v="4"/>
    <s v=""/>
    <m/>
    <s v="ก๋วยเตี๋ยวสุโขทัย"/>
    <m/>
    <s v="import"/>
    <s v=""/>
    <b v="0"/>
    <s v=""/>
  </r>
  <r>
    <s v="f064f598-9e67-4ae6-960c-9ee0d49ae962"/>
    <s v="2021-12-15"/>
    <x v="5"/>
    <x v="6"/>
    <n v="15"/>
    <s v="14:10"/>
    <n v="55"/>
    <x v="0"/>
    <s v="rc_cat_1781955063347_5qjb_1781955063347_tezk"/>
    <x v="5"/>
    <s v="rc_acc_1781955063347_uxz4"/>
    <x v="4"/>
    <s v=""/>
    <m/>
    <s v="YAAK"/>
    <m/>
    <s v="import"/>
    <s v=""/>
    <b v="0"/>
    <s v=""/>
  </r>
  <r>
    <s v="9c3679b6-10a8-4a16-a8b3-6e4f14058f2f"/>
    <s v="2021-12-15"/>
    <x v="5"/>
    <x v="6"/>
    <n v="15"/>
    <s v="20:35"/>
    <n v="1760"/>
    <x v="0"/>
    <s v="entertain_1781955063347_8r8e"/>
    <x v="8"/>
    <s v="rc_acc_1781955063347_uxz4"/>
    <x v="4"/>
    <s v=""/>
    <m/>
    <s v="-"/>
    <m/>
    <s v="import"/>
    <s v=""/>
    <b v="0"/>
    <s v=""/>
  </r>
  <r>
    <s v="f780618d-e0a6-4294-8e38-e669b60a0fdd"/>
    <s v="2021-12-14"/>
    <x v="5"/>
    <x v="6"/>
    <n v="14"/>
    <s v="00:00"/>
    <n v="315"/>
    <x v="1"/>
    <s v="other"/>
    <x v="1"/>
    <s v="rc_acc_1781955063347_uxz4"/>
    <x v="4"/>
    <s v="rc_acc_1781955063348_w3gp"/>
    <s v="UOB world"/>
    <s v="-"/>
    <m/>
    <s v="import"/>
    <s v=""/>
    <b v="0"/>
    <s v=""/>
  </r>
  <r>
    <s v="efe61277-064f-412f-8361-0b2d62d55672"/>
    <s v="2021-12-14"/>
    <x v="5"/>
    <x v="6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e4900c46-8611-42c9-8a69-4dbd76db0112"/>
    <s v="2021-12-14"/>
    <x v="5"/>
    <x v="6"/>
    <n v="14"/>
    <s v="21:03"/>
    <n v="105"/>
    <x v="1"/>
    <s v="other"/>
    <x v="1"/>
    <s v="rc_acc_1781955063347_uxz4"/>
    <x v="4"/>
    <s v="rc_acc_1781955063348_w3gp"/>
    <s v="UOB world"/>
    <s v="-"/>
    <m/>
    <s v="import"/>
    <s v=""/>
    <b v="0"/>
    <s v=""/>
  </r>
  <r>
    <s v="d1c6c5e8-10a0-4943-a2c8-994f584e9296"/>
    <s v="2021-12-13"/>
    <x v="5"/>
    <x v="6"/>
    <n v="13"/>
    <s v="12:07"/>
    <n v="7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82b81fd-47e9-4227-8674-45c235755cba"/>
    <s v="2021-12-13"/>
    <x v="5"/>
    <x v="6"/>
    <n v="13"/>
    <s v="14:08"/>
    <n v="14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a788f37d-9f5d-48a3-902c-3eeb548ac62b"/>
    <s v="2021-12-12"/>
    <x v="5"/>
    <x v="6"/>
    <n v="12"/>
    <s v="13:15"/>
    <n v="10000"/>
    <x v="1"/>
    <s v="other"/>
    <x v="1"/>
    <s v="rc_acc_1781955063347_uxz4"/>
    <x v="4"/>
    <s v="rc_acc_1781955063347_omhz"/>
    <s v="Shopee"/>
    <s v="-"/>
    <m/>
    <s v="import"/>
    <s v=""/>
    <b v="0"/>
    <s v=""/>
  </r>
  <r>
    <s v="4dfc1617-8f53-4c6b-868a-d486eb05cc93"/>
    <s v="2021-12-12"/>
    <x v="5"/>
    <x v="6"/>
    <n v="12"/>
    <s v="13:15"/>
    <n v="4683"/>
    <x v="0"/>
    <s v="rc_cat_1781955063347_s4sz_1781955063347_deos"/>
    <x v="6"/>
    <s v="rc_acc_1781955063347_omhz"/>
    <x v="29"/>
    <s v=""/>
    <m/>
    <s v="GQ"/>
    <m/>
    <s v="import"/>
    <s v=""/>
    <b v="0"/>
    <s v=""/>
  </r>
  <r>
    <s v="79ad4a1c-8e4e-4a14-9994-7d60126c2669"/>
    <s v="2021-12-12"/>
    <x v="5"/>
    <x v="6"/>
    <n v="12"/>
    <s v="13:16"/>
    <n v="5411"/>
    <x v="0"/>
    <s v="entertain_1781955063347_8r8e"/>
    <x v="8"/>
    <s v="rc_acc_1781955063347_omhz"/>
    <x v="29"/>
    <s v=""/>
    <m/>
    <s v="maracaibo lostruinofarnak centurygolem"/>
    <m/>
    <s v="import"/>
    <s v=""/>
    <b v="0"/>
    <s v=""/>
  </r>
  <r>
    <s v="b231c20f-dd16-4a6e-a7c9-232c345fe0f3"/>
    <s v="2021-12-12"/>
    <x v="5"/>
    <x v="6"/>
    <n v="12"/>
    <s v="20:50"/>
    <n v="900"/>
    <x v="1"/>
    <s v="other"/>
    <x v="1"/>
    <s v="rc_acc_1781955063347_uxz4"/>
    <x v="4"/>
    <s v="rc_acc_1781955063347_omhz"/>
    <s v="Shopee"/>
    <s v="-"/>
    <m/>
    <s v="import"/>
    <s v=""/>
    <b v="0"/>
    <s v=""/>
  </r>
  <r>
    <s v="910310ff-a7e7-4962-917c-af2661d1c4b7"/>
    <s v="2021-12-12"/>
    <x v="5"/>
    <x v="6"/>
    <n v="12"/>
    <s v="21:11"/>
    <n v="2000"/>
    <x v="1"/>
    <s v="other"/>
    <x v="1"/>
    <s v="rc_acc_1781955063347_uxz4"/>
    <x v="4"/>
    <s v="rc_acc_1781955063347_omhz"/>
    <s v="Shopee"/>
    <s v="-"/>
    <m/>
    <s v="import"/>
    <s v=""/>
    <b v="0"/>
    <s v=""/>
  </r>
  <r>
    <s v="b1133275-6a6b-46cb-8e2b-e1651b6511a0"/>
    <s v="2021-12-12"/>
    <x v="5"/>
    <x v="6"/>
    <n v="12"/>
    <s v="21:13"/>
    <n v="834"/>
    <x v="0"/>
    <s v="rc_cat_1781955063347_5qjb_1781955063348_wpky"/>
    <x v="27"/>
    <s v="rc_acc_1781955063347_omhz"/>
    <x v="29"/>
    <s v=""/>
    <m/>
    <s v="-"/>
    <m/>
    <s v="import"/>
    <s v=""/>
    <b v="0"/>
    <s v=""/>
  </r>
  <r>
    <s v="9d991f80-667e-4754-ba50-5d36b3409639"/>
    <s v="2021-12-12"/>
    <x v="5"/>
    <x v="6"/>
    <n v="12"/>
    <s v="21:14"/>
    <n v="1218"/>
    <x v="0"/>
    <s v="entertain_1781955063347_8r8e"/>
    <x v="8"/>
    <s v="rc_acc_1781955063347_omhz"/>
    <x v="29"/>
    <s v=""/>
    <m/>
    <s v="seasons"/>
    <m/>
    <s v="import"/>
    <s v=""/>
    <b v="0"/>
    <s v=""/>
  </r>
  <r>
    <s v="d4a91b62-f346-4ecb-90fb-e05f93ccd7bd"/>
    <s v="2021-12-12"/>
    <x v="5"/>
    <x v="6"/>
    <n v="12"/>
    <s v="22:30"/>
    <n v="3340.56"/>
    <x v="0"/>
    <s v="rc_cat_1781955063347_s4sz_1781955063347_deos"/>
    <x v="6"/>
    <s v="rc_acc_1781955063347_sv7p"/>
    <x v="12"/>
    <s v=""/>
    <m/>
    <s v="datacamp"/>
    <m/>
    <s v="import"/>
    <s v=""/>
    <b v="0"/>
    <s v=""/>
  </r>
  <r>
    <s v="2bc531ff-7586-4acc-a98d-c8832addd72c"/>
    <s v="2021-12-11"/>
    <x v="5"/>
    <x v="6"/>
    <n v="11"/>
    <s v="16:59"/>
    <n v="82"/>
    <x v="0"/>
    <s v="rc_cat_1781955063347_5qjb_1781955063347_tezk"/>
    <x v="5"/>
    <s v="rc_acc_1781955063347_uxz4"/>
    <x v="4"/>
    <s v=""/>
    <m/>
    <s v="เกาเหลา"/>
    <m/>
    <s v="import"/>
    <s v=""/>
    <b v="0"/>
    <s v=""/>
  </r>
  <r>
    <s v="5c2c0054-1aa8-4206-9d0d-185419709956"/>
    <s v="2021-12-11"/>
    <x v="5"/>
    <x v="6"/>
    <n v="11"/>
    <s v="17:08"/>
    <n v="500"/>
    <x v="1"/>
    <s v="other"/>
    <x v="1"/>
    <s v="rc_acc_1781955063347_uxz4"/>
    <x v="4"/>
    <s v="rc_acc_1781955063348_998o"/>
    <s v="Line Pay"/>
    <s v="-"/>
    <m/>
    <s v="import"/>
    <s v=""/>
    <b v="0"/>
    <s v=""/>
  </r>
  <r>
    <s v="453b7f1c-3608-45d1-9712-40a0e1efb7a0"/>
    <s v="2021-12-11"/>
    <x v="5"/>
    <x v="6"/>
    <n v="11"/>
    <s v="19:03"/>
    <n v="229"/>
    <x v="1"/>
    <s v="other"/>
    <x v="1"/>
    <s v="rc_acc_1781955063348_998o"/>
    <x v="32"/>
    <s v="rc_acc_1781955063347_uxz4"/>
    <s v="SCB"/>
    <s v="-"/>
    <m/>
    <s v="import"/>
    <s v=""/>
    <b v="0"/>
    <s v=""/>
  </r>
  <r>
    <s v="ebd34e1c-e410-43da-bdfe-9a4b694fbcd4"/>
    <s v="2021-12-11"/>
    <x v="5"/>
    <x v="6"/>
    <n v="11"/>
    <s v="21:09"/>
    <n v="64"/>
    <x v="1"/>
    <s v="other"/>
    <x v="1"/>
    <s v="rc_acc_1781955063347_e3zv"/>
    <x v="16"/>
    <s v="rc_acc_1781955063347_uxz4"/>
    <s v="SCB"/>
    <s v="krispycream"/>
    <m/>
    <s v="import"/>
    <s v=""/>
    <b v="0"/>
    <s v=""/>
  </r>
  <r>
    <s v="6c699e65-6249-49f6-874a-9036c19dd182"/>
    <s v="2021-12-11"/>
    <x v="5"/>
    <x v="6"/>
    <n v="11"/>
    <s v="21:17"/>
    <n v="574"/>
    <x v="0"/>
    <s v="entertain_1781955063347_8r8e"/>
    <x v="8"/>
    <s v="rc_acc_1781955063347_kjxt"/>
    <x v="1"/>
    <s v=""/>
    <m/>
    <s v="carthographer"/>
    <m/>
    <s v="import"/>
    <s v=""/>
    <b v="0"/>
    <s v=""/>
  </r>
  <r>
    <s v="ac6562f0-6ca0-4e2f-9276-198a487b8ec5"/>
    <s v="2021-12-10"/>
    <x v="5"/>
    <x v="6"/>
    <n v="10"/>
    <s v="11:44"/>
    <n v="1848"/>
    <x v="1"/>
    <s v="other"/>
    <x v="1"/>
    <s v="rc_acc_1781955063347_uxz4"/>
    <x v="4"/>
    <s v="rc_acc_1781955063347_kjxt"/>
    <s v="KTC JCB"/>
    <s v="-"/>
    <m/>
    <s v="import"/>
    <s v=""/>
    <b v="0"/>
    <s v=""/>
  </r>
  <r>
    <s v="18f34bc0-ed64-477d-940e-47d35b608cb5"/>
    <s v="2021-12-10"/>
    <x v="5"/>
    <x v="6"/>
    <n v="10"/>
    <s v="11:55"/>
    <n v="401.79"/>
    <x v="2"/>
    <s v="income_1781955063347_zblt"/>
    <x v="17"/>
    <s v="rc_acc_1781955063347_uxz4"/>
    <x v="4"/>
    <s v=""/>
    <m/>
    <s v="มั"/>
    <m/>
    <s v="import"/>
    <s v=""/>
    <b v="0"/>
    <s v=""/>
  </r>
  <r>
    <s v="060e3355-533e-49b2-aed7-3789c8515e65"/>
    <s v="2021-12-10"/>
    <x v="5"/>
    <x v="6"/>
    <n v="10"/>
    <s v="13:04"/>
    <n v="4566"/>
    <x v="0"/>
    <s v="rc_cat_1781955063347_5qjb_1781955063347_irl1"/>
    <x v="0"/>
    <s v="rc_acc_1781955063347_hv85"/>
    <x v="5"/>
    <s v=""/>
    <m/>
    <s v="เครื่องซักผ้า LG(6/6)"/>
    <m/>
    <s v="import"/>
    <s v=""/>
    <b v="0"/>
    <s v=""/>
  </r>
  <r>
    <s v="5deda905-cbb7-4d42-8bd5-2f50951aed72"/>
    <s v="2021-12-10"/>
    <x v="5"/>
    <x v="6"/>
    <n v="10"/>
    <s v="13:04"/>
    <n v="694.2"/>
    <x v="0"/>
    <s v="rc_cat_1781955063347_5qjb_1781955063347_irl1"/>
    <x v="0"/>
    <s v="rc_acc_1781955063347_hv85"/>
    <x v="5"/>
    <s v=""/>
    <m/>
    <s v="ชั้น พัดลม homepro(6/6)"/>
    <m/>
    <s v="import"/>
    <s v=""/>
    <b v="0"/>
    <s v=""/>
  </r>
  <r>
    <s v="080518a9-c7ea-4ec7-a79e-6ad288c3846e"/>
    <s v="2021-12-10"/>
    <x v="5"/>
    <x v="6"/>
    <n v="10"/>
    <s v="13:12"/>
    <n v="2080"/>
    <x v="1"/>
    <s v="other"/>
    <x v="1"/>
    <s v="rc_acc_1781955063347_uxz4"/>
    <x v="4"/>
    <s v="rc_acc_1781955063348_w3gp"/>
    <s v="UOB world"/>
    <s v="-"/>
    <m/>
    <s v="import"/>
    <s v=""/>
    <b v="0"/>
    <s v=""/>
  </r>
  <r>
    <s v="f2b266bf-8898-4861-89ea-caadf87aa03c"/>
    <s v="2021-12-10"/>
    <x v="5"/>
    <x v="6"/>
    <n v="10"/>
    <s v="22:46"/>
    <n v="2080"/>
    <x v="2"/>
    <s v="income_1781955063347_zblt"/>
    <x v="17"/>
    <s v="rc_acc_1781955063347_uxz4"/>
    <x v="4"/>
    <s v=""/>
    <m/>
    <s v="-"/>
    <m/>
    <s v="import"/>
    <s v=""/>
    <b v="0"/>
    <s v=""/>
  </r>
  <r>
    <s v="09909e58-7603-40bf-9dcc-a4233dc9f99a"/>
    <s v="2021-12-09"/>
    <x v="5"/>
    <x v="6"/>
    <n v="9"/>
    <s v="00:00"/>
    <n v="1105.47"/>
    <x v="0"/>
    <s v="rc_cat_1781955063347_04qb_1781955063347_wt5p"/>
    <x v="3"/>
    <s v="rc_acc_1781955063347_uxz4"/>
    <x v="4"/>
    <s v=""/>
    <m/>
    <s v="-"/>
    <m/>
    <s v="import"/>
    <s v=""/>
    <b v="0"/>
    <s v=""/>
  </r>
  <r>
    <s v="eb73aed2-c11b-400b-8839-402bee9b7b9d"/>
    <s v="2021-12-09"/>
    <x v="5"/>
    <x v="6"/>
    <n v="9"/>
    <s v="13:49"/>
    <n v="1848"/>
    <x v="0"/>
    <s v="rc_cat_1781955063347_anhy_1781955063348_k5l1"/>
    <x v="16"/>
    <s v="rc_acc_1781955063347_kjxt"/>
    <x v="1"/>
    <s v=""/>
    <m/>
    <s v="-"/>
    <m/>
    <s v="import"/>
    <s v=""/>
    <b v="0"/>
    <s v=""/>
  </r>
  <r>
    <s v="3bb6f369-c285-4bbc-b2e2-76ff03087fa1"/>
    <s v="2021-12-05"/>
    <x v="5"/>
    <x v="6"/>
    <n v="5"/>
    <s v="00:00"/>
    <n v="2299"/>
    <x v="0"/>
    <s v="entertain_1781955063347_8r8e"/>
    <x v="8"/>
    <s v="rc_acc_1781955063347_uxz4"/>
    <x v="4"/>
    <s v=""/>
    <m/>
    <s v="-"/>
    <m/>
    <s v="import"/>
    <s v=""/>
    <b v="0"/>
    <s v=""/>
  </r>
  <r>
    <s v="91321d6b-e482-4b1d-99e5-d6ec940a958e"/>
    <s v="2021-12-05"/>
    <x v="5"/>
    <x v="6"/>
    <n v="5"/>
    <s v="16:09"/>
    <n v="428"/>
    <x v="0"/>
    <s v="entertain_1781955063348_32wr"/>
    <x v="23"/>
    <s v="rc_acc_1781955063347_sv7p"/>
    <x v="12"/>
    <s v=""/>
    <m/>
    <s v="-"/>
    <m/>
    <s v="import"/>
    <s v=""/>
    <b v="0"/>
    <s v=""/>
  </r>
  <r>
    <s v="63b29835-151a-4d83-8753-31eb2b99d161"/>
    <s v="2021-12-05"/>
    <x v="5"/>
    <x v="6"/>
    <n v="5"/>
    <s v="16:09"/>
    <n v="240"/>
    <x v="0"/>
    <s v="entertain_1781955063347_8r8e"/>
    <x v="8"/>
    <s v="kbank"/>
    <x v="0"/>
    <s v=""/>
    <m/>
    <s v="-"/>
    <m/>
    <s v="import"/>
    <s v=""/>
    <b v="0"/>
    <s v=""/>
  </r>
  <r>
    <s v="5948922a-5ec6-4eec-8617-ed49a4649097"/>
    <s v="2021-12-04"/>
    <x v="5"/>
    <x v="6"/>
    <n v="4"/>
    <s v="00:00"/>
    <n v="600"/>
    <x v="1"/>
    <s v="other"/>
    <x v="1"/>
    <s v="rc_acc_1781955063347_uxz4"/>
    <x v="4"/>
    <s v="rc_acc_1781955063347_omhz"/>
    <s v="Shopee"/>
    <s v="-"/>
    <m/>
    <s v="import"/>
    <s v=""/>
    <b v="0"/>
    <s v=""/>
  </r>
  <r>
    <s v="19dec8aa-c816-4fb6-9409-8cbfab4dc37d"/>
    <s v="2021-12-04"/>
    <x v="5"/>
    <x v="6"/>
    <n v="4"/>
    <s v="09:51"/>
    <n v="9614.12"/>
    <x v="1"/>
    <s v="other"/>
    <x v="1"/>
    <s v="rc_acc_1781955063347_uxz4"/>
    <x v="4"/>
    <s v="rc_acc_1781955063347_kjxt"/>
    <s v="KTC JCB"/>
    <s v="รวมที่ออกล่วงหน้า 5300 ค่าตรวจสุขภาพ"/>
    <m/>
    <s v="import"/>
    <s v=""/>
    <b v="0"/>
    <s v=""/>
  </r>
  <r>
    <s v="bff4dce9-0bd5-4917-964f-69dca620190d"/>
    <s v="2021-12-04"/>
    <x v="5"/>
    <x v="6"/>
    <n v="4"/>
    <s v="14:16"/>
    <n v="2080"/>
    <x v="0"/>
    <s v="other_1781955063347_5s7r"/>
    <x v="15"/>
    <s v="rc_acc_1781955063347_sv7p"/>
    <x v="12"/>
    <s v=""/>
    <m/>
    <s v="ออกล่วงหน้า evenboy"/>
    <m/>
    <s v="import"/>
    <s v=""/>
    <b v="0"/>
    <s v=""/>
  </r>
  <r>
    <s v="69be1d4f-63c0-4b40-9876-a02b8868cffd"/>
    <s v="2021-12-04"/>
    <x v="5"/>
    <x v="6"/>
    <n v="4"/>
    <s v="22:44"/>
    <n v="5300"/>
    <x v="1"/>
    <s v="other"/>
    <x v="1"/>
    <s v="rc_acc_1781955063347_0qmn"/>
    <x v="20"/>
    <s v="rc_acc_1781955063347_uxz4"/>
    <s v="SCB"/>
    <s v="-"/>
    <m/>
    <s v="import"/>
    <s v=""/>
    <b v="0"/>
    <s v=""/>
  </r>
  <r>
    <s v="9605c362-5c97-4539-b79c-249356bbb513"/>
    <s v="2021-12-02"/>
    <x v="5"/>
    <x v="6"/>
    <n v="2"/>
    <s v="10:27"/>
    <n v="50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0125b01-b59c-4346-9783-d748dbd4fa5d"/>
    <s v="2021-12-02"/>
    <x v="5"/>
    <x v="6"/>
    <n v="2"/>
    <s v="23:08"/>
    <n v="190000"/>
    <x v="1"/>
    <s v="other"/>
    <x v="1"/>
    <s v="kbank"/>
    <x v="0"/>
    <s v="rc_acc_1781955063349_yz2g"/>
    <s v="Investment"/>
    <s v="-"/>
    <m/>
    <s v="import"/>
    <s v=""/>
    <b v="0"/>
    <s v=""/>
  </r>
  <r>
    <s v="5077d14f-a3c5-432b-92c5-6c184ac9382e"/>
    <s v="2021-12-01"/>
    <x v="5"/>
    <x v="6"/>
    <n v="1"/>
    <s v="00:00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1bfccab5-8fe5-4eeb-b99c-072afe331a6f"/>
    <s v="2021-12-01"/>
    <x v="5"/>
    <x v="6"/>
    <n v="1"/>
    <s v="00:00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9322b698-ea7e-4460-b596-79c811f743e9"/>
    <s v="2021-12-01"/>
    <x v="5"/>
    <x v="6"/>
    <n v="1"/>
    <s v="11:25"/>
    <n v="10000"/>
    <x v="1"/>
    <s v="other"/>
    <x v="1"/>
    <s v="rc_acc_1781955063349_qn1n"/>
    <x v="31"/>
    <s v="rc_acc_1781955063347_uxz4"/>
    <s v="SCB"/>
    <s v="Yuang"/>
    <m/>
    <s v="import"/>
    <s v=""/>
    <b v="0"/>
    <s v=""/>
  </r>
  <r>
    <s v="66d0c9ff-29ac-41f4-9809-0f91ec7ab479"/>
    <s v="2021-11-30"/>
    <x v="5"/>
    <x v="7"/>
    <n v="30"/>
    <s v="08:18"/>
    <n v="83"/>
    <x v="0"/>
    <s v="rc_cat_1781955063347_5qjb_1781955063347_tezk"/>
    <x v="5"/>
    <s v="rc_acc_1781955063347_uxz4"/>
    <x v="4"/>
    <s v=""/>
    <m/>
    <s v="เกาเหลา"/>
    <m/>
    <s v="import"/>
    <s v=""/>
    <b v="0"/>
    <s v=""/>
  </r>
  <r>
    <s v="efa26ad6-6bf6-4c3c-8444-e80d8a61a158"/>
    <s v="2021-11-30"/>
    <x v="5"/>
    <x v="7"/>
    <n v="30"/>
    <s v="08:27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e2dea58e-1139-48db-b87d-239e94db9afd"/>
    <s v="2021-11-30"/>
    <x v="5"/>
    <x v="7"/>
    <n v="30"/>
    <s v="11:23"/>
    <n v="209"/>
    <x v="0"/>
    <s v="rc_cat_1781955063347_5qjb_1781955063347_tezk"/>
    <x v="5"/>
    <s v="rc_acc_1781955063347_uxz4"/>
    <x v="4"/>
    <s v=""/>
    <m/>
    <s v="เบอร์เกอร์ rbh"/>
    <m/>
    <s v="import"/>
    <s v=""/>
    <b v="0"/>
    <s v=""/>
  </r>
  <r>
    <s v="56f45d28-020a-4b8a-b904-9e6eaec5b8e3"/>
    <s v="2021-11-30"/>
    <x v="5"/>
    <x v="7"/>
    <n v="30"/>
    <s v="11:38"/>
    <n v="30"/>
    <x v="0"/>
    <s v="entertain_1781955063347_2t5k"/>
    <x v="33"/>
    <s v="rc_acc_1781955063347_hv85"/>
    <x v="5"/>
    <s v=""/>
    <m/>
    <s v="spirit island app"/>
    <m/>
    <s v="import"/>
    <s v=""/>
    <b v="0"/>
    <s v=""/>
  </r>
  <r>
    <s v="600fba41-6139-46d7-820f-9e03cacf5f09"/>
    <s v="2021-11-30"/>
    <x v="5"/>
    <x v="7"/>
    <n v="30"/>
    <s v="17:17"/>
    <n v="20000"/>
    <x v="1"/>
    <s v="other"/>
    <x v="1"/>
    <s v="rc_acc_1781955063347_uxz4"/>
    <x v="4"/>
    <s v="kbank"/>
    <s v="KBank"/>
    <s v="-"/>
    <m/>
    <s v="import"/>
    <s v=""/>
    <b v="0"/>
    <s v=""/>
  </r>
  <r>
    <s v="633689e5-cb01-4f7a-a943-1909510b2ae5"/>
    <s v="2021-11-30"/>
    <x v="5"/>
    <x v="7"/>
    <n v="30"/>
    <s v="19:17"/>
    <n v="1105.48"/>
    <x v="0"/>
    <s v="rc_cat_1781955063347_04qb_1781955063347_wt5p"/>
    <x v="3"/>
    <s v="kbank"/>
    <x v="0"/>
    <s v=""/>
    <m/>
    <s v="-"/>
    <m/>
    <s v="import"/>
    <s v=""/>
    <b v="0"/>
    <s v=""/>
  </r>
  <r>
    <s v="5f620f7c-773e-41e2-a11e-9e4813c550fb"/>
    <s v="2021-11-30"/>
    <x v="5"/>
    <x v="7"/>
    <n v="30"/>
    <s v="19:25"/>
    <n v="288"/>
    <x v="0"/>
    <s v="rc_cat_1781955063347_5qjb_1781955063347_tezk"/>
    <x v="5"/>
    <s v="rc_acc_1781955063347_0qmn"/>
    <x v="20"/>
    <s v=""/>
    <m/>
    <s v="สั่งข้าว shopee 91 70 70 57"/>
    <m/>
    <s v="import"/>
    <s v=""/>
    <b v="0"/>
    <s v=""/>
  </r>
  <r>
    <s v="34757089-397e-4922-9033-ee2d1beeea52"/>
    <s v="2021-11-30"/>
    <x v="5"/>
    <x v="7"/>
    <n v="30"/>
    <s v="19:27"/>
    <n v="288"/>
    <x v="1"/>
    <s v="other"/>
    <x v="1"/>
    <s v="rc_acc_1781955063347_omhz"/>
    <x v="29"/>
    <s v="rc_acc_1781955063347_uxz4"/>
    <s v="SCB"/>
    <s v="-"/>
    <m/>
    <s v="import"/>
    <s v=""/>
    <b v="0"/>
    <s v=""/>
  </r>
  <r>
    <s v="792a5b85-ef5b-42c7-b947-761ca41415be"/>
    <s v="2021-11-30"/>
    <x v="5"/>
    <x v="7"/>
    <n v="30"/>
    <s v="19:29"/>
    <n v="145"/>
    <x v="0"/>
    <s v="rc_cat_1781955063347_5qjb_1781955063347_tezk"/>
    <x v="5"/>
    <s v="rc_acc_1781955063347_0qmn"/>
    <x v="20"/>
    <s v=""/>
    <m/>
    <s v="coffilism"/>
    <m/>
    <s v="import"/>
    <s v=""/>
    <b v="0"/>
    <s v=""/>
  </r>
  <r>
    <s v="fbee98c2-c152-4ad2-be01-18a33c42ff4b"/>
    <s v="2021-11-30"/>
    <x v="5"/>
    <x v="7"/>
    <n v="30"/>
    <s v="19:30"/>
    <n v="145"/>
    <x v="1"/>
    <s v="other"/>
    <x v="1"/>
    <s v="rc_acc_1781955063347_omhz"/>
    <x v="29"/>
    <s v="rc_acc_1781955063347_uxz4"/>
    <s v="SCB"/>
    <s v="-"/>
    <m/>
    <s v="import"/>
    <s v=""/>
    <b v="0"/>
    <s v=""/>
  </r>
  <r>
    <s v="68181516-66d9-4e53-93b8-3a545cca0874"/>
    <s v="2021-11-30"/>
    <x v="5"/>
    <x v="7"/>
    <n v="30"/>
    <s v="19:31"/>
    <n v="7974"/>
    <x v="1"/>
    <s v="other"/>
    <x v="1"/>
    <s v="rc_acc_1781955063347_0qmn"/>
    <x v="20"/>
    <s v="rc_acc_1781955063347_uxz4"/>
    <s v="SCB"/>
    <s v="-"/>
    <m/>
    <s v="import"/>
    <s v=""/>
    <b v="0"/>
    <s v=""/>
  </r>
  <r>
    <s v="9a6228b7-d94f-4351-8e9d-085dcc95378b"/>
    <s v="2021-11-30"/>
    <x v="5"/>
    <x v="7"/>
    <n v="30"/>
    <s v="19:35"/>
    <n v="10000"/>
    <x v="2"/>
    <s v="income_1781955063347_5zxt"/>
    <x v="14"/>
    <s v="rc_acc_1781955063347_0qmn"/>
    <x v="20"/>
    <s v=""/>
    <m/>
    <s v="หงโอน"/>
    <m/>
    <s v="import"/>
    <s v=""/>
    <b v="0"/>
    <s v=""/>
  </r>
  <r>
    <s v="63860bb7-49a6-409e-a6be-842f4a1ceb53"/>
    <s v="2021-11-30"/>
    <x v="5"/>
    <x v="7"/>
    <n v="30"/>
    <s v="19:45"/>
    <n v="5000"/>
    <x v="1"/>
    <s v="other"/>
    <x v="1"/>
    <s v="rc_acc_1781955063347_0qmn"/>
    <x v="20"/>
    <s v="rc_acc_1781955063347_e3zv"/>
    <s v="Cash"/>
    <s v="-"/>
    <m/>
    <s v="import"/>
    <s v=""/>
    <b v="0"/>
    <s v=""/>
  </r>
  <r>
    <s v="9702b124-0e2c-4661-95ed-8760a73bb75a"/>
    <s v="2021-11-30"/>
    <x v="5"/>
    <x v="7"/>
    <n v="30"/>
    <s v="19:52"/>
    <n v="1094"/>
    <x v="0"/>
    <s v="entertain_1781955063347_8r8e"/>
    <x v="8"/>
    <s v="rc_acc_1781955063347_kjxt"/>
    <x v="1"/>
    <s v=""/>
    <m/>
    <s v="kraftwagen boardgame"/>
    <m/>
    <s v="import"/>
    <s v=""/>
    <b v="0"/>
    <s v=""/>
  </r>
  <r>
    <s v="1fa1081d-9334-46d1-b75c-e1d33d0c4956"/>
    <s v="2021-11-30"/>
    <x v="5"/>
    <x v="7"/>
    <n v="30"/>
    <s v="23:04"/>
    <n v="170000"/>
    <x v="1"/>
    <s v="other"/>
    <x v="1"/>
    <s v="rc_acc_1781955063347_uxz4"/>
    <x v="4"/>
    <s v="kbank"/>
    <s v="KBank"/>
    <s v="-"/>
    <m/>
    <s v="import"/>
    <s v=""/>
    <b v="0"/>
    <s v=""/>
  </r>
  <r>
    <s v="f43302a8-07bc-483c-b35b-3b06717c68f4"/>
    <s v="2021-11-29"/>
    <x v="5"/>
    <x v="7"/>
    <n v="29"/>
    <s v="19:34"/>
    <n v="17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cbe4d3a6-1736-4b0b-8f6d-b84766b90a38"/>
    <s v="2021-11-28"/>
    <x v="5"/>
    <x v="7"/>
    <n v="28"/>
    <s v="10:01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193a8287-5f8d-4386-83f1-f771eac27de5"/>
    <s v="2021-11-28"/>
    <x v="5"/>
    <x v="7"/>
    <n v="28"/>
    <s v="10:24"/>
    <n v="446.16"/>
    <x v="0"/>
    <s v="rc_cat_1781955063347_5qjb_1781955063347_tezk"/>
    <x v="5"/>
    <s v="rc_acc_1781955063347_0qmn"/>
    <x v="20"/>
    <s v=""/>
    <m/>
    <s v="RBH 24 - 28"/>
    <m/>
    <s v="import"/>
    <s v=""/>
    <b v="0"/>
    <s v=""/>
  </r>
  <r>
    <s v="f332436d-84d6-4405-80df-7a3411d24a05"/>
    <s v="2021-11-28"/>
    <x v="5"/>
    <x v="7"/>
    <n v="28"/>
    <s v="11:56"/>
    <n v="10000"/>
    <x v="1"/>
    <s v="other"/>
    <x v="1"/>
    <s v="rc_acc_1781955063347_uxz4"/>
    <x v="4"/>
    <s v="rc_acc_1781955063347_0qmn"/>
    <s v="Marriage account"/>
    <s v="โอนเพิ่ม"/>
    <m/>
    <s v="import"/>
    <s v=""/>
    <b v="0"/>
    <s v=""/>
  </r>
  <r>
    <s v="398f9c7f-57df-49bb-9b70-2b0bf47e8ff1"/>
    <s v="2021-11-28"/>
    <x v="5"/>
    <x v="7"/>
    <n v="28"/>
    <s v="12:07"/>
    <n v="417"/>
    <x v="1"/>
    <s v="other"/>
    <x v="1"/>
    <s v="rc_acc_1781955063347_pixu"/>
    <x v="37"/>
    <s v="rc_acc_1781955063347_uxz4"/>
    <s v="SCB"/>
    <s v="-"/>
    <m/>
    <s v="import"/>
    <s v=""/>
    <b v="0"/>
    <s v=""/>
  </r>
  <r>
    <s v="9274146b-3c91-431f-9828-ef2463e1c2b7"/>
    <s v="2021-11-28"/>
    <x v="5"/>
    <x v="7"/>
    <n v="28"/>
    <s v="12:07"/>
    <n v="500"/>
    <x v="1"/>
    <s v="other"/>
    <x v="1"/>
    <s v="rc_acc_1781955063348_2vnx"/>
    <x v="36"/>
    <s v="rc_acc_1781955063347_uxz4"/>
    <s v="SCB"/>
    <s v="-"/>
    <m/>
    <s v="import"/>
    <s v=""/>
    <b v="0"/>
    <s v=""/>
  </r>
  <r>
    <s v="19f6b6a9-f9e5-471b-bef8-2fdea273d6e0"/>
    <s v="2021-11-28"/>
    <x v="5"/>
    <x v="7"/>
    <n v="28"/>
    <s v="14:21"/>
    <n v="531"/>
    <x v="1"/>
    <s v="other"/>
    <x v="1"/>
    <s v="rc_acc_1781955063347_e3zv"/>
    <x v="16"/>
    <s v="rc_acc_1781955063347_uxz4"/>
    <s v="SCB"/>
    <s v="-"/>
    <m/>
    <s v="import"/>
    <s v=""/>
    <b v="0"/>
    <s v=""/>
  </r>
  <r>
    <s v="199095b5-7a92-4f7d-9c38-5a36dfb979e0"/>
    <s v="2021-11-28"/>
    <x v="5"/>
    <x v="7"/>
    <n v="28"/>
    <s v="14:21"/>
    <n v="531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d8ea300c-1960-45de-bb73-a2f2d78debca"/>
    <s v="2021-11-28"/>
    <x v="5"/>
    <x v="7"/>
    <n v="28"/>
    <s v="14:36"/>
    <n v="70"/>
    <x v="0"/>
    <s v="rc_cat_1781955063347_5qjb_1781955063348_wpky"/>
    <x v="27"/>
    <s v="rc_acc_1781955063347_0qmn"/>
    <x v="20"/>
    <s v=""/>
    <m/>
    <s v="กล่องขนม"/>
    <m/>
    <s v="import"/>
    <s v=""/>
    <b v="0"/>
    <s v=""/>
  </r>
  <r>
    <s v="40198838-214e-43da-a383-b3f1c4b9cc48"/>
    <s v="2021-11-28"/>
    <x v="5"/>
    <x v="7"/>
    <n v="28"/>
    <s v="14:47"/>
    <n v="1513"/>
    <x v="0"/>
    <s v="rc_cat_1781955063347_5qjb_1781955063347_tezk"/>
    <x v="5"/>
    <s v="rc_acc_1781955063347_0qmn"/>
    <x v="20"/>
    <s v=""/>
    <m/>
    <s v="grab"/>
    <m/>
    <s v="import"/>
    <s v=""/>
    <b v="0"/>
    <s v=""/>
  </r>
  <r>
    <s v="7de6b927-5f97-4d7e-9df1-58a3d4042fc5"/>
    <s v="2021-11-28"/>
    <x v="5"/>
    <x v="7"/>
    <n v="28"/>
    <s v="19:28"/>
    <n v="200"/>
    <x v="0"/>
    <s v="rc_cat_1781955063347_5qjb_1781955063347_tezk"/>
    <x v="5"/>
    <s v="rc_acc_1781955063347_uxz4"/>
    <x v="4"/>
    <s v=""/>
    <m/>
    <s v="เบอร์เกอร์วันบอดเกม"/>
    <m/>
    <s v="import"/>
    <s v=""/>
    <b v="0"/>
    <s v=""/>
  </r>
  <r>
    <s v="49b79ef6-11f8-4434-b5ab-bbcfaad23b5c"/>
    <s v="2021-11-28"/>
    <x v="5"/>
    <x v="7"/>
    <n v="28"/>
    <s v="19:36"/>
    <n v="1226"/>
    <x v="0"/>
    <s v="rc_cat_1781955063347_5qjb_1781955063348_wpky"/>
    <x v="27"/>
    <s v="rc_acc_1781955063347_0qmn"/>
    <x v="20"/>
    <s v=""/>
    <m/>
    <s v="macro"/>
    <m/>
    <s v="import"/>
    <s v=""/>
    <b v="0"/>
    <s v=""/>
  </r>
  <r>
    <s v="530f2703-140d-423d-b9ef-ac33419aa35d"/>
    <s v="2021-11-27"/>
    <x v="5"/>
    <x v="7"/>
    <n v="27"/>
    <s v="11:37"/>
    <n v="738.58"/>
    <x v="0"/>
    <s v="entertain_1781955063347_2t5k"/>
    <x v="33"/>
    <s v="rc_acc_1781955063347_hv85"/>
    <x v="5"/>
    <s v=""/>
    <m/>
    <s v="steam game"/>
    <m/>
    <s v="import"/>
    <s v=""/>
    <b v="0"/>
    <s v=""/>
  </r>
  <r>
    <s v="4bdca62f-1e36-4d45-8c28-9691dfa23712"/>
    <s v="2021-11-26"/>
    <x v="5"/>
    <x v="7"/>
    <n v="26"/>
    <s v="08:07"/>
    <n v="55"/>
    <x v="0"/>
    <s v="rc_cat_1781955063347_5qjb_1781955063347_tezk"/>
    <x v="5"/>
    <s v="rc_acc_1781955063348_u1qk"/>
    <x v="35"/>
    <s v=""/>
    <m/>
    <s v="-"/>
    <m/>
    <s v="import"/>
    <s v=""/>
    <b v="0"/>
    <s v=""/>
  </r>
  <r>
    <s v="75d35c83-7df7-4521-a482-8d1dc793208a"/>
    <s v="2021-11-26"/>
    <x v="5"/>
    <x v="7"/>
    <n v="26"/>
    <s v="12:56"/>
    <n v="104"/>
    <x v="0"/>
    <s v="rc_cat_1781955063347_5qjb_1781955063347_tezk"/>
    <x v="5"/>
    <s v="rc_acc_1781955063347_uxz4"/>
    <x v="4"/>
    <s v=""/>
    <m/>
    <s v="เยนตาโฟ และกาแฟ"/>
    <m/>
    <s v="import"/>
    <s v=""/>
    <b v="0"/>
    <s v=""/>
  </r>
  <r>
    <s v="1c1c4a0d-971f-4815-8dc3-b79237a43153"/>
    <s v="2021-11-26"/>
    <x v="5"/>
    <x v="7"/>
    <n v="26"/>
    <s v="18:51"/>
    <n v="906"/>
    <x v="0"/>
    <s v="rc_cat_1781955063347_5qjb_1781955063347_tezk"/>
    <x v="5"/>
    <s v="rc_acc_1781955063347_0qmn"/>
    <x v="20"/>
    <s v=""/>
    <m/>
    <s v="บาบิก้อน"/>
    <m/>
    <s v="import"/>
    <s v=""/>
    <b v="0"/>
    <s v=""/>
  </r>
  <r>
    <s v="a5166be6-b152-4bcd-b2d7-89de7ac1513e"/>
    <s v="2021-11-25"/>
    <x v="5"/>
    <x v="7"/>
    <n v="25"/>
    <s v="00:00"/>
    <n v="139.35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735b308b-8aa6-4be1-be8c-68975b94a81e"/>
    <s v="2021-11-25"/>
    <x v="5"/>
    <x v="7"/>
    <n v="25"/>
    <s v="00:00"/>
    <n v="641.43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09488fb1-6b96-4c7b-a955-b17adf1d136f"/>
    <s v="2021-11-25"/>
    <x v="5"/>
    <x v="7"/>
    <n v="25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6b25c43d-e246-4552-94ba-772dc34ed6d1"/>
    <s v="2021-11-25"/>
    <x v="5"/>
    <x v="7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33b18d39-052e-4b19-a7ab-24d7f16fd700"/>
    <s v="2021-11-25"/>
    <x v="5"/>
    <x v="7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21f0fcdb-887c-497b-b6b6-805cb50fb87e"/>
    <s v="2021-11-25"/>
    <x v="5"/>
    <x v="7"/>
    <n v="25"/>
    <s v="00:00"/>
    <n v="1917.8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8d114dee-3559-49c1-ba21-5c15a30c2574"/>
    <s v="2021-11-25"/>
    <x v="5"/>
    <x v="7"/>
    <n v="25"/>
    <s v="00:00"/>
    <n v="95890"/>
    <x v="2"/>
    <s v="income_1781955063347_5zxt"/>
    <x v="14"/>
    <s v="rc_acc_1781955063347_uxz4"/>
    <x v="4"/>
    <s v=""/>
    <m/>
    <s v="-"/>
    <m/>
    <s v="import"/>
    <s v=""/>
    <b v="0"/>
    <s v=""/>
  </r>
  <r>
    <s v="bd378511-419a-4c38-b573-6945cca6b5d8"/>
    <s v="2021-11-23"/>
    <x v="5"/>
    <x v="7"/>
    <n v="23"/>
    <s v="10:34"/>
    <n v="190"/>
    <x v="0"/>
    <s v="rc_cat_1781955063347_5qjb_1781955063347_tezk"/>
    <x v="5"/>
    <s v="rc_acc_1781955063347_0qmn"/>
    <x v="20"/>
    <s v=""/>
    <m/>
    <s v="จี้ฮอง"/>
    <m/>
    <s v="import"/>
    <s v=""/>
    <b v="0"/>
    <s v=""/>
  </r>
  <r>
    <s v="e188a055-7a52-4820-8738-674c6c3f54ab"/>
    <s v="2021-11-23"/>
    <x v="5"/>
    <x v="7"/>
    <n v="23"/>
    <s v="13:00"/>
    <n v="528"/>
    <x v="0"/>
    <s v="entertain_1781955063349_gok1"/>
    <x v="18"/>
    <s v="rc_acc_1781955063349_mitc"/>
    <x v="23"/>
    <s v=""/>
    <m/>
    <s v="ของฝาก"/>
    <m/>
    <s v="import"/>
    <s v=""/>
    <b v="0"/>
    <s v=""/>
  </r>
  <r>
    <s v="27004924-2e14-4301-8b8e-ce3f24cd883d"/>
    <s v="2021-11-23"/>
    <x v="5"/>
    <x v="7"/>
    <n v="23"/>
    <s v="13:03"/>
    <n v="96"/>
    <x v="0"/>
    <s v="rc_cat_1781955063347_5qjb_1781955063347_tezk"/>
    <x v="5"/>
    <s v="rc_acc_1781955063349_mitc"/>
    <x v="23"/>
    <s v=""/>
    <m/>
    <s v="กาฟ asterisk"/>
    <m/>
    <s v="import"/>
    <s v=""/>
    <b v="0"/>
    <s v=""/>
  </r>
  <r>
    <s v="22e763ba-efa2-467f-b3f1-4794de39ca11"/>
    <s v="2021-11-23"/>
    <x v="5"/>
    <x v="7"/>
    <n v="23"/>
    <s v="16:16"/>
    <n v="50"/>
    <x v="0"/>
    <s v="rc_cat_1781955063347_5qjb_1781955063347_tezk"/>
    <x v="5"/>
    <s v="rc_acc_1781955063347_0qmn"/>
    <x v="20"/>
    <s v=""/>
    <m/>
    <s v="โรตี"/>
    <m/>
    <s v="import"/>
    <s v=""/>
    <b v="0"/>
    <s v=""/>
  </r>
  <r>
    <s v="be19b26e-a304-4c01-8e23-ea7da398c6b9"/>
    <s v="2021-11-23"/>
    <x v="5"/>
    <x v="7"/>
    <n v="23"/>
    <s v="18:16"/>
    <n v="850"/>
    <x v="0"/>
    <s v="rc_cat_1781955063347_5qjb_1781955063348_edf6"/>
    <x v="30"/>
    <s v="rc_acc_1781955063347_kjxt"/>
    <x v="1"/>
    <s v=""/>
    <m/>
    <s v="-"/>
    <m/>
    <s v="import"/>
    <s v=""/>
    <b v="0"/>
    <s v=""/>
  </r>
  <r>
    <s v="6ce2f05b-ca78-45d0-96dd-34d0fb68829d"/>
    <s v="2021-11-23"/>
    <x v="5"/>
    <x v="7"/>
    <n v="23"/>
    <s v="18:22"/>
    <n v="89"/>
    <x v="0"/>
    <s v="rc_cat_1781955063347_5qjb_1781955063347_tezk"/>
    <x v="5"/>
    <s v="rc_acc_1781955063347_0qmn"/>
    <x v="20"/>
    <s v=""/>
    <m/>
    <s v="foodcourt airport"/>
    <m/>
    <s v="import"/>
    <s v=""/>
    <b v="0"/>
    <s v=""/>
  </r>
  <r>
    <s v="1e1966cb-656e-4e74-a1d5-c104adca013c"/>
    <s v="2021-11-23"/>
    <x v="5"/>
    <x v="7"/>
    <n v="23"/>
    <s v="21:30"/>
    <n v="1000"/>
    <x v="0"/>
    <s v="entertain_1781955063349_gok1"/>
    <x v="18"/>
    <s v="rc_acc_1781955063347_e3zv"/>
    <x v="16"/>
    <s v=""/>
    <m/>
    <s v="carpark fee"/>
    <m/>
    <s v="import"/>
    <s v=""/>
    <b v="0"/>
    <s v=""/>
  </r>
  <r>
    <s v="5fde4967-22cd-4d41-94a8-c19ade9e4d24"/>
    <s v="2021-11-22"/>
    <x v="5"/>
    <x v="7"/>
    <n v="22"/>
    <s v="11:24"/>
    <n v="250"/>
    <x v="0"/>
    <s v="rc_cat_1781955063347_5qjb_1781955063347_tezk"/>
    <x v="5"/>
    <s v="rc_acc_1781955063347_0qmn"/>
    <x v="20"/>
    <s v=""/>
    <m/>
    <s v="มาลาติ่มซำ"/>
    <m/>
    <s v="import"/>
    <s v=""/>
    <b v="0"/>
    <s v=""/>
  </r>
  <r>
    <s v="90eb1ef9-9fae-41bc-b02b-4fb7a58ca4c7"/>
    <s v="2021-11-22"/>
    <x v="5"/>
    <x v="7"/>
    <n v="22"/>
    <s v="11:57"/>
    <n v="60"/>
    <x v="0"/>
    <s v="entertain_1781955063348_kx2f"/>
    <x v="0"/>
    <s v="rc_acc_1781955063348_w3gp"/>
    <x v="6"/>
    <s v=""/>
    <m/>
    <s v="spirit island app"/>
    <m/>
    <s v="import"/>
    <s v=""/>
    <b v="0"/>
    <s v=""/>
  </r>
  <r>
    <s v="1ddd92da-eec5-43c8-bdb8-af3dafdf394a"/>
    <s v="2021-11-22"/>
    <x v="5"/>
    <x v="7"/>
    <n v="22"/>
    <s v="12:25"/>
    <n v="160"/>
    <x v="0"/>
    <s v="rc_cat_1781955063347_5qjb_1781955063347_tezk"/>
    <x v="5"/>
    <s v="rc_acc_1781955063347_0qmn"/>
    <x v="20"/>
    <s v=""/>
    <m/>
    <s v="cafe hill"/>
    <m/>
    <s v="import"/>
    <s v=""/>
    <b v="0"/>
    <s v=""/>
  </r>
  <r>
    <s v="a2f31fb9-42af-4bfb-aef8-087512ef9604"/>
    <s v="2021-11-22"/>
    <x v="5"/>
    <x v="7"/>
    <n v="22"/>
    <s v="13:25"/>
    <n v="200"/>
    <x v="0"/>
    <s v="entertain_1781955063349_gok1"/>
    <x v="18"/>
    <s v="rc_acc_1781955063347_e3zv"/>
    <x v="16"/>
    <s v=""/>
    <m/>
    <s v="ค่ารถขึ้นเขา"/>
    <m/>
    <s v="import"/>
    <s v=""/>
    <b v="0"/>
    <s v=""/>
  </r>
  <r>
    <s v="78644fe1-aed7-40d3-a5e8-3a92ab3e0488"/>
    <s v="2021-11-22"/>
    <x v="5"/>
    <x v="7"/>
    <n v="22"/>
    <s v="18:03"/>
    <n v="620"/>
    <x v="0"/>
    <s v="rc_cat_1781955063347_5qjb_1781955063347_tezk"/>
    <x v="5"/>
    <s v="rc_acc_1781955063347_e3zv"/>
    <x v="16"/>
    <s v=""/>
    <m/>
    <s v="ฮ้องข้าวต้มปลา"/>
    <m/>
    <s v="import"/>
    <s v=""/>
    <b v="0"/>
    <s v=""/>
  </r>
  <r>
    <s v="e0a1259b-cef5-4288-a305-80e25d786b7a"/>
    <s v="2021-11-22"/>
    <x v="5"/>
    <x v="7"/>
    <n v="22"/>
    <s v="20:32"/>
    <n v="108"/>
    <x v="0"/>
    <s v="rc_cat_1781955063347_5qjb_1781955063347_tezk"/>
    <x v="5"/>
    <s v="rc_acc_1781955063347_0qmn"/>
    <x v="20"/>
    <s v=""/>
    <m/>
    <s v="หวานละมุน"/>
    <m/>
    <s v="import"/>
    <s v=""/>
    <b v="0"/>
    <s v=""/>
  </r>
  <r>
    <s v="3ae8798d-1345-483b-a74e-da9c04c0624a"/>
    <s v="2021-11-21"/>
    <x v="5"/>
    <x v="7"/>
    <n v="21"/>
    <s v="14:19"/>
    <n v="30"/>
    <x v="0"/>
    <s v="rc_cat_1781955063347_5qjb_1781955063347_tezk"/>
    <x v="5"/>
    <s v="rc_acc_1781955063347_0qmn"/>
    <x v="20"/>
    <s v=""/>
    <m/>
    <s v="โรตี"/>
    <m/>
    <s v="import"/>
    <s v=""/>
    <b v="0"/>
    <s v=""/>
  </r>
  <r>
    <s v="64f33a3e-8745-4f5e-867f-58e5b85a0d45"/>
    <s v="2021-11-21"/>
    <x v="5"/>
    <x v="7"/>
    <n v="21"/>
    <s v="14:20"/>
    <n v="70"/>
    <x v="0"/>
    <s v="rc_cat_1781955063347_5qjb_1781955063347_tezk"/>
    <x v="5"/>
    <s v="rc_acc_1781955063348_w3gp"/>
    <x v="6"/>
    <s v=""/>
    <m/>
    <s v="กาแฟเซเว่น"/>
    <m/>
    <s v="import"/>
    <s v=""/>
    <b v="0"/>
    <s v=""/>
  </r>
  <r>
    <s v="b64a6bca-3855-4647-bed6-d9fc66b3ac8e"/>
    <s v="2021-11-21"/>
    <x v="5"/>
    <x v="7"/>
    <n v="21"/>
    <s v="16:30"/>
    <n v="700"/>
    <x v="0"/>
    <s v="entertain_1781955063349_gok1"/>
    <x v="18"/>
    <s v="rc_acc_1781955063347_e3zv"/>
    <x v="16"/>
    <s v=""/>
    <m/>
    <s v="pkt2021 ค่าเรือ"/>
    <m/>
    <s v="import"/>
    <s v=""/>
    <b v="0"/>
    <s v=""/>
  </r>
  <r>
    <s v="8c3aa2ce-c1ad-4153-b3de-763736fe594e"/>
    <s v="2021-11-21"/>
    <x v="5"/>
    <x v="7"/>
    <n v="21"/>
    <s v="18:10"/>
    <n v="624"/>
    <x v="0"/>
    <s v="entertain_1781955063349_gok1"/>
    <x v="18"/>
    <s v="rc_acc_1781955063347_kjxt"/>
    <x v="1"/>
    <s v=""/>
    <m/>
    <s v="ซีฟูด"/>
    <m/>
    <s v="import"/>
    <s v=""/>
    <b v="0"/>
    <s v=""/>
  </r>
  <r>
    <s v="bde18acc-265a-4c57-923a-b767c704b980"/>
    <s v="2021-11-21"/>
    <x v="5"/>
    <x v="7"/>
    <n v="21"/>
    <s v="19:09"/>
    <n v="700"/>
    <x v="1"/>
    <s v="other"/>
    <x v="1"/>
    <s v="rc_acc_1781955063347_kjxt"/>
    <x v="1"/>
    <s v="rc_acc_1781955063347_e3zv"/>
    <s v="Cash"/>
    <s v="-"/>
    <m/>
    <s v="import"/>
    <s v=""/>
    <b v="0"/>
    <s v=""/>
  </r>
  <r>
    <s v="6058e322-f33f-441c-80a4-e7a19472cf4a"/>
    <s v="2021-11-21"/>
    <x v="5"/>
    <x v="7"/>
    <n v="21"/>
    <s v="19:39"/>
    <n v="35"/>
    <x v="0"/>
    <s v="rc_cat_1781955063347_5qjb_1781955063347_tezk"/>
    <x v="5"/>
    <s v="rc_acc_1781955063347_uxz4"/>
    <x v="4"/>
    <s v=""/>
    <m/>
    <s v="ไอติม"/>
    <m/>
    <s v="import"/>
    <s v=""/>
    <b v="0"/>
    <s v=""/>
  </r>
  <r>
    <s v="93375e4c-4c3e-41e0-8b83-ee2e638e56e8"/>
    <s v="2021-11-21"/>
    <x v="5"/>
    <x v="7"/>
    <n v="21"/>
    <s v="20:20"/>
    <n v="120"/>
    <x v="0"/>
    <s v="rc_cat_1781955063347_5qjb_1781955063347_tezk"/>
    <x v="5"/>
    <s v="rc_acc_1781955063347_uxz4"/>
    <x v="4"/>
    <s v=""/>
    <m/>
    <s v="หมูย่าง"/>
    <m/>
    <s v="import"/>
    <s v=""/>
    <b v="0"/>
    <s v=""/>
  </r>
  <r>
    <s v="a77680b8-e814-47c5-b59a-14c3aab89989"/>
    <s v="2021-11-20"/>
    <x v="5"/>
    <x v="7"/>
    <n v="20"/>
    <s v="09:45"/>
    <n v="150"/>
    <x v="0"/>
    <s v="rc_cat_1781955063347_5qjb_1781955063347_tezk"/>
    <x v="5"/>
    <s v="rc_acc_1781955063347_e3zv"/>
    <x v="16"/>
    <s v=""/>
    <m/>
    <s v="amazon"/>
    <m/>
    <s v="import"/>
    <s v=""/>
    <b v="0"/>
    <s v=""/>
  </r>
  <r>
    <s v="826ed18e-2c2e-46b7-899a-238473d60510"/>
    <s v="2021-11-20"/>
    <x v="5"/>
    <x v="7"/>
    <n v="20"/>
    <s v="09:50"/>
    <n v="3200"/>
    <x v="0"/>
    <s v="entertain_1781955063349_gok1"/>
    <x v="18"/>
    <s v="rc_acc_1781955063347_uxz4"/>
    <x v="4"/>
    <s v=""/>
    <m/>
    <s v="ค่ารถ"/>
    <m/>
    <s v="import"/>
    <s v=""/>
    <b v="0"/>
    <s v=""/>
  </r>
  <r>
    <s v="c68858c2-5786-4e2b-9bb8-906bf7fa27fc"/>
    <s v="2021-11-20"/>
    <x v="5"/>
    <x v="7"/>
    <n v="20"/>
    <s v="10:26"/>
    <n v="40"/>
    <x v="0"/>
    <s v="entertain_1781955063349_gok1"/>
    <x v="18"/>
    <s v="rc_acc_1781955063347_e3zv"/>
    <x v="16"/>
    <s v=""/>
    <m/>
    <s v="ค่ารถ"/>
    <m/>
    <s v="import"/>
    <s v=""/>
    <b v="0"/>
    <s v=""/>
  </r>
  <r>
    <s v="f2b3c08d-fd63-4e80-a836-e8b46ef7fa95"/>
    <s v="2021-11-20"/>
    <x v="5"/>
    <x v="7"/>
    <n v="20"/>
    <s v="13:26"/>
    <n v="122"/>
    <x v="0"/>
    <s v="rc_cat_1781955063347_5qjb_1781955063347_tezk"/>
    <x v="5"/>
    <s v="rc_acc_1781955063347_e3zv"/>
    <x v="16"/>
    <s v=""/>
    <m/>
    <s v="เยนตาโฟ"/>
    <m/>
    <s v="import"/>
    <s v=""/>
    <b v="0"/>
    <s v=""/>
  </r>
  <r>
    <s v="6afbb511-71b0-401b-9bca-81f23e122600"/>
    <s v="2021-11-20"/>
    <x v="5"/>
    <x v="7"/>
    <n v="20"/>
    <s v="14:05"/>
    <n v="80"/>
    <x v="0"/>
    <s v="rc_cat_1781955063347_5qjb_1781955063347_tezk"/>
    <x v="5"/>
    <s v="rc_acc_1781955063347_uxz4"/>
    <x v="4"/>
    <s v=""/>
    <m/>
    <s v="shelter coffee"/>
    <m/>
    <s v="import"/>
    <s v=""/>
    <b v="0"/>
    <s v=""/>
  </r>
  <r>
    <s v="beec11b4-8544-4d6e-85bd-cbe19adffbc4"/>
    <s v="2021-11-20"/>
    <x v="5"/>
    <x v="7"/>
    <n v="20"/>
    <s v="15:14"/>
    <n v="90"/>
    <x v="0"/>
    <s v="rc_cat_1781955063347_5qjb_1781955063347_tezk"/>
    <x v="5"/>
    <s v="rc_acc_1781955063347_0qmn"/>
    <x v="20"/>
    <s v=""/>
    <m/>
    <s v="สุชาติไอติมทอด"/>
    <m/>
    <s v="import"/>
    <s v=""/>
    <b v="0"/>
    <s v=""/>
  </r>
  <r>
    <s v="18f920bb-10f0-44bc-98a1-c33a36598e99"/>
    <s v="2021-11-20"/>
    <x v="5"/>
    <x v="7"/>
    <n v="20"/>
    <s v="18:16"/>
    <n v="230"/>
    <x v="0"/>
    <s v="rc_cat_1781955063347_5qjb_1781955063347_tezk"/>
    <x v="5"/>
    <s v="rc_acc_1781955063347_0qmn"/>
    <x v="20"/>
    <s v=""/>
    <m/>
    <s v="ทอดมันกุ้ง หมูปิ้ง เกี้ยวซ่า วาฟเฟิล ชานม เนื้อ"/>
    <m/>
    <s v="import"/>
    <s v=""/>
    <b v="0"/>
    <s v=""/>
  </r>
  <r>
    <s v="a8104430-7921-4f2c-b641-36697bc65522"/>
    <s v="2021-11-20"/>
    <x v="5"/>
    <x v="7"/>
    <n v="20"/>
    <s v="20:18"/>
    <n v="99"/>
    <x v="0"/>
    <s v="entertain_1781955063349_gok1"/>
    <x v="18"/>
    <s v="rc_acc_1781955063348_w3gp"/>
    <x v="6"/>
    <s v=""/>
    <m/>
    <s v="ของเซเว่น"/>
    <m/>
    <s v="import"/>
    <s v=""/>
    <b v="0"/>
    <s v=""/>
  </r>
  <r>
    <s v="7109222e-8a7f-49a2-93e3-a8bc35361151"/>
    <s v="2021-11-19"/>
    <x v="5"/>
    <x v="7"/>
    <n v="19"/>
    <s v="16:49"/>
    <n v="620"/>
    <x v="0"/>
    <s v="rc_cat_1781955063347_5qjb_1781955063347_tezk"/>
    <x v="5"/>
    <s v="rc_acc_1781955063347_0qmn"/>
    <x v="20"/>
    <s v=""/>
    <m/>
    <s v="rbh 14-19"/>
    <m/>
    <s v="import"/>
    <s v=""/>
    <b v="0"/>
    <s v=""/>
  </r>
  <r>
    <s v="ab265a89-4303-4e16-a9b1-1fdcb68ccf91"/>
    <s v="2021-11-19"/>
    <x v="5"/>
    <x v="7"/>
    <n v="19"/>
    <s v="18:42"/>
    <n v="102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a97b389f-13f7-4415-bda2-e61806d307b1"/>
    <s v="2021-11-16"/>
    <x v="5"/>
    <x v="7"/>
    <n v="16"/>
    <s v="10:18"/>
    <n v="170"/>
    <x v="0"/>
    <s v="rc_cat_1781955063347_5qjb_1781955063347_tezk"/>
    <x v="5"/>
    <s v="rc_acc_1781955063347_0qmn"/>
    <x v="20"/>
    <s v=""/>
    <m/>
    <s v="blackcanyon"/>
    <m/>
    <s v="import"/>
    <s v=""/>
    <b v="0"/>
    <s v=""/>
  </r>
  <r>
    <s v="640a5b35-7d4f-4d9d-8e09-a10a8b93ba62"/>
    <s v="2021-11-16"/>
    <x v="5"/>
    <x v="7"/>
    <n v="16"/>
    <s v="10:43"/>
    <n v="5300"/>
    <x v="0"/>
    <s v="other_1781955063348_27zj"/>
    <x v="0"/>
    <s v="rc_acc_1781955063347_kjxt"/>
    <x v="1"/>
    <s v=""/>
    <m/>
    <s v="ตรวจสุขภาพ 5300 จ่ายแล้ว"/>
    <m/>
    <s v="import"/>
    <s v=""/>
    <b v="0"/>
    <s v=""/>
  </r>
  <r>
    <s v="0d46ee04-087f-4d02-9565-c18523f41753"/>
    <s v="2021-11-16"/>
    <x v="5"/>
    <x v="7"/>
    <n v="16"/>
    <s v="12:18"/>
    <n v="389"/>
    <x v="0"/>
    <s v="rc_cat_1781955063347_5qjb_1781955063347_tezk"/>
    <x v="5"/>
    <s v="rc_acc_1781955063347_0qmn"/>
    <x v="20"/>
    <s v=""/>
    <m/>
    <s v="tong rimtang"/>
    <m/>
    <s v="import"/>
    <s v=""/>
    <b v="0"/>
    <s v=""/>
  </r>
  <r>
    <s v="b33639ee-891c-410f-b7be-0ea4cb7f29b0"/>
    <s v="2021-11-16"/>
    <x v="5"/>
    <x v="7"/>
    <n v="16"/>
    <s v="18:33"/>
    <n v="100"/>
    <x v="0"/>
    <s v="other_1781955063348_27zj"/>
    <x v="0"/>
    <s v="rc_acc_1781955063347_e3zv"/>
    <x v="16"/>
    <s v=""/>
    <m/>
    <s v="ตัดผม"/>
    <m/>
    <s v="import"/>
    <s v=""/>
    <b v="0"/>
    <s v=""/>
  </r>
  <r>
    <s v="49d188c2-4846-49d9-a247-6a82a9b5c0b6"/>
    <s v="2021-11-16"/>
    <x v="5"/>
    <x v="7"/>
    <n v="16"/>
    <s v="19:33"/>
    <n v="70"/>
    <x v="0"/>
    <s v="rc_cat_1781955063347_5qjb_1781955063347_tezk"/>
    <x v="5"/>
    <s v="rc_acc_1781955063347_e3zv"/>
    <x v="16"/>
    <s v=""/>
    <m/>
    <s v="amazon kitkat"/>
    <m/>
    <s v="import"/>
    <s v=""/>
    <b v="0"/>
    <s v=""/>
  </r>
  <r>
    <s v="09253424-be9b-49b2-b46d-09d00e5220ee"/>
    <s v="2021-11-15"/>
    <x v="5"/>
    <x v="7"/>
    <n v="15"/>
    <s v="00:00"/>
    <n v="420"/>
    <x v="1"/>
    <s v="other"/>
    <x v="1"/>
    <s v="rc_acc_1781955063347_uxz4"/>
    <x v="4"/>
    <s v="rc_acc_1781955063348_w3gp"/>
    <s v="UOB world"/>
    <s v="-"/>
    <m/>
    <s v="import"/>
    <s v=""/>
    <b v="0"/>
    <s v=""/>
  </r>
  <r>
    <s v="eb8f6dd0-c66e-4c34-a92b-f9798c68e54a"/>
    <s v="2021-11-14"/>
    <x v="5"/>
    <x v="7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a6069927-0a52-4f0f-9062-4ad3ad540854"/>
    <s v="2021-11-14"/>
    <x v="5"/>
    <x v="7"/>
    <n v="14"/>
    <s v="10:08"/>
    <n v="1321.28"/>
    <x v="0"/>
    <s v="rc_cat_1781955063347_5qjb_1781955063348_hrbf"/>
    <x v="28"/>
    <s v="rc_acc_1781955063347_0qmn"/>
    <x v="20"/>
    <s v=""/>
    <m/>
    <s v="ค่าไฟ"/>
    <m/>
    <s v="import"/>
    <s v=""/>
    <b v="0"/>
    <s v=""/>
  </r>
  <r>
    <s v="1c915b49-fea2-4438-a800-2cd0f5eae371"/>
    <s v="2021-11-14"/>
    <x v="5"/>
    <x v="7"/>
    <n v="14"/>
    <s v="11:55"/>
    <n v="144"/>
    <x v="0"/>
    <s v="rc_cat_1781955063347_5qjb_1781955063347_tezk"/>
    <x v="5"/>
    <s v="rc_acc_1781955063348_w3gp"/>
    <x v="6"/>
    <s v=""/>
    <m/>
    <s v="ของเซเว่น"/>
    <m/>
    <s v="import"/>
    <s v=""/>
    <b v="0"/>
    <s v=""/>
  </r>
  <r>
    <s v="7e344bc7-b274-4b09-9211-5e5b0d61e1e8"/>
    <s v="2021-11-14"/>
    <x v="5"/>
    <x v="7"/>
    <n v="14"/>
    <s v="12:04"/>
    <n v="11750"/>
    <x v="0"/>
    <s v="rc_cat_1781955063347_anhy_1781955063347_qnaz"/>
    <x v="4"/>
    <s v="rc_acc_1781955063347_hv85"/>
    <x v="5"/>
    <s v=""/>
    <m/>
    <s v="-"/>
    <m/>
    <s v="import"/>
    <s v=""/>
    <b v="0"/>
    <s v=""/>
  </r>
  <r>
    <s v="267377c3-39e8-4736-ae36-865295eb3245"/>
    <s v="2021-11-14"/>
    <x v="5"/>
    <x v="7"/>
    <n v="14"/>
    <s v="17:17"/>
    <n v="215"/>
    <x v="0"/>
    <s v="rc_cat_1781955063347_5qjb_1781955063347_tezk"/>
    <x v="5"/>
    <s v="rc_acc_1781955063347_0qmn"/>
    <x v="20"/>
    <s v=""/>
    <m/>
    <s v="kagi + spa trufle"/>
    <m/>
    <s v="import"/>
    <s v=""/>
    <b v="0"/>
    <s v=""/>
  </r>
  <r>
    <s v="b0428423-84c7-4c1d-bc35-5b084484b6ed"/>
    <s v="2021-11-14"/>
    <x v="5"/>
    <x v="7"/>
    <n v="14"/>
    <s v="18:16"/>
    <n v="180"/>
    <x v="0"/>
    <s v="rc_cat_1781955063347_5qjb_1781955063347_tezk"/>
    <x v="5"/>
    <s v="rc_acc_1781955063347_0qmn"/>
    <x v="20"/>
    <s v=""/>
    <m/>
    <s v="cha tra mue + whtstory"/>
    <m/>
    <s v="import"/>
    <s v=""/>
    <b v="0"/>
    <s v=""/>
  </r>
  <r>
    <s v="f522bab0-ad4e-45a6-9793-125768f52f98"/>
    <s v="2021-11-14"/>
    <x v="5"/>
    <x v="7"/>
    <n v="14"/>
    <s v="18:43"/>
    <n v="401.75"/>
    <x v="0"/>
    <s v="rc_cat_1781955063347_5qjb_1781955063348_wpky"/>
    <x v="27"/>
    <s v="rc_acc_1781955063347_kjxt"/>
    <x v="1"/>
    <s v=""/>
    <m/>
    <s v="TOPs ปิ่นเกล้า"/>
    <m/>
    <s v="import"/>
    <s v=""/>
    <b v="0"/>
    <s v=""/>
  </r>
  <r>
    <s v="3a47d469-bb25-4eb6-bd4e-edab790ae543"/>
    <s v="2021-11-13"/>
    <x v="5"/>
    <x v="7"/>
    <n v="13"/>
    <s v="10:50"/>
    <n v="574"/>
    <x v="1"/>
    <s v="other"/>
    <x v="1"/>
    <s v="rc_acc_1781955063347_pixu"/>
    <x v="37"/>
    <s v="rc_acc_1781955063347_uxz4"/>
    <s v="SCB"/>
    <s v="-"/>
    <m/>
    <s v="import"/>
    <s v=""/>
    <b v="0"/>
    <s v=""/>
  </r>
  <r>
    <s v="b011d483-76c0-4770-b9cd-d8daf02cc790"/>
    <s v="2021-11-13"/>
    <x v="5"/>
    <x v="7"/>
    <n v="13"/>
    <s v="10:51"/>
    <n v="400"/>
    <x v="1"/>
    <s v="other"/>
    <x v="1"/>
    <s v="rc_acc_1781955063348_2vnx"/>
    <x v="36"/>
    <s v="rc_acc_1781955063347_uxz4"/>
    <s v="SCB"/>
    <s v="-"/>
    <m/>
    <s v="import"/>
    <s v=""/>
    <b v="0"/>
    <s v=""/>
  </r>
  <r>
    <s v="7995bab5-97a0-4e80-8274-247f5ec0bb07"/>
    <s v="2021-11-13"/>
    <x v="5"/>
    <x v="7"/>
    <n v="13"/>
    <s v="11:23"/>
    <n v="1090"/>
    <x v="1"/>
    <s v="other"/>
    <x v="1"/>
    <s v="rc_acc_1781955063347_uxz4"/>
    <x v="4"/>
    <s v="rc_acc_1781955063347_kjxt"/>
    <s v="KTC JCB"/>
    <s v="-"/>
    <m/>
    <s v="import"/>
    <s v=""/>
    <b v="0"/>
    <s v=""/>
  </r>
  <r>
    <s v="b78b23f7-736b-4269-9d08-fb92d4463624"/>
    <s v="2021-11-13"/>
    <x v="5"/>
    <x v="7"/>
    <n v="13"/>
    <s v="11:51"/>
    <n v="877.61"/>
    <x v="1"/>
    <s v="other"/>
    <x v="1"/>
    <s v="rc_acc_1781955063347_uxz4"/>
    <x v="4"/>
    <s v="rc_acc_1781955063348_w3gp"/>
    <s v="UOB world"/>
    <s v="-"/>
    <m/>
    <s v="import"/>
    <s v=""/>
    <b v="0"/>
    <s v=""/>
  </r>
  <r>
    <s v="7cdb7c36-0140-4088-ae23-e5f1f831ef62"/>
    <s v="2021-11-13"/>
    <x v="5"/>
    <x v="7"/>
    <n v="13"/>
    <s v="11:52"/>
    <n v="876.87"/>
    <x v="0"/>
    <s v="other_1781955063347_5s7r"/>
    <x v="15"/>
    <s v="rc_acc_1781955063348_w3gp"/>
    <x v="6"/>
    <s v=""/>
    <m/>
    <s v="Difference"/>
    <m/>
    <s v="import"/>
    <s v=""/>
    <b v="0"/>
    <s v=""/>
  </r>
  <r>
    <s v="b89c473b-84f4-4d18-a67f-893ceff1c3ea"/>
    <s v="2021-11-13"/>
    <x v="5"/>
    <x v="7"/>
    <n v="13"/>
    <s v="11:56"/>
    <n v="1776"/>
    <x v="0"/>
    <s v="rc_cat_1781955063347_5qjb_1781955063347_tezk"/>
    <x v="5"/>
    <s v="rc_acc_1781955063347_0qmn"/>
    <x v="20"/>
    <s v=""/>
    <m/>
    <s v="robinhood"/>
    <m/>
    <s v="import"/>
    <s v=""/>
    <b v="0"/>
    <s v=""/>
  </r>
  <r>
    <s v="cceecaa7-ef54-42b4-806c-c4f78d818500"/>
    <s v="2021-11-13"/>
    <x v="5"/>
    <x v="7"/>
    <n v="13"/>
    <s v="11:56"/>
    <n v="1287"/>
    <x v="0"/>
    <s v="rc_cat_1781955063347_5qjb_1781955063347_tezk"/>
    <x v="5"/>
    <s v="rc_acc_1781955063347_0qmn"/>
    <x v="20"/>
    <s v=""/>
    <m/>
    <s v="grab"/>
    <m/>
    <s v="import"/>
    <s v=""/>
    <b v="0"/>
    <s v=""/>
  </r>
  <r>
    <s v="a399166b-48ec-40a0-93fc-611b576d0832"/>
    <s v="2021-11-13"/>
    <x v="5"/>
    <x v="7"/>
    <n v="13"/>
    <s v="11:58"/>
    <n v="975"/>
    <x v="0"/>
    <s v="rc_cat_1781955063347_5qjb_1781955063348_xqml"/>
    <x v="31"/>
    <s v="rc_acc_1781955063347_0qmn"/>
    <x v="20"/>
    <s v=""/>
    <m/>
    <s v="ของโลตัส"/>
    <m/>
    <s v="import"/>
    <s v=""/>
    <b v="0"/>
    <s v=""/>
  </r>
  <r>
    <s v="5f561217-db9e-4bc6-953a-9b3dce76cc48"/>
    <s v="2021-11-13"/>
    <x v="5"/>
    <x v="7"/>
    <n v="13"/>
    <s v="11:59"/>
    <n v="418"/>
    <x v="0"/>
    <s v="rc_cat_1781955063347_5qjb_1781955063347_tezk"/>
    <x v="5"/>
    <s v="rc_acc_1781955063347_0qmn"/>
    <x v="20"/>
    <s v=""/>
    <m/>
    <s v="pizza"/>
    <m/>
    <s v="import"/>
    <s v=""/>
    <b v="0"/>
    <s v=""/>
  </r>
  <r>
    <s v="837b9816-b37d-42f2-8b67-3771cd951bc6"/>
    <s v="2021-11-13"/>
    <x v="5"/>
    <x v="7"/>
    <n v="13"/>
    <s v="12:00"/>
    <n v="380"/>
    <x v="0"/>
    <s v="rc_cat_1781955063347_5qjb_1781955063347_tezk"/>
    <x v="5"/>
    <s v="rc_acc_1781955063347_0qmn"/>
    <x v="20"/>
    <s v=""/>
    <m/>
    <s v="ของเซเว่น"/>
    <m/>
    <s v="import"/>
    <s v=""/>
    <b v="0"/>
    <s v=""/>
  </r>
  <r>
    <s v="5948107b-3688-4f86-bb6c-e9efbb047ef3"/>
    <s v="2021-11-13"/>
    <x v="5"/>
    <x v="7"/>
    <n v="13"/>
    <s v="12:00"/>
    <n v="750"/>
    <x v="0"/>
    <s v="rc_cat_1781955063347_5qjb_1781955063348_hrbf"/>
    <x v="28"/>
    <s v="rc_acc_1781955063347_0qmn"/>
    <x v="20"/>
    <s v=""/>
    <m/>
    <s v="เนต"/>
    <m/>
    <s v="import"/>
    <s v=""/>
    <b v="0"/>
    <s v=""/>
  </r>
  <r>
    <s v="0cd89a9b-b34a-42f3-87f3-8bf895c21737"/>
    <s v="2021-11-13"/>
    <x v="5"/>
    <x v="7"/>
    <n v="13"/>
    <s v="12:08"/>
    <n v="174.43"/>
    <x v="0"/>
    <s v="other_1781955063347_5s7r"/>
    <x v="15"/>
    <s v="rc_acc_1781955063347_0qmn"/>
    <x v="20"/>
    <s v=""/>
    <m/>
    <s v="Difference"/>
    <m/>
    <s v="import"/>
    <s v=""/>
    <b v="0"/>
    <s v=""/>
  </r>
  <r>
    <s v="669203f5-83f9-4409-8a6e-17a5dd2c38d9"/>
    <s v="2021-11-13"/>
    <x v="5"/>
    <x v="7"/>
    <n v="13"/>
    <s v="12:10"/>
    <n v="2000"/>
    <x v="1"/>
    <s v="other"/>
    <x v="1"/>
    <s v="rc_acc_1781955063348_no9r"/>
    <x v="7"/>
    <s v="rc_acc_1781955063349_mitc"/>
    <s v="Pao tung"/>
    <s v="-"/>
    <m/>
    <s v="import"/>
    <s v=""/>
    <b v="0"/>
    <s v=""/>
  </r>
  <r>
    <s v="8d31d7d2-6fd4-429b-b6a9-cb0dc65686ab"/>
    <s v="2021-11-13"/>
    <x v="5"/>
    <x v="7"/>
    <n v="13"/>
    <s v="12:11"/>
    <n v="4634.52"/>
    <x v="0"/>
    <s v="entertain_1781955063349_gok1"/>
    <x v="18"/>
    <s v="rc_acc_1781955063349_mitc"/>
    <x v="23"/>
    <s v=""/>
    <m/>
    <s v="pkt2021"/>
    <m/>
    <s v="import"/>
    <s v=""/>
    <b v="0"/>
    <s v=""/>
  </r>
  <r>
    <s v="933dd399-91e4-4cdf-82f2-f01a471b19fd"/>
    <s v="2021-11-13"/>
    <x v="5"/>
    <x v="7"/>
    <n v="13"/>
    <s v="18:44"/>
    <n v="170"/>
    <x v="0"/>
    <s v="rc_cat_1781955063347_5qjb_1781955063347_tezk"/>
    <x v="5"/>
    <s v="rc_acc_1781955063347_kjxt"/>
    <x v="1"/>
    <s v=""/>
    <m/>
    <s v="-"/>
    <m/>
    <s v="import"/>
    <s v=""/>
    <b v="0"/>
    <s v=""/>
  </r>
  <r>
    <s v="29c96927-a4c8-4813-a68c-136225e8be2b"/>
    <s v="2021-11-13"/>
    <x v="5"/>
    <x v="7"/>
    <n v="13"/>
    <s v="23:14"/>
    <n v="505"/>
    <x v="2"/>
    <s v="income_1781955063347_zblt"/>
    <x v="17"/>
    <s v="kbank"/>
    <x v="0"/>
    <s v=""/>
    <m/>
    <s v="-"/>
    <m/>
    <s v="import"/>
    <s v=""/>
    <b v="0"/>
    <s v=""/>
  </r>
  <r>
    <s v="693fa0fd-5d42-431e-bd26-71c7f0c172ee"/>
    <s v="2021-11-12"/>
    <x v="5"/>
    <x v="7"/>
    <n v="12"/>
    <s v="10:33"/>
    <n v="6875"/>
    <x v="2"/>
    <s v="income_1781955063347_zblt"/>
    <x v="17"/>
    <s v="rc_acc_1781955063347_uxz4"/>
    <x v="4"/>
    <s v=""/>
    <m/>
    <s v="ขายแรม"/>
    <m/>
    <s v="import"/>
    <s v=""/>
    <b v="0"/>
    <s v=""/>
  </r>
  <r>
    <s v="cd8ae28a-7763-4e68-87f5-4d211daf3aa8"/>
    <s v="2021-11-11"/>
    <x v="5"/>
    <x v="7"/>
    <n v="11"/>
    <s v="10:32"/>
    <n v="600"/>
    <x v="1"/>
    <s v="other"/>
    <x v="1"/>
    <s v="rc_acc_1781955063347_uxz4"/>
    <x v="4"/>
    <s v="rc_acc_1781955063347_omhz"/>
    <s v="Shopee"/>
    <s v="-"/>
    <m/>
    <s v="import"/>
    <s v=""/>
    <b v="0"/>
    <s v=""/>
  </r>
  <r>
    <s v="7d7c27b3-8597-443a-b42f-da9821b969c4"/>
    <s v="2021-11-11"/>
    <x v="5"/>
    <x v="7"/>
    <n v="11"/>
    <s v="11:21"/>
    <n v="1090"/>
    <x v="0"/>
    <s v="entertain_1781955063349_gok1"/>
    <x v="18"/>
    <s v="rc_acc_1781955063347_kjxt"/>
    <x v="1"/>
    <s v=""/>
    <m/>
    <s v="pkt2021"/>
    <m/>
    <s v="import"/>
    <s v=""/>
    <b v="0"/>
    <s v=""/>
  </r>
  <r>
    <s v="365b77ec-1ce6-44e7-87b8-d9b22b03cde0"/>
    <s v="2021-11-11"/>
    <x v="5"/>
    <x v="7"/>
    <n v="11"/>
    <s v="14:31"/>
    <n v="3000"/>
    <x v="1"/>
    <s v="other"/>
    <x v="1"/>
    <s v="rc_acc_1781955063347_uxz4"/>
    <x v="4"/>
    <s v="rc_acc_1781955063348_no9r"/>
    <s v="Krungthai Next"/>
    <s v="-"/>
    <m/>
    <s v="import"/>
    <s v=""/>
    <b v="0"/>
    <s v=""/>
  </r>
  <r>
    <s v="75c64798-6112-42ff-aa39-ee3cf17820e9"/>
    <s v="2021-11-10"/>
    <x v="5"/>
    <x v="7"/>
    <n v="10"/>
    <s v="13:04"/>
    <n v="4566"/>
    <x v="0"/>
    <s v="rc_cat_1781955063347_5qjb_1781955063347_irl1"/>
    <x v="0"/>
    <s v="rc_acc_1781955063347_hv85"/>
    <x v="5"/>
    <s v=""/>
    <m/>
    <s v="เครื่องซักผ้า LG(5/6)"/>
    <m/>
    <s v="import"/>
    <s v=""/>
    <b v="0"/>
    <s v=""/>
  </r>
  <r>
    <s v="563e7c22-67d2-4d57-ae28-48eeabe11185"/>
    <s v="2021-11-10"/>
    <x v="5"/>
    <x v="7"/>
    <n v="10"/>
    <s v="13:04"/>
    <n v="694.2"/>
    <x v="0"/>
    <s v="rc_cat_1781955063347_5qjb_1781955063347_irl1"/>
    <x v="0"/>
    <s v="rc_acc_1781955063347_hv85"/>
    <x v="5"/>
    <s v=""/>
    <m/>
    <s v="ชั้น พัดลม homepro(5/6)"/>
    <m/>
    <s v="import"/>
    <s v=""/>
    <b v="0"/>
    <s v=""/>
  </r>
  <r>
    <s v="04ead29b-19a9-450b-8c44-842be299aa7e"/>
    <s v="2021-11-08"/>
    <x v="5"/>
    <x v="7"/>
    <n v="8"/>
    <s v="12:38"/>
    <n v="2137.46"/>
    <x v="0"/>
    <s v="rc_cat_1781955063347_04qb_1781955063347_wt5p"/>
    <x v="3"/>
    <s v="rc_acc_1781955063347_uxz4"/>
    <x v="4"/>
    <s v=""/>
    <m/>
    <s v="-"/>
    <m/>
    <s v="import"/>
    <s v=""/>
    <b v="0"/>
    <s v=""/>
  </r>
  <r>
    <s v="898cab27-2199-468a-8eeb-e2c9c0013be5"/>
    <s v="2021-11-06"/>
    <x v="5"/>
    <x v="7"/>
    <n v="6"/>
    <s v="08:55"/>
    <n v="55"/>
    <x v="0"/>
    <s v="rc_cat_1781955063347_5qjb_1781955063347_tezk"/>
    <x v="5"/>
    <s v="rc_acc_1781955063347_0qmn"/>
    <x v="20"/>
    <s v=""/>
    <m/>
    <s v="กาแฟ"/>
    <m/>
    <s v="import"/>
    <s v=""/>
    <b v="0"/>
    <s v=""/>
  </r>
  <r>
    <s v="6a4e72ce-d3cb-4eef-aa16-43daf5a93bda"/>
    <s v="2021-11-06"/>
    <x v="5"/>
    <x v="7"/>
    <n v="6"/>
    <s v="18:34"/>
    <n v="70"/>
    <x v="1"/>
    <s v="other"/>
    <x v="1"/>
    <s v="rc_acc_1781955063347_omhz"/>
    <x v="29"/>
    <s v="rc_acc_1781955063347_uxz4"/>
    <s v="SCB"/>
    <s v="-"/>
    <m/>
    <s v="import"/>
    <s v=""/>
    <b v="0"/>
    <s v=""/>
  </r>
  <r>
    <s v="e2facded-769d-4f3c-91d3-a06579962d72"/>
    <s v="2021-11-06"/>
    <x v="5"/>
    <x v="7"/>
    <n v="6"/>
    <s v="18:55"/>
    <n v="609.7"/>
    <x v="0"/>
    <s v="rc_cat_1781955063347_5qjb_1781955063347_tezk"/>
    <x v="5"/>
    <s v="rc_acc_1781955063347_0qmn"/>
    <x v="20"/>
    <s v=""/>
    <m/>
    <s v="ippudo+krispy cream"/>
    <m/>
    <s v="import"/>
    <s v=""/>
    <b v="0"/>
    <s v=""/>
  </r>
  <r>
    <s v="65131530-41e8-487e-a34b-3861f9df3ec1"/>
    <s v="2021-11-05"/>
    <x v="5"/>
    <x v="7"/>
    <n v="5"/>
    <s v="08:00"/>
    <n v="3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3219fc66-1485-42b1-848a-22ef54ef25ee"/>
    <s v="2021-11-05"/>
    <x v="5"/>
    <x v="7"/>
    <n v="5"/>
    <s v="15:59"/>
    <n v="25"/>
    <x v="0"/>
    <s v="rc_cat_1781955063347_5qjb_1781955063347_tezk"/>
    <x v="5"/>
    <s v="rc_acc_1781955063347_uxz4"/>
    <x v="4"/>
    <s v=""/>
    <m/>
    <s v="-"/>
    <m/>
    <s v="import"/>
    <s v=""/>
    <b v="0"/>
    <s v=""/>
  </r>
  <r>
    <s v="e079dfa6-10a9-4144-97d8-1cfd142747b9"/>
    <s v="2021-11-05"/>
    <x v="5"/>
    <x v="7"/>
    <n v="5"/>
    <s v="18:54"/>
    <n v="605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426facc8-7daa-4c23-bb8c-ac5b0e64ba98"/>
    <s v="2021-11-04"/>
    <x v="5"/>
    <x v="7"/>
    <n v="4"/>
    <s v="23:13"/>
    <n v="10000"/>
    <x v="1"/>
    <s v="other"/>
    <x v="1"/>
    <s v="kbank"/>
    <x v="0"/>
    <s v="rc_acc_1781955063349_yz2g"/>
    <s v="Investment"/>
    <s v="-"/>
    <m/>
    <s v="import"/>
    <s v=""/>
    <b v="0"/>
    <s v=""/>
  </r>
  <r>
    <s v="01658902-d771-49fd-ac95-7414b79345f0"/>
    <s v="2021-11-03"/>
    <x v="5"/>
    <x v="7"/>
    <n v="3"/>
    <s v="21:05"/>
    <n v="10000"/>
    <x v="1"/>
    <s v="other"/>
    <x v="1"/>
    <s v="rc_acc_1781955063347_uxz4"/>
    <x v="4"/>
    <s v="kbank"/>
    <s v="KBank"/>
    <s v="-"/>
    <m/>
    <s v="import"/>
    <s v=""/>
    <b v="0"/>
    <s v=""/>
  </r>
  <r>
    <s v="4d7b507b-6349-448a-8908-53f40595f92b"/>
    <s v="2021-11-01"/>
    <x v="5"/>
    <x v="7"/>
    <n v="1"/>
    <s v="08:53"/>
    <n v="10000"/>
    <x v="2"/>
    <s v="income_1781955063347_5zxt"/>
    <x v="14"/>
    <s v="rc_acc_1781955063347_0qmn"/>
    <x v="20"/>
    <s v=""/>
    <m/>
    <s v="from hong"/>
    <m/>
    <s v="import"/>
    <s v=""/>
    <b v="0"/>
    <s v=""/>
  </r>
  <r>
    <s v="7a4ce256-677a-42b9-9af6-c3fa324865a9"/>
    <s v="2021-11-01"/>
    <x v="5"/>
    <x v="7"/>
    <n v="1"/>
    <s v="19:00"/>
    <n v="230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37ff5c01-8a33-458c-9bee-ec0e183b348a"/>
    <s v="2021-10-31"/>
    <x v="5"/>
    <x v="8"/>
    <n v="31"/>
    <s v="10:14"/>
    <n v="35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415a8010-f5a8-4dfb-9c7c-d848c137a52f"/>
    <s v="2021-10-31"/>
    <x v="5"/>
    <x v="8"/>
    <n v="31"/>
    <s v="14:14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1a483c59-4c5b-4020-b760-833787d7c5d2"/>
    <s v="2021-10-31"/>
    <x v="5"/>
    <x v="8"/>
    <n v="31"/>
    <s v="14:16"/>
    <n v="804"/>
    <x v="0"/>
    <s v="rc_cat_1781955063347_5qjb_1781955063347_tezk"/>
    <x v="5"/>
    <s v="rc_acc_1781955063347_0qmn"/>
    <x v="20"/>
    <s v=""/>
    <m/>
    <s v="coca suki"/>
    <m/>
    <s v="import"/>
    <s v=""/>
    <b v="0"/>
    <s v=""/>
  </r>
  <r>
    <s v="69e23ff7-5b9a-47b1-a692-687903cb35d2"/>
    <s v="2021-10-31"/>
    <x v="5"/>
    <x v="8"/>
    <n v="31"/>
    <s v="14:17"/>
    <n v="135"/>
    <x v="1"/>
    <s v="other"/>
    <x v="1"/>
    <s v="rc_acc_1781955063347_omhz"/>
    <x v="29"/>
    <s v="rc_acc_1781955063347_uxz4"/>
    <s v="SCB"/>
    <s v="-"/>
    <m/>
    <s v="import"/>
    <s v=""/>
    <b v="0"/>
    <s v=""/>
  </r>
  <r>
    <s v="c2aed346-6d3c-41b7-9d4c-4511e50f3842"/>
    <s v="2021-10-31"/>
    <x v="5"/>
    <x v="8"/>
    <n v="31"/>
    <s v="16:39"/>
    <n v="100"/>
    <x v="0"/>
    <s v="rc_cat_1781955063347_5qjb_1781955063347_tezk"/>
    <x v="5"/>
    <s v="rc_acc_1781955063347_0qmn"/>
    <x v="20"/>
    <s v=""/>
    <m/>
    <s v="ชานม"/>
    <m/>
    <s v="import"/>
    <s v=""/>
    <b v="0"/>
    <s v=""/>
  </r>
  <r>
    <s v="f54360ab-52fa-4085-be0c-84162c58f595"/>
    <s v="2021-10-31"/>
    <x v="5"/>
    <x v="8"/>
    <n v="31"/>
    <s v="19:41"/>
    <n v="285"/>
    <x v="0"/>
    <s v="rc_cat_1781955063347_s4sz_1781955063347_deos"/>
    <x v="6"/>
    <s v="rc_acc_1781955063347_e3zv"/>
    <x v="16"/>
    <s v=""/>
    <m/>
    <s v="เป๋าตัง"/>
    <m/>
    <s v="import"/>
    <s v=""/>
    <b v="0"/>
    <s v=""/>
  </r>
  <r>
    <s v="ef6289ca-bb62-4759-950d-3359c988da31"/>
    <s v="2021-10-31"/>
    <x v="5"/>
    <x v="8"/>
    <n v="31"/>
    <s v="19:42"/>
    <n v="505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31297cfc-5842-4463-a3b1-a4a928bfa760"/>
    <s v="2021-10-30"/>
    <x v="5"/>
    <x v="8"/>
    <n v="30"/>
    <s v="09:29"/>
    <n v="15000"/>
    <x v="1"/>
    <s v="other"/>
    <x v="1"/>
    <s v="rc_acc_1781955063347_uxz4"/>
    <x v="4"/>
    <s v="rc_acc_1781955063348_obza"/>
    <s v="KRUNGSRI"/>
    <s v="-"/>
    <m/>
    <s v="import"/>
    <s v=""/>
    <b v="0"/>
    <s v=""/>
  </r>
  <r>
    <s v="40473974-61a8-4e55-9200-adb4984ca3ed"/>
    <s v="2021-10-30"/>
    <x v="5"/>
    <x v="8"/>
    <n v="30"/>
    <s v="09:31"/>
    <n v="5260.87"/>
    <x v="1"/>
    <s v="other"/>
    <x v="1"/>
    <s v="rc_acc_1781955063348_obza"/>
    <x v="8"/>
    <s v="rc_acc_1781955063347_hv85"/>
    <s v="HOMEPRO"/>
    <s v="-"/>
    <m/>
    <s v="import"/>
    <s v=""/>
    <b v="0"/>
    <s v=""/>
  </r>
  <r>
    <s v="0da0b308-f742-4107-ac80-60a39f587f65"/>
    <s v="2021-10-30"/>
    <x v="5"/>
    <x v="8"/>
    <n v="30"/>
    <s v="11:06"/>
    <n v="13336.74"/>
    <x v="1"/>
    <s v="other"/>
    <x v="1"/>
    <s v="rc_acc_1781955063347_uxz4"/>
    <x v="4"/>
    <s v="rc_acc_1781955063347_hv85"/>
    <s v="HOMEPRO"/>
    <s v="-"/>
    <m/>
    <s v="import"/>
    <s v=""/>
    <b v="0"/>
    <s v=""/>
  </r>
  <r>
    <s v="5c1f0d67-5f69-44e8-8720-052ad6f65bc6"/>
    <s v="2021-10-30"/>
    <x v="5"/>
    <x v="8"/>
    <n v="30"/>
    <s v="13:20"/>
    <n v="743"/>
    <x v="0"/>
    <s v="rc_cat_1781955063347_5qjb_1781955063348_xqml"/>
    <x v="31"/>
    <s v="rc_acc_1781955063347_0qmn"/>
    <x v="20"/>
    <s v=""/>
    <m/>
    <s v="-"/>
    <m/>
    <s v="import"/>
    <s v=""/>
    <b v="0"/>
    <s v=""/>
  </r>
  <r>
    <s v="15c0f504-95c0-4354-acb1-35e985f30473"/>
    <s v="2021-10-30"/>
    <x v="5"/>
    <x v="8"/>
    <n v="30"/>
    <s v="14:13"/>
    <n v="209"/>
    <x v="0"/>
    <s v="rc_cat_1781955063347_5qjb_1781955063347_tezk"/>
    <x v="5"/>
    <s v="rc_acc_1781955063347_0qmn"/>
    <x v="20"/>
    <s v=""/>
    <m/>
    <s v="ก๋วยเตี๋ยวพระนคร"/>
    <m/>
    <s v="import"/>
    <s v=""/>
    <b v="0"/>
    <s v=""/>
  </r>
  <r>
    <s v="c8459675-3d92-416a-8e29-0a8f829c11a4"/>
    <s v="2021-10-30"/>
    <x v="5"/>
    <x v="8"/>
    <n v="30"/>
    <s v="14:42"/>
    <n v="60"/>
    <x v="0"/>
    <s v="entertain_1781955063348_kx2f"/>
    <x v="0"/>
    <s v="rc_acc_1781955063347_uxz4"/>
    <x v="4"/>
    <s v=""/>
    <m/>
    <s v="game"/>
    <m/>
    <s v="import"/>
    <s v=""/>
    <b v="0"/>
    <s v=""/>
  </r>
  <r>
    <s v="4a62d723-d90d-4856-ae54-1b6899544a8b"/>
    <s v="2021-10-30"/>
    <x v="5"/>
    <x v="8"/>
    <n v="30"/>
    <s v="15:08"/>
    <n v="5000"/>
    <x v="1"/>
    <s v="other"/>
    <x v="1"/>
    <s v="rc_acc_1781955063347_uxz4"/>
    <x v="4"/>
    <s v="rc_acc_1781955063348_obza"/>
    <s v="KRUNGSRI"/>
    <s v="-"/>
    <m/>
    <s v="import"/>
    <s v=""/>
    <b v="0"/>
    <s v=""/>
  </r>
  <r>
    <s v="9a12bb74-33c0-4374-824d-5c4c9e4613fd"/>
    <s v="2021-10-30"/>
    <x v="5"/>
    <x v="8"/>
    <n v="30"/>
    <s v="15:12"/>
    <n v="10203.98"/>
    <x v="1"/>
    <s v="other"/>
    <x v="1"/>
    <s v="rc_acc_1781955063347_uxz4"/>
    <x v="4"/>
    <s v="rc_acc_1781955063347_kjxt"/>
    <s v="KTC JCB"/>
    <s v="-"/>
    <m/>
    <s v="import"/>
    <s v=""/>
    <b v="0"/>
    <s v=""/>
  </r>
  <r>
    <s v="7ddb8863-0568-4a92-b621-012607104552"/>
    <s v="2021-10-30"/>
    <x v="5"/>
    <x v="8"/>
    <n v="30"/>
    <s v="15:21"/>
    <n v="86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5d91e977-cf77-4531-abdd-b801de2444f6"/>
    <s v="2021-10-30"/>
    <x v="5"/>
    <x v="8"/>
    <n v="30"/>
    <s v="15:22"/>
    <n v="200"/>
    <x v="2"/>
    <s v="other_1781955063347_5s7r"/>
    <x v="15"/>
    <s v="rc_acc_1781955063348_u1qk"/>
    <x v="35"/>
    <s v=""/>
    <m/>
    <s v="Difference"/>
    <m/>
    <s v="import"/>
    <s v=""/>
    <b v="0"/>
    <s v=""/>
  </r>
  <r>
    <s v="a31a838c-0a7d-42bb-860b-4f4c3f8d1aa2"/>
    <s v="2021-10-30"/>
    <x v="5"/>
    <x v="8"/>
    <n v="30"/>
    <s v="15:23"/>
    <n v="76333.6"/>
    <x v="2"/>
    <s v="income_1781955063347_zblt"/>
    <x v="17"/>
    <s v="rc_acc_1781955063347_27fe"/>
    <x v="38"/>
    <s v=""/>
    <m/>
    <s v="-"/>
    <m/>
    <s v="import"/>
    <s v=""/>
    <b v="0"/>
    <s v=""/>
  </r>
  <r>
    <s v="9d10bb61-22f1-4b42-a188-9ad1aefe5941"/>
    <s v="2021-10-30"/>
    <x v="5"/>
    <x v="8"/>
    <n v="30"/>
    <s v="15:25"/>
    <n v="800"/>
    <x v="1"/>
    <s v="other"/>
    <x v="1"/>
    <s v="rc_acc_1781955063347_e3zv"/>
    <x v="16"/>
    <s v="rc_acc_1781955063347_uxz4"/>
    <s v="SCB"/>
    <s v="เท็กซัส"/>
    <m/>
    <s v="import"/>
    <s v=""/>
    <b v="0"/>
    <s v=""/>
  </r>
  <r>
    <s v="458f3f80-f653-4714-b27d-94666ed480f6"/>
    <s v="2021-10-30"/>
    <x v="5"/>
    <x v="8"/>
    <n v="30"/>
    <s v="15:30"/>
    <n v="556.65"/>
    <x v="0"/>
    <s v="other_1781955063347_5s7r"/>
    <x v="15"/>
    <s v="rc_acc_1781955063347_0qmn"/>
    <x v="20"/>
    <s v=""/>
    <m/>
    <s v="Difference"/>
    <m/>
    <s v="import"/>
    <s v=""/>
    <b v="0"/>
    <s v=""/>
  </r>
  <r>
    <s v="bc1065ef-6688-40b3-b8e9-9a0202909c26"/>
    <s v="2021-10-29"/>
    <x v="5"/>
    <x v="8"/>
    <n v="29"/>
    <s v="10:09"/>
    <n v="124"/>
    <x v="0"/>
    <s v="rc_cat_1781955063347_5qjb_1781955063347_tezk"/>
    <x v="5"/>
    <s v="rc_acc_1781955063347_0qmn"/>
    <x v="20"/>
    <s v=""/>
    <m/>
    <s v="หมูปิ้ง"/>
    <m/>
    <s v="import"/>
    <s v=""/>
    <b v="0"/>
    <s v=""/>
  </r>
  <r>
    <s v="4cd54d4d-08de-449a-ba80-08eb5572fbdf"/>
    <s v="2021-10-29"/>
    <x v="5"/>
    <x v="8"/>
    <n v="29"/>
    <s v="14:10"/>
    <n v="55"/>
    <x v="0"/>
    <s v="rc_cat_1781955063347_5qjb_1781955063347_tezk"/>
    <x v="5"/>
    <s v="rc_acc_1781955063347_uxz4"/>
    <x v="4"/>
    <s v=""/>
    <m/>
    <s v="pacamara"/>
    <m/>
    <s v="import"/>
    <s v=""/>
    <b v="0"/>
    <s v=""/>
  </r>
  <r>
    <s v="f4329975-bc7e-488c-9ff1-2b0857a0c3bb"/>
    <s v="2021-10-29"/>
    <x v="5"/>
    <x v="8"/>
    <n v="29"/>
    <s v="14:23"/>
    <n v="449"/>
    <x v="1"/>
    <s v="other"/>
    <x v="1"/>
    <s v="rc_acc_1781955063347_pixu"/>
    <x v="37"/>
    <s v="rc_acc_1781955063347_uxz4"/>
    <s v="SCB"/>
    <s v="-"/>
    <m/>
    <s v="import"/>
    <s v=""/>
    <b v="0"/>
    <s v=""/>
  </r>
  <r>
    <s v="eec4acd3-2291-4838-a266-3b270368ccf8"/>
    <s v="2021-10-29"/>
    <x v="5"/>
    <x v="8"/>
    <n v="29"/>
    <s v="14:24"/>
    <n v="100"/>
    <x v="1"/>
    <s v="other"/>
    <x v="1"/>
    <s v="rc_acc_1781955063348_2vnx"/>
    <x v="36"/>
    <s v="rc_acc_1781955063347_uxz4"/>
    <s v="SCB"/>
    <s v="-"/>
    <m/>
    <s v="import"/>
    <s v=""/>
    <b v="0"/>
    <s v=""/>
  </r>
  <r>
    <s v="eecf2d94-a80d-4d28-9d5b-89a831ee2520"/>
    <s v="2021-10-29"/>
    <x v="5"/>
    <x v="8"/>
    <n v="29"/>
    <s v="18:11"/>
    <n v="424"/>
    <x v="0"/>
    <s v="rc_cat_1781955063347_5qjb_1781955063347_tezk"/>
    <x v="5"/>
    <s v="rc_acc_1781955063347_0qmn"/>
    <x v="20"/>
    <s v=""/>
    <m/>
    <s v="ของตลาดพลู"/>
    <m/>
    <s v="import"/>
    <s v=""/>
    <b v="0"/>
    <s v=""/>
  </r>
  <r>
    <s v="57bd3fde-14de-4059-a145-01bdf3e2b990"/>
    <s v="2021-10-28"/>
    <x v="5"/>
    <x v="8"/>
    <n v="28"/>
    <s v="09:10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540753cf-d09f-469a-8cff-551586e4e53a"/>
    <s v="2021-10-28"/>
    <x v="5"/>
    <x v="8"/>
    <n v="28"/>
    <s v="11:57"/>
    <n v="193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f1258b77-c5d9-4f3e-b80e-8d2ae5ff3ec1"/>
    <s v="2021-10-28"/>
    <x v="5"/>
    <x v="8"/>
    <n v="28"/>
    <s v="11:58"/>
    <n v="193"/>
    <x v="1"/>
    <s v="other"/>
    <x v="1"/>
    <s v="rc_acc_1781955063347_pixu"/>
    <x v="37"/>
    <s v="rc_acc_1781955063347_uxz4"/>
    <s v="SCB"/>
    <s v="-"/>
    <m/>
    <s v="import"/>
    <s v=""/>
    <b v="0"/>
    <s v=""/>
  </r>
  <r>
    <s v="eab32cb6-cab2-4db2-a481-a1fcc888dfef"/>
    <s v="2021-10-28"/>
    <x v="5"/>
    <x v="8"/>
    <n v="28"/>
    <s v="11:59"/>
    <n v="100"/>
    <x v="1"/>
    <s v="other"/>
    <x v="1"/>
    <s v="rc_acc_1781955063348_2vnx"/>
    <x v="36"/>
    <s v="rc_acc_1781955063347_uxz4"/>
    <s v="SCB"/>
    <s v="-"/>
    <m/>
    <s v="import"/>
    <s v=""/>
    <b v="0"/>
    <s v=""/>
  </r>
  <r>
    <s v="7c5bc7e6-8e2d-4ae3-aac7-36b849a4496a"/>
    <s v="2021-10-28"/>
    <x v="5"/>
    <x v="8"/>
    <n v="28"/>
    <s v="13:06"/>
    <n v="268"/>
    <x v="0"/>
    <s v="rc_cat_1781955063347_5qjb_1781955063347_tezk"/>
    <x v="5"/>
    <s v="rc_acc_1781955063347_0qmn"/>
    <x v="20"/>
    <s v=""/>
    <m/>
    <s v="ของเซเว่น citi"/>
    <m/>
    <s v="import"/>
    <s v=""/>
    <b v="0"/>
    <s v=""/>
  </r>
  <r>
    <s v="893d4170-2611-4d93-afb1-6e2fbd0de6d1"/>
    <s v="2021-10-28"/>
    <x v="5"/>
    <x v="8"/>
    <n v="28"/>
    <s v="13:10"/>
    <n v="245"/>
    <x v="0"/>
    <s v="rc_cat_1781955063347_5qjb_1781955063347_tezk"/>
    <x v="5"/>
    <s v="rc_acc_1781955063347_0qmn"/>
    <x v="20"/>
    <s v=""/>
    <m/>
    <s v="amz"/>
    <m/>
    <s v="import"/>
    <s v=""/>
    <b v="0"/>
    <s v=""/>
  </r>
  <r>
    <s v="8ea94881-b4f5-4dc7-90c7-26f61646832d"/>
    <s v="2021-10-28"/>
    <x v="5"/>
    <x v="8"/>
    <n v="28"/>
    <s v="18:36"/>
    <n v="246"/>
    <x v="0"/>
    <s v="rc_cat_1781955063347_5qjb_1781955063347_tezk"/>
    <x v="5"/>
    <s v="rc_acc_1781955063347_0qmn"/>
    <x v="20"/>
    <s v=""/>
    <m/>
    <s v="kfc grab"/>
    <m/>
    <s v="import"/>
    <s v=""/>
    <b v="0"/>
    <s v=""/>
  </r>
  <r>
    <s v="9164fd0c-45b5-49d3-bd2f-64498ea64ddd"/>
    <s v="2021-10-27"/>
    <x v="5"/>
    <x v="8"/>
    <n v="27"/>
    <s v="11:25"/>
    <n v="16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220a841-b5bc-4581-8405-29dd6af291e9"/>
    <s v="2021-10-26"/>
    <x v="5"/>
    <x v="8"/>
    <n v="26"/>
    <s v="09:08"/>
    <n v="150"/>
    <x v="0"/>
    <s v="rc_cat_1781955063347_5qjb_1781955063347_tezk"/>
    <x v="5"/>
    <s v="rc_acc_1781955063347_0qmn"/>
    <x v="20"/>
    <s v=""/>
    <m/>
    <s v="ชาพะยอม"/>
    <m/>
    <s v="import"/>
    <s v=""/>
    <b v="0"/>
    <s v=""/>
  </r>
  <r>
    <s v="7128b5a2-bd91-4dad-a113-20a8b7d86767"/>
    <s v="2021-10-26"/>
    <x v="5"/>
    <x v="8"/>
    <n v="26"/>
    <s v="11:11"/>
    <n v="12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07abc0b-2cc4-43dc-83de-d6e249b70bdc"/>
    <s v="2021-10-26"/>
    <x v="5"/>
    <x v="8"/>
    <n v="26"/>
    <s v="17:56"/>
    <n v="187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18e61df-3346-4c2b-9c3f-53bd363242d1"/>
    <s v="2021-10-25"/>
    <x v="5"/>
    <x v="8"/>
    <n v="25"/>
    <s v="00:00"/>
    <n v="137.35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968ce319-6d31-4325-b38f-61bd6a08eee8"/>
    <s v="2021-10-25"/>
    <x v="5"/>
    <x v="8"/>
    <n v="25"/>
    <s v="00:00"/>
    <n v="622.14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edad1744-759d-4006-aac1-e6ae169cf71a"/>
    <s v="2021-10-25"/>
    <x v="5"/>
    <x v="8"/>
    <n v="25"/>
    <s v="00:00"/>
    <n v="7290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a85e1750-4c7c-4973-9aae-ebf2a1d84a25"/>
    <s v="2021-10-25"/>
    <x v="5"/>
    <x v="8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4134c2fd-91b1-42a1-8426-4c0ee52510dc"/>
    <s v="2021-10-25"/>
    <x v="5"/>
    <x v="8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7c762e16-4635-4231-bc70-02b479846c9d"/>
    <s v="2021-10-25"/>
    <x v="5"/>
    <x v="8"/>
    <n v="25"/>
    <s v="00:00"/>
    <n v="1917.8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dcd54f4d-9654-4f78-823c-819ca384d5a4"/>
    <s v="2021-10-25"/>
    <x v="5"/>
    <x v="8"/>
    <n v="25"/>
    <s v="00:00"/>
    <n v="95890"/>
    <x v="2"/>
    <s v="income_1781955063347_5zxt"/>
    <x v="14"/>
    <s v="rc_acc_1781955063347_uxz4"/>
    <x v="4"/>
    <s v=""/>
    <m/>
    <s v="-"/>
    <m/>
    <s v="import"/>
    <s v=""/>
    <b v="0"/>
    <s v=""/>
  </r>
  <r>
    <s v="6903c033-4a28-4fdb-a1d8-131b995dca59"/>
    <s v="2021-10-25"/>
    <x v="5"/>
    <x v="8"/>
    <n v="25"/>
    <s v="11:00"/>
    <n v="322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13286dd7-6f95-493f-acbd-7a48c935babd"/>
    <s v="2021-10-23"/>
    <x v="5"/>
    <x v="8"/>
    <n v="23"/>
    <s v="13:07"/>
    <n v="217"/>
    <x v="0"/>
    <s v="rc_cat_1781955063347_5qjb_1781955063347_tezk"/>
    <x v="5"/>
    <s v="rc_acc_1781955063347_0qmn"/>
    <x v="20"/>
    <s v=""/>
    <m/>
    <s v="ของเซเว่น citi"/>
    <m/>
    <s v="import"/>
    <s v=""/>
    <b v="0"/>
    <s v=""/>
  </r>
  <r>
    <s v="f2b28f6d-bbcb-472c-ab6e-64e2af2580d7"/>
    <s v="2021-10-23"/>
    <x v="5"/>
    <x v="8"/>
    <n v="23"/>
    <s v="17:07"/>
    <n v="429"/>
    <x v="0"/>
    <s v="rc_cat_1781955063347_5qjb_1781955063348_xqml"/>
    <x v="31"/>
    <s v="rc_acc_1781955063347_0qmn"/>
    <x v="20"/>
    <s v=""/>
    <m/>
    <s v="villa market"/>
    <m/>
    <s v="import"/>
    <s v=""/>
    <b v="0"/>
    <s v=""/>
  </r>
  <r>
    <s v="bd900d1b-5b46-4b7d-b61d-11bf44f18d07"/>
    <s v="2021-10-23"/>
    <x v="5"/>
    <x v="8"/>
    <n v="23"/>
    <s v="17:28"/>
    <n v="8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e13d4d9-2498-4d00-84f4-a3db59eb7e8b"/>
    <s v="2021-10-22"/>
    <x v="5"/>
    <x v="8"/>
    <n v="22"/>
    <s v="13:03"/>
    <n v="904.5"/>
    <x v="0"/>
    <s v="rc_cat_1781955063347_5qjb_1781955063348_xqml"/>
    <x v="31"/>
    <s v="rc_acc_1781955063347_0qmn"/>
    <x v="20"/>
    <s v=""/>
    <m/>
    <s v="โลตัส"/>
    <m/>
    <s v="import"/>
    <s v=""/>
    <b v="0"/>
    <s v=""/>
  </r>
  <r>
    <s v="9c7e49c3-1b0a-4bdb-b21f-4a9f840ff7bb"/>
    <s v="2021-10-21"/>
    <x v="5"/>
    <x v="8"/>
    <n v="21"/>
    <s v="09:07"/>
    <n v="150"/>
    <x v="0"/>
    <s v="rc_cat_1781955063347_5qjb_1781955063347_tezk"/>
    <x v="5"/>
    <s v="rc_acc_1781955063347_0qmn"/>
    <x v="20"/>
    <s v=""/>
    <m/>
    <s v="ชาพะยอม"/>
    <m/>
    <s v="import"/>
    <s v=""/>
    <b v="0"/>
    <s v=""/>
  </r>
  <r>
    <s v="c50d7aaa-7077-49e2-85c9-72663e23d8d1"/>
    <s v="2021-10-21"/>
    <x v="5"/>
    <x v="8"/>
    <n v="21"/>
    <s v="09:08"/>
    <n v="100"/>
    <x v="0"/>
    <s v="rc_cat_1781955063347_5qjb_1781955063347_tezk"/>
    <x v="5"/>
    <s v="rc_acc_1781955063347_0qmn"/>
    <x v="20"/>
    <s v=""/>
    <m/>
    <s v="หมูปิ้ง"/>
    <m/>
    <s v="import"/>
    <s v=""/>
    <b v="0"/>
    <s v=""/>
  </r>
  <r>
    <s v="5385d14d-75bf-4e0b-b205-31068f3bd720"/>
    <s v="2021-10-21"/>
    <x v="5"/>
    <x v="8"/>
    <n v="21"/>
    <s v="11:35"/>
    <n v="100"/>
    <x v="1"/>
    <s v="other"/>
    <x v="1"/>
    <s v="rc_acc_1781955063348_2vnx"/>
    <x v="36"/>
    <s v="rc_acc_1781955063347_uxz4"/>
    <s v="SCB"/>
    <s v="-"/>
    <m/>
    <s v="import"/>
    <s v=""/>
    <b v="0"/>
    <s v=""/>
  </r>
  <r>
    <s v="0c92e3c4-3264-4ab9-b699-33a90078d639"/>
    <s v="2021-10-21"/>
    <x v="5"/>
    <x v="8"/>
    <n v="21"/>
    <s v="11:35"/>
    <n v="98"/>
    <x v="1"/>
    <s v="other"/>
    <x v="1"/>
    <s v="rc_acc_1781955063347_pixu"/>
    <x v="37"/>
    <s v="rc_acc_1781955063347_uxz4"/>
    <s v="SCB"/>
    <s v="-"/>
    <m/>
    <s v="import"/>
    <s v=""/>
    <b v="0"/>
    <s v=""/>
  </r>
  <r>
    <s v="fc9a2635-7c4d-4a04-baa7-6b9108805ecd"/>
    <s v="2021-10-21"/>
    <x v="5"/>
    <x v="8"/>
    <n v="21"/>
    <s v="11:55"/>
    <n v="19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d3b84ab8-76ee-4cab-8c22-2dada3526594"/>
    <s v="2021-10-21"/>
    <x v="5"/>
    <x v="8"/>
    <n v="21"/>
    <s v="18:12"/>
    <n v="509"/>
    <x v="0"/>
    <s v="rc_cat_1781955063347_5qjb_1781955063347_tezk"/>
    <x v="5"/>
    <s v="rc_acc_1781955063347_0qmn"/>
    <x v="20"/>
    <s v=""/>
    <m/>
    <s v="สุกี้นินจา"/>
    <m/>
    <s v="import"/>
    <s v=""/>
    <b v="0"/>
    <s v=""/>
  </r>
  <r>
    <s v="c79fa1f2-ebef-42eb-9c1e-d2d6e1b8269b"/>
    <s v="2021-10-20"/>
    <x v="5"/>
    <x v="8"/>
    <n v="20"/>
    <s v="10:54"/>
    <n v="18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9a914cc-14ab-425a-8f10-316abd063d6a"/>
    <s v="2021-10-20"/>
    <x v="5"/>
    <x v="8"/>
    <n v="20"/>
    <s v="13:11"/>
    <n v="14401.5"/>
    <x v="0"/>
    <s v="rc_cat_1781955063347_5qjb_1781955063347_irl1"/>
    <x v="0"/>
    <s v="rc_acc_1781955063347_sv7p"/>
    <x v="12"/>
    <s v=""/>
    <m/>
    <s v="sb build in(4/4)"/>
    <m/>
    <s v="import"/>
    <s v=""/>
    <b v="0"/>
    <s v=""/>
  </r>
  <r>
    <s v="e471d708-d638-498a-a2d9-8dcc5c65c135"/>
    <s v="2021-10-20"/>
    <x v="5"/>
    <x v="8"/>
    <n v="20"/>
    <s v="16:10"/>
    <n v="24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fe635de-c998-4580-bc0b-3cd3a5d887c7"/>
    <s v="2021-10-19"/>
    <x v="5"/>
    <x v="8"/>
    <n v="19"/>
    <s v="08:56"/>
    <n v="167"/>
    <x v="0"/>
    <s v="rc_cat_1781955063347_5qjb_1781955063347_tezk"/>
    <x v="5"/>
    <s v="rc_acc_1781955063347_uxz4"/>
    <x v="4"/>
    <s v=""/>
    <m/>
    <s v="-"/>
    <m/>
    <s v="import"/>
    <s v=""/>
    <b v="0"/>
    <s v=""/>
  </r>
  <r>
    <s v="d8680b23-5497-4a5f-a836-15e1585aa891"/>
    <s v="2021-10-19"/>
    <x v="5"/>
    <x v="8"/>
    <n v="19"/>
    <s v="16:30"/>
    <n v="2815"/>
    <x v="0"/>
    <s v="rc_cat_1781955063347_5qjb_1781955063347_irl1"/>
    <x v="0"/>
    <s v="rc_acc_1781955063347_hv85"/>
    <x v="5"/>
    <s v=""/>
    <m/>
    <s v="-"/>
    <m/>
    <s v="import"/>
    <s v=""/>
    <b v="0"/>
    <s v=""/>
  </r>
  <r>
    <s v="dfad8ccc-aa03-4086-95bc-910c8d280e9e"/>
    <s v="2021-10-19"/>
    <x v="5"/>
    <x v="8"/>
    <n v="19"/>
    <s v="17:55"/>
    <n v="125"/>
    <x v="0"/>
    <s v="rc_cat_1781955063347_5qjb_1781955063347_tezk"/>
    <x v="5"/>
    <s v="rc_acc_1781955063347_0qmn"/>
    <x v="20"/>
    <s v=""/>
    <m/>
    <s v="ข้าวมะฝันไก่"/>
    <m/>
    <s v="import"/>
    <s v=""/>
    <b v="0"/>
    <s v=""/>
  </r>
  <r>
    <s v="6c3686a3-1fde-43fc-9e15-0daf0441d85b"/>
    <s v="2021-10-19"/>
    <x v="5"/>
    <x v="8"/>
    <n v="19"/>
    <s v="17:56"/>
    <n v="222"/>
    <x v="0"/>
    <s v="rc_cat_1781955063347_5qjb_1781955063347_tezk"/>
    <x v="5"/>
    <s v="rc_acc_1781955063347_0qmn"/>
    <x v="20"/>
    <s v=""/>
    <m/>
    <s v="แอนคั่วไก่"/>
    <m/>
    <s v="import"/>
    <s v=""/>
    <b v="0"/>
    <s v=""/>
  </r>
  <r>
    <s v="e27c4d62-1713-4cc5-818a-1d960aec9865"/>
    <s v="2021-10-18"/>
    <x v="5"/>
    <x v="8"/>
    <n v="18"/>
    <s v="09:15"/>
    <n v="650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cd315a27-a25b-43b1-a1fb-65c559b1606e"/>
    <s v="2021-10-18"/>
    <x v="5"/>
    <x v="8"/>
    <n v="18"/>
    <s v="11:14"/>
    <n v="450"/>
    <x v="1"/>
    <s v="other"/>
    <x v="1"/>
    <s v="rc_acc_1781955063347_e3zv"/>
    <x v="16"/>
    <s v="rc_acc_1781955063347_uxz4"/>
    <s v="SCB"/>
    <s v="-"/>
    <m/>
    <s v="import"/>
    <s v=""/>
    <b v="0"/>
    <s v=""/>
  </r>
  <r>
    <s v="75153676-36a5-4ae7-ab78-15485e791135"/>
    <s v="2021-10-18"/>
    <x v="5"/>
    <x v="8"/>
    <n v="18"/>
    <s v="13:38"/>
    <n v="114"/>
    <x v="0"/>
    <s v="rc_cat_1781955063347_5qjb_1781955063347_tezk"/>
    <x v="5"/>
    <s v="rc_acc_1781955063347_0qmn"/>
    <x v="20"/>
    <s v=""/>
    <m/>
    <s v="โจ๊ก"/>
    <m/>
    <s v="import"/>
    <s v=""/>
    <b v="0"/>
    <s v=""/>
  </r>
  <r>
    <s v="8a8d2836-c431-442f-b032-a300a5a19d81"/>
    <s v="2021-10-18"/>
    <x v="5"/>
    <x v="8"/>
    <n v="18"/>
    <s v="13:38"/>
    <n v="194"/>
    <x v="0"/>
    <s v="rc_cat_1781955063347_5qjb_1781955063347_tezk"/>
    <x v="5"/>
    <s v="rc_acc_1781955063347_0qmn"/>
    <x v="20"/>
    <s v=""/>
    <m/>
    <s v="บะหมี่"/>
    <m/>
    <s v="import"/>
    <s v=""/>
    <b v="0"/>
    <s v=""/>
  </r>
  <r>
    <s v="57a8ac02-2ec7-4655-b90a-a21e865a4d14"/>
    <s v="2021-10-17"/>
    <x v="5"/>
    <x v="8"/>
    <n v="17"/>
    <s v="08:31"/>
    <n v="97"/>
    <x v="0"/>
    <s v="rc_cat_1781955063347_5qjb_1781955063347_tezk"/>
    <x v="5"/>
    <s v="rc_acc_1781955063347_0qmn"/>
    <x v="20"/>
    <s v=""/>
    <m/>
    <s v="หมูปิ้ง"/>
    <m/>
    <s v="import"/>
    <s v=""/>
    <b v="0"/>
    <s v=""/>
  </r>
  <r>
    <s v="063de549-5100-43fc-8edf-cfe44543d9ae"/>
    <s v="2021-10-17"/>
    <x v="5"/>
    <x v="8"/>
    <n v="17"/>
    <s v="09:12"/>
    <n v="1900"/>
    <x v="1"/>
    <s v="other"/>
    <x v="1"/>
    <s v="rc_acc_1781955063347_uxz4"/>
    <x v="4"/>
    <s v="rc_acc_1781955063347_e3zv"/>
    <s v="Cash"/>
    <s v="-"/>
    <m/>
    <s v="import"/>
    <s v=""/>
    <b v="0"/>
    <s v=""/>
  </r>
  <r>
    <s v="959c5b60-e459-4bf2-9d8b-d635a451e66e"/>
    <s v="2021-10-17"/>
    <x v="5"/>
    <x v="8"/>
    <n v="17"/>
    <s v="12:31"/>
    <n v="450"/>
    <x v="0"/>
    <s v="rc_cat_1781955063347_5qjb_1781955063347_tezk"/>
    <x v="5"/>
    <s v="rc_acc_1781955063347_0qmn"/>
    <x v="20"/>
    <s v=""/>
    <m/>
    <s v="YAYOI"/>
    <m/>
    <s v="import"/>
    <s v=""/>
    <b v="0"/>
    <s v=""/>
  </r>
  <r>
    <s v="c515790a-4cb8-4ccc-99a9-995b5f44318f"/>
    <s v="2021-10-17"/>
    <x v="5"/>
    <x v="8"/>
    <n v="17"/>
    <s v="12:40"/>
    <n v="220"/>
    <x v="0"/>
    <s v="rc_cat_1781955063347_5qjb_1781955063347_tezk"/>
    <x v="5"/>
    <s v="rc_acc_1781955063347_0qmn"/>
    <x v="20"/>
    <s v=""/>
    <m/>
    <s v="ขนมปัง เกี้ยว"/>
    <m/>
    <s v="import"/>
    <s v=""/>
    <b v="0"/>
    <s v=""/>
  </r>
  <r>
    <s v="855833e6-6675-4f07-9695-013330091aef"/>
    <s v="2021-10-17"/>
    <x v="5"/>
    <x v="8"/>
    <n v="17"/>
    <s v="13:35"/>
    <n v="205"/>
    <x v="0"/>
    <s v="entertain_1781955063348_gj0i"/>
    <x v="25"/>
    <s v="rc_acc_1781955063347_uxz4"/>
    <x v="4"/>
    <s v=""/>
    <m/>
    <s v="-"/>
    <m/>
    <s v="import"/>
    <s v=""/>
    <b v="0"/>
    <s v=""/>
  </r>
  <r>
    <s v="f157b6eb-25f9-4d35-9c82-035b335da666"/>
    <s v="2021-10-17"/>
    <x v="5"/>
    <x v="8"/>
    <n v="17"/>
    <s v="13:35"/>
    <n v="95"/>
    <x v="0"/>
    <s v="rc_cat_1781955063347_5qjb_1781955063347_tezk"/>
    <x v="5"/>
    <s v="rc_acc_1781955063347_uxz4"/>
    <x v="4"/>
    <s v=""/>
    <m/>
    <s v="บราวนี่"/>
    <m/>
    <s v="import"/>
    <s v=""/>
    <b v="0"/>
    <s v=""/>
  </r>
  <r>
    <s v="cb54d0e6-ad5d-4823-a591-834a60c45d1d"/>
    <s v="2021-10-17"/>
    <x v="5"/>
    <x v="8"/>
    <n v="17"/>
    <s v="13:37"/>
    <n v="178"/>
    <x v="0"/>
    <s v="rc_cat_1781955063347_5qjb_1781955063347_tezk"/>
    <x v="5"/>
    <s v="rc_acc_1781955063347_0qmn"/>
    <x v="20"/>
    <s v=""/>
    <m/>
    <s v="amz grab"/>
    <m/>
    <s v="import"/>
    <s v=""/>
    <b v="0"/>
    <s v=""/>
  </r>
  <r>
    <s v="a73f357b-86ef-4ab2-910d-2d86db1e29d5"/>
    <s v="2021-10-16"/>
    <x v="5"/>
    <x v="8"/>
    <n v="16"/>
    <s v="09:40"/>
    <n v="95"/>
    <x v="0"/>
    <s v="rc_cat_1781955063347_5qjb_1781955063347_tezk"/>
    <x v="5"/>
    <s v="rc_acc_1781955063347_0qmn"/>
    <x v="20"/>
    <s v=""/>
    <m/>
    <s v="at ladya"/>
    <m/>
    <s v="import"/>
    <s v=""/>
    <b v="0"/>
    <s v=""/>
  </r>
  <r>
    <s v="ff08dea7-9b11-4f5d-bf68-09f2b2469c34"/>
    <s v="2021-10-16"/>
    <x v="5"/>
    <x v="8"/>
    <n v="16"/>
    <s v="13:12"/>
    <n v="1385.68"/>
    <x v="0"/>
    <s v="rc_cat_1781955063347_5qjb_1781955063348_hrbf"/>
    <x v="28"/>
    <s v="rc_acc_1781955063347_0qmn"/>
    <x v="20"/>
    <s v=""/>
    <m/>
    <s v="ค่าไฟ กย"/>
    <m/>
    <s v="import"/>
    <s v=""/>
    <b v="0"/>
    <s v=""/>
  </r>
  <r>
    <s v="976818d8-899a-4c76-b80e-023b4e848a96"/>
    <s v="2021-10-16"/>
    <x v="5"/>
    <x v="8"/>
    <n v="16"/>
    <s v="13:38"/>
    <n v="825"/>
    <x v="1"/>
    <s v="other"/>
    <x v="1"/>
    <s v="rc_acc_1781955063347_pixu"/>
    <x v="37"/>
    <s v="rc_acc_1781955063347_uxz4"/>
    <s v="SCB"/>
    <s v="-"/>
    <m/>
    <s v="import"/>
    <s v=""/>
    <b v="0"/>
    <s v=""/>
  </r>
  <r>
    <s v="048e09e0-e212-4756-9dec-457b0ac9f028"/>
    <s v="2021-10-16"/>
    <x v="5"/>
    <x v="8"/>
    <n v="16"/>
    <s v="13:39"/>
    <n v="200"/>
    <x v="1"/>
    <s v="other"/>
    <x v="1"/>
    <s v="rc_acc_1781955063348_2vnx"/>
    <x v="36"/>
    <s v="rc_acc_1781955063347_uxz4"/>
    <s v="SCB"/>
    <s v="-"/>
    <m/>
    <s v="import"/>
    <s v=""/>
    <b v="0"/>
    <s v=""/>
  </r>
  <r>
    <s v="1afbb6ae-55ac-4308-a276-46f165c0ea13"/>
    <s v="2021-10-16"/>
    <x v="5"/>
    <x v="8"/>
    <n v="16"/>
    <s v="13:40"/>
    <n v="95"/>
    <x v="1"/>
    <s v="other"/>
    <x v="1"/>
    <s v="rc_acc_1781955063347_e3zv"/>
    <x v="16"/>
    <s v="rc_acc_1781955063347_uxz4"/>
    <s v="SCB"/>
    <s v="-"/>
    <m/>
    <s v="import"/>
    <s v=""/>
    <b v="0"/>
    <s v=""/>
  </r>
  <r>
    <s v="e1ba4b96-d4d6-477c-a35e-443ac63ad64c"/>
    <s v="2021-10-15"/>
    <x v="5"/>
    <x v="8"/>
    <n v="15"/>
    <s v="00:00"/>
    <n v="315"/>
    <x v="1"/>
    <s v="other"/>
    <x v="1"/>
    <s v="rc_acc_1781955063347_uxz4"/>
    <x v="4"/>
    <s v="rc_acc_1781955063347_tvnx"/>
    <s v="Netflix in Adv"/>
    <s v="-"/>
    <m/>
    <s v="import"/>
    <s v=""/>
    <b v="0"/>
    <s v=""/>
  </r>
  <r>
    <s v="6e342cbf-5c61-4bf8-887b-4d5f8bdb3ed7"/>
    <s v="2021-10-15"/>
    <x v="5"/>
    <x v="8"/>
    <n v="15"/>
    <s v="00:06"/>
    <n v="105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bafabe70-caee-4207-86c9-999359336efc"/>
    <s v="2021-10-15"/>
    <x v="5"/>
    <x v="8"/>
    <n v="15"/>
    <s v="08:33"/>
    <n v="135"/>
    <x v="0"/>
    <s v="rc_cat_1781955063347_5qjb_1781955063347_tezk"/>
    <x v="5"/>
    <s v="rc_acc_1781955063347_0qmn"/>
    <x v="20"/>
    <s v=""/>
    <m/>
    <s v="โจ๊ก"/>
    <m/>
    <s v="import"/>
    <s v=""/>
    <b v="0"/>
    <s v=""/>
  </r>
  <r>
    <s v="686f1c55-7b14-49ba-8d6c-203a22c0c5d0"/>
    <s v="2021-10-15"/>
    <x v="5"/>
    <x v="8"/>
    <n v="15"/>
    <s v="13:34"/>
    <n v="301"/>
    <x v="0"/>
    <s v="rc_cat_1781955063347_5qjb_1781955063347_tezk"/>
    <x v="5"/>
    <s v="rc_acc_1781955063347_0qmn"/>
    <x v="20"/>
    <s v=""/>
    <m/>
    <s v="บาบิก้อน"/>
    <m/>
    <s v="import"/>
    <s v=""/>
    <b v="0"/>
    <s v=""/>
  </r>
  <r>
    <s v="4a47f751-2b3f-47c4-be12-2c659308fc84"/>
    <s v="2021-10-15"/>
    <x v="5"/>
    <x v="8"/>
    <n v="15"/>
    <s v="15:24"/>
    <n v="65"/>
    <x v="0"/>
    <s v="rc_cat_1781955063347_5qjb_1781955063347_tezk"/>
    <x v="5"/>
    <s v="rc_acc_1781955063347_omhz"/>
    <x v="29"/>
    <s v=""/>
    <m/>
    <s v="-"/>
    <m/>
    <s v="import"/>
    <s v=""/>
    <b v="0"/>
    <s v=""/>
  </r>
  <r>
    <s v="23446394-43ba-42bd-b90d-1150fb381ce5"/>
    <s v="2021-10-15"/>
    <x v="5"/>
    <x v="8"/>
    <n v="15"/>
    <s v="17:05"/>
    <n v="3000"/>
    <x v="2"/>
    <s v="income_1781955063347_zblt"/>
    <x v="17"/>
    <s v="rc_acc_1781955063347_uxz4"/>
    <x v="4"/>
    <s v=""/>
    <m/>
    <s v="-"/>
    <m/>
    <s v="import"/>
    <s v=""/>
    <b v="0"/>
    <s v=""/>
  </r>
  <r>
    <s v="e296b7b9-f9ec-4332-a467-8c422761a73d"/>
    <s v="2021-10-15"/>
    <x v="5"/>
    <x v="8"/>
    <n v="15"/>
    <s v="17:41"/>
    <n v="65"/>
    <x v="0"/>
    <s v="rc_cat_1781955063347_5qjb_1781955063347_tezk"/>
    <x v="5"/>
    <s v="rc_acc_1781955063347_0qmn"/>
    <x v="20"/>
    <s v=""/>
    <m/>
    <s v="manoi"/>
    <m/>
    <s v="import"/>
    <s v=""/>
    <b v="0"/>
    <s v=""/>
  </r>
  <r>
    <s v="088084ab-6a2b-45f0-889d-7fb6f6b22992"/>
    <s v="2021-10-15"/>
    <x v="5"/>
    <x v="8"/>
    <n v="15"/>
    <s v="17:41"/>
    <n v="65"/>
    <x v="1"/>
    <s v="other"/>
    <x v="1"/>
    <s v="rc_acc_1781955063347_omhz"/>
    <x v="29"/>
    <s v="rc_acc_1781955063347_uxz4"/>
    <s v="SCB"/>
    <s v="-"/>
    <m/>
    <s v="import"/>
    <s v=""/>
    <b v="0"/>
    <s v=""/>
  </r>
  <r>
    <s v="2524b19f-3610-459b-931f-7f1245791519"/>
    <s v="2021-10-14"/>
    <x v="5"/>
    <x v="8"/>
    <n v="14"/>
    <s v="17:23"/>
    <n v="188"/>
    <x v="0"/>
    <s v="rc_cat_1781955063347_5qjb_1781955063347_tezk"/>
    <x v="5"/>
    <s v="rc_acc_1781955063347_0qmn"/>
    <x v="20"/>
    <s v=""/>
    <m/>
    <s v="ขาหมู"/>
    <m/>
    <s v="import"/>
    <s v=""/>
    <b v="0"/>
    <s v=""/>
  </r>
  <r>
    <s v="61b16e0e-1e65-4a58-9e7f-a12a7d97961e"/>
    <s v="2021-10-13"/>
    <x v="5"/>
    <x v="8"/>
    <n v="13"/>
    <s v="15:06"/>
    <n v="900"/>
    <x v="1"/>
    <s v="other"/>
    <x v="1"/>
    <s v="rc_acc_1781955063348_obza"/>
    <x v="8"/>
    <s v="rc_acc_1781955063347_e3zv"/>
    <s v="Cash"/>
    <s v="-"/>
    <m/>
    <s v="import"/>
    <s v=""/>
    <b v="0"/>
    <s v=""/>
  </r>
  <r>
    <s v="c433e784-534c-499b-8f66-23e0811d686f"/>
    <s v="2021-10-13"/>
    <x v="5"/>
    <x v="8"/>
    <n v="13"/>
    <s v="17:13"/>
    <n v="15"/>
    <x v="0"/>
    <s v="rc_cat_1781955063347_5qjb_1781955063347_irl1"/>
    <x v="0"/>
    <s v="rc_acc_1781955063347_uxz4"/>
    <x v="4"/>
    <s v=""/>
    <m/>
    <s v="-"/>
    <m/>
    <s v="import"/>
    <s v=""/>
    <b v="0"/>
    <s v=""/>
  </r>
  <r>
    <s v="5e84554a-ca22-48a9-b6a3-1b3bda4ccb1a"/>
    <s v="2021-10-13"/>
    <x v="5"/>
    <x v="8"/>
    <n v="13"/>
    <s v="19:11"/>
    <n v="1346"/>
    <x v="0"/>
    <s v="rc_cat_1781955063347_5qjb_1781955063347_tezk"/>
    <x v="5"/>
    <s v="rc_acc_1781955063347_0qmn"/>
    <x v="20"/>
    <s v=""/>
    <m/>
    <s v="kingkong"/>
    <m/>
    <s v="import"/>
    <s v=""/>
    <b v="0"/>
    <s v=""/>
  </r>
  <r>
    <s v="b69fe47d-6a9e-4073-af71-fa78ac2ff441"/>
    <s v="2021-10-12"/>
    <x v="5"/>
    <x v="8"/>
    <n v="12"/>
    <s v="09:15"/>
    <n v="120"/>
    <x v="0"/>
    <s v="rc_cat_1781955063347_5qjb_1781955063347_tezk"/>
    <x v="5"/>
    <s v="rc_acc_1781955063347_0qmn"/>
    <x v="20"/>
    <s v=""/>
    <m/>
    <s v="ชาพะยอม"/>
    <m/>
    <s v="import"/>
    <s v=""/>
    <b v="0"/>
    <s v=""/>
  </r>
  <r>
    <s v="98bb8152-3120-4186-841f-a6d370c52924"/>
    <s v="2021-10-12"/>
    <x v="5"/>
    <x v="8"/>
    <n v="12"/>
    <s v="11:32"/>
    <n v="278"/>
    <x v="0"/>
    <s v="rc_cat_1781955063347_5qjb_1781955063347_tezk"/>
    <x v="5"/>
    <s v="rc_acc_1781955063347_0qmn"/>
    <x v="20"/>
    <s v=""/>
    <m/>
    <s v="aroi dee"/>
    <m/>
    <s v="import"/>
    <s v=""/>
    <b v="0"/>
    <s v=""/>
  </r>
  <r>
    <s v="a2e7ccc3-b4e6-4135-8e8d-e92cd46a2707"/>
    <s v="2021-10-11"/>
    <x v="5"/>
    <x v="8"/>
    <n v="11"/>
    <s v="17:31"/>
    <n v="123"/>
    <x v="0"/>
    <s v="rc_cat_1781955063347_5qjb_1781955063347_tezk"/>
    <x v="5"/>
    <s v="rc_acc_1781955063347_0qmn"/>
    <x v="20"/>
    <s v=""/>
    <m/>
    <s v="กะเพราถาด"/>
    <m/>
    <s v="import"/>
    <s v=""/>
    <b v="0"/>
    <s v=""/>
  </r>
  <r>
    <s v="796fe4ee-a12b-4413-9eee-adb3881ca859"/>
    <s v="2021-10-10"/>
    <x v="5"/>
    <x v="8"/>
    <n v="10"/>
    <s v="10:25"/>
    <n v="120"/>
    <x v="0"/>
    <s v="rc_cat_1781955063347_5qjb_1781955063347_tezk"/>
    <x v="5"/>
    <s v="rc_acc_1781955063347_0qmn"/>
    <x v="20"/>
    <s v=""/>
    <m/>
    <s v="ชาพะยอม"/>
    <m/>
    <s v="import"/>
    <s v=""/>
    <b v="0"/>
    <s v=""/>
  </r>
  <r>
    <s v="7e2ee34e-a976-4d47-9baf-ab87a72a3e28"/>
    <s v="2021-10-10"/>
    <x v="5"/>
    <x v="8"/>
    <n v="10"/>
    <s v="13:04"/>
    <n v="4566"/>
    <x v="0"/>
    <s v="rc_cat_1781955063347_5qjb_1781955063347_irl1"/>
    <x v="0"/>
    <s v="rc_acc_1781955063347_hv85"/>
    <x v="5"/>
    <s v=""/>
    <m/>
    <s v="เครื่องซักผ้า LG(4/6)"/>
    <m/>
    <s v="import"/>
    <s v=""/>
    <b v="0"/>
    <s v=""/>
  </r>
  <r>
    <s v="be1c406a-010f-4e3c-b321-7b1007ace6ab"/>
    <s v="2021-10-10"/>
    <x v="5"/>
    <x v="8"/>
    <n v="10"/>
    <s v="13:04"/>
    <n v="694.2"/>
    <x v="0"/>
    <s v="rc_cat_1781955063347_5qjb_1781955063347_irl1"/>
    <x v="0"/>
    <s v="rc_acc_1781955063347_hv85"/>
    <x v="5"/>
    <s v=""/>
    <m/>
    <s v="ชั้น พัดลม homepro(4/6)"/>
    <m/>
    <s v="import"/>
    <s v=""/>
    <b v="0"/>
    <s v=""/>
  </r>
  <r>
    <s v="12bad312-75af-4919-af92-785b965a0054"/>
    <s v="2021-10-10"/>
    <x v="5"/>
    <x v="8"/>
    <n v="10"/>
    <s v="15:31"/>
    <n v="1783"/>
    <x v="0"/>
    <s v="entertain_1781955063347_8r8e"/>
    <x v="8"/>
    <s v="rc_acc_1781955063347_kjxt"/>
    <x v="1"/>
    <s v=""/>
    <m/>
    <s v="-"/>
    <m/>
    <s v="import"/>
    <s v=""/>
    <b v="0"/>
    <s v=""/>
  </r>
  <r>
    <s v="185c02bc-155c-44bf-8d89-f964a2c01e83"/>
    <s v="2021-10-10"/>
    <x v="5"/>
    <x v="8"/>
    <n v="10"/>
    <s v="15:31"/>
    <n v="899"/>
    <x v="0"/>
    <s v="rc_cat_1781955063347_s4sz_1781955063347_deos"/>
    <x v="6"/>
    <s v="rc_acc_1781955063347_kjxt"/>
    <x v="1"/>
    <s v=""/>
    <m/>
    <s v="-"/>
    <m/>
    <s v="import"/>
    <s v=""/>
    <b v="0"/>
    <s v=""/>
  </r>
  <r>
    <s v="ce3db80e-2ff7-43df-8b3b-1a050c585a8a"/>
    <s v="2021-10-10"/>
    <x v="5"/>
    <x v="8"/>
    <n v="10"/>
    <s v="15:32"/>
    <n v="1009"/>
    <x v="0"/>
    <s v="entertain_1781955063348_32wr"/>
    <x v="23"/>
    <s v="rc_acc_1781955063347_kjxt"/>
    <x v="1"/>
    <s v=""/>
    <m/>
    <s v="-"/>
    <m/>
    <s v="import"/>
    <s v=""/>
    <b v="0"/>
    <s v=""/>
  </r>
  <r>
    <s v="4b0d28a8-9ad0-4cbe-a4c4-c6cb57a285d1"/>
    <s v="2021-10-10"/>
    <x v="5"/>
    <x v="8"/>
    <n v="10"/>
    <s v="15:34"/>
    <n v="729"/>
    <x v="0"/>
    <s v="rc_cat_1781955063347_s4sz_1781955063347_9tpp"/>
    <x v="9"/>
    <s v="rc_acc_1781955063347_omhz"/>
    <x v="29"/>
    <s v=""/>
    <m/>
    <s v="ของ shopee หูฟัง แฟ้ม กางเกง เกงใน ที่วาง"/>
    <m/>
    <s v="import"/>
    <s v=""/>
    <b v="0"/>
    <s v=""/>
  </r>
  <r>
    <s v="ef8ac5d1-dd74-4513-803a-65c968cc7a8c"/>
    <s v="2021-10-10"/>
    <x v="5"/>
    <x v="8"/>
    <n v="10"/>
    <s v="15:47"/>
    <n v="600"/>
    <x v="1"/>
    <s v="other"/>
    <x v="1"/>
    <s v="rc_acc_1781955063347_uxz4"/>
    <x v="4"/>
    <s v="rc_acc_1781955063347_omhz"/>
    <s v="Shopee"/>
    <s v="-"/>
    <m/>
    <s v="import"/>
    <s v=""/>
    <b v="0"/>
    <s v=""/>
  </r>
  <r>
    <s v="64634caf-a905-4d00-a3e8-3d8f5e2f4409"/>
    <s v="2021-10-10"/>
    <x v="5"/>
    <x v="8"/>
    <n v="10"/>
    <s v="16:07"/>
    <n v="549"/>
    <x v="0"/>
    <s v="rc_cat_1781955063347_5qjb_1781955063348_wpky"/>
    <x v="27"/>
    <s v="rc_acc_1781955063347_0qmn"/>
    <x v="20"/>
    <s v=""/>
    <m/>
    <s v="หม้อหุงข้าว"/>
    <m/>
    <s v="import"/>
    <s v=""/>
    <b v="0"/>
    <s v=""/>
  </r>
  <r>
    <s v="f582f3a5-ea97-4c69-a212-25c7889666a0"/>
    <s v="2021-10-09"/>
    <x v="5"/>
    <x v="8"/>
    <n v="9"/>
    <s v="13:09"/>
    <n v="246"/>
    <x v="0"/>
    <s v="rc_cat_1781955063347_5qjb_1781955063347_tezk"/>
    <x v="5"/>
    <s v="rc_acc_1781955063347_0qmn"/>
    <x v="20"/>
    <s v=""/>
    <m/>
    <s v="kfc ยอด ptt kbank"/>
    <m/>
    <s v="import"/>
    <s v=""/>
    <b v="0"/>
    <s v=""/>
  </r>
  <r>
    <s v="bc6ee446-9bcb-4623-b3cb-cb153cdeee3d"/>
    <s v="2021-10-09"/>
    <x v="5"/>
    <x v="8"/>
    <n v="9"/>
    <s v="16:03"/>
    <n v="38"/>
    <x v="0"/>
    <s v="rc_cat_1781955063347_5qjb_1781955063347_irl1"/>
    <x v="0"/>
    <s v="rc_acc_1781955063347_uxz4"/>
    <x v="4"/>
    <s v=""/>
    <m/>
    <s v="bts"/>
    <m/>
    <s v="import"/>
    <s v=""/>
    <b v="0"/>
    <s v=""/>
  </r>
  <r>
    <s v="b86c52b2-4a42-434f-b5d1-5e3b1bb50f2d"/>
    <s v="2021-10-09"/>
    <x v="5"/>
    <x v="8"/>
    <n v="9"/>
    <s v="18:06"/>
    <n v="805"/>
    <x v="0"/>
    <s v="rc_cat_1781955063347_5qjb_1781955063347_tezk"/>
    <x v="5"/>
    <s v="rc_acc_1781955063347_0qmn"/>
    <x v="20"/>
    <s v=""/>
    <m/>
    <s v="din tai fong"/>
    <m/>
    <s v="import"/>
    <s v=""/>
    <b v="0"/>
    <s v=""/>
  </r>
  <r>
    <s v="e73d9e4c-57e2-47ec-8a7f-5d7a810c86ba"/>
    <s v="2021-10-09"/>
    <x v="5"/>
    <x v="8"/>
    <n v="9"/>
    <s v="19:08"/>
    <n v="50"/>
    <x v="0"/>
    <s v="rc_cat_1781955063347_5qjb_1781955063347_tezk"/>
    <x v="5"/>
    <s v="rc_acc_1781955063347_0qmn"/>
    <x v="20"/>
    <s v=""/>
    <m/>
    <s v="noi bakery"/>
    <m/>
    <s v="import"/>
    <s v=""/>
    <b v="0"/>
    <s v=""/>
  </r>
  <r>
    <s v="31a11325-521d-43e6-b066-3f418d725eb2"/>
    <s v="2021-10-08"/>
    <x v="5"/>
    <x v="8"/>
    <n v="8"/>
    <s v="09:06"/>
    <n v="80"/>
    <x v="0"/>
    <s v="rc_cat_1781955063347_5qjb_1781955063347_tezk"/>
    <x v="5"/>
    <s v="rc_acc_1781955063347_0qmn"/>
    <x v="20"/>
    <s v=""/>
    <m/>
    <s v="ชาพะยอม"/>
    <m/>
    <s v="import"/>
    <s v=""/>
    <b v="0"/>
    <s v=""/>
  </r>
  <r>
    <s v="47ade04e-a6a3-4a09-be4b-bc6d67565bf3"/>
    <s v="2021-10-07"/>
    <x v="5"/>
    <x v="8"/>
    <n v="7"/>
    <s v="09:05"/>
    <n v="91"/>
    <x v="0"/>
    <s v="rc_cat_1781955063347_5qjb_1781955063347_tezk"/>
    <x v="5"/>
    <s v="rc_acc_1781955063347_0qmn"/>
    <x v="20"/>
    <s v=""/>
    <m/>
    <s v="หมูปิ้ง"/>
    <m/>
    <s v="import"/>
    <s v=""/>
    <b v="0"/>
    <s v=""/>
  </r>
  <r>
    <s v="4ca259fe-e141-4c8a-b15b-5b180e245987"/>
    <s v="2021-10-05"/>
    <x v="5"/>
    <x v="8"/>
    <n v="5"/>
    <s v="12:14"/>
    <n v="4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be262d98-49dd-4eee-8709-a7a14df2f130"/>
    <s v="2021-10-05"/>
    <x v="5"/>
    <x v="8"/>
    <n v="5"/>
    <s v="12:19"/>
    <n v="200"/>
    <x v="0"/>
    <s v="rc_cat_1781955063347_5qjb_1781955063347_tezk"/>
    <x v="5"/>
    <s v="rc_acc_1781955063347_0qmn"/>
    <x v="20"/>
    <s v=""/>
    <m/>
    <s v="บิกซี"/>
    <m/>
    <s v="import"/>
    <s v=""/>
    <b v="0"/>
    <s v=""/>
  </r>
  <r>
    <s v="00d992b6-b51b-443d-bb77-ea3d722f69c0"/>
    <s v="2021-10-05"/>
    <x v="5"/>
    <x v="8"/>
    <n v="5"/>
    <s v="16:28"/>
    <n v="200"/>
    <x v="1"/>
    <s v="other"/>
    <x v="1"/>
    <s v="rc_acc_1781955063347_e3zv"/>
    <x v="16"/>
    <s v="rc_acc_1781955063347_uxz4"/>
    <s v="SCB"/>
    <s v="-"/>
    <m/>
    <s v="import"/>
    <s v=""/>
    <b v="0"/>
    <s v=""/>
  </r>
  <r>
    <s v="1241a08f-01b8-45cb-a795-7c3a8468ca03"/>
    <s v="2021-10-03"/>
    <x v="5"/>
    <x v="8"/>
    <n v="3"/>
    <s v="13:50"/>
    <n v="93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98af4103-54cc-4b9b-ba8e-3f591d7b7664"/>
    <s v="2021-10-03"/>
    <x v="5"/>
    <x v="8"/>
    <n v="3"/>
    <s v="15:28"/>
    <n v="230"/>
    <x v="0"/>
    <s v="entertain_1781955063348_32wr"/>
    <x v="23"/>
    <s v="rc_acc_1781955063347_uxz4"/>
    <x v="4"/>
    <s v=""/>
    <m/>
    <s v="-"/>
    <m/>
    <s v="import"/>
    <s v=""/>
    <b v="0"/>
    <s v=""/>
  </r>
  <r>
    <s v="66b5f64f-a08d-4f87-84b2-2279217edbba"/>
    <s v="2021-10-03"/>
    <x v="5"/>
    <x v="8"/>
    <n v="3"/>
    <s v="17:00"/>
    <n v="451"/>
    <x v="0"/>
    <s v="rc_cat_1781955063347_5qjb_1781955063348_xqml"/>
    <x v="31"/>
    <s v="rc_acc_1781955063347_0qmn"/>
    <x v="20"/>
    <s v=""/>
    <m/>
    <s v="-"/>
    <m/>
    <s v="import"/>
    <s v=""/>
    <b v="0"/>
    <s v=""/>
  </r>
  <r>
    <s v="273c95f9-a757-4222-8147-200a9dfb6ef8"/>
    <s v="2021-10-03"/>
    <x v="5"/>
    <x v="8"/>
    <n v="3"/>
    <s v="17:08"/>
    <n v="60"/>
    <x v="0"/>
    <s v="rc_cat_1781955063347_5qjb_1781955063347_tezk"/>
    <x v="5"/>
    <s v="rc_acc_1781955063347_e3zv"/>
    <x v="16"/>
    <s v=""/>
    <m/>
    <s v="ไก่ทอด"/>
    <m/>
    <s v="import"/>
    <s v=""/>
    <b v="0"/>
    <s v=""/>
  </r>
  <r>
    <s v="fe4c411a-f50b-480c-ada3-56091f8bfe47"/>
    <s v="2021-10-03"/>
    <x v="5"/>
    <x v="8"/>
    <n v="3"/>
    <s v="17:15"/>
    <n v="95"/>
    <x v="0"/>
    <s v="rc_cat_1781955063347_5qjb_1781955063347_tezk"/>
    <x v="5"/>
    <s v="rc_acc_1781955063347_0qmn"/>
    <x v="20"/>
    <s v=""/>
    <m/>
    <s v="inthanin"/>
    <m/>
    <s v="import"/>
    <s v=""/>
    <b v="0"/>
    <s v=""/>
  </r>
  <r>
    <s v="5b03b4f0-815a-4f0a-9068-d047a1d73838"/>
    <s v="2021-10-03"/>
    <x v="5"/>
    <x v="8"/>
    <n v="3"/>
    <s v="17:30"/>
    <n v="100"/>
    <x v="0"/>
    <s v="rc_cat_1781955063347_s4sz_1781955063347_9tpp"/>
    <x v="9"/>
    <s v="rc_acc_1781955063347_e3zv"/>
    <x v="16"/>
    <s v=""/>
    <m/>
    <s v="-"/>
    <m/>
    <s v="import"/>
    <s v=""/>
    <b v="0"/>
    <s v=""/>
  </r>
  <r>
    <s v="36560a5f-96a3-4fa1-9886-bb5ed17f37a3"/>
    <s v="2021-10-02"/>
    <x v="5"/>
    <x v="8"/>
    <n v="2"/>
    <s v="09:53"/>
    <n v="112"/>
    <x v="0"/>
    <s v="rc_cat_1781955063347_5qjb_1781955063347_tezk"/>
    <x v="5"/>
    <s v="rc_acc_1781955063347_0qmn"/>
    <x v="20"/>
    <s v=""/>
    <m/>
    <s v="ของเซเว่น"/>
    <m/>
    <s v="import"/>
    <s v=""/>
    <b v="0"/>
    <s v=""/>
  </r>
  <r>
    <s v="3421a647-da75-49c5-b39f-b0f365dbc388"/>
    <s v="2021-10-02"/>
    <x v="5"/>
    <x v="8"/>
    <n v="2"/>
    <s v="12:03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5fe9fe7c-d192-4de7-8c26-dc640a828cee"/>
    <s v="2021-10-02"/>
    <x v="5"/>
    <x v="8"/>
    <n v="2"/>
    <s v="12:12"/>
    <n v="80"/>
    <x v="0"/>
    <s v="rc_cat_1781955063347_5qjb_1781955063347_tezk"/>
    <x v="5"/>
    <s v="rc_acc_1781955063347_0qmn"/>
    <x v="20"/>
    <s v=""/>
    <m/>
    <s v="ชาตรามือ"/>
    <m/>
    <s v="import"/>
    <s v=""/>
    <b v="0"/>
    <s v=""/>
  </r>
  <r>
    <s v="cea0884a-16af-43f6-9133-0a2aabf22cd7"/>
    <s v="2021-10-02"/>
    <x v="5"/>
    <x v="8"/>
    <n v="2"/>
    <s v="12:13"/>
    <n v="14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35a811c2-ceca-4a3e-8132-7e877e8da484"/>
    <s v="2021-10-02"/>
    <x v="5"/>
    <x v="8"/>
    <n v="2"/>
    <s v="13:46"/>
    <n v="300"/>
    <x v="1"/>
    <s v="other"/>
    <x v="1"/>
    <s v="rc_acc_1781955063347_uxz4"/>
    <x v="4"/>
    <s v="rc_acc_1781955063348_998o"/>
    <s v="Line Pay"/>
    <s v="-"/>
    <m/>
    <s v="import"/>
    <s v=""/>
    <b v="0"/>
    <s v=""/>
  </r>
  <r>
    <s v="d995331a-d48d-40c9-87f5-ed983792db5e"/>
    <s v="2021-10-02"/>
    <x v="5"/>
    <x v="8"/>
    <n v="2"/>
    <s v="16:34"/>
    <n v="1216.01"/>
    <x v="1"/>
    <s v="other"/>
    <x v="1"/>
    <s v="rc_acc_1781955063347_uxz4"/>
    <x v="4"/>
    <s v="rc_acc_1781955063348_w3gp"/>
    <s v="UOB world"/>
    <s v="-"/>
    <m/>
    <s v="import"/>
    <s v=""/>
    <b v="0"/>
    <s v=""/>
  </r>
  <r>
    <s v="d4954386-49b0-4b36-beb9-8cb811749727"/>
    <s v="2021-10-02"/>
    <x v="5"/>
    <x v="8"/>
    <n v="2"/>
    <s v="16:38"/>
    <n v="1764.23"/>
    <x v="1"/>
    <s v="other"/>
    <x v="1"/>
    <s v="rc_acc_1781955063347_0qmn"/>
    <x v="20"/>
    <s v="rc_acc_1781955063348_jnjs"/>
    <s v="marriage savings"/>
    <s v="-"/>
    <m/>
    <s v="import"/>
    <s v=""/>
    <b v="0"/>
    <s v=""/>
  </r>
  <r>
    <s v="cf0bfcf1-c50a-4c26-8064-15357d9c35dd"/>
    <s v="2021-10-02"/>
    <x v="5"/>
    <x v="8"/>
    <n v="2"/>
    <s v="16:42"/>
    <n v="848.25"/>
    <x v="0"/>
    <s v="rc_cat_1781955063347_5qjb_1781955063348_xqml"/>
    <x v="31"/>
    <s v="rc_acc_1781955063347_0qmn"/>
    <x v="20"/>
    <s v=""/>
    <m/>
    <s v="เดอะมอล"/>
    <m/>
    <s v="import"/>
    <s v=""/>
    <b v="0"/>
    <s v=""/>
  </r>
  <r>
    <s v="0ceeffce-678b-44c1-b00d-5d2c4dddf77a"/>
    <s v="2021-10-02"/>
    <x v="5"/>
    <x v="8"/>
    <n v="2"/>
    <s v="16:44"/>
    <n v="100"/>
    <x v="0"/>
    <s v="rc_cat_1781955063347_5qjb_1781955063347_tezk"/>
    <x v="5"/>
    <s v="rc_acc_1781955063348_998o"/>
    <x v="32"/>
    <s v=""/>
    <m/>
    <s v="ขนมปัง"/>
    <m/>
    <s v="import"/>
    <s v=""/>
    <b v="0"/>
    <s v=""/>
  </r>
  <r>
    <s v="f179901a-5d42-4240-b334-3daa2478c8cc"/>
    <s v="2021-10-02"/>
    <x v="5"/>
    <x v="8"/>
    <n v="2"/>
    <s v="16:45"/>
    <n v="140"/>
    <x v="1"/>
    <s v="other"/>
    <x v="1"/>
    <s v="rc_acc_1781955063348_998o"/>
    <x v="32"/>
    <s v="rc_acc_1781955063347_uxz4"/>
    <s v="SCB"/>
    <s v="-"/>
    <m/>
    <s v="import"/>
    <s v=""/>
    <b v="0"/>
    <s v=""/>
  </r>
  <r>
    <s v="84e75d56-f3bf-48fa-a23a-ed00d18a50d3"/>
    <s v="2021-10-02"/>
    <x v="5"/>
    <x v="8"/>
    <n v="2"/>
    <s v="19:34"/>
    <n v="37800"/>
    <x v="0"/>
    <s v="rc_cat_1781955063347_anhy_1781955063347_qnaz"/>
    <x v="4"/>
    <s v="rc_acc_1781955063347_uxz4"/>
    <x v="4"/>
    <s v=""/>
    <m/>
    <s v="แม่ทำฟัน"/>
    <m/>
    <s v="import"/>
    <s v=""/>
    <b v="0"/>
    <s v=""/>
  </r>
  <r>
    <s v="96000f4c-6a63-41ed-adcc-7402acc96678"/>
    <s v="2021-10-02"/>
    <x v="5"/>
    <x v="8"/>
    <n v="2"/>
    <s v="19:34"/>
    <n v="982"/>
    <x v="0"/>
    <s v="rc_cat_1781955063347_5qjb_1781955063347_tezk"/>
    <x v="5"/>
    <s v="rc_acc_1781955063347_uxz4"/>
    <x v="4"/>
    <s v=""/>
    <m/>
    <s v="บาบิก้อน"/>
    <m/>
    <s v="import"/>
    <s v=""/>
    <b v="0"/>
    <s v=""/>
  </r>
  <r>
    <s v="f8fc5b6e-e4a1-4d20-ad5b-60da295a6671"/>
    <s v="2021-10-02"/>
    <x v="5"/>
    <x v="8"/>
    <n v="2"/>
    <s v="19:46"/>
    <n v="1288"/>
    <x v="1"/>
    <s v="other"/>
    <x v="1"/>
    <s v="rc_acc_1781955063347_pixu"/>
    <x v="37"/>
    <s v="rc_acc_1781955063347_uxz4"/>
    <s v="SCB"/>
    <s v="ตั้งแต่ 26 sep-2 oct"/>
    <m/>
    <s v="import"/>
    <s v=""/>
    <b v="0"/>
    <s v=""/>
  </r>
  <r>
    <s v="c9fb0221-0b27-4a4e-ac55-653db6f3c820"/>
    <s v="2021-10-02"/>
    <x v="5"/>
    <x v="8"/>
    <n v="2"/>
    <s v="19:49"/>
    <n v="400"/>
    <x v="1"/>
    <s v="other"/>
    <x v="1"/>
    <s v="rc_acc_1781955063348_2vnx"/>
    <x v="36"/>
    <s v="rc_acc_1781955063347_uxz4"/>
    <s v="SCB"/>
    <s v="-"/>
    <m/>
    <s v="import"/>
    <s v=""/>
    <b v="0"/>
    <s v=""/>
  </r>
  <r>
    <s v="443eeac2-677b-4bec-9367-67abc444e69b"/>
    <s v="2021-10-02"/>
    <x v="5"/>
    <x v="8"/>
    <n v="2"/>
    <s v="20:00"/>
    <n v="180"/>
    <x v="1"/>
    <s v="other"/>
    <x v="1"/>
    <s v="rc_acc_1781955063347_omhz"/>
    <x v="29"/>
    <s v="rc_acc_1781955063347_uxz4"/>
    <s v="SCB"/>
    <s v="-"/>
    <m/>
    <s v="import"/>
    <s v=""/>
    <b v="0"/>
    <s v=""/>
  </r>
  <r>
    <s v="f43df14a-8efd-4e54-bac6-6cf1c0b82a72"/>
    <s v="2021-10-02"/>
    <x v="5"/>
    <x v="8"/>
    <n v="2"/>
    <s v="20:01"/>
    <n v="469.99"/>
    <x v="0"/>
    <s v="other_1781955063347_5s7r"/>
    <x v="15"/>
    <s v="rc_acc_1781955063347_uxz4"/>
    <x v="4"/>
    <s v=""/>
    <m/>
    <s v="Difference"/>
    <m/>
    <s v="import"/>
    <s v=""/>
    <b v="0"/>
    <s v=""/>
  </r>
  <r>
    <s v="06d5ad55-4c00-4837-aaae-d41858f22f1a"/>
    <s v="2021-10-02"/>
    <x v="5"/>
    <x v="8"/>
    <n v="2"/>
    <s v="20:02"/>
    <n v="494.85"/>
    <x v="0"/>
    <s v="other_1781955063347_5s7r"/>
    <x v="15"/>
    <s v="rc_acc_1781955063347_kjxt"/>
    <x v="1"/>
    <s v=""/>
    <m/>
    <s v="Difference"/>
    <m/>
    <s v="import"/>
    <s v=""/>
    <b v="0"/>
    <s v=""/>
  </r>
  <r>
    <s v="f1585067-67de-49f2-96ad-a6842e6a0ba9"/>
    <s v="2021-10-02"/>
    <x v="5"/>
    <x v="8"/>
    <n v="2"/>
    <s v="20:04"/>
    <n v="113.75"/>
    <x v="0"/>
    <s v="other_1781955063347_5s7r"/>
    <x v="15"/>
    <s v="rc_acc_1781955063348_no9r"/>
    <x v="7"/>
    <s v=""/>
    <m/>
    <s v="Difference"/>
    <m/>
    <s v="import"/>
    <s v=""/>
    <b v="0"/>
    <s v=""/>
  </r>
  <r>
    <s v="ff067f91-c509-4000-8e99-8e9a8d64a11f"/>
    <s v="2021-10-02"/>
    <x v="5"/>
    <x v="8"/>
    <n v="2"/>
    <s v="20:08"/>
    <n v="28803"/>
    <x v="1"/>
    <s v="other"/>
    <x v="1"/>
    <s v="rc_acc_1781955063347_uxz4"/>
    <x v="4"/>
    <s v="rc_acc_1781955063347_sv7p"/>
    <s v="UOB Privilages"/>
    <s v="-"/>
    <m/>
    <s v="import"/>
    <s v=""/>
    <b v="0"/>
    <s v=""/>
  </r>
  <r>
    <s v="4b3a245c-c544-4d12-bb74-2372e353f980"/>
    <s v="2021-10-02"/>
    <x v="5"/>
    <x v="8"/>
    <n v="2"/>
    <s v="20:18"/>
    <n v="354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68e22390-151f-4db6-8e64-d6bb665d539b"/>
    <s v="2021-10-02"/>
    <x v="5"/>
    <x v="8"/>
    <n v="2"/>
    <s v="20:19"/>
    <n v="400"/>
    <x v="0"/>
    <s v="rc_cat_1781955063347_5qjb_1781955063348_hrbf"/>
    <x v="28"/>
    <s v="rc_acc_1781955063347_0qmn"/>
    <x v="20"/>
    <s v=""/>
    <m/>
    <s v="internet"/>
    <m/>
    <s v="import"/>
    <s v=""/>
    <b v="0"/>
    <s v=""/>
  </r>
  <r>
    <s v="6a049b5f-8aa5-443d-b014-dc4510b93248"/>
    <s v="2021-10-02"/>
    <x v="5"/>
    <x v="8"/>
    <n v="2"/>
    <s v="20:23"/>
    <n v="631"/>
    <x v="0"/>
    <s v="other_1781955063347_5s7r"/>
    <x v="15"/>
    <s v="kbank"/>
    <x v="0"/>
    <s v=""/>
    <m/>
    <s v="Difference"/>
    <m/>
    <s v="import"/>
    <s v=""/>
    <b v="0"/>
    <s v=""/>
  </r>
  <r>
    <s v="a43e3e19-4018-4076-be64-408adf5e2d9a"/>
    <s v="2021-10-02"/>
    <x v="5"/>
    <x v="8"/>
    <n v="2"/>
    <s v="20:26"/>
    <n v="100"/>
    <x v="0"/>
    <s v="other_1781955063347_5s7r"/>
    <x v="15"/>
    <s v="rc_acc_1781955063348_2vnx"/>
    <x v="36"/>
    <s v=""/>
    <m/>
    <s v="Difference"/>
    <m/>
    <s v="import"/>
    <s v=""/>
    <b v="0"/>
    <s v=""/>
  </r>
  <r>
    <s v="b7984503-7b96-462b-a989-2407478fc665"/>
    <s v="2021-10-02"/>
    <x v="5"/>
    <x v="8"/>
    <n v="2"/>
    <s v="20:26"/>
    <n v="281.4"/>
    <x v="0"/>
    <s v="other_1781955063347_5s7r"/>
    <x v="15"/>
    <s v="rc_acc_1781955063347_omhz"/>
    <x v="29"/>
    <s v=""/>
    <m/>
    <s v="Difference"/>
    <m/>
    <s v="import"/>
    <s v=""/>
    <b v="0"/>
    <s v=""/>
  </r>
  <r>
    <s v="5f441ab9-2c6f-43cd-9a60-f6884f152dd7"/>
    <s v="2021-10-02"/>
    <x v="5"/>
    <x v="8"/>
    <n v="2"/>
    <s v="20:27"/>
    <n v="708"/>
    <x v="0"/>
    <s v="other_1781955063347_5s7r"/>
    <x v="15"/>
    <s v="rc_acc_1781955063347_e3zv"/>
    <x v="16"/>
    <s v=""/>
    <m/>
    <s v="Difference"/>
    <m/>
    <s v="import"/>
    <s v=""/>
    <b v="0"/>
    <s v=""/>
  </r>
  <r>
    <s v="e2b8e04d-44f5-4932-920b-259a66e0cf19"/>
    <s v="2021-10-01"/>
    <x v="5"/>
    <x v="8"/>
    <n v="1"/>
    <s v="08:49"/>
    <n v="97"/>
    <x v="0"/>
    <s v="rc_cat_1781955063347_5qjb_1781955063347_tezk"/>
    <x v="5"/>
    <s v="rc_acc_1781955063347_0qmn"/>
    <x v="20"/>
    <s v=""/>
    <m/>
    <s v="หมูปิ้ง"/>
    <m/>
    <s v="import"/>
    <s v=""/>
    <b v="0"/>
    <s v=""/>
  </r>
  <r>
    <s v="ddf04dee-fdba-490f-831f-34cad5aa0863"/>
    <s v="2021-10-01"/>
    <x v="5"/>
    <x v="8"/>
    <n v="1"/>
    <s v="16:36"/>
    <n v="7782.87"/>
    <x v="1"/>
    <s v="other"/>
    <x v="1"/>
    <s v="rc_acc_1781955063348_obza"/>
    <x v="8"/>
    <s v="rc_acc_1781955063347_hv85"/>
    <s v="HOMEPRO"/>
    <s v="-"/>
    <m/>
    <s v="import"/>
    <s v=""/>
    <b v="0"/>
    <s v=""/>
  </r>
  <r>
    <s v="a5403a22-0a86-4cc4-8acb-6e8724b5a8c6"/>
    <s v="2021-10-01"/>
    <x v="5"/>
    <x v="8"/>
    <n v="1"/>
    <s v="16:38"/>
    <n v="10000"/>
    <x v="2"/>
    <s v="income_1781955063347_5zxt"/>
    <x v="14"/>
    <s v="rc_acc_1781955063347_0qmn"/>
    <x v="20"/>
    <s v=""/>
    <m/>
    <s v="frm hong"/>
    <m/>
    <s v="import"/>
    <s v=""/>
    <b v="0"/>
    <s v=""/>
  </r>
  <r>
    <s v="fd4dc9e5-ba4a-4e73-a2af-dfcd89e44716"/>
    <s v="2021-10-01"/>
    <x v="5"/>
    <x v="8"/>
    <n v="1"/>
    <s v="16:40"/>
    <n v="345"/>
    <x v="0"/>
    <s v="rc_cat_1781955063347_5qjb_1781955063348_xqml"/>
    <x v="31"/>
    <s v="rc_acc_1781955063347_0qmn"/>
    <x v="20"/>
    <s v=""/>
    <m/>
    <s v="ของสด tops"/>
    <m/>
    <s v="import"/>
    <s v=""/>
    <b v="0"/>
    <s v=""/>
  </r>
  <r>
    <s v="c015257a-7b91-4693-80eb-11d8de9d5e35"/>
    <s v="2021-09-30"/>
    <x v="5"/>
    <x v="9"/>
    <n v="30"/>
    <s v="12:00"/>
    <n v="180"/>
    <x v="0"/>
    <s v="rc_cat_1781955063347_5qjb_1781955063347_tezk"/>
    <x v="5"/>
    <s v="rc_acc_1781955063347_0qmn"/>
    <x v="20"/>
    <s v=""/>
    <m/>
    <s v="บะหมี่"/>
    <m/>
    <s v="import"/>
    <s v=""/>
    <b v="0"/>
    <s v=""/>
  </r>
  <r>
    <s v="f9fe8e00-02d9-4fd1-b47a-9fa2c9a49bb1"/>
    <s v="2021-09-30"/>
    <x v="5"/>
    <x v="9"/>
    <n v="30"/>
    <s v="18:27"/>
    <n v="263"/>
    <x v="0"/>
    <s v="rc_cat_1781955063347_anhy_1781955063348_k5l1"/>
    <x v="16"/>
    <s v="rc_acc_1781955063347_uxz4"/>
    <x v="4"/>
    <s v=""/>
    <m/>
    <s v="ดอกไม้ให้พี่แอน"/>
    <m/>
    <s v="import"/>
    <s v=""/>
    <b v="0"/>
    <s v=""/>
  </r>
  <r>
    <s v="0dbdfd0d-098d-4ed8-b13e-a66b273355be"/>
    <s v="2021-09-29"/>
    <x v="5"/>
    <x v="9"/>
    <n v="29"/>
    <s v="18:26"/>
    <n v="1180"/>
    <x v="0"/>
    <s v="rc_cat_1781955063347_04qb_1781955063347_wt5p"/>
    <x v="3"/>
    <s v="rc_acc_1781955063347_uxz4"/>
    <x v="4"/>
    <s v=""/>
    <m/>
    <s v="ดอกเบี้ย ออก กย"/>
    <m/>
    <s v="import"/>
    <s v=""/>
    <b v="0"/>
    <s v=""/>
  </r>
  <r>
    <s v="e0f23005-1eaf-4932-821f-0e903b46bac1"/>
    <s v="2021-09-28"/>
    <x v="5"/>
    <x v="9"/>
    <n v="28"/>
    <s v="11:58"/>
    <n v="202"/>
    <x v="0"/>
    <s v="rc_cat_1781955063347_5qjb_1781955063347_tezk"/>
    <x v="5"/>
    <s v="rc_acc_1781955063347_0qmn"/>
    <x v="20"/>
    <s v=""/>
    <m/>
    <s v="กาแฟพันธุ์ไทย"/>
    <m/>
    <s v="import"/>
    <s v=""/>
    <b v="0"/>
    <s v=""/>
  </r>
  <r>
    <s v="84632f2b-016d-45e3-96bb-558f481c0104"/>
    <s v="2021-09-28"/>
    <x v="5"/>
    <x v="9"/>
    <n v="28"/>
    <s v="11:58"/>
    <n v="230"/>
    <x v="0"/>
    <s v="rc_cat_1781955063347_5qjb_1781955063347_tezk"/>
    <x v="5"/>
    <s v="rc_acc_1781955063347_0qmn"/>
    <x v="20"/>
    <s v=""/>
    <m/>
    <s v="Tokyo bowl"/>
    <m/>
    <s v="import"/>
    <s v=""/>
    <b v="0"/>
    <s v=""/>
  </r>
  <r>
    <s v="0be67ab8-e55f-47a2-99c5-7cdd6861147e"/>
    <s v="2021-09-28"/>
    <x v="5"/>
    <x v="9"/>
    <n v="28"/>
    <s v="12:03"/>
    <n v="5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66c1bae6-6cc6-4cc8-afbd-45abba0ace7d"/>
    <s v="2021-09-27"/>
    <x v="5"/>
    <x v="9"/>
    <n v="27"/>
    <s v="11:56"/>
    <n v="223"/>
    <x v="0"/>
    <s v="rc_cat_1781955063347_5qjb_1781955063347_tezk"/>
    <x v="5"/>
    <s v="rc_acc_1781955063347_0qmn"/>
    <x v="20"/>
    <s v=""/>
    <m/>
    <s v="บาบิก้อน"/>
    <m/>
    <s v="import"/>
    <s v=""/>
    <b v="0"/>
    <s v=""/>
  </r>
  <r>
    <s v="d1ae1189-c07e-49f6-9680-df80937bd849"/>
    <s v="2021-09-27"/>
    <x v="5"/>
    <x v="9"/>
    <n v="27"/>
    <s v="11:57"/>
    <n v="241"/>
    <x v="0"/>
    <s v="rc_cat_1781955063347_5qjb_1781955063347_tezk"/>
    <x v="5"/>
    <s v="rc_acc_1781955063347_0qmn"/>
    <x v="20"/>
    <s v=""/>
    <m/>
    <s v="เขียง"/>
    <m/>
    <s v="import"/>
    <s v=""/>
    <b v="0"/>
    <s v=""/>
  </r>
  <r>
    <s v="f2b7ce9e-9427-4143-b3c5-0e3c6f3b8457"/>
    <s v="2021-09-26"/>
    <x v="5"/>
    <x v="9"/>
    <n v="26"/>
    <s v="09:53"/>
    <n v="140"/>
    <x v="0"/>
    <s v="rc_cat_1781955063347_5qjb_1781955063347_tezk"/>
    <x v="5"/>
    <s v="rc_acc_1781955063347_0qmn"/>
    <x v="20"/>
    <s v=""/>
    <m/>
    <s v="ซั่งไห่"/>
    <m/>
    <s v="import"/>
    <s v=""/>
    <b v="0"/>
    <s v=""/>
  </r>
  <r>
    <s v="4ca9f1e0-5a7c-4df6-a547-b02ba7761b57"/>
    <s v="2021-09-26"/>
    <x v="5"/>
    <x v="9"/>
    <n v="26"/>
    <s v="09:54"/>
    <n v="55"/>
    <x v="0"/>
    <s v="rc_cat_1781955063347_5qjb_1781955063347_tezk"/>
    <x v="5"/>
    <s v="rc_acc_1781955063347_e3zv"/>
    <x v="16"/>
    <s v=""/>
    <m/>
    <s v="amazon"/>
    <m/>
    <s v="import"/>
    <s v=""/>
    <b v="0"/>
    <s v=""/>
  </r>
  <r>
    <s v="2b8c1649-f70d-47bb-a987-5981a82528e7"/>
    <s v="2021-09-26"/>
    <x v="5"/>
    <x v="9"/>
    <n v="26"/>
    <s v="11:55"/>
    <n v="100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ede6a3d6-c413-40d6-b2ea-38c10dbde672"/>
    <s v="2021-09-26"/>
    <x v="5"/>
    <x v="9"/>
    <n v="26"/>
    <s v="15:01"/>
    <n v="140"/>
    <x v="0"/>
    <s v="rc_cat_1781955063347_5qjb_1781955063347_tezk"/>
    <x v="5"/>
    <s v="rc_acc_1781955063347_0qmn"/>
    <x v="20"/>
    <s v=""/>
    <m/>
    <s v="dacashi"/>
    <m/>
    <s v="import"/>
    <s v=""/>
    <b v="0"/>
    <s v=""/>
  </r>
  <r>
    <s v="f5149142-49c9-4278-bbb6-52a13e296a3c"/>
    <s v="2021-09-26"/>
    <x v="5"/>
    <x v="9"/>
    <n v="26"/>
    <s v="15:02"/>
    <n v="140"/>
    <x v="1"/>
    <s v="other"/>
    <x v="1"/>
    <s v="rc_acc_1781955063347_omhz"/>
    <x v="29"/>
    <s v="rc_acc_1781955063347_uxz4"/>
    <s v="SCB"/>
    <s v="-"/>
    <m/>
    <s v="import"/>
    <s v=""/>
    <b v="0"/>
    <s v=""/>
  </r>
  <r>
    <s v="20d73399-157f-4fa6-ba63-b30f4dc581ad"/>
    <s v="2021-09-26"/>
    <x v="5"/>
    <x v="9"/>
    <n v="26"/>
    <s v="15:59"/>
    <n v="108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926cc6c-b296-4ba7-b403-3c21db4e1af9"/>
    <s v="2021-09-26"/>
    <x v="5"/>
    <x v="9"/>
    <n v="26"/>
    <s v="17:54"/>
    <n v="163"/>
    <x v="0"/>
    <s v="rc_cat_1781955063347_5qjb_1781955063347_tezk"/>
    <x v="5"/>
    <s v="rc_acc_1781955063347_0qmn"/>
    <x v="20"/>
    <s v=""/>
    <m/>
    <s v="ตรอกโรงหมู"/>
    <m/>
    <s v="import"/>
    <s v=""/>
    <b v="0"/>
    <s v=""/>
  </r>
  <r>
    <s v="3e9ca269-f38a-4a9f-8deb-01d42a755c39"/>
    <s v="2021-09-25"/>
    <x v="5"/>
    <x v="9"/>
    <n v="25"/>
    <s v="00:00"/>
    <n v="154.48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c2460432-2344-454d-8cf7-0c4f667c35b0"/>
    <s v="2021-09-25"/>
    <x v="5"/>
    <x v="9"/>
    <n v="25"/>
    <s v="00:00"/>
    <n v="688.6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48b10cc5-2f3c-4eb8-a7fb-1d1c70c0becc"/>
    <s v="2021-09-25"/>
    <x v="5"/>
    <x v="9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83bfdd2b-1c9f-4652-94c5-ca77d034cf0c"/>
    <s v="2021-09-25"/>
    <x v="5"/>
    <x v="9"/>
    <n v="25"/>
    <s v="00:00"/>
    <n v="1917.8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00352396-65f4-47e4-944a-225eacf5ae0f"/>
    <s v="2021-09-25"/>
    <x v="5"/>
    <x v="9"/>
    <n v="25"/>
    <s v="00:00"/>
    <n v="95890"/>
    <x v="2"/>
    <s v="income_1781955063347_5zxt"/>
    <x v="14"/>
    <s v="rc_acc_1781955063347_uxz4"/>
    <x v="4"/>
    <s v=""/>
    <m/>
    <s v="-"/>
    <m/>
    <s v="import"/>
    <s v=""/>
    <b v="0"/>
    <s v=""/>
  </r>
  <r>
    <s v="81fda9dd-28d2-44a1-8fc4-624b3306659a"/>
    <s v="2021-09-25"/>
    <x v="5"/>
    <x v="9"/>
    <n v="25"/>
    <s v="00:00"/>
    <n v="666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d8dabc4a-7ca8-4859-b6de-d9d1cc2328d3"/>
    <s v="2021-09-25"/>
    <x v="5"/>
    <x v="9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280781df-58aa-44e4-91ba-e2a27dcab169"/>
    <s v="2021-09-25"/>
    <x v="5"/>
    <x v="9"/>
    <n v="25"/>
    <s v="11:32"/>
    <n v="180"/>
    <x v="0"/>
    <s v="rc_cat_1781955063347_5qjb_1781955063347_tezk"/>
    <x v="5"/>
    <s v="rc_acc_1781955063347_0qmn"/>
    <x v="20"/>
    <s v=""/>
    <m/>
    <s v="บัวลอยปริญญา"/>
    <m/>
    <s v="import"/>
    <s v=""/>
    <b v="0"/>
    <s v=""/>
  </r>
  <r>
    <s v="de86e641-6a61-45a9-84e4-86e6ccbfd409"/>
    <s v="2021-09-25"/>
    <x v="5"/>
    <x v="9"/>
    <n v="25"/>
    <s v="12:54"/>
    <n v="200"/>
    <x v="1"/>
    <s v="other"/>
    <x v="1"/>
    <s v="rc_acc_1781955063348_u1qk"/>
    <x v="35"/>
    <s v="rc_acc_1781955063347_e3zv"/>
    <s v="Cash"/>
    <s v="-"/>
    <m/>
    <s v="import"/>
    <s v=""/>
    <b v="0"/>
    <s v=""/>
  </r>
  <r>
    <s v="63fd974f-b727-4362-8527-d9e837897a8f"/>
    <s v="2021-09-25"/>
    <x v="5"/>
    <x v="9"/>
    <n v="25"/>
    <s v="18:31"/>
    <n v="168"/>
    <x v="0"/>
    <s v="rc_cat_1781955063347_5qjb_1781955063347_tezk"/>
    <x v="5"/>
    <s v="rc_acc_1781955063347_0qmn"/>
    <x v="20"/>
    <s v=""/>
    <m/>
    <s v="ถ้วยถัง"/>
    <m/>
    <s v="import"/>
    <s v=""/>
    <b v="0"/>
    <s v=""/>
  </r>
  <r>
    <s v="044694bb-b2c2-44d9-8dce-926275ac96e4"/>
    <s v="2021-09-25"/>
    <x v="5"/>
    <x v="9"/>
    <n v="25"/>
    <s v="20:24"/>
    <n v="303"/>
    <x v="0"/>
    <s v="rc_cat_1781955063347_5qjb_1781955063348_wpky"/>
    <x v="27"/>
    <s v="rc_acc_1781955063347_omhz"/>
    <x v="29"/>
    <s v=""/>
    <m/>
    <s v="-"/>
    <m/>
    <s v="import"/>
    <s v=""/>
    <b v="0"/>
    <s v=""/>
  </r>
  <r>
    <s v="30dfcf10-8ab8-4844-b047-9d437fbc3ab6"/>
    <s v="2021-09-24"/>
    <x v="5"/>
    <x v="9"/>
    <n v="24"/>
    <s v="16:51"/>
    <n v="45"/>
    <x v="0"/>
    <s v="rc_cat_1781955063347_5qjb_1781955063347_tezk"/>
    <x v="5"/>
    <s v="rc_acc_1781955063347_e3zv"/>
    <x v="16"/>
    <s v=""/>
    <m/>
    <s v="amazon"/>
    <m/>
    <s v="import"/>
    <s v=""/>
    <b v="0"/>
    <s v=""/>
  </r>
  <r>
    <s v="b49e5334-3528-4449-be82-03f9cd3311d8"/>
    <s v="2021-09-24"/>
    <x v="5"/>
    <x v="9"/>
    <n v="24"/>
    <s v="16:52"/>
    <n v="509"/>
    <x v="1"/>
    <s v="other"/>
    <x v="1"/>
    <s v="rc_acc_1781955063347_e3zv"/>
    <x v="16"/>
    <s v="rc_acc_1781955063347_uxz4"/>
    <s v="SCB"/>
    <s v="-"/>
    <m/>
    <s v="import"/>
    <s v=""/>
    <b v="0"/>
    <s v=""/>
  </r>
  <r>
    <s v="222373ba-feea-4b0f-a0ec-a89cbb53eeea"/>
    <s v="2021-09-24"/>
    <x v="5"/>
    <x v="9"/>
    <n v="24"/>
    <s v="16:52"/>
    <n v="509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72c7b8c7-602c-47ee-8172-25febf37443e"/>
    <s v="2021-09-24"/>
    <x v="5"/>
    <x v="9"/>
    <n v="24"/>
    <s v="17:05"/>
    <n v="372"/>
    <x v="1"/>
    <s v="other"/>
    <x v="1"/>
    <s v="rc_acc_1781955063347_pixu"/>
    <x v="37"/>
    <s v="rc_acc_1781955063347_uxz4"/>
    <s v="SCB"/>
    <s v="23+67+210+72"/>
    <m/>
    <s v="import"/>
    <s v=""/>
    <b v="0"/>
    <s v=""/>
  </r>
  <r>
    <s v="275bac92-bf50-47e7-b7d7-130c7b2236e0"/>
    <s v="2021-09-24"/>
    <x v="5"/>
    <x v="9"/>
    <n v="24"/>
    <s v="17:07"/>
    <n v="400"/>
    <x v="1"/>
    <s v="other"/>
    <x v="1"/>
    <s v="rc_acc_1781955063348_2vnx"/>
    <x v="36"/>
    <s v="rc_acc_1781955063347_uxz4"/>
    <s v="SCB"/>
    <s v="-"/>
    <m/>
    <s v="import"/>
    <s v=""/>
    <b v="0"/>
    <s v=""/>
  </r>
  <r>
    <s v="46525ee5-84a0-4f38-ada9-5a0ee60f00d6"/>
    <s v="2021-09-24"/>
    <x v="5"/>
    <x v="9"/>
    <n v="24"/>
    <s v="17:28"/>
    <n v="1236.75"/>
    <x v="0"/>
    <s v="rc_cat_1781955063347_5qjb_1781955063348_xqml"/>
    <x v="31"/>
    <s v="rc_acc_1781955063347_0qmn"/>
    <x v="20"/>
    <s v=""/>
    <m/>
    <s v="โลตัส"/>
    <m/>
    <s v="import"/>
    <s v=""/>
    <b v="0"/>
    <s v=""/>
  </r>
  <r>
    <s v="76e52d84-410c-467d-bde3-26ee1520a029"/>
    <s v="2021-09-23"/>
    <x v="5"/>
    <x v="9"/>
    <n v="23"/>
    <s v="16:51"/>
    <n v="5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e0a434cd-d5f7-4e15-9daa-f0b3b87a0b79"/>
    <s v="2021-09-23"/>
    <x v="5"/>
    <x v="9"/>
    <n v="23"/>
    <s v="16:51"/>
    <n v="105"/>
    <x v="0"/>
    <s v="rc_cat_1781955063347_5qjb_1781955063347_tezk"/>
    <x v="5"/>
    <s v="rc_acc_1781955063347_0qmn"/>
    <x v="20"/>
    <s v=""/>
    <m/>
    <s v="รสเด็ดคลองสาน"/>
    <m/>
    <s v="import"/>
    <s v=""/>
    <b v="0"/>
    <s v=""/>
  </r>
  <r>
    <s v="1590b22c-b5be-4985-9fda-6c38874b4aec"/>
    <s v="2021-09-22"/>
    <x v="5"/>
    <x v="9"/>
    <n v="22"/>
    <s v="08:50"/>
    <n v="110"/>
    <x v="0"/>
    <s v="rc_cat_1781955063347_5qjb_1781955063347_tezk"/>
    <x v="5"/>
    <s v="rc_acc_1781955063347_0qmn"/>
    <x v="20"/>
    <s v=""/>
    <m/>
    <s v="ชาพะยอม"/>
    <m/>
    <s v="import"/>
    <s v=""/>
    <b v="0"/>
    <s v=""/>
  </r>
  <r>
    <s v="2fd193ee-dfcc-4dd1-b415-d396583a8e20"/>
    <s v="2021-09-21"/>
    <x v="5"/>
    <x v="9"/>
    <n v="21"/>
    <s v="16:58"/>
    <n v="310"/>
    <x v="0"/>
    <s v="rc_cat_1781955063347_5qjb_1781955063347_tezk"/>
    <x v="5"/>
    <s v="rc_acc_1781955063347_0qmn"/>
    <x v="20"/>
    <s v=""/>
    <m/>
    <s v="เป่าชิง"/>
    <m/>
    <s v="import"/>
    <s v=""/>
    <b v="0"/>
    <s v=""/>
  </r>
  <r>
    <s v="1bc50ab1-2e3c-4e14-84c7-d4f27785e0cf"/>
    <s v="2021-09-20"/>
    <x v="5"/>
    <x v="9"/>
    <n v="20"/>
    <s v="08:56"/>
    <n v="123"/>
    <x v="0"/>
    <s v="rc_cat_1781955063347_5qjb_1781955063347_tezk"/>
    <x v="5"/>
    <s v="rc_acc_1781955063347_0qmn"/>
    <x v="20"/>
    <s v=""/>
    <m/>
    <s v="amazon"/>
    <m/>
    <s v="import"/>
    <s v=""/>
    <b v="0"/>
    <s v=""/>
  </r>
  <r>
    <s v="b4cc742f-e094-4bd4-af3f-d1e209efe993"/>
    <s v="2021-09-20"/>
    <x v="5"/>
    <x v="9"/>
    <n v="20"/>
    <s v="13:11"/>
    <n v="14401.5"/>
    <x v="0"/>
    <s v="rc_cat_1781955063347_5qjb_1781955063347_irl1"/>
    <x v="0"/>
    <s v="rc_acc_1781955063347_sv7p"/>
    <x v="12"/>
    <s v=""/>
    <m/>
    <s v="sb build in(3/4)"/>
    <m/>
    <s v="import"/>
    <s v=""/>
    <b v="0"/>
    <s v=""/>
  </r>
  <r>
    <s v="bcf46c85-b6f7-4e06-ac29-6a1855d3d0a5"/>
    <s v="2021-09-20"/>
    <x v="5"/>
    <x v="9"/>
    <n v="20"/>
    <s v="16:57"/>
    <n v="167"/>
    <x v="0"/>
    <s v="rc_cat_1781955063347_5qjb_1781955063347_tezk"/>
    <x v="5"/>
    <s v="rc_acc_1781955063347_0qmn"/>
    <x v="20"/>
    <s v=""/>
    <m/>
    <s v="ครัวคุณยาย"/>
    <m/>
    <s v="import"/>
    <s v=""/>
    <b v="0"/>
    <s v=""/>
  </r>
  <r>
    <s v="06dad742-4ab2-4357-97d1-472ab963de86"/>
    <s v="2021-09-20"/>
    <x v="5"/>
    <x v="9"/>
    <n v="20"/>
    <s v="16:57"/>
    <n v="172"/>
    <x v="0"/>
    <s v="rc_cat_1781955063347_5qjb_1781955063347_tezk"/>
    <x v="5"/>
    <s v="rc_acc_1781955063347_0qmn"/>
    <x v="20"/>
    <s v=""/>
    <m/>
    <s v="เชสเตอร์"/>
    <m/>
    <s v="import"/>
    <s v=""/>
    <b v="0"/>
    <s v=""/>
  </r>
  <r>
    <s v="fbff4a65-bf8e-4685-b422-d8155cd52de3"/>
    <s v="2021-09-18"/>
    <x v="5"/>
    <x v="9"/>
    <n v="18"/>
    <s v="09:48"/>
    <n v="167"/>
    <x v="0"/>
    <s v="rc_cat_1781955063347_5qjb_1781955063347_tezk"/>
    <x v="5"/>
    <s v="rc_acc_1781955063347_0qmn"/>
    <x v="20"/>
    <s v=""/>
    <m/>
    <s v="ปังเปา"/>
    <m/>
    <s v="import"/>
    <s v=""/>
    <b v="0"/>
    <s v=""/>
  </r>
  <r>
    <s v="1182474b-b27b-4455-a17f-6c9077f10f1e"/>
    <s v="2021-09-18"/>
    <x v="5"/>
    <x v="9"/>
    <n v="18"/>
    <s v="11:10"/>
    <n v="6300"/>
    <x v="1"/>
    <s v="other"/>
    <x v="1"/>
    <s v="rc_acc_1781955063347_uxz4"/>
    <x v="4"/>
    <s v="rc_acc_1781955063347_pixu"/>
    <s v="Grabpay"/>
    <s v="-"/>
    <m/>
    <s v="import"/>
    <s v=""/>
    <b v="0"/>
    <s v=""/>
  </r>
  <r>
    <s v="279c41d3-10f4-4797-909b-f253d4cddef7"/>
    <s v="2021-09-18"/>
    <x v="5"/>
    <x v="9"/>
    <n v="18"/>
    <s v="11:14"/>
    <n v="7300"/>
    <x v="2"/>
    <s v="other_1781955063347_5s7r"/>
    <x v="15"/>
    <s v="rc_acc_1781955063348_2vnx"/>
    <x v="36"/>
    <s v=""/>
    <m/>
    <s v="Difference"/>
    <m/>
    <s v="import"/>
    <s v=""/>
    <b v="0"/>
    <s v=""/>
  </r>
  <r>
    <s v="98f17873-e333-4f63-9bea-7a154902a3fc"/>
    <s v="2021-09-18"/>
    <x v="5"/>
    <x v="9"/>
    <n v="18"/>
    <s v="11:48"/>
    <n v="113"/>
    <x v="0"/>
    <s v="rc_cat_1781955063347_5qjb_1781955063347_tezk"/>
    <x v="5"/>
    <s v="rc_acc_1781955063347_0qmn"/>
    <x v="20"/>
    <s v=""/>
    <m/>
    <s v="amazon"/>
    <m/>
    <s v="import"/>
    <s v=""/>
    <b v="0"/>
    <s v=""/>
  </r>
  <r>
    <s v="5455cf94-6e33-4120-b1bb-182bad373a5c"/>
    <s v="2021-09-18"/>
    <x v="5"/>
    <x v="9"/>
    <n v="18"/>
    <s v="11:56"/>
    <n v="2700"/>
    <x v="1"/>
    <s v="other"/>
    <x v="1"/>
    <s v="rc_acc_1781955063347_uxz4"/>
    <x v="4"/>
    <s v="rc_acc_1781955063348_2vnx"/>
    <s v="grabvoucher"/>
    <s v="-"/>
    <m/>
    <s v="import"/>
    <s v=""/>
    <b v="0"/>
    <s v=""/>
  </r>
  <r>
    <s v="47902f6a-d130-4b40-83bf-a5d818a051c1"/>
    <s v="2021-09-18"/>
    <x v="5"/>
    <x v="9"/>
    <n v="18"/>
    <s v="11:59"/>
    <n v="709"/>
    <x v="1"/>
    <s v="other"/>
    <x v="1"/>
    <s v="rc_acc_1781955063347_pixu"/>
    <x v="37"/>
    <s v="rc_acc_1781955063347_uxz4"/>
    <s v="SCB"/>
    <s v="-"/>
    <m/>
    <s v="import"/>
    <s v=""/>
    <b v="0"/>
    <s v=""/>
  </r>
  <r>
    <s v="e9f3fabc-7a35-44c4-8187-b6ffd156222d"/>
    <s v="2021-09-18"/>
    <x v="5"/>
    <x v="9"/>
    <n v="18"/>
    <s v="12:00"/>
    <n v="200"/>
    <x v="1"/>
    <s v="other"/>
    <x v="1"/>
    <s v="rc_acc_1781955063348_2vnx"/>
    <x v="36"/>
    <s v="rc_acc_1781955063347_uxz4"/>
    <s v="SCB"/>
    <s v="-"/>
    <m/>
    <s v="import"/>
    <s v=""/>
    <b v="0"/>
    <s v=""/>
  </r>
  <r>
    <s v="02db79d7-6b1d-4593-804c-1a741006a69f"/>
    <s v="2021-09-18"/>
    <x v="5"/>
    <x v="9"/>
    <n v="18"/>
    <s v="12:50"/>
    <n v="415"/>
    <x v="1"/>
    <s v="other"/>
    <x v="1"/>
    <s v="rc_acc_1781955063347_uxz4"/>
    <x v="4"/>
    <s v="rc_acc_1781955063348_w3gp"/>
    <s v="UOB world"/>
    <s v="-"/>
    <m/>
    <s v="import"/>
    <s v=""/>
    <b v="0"/>
    <s v=""/>
  </r>
  <r>
    <s v="577b7a88-7f19-49bb-9b4b-e44816f34578"/>
    <s v="2021-09-18"/>
    <x v="5"/>
    <x v="9"/>
    <n v="18"/>
    <s v="14:02"/>
    <n v="100"/>
    <x v="0"/>
    <s v="rc_cat_1781955063347_5qjb_1781955063347_tezk"/>
    <x v="5"/>
    <s v="rc_acc_1781955063347_0qmn"/>
    <x v="20"/>
    <s v=""/>
    <m/>
    <s v="เกี้ยวหมู"/>
    <m/>
    <s v="import"/>
    <s v=""/>
    <b v="0"/>
    <s v=""/>
  </r>
  <r>
    <s v="e323243e-5ec4-4599-8952-90b7a59b8cf8"/>
    <s v="2021-09-18"/>
    <x v="5"/>
    <x v="9"/>
    <n v="18"/>
    <s v="14:03"/>
    <n v="40"/>
    <x v="0"/>
    <s v="rc_cat_1781955063347_5qjb_1781955063347_tezk"/>
    <x v="5"/>
    <s v="rc_acc_1781955063347_0qmn"/>
    <x v="20"/>
    <s v=""/>
    <m/>
    <s v="ชิ้นทอด"/>
    <m/>
    <s v="import"/>
    <s v=""/>
    <b v="0"/>
    <s v=""/>
  </r>
  <r>
    <s v="c4137da1-7fca-4f57-8807-f8a297113727"/>
    <s v="2021-09-18"/>
    <x v="5"/>
    <x v="9"/>
    <n v="18"/>
    <s v="17:00"/>
    <n v="130"/>
    <x v="0"/>
    <s v="rc_cat_1781955063347_5qjb_1781955063347_tezk"/>
    <x v="5"/>
    <s v="rc_acc_1781955063347_0qmn"/>
    <x v="20"/>
    <s v=""/>
    <m/>
    <s v="ขาหมู"/>
    <m/>
    <s v="import"/>
    <s v=""/>
    <b v="0"/>
    <s v=""/>
  </r>
  <r>
    <s v="51d5e804-8b76-4534-9b46-13180447b9e7"/>
    <s v="2021-09-18"/>
    <x v="5"/>
    <x v="9"/>
    <n v="18"/>
    <s v="17:00"/>
    <n v="60"/>
    <x v="0"/>
    <s v="rc_cat_1781955063347_5qjb_1781955063347_tezk"/>
    <x v="5"/>
    <s v="rc_acc_1781955063347_0qmn"/>
    <x v="20"/>
    <s v=""/>
    <m/>
    <s v="D bake"/>
    <m/>
    <s v="import"/>
    <s v=""/>
    <b v="0"/>
    <s v=""/>
  </r>
  <r>
    <s v="5fb7e040-b7c1-42fe-a523-8f3e75b0dc0a"/>
    <s v="2021-09-17"/>
    <x v="5"/>
    <x v="9"/>
    <n v="17"/>
    <s v="11:49"/>
    <n v="110.5"/>
    <x v="0"/>
    <s v="rc_cat_1781955063347_5qjb_1781955063347_tezk"/>
    <x v="5"/>
    <s v="rc_acc_1781955063347_0qmn"/>
    <x v="20"/>
    <s v=""/>
    <m/>
    <s v="ราดหน้า"/>
    <m/>
    <s v="import"/>
    <s v=""/>
    <b v="0"/>
    <s v=""/>
  </r>
  <r>
    <s v="5988eb5b-e217-4403-8751-f0985573a663"/>
    <s v="2021-09-17"/>
    <x v="5"/>
    <x v="9"/>
    <n v="17"/>
    <s v="11:49"/>
    <n v="73"/>
    <x v="0"/>
    <s v="rc_cat_1781955063347_5qjb_1781955063347_tezk"/>
    <x v="5"/>
    <s v="rc_acc_1781955063347_0qmn"/>
    <x v="20"/>
    <s v=""/>
    <m/>
    <s v="ochaya"/>
    <m/>
    <s v="import"/>
    <s v=""/>
    <b v="0"/>
    <s v=""/>
  </r>
  <r>
    <s v="34bd378f-0256-4f47-984e-365e8ff4e23b"/>
    <s v="2021-09-17"/>
    <x v="5"/>
    <x v="9"/>
    <n v="17"/>
    <s v="17:47"/>
    <n v="220"/>
    <x v="0"/>
    <s v="rc_cat_1781955063347_5qjb_1781955063347_tezk"/>
    <x v="5"/>
    <s v="rc_acc_1781955063347_0qmn"/>
    <x v="20"/>
    <s v=""/>
    <m/>
    <s v="เล้งลาดหญ้า"/>
    <m/>
    <s v="import"/>
    <s v=""/>
    <b v="0"/>
    <s v=""/>
  </r>
  <r>
    <s v="792aebc8-74c6-4687-ada1-e09431e06325"/>
    <s v="2021-09-16"/>
    <x v="5"/>
    <x v="9"/>
    <n v="16"/>
    <s v="11:01"/>
    <n v="159"/>
    <x v="0"/>
    <s v="entertain_1781955063348_kx2f"/>
    <x v="0"/>
    <s v="rc_acc_1781955063347_uxz4"/>
    <x v="4"/>
    <s v=""/>
    <m/>
    <s v="yt premium"/>
    <m/>
    <s v="import"/>
    <s v=""/>
    <b v="0"/>
    <s v=""/>
  </r>
  <r>
    <s v="414a6b1d-938e-469a-b168-de331bfad5cd"/>
    <s v="2021-09-16"/>
    <x v="5"/>
    <x v="9"/>
    <n v="16"/>
    <s v="11:02"/>
    <n v="219"/>
    <x v="0"/>
    <s v="rc_cat_1781955063347_5qjb_1781955063347_tezk"/>
    <x v="5"/>
    <s v="rc_acc_1781955063347_0qmn"/>
    <x v="20"/>
    <s v=""/>
    <m/>
    <s v="711"/>
    <m/>
    <s v="import"/>
    <s v=""/>
    <b v="0"/>
    <s v=""/>
  </r>
  <r>
    <s v="53c375d4-332f-49f7-bbc8-1ec30c6988b5"/>
    <s v="2021-09-16"/>
    <x v="5"/>
    <x v="9"/>
    <n v="16"/>
    <s v="11:47"/>
    <n v="180"/>
    <x v="0"/>
    <s v="rc_cat_1781955063347_5qjb_1781955063347_tezk"/>
    <x v="5"/>
    <s v="rc_acc_1781955063347_0qmn"/>
    <x v="20"/>
    <s v=""/>
    <m/>
    <s v="ขาหมู"/>
    <m/>
    <s v="import"/>
    <s v=""/>
    <b v="0"/>
    <s v=""/>
  </r>
  <r>
    <s v="d64a796c-f1d8-4383-a2aa-f3f6a836371b"/>
    <s v="2021-09-15"/>
    <x v="5"/>
    <x v="9"/>
    <n v="15"/>
    <s v="09:48"/>
    <n v="180"/>
    <x v="0"/>
    <s v="rc_cat_1781955063347_5qjb_1781955063347_tezk"/>
    <x v="5"/>
    <s v="rc_acc_1781955063347_0qmn"/>
    <x v="20"/>
    <s v=""/>
    <m/>
    <s v="ต้มเลืดหมู"/>
    <m/>
    <s v="import"/>
    <s v=""/>
    <b v="0"/>
    <s v=""/>
  </r>
  <r>
    <s v="66094025-1756-4178-9bf8-951f501576b5"/>
    <s v="2021-09-15"/>
    <x v="5"/>
    <x v="9"/>
    <n v="15"/>
    <s v="10:48"/>
    <n v="145"/>
    <x v="0"/>
    <s v="rc_cat_1781955063347_5qjb_1781955063347_tezk"/>
    <x v="5"/>
    <s v="rc_acc_1781955063347_0qmn"/>
    <x v="20"/>
    <s v=""/>
    <m/>
    <s v="coffee journey"/>
    <m/>
    <s v="import"/>
    <s v=""/>
    <b v="0"/>
    <s v=""/>
  </r>
  <r>
    <s v="89f3d78b-ef90-4a12-b6cf-600b770f8d0a"/>
    <s v="2021-09-15"/>
    <x v="5"/>
    <x v="9"/>
    <n v="15"/>
    <s v="11:46"/>
    <n v="279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48dcdc4e-260a-45d1-af43-aad242527611"/>
    <s v="2021-09-14"/>
    <x v="5"/>
    <x v="9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f20d5788-ccfd-4c43-9913-077bbfe16c76"/>
    <s v="2021-09-14"/>
    <x v="5"/>
    <x v="9"/>
    <n v="14"/>
    <s v="08:45"/>
    <n v="500"/>
    <x v="1"/>
    <s v="other"/>
    <x v="1"/>
    <s v="rc_acc_1781955063347_uxz4"/>
    <x v="4"/>
    <s v="rc_acc_1781955063347_omhz"/>
    <s v="Shopee"/>
    <s v="-"/>
    <m/>
    <s v="import"/>
    <s v=""/>
    <b v="0"/>
    <s v=""/>
  </r>
  <r>
    <s v="5617dd8c-03bc-4422-b929-658ea2042600"/>
    <s v="2021-09-14"/>
    <x v="5"/>
    <x v="9"/>
    <n v="14"/>
    <s v="11:07"/>
    <n v="200"/>
    <x v="0"/>
    <s v="rc_cat_1781955063347_5qjb_1781955063347_tezk"/>
    <x v="5"/>
    <s v="rc_acc_1781955063347_0qmn"/>
    <x v="20"/>
    <s v=""/>
    <m/>
    <s v="senban"/>
    <m/>
    <s v="import"/>
    <s v=""/>
    <b v="0"/>
    <s v=""/>
  </r>
  <r>
    <s v="2fe0281f-0bae-4576-a8ef-5e8cda0e1856"/>
    <s v="2021-09-13"/>
    <x v="5"/>
    <x v="9"/>
    <n v="13"/>
    <s v="17:53"/>
    <n v="140"/>
    <x v="0"/>
    <s v="rc_cat_1781955063347_5qjb_1781955063347_tezk"/>
    <x v="5"/>
    <s v="rc_acc_1781955063347_0qmn"/>
    <x v="20"/>
    <s v=""/>
    <m/>
    <s v="เยนตาโฟ ชานม"/>
    <m/>
    <s v="import"/>
    <s v=""/>
    <b v="0"/>
    <s v=""/>
  </r>
  <r>
    <s v="33259745-15cc-4fbb-b60b-b228c74224ba"/>
    <s v="2021-09-12"/>
    <x v="5"/>
    <x v="9"/>
    <n v="12"/>
    <s v="10:26"/>
    <n v="360"/>
    <x v="0"/>
    <s v="rc_cat_1781955063347_5qjb_1781955063347_tezk"/>
    <x v="5"/>
    <s v="rc_acc_1781955063347_0qmn"/>
    <x v="20"/>
    <s v=""/>
    <m/>
    <s v="ลุงหนึ่ง"/>
    <m/>
    <s v="import"/>
    <s v=""/>
    <b v="0"/>
    <s v=""/>
  </r>
  <r>
    <s v="f7056825-607d-4a8b-bec2-d8411496bf9f"/>
    <s v="2021-09-12"/>
    <x v="5"/>
    <x v="9"/>
    <n v="12"/>
    <s v="12:43"/>
    <n v="135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5842ab15-d123-4385-b4d2-cbd51d0766c2"/>
    <s v="2021-09-12"/>
    <x v="5"/>
    <x v="9"/>
    <n v="12"/>
    <s v="13:52"/>
    <n v="900"/>
    <x v="0"/>
    <s v="rc_cat_1781955063347_5qjb_1781955063348_edf6"/>
    <x v="30"/>
    <s v="rc_acc_1781955063347_0qmn"/>
    <x v="20"/>
    <s v=""/>
    <m/>
    <s v="-"/>
    <m/>
    <s v="import"/>
    <s v=""/>
    <b v="0"/>
    <s v=""/>
  </r>
  <r>
    <s v="292942bd-756d-4efe-92b5-2a9ca36fa034"/>
    <s v="2021-09-12"/>
    <x v="5"/>
    <x v="9"/>
    <n v="12"/>
    <s v="14:57"/>
    <n v="477"/>
    <x v="0"/>
    <s v="rc_cat_1781955063347_5qjb_1781955063348_xqml"/>
    <x v="31"/>
    <s v="rc_acc_1781955063347_0qmn"/>
    <x v="20"/>
    <s v=""/>
    <m/>
    <s v="lotus"/>
    <m/>
    <s v="import"/>
    <s v=""/>
    <b v="0"/>
    <s v=""/>
  </r>
  <r>
    <s v="3ef881d4-518e-479b-8d70-29e5ff30b7d5"/>
    <s v="2021-09-11"/>
    <x v="5"/>
    <x v="9"/>
    <n v="11"/>
    <s v="10:33"/>
    <n v="136.04"/>
    <x v="0"/>
    <s v="rc_cat_1781955063347_5qjb_1781955063347_tezk"/>
    <x v="5"/>
    <s v="rc_acc_1781955063347_0qmn"/>
    <x v="20"/>
    <s v=""/>
    <m/>
    <s v="bellinis"/>
    <m/>
    <s v="import"/>
    <s v=""/>
    <b v="0"/>
    <s v=""/>
  </r>
  <r>
    <s v="febb8edd-897c-43f5-8f64-5786ca78ad03"/>
    <s v="2021-09-11"/>
    <x v="5"/>
    <x v="9"/>
    <n v="11"/>
    <s v="11:18"/>
    <n v="10000"/>
    <x v="2"/>
    <s v="income_1781955063347_5zxt"/>
    <x v="14"/>
    <s v="rc_acc_1781955063347_0qmn"/>
    <x v="20"/>
    <s v=""/>
    <m/>
    <s v="-"/>
    <m/>
    <s v="import"/>
    <s v=""/>
    <b v="0"/>
    <s v=""/>
  </r>
  <r>
    <s v="acdff9f5-a12a-4d06-9816-4377e8717b6d"/>
    <s v="2021-09-11"/>
    <x v="5"/>
    <x v="9"/>
    <n v="11"/>
    <s v="11:26"/>
    <n v="70"/>
    <x v="1"/>
    <s v="other"/>
    <x v="1"/>
    <s v="rc_acc_1781955063347_e3zv"/>
    <x v="16"/>
    <s v="rc_acc_1781955063347_uxz4"/>
    <s v="SCB"/>
    <s v="-"/>
    <m/>
    <s v="import"/>
    <s v=""/>
    <b v="0"/>
    <s v=""/>
  </r>
  <r>
    <s v="02df5c45-814d-47b5-80a5-a070809c6260"/>
    <s v="2021-09-11"/>
    <x v="5"/>
    <x v="9"/>
    <n v="11"/>
    <s v="12:35"/>
    <n v="188"/>
    <x v="0"/>
    <s v="rc_cat_1781955063347_5qjb_1781955063347_tezk"/>
    <x v="5"/>
    <s v="rc_acc_1781955063347_0qmn"/>
    <x v="20"/>
    <s v=""/>
    <m/>
    <s v="เจ้กเม้ง grab"/>
    <m/>
    <s v="import"/>
    <s v=""/>
    <b v="0"/>
    <s v=""/>
  </r>
  <r>
    <s v="9e7afe45-1e44-478a-a5eb-36b6725fe8bb"/>
    <s v="2021-09-11"/>
    <x v="5"/>
    <x v="9"/>
    <n v="11"/>
    <s v="14:41"/>
    <n v="10000"/>
    <x v="0"/>
    <s v="other_1781955063348_27zj"/>
    <x v="0"/>
    <s v="rc_acc_1781955063347_uxz4"/>
    <x v="4"/>
    <s v=""/>
    <m/>
    <s v="bdg"/>
    <m/>
    <s v="import"/>
    <s v=""/>
    <b v="0"/>
    <s v=""/>
  </r>
  <r>
    <s v="084b0a09-1b46-40c1-b58c-f47c131a061f"/>
    <s v="2021-09-10"/>
    <x v="5"/>
    <x v="9"/>
    <n v="10"/>
    <s v="11:47"/>
    <n v="198"/>
    <x v="0"/>
    <s v="rc_cat_1781955063347_5qjb_1781955063347_tezk"/>
    <x v="5"/>
    <s v="rc_acc_1781955063347_0qmn"/>
    <x v="20"/>
    <s v=""/>
    <m/>
    <s v="คุ้มสึ"/>
    <m/>
    <s v="import"/>
    <s v=""/>
    <b v="0"/>
    <s v=""/>
  </r>
  <r>
    <s v="33846114-622b-424f-adc4-f73081d4fb19"/>
    <s v="2021-09-10"/>
    <x v="5"/>
    <x v="9"/>
    <n v="10"/>
    <s v="11:48"/>
    <n v="317"/>
    <x v="0"/>
    <s v="rc_cat_1781955063347_5qjb_1781955063347_tezk"/>
    <x v="5"/>
    <s v="rc_acc_1781955063347_0qmn"/>
    <x v="20"/>
    <s v=""/>
    <m/>
    <s v="ดอยตุง"/>
    <m/>
    <s v="import"/>
    <s v=""/>
    <b v="0"/>
    <s v=""/>
  </r>
  <r>
    <s v="d76cb404-744c-4a78-9182-e699f9536097"/>
    <s v="2021-09-10"/>
    <x v="5"/>
    <x v="9"/>
    <n v="10"/>
    <s v="11:48"/>
    <n v="202"/>
    <x v="0"/>
    <s v="rc_cat_1781955063347_5qjb_1781955063347_tezk"/>
    <x v="5"/>
    <s v="rc_acc_1781955063347_0qmn"/>
    <x v="20"/>
    <s v=""/>
    <m/>
    <s v="senban"/>
    <m/>
    <s v="import"/>
    <s v=""/>
    <b v="0"/>
    <s v=""/>
  </r>
  <r>
    <s v="eaf4e481-51c6-478c-9450-045b2e8dfe2c"/>
    <s v="2021-09-10"/>
    <x v="5"/>
    <x v="9"/>
    <n v="10"/>
    <s v="13:02"/>
    <n v="2522"/>
    <x v="0"/>
    <s v="rc_cat_1781955063347_5qjb_1781955063347_irl1"/>
    <x v="0"/>
    <s v="rc_acc_1781955063347_hv85"/>
    <x v="5"/>
    <s v=""/>
    <m/>
    <s v="เตา teka(4/4)"/>
    <m/>
    <s v="import"/>
    <s v=""/>
    <b v="0"/>
    <s v=""/>
  </r>
  <r>
    <s v="109f8485-a60a-4918-a81c-574b719f5506"/>
    <s v="2021-09-10"/>
    <x v="5"/>
    <x v="9"/>
    <n v="10"/>
    <s v="13:04"/>
    <n v="4566"/>
    <x v="0"/>
    <s v="rc_cat_1781955063347_5qjb_1781955063347_irl1"/>
    <x v="0"/>
    <s v="rc_acc_1781955063347_hv85"/>
    <x v="5"/>
    <s v=""/>
    <m/>
    <s v="เครื่องซักผ้า LG(3/6)"/>
    <m/>
    <s v="import"/>
    <s v=""/>
    <b v="0"/>
    <s v=""/>
  </r>
  <r>
    <s v="633eb125-6509-4c58-b157-155f9eec069d"/>
    <s v="2021-09-10"/>
    <x v="5"/>
    <x v="9"/>
    <n v="10"/>
    <s v="13:04"/>
    <n v="694.2"/>
    <x v="0"/>
    <s v="rc_cat_1781955063347_5qjb_1781955063347_irl1"/>
    <x v="0"/>
    <s v="rc_acc_1781955063347_hv85"/>
    <x v="5"/>
    <s v=""/>
    <m/>
    <s v="ชั้น พัดลม homepro(3/6)"/>
    <m/>
    <s v="import"/>
    <s v=""/>
    <b v="0"/>
    <s v=""/>
  </r>
  <r>
    <s v="cbe5f6b3-d4e1-4c61-98da-d127fac046d9"/>
    <s v="2021-09-09"/>
    <x v="5"/>
    <x v="9"/>
    <n v="9"/>
    <s v="08:45"/>
    <n v="125"/>
    <x v="0"/>
    <s v="rc_cat_1781955063347_5qjb_1781955063347_tezk"/>
    <x v="5"/>
    <s v="rc_acc_1781955063347_0qmn"/>
    <x v="20"/>
    <s v=""/>
    <m/>
    <s v="โจ๊ก"/>
    <m/>
    <s v="import"/>
    <s v=""/>
    <b v="0"/>
    <s v=""/>
  </r>
  <r>
    <s v="be939dbd-4003-471a-bbad-8562c08ed787"/>
    <s v="2021-09-09"/>
    <x v="5"/>
    <x v="9"/>
    <n v="9"/>
    <s v="09:57"/>
    <n v="1800"/>
    <x v="1"/>
    <s v="other"/>
    <x v="1"/>
    <s v="rc_acc_1781955063347_uxz4"/>
    <x v="4"/>
    <s v="rc_acc_1781955063347_omhz"/>
    <s v="Shopee"/>
    <s v="-"/>
    <m/>
    <s v="import"/>
    <s v=""/>
    <b v="0"/>
    <s v=""/>
  </r>
  <r>
    <s v="3b3b15ff-b993-4cb2-8397-538c1f7d70a1"/>
    <s v="2021-09-09"/>
    <x v="5"/>
    <x v="9"/>
    <n v="9"/>
    <s v="11:46"/>
    <n v="147"/>
    <x v="0"/>
    <s v="rc_cat_1781955063347_5qjb_1781955063347_tezk"/>
    <x v="5"/>
    <s v="rc_acc_1781955063347_0qmn"/>
    <x v="20"/>
    <s v=""/>
    <m/>
    <s v="สีมรกต"/>
    <m/>
    <s v="import"/>
    <s v=""/>
    <b v="0"/>
    <s v=""/>
  </r>
  <r>
    <s v="fc5707ba-770f-4fcc-af40-72740e0340a1"/>
    <s v="2021-09-09"/>
    <x v="5"/>
    <x v="9"/>
    <n v="9"/>
    <s v="11:46"/>
    <n v="238"/>
    <x v="0"/>
    <s v="rc_cat_1781955063347_5qjb_1781955063347_tezk"/>
    <x v="5"/>
    <s v="rc_acc_1781955063347_0qmn"/>
    <x v="20"/>
    <s v=""/>
    <m/>
    <s v="aroidee"/>
    <m/>
    <s v="import"/>
    <s v=""/>
    <b v="0"/>
    <s v=""/>
  </r>
  <r>
    <s v="27a62f1a-d4f7-47ff-8ae4-a5a881eb3290"/>
    <s v="2021-09-09"/>
    <x v="5"/>
    <x v="9"/>
    <n v="9"/>
    <s v="13:16"/>
    <n v="294"/>
    <x v="0"/>
    <s v="rc_cat_1781955063347_5qjb_1781955063348_wpky"/>
    <x v="27"/>
    <s v="rc_acc_1781955063347_omhz"/>
    <x v="29"/>
    <s v=""/>
    <m/>
    <s v="-"/>
    <m/>
    <s v="import"/>
    <s v=""/>
    <b v="0"/>
    <s v=""/>
  </r>
  <r>
    <s v="40e6191f-c939-4350-b409-3fda060ff69e"/>
    <s v="2021-09-09"/>
    <x v="5"/>
    <x v="9"/>
    <n v="9"/>
    <s v="13:18"/>
    <n v="700"/>
    <x v="0"/>
    <s v="entertain_1781955063347_8r8e"/>
    <x v="8"/>
    <s v="rc_acc_1781955063347_kjxt"/>
    <x v="1"/>
    <s v=""/>
    <m/>
    <s v="-"/>
    <m/>
    <s v="import"/>
    <s v=""/>
    <b v="0"/>
    <s v=""/>
  </r>
  <r>
    <s v="2095bb2d-579e-43d7-9ce4-3b36b4049b70"/>
    <s v="2021-09-09"/>
    <x v="5"/>
    <x v="9"/>
    <n v="9"/>
    <s v="13:19"/>
    <n v="1507"/>
    <x v="0"/>
    <s v="entertain_1781955063348_32wr"/>
    <x v="23"/>
    <s v="rc_acc_1781955063347_kjxt"/>
    <x v="1"/>
    <s v=""/>
    <m/>
    <s v="-"/>
    <m/>
    <s v="import"/>
    <s v=""/>
    <b v="0"/>
    <s v=""/>
  </r>
  <r>
    <s v="1e723120-d398-49c8-9a3b-d6fb36b5b6d2"/>
    <s v="2021-09-08"/>
    <x v="5"/>
    <x v="9"/>
    <n v="8"/>
    <s v="10:40"/>
    <n v="320"/>
    <x v="0"/>
    <s v="rc_cat_1781955063347_5qjb_1781955063347_irl1"/>
    <x v="0"/>
    <s v="rc_acc_1781955063347_0qmn"/>
    <x v="20"/>
    <s v=""/>
    <m/>
    <s v="ค่าน้ำ"/>
    <m/>
    <s v="import"/>
    <s v=""/>
    <b v="0"/>
    <s v=""/>
  </r>
  <r>
    <s v="b9a84e2a-5fa2-4bf6-8457-03e51605523f"/>
    <s v="2021-09-08"/>
    <x v="5"/>
    <x v="9"/>
    <n v="8"/>
    <s v="11:45"/>
    <n v="268"/>
    <x v="0"/>
    <s v="rc_cat_1781955063347_5qjb_1781955063347_tezk"/>
    <x v="5"/>
    <s v="rc_acc_1781955063347_0qmn"/>
    <x v="20"/>
    <s v=""/>
    <m/>
    <s v="เจ้กเม้ง"/>
    <m/>
    <s v="import"/>
    <s v=""/>
    <b v="0"/>
    <s v=""/>
  </r>
  <r>
    <s v="8a5904f5-8c41-4f37-bb70-3184d1fd3d6f"/>
    <s v="2021-09-08"/>
    <x v="5"/>
    <x v="9"/>
    <n v="8"/>
    <s v="18:42"/>
    <n v="85"/>
    <x v="0"/>
    <s v="rc_cat_1781955063347_5qjb_1781955063347_tezk"/>
    <x v="5"/>
    <s v="rc_acc_1781955063347_0qmn"/>
    <x v="20"/>
    <s v=""/>
    <m/>
    <s v="manoi"/>
    <m/>
    <s v="import"/>
    <s v=""/>
    <b v="0"/>
    <s v=""/>
  </r>
  <r>
    <s v="1721ab79-00d5-44e1-9ded-1abebf931a2e"/>
    <s v="2021-09-08"/>
    <x v="5"/>
    <x v="9"/>
    <n v="8"/>
    <s v="18:43"/>
    <n v="85"/>
    <x v="1"/>
    <s v="other"/>
    <x v="1"/>
    <s v="rc_acc_1781955063347_omhz"/>
    <x v="29"/>
    <s v="rc_acc_1781955063347_uxz4"/>
    <s v="SCB"/>
    <s v="-"/>
    <m/>
    <s v="import"/>
    <s v=""/>
    <b v="0"/>
    <s v=""/>
  </r>
  <r>
    <s v="af17f13e-4d7a-48e0-a487-63450ad65c8e"/>
    <s v="2021-09-07"/>
    <x v="5"/>
    <x v="9"/>
    <n v="7"/>
    <s v="11:44"/>
    <n v="201"/>
    <x v="0"/>
    <s v="rc_cat_1781955063347_5qjb_1781955063347_tezk"/>
    <x v="5"/>
    <s v="rc_acc_1781955063347_0qmn"/>
    <x v="20"/>
    <s v=""/>
    <m/>
    <s v="เชสเตอร์"/>
    <m/>
    <s v="import"/>
    <s v=""/>
    <b v="0"/>
    <s v=""/>
  </r>
  <r>
    <s v="caf8afe8-99dd-4723-bfe1-c44a8f4b6e69"/>
    <s v="2021-09-06"/>
    <x v="5"/>
    <x v="9"/>
    <n v="6"/>
    <s v="10:32"/>
    <n v="70"/>
    <x v="0"/>
    <s v="rc_cat_1781955063347_5qjb_1781955063347_tezk"/>
    <x v="5"/>
    <s v="rc_acc_1781955063347_0qmn"/>
    <x v="20"/>
    <s v=""/>
    <m/>
    <s v="ชาพะยอม"/>
    <m/>
    <s v="import"/>
    <s v=""/>
    <b v="0"/>
    <s v=""/>
  </r>
  <r>
    <s v="985c50f8-7ae9-4b9f-8f88-ec8a26455cd7"/>
    <s v="2021-09-06"/>
    <x v="5"/>
    <x v="9"/>
    <n v="6"/>
    <s v="10:41"/>
    <n v="1590"/>
    <x v="0"/>
    <s v="rc_cat_1781955063347_5qjb_1781955063348_edf6"/>
    <x v="30"/>
    <s v="rc_acc_1781955063347_0qmn"/>
    <x v="20"/>
    <s v=""/>
    <m/>
    <s v="น้ำมัน"/>
    <m/>
    <s v="import"/>
    <s v=""/>
    <b v="0"/>
    <s v=""/>
  </r>
  <r>
    <s v="5a516847-6183-483d-9da6-781b480c0555"/>
    <s v="2021-09-06"/>
    <x v="5"/>
    <x v="9"/>
    <n v="6"/>
    <s v="11:43"/>
    <n v="167"/>
    <x v="0"/>
    <s v="rc_cat_1781955063347_5qjb_1781955063347_tezk"/>
    <x v="5"/>
    <s v="rc_acc_1781955063347_0qmn"/>
    <x v="20"/>
    <s v=""/>
    <m/>
    <s v="คุ้มสึ"/>
    <m/>
    <s v="import"/>
    <s v=""/>
    <b v="0"/>
    <s v=""/>
  </r>
  <r>
    <s v="b884fbc4-febe-4af6-bc21-63b33967b028"/>
    <s v="2021-09-06"/>
    <x v="5"/>
    <x v="9"/>
    <n v="6"/>
    <s v="11:43"/>
    <n v="298"/>
    <x v="0"/>
    <s v="rc_cat_1781955063347_5qjb_1781955063347_tezk"/>
    <x v="5"/>
    <s v="rc_acc_1781955063347_0qmn"/>
    <x v="20"/>
    <s v=""/>
    <m/>
    <s v="kfc"/>
    <m/>
    <s v="import"/>
    <s v=""/>
    <b v="0"/>
    <s v=""/>
  </r>
  <r>
    <s v="df8e6d55-0ae2-4117-95a9-9de00b98b2f2"/>
    <s v="2021-09-06"/>
    <x v="5"/>
    <x v="9"/>
    <n v="6"/>
    <s v="12:14"/>
    <n v="50"/>
    <x v="2"/>
    <s v="income_1781955063347_zblt"/>
    <x v="17"/>
    <s v="rc_acc_1781955063347_uxz4"/>
    <x v="4"/>
    <s v=""/>
    <m/>
    <s v="-"/>
    <m/>
    <s v="import"/>
    <s v=""/>
    <b v="0"/>
    <s v=""/>
  </r>
  <r>
    <s v="1a1685c4-957c-45dd-8c8f-4a188e421273"/>
    <s v="2021-09-06"/>
    <x v="5"/>
    <x v="9"/>
    <n v="6"/>
    <s v="13:17"/>
    <n v="1113"/>
    <x v="0"/>
    <s v="rc_cat_1781955063347_5qjb_1781955063348_wpky"/>
    <x v="27"/>
    <s v="rc_acc_1781955063347_kjxt"/>
    <x v="1"/>
    <s v=""/>
    <m/>
    <s v="-"/>
    <m/>
    <s v="import"/>
    <s v=""/>
    <b v="0"/>
    <s v=""/>
  </r>
  <r>
    <s v="3347f361-41e4-47cd-a8c2-3cd4e08fdc07"/>
    <s v="2021-09-05"/>
    <x v="5"/>
    <x v="9"/>
    <n v="5"/>
    <s v="10:39"/>
    <n v="70"/>
    <x v="0"/>
    <s v="rc_cat_1781955063347_5qjb_1781955063347_tezk"/>
    <x v="5"/>
    <s v="rc_acc_1781955063347_0qmn"/>
    <x v="20"/>
    <s v=""/>
    <m/>
    <s v="ข้าวมันไก่ซ่างไห่"/>
    <m/>
    <s v="import"/>
    <s v=""/>
    <b v="0"/>
    <s v=""/>
  </r>
  <r>
    <s v="39c1894d-12bc-40d9-a0a4-0a904b542e1f"/>
    <s v="2021-09-05"/>
    <x v="5"/>
    <x v="9"/>
    <n v="5"/>
    <s v="11:42"/>
    <n v="160"/>
    <x v="0"/>
    <s v="rc_cat_1781955063347_5qjb_1781955063347_tezk"/>
    <x v="5"/>
    <s v="rc_acc_1781955063347_0qmn"/>
    <x v="20"/>
    <s v=""/>
    <m/>
    <s v="tim hortons"/>
    <m/>
    <s v="import"/>
    <s v=""/>
    <b v="0"/>
    <s v=""/>
  </r>
  <r>
    <s v="e33b2cd0-ec19-4dae-a686-7cf2d4f8b2d0"/>
    <s v="2021-09-05"/>
    <x v="5"/>
    <x v="9"/>
    <n v="5"/>
    <s v="12:43"/>
    <n v="40"/>
    <x v="0"/>
    <s v="rc_cat_1781955063347_5qjb_1781955063347_tezk"/>
    <x v="5"/>
    <s v="rc_acc_1781955063347_omhz"/>
    <x v="29"/>
    <s v=""/>
    <m/>
    <s v="-"/>
    <m/>
    <s v="import"/>
    <s v=""/>
    <b v="0"/>
    <s v=""/>
  </r>
  <r>
    <s v="9e7ee9f4-d89c-492f-86c1-320083eb5995"/>
    <s v="2021-09-05"/>
    <x v="5"/>
    <x v="9"/>
    <n v="5"/>
    <s v="13:19"/>
    <n v="435"/>
    <x v="0"/>
    <s v="rc_cat_1781955063347_anhy_1781955063347_qnaz"/>
    <x v="4"/>
    <s v="rc_acc_1781955063347_kjxt"/>
    <x v="1"/>
    <s v=""/>
    <m/>
    <s v="mk สามย่าน"/>
    <m/>
    <s v="import"/>
    <s v=""/>
    <b v="0"/>
    <s v=""/>
  </r>
  <r>
    <s v="619c88d5-c75f-4c55-983c-251236374bc7"/>
    <s v="2021-09-04"/>
    <x v="5"/>
    <x v="9"/>
    <n v="4"/>
    <s v="09:23"/>
    <n v="55"/>
    <x v="0"/>
    <s v="rc_cat_1781955063347_5qjb_1781955063347_tezk"/>
    <x v="5"/>
    <s v="rc_acc_1781955063347_0qmn"/>
    <x v="20"/>
    <s v=""/>
    <m/>
    <s v="กาแฟข้าง รพ"/>
    <m/>
    <s v="import"/>
    <s v=""/>
    <b v="0"/>
    <s v=""/>
  </r>
  <r>
    <s v="16d0a57d-a805-4ede-b46f-4793a215f9ac"/>
    <s v="2021-09-04"/>
    <x v="5"/>
    <x v="9"/>
    <n v="4"/>
    <s v="09:30"/>
    <n v="70"/>
    <x v="1"/>
    <s v="other"/>
    <x v="1"/>
    <s v="rc_acc_1781955063347_0qmn"/>
    <x v="20"/>
    <s v="rc_acc_1781955063347_uxz4"/>
    <s v="SCB"/>
    <s v="ไก่ทอด ข้าวเหนียว ข้าวสวย"/>
    <m/>
    <s v="import"/>
    <s v=""/>
    <b v="0"/>
    <s v=""/>
  </r>
  <r>
    <s v="d13fad68-f700-4f27-8285-f94bc5bb9a04"/>
    <s v="2021-09-04"/>
    <x v="5"/>
    <x v="9"/>
    <n v="4"/>
    <s v="11:30"/>
    <n v="100"/>
    <x v="0"/>
    <s v="rc_cat_1781955063347_5qjb_1781955063347_tezk"/>
    <x v="5"/>
    <s v="rc_acc_1781955063348_bs00"/>
    <x v="14"/>
    <s v=""/>
    <m/>
    <s v="-"/>
    <m/>
    <s v="import"/>
    <s v=""/>
    <b v="0"/>
    <s v=""/>
  </r>
  <r>
    <s v="38019fd3-4715-47cb-a584-d06bebca4bcc"/>
    <s v="2021-09-04"/>
    <x v="5"/>
    <x v="9"/>
    <n v="4"/>
    <s v="11:32"/>
    <n v="847.53"/>
    <x v="0"/>
    <s v="rc_cat_1781955063347_04qb_1781955063347_wt5p"/>
    <x v="3"/>
    <s v="rc_acc_1781955063347_uxz4"/>
    <x v="4"/>
    <s v=""/>
    <m/>
    <s v="ทบยอดดอกเบี้ย"/>
    <m/>
    <s v="import"/>
    <s v=""/>
    <b v="0"/>
    <s v=""/>
  </r>
  <r>
    <s v="4720e8fd-1ee0-4f68-9940-0f5adfb0a689"/>
    <s v="2021-09-04"/>
    <x v="5"/>
    <x v="9"/>
    <n v="4"/>
    <s v="12:07"/>
    <n v="753"/>
    <x v="0"/>
    <s v="rc_cat_1781955063347_5qjb_1781955063347_tezk"/>
    <x v="5"/>
    <s v="rc_acc_1781955063347_0qmn"/>
    <x v="20"/>
    <s v=""/>
    <m/>
    <s v="lotus"/>
    <m/>
    <s v="import"/>
    <s v=""/>
    <b v="0"/>
    <s v=""/>
  </r>
  <r>
    <s v="e7cd6cf0-eefb-4c0a-a955-ccf47b105597"/>
    <s v="2021-09-04"/>
    <x v="5"/>
    <x v="9"/>
    <n v="4"/>
    <s v="12:08"/>
    <n v="675"/>
    <x v="0"/>
    <s v="rc_cat_1781955063347_5qjb_1781955063347_irl1"/>
    <x v="0"/>
    <s v="rc_acc_1781955063347_0qmn"/>
    <x v="20"/>
    <s v=""/>
    <m/>
    <s v="watson"/>
    <m/>
    <s v="import"/>
    <s v=""/>
    <b v="0"/>
    <s v=""/>
  </r>
  <r>
    <s v="f15aa609-908d-492c-a4d2-8932c6cf96a3"/>
    <s v="2021-09-04"/>
    <x v="5"/>
    <x v="9"/>
    <n v="4"/>
    <s v="12:45"/>
    <n v="328"/>
    <x v="0"/>
    <s v="rc_cat_1781955063347_5qjb_1781955063348_wpky"/>
    <x v="27"/>
    <s v="rc_acc_1781955063347_omhz"/>
    <x v="29"/>
    <s v=""/>
    <m/>
    <s v="-"/>
    <m/>
    <s v="import"/>
    <s v=""/>
    <b v="0"/>
    <s v=""/>
  </r>
  <r>
    <s v="f22dafad-53cb-4bda-9291-795a9e648119"/>
    <s v="2021-09-04"/>
    <x v="5"/>
    <x v="9"/>
    <n v="4"/>
    <s v="16:41"/>
    <n v="832"/>
    <x v="0"/>
    <s v="rc_cat_1781955063347_5qjb_1781955063347_tezk"/>
    <x v="5"/>
    <s v="rc_acc_1781955063347_0qmn"/>
    <x v="20"/>
    <s v=""/>
    <m/>
    <s v="บาบิก้อน"/>
    <m/>
    <s v="import"/>
    <s v=""/>
    <b v="0"/>
    <s v=""/>
  </r>
  <r>
    <s v="a1f97735-ffce-4f4a-ba2c-f0bb0785b714"/>
    <s v="2021-09-03"/>
    <x v="5"/>
    <x v="9"/>
    <n v="3"/>
    <s v="00:00"/>
    <n v="55"/>
    <x v="0"/>
    <s v="rc_cat_1781955063347_5qjb_1781955063347_tezk"/>
    <x v="5"/>
    <s v="rc_acc_1781955063347_0qmn"/>
    <x v="20"/>
    <s v=""/>
    <m/>
    <s v="กาแฟข้างรพ"/>
    <m/>
    <s v="import"/>
    <s v=""/>
    <b v="0"/>
    <s v=""/>
  </r>
  <r>
    <s v="86a6feec-0f62-48f8-b556-cecb79439b1f"/>
    <s v="2021-09-03"/>
    <x v="5"/>
    <x v="9"/>
    <n v="3"/>
    <s v="07:29"/>
    <n v="1900"/>
    <x v="1"/>
    <s v="other"/>
    <x v="1"/>
    <s v="rc_acc_1781955063348_hnxg"/>
    <x v="9"/>
    <s v="rc_acc_1781955063347_e3zv"/>
    <s v="Cash"/>
    <s v="-"/>
    <m/>
    <s v="import"/>
    <s v=""/>
    <b v="0"/>
    <s v=""/>
  </r>
  <r>
    <s v="7b57a149-de33-437f-8c3e-58658fcb8a86"/>
    <s v="2021-09-03"/>
    <x v="5"/>
    <x v="9"/>
    <n v="3"/>
    <s v="11:28"/>
    <n v="200"/>
    <x v="0"/>
    <s v="rc_cat_1781955063347_5qjb_1781955063347_tezk"/>
    <x v="5"/>
    <s v="rc_acc_1781955063347_0qmn"/>
    <x v="20"/>
    <s v=""/>
    <m/>
    <s v="เอลวิสสุกี้"/>
    <m/>
    <s v="import"/>
    <s v=""/>
    <b v="0"/>
    <s v=""/>
  </r>
  <r>
    <s v="66b1dd7d-476c-47aa-a49c-a0444b82594d"/>
    <s v="2021-09-03"/>
    <x v="5"/>
    <x v="9"/>
    <n v="3"/>
    <s v="11:28"/>
    <n v="200"/>
    <x v="1"/>
    <s v="other"/>
    <x v="1"/>
    <s v="rc_acc_1781955063347_e3zv"/>
    <x v="16"/>
    <s v="rc_acc_1781955063347_uxz4"/>
    <s v="SCB"/>
    <s v="เอลวิส"/>
    <m/>
    <s v="import"/>
    <s v=""/>
    <b v="0"/>
    <s v=""/>
  </r>
  <r>
    <s v="c6d4cb4b-fe2b-4880-85e2-73885d4e5e70"/>
    <s v="2021-09-02"/>
    <x v="5"/>
    <x v="9"/>
    <n v="2"/>
    <s v="08:40"/>
    <n v="79"/>
    <x v="0"/>
    <s v="rc_cat_1781955063347_5qjb_1781955063347_tezk"/>
    <x v="5"/>
    <s v="rc_acc_1781955063347_0qmn"/>
    <x v="20"/>
    <s v=""/>
    <m/>
    <s v="bellini rbh"/>
    <m/>
    <s v="import"/>
    <s v=""/>
    <b v="0"/>
    <s v=""/>
  </r>
  <r>
    <s v="19df38c2-0e2f-4d2f-8414-27ed3b14e8d5"/>
    <s v="2021-09-02"/>
    <x v="5"/>
    <x v="9"/>
    <n v="2"/>
    <s v="13:14"/>
    <n v="184"/>
    <x v="0"/>
    <s v="rc_cat_1781955063347_5qjb_1781955063347_tezk"/>
    <x v="5"/>
    <s v="rc_acc_1781955063347_0qmn"/>
    <x v="20"/>
    <s v=""/>
    <m/>
    <s v="บะหมี่"/>
    <m/>
    <s v="import"/>
    <s v=""/>
    <b v="0"/>
    <s v=""/>
  </r>
  <r>
    <s v="911ceb7d-5e1d-4c65-adf0-5cf71c666206"/>
    <s v="2021-09-02"/>
    <x v="5"/>
    <x v="9"/>
    <n v="2"/>
    <s v="13:15"/>
    <n v="160"/>
    <x v="0"/>
    <s v="rc_cat_1781955063347_5qjb_1781955063347_tezk"/>
    <x v="5"/>
    <s v="rc_acc_1781955063347_0qmn"/>
    <x v="20"/>
    <s v=""/>
    <m/>
    <s v="46333"/>
    <m/>
    <s v="import"/>
    <s v=""/>
    <b v="0"/>
    <s v=""/>
  </r>
  <r>
    <s v="ca65aec8-9f2a-40a5-8fac-31fe10606ba8"/>
    <s v="2021-09-02"/>
    <x v="5"/>
    <x v="9"/>
    <n v="2"/>
    <s v="16:18"/>
    <n v="3943.66"/>
    <x v="1"/>
    <s v="other"/>
    <x v="1"/>
    <s v="rc_acc_1781955063347_0qmn"/>
    <x v="20"/>
    <s v="rc_acc_1781955063348_jnjs"/>
    <s v="marriage savings"/>
    <s v="-"/>
    <m/>
    <s v="import"/>
    <s v=""/>
    <b v="0"/>
    <s v=""/>
  </r>
  <r>
    <s v="3077cd82-1bb1-472e-aedf-1440a78ca656"/>
    <s v="2021-09-02"/>
    <x v="5"/>
    <x v="9"/>
    <n v="2"/>
    <s v="18:53"/>
    <n v="623"/>
    <x v="0"/>
    <s v="rc_cat_1781955063347_5qjb_1781955063347_tezk"/>
    <x v="5"/>
    <s v="rc_acc_1781955063347_0qmn"/>
    <x v="20"/>
    <s v=""/>
    <m/>
    <s v="YAYOI"/>
    <m/>
    <s v="import"/>
    <s v=""/>
    <b v="0"/>
    <s v=""/>
  </r>
  <r>
    <s v="fb57f7af-702f-42e1-9f92-741820d8c0f0"/>
    <s v="2021-09-01"/>
    <x v="5"/>
    <x v="9"/>
    <n v="1"/>
    <s v="10:43"/>
    <n v="10000"/>
    <x v="1"/>
    <s v="other"/>
    <x v="1"/>
    <s v="rc_acc_1781955063347_uxz4"/>
    <x v="4"/>
    <s v="rc_acc_1781955063347_0qmn"/>
    <s v="Marriage account"/>
    <s v="-"/>
    <m/>
    <s v="import"/>
    <s v=""/>
    <b v="0"/>
    <s v=""/>
  </r>
  <r>
    <s v="190fc799-fc5b-4a8c-841b-0f22be51a341"/>
    <s v="2021-09-01"/>
    <x v="5"/>
    <x v="9"/>
    <n v="1"/>
    <s v="12:03"/>
    <n v="477"/>
    <x v="0"/>
    <s v="rc_cat_1781955063347_anhy_1781955063347_qnaz"/>
    <x v="4"/>
    <s v="rc_acc_1781955063348_w3gp"/>
    <x v="6"/>
    <s v=""/>
    <m/>
    <s v="-"/>
    <m/>
    <s v="import"/>
    <s v=""/>
    <b v="0"/>
    <s v=""/>
  </r>
  <r>
    <s v="dcc8699a-1d49-4af7-9abb-398993fbf949"/>
    <s v="2021-08-31"/>
    <x v="5"/>
    <x v="10"/>
    <n v="31"/>
    <s v="10:48"/>
    <n v="109"/>
    <x v="0"/>
    <s v="rc_cat_1781955063347_5qjb_1781955063347_tezk"/>
    <x v="5"/>
    <s v="rc_acc_1781955063347_0qmn"/>
    <x v="20"/>
    <s v=""/>
    <m/>
    <s v="kai coffee"/>
    <m/>
    <s v="import"/>
    <s v=""/>
    <b v="0"/>
    <s v=""/>
  </r>
  <r>
    <s v="fefc67ad-ccdf-4ab3-9df5-fe709e74f80a"/>
    <s v="2021-08-30"/>
    <x v="5"/>
    <x v="10"/>
    <n v="30"/>
    <s v="10:47"/>
    <n v="145.24"/>
    <x v="0"/>
    <s v="rc_cat_1781955063347_5qjb_1781955063347_tezk"/>
    <x v="5"/>
    <s v="rc_acc_1781955063347_0qmn"/>
    <x v="20"/>
    <s v=""/>
    <m/>
    <s v="bellinis"/>
    <m/>
    <s v="import"/>
    <s v=""/>
    <b v="0"/>
    <s v=""/>
  </r>
  <r>
    <s v="686465dc-887e-41d4-aaba-0a4a6db575b0"/>
    <s v="2021-08-30"/>
    <x v="5"/>
    <x v="10"/>
    <n v="30"/>
    <s v="11:40"/>
    <n v="384"/>
    <x v="0"/>
    <s v="rc_cat_1781955063347_5qjb_1781955063347_tezk"/>
    <x v="5"/>
    <s v="rc_acc_1781955063347_0qmn"/>
    <x v="20"/>
    <s v=""/>
    <m/>
    <s v="mk grab"/>
    <m/>
    <s v="import"/>
    <s v=""/>
    <b v="0"/>
    <s v=""/>
  </r>
  <r>
    <s v="519f4aaf-5111-4a9e-ab9f-edd68510c1c8"/>
    <s v="2021-08-30"/>
    <x v="5"/>
    <x v="10"/>
    <n v="30"/>
    <s v="12:05"/>
    <n v="50"/>
    <x v="2"/>
    <s v="income_1781955063347_zblt"/>
    <x v="17"/>
    <s v="rc_acc_1781955063347_uxz4"/>
    <x v="4"/>
    <s v=""/>
    <m/>
    <s v="-"/>
    <m/>
    <s v="import"/>
    <s v=""/>
    <b v="0"/>
    <s v=""/>
  </r>
  <r>
    <s v="a69cfb24-8e38-4385-8557-fb05ff28a70b"/>
    <s v="2021-08-30"/>
    <x v="5"/>
    <x v="10"/>
    <n v="30"/>
    <s v="13:20"/>
    <n v="1000"/>
    <x v="0"/>
    <s v="rc_cat_1781955063347_5qjb_1781955063347_irl1"/>
    <x v="0"/>
    <s v="rc_acc_1781955063347_e3zv"/>
    <x v="16"/>
    <s v=""/>
    <m/>
    <s v="tips"/>
    <m/>
    <s v="import"/>
    <s v=""/>
    <b v="0"/>
    <s v=""/>
  </r>
  <r>
    <s v="18615997-e97c-4f45-8a4c-0bbd38611cdf"/>
    <s v="2021-08-29"/>
    <x v="5"/>
    <x v="10"/>
    <n v="29"/>
    <s v="10:47"/>
    <n v="145.24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787db7b2-00a3-4105-8991-369f4289d3fe"/>
    <s v="2021-08-29"/>
    <x v="5"/>
    <x v="10"/>
    <n v="29"/>
    <s v="14:50"/>
    <n v="940"/>
    <x v="0"/>
    <s v="rc_cat_1781955063347_anhy_1781955063347_qnaz"/>
    <x v="4"/>
    <s v="rc_acc_1781955063347_uxz4"/>
    <x v="4"/>
    <s v=""/>
    <m/>
    <s v="jade garden"/>
    <m/>
    <s v="import"/>
    <s v=""/>
    <b v="0"/>
    <s v=""/>
  </r>
  <r>
    <s v="0c81d7a5-997f-46c2-95be-d20289ec4875"/>
    <s v="2021-08-29"/>
    <x v="5"/>
    <x v="10"/>
    <n v="29"/>
    <s v="17:57"/>
    <n v="6000"/>
    <x v="1"/>
    <s v="other"/>
    <x v="1"/>
    <s v="kbank"/>
    <x v="0"/>
    <s v="rc_acc_1781955063347_e3zv"/>
    <s v="Cash"/>
    <s v="-"/>
    <m/>
    <s v="import"/>
    <s v=""/>
    <b v="0"/>
    <s v=""/>
  </r>
  <r>
    <s v="c4a2319f-0d50-4cb1-a772-ba35d36adf8d"/>
    <s v="2021-08-29"/>
    <x v="5"/>
    <x v="10"/>
    <n v="29"/>
    <s v="18:20"/>
    <n v="5000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285f8db0-26e3-4aed-b8d0-fd50c4f640e6"/>
    <s v="2021-08-28"/>
    <x v="5"/>
    <x v="10"/>
    <n v="28"/>
    <s v="12:51"/>
    <n v="390"/>
    <x v="0"/>
    <s v="rc_cat_1781955063347_5qjb_1781955063347_tezk"/>
    <x v="5"/>
    <s v="rc_acc_1781955063347_0qmn"/>
    <x v="20"/>
    <s v=""/>
    <m/>
    <s v="ข้าว icon"/>
    <m/>
    <s v="import"/>
    <s v=""/>
    <b v="0"/>
    <s v=""/>
  </r>
  <r>
    <s v="8c5daf11-1753-4168-be0d-8f4dfc26d65f"/>
    <s v="2021-08-28"/>
    <x v="5"/>
    <x v="10"/>
    <n v="28"/>
    <s v="13:51"/>
    <n v="189.15"/>
    <x v="0"/>
    <s v="rc_cat_1781955063347_5qjb_1781955063347_irl1"/>
    <x v="0"/>
    <s v="rc_acc_1781955063347_0qmn"/>
    <x v="20"/>
    <s v=""/>
    <m/>
    <s v="ปลั๊กไฟ"/>
    <m/>
    <s v="import"/>
    <s v=""/>
    <b v="0"/>
    <s v=""/>
  </r>
  <r>
    <s v="5bbea92d-80e6-473e-83f1-1d1829209e8b"/>
    <s v="2021-08-28"/>
    <x v="5"/>
    <x v="10"/>
    <n v="28"/>
    <s v="15:49"/>
    <n v="1074.5"/>
    <x v="0"/>
    <s v="rc_cat_1781955063347_5qjb_1781955063347_tezk"/>
    <x v="5"/>
    <s v="rc_acc_1781955063347_0qmn"/>
    <x v="20"/>
    <s v=""/>
    <m/>
    <s v="ของโลตัส"/>
    <m/>
    <s v="import"/>
    <s v=""/>
    <b v="0"/>
    <s v=""/>
  </r>
  <r>
    <s v="c416f89f-8e89-4cab-ae19-0646b1fc5467"/>
    <s v="2021-08-28"/>
    <x v="5"/>
    <x v="10"/>
    <n v="28"/>
    <s v="19:33"/>
    <n v="2150"/>
    <x v="0"/>
    <s v="rc_cat_1781955063347_s4sz_1781955063347_deos"/>
    <x v="6"/>
    <s v="rc_acc_1781955063347_kjxt"/>
    <x v="1"/>
    <s v=""/>
    <m/>
    <s v="aftershockz openmove"/>
    <m/>
    <s v="import"/>
    <s v=""/>
    <b v="0"/>
    <s v=""/>
  </r>
  <r>
    <s v="a33bda5e-e778-424f-b537-ecb3a9932b57"/>
    <s v="2021-08-28"/>
    <x v="5"/>
    <x v="10"/>
    <n v="28"/>
    <s v="19:47"/>
    <n v="10311.66"/>
    <x v="1"/>
    <s v="other"/>
    <x v="1"/>
    <s v="rc_acc_1781955063347_uxz4"/>
    <x v="4"/>
    <s v="rc_acc_1781955063347_hv85"/>
    <s v="HOMEPRO"/>
    <s v="-"/>
    <m/>
    <s v="import"/>
    <s v=""/>
    <b v="0"/>
    <s v=""/>
  </r>
  <r>
    <s v="fda8e879-7289-4745-be16-b93ebed1d1a1"/>
    <s v="2021-08-28"/>
    <x v="5"/>
    <x v="10"/>
    <n v="28"/>
    <s v="23:56"/>
    <n v="245"/>
    <x v="0"/>
    <s v="other_1781955063347_5s7r"/>
    <x v="15"/>
    <s v="rc_acc_1781955063347_0qmn"/>
    <x v="20"/>
    <s v=""/>
    <m/>
    <s v="Difference"/>
    <m/>
    <s v="import"/>
    <s v=""/>
    <b v="0"/>
    <s v=""/>
  </r>
  <r>
    <s v="30acc3e4-0fb7-4bde-9e82-583f6566fce3"/>
    <s v="2021-08-27"/>
    <x v="5"/>
    <x v="10"/>
    <n v="27"/>
    <s v="22:00"/>
    <n v="100"/>
    <x v="0"/>
    <s v="rc_cat_1781955063347_5qjb_1781955063347_tezk"/>
    <x v="5"/>
    <s v="rc_acc_1781955063347_0qmn"/>
    <x v="20"/>
    <s v=""/>
    <m/>
    <s v="กระทะลั่น แถวคอนโด"/>
    <m/>
    <s v="import"/>
    <s v=""/>
    <b v="0"/>
    <s v=""/>
  </r>
  <r>
    <s v="c4f605de-b039-4c8d-9c7b-8e7df60d1bd5"/>
    <s v="2021-08-27"/>
    <x v="5"/>
    <x v="10"/>
    <n v="27"/>
    <s v="22:00"/>
    <n v="45"/>
    <x v="0"/>
    <s v="rc_cat_1781955063347_5qjb_1781955063347_tezk"/>
    <x v="5"/>
    <s v="rc_acc_1781955063347_0qmn"/>
    <x v="20"/>
    <s v=""/>
    <m/>
    <s v="ชา manoi"/>
    <m/>
    <s v="import"/>
    <s v=""/>
    <b v="0"/>
    <s v=""/>
  </r>
  <r>
    <s v="c34c9854-2e43-4269-81bc-ecedd93d1e33"/>
    <s v="2021-08-26"/>
    <x v="5"/>
    <x v="10"/>
    <n v="26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8ec8c722-201f-46c3-90ed-b24160f95347"/>
    <s v="2021-08-26"/>
    <x v="5"/>
    <x v="10"/>
    <n v="26"/>
    <s v="00:00"/>
    <n v="666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54273499-14e1-4346-b3e2-0c55b01aed69"/>
    <s v="2021-08-26"/>
    <x v="5"/>
    <x v="10"/>
    <n v="26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ef5e8add-6aa0-41bb-9889-c6885747867b"/>
    <s v="2021-08-26"/>
    <x v="5"/>
    <x v="10"/>
    <n v="26"/>
    <s v="00:00"/>
    <n v="1917.8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54d41f40-3f54-4ec0-ba08-e26d20ebfbaa"/>
    <s v="2021-08-26"/>
    <x v="5"/>
    <x v="10"/>
    <n v="26"/>
    <s v="00:00"/>
    <n v="95890"/>
    <x v="2"/>
    <s v="income_1781955063347_5zxt"/>
    <x v="14"/>
    <s v="rc_acc_1781955063347_uxz4"/>
    <x v="4"/>
    <s v=""/>
    <m/>
    <s v="-"/>
    <m/>
    <s v="import"/>
    <s v=""/>
    <b v="0"/>
    <s v=""/>
  </r>
  <r>
    <s v="533a7a8c-777a-45ff-a96f-677ba682a7a7"/>
    <s v="2021-08-26"/>
    <x v="5"/>
    <x v="10"/>
    <n v="26"/>
    <s v="00:00"/>
    <n v="167.23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8f195092-1820-4f8d-b48f-278b5f9b743d"/>
    <s v="2021-08-26"/>
    <x v="5"/>
    <x v="10"/>
    <n v="26"/>
    <s v="00:00"/>
    <n v="733.87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33291b7c-6ab6-49ee-b7b2-070f6dc40ef8"/>
    <s v="2021-08-26"/>
    <x v="5"/>
    <x v="10"/>
    <n v="26"/>
    <s v="00:30"/>
    <n v="187602"/>
    <x v="2"/>
    <s v="income_1781955063347_zblt"/>
    <x v="17"/>
    <s v="rc_acc_1781955063347_uxz4"/>
    <x v="4"/>
    <s v=""/>
    <m/>
    <s v="vp"/>
    <m/>
    <s v="import"/>
    <s v=""/>
    <b v="0"/>
    <s v=""/>
  </r>
  <r>
    <s v="31c556bc-911c-428f-b2a6-659445d5226b"/>
    <s v="2021-08-26"/>
    <x v="5"/>
    <x v="10"/>
    <n v="26"/>
    <s v="08:33"/>
    <n v="145.24"/>
    <x v="0"/>
    <s v="rc_cat_1781955063347_5qjb_1781955063347_tezk"/>
    <x v="5"/>
    <s v="rc_acc_1781955063347_0qmn"/>
    <x v="20"/>
    <s v=""/>
    <m/>
    <s v="bellini rbh"/>
    <m/>
    <s v="import"/>
    <s v=""/>
    <b v="0"/>
    <s v=""/>
  </r>
  <r>
    <s v="0d2709d6-64f7-4c2c-a879-a5d382bba0ee"/>
    <s v="2021-08-26"/>
    <x v="5"/>
    <x v="10"/>
    <n v="26"/>
    <s v="12:28"/>
    <n v="194"/>
    <x v="0"/>
    <s v="rc_cat_1781955063347_5qjb_1781955063347_tezk"/>
    <x v="5"/>
    <s v="rc_acc_1781955063347_0qmn"/>
    <x v="20"/>
    <s v=""/>
    <m/>
    <s v="katsuya grab"/>
    <m/>
    <s v="import"/>
    <s v=""/>
    <b v="0"/>
    <s v=""/>
  </r>
  <r>
    <s v="5c4158c4-e508-4262-8c4c-ec4d59fa0d3b"/>
    <s v="2021-08-26"/>
    <x v="5"/>
    <x v="10"/>
    <n v="26"/>
    <s v="17:26"/>
    <n v="165"/>
    <x v="0"/>
    <s v="rc_cat_1781955063347_5qjb_1781955063347_tezk"/>
    <x v="5"/>
    <s v="rc_acc_1781955063347_0qmn"/>
    <x v="20"/>
    <s v=""/>
    <m/>
    <s v="ครัวคุณยาย grsb"/>
    <m/>
    <s v="import"/>
    <s v=""/>
    <b v="0"/>
    <s v=""/>
  </r>
  <r>
    <s v="029831bb-9011-473d-ae3e-27ba16256e54"/>
    <s v="2021-08-26"/>
    <x v="5"/>
    <x v="10"/>
    <n v="26"/>
    <s v="19:08"/>
    <n v="796"/>
    <x v="0"/>
    <s v="entertain_1781955063348_gj0i"/>
    <x v="25"/>
    <s v="rc_acc_1781955063347_uxz4"/>
    <x v="4"/>
    <s v=""/>
    <m/>
    <s v="-"/>
    <m/>
    <s v="import"/>
    <s v=""/>
    <b v="0"/>
    <s v=""/>
  </r>
  <r>
    <s v="cd6ddc3c-a08a-4167-b512-038e0cf6a409"/>
    <s v="2021-08-25"/>
    <x v="5"/>
    <x v="10"/>
    <n v="25"/>
    <s v="08:20"/>
    <n v="83.8"/>
    <x v="0"/>
    <s v="rc_cat_1781955063347_5qjb_1781955063347_tezk"/>
    <x v="5"/>
    <s v="rc_acc_1781955063347_0qmn"/>
    <x v="20"/>
    <s v=""/>
    <m/>
    <s v="annie passtries rbh"/>
    <m/>
    <s v="import"/>
    <s v=""/>
    <b v="0"/>
    <s v=""/>
  </r>
  <r>
    <s v="77abc370-27d0-4c2f-b996-cd1236b3062e"/>
    <s v="2021-08-25"/>
    <x v="5"/>
    <x v="10"/>
    <n v="25"/>
    <s v="11:27"/>
    <n v="148"/>
    <x v="0"/>
    <s v="rc_cat_1781955063347_5qjb_1781955063347_tezk"/>
    <x v="5"/>
    <s v="rc_acc_1781955063347_0qmn"/>
    <x v="20"/>
    <s v=""/>
    <m/>
    <s v="ข้าวหมูแดงวังบูรพา Grab"/>
    <m/>
    <s v="import"/>
    <s v=""/>
    <b v="0"/>
    <s v=""/>
  </r>
  <r>
    <s v="047c61f7-1e4f-4d8c-9e34-f929a75cd463"/>
    <s v="2021-08-25"/>
    <x v="5"/>
    <x v="10"/>
    <n v="25"/>
    <s v="17:21"/>
    <n v="219"/>
    <x v="0"/>
    <s v="rc_cat_1781955063347_5qjb_1781955063347_tezk"/>
    <x v="5"/>
    <s v="rc_acc_1781955063347_0qmn"/>
    <x v="20"/>
    <s v=""/>
    <m/>
    <s v="ครัวลาดหญ้า RBH"/>
    <m/>
    <s v="import"/>
    <s v=""/>
    <b v="0"/>
    <s v=""/>
  </r>
  <r>
    <s v="c0d55fa8-14ad-4cd2-8860-e54df29baa37"/>
    <s v="2021-08-24"/>
    <x v="5"/>
    <x v="10"/>
    <n v="24"/>
    <s v="12:32"/>
    <n v="197"/>
    <x v="0"/>
    <s v="rc_cat_1781955063347_5qjb_1781955063347_tezk"/>
    <x v="5"/>
    <s v="rc_acc_1781955063347_0qmn"/>
    <x v="20"/>
    <s v=""/>
    <m/>
    <s v="hknoodle"/>
    <m/>
    <s v="import"/>
    <s v=""/>
    <b v="0"/>
    <s v=""/>
  </r>
  <r>
    <s v="6a367763-71f5-4180-b64a-0e159264b43e"/>
    <s v="2021-08-24"/>
    <x v="5"/>
    <x v="10"/>
    <n v="24"/>
    <s v="19:30"/>
    <n v="92"/>
    <x v="0"/>
    <s v="rc_cat_1781955063347_5qjb_1781955063347_tezk"/>
    <x v="5"/>
    <s v="rc_acc_1781955063347_0qmn"/>
    <x v="20"/>
    <s v=""/>
    <m/>
    <s v="หวานลิ้น"/>
    <m/>
    <s v="import"/>
    <s v=""/>
    <b v="0"/>
    <s v=""/>
  </r>
  <r>
    <s v="1690ad18-47d9-4e3e-863f-85a4563ce21e"/>
    <s v="2021-08-24"/>
    <x v="5"/>
    <x v="10"/>
    <n v="24"/>
    <s v="19:30"/>
    <n v="50"/>
    <x v="2"/>
    <s v="income_1781955063347_zblt"/>
    <x v="17"/>
    <s v="rc_acc_1781955063347_uxz4"/>
    <x v="4"/>
    <s v=""/>
    <m/>
    <s v="-"/>
    <m/>
    <s v="import"/>
    <s v=""/>
    <b v="0"/>
    <s v=""/>
  </r>
  <r>
    <s v="efbce3df-e156-481c-9c90-d62751115628"/>
    <s v="2021-08-23"/>
    <x v="5"/>
    <x v="10"/>
    <n v="23"/>
    <s v="09:53"/>
    <n v="164"/>
    <x v="0"/>
    <s v="rc_cat_1781955063347_5qjb_1781955063347_tezk"/>
    <x v="5"/>
    <s v="rc_acc_1781955063347_uxz4"/>
    <x v="4"/>
    <s v=""/>
    <m/>
    <s v="rbh ชงสุข"/>
    <m/>
    <s v="import"/>
    <s v=""/>
    <b v="0"/>
    <s v=""/>
  </r>
  <r>
    <s v="21e83b5e-0750-4e51-8a28-f2db84b10979"/>
    <s v="2021-08-23"/>
    <x v="5"/>
    <x v="10"/>
    <n v="23"/>
    <s v="12:01"/>
    <n v="243"/>
    <x v="0"/>
    <s v="rc_cat_1781955063347_5qjb_1781955063347_tezk"/>
    <x v="5"/>
    <s v="rc_acc_1781955063347_0qmn"/>
    <x v="20"/>
    <s v=""/>
    <m/>
    <s v="นายอ้วน"/>
    <m/>
    <s v="import"/>
    <s v=""/>
    <b v="0"/>
    <s v=""/>
  </r>
  <r>
    <s v="d216abae-f68e-4598-a5f2-d7288cf68837"/>
    <s v="2021-08-23"/>
    <x v="5"/>
    <x v="10"/>
    <n v="23"/>
    <s v="14:29"/>
    <n v="671"/>
    <x v="0"/>
    <s v="other_1781955063348_27zj"/>
    <x v="0"/>
    <s v="rc_acc_1781955063347_omhz"/>
    <x v="29"/>
    <s v=""/>
    <m/>
    <s v="-"/>
    <m/>
    <s v="import"/>
    <s v=""/>
    <b v="0"/>
    <s v=""/>
  </r>
  <r>
    <s v="ee891153-a2d1-4706-8bb1-235b2685cdf3"/>
    <s v="2021-08-23"/>
    <x v="5"/>
    <x v="10"/>
    <n v="23"/>
    <s v="14:50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52fb4610-f54b-4a25-82eb-a0771891626d"/>
    <s v="2021-08-23"/>
    <x v="5"/>
    <x v="10"/>
    <n v="23"/>
    <s v="18:02"/>
    <n v="207"/>
    <x v="0"/>
    <s v="rc_cat_1781955063347_5qjb_1781955063347_tezk"/>
    <x v="5"/>
    <s v="rc_acc_1781955063347_0qmn"/>
    <x v="20"/>
    <s v=""/>
    <m/>
    <s v="summers"/>
    <m/>
    <s v="import"/>
    <s v=""/>
    <b v="0"/>
    <s v=""/>
  </r>
  <r>
    <s v="90d9b8b9-1b34-43f7-8be4-fcda188b220a"/>
    <s v="2021-08-23"/>
    <x v="5"/>
    <x v="10"/>
    <n v="23"/>
    <s v="18:03"/>
    <n v="50"/>
    <x v="2"/>
    <s v="income_1781955063347_zblt"/>
    <x v="17"/>
    <s v="rc_acc_1781955063347_uxz4"/>
    <x v="4"/>
    <s v=""/>
    <m/>
    <s v="-"/>
    <m/>
    <s v="import"/>
    <s v=""/>
    <b v="0"/>
    <s v=""/>
  </r>
  <r>
    <s v="6d0406db-2077-4b80-9f6e-9a97ce6d6b92"/>
    <s v="2021-08-22"/>
    <x v="5"/>
    <x v="10"/>
    <n v="22"/>
    <s v="08:38"/>
    <n v="25"/>
    <x v="0"/>
    <s v="rc_cat_1781955063347_5qjb_1781955063347_tezk"/>
    <x v="5"/>
    <s v="rc_acc_1781955063348_w3gp"/>
    <x v="6"/>
    <s v=""/>
    <m/>
    <s v="-"/>
    <m/>
    <s v="import"/>
    <s v=""/>
    <b v="0"/>
    <s v=""/>
  </r>
  <r>
    <s v="2d35f201-41ec-4644-ba94-47f2a069a647"/>
    <s v="2021-08-22"/>
    <x v="5"/>
    <x v="10"/>
    <n v="22"/>
    <s v="08:38"/>
    <n v="62"/>
    <x v="0"/>
    <s v="rc_cat_1781955063347_5qjb_1781955063347_tezk"/>
    <x v="5"/>
    <s v="rc_acc_1781955063347_uxz4"/>
    <x v="4"/>
    <s v=""/>
    <m/>
    <s v="auntie ant"/>
    <m/>
    <s v="import"/>
    <s v=""/>
    <b v="0"/>
    <s v=""/>
  </r>
  <r>
    <s v="20c59574-3a2d-4b1e-adb7-085e164f8518"/>
    <s v="2021-08-22"/>
    <x v="5"/>
    <x v="10"/>
    <n v="22"/>
    <s v="12:47"/>
    <n v="55"/>
    <x v="0"/>
    <s v="rc_cat_1781955063347_5qjb_1781955063347_tezk"/>
    <x v="5"/>
    <s v="rc_acc_1781955063348_w3gp"/>
    <x v="6"/>
    <s v=""/>
    <m/>
    <s v="-"/>
    <m/>
    <s v="import"/>
    <s v=""/>
    <b v="0"/>
    <s v=""/>
  </r>
  <r>
    <s v="47d58445-a154-4e52-ad48-02951e65c6ae"/>
    <s v="2021-08-22"/>
    <x v="5"/>
    <x v="10"/>
    <n v="22"/>
    <s v="14:18"/>
    <n v="220"/>
    <x v="0"/>
    <s v="rc_cat_1781955063347_5qjb_1781955063347_tezk"/>
    <x v="5"/>
    <s v="rc_acc_1781955063347_kjxt"/>
    <x v="1"/>
    <s v=""/>
    <m/>
    <s v="-"/>
    <m/>
    <s v="import"/>
    <s v=""/>
    <b v="0"/>
    <s v=""/>
  </r>
  <r>
    <s v="1f993b3c-c18b-4efb-ab13-94166ef33c5c"/>
    <s v="2021-08-21"/>
    <x v="5"/>
    <x v="10"/>
    <n v="21"/>
    <s v="12:43"/>
    <n v="80"/>
    <x v="1"/>
    <s v="other"/>
    <x v="1"/>
    <s v="rc_acc_1781955063347_omhz"/>
    <x v="29"/>
    <s v="rc_acc_1781955063347_uxz4"/>
    <s v="SCB"/>
    <s v="-"/>
    <m/>
    <s v="import"/>
    <s v=""/>
    <b v="0"/>
    <s v=""/>
  </r>
  <r>
    <s v="f1454a99-c8e2-4ed7-8292-93da03d75a17"/>
    <s v="2021-08-21"/>
    <x v="5"/>
    <x v="10"/>
    <n v="21"/>
    <s v="12:43"/>
    <n v="80"/>
    <x v="0"/>
    <s v="rc_cat_1781955063347_5qjb_1781955063347_tezk"/>
    <x v="5"/>
    <s v="rc_acc_1781955063347_0qmn"/>
    <x v="20"/>
    <s v=""/>
    <m/>
    <s v="ชาตรามือ"/>
    <m/>
    <s v="import"/>
    <s v=""/>
    <b v="0"/>
    <s v=""/>
  </r>
  <r>
    <s v="fedfafc5-739c-46c4-a0c4-06b185ba09be"/>
    <s v="2021-08-21"/>
    <x v="5"/>
    <x v="10"/>
    <n v="21"/>
    <s v="13:55"/>
    <n v="100"/>
    <x v="0"/>
    <s v="rc_cat_1781955063347_5qjb_1781955063347_tezk"/>
    <x v="5"/>
    <s v="rc_acc_1781955063347_0qmn"/>
    <x v="20"/>
    <s v=""/>
    <m/>
    <s v="Mister dougnut"/>
    <m/>
    <s v="import"/>
    <s v=""/>
    <b v="0"/>
    <s v=""/>
  </r>
  <r>
    <s v="90e0cf25-0770-4190-bfb7-32b4c0ec5751"/>
    <s v="2021-08-21"/>
    <x v="5"/>
    <x v="10"/>
    <n v="21"/>
    <s v="17:46"/>
    <n v="250"/>
    <x v="1"/>
    <s v="other"/>
    <x v="1"/>
    <s v="rc_acc_1781955063347_uxz4"/>
    <x v="4"/>
    <s v="rc_acc_1781955063348_xd87"/>
    <s v="Hong"/>
    <s v="advpay"/>
    <m/>
    <s v="import"/>
    <s v=""/>
    <b v="0"/>
    <s v=""/>
  </r>
  <r>
    <s v="459c35e1-6dd3-4941-a1e7-6df236a6b36b"/>
    <s v="2021-08-21"/>
    <x v="5"/>
    <x v="10"/>
    <n v="21"/>
    <s v="17:57"/>
    <n v="1489.75"/>
    <x v="0"/>
    <s v="rc_cat_1781955063347_5qjb_1781955063347_tezk"/>
    <x v="5"/>
    <s v="rc_acc_1781955063347_0qmn"/>
    <x v="20"/>
    <s v=""/>
    <m/>
    <s v="lotus 21 aug"/>
    <m/>
    <s v="import"/>
    <s v=""/>
    <b v="0"/>
    <s v=""/>
  </r>
  <r>
    <s v="f9d677ef-e1c8-404a-a825-e800eefa394e"/>
    <s v="2021-08-21"/>
    <x v="5"/>
    <x v="10"/>
    <n v="21"/>
    <s v="18:56"/>
    <n v="14401.5"/>
    <x v="1"/>
    <s v="other"/>
    <x v="1"/>
    <s v="rc_acc_1781955063347_uxz4"/>
    <x v="4"/>
    <s v="rc_acc_1781955063347_sv7p"/>
    <s v="UOB Privilages"/>
    <s v="sb build in"/>
    <m/>
    <s v="import"/>
    <s v=""/>
    <b v="0"/>
    <s v=""/>
  </r>
  <r>
    <s v="ee76dc9c-7ac1-4910-a102-146d88d8bbdb"/>
    <s v="2021-08-21"/>
    <x v="5"/>
    <x v="10"/>
    <n v="21"/>
    <s v="19:01"/>
    <n v="5000"/>
    <x v="1"/>
    <s v="other"/>
    <x v="1"/>
    <s v="rc_acc_1781955063347_uxz4"/>
    <x v="4"/>
    <s v="rc_acc_1781955063347_0qmn"/>
    <s v="Marriage account"/>
    <s v="additional"/>
    <m/>
    <s v="import"/>
    <s v=""/>
    <b v="0"/>
    <s v=""/>
  </r>
  <r>
    <s v="a3187e72-26b2-41bc-91ab-cc6cdc0ee3c5"/>
    <s v="2021-08-21"/>
    <x v="5"/>
    <x v="10"/>
    <n v="21"/>
    <s v="19:24"/>
    <n v="108"/>
    <x v="1"/>
    <s v="other"/>
    <x v="1"/>
    <s v="rc_acc_1781955063347_pixu"/>
    <x v="37"/>
    <s v="rc_acc_1781955063347_kjxt"/>
    <s v="KTC JCB"/>
    <s v="-"/>
    <m/>
    <s v="import"/>
    <s v=""/>
    <b v="0"/>
    <s v=""/>
  </r>
  <r>
    <s v="a446d33e-6803-4d71-97af-a9cf4439ed1f"/>
    <s v="2021-08-21"/>
    <x v="5"/>
    <x v="10"/>
    <n v="21"/>
    <s v="19:29"/>
    <n v="195"/>
    <x v="1"/>
    <s v="other"/>
    <x v="1"/>
    <s v="rc_acc_1781955063347_pixu"/>
    <x v="37"/>
    <s v="rc_acc_1781955063347_uxz4"/>
    <s v="SCB"/>
    <s v="-"/>
    <m/>
    <s v="import"/>
    <s v=""/>
    <b v="0"/>
    <s v=""/>
  </r>
  <r>
    <s v="d5d13ecd-4e56-4120-8784-fcf5f51bc90c"/>
    <s v="2021-08-21"/>
    <x v="5"/>
    <x v="10"/>
    <n v="21"/>
    <s v="19:29"/>
    <n v="50"/>
    <x v="2"/>
    <s v="income_1781955063347_zblt"/>
    <x v="17"/>
    <s v="rc_acc_1781955063347_uxz4"/>
    <x v="4"/>
    <s v=""/>
    <m/>
    <s v="-"/>
    <m/>
    <s v="import"/>
    <s v=""/>
    <b v="0"/>
    <s v=""/>
  </r>
  <r>
    <s v="b2ed2e07-128c-40dd-8788-6a5742719e5b"/>
    <s v="2021-08-21"/>
    <x v="5"/>
    <x v="10"/>
    <n v="21"/>
    <s v="20:01"/>
    <n v="1002"/>
    <x v="0"/>
    <s v="rc_cat_1781955063347_5qjb_1781955063348_laj8"/>
    <x v="29"/>
    <s v="rc_acc_1781955063347_uxz4"/>
    <x v="4"/>
    <s v=""/>
    <m/>
    <s v="-"/>
    <m/>
    <s v="import"/>
    <s v=""/>
    <b v="0"/>
    <s v=""/>
  </r>
  <r>
    <s v="5b244104-ec26-4153-8589-98edadc32049"/>
    <s v="2021-08-21"/>
    <x v="5"/>
    <x v="10"/>
    <n v="21"/>
    <s v="20:20"/>
    <n v="250"/>
    <x v="1"/>
    <s v="other"/>
    <x v="1"/>
    <s v="rc_acc_1781955063348_xd87"/>
    <x v="19"/>
    <s v="rc_acc_1781955063347_uxz4"/>
    <s v="SCB"/>
    <s v="hong payback"/>
    <m/>
    <s v="import"/>
    <s v=""/>
    <b v="0"/>
    <s v=""/>
  </r>
  <r>
    <s v="24455a2b-7b5a-431e-a10a-6f8be158b6f7"/>
    <s v="2021-08-21"/>
    <x v="5"/>
    <x v="10"/>
    <n v="21"/>
    <s v="20:27"/>
    <n v="5000"/>
    <x v="2"/>
    <s v="income_1781955063347_zblt"/>
    <x v="17"/>
    <s v="rc_acc_1781955063347_0qmn"/>
    <x v="20"/>
    <s v=""/>
    <m/>
    <s v="หงโอน"/>
    <m/>
    <s v="import"/>
    <s v=""/>
    <b v="0"/>
    <s v=""/>
  </r>
  <r>
    <s v="e46cd20b-37ad-4880-9d7d-bef74cda7f05"/>
    <s v="2021-08-21"/>
    <x v="5"/>
    <x v="10"/>
    <n v="21"/>
    <s v="20:28"/>
    <n v="550"/>
    <x v="0"/>
    <s v="rc_cat_1781955063347_5qjb_1781955063348_laj8"/>
    <x v="29"/>
    <s v="rc_acc_1781955063347_0qmn"/>
    <x v="20"/>
    <s v=""/>
    <m/>
    <s v="ค่าเนต กค"/>
    <m/>
    <s v="import"/>
    <s v=""/>
    <b v="0"/>
    <s v=""/>
  </r>
  <r>
    <s v="f3fcd4d0-661f-4315-814d-ef9d8d1dad38"/>
    <s v="2021-08-21"/>
    <x v="5"/>
    <x v="10"/>
    <n v="21"/>
    <s v="20:28"/>
    <n v="547"/>
    <x v="0"/>
    <s v="rc_cat_1781955063347_5qjb_1781955063347_irl1"/>
    <x v="0"/>
    <s v="rc_acc_1781955063347_0qmn"/>
    <x v="20"/>
    <s v=""/>
    <m/>
    <s v="ของจุกจิก shopee"/>
    <m/>
    <s v="import"/>
    <s v=""/>
    <b v="0"/>
    <s v=""/>
  </r>
  <r>
    <s v="5957b326-d875-4e20-bf5d-67c63068006d"/>
    <s v="2021-08-21"/>
    <x v="5"/>
    <x v="10"/>
    <n v="21"/>
    <s v="22:17"/>
    <n v="155.36"/>
    <x v="2"/>
    <s v="other_1781955063348_27zj"/>
    <x v="0"/>
    <s v="rc_acc_1781955063347_uxz4"/>
    <x v="4"/>
    <s v=""/>
    <m/>
    <s v="-"/>
    <m/>
    <s v="import"/>
    <s v=""/>
    <b v="0"/>
    <s v=""/>
  </r>
  <r>
    <s v="895ad301-16a7-4168-a5d5-533859619293"/>
    <s v="2021-08-20"/>
    <x v="5"/>
    <x v="10"/>
    <n v="20"/>
    <s v="12:23"/>
    <n v="143"/>
    <x v="0"/>
    <s v="rc_cat_1781955063347_5qjb_1781955063347_tezk"/>
    <x v="5"/>
    <s v="rc_acc_1781955063347_0qmn"/>
    <x v="20"/>
    <s v=""/>
    <m/>
    <s v="บะหมี่ปู"/>
    <m/>
    <s v="import"/>
    <s v=""/>
    <b v="0"/>
    <s v=""/>
  </r>
  <r>
    <s v="5cd82016-9376-49e8-9bfc-3306dece4695"/>
    <s v="2021-08-20"/>
    <x v="5"/>
    <x v="10"/>
    <n v="20"/>
    <s v="13:11"/>
    <n v="14401.5"/>
    <x v="0"/>
    <s v="rc_cat_1781955063347_5qjb_1781955063347_irl1"/>
    <x v="0"/>
    <s v="rc_acc_1781955063347_sv7p"/>
    <x v="12"/>
    <s v=""/>
    <m/>
    <s v="sb build in(2/4)"/>
    <m/>
    <s v="import"/>
    <s v=""/>
    <b v="0"/>
    <s v=""/>
  </r>
  <r>
    <s v="f27e9d1e-828c-47ef-b7e1-b27484b7bb0d"/>
    <s v="2021-08-19"/>
    <x v="5"/>
    <x v="10"/>
    <n v="19"/>
    <s v="08:51"/>
    <n v="178.36"/>
    <x v="0"/>
    <s v="rc_cat_1781955063347_5qjb_1781955063347_tezk"/>
    <x v="5"/>
    <s v="rc_acc_1781955063347_0qmn"/>
    <x v="20"/>
    <s v=""/>
    <m/>
    <s v="RBH bellini"/>
    <m/>
    <s v="import"/>
    <s v=""/>
    <b v="0"/>
    <s v=""/>
  </r>
  <r>
    <s v="c6361a76-c68f-49f3-8a43-c05c7e21c87d"/>
    <s v="2021-08-19"/>
    <x v="5"/>
    <x v="10"/>
    <n v="19"/>
    <s v="12:22"/>
    <n v="248"/>
    <x v="0"/>
    <s v="rc_cat_1781955063347_5qjb_1781955063347_tezk"/>
    <x v="5"/>
    <s v="rc_acc_1781955063347_0qmn"/>
    <x v="20"/>
    <s v=""/>
    <m/>
    <s v="pepper lunch"/>
    <m/>
    <s v="import"/>
    <s v=""/>
    <b v="0"/>
    <s v=""/>
  </r>
  <r>
    <s v="8fc691db-da4d-4413-ad8e-413589ad4d30"/>
    <s v="2021-08-19"/>
    <x v="5"/>
    <x v="10"/>
    <n v="19"/>
    <s v="17:22"/>
    <n v="158"/>
    <x v="0"/>
    <s v="rc_cat_1781955063347_5qjb_1781955063347_tezk"/>
    <x v="5"/>
    <s v="rc_acc_1781955063347_0qmn"/>
    <x v="20"/>
    <s v=""/>
    <m/>
    <s v="don aki"/>
    <m/>
    <s v="import"/>
    <s v=""/>
    <b v="0"/>
    <s v=""/>
  </r>
  <r>
    <s v="8a7acf26-54a6-4ff0-9237-6288f2fd2b20"/>
    <s v="2021-08-19"/>
    <x v="5"/>
    <x v="10"/>
    <n v="19"/>
    <s v="19:21"/>
    <n v="100"/>
    <x v="2"/>
    <s v="income_1781955063347_zblt"/>
    <x v="17"/>
    <s v="rc_acc_1781955063347_uxz4"/>
    <x v="4"/>
    <s v=""/>
    <m/>
    <s v="-"/>
    <m/>
    <s v="import"/>
    <s v=""/>
    <b v="0"/>
    <s v=""/>
  </r>
  <r>
    <s v="5e1341fb-845b-4671-88ae-2b559d386d58"/>
    <s v="2021-08-18"/>
    <x v="5"/>
    <x v="10"/>
    <n v="18"/>
    <s v="11:17"/>
    <n v="181"/>
    <x v="0"/>
    <s v="rc_cat_1781955063347_5qjb_1781955063347_tezk"/>
    <x v="5"/>
    <s v="rc_acc_1781955063347_0qmn"/>
    <x v="20"/>
    <s v=""/>
    <m/>
    <s v="ข้าวมันไก่เฉิงกง"/>
    <m/>
    <s v="import"/>
    <s v=""/>
    <b v="0"/>
    <s v=""/>
  </r>
  <r>
    <s v="06b70bd9-8ad3-4c3f-acd3-2cad07e1b57f"/>
    <s v="2021-08-18"/>
    <x v="5"/>
    <x v="10"/>
    <n v="18"/>
    <s v="11:18"/>
    <n v="50"/>
    <x v="2"/>
    <s v="income_1781955063347_zblt"/>
    <x v="17"/>
    <s v="rc_acc_1781955063347_uxz4"/>
    <x v="4"/>
    <s v=""/>
    <m/>
    <s v="-"/>
    <m/>
    <s v="import"/>
    <s v=""/>
    <b v="0"/>
    <s v=""/>
  </r>
  <r>
    <s v="f7d1c244-74ae-405c-87fd-66f966a0ae73"/>
    <s v="2021-08-18"/>
    <x v="5"/>
    <x v="10"/>
    <n v="18"/>
    <s v="17:44"/>
    <n v="2466.99"/>
    <x v="0"/>
    <s v="other_1781955063348_yjhe"/>
    <x v="26"/>
    <s v="rc_acc_1781955063347_uxz4"/>
    <x v="4"/>
    <s v=""/>
    <m/>
    <s v="keycron"/>
    <m/>
    <s v="import"/>
    <s v=""/>
    <b v="0"/>
    <s v=""/>
  </r>
  <r>
    <s v="1270a42b-4b7f-45f6-abff-bf97565987f7"/>
    <s v="2021-08-18"/>
    <x v="5"/>
    <x v="10"/>
    <n v="18"/>
    <s v="19:10"/>
    <n v="100"/>
    <x v="0"/>
    <s v="rc_cat_1781955063347_5qjb_1781955063347_tezk"/>
    <x v="5"/>
    <s v="rc_acc_1781955063347_0qmn"/>
    <x v="20"/>
    <s v=""/>
    <m/>
    <s v="เจ๊วรรณ"/>
    <m/>
    <s v="import"/>
    <s v=""/>
    <b v="0"/>
    <s v=""/>
  </r>
  <r>
    <s v="fd4ec43c-9d15-4cb4-8482-e634bd845d4b"/>
    <s v="2021-08-18"/>
    <x v="5"/>
    <x v="10"/>
    <n v="18"/>
    <s v="20:29"/>
    <n v="166.75"/>
    <x v="0"/>
    <s v="rc_cat_1781955063347_5qjb_1781955063347_tezk"/>
    <x v="5"/>
    <s v="rc_acc_1781955063347_0qmn"/>
    <x v="20"/>
    <s v=""/>
    <m/>
    <s v="711"/>
    <m/>
    <s v="import"/>
    <s v=""/>
    <b v="0"/>
    <s v=""/>
  </r>
  <r>
    <s v="2dbed55e-32e4-4589-b5fa-433645eedb35"/>
    <s v="2021-08-17"/>
    <x v="5"/>
    <x v="10"/>
    <n v="17"/>
    <s v="08:50"/>
    <n v="108.44"/>
    <x v="0"/>
    <s v="rc_cat_1781955063347_5qjb_1781955063347_tezk"/>
    <x v="5"/>
    <s v="rc_acc_1781955063347_0qmn"/>
    <x v="20"/>
    <s v=""/>
    <m/>
    <s v="bellini"/>
    <m/>
    <s v="import"/>
    <s v=""/>
    <b v="0"/>
    <s v=""/>
  </r>
  <r>
    <s v="bdbbf9ae-fc7c-48c6-8d6c-3924beb3603c"/>
    <s v="2021-08-17"/>
    <x v="5"/>
    <x v="10"/>
    <n v="17"/>
    <s v="11:31"/>
    <n v="166.75"/>
    <x v="0"/>
    <s v="rc_cat_1781955063347_5qjb_1781955063347_tezk"/>
    <x v="5"/>
    <s v="rc_acc_1781955063348_w3gp"/>
    <x v="6"/>
    <s v=""/>
    <m/>
    <s v="-"/>
    <m/>
    <s v="import"/>
    <s v=""/>
    <b v="0"/>
    <s v=""/>
  </r>
  <r>
    <s v="69de7135-c19c-48bf-8fe4-f0bf40d3a44f"/>
    <s v="2021-08-17"/>
    <x v="5"/>
    <x v="10"/>
    <n v="17"/>
    <s v="19:15"/>
    <n v="50"/>
    <x v="2"/>
    <s v="income_1781955063347_zblt"/>
    <x v="17"/>
    <s v="rc_acc_1781955063347_uxz4"/>
    <x v="4"/>
    <s v=""/>
    <m/>
    <s v="-"/>
    <m/>
    <s v="import"/>
    <s v=""/>
    <b v="0"/>
    <s v=""/>
  </r>
  <r>
    <s v="0b0c88b2-1760-486a-a30d-129f0e8037e4"/>
    <s v="2021-08-17"/>
    <x v="5"/>
    <x v="10"/>
    <n v="17"/>
    <s v="19:15"/>
    <n v="288"/>
    <x v="0"/>
    <s v="rc_cat_1781955063347_5qjb_1781955063347_tezk"/>
    <x v="5"/>
    <s v="rc_acc_1781955063347_0qmn"/>
    <x v="20"/>
    <s v=""/>
    <m/>
    <s v="ตามสั่งประตูผี"/>
    <m/>
    <s v="import"/>
    <s v=""/>
    <b v="0"/>
    <s v=""/>
  </r>
  <r>
    <s v="c7204b19-880e-4234-88a1-40cdb1e25a5a"/>
    <s v="2021-08-16"/>
    <x v="5"/>
    <x v="10"/>
    <n v="16"/>
    <s v="16:47"/>
    <n v="197"/>
    <x v="0"/>
    <s v="rc_cat_1781955063347_5qjb_1781955063347_tezk"/>
    <x v="5"/>
    <s v="rc_acc_1781955063347_0qmn"/>
    <x v="20"/>
    <s v=""/>
    <m/>
    <s v="RBH มนต์นมสด"/>
    <m/>
    <s v="import"/>
    <s v=""/>
    <b v="0"/>
    <s v=""/>
  </r>
  <r>
    <s v="275e80c3-a02d-48a1-a789-26e31247e125"/>
    <s v="2021-08-16"/>
    <x v="5"/>
    <x v="10"/>
    <n v="16"/>
    <s v="17:25"/>
    <n v="140"/>
    <x v="0"/>
    <s v="rc_cat_1781955063347_5qjb_1781955063347_tezk"/>
    <x v="5"/>
    <s v="rc_acc_1781955063347_0qmn"/>
    <x v="20"/>
    <s v=""/>
    <m/>
    <s v="RBH ครัวลาดหญ้า"/>
    <m/>
    <s v="import"/>
    <s v=""/>
    <b v="0"/>
    <s v=""/>
  </r>
  <r>
    <s v="2a8a6cca-cbfc-4f15-a369-ccee02bbaad5"/>
    <s v="2021-08-16"/>
    <x v="5"/>
    <x v="10"/>
    <n v="16"/>
    <s v="18:00"/>
    <n v="280"/>
    <x v="1"/>
    <s v="other"/>
    <x v="1"/>
    <s v="rc_acc_1781955063347_pixu"/>
    <x v="37"/>
    <s v="rc_acc_1781955063347_uxz4"/>
    <s v="SCB"/>
    <s v="-"/>
    <m/>
    <s v="import"/>
    <s v=""/>
    <b v="0"/>
    <s v=""/>
  </r>
  <r>
    <s v="a3f55fdf-d36d-438b-9b82-66f3780a5e5f"/>
    <s v="2021-08-16"/>
    <x v="5"/>
    <x v="10"/>
    <n v="16"/>
    <s v="18:00"/>
    <n v="50"/>
    <x v="2"/>
    <s v="income_1781955063347_zblt"/>
    <x v="17"/>
    <s v="rc_acc_1781955063347_uxz4"/>
    <x v="4"/>
    <s v=""/>
    <m/>
    <s v="-"/>
    <m/>
    <s v="import"/>
    <s v=""/>
    <b v="0"/>
    <s v=""/>
  </r>
  <r>
    <s v="3f5bf5a7-aa60-4084-adda-d0e2bee1c7dd"/>
    <s v="2021-08-16"/>
    <x v="5"/>
    <x v="10"/>
    <n v="16"/>
    <s v="19:06"/>
    <n v="330"/>
    <x v="0"/>
    <s v="rc_cat_1781955063347_5qjb_1781955063347_tezk"/>
    <x v="5"/>
    <s v="rc_acc_1781955063347_0qmn"/>
    <x v="20"/>
    <s v=""/>
    <m/>
    <s v="อองตองข้าวซอย"/>
    <m/>
    <s v="import"/>
    <s v=""/>
    <b v="0"/>
    <s v=""/>
  </r>
  <r>
    <s v="c43fac7a-4d1b-4da5-b39d-80a781ecb1c0"/>
    <s v="2021-08-15"/>
    <x v="5"/>
    <x v="10"/>
    <n v="15"/>
    <s v="14:31"/>
    <n v="80"/>
    <x v="0"/>
    <s v="rc_cat_1781955063347_5qjb_1781955063347_tezk"/>
    <x v="5"/>
    <s v="rc_acc_1781955063347_0qmn"/>
    <x v="20"/>
    <s v=""/>
    <m/>
    <s v="inthanin"/>
    <m/>
    <s v="import"/>
    <s v=""/>
    <b v="0"/>
    <s v=""/>
  </r>
  <r>
    <s v="3a4041c0-4f2f-4261-ba83-e6994b48d64a"/>
    <s v="2021-08-15"/>
    <x v="5"/>
    <x v="10"/>
    <n v="15"/>
    <s v="14:31"/>
    <n v="80"/>
    <x v="1"/>
    <s v="other"/>
    <x v="1"/>
    <s v="rc_acc_1781955063347_e3zv"/>
    <x v="16"/>
    <s v="rc_acc_1781955063347_uxz4"/>
    <s v="SCB"/>
    <s v="-"/>
    <m/>
    <s v="import"/>
    <s v=""/>
    <b v="0"/>
    <s v=""/>
  </r>
  <r>
    <s v="034c2656-9d99-4f15-8ff7-dd3f34b1caf7"/>
    <s v="2021-08-15"/>
    <x v="5"/>
    <x v="10"/>
    <n v="15"/>
    <s v="20:07"/>
    <n v="251"/>
    <x v="0"/>
    <s v="entertain_1781955063348_gj0i"/>
    <x v="25"/>
    <s v="rc_acc_1781955063347_omhz"/>
    <x v="29"/>
    <s v=""/>
    <m/>
    <s v="-"/>
    <m/>
    <s v="import"/>
    <s v=""/>
    <b v="0"/>
    <s v=""/>
  </r>
  <r>
    <s v="aca9ff7d-4202-4457-818a-1ba2f4a204a8"/>
    <s v="2021-08-15"/>
    <x v="5"/>
    <x v="10"/>
    <n v="15"/>
    <s v="20:08"/>
    <n v="547"/>
    <x v="1"/>
    <s v="other"/>
    <x v="1"/>
    <s v="rc_acc_1781955063347_omhz"/>
    <x v="29"/>
    <s v="rc_acc_1781955063347_uxz4"/>
    <s v="SCB"/>
    <s v="-"/>
    <m/>
    <s v="import"/>
    <s v=""/>
    <b v="0"/>
    <s v=""/>
  </r>
  <r>
    <s v="96c2c1c3-eb56-4a4f-9613-4142d709a917"/>
    <s v="2021-08-15"/>
    <x v="5"/>
    <x v="10"/>
    <n v="15"/>
    <s v="21:33"/>
    <n v="300"/>
    <x v="1"/>
    <s v="other"/>
    <x v="1"/>
    <s v="rc_acc_1781955063347_uxz4"/>
    <x v="4"/>
    <s v="rc_acc_1781955063347_omhz"/>
    <s v="Shopee"/>
    <s v="-"/>
    <m/>
    <s v="import"/>
    <s v=""/>
    <b v="0"/>
    <s v=""/>
  </r>
  <r>
    <s v="062dc411-85ff-4c27-9a4f-fe52eb9b28be"/>
    <s v="2021-08-14"/>
    <x v="5"/>
    <x v="10"/>
    <n v="14"/>
    <s v="00:00"/>
    <n v="419"/>
    <x v="0"/>
    <s v="rc_cat_1781955063347_5qjb_1781955063348_laj8"/>
    <x v="29"/>
    <s v="rc_acc_1781955063348_w3gp"/>
    <x v="6"/>
    <s v=""/>
    <m/>
    <s v="-"/>
    <m/>
    <s v="import"/>
    <s v=""/>
    <b v="0"/>
    <s v=""/>
  </r>
  <r>
    <s v="f13f0adc-7afe-44c5-8ce8-b006f4cf542b"/>
    <s v="2021-08-14"/>
    <x v="5"/>
    <x v="10"/>
    <n v="14"/>
    <s v="09:59"/>
    <n v="76.3"/>
    <x v="0"/>
    <s v="rc_cat_1781955063347_5qjb_1781955063347_tezk"/>
    <x v="5"/>
    <s v="rc_acc_1781955063347_0qmn"/>
    <x v="20"/>
    <s v=""/>
    <m/>
    <s v="RBH bellini"/>
    <m/>
    <s v="import"/>
    <s v=""/>
    <b v="0"/>
    <s v=""/>
  </r>
  <r>
    <s v="3fb1c1f6-85c5-44fb-8b6a-a301ef5b94e8"/>
    <s v="2021-08-13"/>
    <x v="5"/>
    <x v="10"/>
    <n v="13"/>
    <s v="09:44"/>
    <n v="107"/>
    <x v="0"/>
    <s v="rc_cat_1781955063347_5qjb_1781955063347_tezk"/>
    <x v="5"/>
    <s v="rc_acc_1781955063347_0qmn"/>
    <x v="20"/>
    <s v=""/>
    <m/>
    <s v="กอดแก้วกาแฟ"/>
    <m/>
    <s v="import"/>
    <s v=""/>
    <b v="0"/>
    <s v=""/>
  </r>
  <r>
    <s v="e091f13e-7f31-40f0-a2c1-601efa5690af"/>
    <s v="2021-08-13"/>
    <x v="5"/>
    <x v="10"/>
    <n v="13"/>
    <s v="12:44"/>
    <n v="290"/>
    <x v="0"/>
    <s v="rc_cat_1781955063347_5qjb_1781955063347_tezk"/>
    <x v="5"/>
    <s v="rc_acc_1781955063347_0qmn"/>
    <x v="20"/>
    <s v=""/>
    <m/>
    <s v="เชสเตอร์"/>
    <m/>
    <s v="import"/>
    <s v=""/>
    <b v="0"/>
    <s v=""/>
  </r>
  <r>
    <s v="20562d3a-e37f-4c0a-8fb6-0d22674e03c2"/>
    <s v="2021-08-13"/>
    <x v="5"/>
    <x v="10"/>
    <n v="13"/>
    <s v="20:32"/>
    <n v="107"/>
    <x v="1"/>
    <s v="other"/>
    <x v="1"/>
    <s v="rc_acc_1781955063347_pixu"/>
    <x v="37"/>
    <s v="rc_acc_1781955063347_uxz4"/>
    <s v="SCB"/>
    <s v="-"/>
    <m/>
    <s v="import"/>
    <s v=""/>
    <b v="0"/>
    <s v=""/>
  </r>
  <r>
    <s v="06a8ee4c-e528-4c01-833c-8a3961fd3611"/>
    <s v="2021-08-13"/>
    <x v="5"/>
    <x v="10"/>
    <n v="13"/>
    <s v="20:38"/>
    <n v="70"/>
    <x v="0"/>
    <s v="rc_cat_1781955063347_5qjb_1781955063347_tezk"/>
    <x v="5"/>
    <s v="rc_acc_1781955063348_w3gp"/>
    <x v="6"/>
    <s v=""/>
    <m/>
    <s v="-"/>
    <m/>
    <s v="import"/>
    <s v=""/>
    <b v="0"/>
    <s v=""/>
  </r>
  <r>
    <s v="58da90ca-fd2c-4113-8b27-2a52bd7e391a"/>
    <s v="2021-08-13"/>
    <x v="5"/>
    <x v="10"/>
    <n v="13"/>
    <s v="20:44"/>
    <n v="50"/>
    <x v="2"/>
    <s v="income_1781955063347_zblt"/>
    <x v="17"/>
    <s v="rc_acc_1781955063347_uxz4"/>
    <x v="4"/>
    <s v=""/>
    <m/>
    <s v="-"/>
    <m/>
    <s v="import"/>
    <s v=""/>
    <b v="0"/>
    <s v=""/>
  </r>
  <r>
    <s v="af261310-3913-41a3-8ae5-cab4f81b85a2"/>
    <s v="2021-08-13"/>
    <x v="5"/>
    <x v="10"/>
    <n v="13"/>
    <s v="20:45"/>
    <n v="400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1c382578-e9dc-461a-83f2-d9775210b5f4"/>
    <s v="2021-08-12"/>
    <x v="5"/>
    <x v="10"/>
    <n v="12"/>
    <s v="11:04"/>
    <n v="100"/>
    <x v="0"/>
    <s v="rc_cat_1781955063347_5qjb_1781955063347_tezk"/>
    <x v="5"/>
    <s v="rc_acc_1781955063347_0qmn"/>
    <x v="20"/>
    <s v=""/>
    <m/>
    <s v="-"/>
    <m/>
    <s v="import"/>
    <s v=""/>
    <b v="0"/>
    <s v=""/>
  </r>
  <r>
    <s v="9c3853d9-6953-486d-ac4d-a4745a9091aa"/>
    <s v="2021-08-12"/>
    <x v="5"/>
    <x v="10"/>
    <n v="12"/>
    <s v="11:40"/>
    <n v="640"/>
    <x v="0"/>
    <s v="rc_cat_1781955063347_anhy_1781955063347_qnaz"/>
    <x v="4"/>
    <s v="rc_acc_1781955063347_0qmn"/>
    <x v="20"/>
    <s v=""/>
    <m/>
    <s v="briocher"/>
    <m/>
    <s v="import"/>
    <s v=""/>
    <b v="0"/>
    <s v=""/>
  </r>
  <r>
    <s v="bf944815-f193-4b3d-bf9d-3ccbe3ce57fe"/>
    <s v="2021-08-12"/>
    <x v="5"/>
    <x v="10"/>
    <n v="12"/>
    <s v="15:16"/>
    <n v="1208"/>
    <x v="0"/>
    <s v="rc_cat_1781955063347_anhy_1781955063347_qnaz"/>
    <x v="4"/>
    <s v="rc_acc_1781955063347_e3zv"/>
    <x v="16"/>
    <s v=""/>
    <m/>
    <s v="-"/>
    <m/>
    <s v="import"/>
    <s v=""/>
    <b v="0"/>
    <s v=""/>
  </r>
  <r>
    <s v="d8f93deb-f575-4456-8c38-4cae307e226c"/>
    <s v="2021-08-12"/>
    <x v="5"/>
    <x v="10"/>
    <n v="12"/>
    <s v="18:02"/>
    <n v="393"/>
    <x v="0"/>
    <s v="rc_cat_1781955063347_5qjb_1781955063347_tezk"/>
    <x v="5"/>
    <s v="rc_acc_1781955063347_0qmn"/>
    <x v="20"/>
    <s v=""/>
    <m/>
    <s v="tops"/>
    <m/>
    <s v="import"/>
    <s v=""/>
    <b v="0"/>
    <s v=""/>
  </r>
  <r>
    <s v="38fa7ae5-a9fd-4f63-98ce-0660442217b8"/>
    <s v="2021-08-12"/>
    <x v="5"/>
    <x v="10"/>
    <n v="12"/>
    <s v="19:04"/>
    <n v="393"/>
    <x v="1"/>
    <s v="other"/>
    <x v="1"/>
    <s v="rc_acc_1781955063347_e3zv"/>
    <x v="16"/>
    <s v="rc_acc_1781955063347_uxz4"/>
    <s v="SCB"/>
    <s v="-"/>
    <m/>
    <s v="import"/>
    <s v=""/>
    <b v="0"/>
    <s v=""/>
  </r>
  <r>
    <s v="1d83d33b-fd7d-42d9-a8fb-b47d42dc6340"/>
    <s v="2021-08-11"/>
    <x v="5"/>
    <x v="10"/>
    <n v="11"/>
    <s v="12:52"/>
    <n v="603"/>
    <x v="0"/>
    <s v="rc_cat_1781955063347_5qjb_1781955063347_tezk"/>
    <x v="5"/>
    <s v="rc_acc_1781955063347_0qmn"/>
    <x v="20"/>
    <s v=""/>
    <m/>
    <s v="mk"/>
    <m/>
    <s v="import"/>
    <s v=""/>
    <b v="0"/>
    <s v=""/>
  </r>
  <r>
    <s v="044d5aa0-8086-401a-98ee-e6d36fb92713"/>
    <s v="2021-08-11"/>
    <x v="5"/>
    <x v="10"/>
    <n v="11"/>
    <s v="15:25"/>
    <n v="918.9"/>
    <x v="0"/>
    <s v="entertain_1781955063347_2t5k"/>
    <x v="33"/>
    <s v="rc_acc_1781955063347_uxz4"/>
    <x v="4"/>
    <s v=""/>
    <m/>
    <s v="-"/>
    <m/>
    <s v="import"/>
    <s v=""/>
    <b v="0"/>
    <s v=""/>
  </r>
  <r>
    <s v="834ec037-427c-4c06-b39c-453ffdad03d3"/>
    <s v="2021-08-11"/>
    <x v="5"/>
    <x v="10"/>
    <n v="11"/>
    <s v="15:30"/>
    <n v="100"/>
    <x v="1"/>
    <s v="other"/>
    <x v="1"/>
    <s v="rc_acc_1781955063347_e3zv"/>
    <x v="16"/>
    <s v="rc_acc_1781955063347_uxz4"/>
    <s v="SCB"/>
    <s v="mk"/>
    <m/>
    <s v="import"/>
    <s v=""/>
    <b v="0"/>
    <s v=""/>
  </r>
  <r>
    <s v="58645a34-ec06-4e01-b3b7-f7b019924117"/>
    <s v="2021-08-11"/>
    <x v="5"/>
    <x v="10"/>
    <n v="11"/>
    <s v="15:30"/>
    <n v="67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a9671f9c-4634-4209-9960-0e0b9d58b70f"/>
    <s v="2021-08-11"/>
    <x v="5"/>
    <x v="10"/>
    <n v="11"/>
    <s v="19:06"/>
    <n v="303.5"/>
    <x v="0"/>
    <s v="rc_cat_1781955063347_5qjb_1781955063347_tezk"/>
    <x v="5"/>
    <s v="rc_acc_1781955063347_0qmn"/>
    <x v="20"/>
    <s v=""/>
    <m/>
    <s v="46333"/>
    <m/>
    <s v="import"/>
    <s v=""/>
    <b v="0"/>
    <s v=""/>
  </r>
  <r>
    <s v="c96ed933-3437-4a5d-a507-caf314f266cf"/>
    <s v="2021-08-11"/>
    <x v="5"/>
    <x v="10"/>
    <n v="11"/>
    <s v="19:51"/>
    <n v="250"/>
    <x v="2"/>
    <s v="income_1781955063347_zblt"/>
    <x v="17"/>
    <s v="rc_acc_1781955063347_uxz4"/>
    <x v="4"/>
    <s v=""/>
    <m/>
    <s v="-"/>
    <m/>
    <s v="import"/>
    <s v=""/>
    <b v="0"/>
    <s v=""/>
  </r>
  <r>
    <s v="dd86ed88-e128-4ccb-984f-8bda4c38d260"/>
    <s v="2021-08-11"/>
    <x v="5"/>
    <x v="10"/>
    <n v="11"/>
    <s v="19:56"/>
    <n v="118"/>
    <x v="2"/>
    <s v="income_1781955063347_zblt"/>
    <x v="17"/>
    <s v="rc_acc_1781955063347_uxz4"/>
    <x v="4"/>
    <s v=""/>
    <m/>
    <s v="-"/>
    <m/>
    <s v="import"/>
    <s v=""/>
    <b v="0"/>
    <s v=""/>
  </r>
  <r>
    <s v="aabfd7d2-bc61-4f53-8db9-94ad1a2c7d57"/>
    <s v="2021-08-11"/>
    <x v="5"/>
    <x v="10"/>
    <n v="11"/>
    <s v="20:14"/>
    <n v="299"/>
    <x v="2"/>
    <s v="income_1781955063347_zblt"/>
    <x v="17"/>
    <s v="kbank"/>
    <x v="0"/>
    <s v=""/>
    <m/>
    <s v="-"/>
    <m/>
    <s v="import"/>
    <s v=""/>
    <b v="0"/>
    <s v=""/>
  </r>
  <r>
    <s v="83997364-7157-4a95-af36-1904de8cd954"/>
    <s v="2021-08-11"/>
    <x v="5"/>
    <x v="10"/>
    <n v="11"/>
    <s v="20:17"/>
    <n v="85"/>
    <x v="0"/>
    <s v="other_1781955063347_5s7r"/>
    <x v="15"/>
    <s v="rc_acc_1781955063347_0qmn"/>
    <x v="20"/>
    <s v=""/>
    <m/>
    <s v="Difference"/>
    <m/>
    <s v="import"/>
    <s v=""/>
    <b v="0"/>
    <s v=""/>
  </r>
  <r>
    <s v="8b1fc3a6-748c-404a-9172-26216a9ac00e"/>
    <s v="2021-08-10"/>
    <x v="5"/>
    <x v="10"/>
    <n v="10"/>
    <s v="00:00"/>
    <n v="245"/>
    <x v="0"/>
    <s v="rc_cat_1781955063347_5qjb_1781955063347_tezk"/>
    <x v="5"/>
    <s v="rc_acc_1781955063347_0qmn"/>
    <x v="20"/>
    <s v=""/>
    <m/>
    <s v="blackcanyon"/>
    <m/>
    <s v="import"/>
    <s v=""/>
    <b v="0"/>
    <s v=""/>
  </r>
  <r>
    <s v="e76300df-61a4-45c6-8fee-ded9111b819c"/>
    <s v="2021-08-10"/>
    <x v="5"/>
    <x v="10"/>
    <n v="10"/>
    <s v="13:02"/>
    <n v="2522"/>
    <x v="0"/>
    <s v="rc_cat_1781955063347_5qjb_1781955063347_irl1"/>
    <x v="0"/>
    <s v="rc_acc_1781955063347_hv85"/>
    <x v="5"/>
    <s v=""/>
    <m/>
    <s v="เตา teka(3/4)"/>
    <m/>
    <s v="import"/>
    <s v=""/>
    <b v="0"/>
    <s v=""/>
  </r>
  <r>
    <s v="f1ccdf44-81f7-48e3-8781-605bd20e301c"/>
    <s v="2021-08-10"/>
    <x v="5"/>
    <x v="10"/>
    <n v="10"/>
    <s v="13:04"/>
    <n v="4566"/>
    <x v="0"/>
    <s v="rc_cat_1781955063347_5qjb_1781955063347_irl1"/>
    <x v="0"/>
    <s v="rc_acc_1781955063347_hv85"/>
    <x v="5"/>
    <s v=""/>
    <m/>
    <s v="เครื่องซักผ้า LG(2/6)"/>
    <m/>
    <s v="import"/>
    <s v=""/>
    <b v="0"/>
    <s v=""/>
  </r>
  <r>
    <s v="dc19313f-ee61-435f-877f-fdd50a90a8e3"/>
    <s v="2021-08-10"/>
    <x v="5"/>
    <x v="10"/>
    <n v="10"/>
    <s v="13:04"/>
    <n v="694.2"/>
    <x v="0"/>
    <s v="rc_cat_1781955063347_5qjb_1781955063347_irl1"/>
    <x v="0"/>
    <s v="rc_acc_1781955063347_hv85"/>
    <x v="5"/>
    <s v=""/>
    <m/>
    <s v="ชั้น พัดลม homepro(2/6)"/>
    <m/>
    <s v="import"/>
    <s v=""/>
    <b v="0"/>
    <s v=""/>
  </r>
  <r>
    <s v="2693e0c6-8336-4ca3-809a-3d2bd716164c"/>
    <s v="2021-08-10"/>
    <x v="5"/>
    <x v="10"/>
    <n v="10"/>
    <s v="17:19"/>
    <n v="414.1"/>
    <x v="0"/>
    <s v="rc_cat_1781955063347_5qjb_1781955063347_tezk"/>
    <x v="5"/>
    <s v="rc_acc_1781955063347_0qmn"/>
    <x v="20"/>
    <s v=""/>
    <m/>
    <s v="bkk grill"/>
    <m/>
    <s v="import"/>
    <s v=""/>
    <b v="0"/>
    <s v=""/>
  </r>
  <r>
    <s v="f771dfb0-9a41-48a5-a36f-e02ee2f2dce4"/>
    <s v="2021-08-10"/>
    <x v="5"/>
    <x v="10"/>
    <n v="10"/>
    <s v="17:19"/>
    <n v="144"/>
    <x v="0"/>
    <s v="rc_cat_1781955063347_5qjb_1781955063347_tezk"/>
    <x v="5"/>
    <s v="rc_acc_1781955063347_0qmn"/>
    <x v="20"/>
    <s v=""/>
    <m/>
    <s v="หวานลิ้น"/>
    <m/>
    <s v="import"/>
    <s v=""/>
    <b v="0"/>
    <s v=""/>
  </r>
  <r>
    <s v="d6aa59fd-6d13-4a35-9cce-f761600fc890"/>
    <s v="2021-08-10"/>
    <x v="5"/>
    <x v="10"/>
    <n v="10"/>
    <s v="20:11"/>
    <n v="800"/>
    <x v="1"/>
    <s v="other"/>
    <x v="1"/>
    <s v="kbank"/>
    <x v="0"/>
    <s v="rc_acc_1781955063347_pixu"/>
    <s v="Grabpay"/>
    <s v="-"/>
    <m/>
    <s v="import"/>
    <s v=""/>
    <b v="0"/>
    <s v=""/>
  </r>
  <r>
    <s v="f70296d3-258f-47c0-8a5e-3d2b172fbc0e"/>
    <s v="2021-08-10"/>
    <x v="5"/>
    <x v="10"/>
    <n v="10"/>
    <s v="23:14"/>
    <n v="65"/>
    <x v="0"/>
    <s v="rc_cat_1781955063347_5qjb_1781955063347_tezk"/>
    <x v="5"/>
    <s v="rc_acc_1781955063347_e3zv"/>
    <x v="16"/>
    <s v=""/>
    <m/>
    <s v="-"/>
    <m/>
    <s v="import"/>
    <s v=""/>
    <b v="0"/>
    <s v=""/>
  </r>
  <r>
    <s v="2595537f-f28d-478e-afde-f6757533b8a4"/>
    <s v="2021-08-09"/>
    <x v="5"/>
    <x v="10"/>
    <n v="9"/>
    <s v="00:00"/>
    <n v="245"/>
    <x v="0"/>
    <s v="rc_cat_1781955063347_5qjb_1781955063347_tezk"/>
    <x v="5"/>
    <s v="rc_acc_1781955063347_0qmn"/>
    <x v="20"/>
    <s v=""/>
    <m/>
    <s v="YAYOI"/>
    <m/>
    <s v="import"/>
    <s v=""/>
    <b v="0"/>
    <s v=""/>
  </r>
  <r>
    <s v="54ddac50-d096-4920-a8e8-69cae6dedffa"/>
    <s v="2021-08-09"/>
    <x v="5"/>
    <x v="10"/>
    <n v="9"/>
    <s v="00:00"/>
    <n v="154"/>
    <x v="0"/>
    <s v="rc_cat_1781955063347_5qjb_1781955063347_tezk"/>
    <x v="5"/>
    <s v="rc_acc_1781955063347_0qmn"/>
    <x v="20"/>
    <s v=""/>
    <m/>
    <s v="prajak"/>
    <m/>
    <s v="import"/>
    <s v=""/>
    <b v="0"/>
    <s v=""/>
  </r>
  <r>
    <s v="60e60c79-7559-46b6-98b0-4f23bd32c24c"/>
    <s v="2021-08-09"/>
    <x v="5"/>
    <x v="10"/>
    <n v="9"/>
    <s v="09:18"/>
    <n v="186"/>
    <x v="0"/>
    <s v="rc_cat_1781955063347_5qjb_1781955063347_tezk"/>
    <x v="5"/>
    <s v="rc_acc_1781955063347_0qmn"/>
    <x v="20"/>
    <s v=""/>
    <m/>
    <s v="triple s cafe"/>
    <m/>
    <s v="import"/>
    <s v=""/>
    <b v="0"/>
    <s v=""/>
  </r>
  <r>
    <s v="34f468a9-0ab6-4fdc-9ad1-a4b0fb612900"/>
    <s v="2021-08-08"/>
    <x v="5"/>
    <x v="10"/>
    <n v="8"/>
    <s v="00:05"/>
    <n v="3558"/>
    <x v="1"/>
    <s v="other"/>
    <x v="1"/>
    <s v="rc_acc_1781955063347_omhz"/>
    <x v="29"/>
    <s v="rc_acc_1781955063347_uxz4"/>
    <s v="SCB"/>
    <s v="-"/>
    <m/>
    <s v="import"/>
    <s v=""/>
    <b v="0"/>
    <s v=""/>
  </r>
  <r>
    <s v="6caa8d53-fb4b-42ea-a737-b5d502128fdb"/>
    <s v="2021-08-08"/>
    <x v="5"/>
    <x v="10"/>
    <n v="8"/>
    <s v="08:13"/>
    <n v="145.24"/>
    <x v="0"/>
    <s v="rc_cat_1781955063347_5qjb_1781955063347_tezk"/>
    <x v="5"/>
    <s v="rc_acc_1781955063347_0qmn"/>
    <x v="20"/>
    <s v=""/>
    <m/>
    <s v="bellinis"/>
    <m/>
    <s v="import"/>
    <s v=""/>
    <b v="0"/>
    <s v=""/>
  </r>
  <r>
    <s v="fcf26062-5574-4ecf-8e90-5ba186f1937d"/>
    <s v="2021-08-08"/>
    <x v="5"/>
    <x v="10"/>
    <n v="8"/>
    <s v="09:08"/>
    <n v="767"/>
    <x v="0"/>
    <s v="entertain_1781955063347_8r8e"/>
    <x v="8"/>
    <s v="rc_acc_1781955063347_omhz"/>
    <x v="29"/>
    <s v=""/>
    <m/>
    <s v="sheriff of nottingham"/>
    <m/>
    <s v="import"/>
    <s v=""/>
    <b v="0"/>
    <s v=""/>
  </r>
  <r>
    <s v="0a85f70f-1c5d-4689-a39b-3aab5fdf0f9e"/>
    <s v="2021-08-08"/>
    <x v="5"/>
    <x v="10"/>
    <n v="8"/>
    <s v="15:15"/>
    <n v="10000"/>
    <x v="2"/>
    <s v="income_1781955063347_zblt"/>
    <x v="17"/>
    <s v="rc_acc_1781955063347_0qmn"/>
    <x v="20"/>
    <s v=""/>
    <m/>
    <s v="from hong"/>
    <m/>
    <s v="import"/>
    <s v=""/>
    <b v="0"/>
    <s v=""/>
  </r>
  <r>
    <s v="be8baa0d-ec59-4650-a148-0c3808974998"/>
    <s v="2021-08-08"/>
    <x v="5"/>
    <x v="10"/>
    <n v="8"/>
    <s v="15:20"/>
    <n v="500"/>
    <x v="2"/>
    <s v="income_1781955063347_zblt"/>
    <x v="17"/>
    <s v="rc_acc_1781955063347_uxz4"/>
    <x v="4"/>
    <s v=""/>
    <m/>
    <s v="เหรียญ shopee"/>
    <m/>
    <s v="import"/>
    <s v=""/>
    <b v="0"/>
    <s v=""/>
  </r>
  <r>
    <s v="ceb832fb-2a3b-4fcd-80ec-cf0166c9ef5e"/>
    <s v="2021-08-08"/>
    <x v="5"/>
    <x v="10"/>
    <n v="8"/>
    <s v="16:09"/>
    <n v="70"/>
    <x v="0"/>
    <s v="rc_cat_1781955063347_5qjb_1781955063347_tezk"/>
    <x v="5"/>
    <s v="rc_acc_1781955063347_omhz"/>
    <x v="29"/>
    <s v=""/>
    <m/>
    <s v="carousel coffee"/>
    <m/>
    <s v="import"/>
    <s v=""/>
    <b v="0"/>
    <s v=""/>
  </r>
  <r>
    <s v="13d5cc67-5e2a-4e93-9263-ac21f89f2821"/>
    <s v="2021-08-08"/>
    <x v="5"/>
    <x v="10"/>
    <n v="8"/>
    <s v="16:55"/>
    <n v="4058"/>
    <x v="0"/>
    <s v="rc_cat_1781955063347_5qjb_1781955063347_irl1"/>
    <x v="0"/>
    <s v="rc_acc_1781955063347_0qmn"/>
    <x v="20"/>
    <s v=""/>
    <m/>
    <s v="เตาอบ"/>
    <m/>
    <s v="import"/>
    <s v=""/>
    <b v="0"/>
    <s v=""/>
  </r>
  <r>
    <s v="8d97ef97-a51c-4290-951b-f9c4a3eeb686"/>
    <s v="2021-08-08"/>
    <x v="5"/>
    <x v="10"/>
    <n v="8"/>
    <s v="17:00"/>
    <n v="692"/>
    <x v="0"/>
    <s v="rc_cat_1781955063347_5qjb_1781955063347_irl1"/>
    <x v="0"/>
    <s v="rc_acc_1781955063347_0qmn"/>
    <x v="20"/>
    <s v=""/>
    <m/>
    <s v="tops"/>
    <m/>
    <s v="import"/>
    <s v=""/>
    <b v="0"/>
    <s v=""/>
  </r>
  <r>
    <s v="2414a9d4-ce4d-4d8d-96a1-922d884ade1a"/>
    <s v="2021-08-08"/>
    <x v="5"/>
    <x v="10"/>
    <n v="8"/>
    <s v="19:11"/>
    <n v="180"/>
    <x v="0"/>
    <s v="rc_cat_1781955063347_s4sz_1781955063347_9tpp"/>
    <x v="9"/>
    <s v="rc_acc_1781955063347_omhz"/>
    <x v="29"/>
    <s v=""/>
    <m/>
    <s v="กางเกง arrow"/>
    <m/>
    <s v="import"/>
    <s v=""/>
    <b v="0"/>
    <s v=""/>
  </r>
  <r>
    <s v="e4eb9ffc-1642-45dd-81d2-27683efe216b"/>
    <s v="2021-08-08"/>
    <x v="5"/>
    <x v="10"/>
    <n v="8"/>
    <s v="19:13"/>
    <n v="745"/>
    <x v="0"/>
    <s v="rc_cat_1781955063347_s4sz_1781955063347_deos"/>
    <x v="6"/>
    <s v="rc_acc_1781955063347_omhz"/>
    <x v="29"/>
    <s v=""/>
    <m/>
    <s v="แผ่นรอง bluetooth และชั้น"/>
    <m/>
    <s v="import"/>
    <s v=""/>
    <b v="0"/>
    <s v=""/>
  </r>
  <r>
    <s v="7d3b2ee8-e7b3-430e-9af7-e6898491cda8"/>
    <s v="2021-08-08"/>
    <x v="5"/>
    <x v="10"/>
    <n v="8"/>
    <s v="19:15"/>
    <n v="624"/>
    <x v="1"/>
    <s v="other"/>
    <x v="1"/>
    <s v="rc_acc_1781955063347_omhz"/>
    <x v="29"/>
    <s v="rc_acc_1781955063347_uxz4"/>
    <s v="SCB"/>
    <s v="-"/>
    <m/>
    <s v="import"/>
    <s v=""/>
    <b v="0"/>
    <s v=""/>
  </r>
  <r>
    <s v="57c5bce1-ccde-4b09-8aa1-af4d619a19c0"/>
    <s v="2021-08-08"/>
    <x v="5"/>
    <x v="10"/>
    <n v="8"/>
    <s v="19:37"/>
    <n v="624"/>
    <x v="0"/>
    <s v="rc_cat_1781955063347_5qjb_1781955063347_irl1"/>
    <x v="0"/>
    <s v="rc_acc_1781955063347_0qmn"/>
    <x v="20"/>
    <s v=""/>
    <m/>
    <s v="ของจุกจิก shopee"/>
    <m/>
    <s v="import"/>
    <s v=""/>
    <b v="0"/>
    <s v=""/>
  </r>
  <r>
    <s v="89e70f2e-2f3f-42d3-8822-dc46e4e83526"/>
    <s v="2021-08-07"/>
    <x v="5"/>
    <x v="10"/>
    <n v="7"/>
    <s v="14:17"/>
    <n v="100"/>
    <x v="0"/>
    <s v="rc_cat_1781955063347_5qjb_1781955063347_tezk"/>
    <x v="5"/>
    <s v="rc_acc_1781955063347_uxz4"/>
    <x v="4"/>
    <s v=""/>
    <m/>
    <s v="roast runner"/>
    <m/>
    <s v="import"/>
    <s v=""/>
    <b v="0"/>
    <s v=""/>
  </r>
  <r>
    <s v="f0933190-8429-4696-9c0a-5e4cc522d04a"/>
    <s v="2021-08-07"/>
    <x v="5"/>
    <x v="10"/>
    <n v="7"/>
    <s v="22:50"/>
    <n v="6000"/>
    <x v="1"/>
    <s v="other"/>
    <x v="1"/>
    <s v="rc_acc_1781955063347_uxz4"/>
    <x v="4"/>
    <s v="rc_acc_1781955063347_omhz"/>
    <s v="Shopee"/>
    <s v="-"/>
    <m/>
    <s v="import"/>
    <s v=""/>
    <b v="0"/>
    <s v=""/>
  </r>
  <r>
    <s v="e2aaf197-5ef5-458f-83d6-294a265be279"/>
    <s v="2021-08-06"/>
    <x v="5"/>
    <x v="10"/>
    <n v="6"/>
    <s v="00:00"/>
    <n v="212"/>
    <x v="0"/>
    <s v="rc_cat_1781955063347_5qjb_1781955063347_tezk"/>
    <x v="5"/>
    <s v="rc_acc_1781955063347_0qmn"/>
    <x v="20"/>
    <s v=""/>
    <m/>
    <s v="เขียง"/>
    <m/>
    <s v="import"/>
    <s v=""/>
    <b v="0"/>
    <s v=""/>
  </r>
  <r>
    <s v="0ff37046-294f-4720-8a81-666ed04e2a13"/>
    <s v="2021-08-06"/>
    <x v="5"/>
    <x v="10"/>
    <n v="6"/>
    <s v="17:12"/>
    <n v="228.5"/>
    <x v="0"/>
    <s v="rc_cat_1781955063347_5qjb_1781955063347_tezk"/>
    <x v="5"/>
    <s v="rc_acc_1781955063347_0qmn"/>
    <x v="20"/>
    <s v=""/>
    <m/>
    <s v="เนื้อหอมคาเฟ่"/>
    <m/>
    <s v="import"/>
    <s v=""/>
    <b v="0"/>
    <s v=""/>
  </r>
  <r>
    <s v="f70ddd91-e491-4937-9854-0f79f6585418"/>
    <s v="2021-08-05"/>
    <x v="5"/>
    <x v="10"/>
    <n v="5"/>
    <s v="07:11"/>
    <n v="100"/>
    <x v="0"/>
    <s v="rc_cat_1781955063347_5qjb_1781955063347_tezk"/>
    <x v="5"/>
    <s v="rc_acc_1781955063347_0qmn"/>
    <x v="20"/>
    <s v=""/>
    <m/>
    <s v="โจ๊ก"/>
    <m/>
    <s v="import"/>
    <s v=""/>
    <b v="0"/>
    <s v=""/>
  </r>
  <r>
    <s v="b960eb42-de8d-4ae2-827b-ae8c1f4ce9e7"/>
    <s v="2021-08-05"/>
    <x v="5"/>
    <x v="10"/>
    <n v="5"/>
    <s v="08:11"/>
    <n v="199"/>
    <x v="0"/>
    <s v="rc_cat_1781955063347_5qjb_1781955063347_tezk"/>
    <x v="5"/>
    <s v="rc_acc_1781955063347_0qmn"/>
    <x v="20"/>
    <s v=""/>
    <m/>
    <s v="กาแฟชงสุข"/>
    <m/>
    <s v="import"/>
    <s v=""/>
    <b v="0"/>
    <s v=""/>
  </r>
  <r>
    <s v="1e4cbdee-aaf7-4cbb-93aa-fa9112cea062"/>
    <s v="2021-08-05"/>
    <x v="5"/>
    <x v="10"/>
    <n v="5"/>
    <s v="12:00"/>
    <n v="213"/>
    <x v="0"/>
    <s v="rc_cat_1781955063347_5qjb_1781955063347_tezk"/>
    <x v="5"/>
    <s v="rc_acc_1781955063347_0qmn"/>
    <x v="20"/>
    <s v=""/>
    <m/>
    <s v="hknoodle"/>
    <m/>
    <s v="import"/>
    <s v=""/>
    <b v="0"/>
    <s v=""/>
  </r>
  <r>
    <s v="73430b0a-57c2-4475-a6d8-b2ab2ce0c5f7"/>
    <s v="2021-08-05"/>
    <x v="5"/>
    <x v="10"/>
    <n v="5"/>
    <s v="12:51"/>
    <n v="418"/>
    <x v="0"/>
    <s v="rc_cat_1781955063347_5qjb_1781955063347_tezk"/>
    <x v="5"/>
    <s v="rc_acc_1781955063347_0qmn"/>
    <x v="20"/>
    <s v=""/>
    <m/>
    <s v="pizza"/>
    <m/>
    <s v="import"/>
    <s v=""/>
    <b v="0"/>
    <s v=""/>
  </r>
  <r>
    <s v="4f6d29b5-50b6-4835-bf45-a7ffa756b60a"/>
    <s v="2021-08-04"/>
    <x v="5"/>
    <x v="10"/>
    <n v="4"/>
    <s v="12:10"/>
    <n v="129.6"/>
    <x v="0"/>
    <s v="rc_cat_1781955063347_5qjb_1781955063347_tezk"/>
    <x v="5"/>
    <s v="rc_acc_1781955063347_0qmn"/>
    <x v="20"/>
    <s v=""/>
    <m/>
    <s v="ขาหมูตรอกซุง"/>
    <m/>
    <s v="import"/>
    <s v=""/>
    <b v="0"/>
    <s v=""/>
  </r>
  <r>
    <s v="5efc1ba1-84af-4cba-8b47-d1c9d8912ad9"/>
    <s v="2021-08-04"/>
    <x v="5"/>
    <x v="10"/>
    <n v="4"/>
    <s v="17:00"/>
    <n v="410"/>
    <x v="0"/>
    <s v="rc_cat_1781955063347_5qjb_1781955063347_tezk"/>
    <x v="5"/>
    <s v="rc_acc_1781955063347_0qmn"/>
    <x v="20"/>
    <s v=""/>
    <m/>
    <s v="senban"/>
    <m/>
    <s v="import"/>
    <s v=""/>
    <b v="0"/>
    <s v=""/>
  </r>
  <r>
    <s v="97af627f-4c47-4718-83d9-e323d76a9048"/>
    <s v="2021-08-03"/>
    <x v="5"/>
    <x v="10"/>
    <n v="3"/>
    <s v="00:00"/>
    <n v="220"/>
    <x v="0"/>
    <s v="rc_cat_1781955063347_5qjb_1781955063347_tezk"/>
    <x v="5"/>
    <s v="rc_acc_1781955063347_0qmn"/>
    <x v="20"/>
    <s v=""/>
    <m/>
    <s v="yoshinoya"/>
    <m/>
    <s v="import"/>
    <s v=""/>
    <b v="0"/>
    <s v=""/>
  </r>
  <r>
    <s v="afc55f12-edeb-42d9-a366-274e1d9df034"/>
    <s v="2021-08-03"/>
    <x v="5"/>
    <x v="10"/>
    <n v="3"/>
    <s v="00:00"/>
    <n v="138"/>
    <x v="0"/>
    <s v="rc_cat_1781955063347_5qjb_1781955063347_tezk"/>
    <x v="5"/>
    <s v="rc_acc_1781955063347_0qmn"/>
    <x v="20"/>
    <s v=""/>
    <m/>
    <s v="akiyoshi"/>
    <m/>
    <s v="import"/>
    <s v=""/>
    <b v="0"/>
    <s v=""/>
  </r>
  <r>
    <s v="2939d2bd-9dcf-4315-99bb-dd96d98bf4cf"/>
    <s v="2021-08-03"/>
    <x v="5"/>
    <x v="10"/>
    <n v="3"/>
    <s v="18:14"/>
    <n v="118"/>
    <x v="0"/>
    <s v="rc_cat_1781955063347_5qjb_1781955063347_irl1"/>
    <x v="0"/>
    <s v="rc_acc_1781955063347_0qmn"/>
    <x v="20"/>
    <s v=""/>
    <m/>
    <s v="ค่าไฟ กค"/>
    <m/>
    <s v="import"/>
    <s v=""/>
    <b v="0"/>
    <s v=""/>
  </r>
  <r>
    <s v="4c2a542e-633f-4f2b-a909-d2d0ccc6affd"/>
    <s v="2021-08-02"/>
    <x v="5"/>
    <x v="10"/>
    <n v="2"/>
    <s v="12:17"/>
    <n v="1719.28"/>
    <x v="0"/>
    <s v="rc_cat_1781955063347_5qjb_1781955063347_irl1"/>
    <x v="0"/>
    <s v="rc_acc_1781955063347_0qmn"/>
    <x v="20"/>
    <s v=""/>
    <m/>
    <s v="ชั้น โต๊ะ"/>
    <m/>
    <s v="import"/>
    <s v=""/>
    <b v="0"/>
    <s v=""/>
  </r>
  <r>
    <s v="9d807576-0c32-466c-8ad0-a0c22d44452a"/>
    <s v="2021-08-02"/>
    <x v="5"/>
    <x v="10"/>
    <n v="2"/>
    <s v="12:17"/>
    <n v="202"/>
    <x v="0"/>
    <s v="rc_cat_1781955063347_5qjb_1781955063347_tezk"/>
    <x v="5"/>
    <s v="rc_acc_1781955063347_0qmn"/>
    <x v="20"/>
    <s v=""/>
    <m/>
    <s v="กาแฟชงสุข"/>
    <m/>
    <s v="import"/>
    <s v=""/>
    <b v="0"/>
    <s v=""/>
  </r>
  <r>
    <s v="b6655131-dce4-458e-9bd1-1c70012f986f"/>
    <s v="2021-08-02"/>
    <x v="5"/>
    <x v="10"/>
    <n v="2"/>
    <s v="12:18"/>
    <n v="250"/>
    <x v="0"/>
    <s v="rc_cat_1781955063347_5qjb_1781955063347_tezk"/>
    <x v="5"/>
    <s v="rc_acc_1781955063347_0qmn"/>
    <x v="20"/>
    <s v=""/>
    <m/>
    <s v="ข้าวมันไก่"/>
    <m/>
    <s v="import"/>
    <s v=""/>
    <b v="0"/>
    <s v=""/>
  </r>
  <r>
    <s v="3f0c1b3b-8331-46c5-b441-11326bfcfc16"/>
    <s v="2021-08-02"/>
    <x v="5"/>
    <x v="10"/>
    <n v="2"/>
    <s v="12:18"/>
    <n v="1236"/>
    <x v="0"/>
    <s v="rc_cat_1781955063347_5qjb_1781955063347_tezk"/>
    <x v="5"/>
    <s v="rc_acc_1781955063347_0qmn"/>
    <x v="20"/>
    <s v=""/>
    <m/>
    <s v="แมคโคร"/>
    <m/>
    <s v="import"/>
    <s v=""/>
    <b v="0"/>
    <s v=""/>
  </r>
  <r>
    <s v="efa91dc7-f238-4fe4-9597-4e6e05bdfe22"/>
    <s v="2021-08-02"/>
    <x v="5"/>
    <x v="10"/>
    <n v="2"/>
    <s v="12:18"/>
    <n v="557"/>
    <x v="0"/>
    <s v="rc_cat_1781955063347_5qjb_1781955063347_tezk"/>
    <x v="5"/>
    <s v="rc_acc_1781955063347_0qmn"/>
    <x v="20"/>
    <s v=""/>
    <m/>
    <s v="bigc"/>
    <m/>
    <s v="import"/>
    <s v=""/>
    <b v="0"/>
    <s v=""/>
  </r>
  <r>
    <s v="8b92947e-5147-4e2c-9c86-7090e9c17b88"/>
    <s v="2021-08-02"/>
    <x v="5"/>
    <x v="10"/>
    <n v="2"/>
    <s v="12:19"/>
    <n v="1236"/>
    <x v="1"/>
    <s v="other"/>
    <x v="1"/>
    <s v="rc_acc_1781955063347_e3zv"/>
    <x v="16"/>
    <s v="rc_acc_1781955063347_uxz4"/>
    <s v="SCB"/>
    <s v="-"/>
    <m/>
    <s v="import"/>
    <s v=""/>
    <b v="0"/>
    <s v=""/>
  </r>
  <r>
    <s v="ede4160f-f4fb-40c8-a300-1c7df96da203"/>
    <s v="2021-08-02"/>
    <x v="5"/>
    <x v="10"/>
    <n v="2"/>
    <s v="12:20"/>
    <n v="69"/>
    <x v="0"/>
    <s v="rc_cat_1781955063347_5qjb_1781955063347_tezk"/>
    <x v="5"/>
    <s v="rc_acc_1781955063347_uxz4"/>
    <x v="4"/>
    <s v=""/>
    <m/>
    <s v="bellini"/>
    <m/>
    <s v="import"/>
    <s v=""/>
    <b v="0"/>
    <s v=""/>
  </r>
  <r>
    <s v="7177f4bc-4a78-4db7-ae30-f46e721b3858"/>
    <s v="2021-08-02"/>
    <x v="5"/>
    <x v="10"/>
    <n v="2"/>
    <s v="16:08"/>
    <n v="218"/>
    <x v="0"/>
    <s v="rc_cat_1781955063347_5qjb_1781955063347_tezk"/>
    <x v="5"/>
    <s v="rc_acc_1781955063347_0qmn"/>
    <x v="20"/>
    <s v=""/>
    <m/>
    <s v="หมูตั่วเฮีย"/>
    <m/>
    <s v="import"/>
    <s v=""/>
    <b v="0"/>
    <s v=""/>
  </r>
  <r>
    <s v="e5653ac1-4c9b-4b45-82b3-aa1e088023e0"/>
    <s v="2021-08-02"/>
    <x v="5"/>
    <x v="10"/>
    <n v="2"/>
    <s v="16:10"/>
    <n v="100"/>
    <x v="2"/>
    <s v="income_1781955063347_zblt"/>
    <x v="17"/>
    <s v="rc_acc_1781955063347_uxz4"/>
    <x v="4"/>
    <s v=""/>
    <m/>
    <s v="-"/>
    <m/>
    <s v="import"/>
    <s v=""/>
    <b v="0"/>
    <s v=""/>
  </r>
  <r>
    <s v="7f2d6e7d-a5fe-40ae-b16c-fc95232b8a26"/>
    <s v="2021-08-01"/>
    <x v="5"/>
    <x v="10"/>
    <n v="1"/>
    <s v="08:05"/>
    <n v="10000"/>
    <x v="2"/>
    <s v="other_1781955063347_5s7r"/>
    <x v="15"/>
    <s v="rc_acc_1781955063347_0qmn"/>
    <x v="20"/>
    <s v=""/>
    <m/>
    <s v="Difference"/>
    <m/>
    <s v="import"/>
    <s v=""/>
    <b v="0"/>
    <s v=""/>
  </r>
  <r>
    <s v="e42df94b-3b72-4196-9d99-2ff04820dacd"/>
    <s v="2021-08-01"/>
    <x v="5"/>
    <x v="10"/>
    <n v="1"/>
    <s v="08:06"/>
    <n v="118.75"/>
    <x v="0"/>
    <s v="rc_cat_1781955063347_5qjb_1781955063347_tezk"/>
    <x v="5"/>
    <s v="rc_acc_1781955063347_0qmn"/>
    <x v="20"/>
    <s v=""/>
    <m/>
    <s v="robinhood น้ำและวัฟเฟิล"/>
    <m/>
    <s v="import"/>
    <s v=""/>
    <b v="0"/>
    <s v=""/>
  </r>
  <r>
    <s v="49baeac7-4f86-47ce-b7c4-833609a54577"/>
    <s v="2021-08-01"/>
    <x v="5"/>
    <x v="10"/>
    <n v="1"/>
    <s v="13:19"/>
    <n v="229"/>
    <x v="0"/>
    <s v="rc_cat_1781955063347_5qjb_1781955063347_tezk"/>
    <x v="5"/>
    <s v="rc_acc_1781955063347_0qmn"/>
    <x v="20"/>
    <s v=""/>
    <m/>
    <s v="kimukatsu"/>
    <m/>
    <s v="import"/>
    <s v=""/>
    <b v="0"/>
    <s v=""/>
  </r>
  <r>
    <s v="0a9076b3-af93-43d2-818f-a5414ee7e416"/>
    <s v="2021-08-01"/>
    <x v="5"/>
    <x v="10"/>
    <n v="1"/>
    <s v="13:19"/>
    <n v="298"/>
    <x v="0"/>
    <s v="rc_cat_1781955063347_5qjb_1781955063347_irl1"/>
    <x v="0"/>
    <s v="rc_acc_1781955063347_0qmn"/>
    <x v="20"/>
    <s v=""/>
    <m/>
    <s v="superlock"/>
    <m/>
    <s v="import"/>
    <s v=""/>
    <b v="0"/>
    <s v=""/>
  </r>
  <r>
    <s v="2ec87397-ac0d-4088-be80-565907ee5568"/>
    <s v="2021-08-01"/>
    <x v="5"/>
    <x v="10"/>
    <n v="1"/>
    <s v="13:20"/>
    <n v="114"/>
    <x v="0"/>
    <s v="rc_cat_1781955063347_5qjb_1781955063347_tezk"/>
    <x v="5"/>
    <s v="rc_acc_1781955063347_0qmn"/>
    <x v="20"/>
    <s v=""/>
    <m/>
    <s v="j bakery"/>
    <m/>
    <s v="import"/>
    <s v=""/>
    <b v="0"/>
    <s v=""/>
  </r>
  <r>
    <s v="36c8fdf0-9c7e-4056-893d-4960af3fa032"/>
    <s v="2021-08-01"/>
    <x v="5"/>
    <x v="10"/>
    <n v="1"/>
    <s v="13:21"/>
    <n v="114"/>
    <x v="1"/>
    <s v="other"/>
    <x v="1"/>
    <s v="rc_acc_1781955063347_e3zv"/>
    <x v="16"/>
    <s v="rc_acc_1781955063347_uxz4"/>
    <s v="SCB"/>
    <s v="-"/>
    <m/>
    <s v="import"/>
    <s v=""/>
    <b v="0"/>
    <s v=""/>
  </r>
  <r>
    <s v="e9993d29-4762-436d-9801-148917a2d922"/>
    <s v="2021-08-01"/>
    <x v="5"/>
    <x v="10"/>
    <n v="1"/>
    <s v="13:38"/>
    <n v="45"/>
    <x v="0"/>
    <s v="rc_cat_1781955063347_5qjb_1781955063347_tezk"/>
    <x v="5"/>
    <s v="kbank"/>
    <x v="0"/>
    <s v=""/>
    <m/>
    <s v="-"/>
    <m/>
    <s v="import"/>
    <s v=""/>
    <b v="0"/>
    <s v=""/>
  </r>
  <r>
    <s v="7b1b33f5-b7ba-4dfd-a1c2-f9386e6280e1"/>
    <s v="2021-07-31"/>
    <x v="5"/>
    <x v="11"/>
    <n v="31"/>
    <s v="14:21"/>
    <n v="-160435"/>
    <x v="2"/>
    <s v="income_1781955063347_zblt"/>
    <x v="17"/>
    <s v="rc_acc_1781955063347_27fe"/>
    <x v="38"/>
    <s v=""/>
    <m/>
    <s v="-"/>
    <m/>
    <s v="import"/>
    <s v=""/>
    <b v="0"/>
    <s v=""/>
  </r>
  <r>
    <s v="80b71b4e-db4f-4d20-844b-eb385779a4b4"/>
    <s v="2021-07-31"/>
    <x v="5"/>
    <x v="11"/>
    <n v="31"/>
    <s v="14:41"/>
    <n v="-1890"/>
    <x v="2"/>
    <s v="income_1781955063347_zblt"/>
    <x v="17"/>
    <s v="rc_acc_1781955063347_tvnx"/>
    <x v="13"/>
    <s v=""/>
    <m/>
    <s v="-"/>
    <m/>
    <s v="import"/>
    <s v=""/>
    <b v="0"/>
    <s v=""/>
  </r>
  <r>
    <s v="91f29cdc-7d8b-4399-80ab-c4bff2dd5a25"/>
    <s v="2021-07-31"/>
    <x v="5"/>
    <x v="11"/>
    <n v="31"/>
    <s v="14:53"/>
    <n v="84101.37"/>
    <x v="2"/>
    <s v="other_1781955063347_5s7r"/>
    <x v="15"/>
    <s v="rc_acc_1781955063347_27fe"/>
    <x v="38"/>
    <s v=""/>
    <m/>
    <s v="Difference"/>
    <m/>
    <s v="import"/>
    <s v=""/>
    <b v="0"/>
    <s v=""/>
  </r>
  <r>
    <s v="33da42ce-a5f0-44df-aa82-845c939ac75a"/>
    <s v="2021-07-31"/>
    <x v="5"/>
    <x v="11"/>
    <n v="31"/>
    <s v="15:00"/>
    <n v="69792.79"/>
    <x v="2"/>
    <s v="other_1781955063347_5s7r"/>
    <x v="15"/>
    <s v="rc_acc_1781955063347_uxz4"/>
    <x v="4"/>
    <s v=""/>
    <m/>
    <s v="Difference"/>
    <m/>
    <s v="import"/>
    <s v=""/>
    <b v="0"/>
    <s v=""/>
  </r>
  <r>
    <s v="2eb90a59-2267-4153-b668-84894b688ec7"/>
    <s v="2021-07-28"/>
    <x v="5"/>
    <x v="11"/>
    <n v="28"/>
    <s v="00:00"/>
    <n v="4000"/>
    <x v="0"/>
    <s v="rc_cat_1781955063347_anhy_1781955063347_qnaz"/>
    <x v="4"/>
    <s v="rc_acc_1781955063347_uxz4"/>
    <x v="4"/>
    <s v=""/>
    <m/>
    <s v="-"/>
    <m/>
    <s v="import"/>
    <s v=""/>
    <b v="0"/>
    <s v=""/>
  </r>
  <r>
    <s v="08030dec-eeb1-4c30-adfb-d5cf53a6c878"/>
    <s v="2021-07-27"/>
    <x v="5"/>
    <x v="11"/>
    <n v="27"/>
    <s v="14:40"/>
    <n v="14401"/>
    <x v="1"/>
    <s v="other"/>
    <x v="1"/>
    <s v="rc_acc_1781955063347_uxz4"/>
    <x v="4"/>
    <s v="rc_acc_1781955063347_sv7p"/>
    <s v="UOB Privilages"/>
    <s v="-"/>
    <m/>
    <s v="import"/>
    <s v=""/>
    <b v="0"/>
    <s v=""/>
  </r>
  <r>
    <s v="28b7e648-e997-4644-9f4a-c60ef52f73a1"/>
    <s v="2021-07-26"/>
    <x v="5"/>
    <x v="11"/>
    <n v="26"/>
    <s v="10:57"/>
    <n v="10000"/>
    <x v="1"/>
    <s v="other"/>
    <x v="1"/>
    <s v="rc_acc_1781955063347_uxz4"/>
    <x v="4"/>
    <s v="kbank"/>
    <s v="KBank"/>
    <s v="-"/>
    <m/>
    <s v="import"/>
    <s v=""/>
    <b v="0"/>
    <s v=""/>
  </r>
  <r>
    <s v="e5f464da-9350-4bfa-8cd8-19e1780656ee"/>
    <s v="2021-07-26"/>
    <x v="5"/>
    <x v="11"/>
    <n v="26"/>
    <s v="10:57"/>
    <n v="1415.17"/>
    <x v="0"/>
    <s v="rc_cat_1781955063347_04qb_1781955063347_wt5p"/>
    <x v="3"/>
    <s v="kbank"/>
    <x v="0"/>
    <s v=""/>
    <m/>
    <s v="finance"/>
    <m/>
    <s v="import"/>
    <s v=""/>
    <b v="0"/>
    <s v=""/>
  </r>
  <r>
    <s v="52ed3bc6-ca05-421e-b422-3c9a4aa6d2c1"/>
    <s v="2021-07-25"/>
    <x v="5"/>
    <x v="11"/>
    <n v="25"/>
    <s v="00:00"/>
    <n v="167.23"/>
    <x v="0"/>
    <s v="rc_cat_1781955063347_04qb_1781955063347_lu9b"/>
    <x v="20"/>
    <s v="rc_acc_1781955063347_uxz4"/>
    <x v="4"/>
    <s v=""/>
    <m/>
    <s v="-"/>
    <m/>
    <s v="import"/>
    <s v=""/>
    <b v="0"/>
    <s v=""/>
  </r>
  <r>
    <s v="9edfb151-e20b-415c-9aaf-c6206d87bd97"/>
    <s v="2021-07-25"/>
    <x v="5"/>
    <x v="11"/>
    <n v="25"/>
    <s v="00:00"/>
    <n v="733.87"/>
    <x v="0"/>
    <s v="rc_cat_1781955063347_04qb_1781955063347_kgnn"/>
    <x v="13"/>
    <s v="rc_acc_1781955063347_uxz4"/>
    <x v="4"/>
    <s v=""/>
    <m/>
    <s v="-"/>
    <m/>
    <s v="import"/>
    <s v=""/>
    <b v="0"/>
    <s v=""/>
  </r>
  <r>
    <s v="7b21072e-beeb-4a03-b01e-1d9785803362"/>
    <s v="2021-07-25"/>
    <x v="5"/>
    <x v="11"/>
    <n v="25"/>
    <s v="00:00"/>
    <n v="9240"/>
    <x v="1"/>
    <s v="other"/>
    <x v="1"/>
    <s v="rc_acc_1781955063347_uxz4"/>
    <x v="4"/>
    <s v="rc_acc_1781955063347_mzbn"/>
    <s v="Car Loan"/>
    <s v="-"/>
    <m/>
    <s v="import"/>
    <s v=""/>
    <b v="0"/>
    <s v=""/>
  </r>
  <r>
    <s v="bc72c954-e849-43b3-950c-d5fbbbec7bac"/>
    <s v="2021-07-25"/>
    <x v="5"/>
    <x v="11"/>
    <n v="25"/>
    <s v="00:00"/>
    <n v="6665"/>
    <x v="1"/>
    <s v="other"/>
    <x v="1"/>
    <s v="rc_acc_1781955063347_uxz4"/>
    <x v="4"/>
    <s v="rc_acc_1781955063347_bwow"/>
    <s v="Home chomthong Loan"/>
    <s v="-"/>
    <m/>
    <s v="import"/>
    <s v=""/>
    <b v="0"/>
    <s v=""/>
  </r>
  <r>
    <s v="19ba71b5-ab27-4172-bb4b-504fdcf77c12"/>
    <s v="2021-07-25"/>
    <x v="5"/>
    <x v="11"/>
    <n v="25"/>
    <s v="00:00"/>
    <n v="500"/>
    <x v="1"/>
    <s v="other"/>
    <x v="1"/>
    <s v="rc_acc_1781955063347_uxz4"/>
    <x v="4"/>
    <s v="rc_acc_1781955063347_6gmg"/>
    <s v="Coop"/>
    <s v="-"/>
    <m/>
    <s v="import"/>
    <s v=""/>
    <b v="0"/>
    <s v=""/>
  </r>
  <r>
    <s v="151ae2cc-0b42-4974-a773-8fff4f88cf3d"/>
    <s v="2021-07-25"/>
    <x v="5"/>
    <x v="11"/>
    <n v="25"/>
    <s v="00:00"/>
    <n v="1917.8"/>
    <x v="1"/>
    <s v="other"/>
    <x v="1"/>
    <s v="rc_acc_1781955063347_uxz4"/>
    <x v="4"/>
    <s v="rc_acc_1781955063347_r9dz"/>
    <s v="Provident Fund"/>
    <s v="-"/>
    <m/>
    <s v="import"/>
    <s v=""/>
    <b v="0"/>
    <s v=""/>
  </r>
  <r>
    <s v="d54ea5ed-e5b7-4d38-b7cd-774658e611d0"/>
    <s v="2021-07-25"/>
    <x v="5"/>
    <x v="11"/>
    <n v="25"/>
    <s v="00:00"/>
    <n v="95890"/>
    <x v="2"/>
    <s v="income_1781955063347_5zxt"/>
    <x v="14"/>
    <s v="rc_acc_1781955063347_uxz4"/>
    <x v="4"/>
    <s v=""/>
    <m/>
    <s v="-"/>
    <m/>
    <s v="import"/>
    <s v=""/>
    <b v="0"/>
    <s v=""/>
  </r>
  <r>
    <s v="e5b09a15-196e-490a-8763-29a3c6b07566"/>
    <s v="2021-07-25"/>
    <x v="5"/>
    <x v="11"/>
    <n v="25"/>
    <s v="19:35"/>
    <n v="90"/>
    <x v="1"/>
    <s v="other"/>
    <x v="1"/>
    <s v="rc_acc_1781955063347_omhz"/>
    <x v="29"/>
    <s v="rc_acc_1781955063347_uxz4"/>
    <s v="SCB"/>
    <s v="บัวลอย"/>
    <m/>
    <s v="import"/>
    <s v=""/>
    <b v="0"/>
    <s v=""/>
  </r>
  <r>
    <s v="59d78eda-9243-45f7-b1f0-e1526cd7604a"/>
    <s v="2021-07-25"/>
    <x v="5"/>
    <x v="11"/>
    <n v="25"/>
    <s v="19:36"/>
    <n v="118"/>
    <x v="0"/>
    <s v="rc_cat_1781955063347_5qjb_1781955063347_tezk"/>
    <x v="5"/>
    <s v="rc_acc_1781955063347_omhz"/>
    <x v="29"/>
    <s v=""/>
    <m/>
    <s v="auntyann"/>
    <m/>
    <s v="import"/>
    <s v=""/>
    <b v="0"/>
    <s v=""/>
  </r>
  <r>
    <s v="be5e32e5-78e0-431b-848a-3edc526f3f80"/>
    <s v="2021-07-20"/>
    <x v="5"/>
    <x v="11"/>
    <n v="20"/>
    <s v="13:11"/>
    <n v="14401.5"/>
    <x v="0"/>
    <s v="rc_cat_1781955063347_5qjb_1781955063347_irl1"/>
    <x v="0"/>
    <s v="rc_acc_1781955063347_sv7p"/>
    <x v="12"/>
    <s v=""/>
    <m/>
    <s v="sb build in(1/4)"/>
    <m/>
    <s v="import"/>
    <s v=""/>
    <b v="0"/>
    <s v=""/>
  </r>
  <r>
    <s v="814b53ff-2261-4d31-8ad2-a566f5c17285"/>
    <s v="2021-07-18"/>
    <x v="5"/>
    <x v="11"/>
    <n v="18"/>
    <s v="13:16"/>
    <n v="25476"/>
    <x v="0"/>
    <s v="rc_cat_1781955063347_5qjb_1781955063347_irl1"/>
    <x v="0"/>
    <s v="rc_acc_1781955063347_uxz4"/>
    <x v="4"/>
    <s v=""/>
    <m/>
    <s v="โซฟา15000 เก้าอี้ 10476"/>
    <m/>
    <s v="import"/>
    <s v=""/>
    <b v="0"/>
    <s v=""/>
  </r>
  <r>
    <s v="b934bafb-2d2f-4a32-b2db-27020f609687"/>
    <s v="2021-07-18"/>
    <x v="5"/>
    <x v="11"/>
    <n v="18"/>
    <s v="13:21"/>
    <n v="1781"/>
    <x v="0"/>
    <s v="rc_cat_1781955063347_5qjb_1781955063347_irl1"/>
    <x v="0"/>
    <s v="rc_acc_1781955063347_hv85"/>
    <x v="5"/>
    <s v=""/>
    <m/>
    <s v="ชั้นเพิ่ม โต๊ะ"/>
    <m/>
    <s v="import"/>
    <s v=""/>
    <b v="0"/>
    <s v=""/>
  </r>
  <r>
    <s v="10d3afc9-bdc6-4138-893d-6d85a5ff8eab"/>
    <s v="2021-07-15"/>
    <x v="5"/>
    <x v="11"/>
    <n v="15"/>
    <s v="00:00"/>
    <n v="315"/>
    <x v="1"/>
    <s v="other"/>
    <x v="1"/>
    <s v="rc_acc_1781955063347_uxz4"/>
    <x v="4"/>
    <s v="rc_acc_1781955063347_tvnx"/>
    <s v="Netflix in Adv"/>
    <s v="-"/>
    <m/>
    <s v="import"/>
    <s v=""/>
    <b v="0"/>
    <s v=""/>
  </r>
  <r>
    <s v="6144fd39-33ba-4614-b44c-489835ff3988"/>
    <s v="2021-07-14"/>
    <x v="5"/>
    <x v="11"/>
    <n v="14"/>
    <s v="13:18"/>
    <n v="890"/>
    <x v="0"/>
    <s v="rc_cat_1781955063347_5qjb_1781955063347_irl1"/>
    <x v="0"/>
    <s v="rc_acc_1781955063347_uxz4"/>
    <x v="4"/>
    <s v=""/>
    <m/>
    <s v="แรกเข้าเนต"/>
    <m/>
    <s v="import"/>
    <s v=""/>
    <b v="0"/>
    <s v=""/>
  </r>
  <r>
    <s v="4fe9b67f-77c1-4522-b35a-9eb842eb04ad"/>
    <s v="2021-07-11"/>
    <x v="5"/>
    <x v="11"/>
    <n v="11"/>
    <s v="14:26"/>
    <n v="11265.17"/>
    <x v="1"/>
    <s v="other"/>
    <x v="1"/>
    <s v="rc_acc_1781955063347_uxz4"/>
    <x v="4"/>
    <s v="rc_acc_1781955063347_hv85"/>
    <s v="HOMEPRO"/>
    <s v="ยอดจริง 13543.17"/>
    <m/>
    <s v="import"/>
    <s v=""/>
    <b v="0"/>
    <s v=""/>
  </r>
  <r>
    <s v="8cf62d86-f288-4ca3-a84d-ed98c33597c5"/>
    <s v="2021-07-11"/>
    <x v="5"/>
    <x v="11"/>
    <n v="11"/>
    <s v="19:53"/>
    <n v="746.9"/>
    <x v="0"/>
    <s v="rc_cat_1781955063347_5qjb_1781955063347_irl1"/>
    <x v="0"/>
    <s v="rc_acc_1781955063347_hv85"/>
    <x v="5"/>
    <s v=""/>
    <m/>
    <s v="โต๊ะ"/>
    <m/>
    <s v="import"/>
    <s v=""/>
    <b v="0"/>
    <s v=""/>
  </r>
  <r>
    <s v="c8993f8b-c5fd-4f46-9628-1c32a46843ce"/>
    <s v="2021-07-10"/>
    <x v="5"/>
    <x v="11"/>
    <n v="10"/>
    <s v="13:02"/>
    <n v="2522"/>
    <x v="0"/>
    <s v="rc_cat_1781955063347_5qjb_1781955063347_irl1"/>
    <x v="0"/>
    <s v="rc_acc_1781955063347_hv85"/>
    <x v="5"/>
    <s v=""/>
    <m/>
    <s v="เตา teka(2/4)"/>
    <m/>
    <s v="import"/>
    <s v=""/>
    <b v="0"/>
    <s v=""/>
  </r>
  <r>
    <s v="a2cfd483-38fa-4585-926b-e6d84b48ca15"/>
    <s v="2021-07-10"/>
    <x v="5"/>
    <x v="11"/>
    <n v="10"/>
    <s v="13:04"/>
    <n v="4566"/>
    <x v="0"/>
    <s v="rc_cat_1781955063347_5qjb_1781955063347_irl1"/>
    <x v="0"/>
    <s v="rc_acc_1781955063347_hv85"/>
    <x v="5"/>
    <s v=""/>
    <m/>
    <s v="เครื่องซักผ้า LG(1/6)"/>
    <m/>
    <s v="import"/>
    <s v=""/>
    <b v="0"/>
    <s v=""/>
  </r>
  <r>
    <s v="e90752dd-8531-4bef-9409-520740bb939b"/>
    <s v="2021-07-10"/>
    <x v="5"/>
    <x v="11"/>
    <n v="10"/>
    <s v="13:04"/>
    <n v="694.2"/>
    <x v="0"/>
    <s v="rc_cat_1781955063347_5qjb_1781955063347_irl1"/>
    <x v="0"/>
    <s v="rc_acc_1781955063347_hv85"/>
    <x v="5"/>
    <s v=""/>
    <m/>
    <s v="ชั้น พัดลม homepro(1/6)"/>
    <m/>
    <s v="import"/>
    <s v=""/>
    <b v="0"/>
    <s v=""/>
  </r>
  <r>
    <s v="072484a3-f68d-46e4-99e7-1418ac5ae797"/>
    <s v="2021-07-06"/>
    <x v="5"/>
    <x v="11"/>
    <n v="6"/>
    <s v="13:15"/>
    <n v="25000"/>
    <x v="0"/>
    <s v="rc_cat_1781955063347_5qjb_1781955063347_irl1"/>
    <x v="0"/>
    <s v="rc_acc_1781955063347_kjxt"/>
    <x v="1"/>
    <s v=""/>
    <m/>
    <s v="เตียง"/>
    <m/>
    <s v="import"/>
    <s v=""/>
    <b v="0"/>
    <s v=""/>
  </r>
  <r>
    <s v="320b6333-0f09-4c3d-8095-62386b96dcfc"/>
    <s v="2021-07-04"/>
    <x v="5"/>
    <x v="11"/>
    <n v="4"/>
    <s v="13:19"/>
    <n v="960"/>
    <x v="0"/>
    <s v="rc_cat_1781955063347_5qjb_1781955063347_irl1"/>
    <x v="0"/>
    <s v="rc_acc_1781955063347_hv85"/>
    <x v="5"/>
    <s v=""/>
    <m/>
    <s v="ราวตากผ้า"/>
    <m/>
    <s v="import"/>
    <s v=""/>
    <b v="0"/>
    <s v=""/>
  </r>
  <r>
    <s v="4c070a56-53bd-4ea2-ae96-5e5ed04dc4d2"/>
    <s v="2021-07-01"/>
    <x v="5"/>
    <x v="11"/>
    <n v="1"/>
    <s v="13:18"/>
    <n v="3900"/>
    <x v="0"/>
    <s v="rc_cat_1781955063347_5qjb_1781955063347_irl1"/>
    <x v="0"/>
    <s v="rc_acc_1781955063347_uxz4"/>
    <x v="4"/>
    <s v=""/>
    <m/>
    <s v="ติดตั้งเตา"/>
    <m/>
    <s v="import"/>
    <s v=""/>
    <b v="0"/>
    <s v=""/>
  </r>
  <r>
    <s v="f77b046b-9450-49f2-a297-0133689c41ae"/>
    <s v="2021-07-01"/>
    <x v="5"/>
    <x v="11"/>
    <n v="1"/>
    <s v="13:20"/>
    <n v="2400"/>
    <x v="0"/>
    <s v="rc_cat_1781955063347_5qjb_1781955063347_irl1"/>
    <x v="0"/>
    <s v="rc_acc_1781955063347_uxz4"/>
    <x v="4"/>
    <s v=""/>
    <m/>
    <s v="เครื่องฟอก xiaomi"/>
    <m/>
    <s v="import"/>
    <s v=""/>
    <b v="0"/>
    <s v=""/>
  </r>
  <r>
    <s v="8bebbdb0-fab4-4705-b6e1-1b989275c587"/>
    <s v="2021-06-10"/>
    <x v="5"/>
    <x v="0"/>
    <n v="10"/>
    <s v="13:02"/>
    <n v="2522"/>
    <x v="0"/>
    <s v="rc_cat_1781955063347_5qjb_1781955063347_irl1"/>
    <x v="0"/>
    <s v="rc_acc_1781955063347_hv85"/>
    <x v="5"/>
    <s v=""/>
    <m/>
    <s v="เตา teka(1/4)"/>
    <m/>
    <s v="import"/>
    <s v=""/>
    <b v="0"/>
    <s v="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0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B39" firstHeaderRow="1" firstDataRow="1" firstDataCol="1" rowPageCount="1" colPageCount="1"/>
  <pivotFields count="14">
    <pivotField showAll="0"/>
    <pivotField axis="axisRow" showAll="0">
      <items count="1126"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124"/>
        <item t="default"/>
      </items>
    </pivotField>
    <pivotField showAll="0"/>
    <pivotField dataField="1" showAll="0">
      <items count="1609">
        <item x="1594"/>
        <item x="592"/>
        <item x="1595"/>
        <item x="396"/>
        <item x="47"/>
        <item x="633"/>
        <item x="1369"/>
        <item x="773"/>
        <item x="426"/>
        <item x="357"/>
        <item x="1407"/>
        <item x="214"/>
        <item x="202"/>
        <item x="1061"/>
        <item x="201"/>
        <item x="521"/>
        <item x="765"/>
        <item x="1017"/>
        <item x="1256"/>
        <item x="767"/>
        <item x="921"/>
        <item x="104"/>
        <item x="1268"/>
        <item x="780"/>
        <item x="465"/>
        <item x="753"/>
        <item x="545"/>
        <item x="1325"/>
        <item x="766"/>
        <item x="175"/>
        <item x="737"/>
        <item x="940"/>
        <item x="1376"/>
        <item x="340"/>
        <item x="829"/>
        <item x="1242"/>
        <item x="110"/>
        <item x="1241"/>
        <item x="323"/>
        <item x="221"/>
        <item x="635"/>
        <item x="836"/>
        <item x="1224"/>
        <item x="734"/>
        <item x="845"/>
        <item x="145"/>
        <item x="842"/>
        <item x="764"/>
        <item x="742"/>
        <item x="853"/>
        <item x="530"/>
        <item x="322"/>
        <item x="861"/>
        <item x="857"/>
        <item x="478"/>
        <item x="185"/>
        <item x="1231"/>
        <item x="726"/>
        <item x="1345"/>
        <item x="717"/>
        <item x="74"/>
        <item x="998"/>
        <item x="445"/>
        <item x="199"/>
        <item x="888"/>
        <item x="847"/>
        <item x="727"/>
        <item x="799"/>
        <item x="1217"/>
        <item x="1310"/>
        <item x="833"/>
        <item x="150"/>
        <item x="778"/>
        <item x="615"/>
        <item x="1102"/>
        <item x="1056"/>
        <item x="571"/>
        <item x="317"/>
        <item x="616"/>
        <item x="704"/>
        <item x="608"/>
        <item x="601"/>
        <item x="831"/>
        <item x="965"/>
        <item x="582"/>
        <item x="164"/>
        <item x="627"/>
        <item x="87"/>
        <item x="771"/>
        <item x="747"/>
        <item x="176"/>
        <item x="1215"/>
        <item x="480"/>
        <item x="805"/>
        <item x="1288"/>
        <item x="1575"/>
        <item x="763"/>
        <item x="854"/>
        <item x="1057"/>
        <item x="1033"/>
        <item x="1412"/>
        <item x="169"/>
        <item x="1375"/>
        <item x="852"/>
        <item x="1094"/>
        <item x="490"/>
        <item x="1295"/>
        <item x="1251"/>
        <item x="1558"/>
        <item x="1198"/>
        <item x="483"/>
        <item x="751"/>
        <item x="1185"/>
        <item x="749"/>
        <item x="1086"/>
        <item x="1166"/>
        <item x="174"/>
        <item x="359"/>
        <item x="932"/>
        <item x="705"/>
        <item x="798"/>
        <item x="1143"/>
        <item x="497"/>
        <item x="433"/>
        <item x="493"/>
        <item x="916"/>
        <item x="823"/>
        <item x="239"/>
        <item x="1457"/>
        <item x="1500"/>
        <item x="197"/>
        <item x="1371"/>
        <item x="1235"/>
        <item x="1493"/>
        <item x="435"/>
        <item x="22"/>
        <item x="1152"/>
        <item x="458"/>
        <item x="781"/>
        <item x="1452"/>
        <item x="265"/>
        <item x="1141"/>
        <item x="1112"/>
        <item x="1576"/>
        <item x="1303"/>
        <item x="850"/>
        <item x="1572"/>
        <item x="867"/>
        <item x="356"/>
        <item x="1535"/>
        <item x="1072"/>
        <item x="1019"/>
        <item x="935"/>
        <item x="1533"/>
        <item x="818"/>
        <item x="1520"/>
        <item x="1167"/>
        <item x="755"/>
        <item x="1196"/>
        <item x="496"/>
        <item x="703"/>
        <item x="244"/>
        <item x="1593"/>
        <item x="655"/>
        <item x="1170"/>
        <item x="783"/>
        <item x="1348"/>
        <item x="1304"/>
        <item x="835"/>
        <item x="604"/>
        <item x="1365"/>
        <item x="1285"/>
        <item x="1076"/>
        <item x="1050"/>
        <item x="10"/>
        <item x="758"/>
        <item x="936"/>
        <item x="893"/>
        <item x="1253"/>
        <item x="86"/>
        <item x="487"/>
        <item x="1589"/>
        <item x="768"/>
        <item x="343"/>
        <item x="730"/>
        <item x="1000"/>
        <item x="599"/>
        <item x="1210"/>
        <item x="1389"/>
        <item x="314"/>
        <item x="372"/>
        <item x="832"/>
        <item x="1396"/>
        <item x="1333"/>
        <item x="1537"/>
        <item x="719"/>
        <item x="1487"/>
        <item x="677"/>
        <item x="1089"/>
        <item x="1454"/>
        <item x="238"/>
        <item x="769"/>
        <item x="491"/>
        <item x="140"/>
        <item x="1331"/>
        <item x="1566"/>
        <item x="1233"/>
        <item x="1113"/>
        <item x="1550"/>
        <item x="258"/>
        <item x="233"/>
        <item x="1153"/>
        <item x="547"/>
        <item x="482"/>
        <item x="716"/>
        <item x="146"/>
        <item x="1351"/>
        <item x="1055"/>
        <item x="593"/>
        <item x="1528"/>
        <item x="931"/>
        <item x="724"/>
        <item x="1565"/>
        <item x="1393"/>
        <item x="1370"/>
        <item x="837"/>
        <item x="777"/>
        <item x="1569"/>
        <item x="379"/>
        <item x="709"/>
        <item x="549"/>
        <item x="270"/>
        <item x="848"/>
        <item x="1054"/>
        <item x="1034"/>
        <item x="1008"/>
        <item x="1049"/>
        <item x="862"/>
        <item x="1571"/>
        <item x="1134"/>
        <item x="1417"/>
        <item x="1291"/>
        <item x="685"/>
        <item x="558"/>
        <item x="130"/>
        <item x="891"/>
        <item x="1195"/>
        <item x="1184"/>
        <item x="1470"/>
        <item x="975"/>
        <item x="775"/>
        <item x="641"/>
        <item x="1162"/>
        <item x="1567"/>
        <item x="607"/>
        <item x="683"/>
        <item x="844"/>
        <item x="1194"/>
        <item x="1410"/>
        <item x="1088"/>
        <item x="1400"/>
        <item x="772"/>
        <item x="1098"/>
        <item x="1220"/>
        <item x="1031"/>
        <item x="760"/>
        <item x="1552"/>
        <item x="1018"/>
        <item x="502"/>
        <item x="725"/>
        <item x="1499"/>
        <item x="1293"/>
        <item x="1062"/>
        <item x="1559"/>
        <item x="1494"/>
        <item x="898"/>
        <item x="26"/>
        <item x="1541"/>
        <item x="1029"/>
        <item x="569"/>
        <item x="1045"/>
        <item x="739"/>
        <item x="1046"/>
        <item x="779"/>
        <item x="693"/>
        <item x="866"/>
        <item x="1096"/>
        <item x="83"/>
        <item x="896"/>
        <item x="1267"/>
        <item x="1588"/>
        <item x="1318"/>
        <item x="1490"/>
        <item x="436"/>
        <item x="806"/>
        <item x="464"/>
        <item x="326"/>
        <item x="1498"/>
        <item x="1527"/>
        <item x="267"/>
        <item x="993"/>
        <item x="1101"/>
        <item x="543"/>
        <item x="894"/>
        <item x="1587"/>
        <item x="1036"/>
        <item x="232"/>
        <item x="907"/>
        <item x="477"/>
        <item x="1219"/>
        <item x="1075"/>
        <item x="489"/>
        <item x="688"/>
        <item x="1063"/>
        <item x="347"/>
        <item x="1204"/>
        <item x="1539"/>
        <item x="957"/>
        <item x="155"/>
        <item x="14"/>
        <item x="944"/>
        <item x="1560"/>
        <item x="1171"/>
        <item x="1486"/>
        <item x="1205"/>
        <item x="537"/>
        <item x="1027"/>
        <item x="1568"/>
        <item x="989"/>
        <item x="536"/>
        <item x="1574"/>
        <item x="1379"/>
        <item x="865"/>
        <item x="1326"/>
        <item x="788"/>
        <item x="1308"/>
        <item x="1178"/>
        <item x="714"/>
        <item x="1312"/>
        <item x="34"/>
        <item x="1144"/>
        <item x="1525"/>
        <item x="897"/>
        <item x="1243"/>
        <item x="1087"/>
        <item x="308"/>
        <item x="1485"/>
        <item x="535"/>
        <item x="206"/>
        <item x="821"/>
        <item x="455"/>
        <item x="15"/>
        <item x="839"/>
        <item x="692"/>
        <item x="646"/>
        <item x="786"/>
        <item x="735"/>
        <item x="334"/>
        <item x="1506"/>
        <item x="822"/>
        <item x="222"/>
        <item x="1573"/>
        <item x="1522"/>
        <item x="776"/>
        <item x="501"/>
        <item x="722"/>
        <item x="1207"/>
        <item x="1263"/>
        <item x="371"/>
        <item x="511"/>
        <item x="1444"/>
        <item x="360"/>
        <item x="876"/>
        <item x="1117"/>
        <item x="721"/>
        <item x="819"/>
        <item x="934"/>
        <item x="899"/>
        <item x="759"/>
        <item x="1110"/>
        <item x="19"/>
        <item x="1504"/>
        <item x="967"/>
        <item x="1581"/>
        <item x="450"/>
        <item x="1032"/>
        <item x="429"/>
        <item x="157"/>
        <item x="1397"/>
        <item x="830"/>
        <item x="691"/>
        <item x="952"/>
        <item x="1138"/>
        <item x="513"/>
        <item x="330"/>
        <item x="403"/>
        <item x="544"/>
        <item x="17"/>
        <item x="1489"/>
        <item x="411"/>
        <item x="473"/>
        <item x="1356"/>
        <item x="925"/>
        <item x="1546"/>
        <item x="170"/>
        <item x="352"/>
        <item x="877"/>
        <item x="320"/>
        <item x="217"/>
        <item x="519"/>
        <item x="304"/>
        <item x="757"/>
        <item x="432"/>
        <item x="390"/>
        <item x="1127"/>
        <item x="1109"/>
        <item x="638"/>
        <item x="796"/>
        <item x="1154"/>
        <item x="321"/>
        <item x="1377"/>
        <item x="917"/>
        <item x="113"/>
        <item x="579"/>
        <item x="1173"/>
        <item x="1052"/>
        <item x="1337"/>
        <item x="531"/>
        <item x="924"/>
        <item x="1536"/>
        <item x="715"/>
        <item x="910"/>
        <item x="671"/>
        <item x="1007"/>
        <item x="890"/>
        <item x="588"/>
        <item x="792"/>
        <item x="617"/>
        <item x="958"/>
        <item x="1530"/>
        <item x="1091"/>
        <item x="335"/>
        <item x="485"/>
        <item x="409"/>
        <item x="827"/>
        <item x="595"/>
        <item x="1192"/>
        <item x="880"/>
        <item x="812"/>
        <item x="1350"/>
        <item x="1085"/>
        <item x="457"/>
        <item x="354"/>
        <item x="1551"/>
        <item x="1578"/>
        <item x="1005"/>
        <item x="1006"/>
        <item x="386"/>
        <item x="643"/>
        <item x="77"/>
        <item x="345"/>
        <item x="315"/>
        <item x="556"/>
        <item x="1189"/>
        <item x="1464"/>
        <item x="1434"/>
        <item x="329"/>
        <item x="672"/>
        <item x="732"/>
        <item x="914"/>
        <item x="1409"/>
        <item x="849"/>
        <item x="840"/>
        <item x="538"/>
        <item x="964"/>
        <item x="12"/>
        <item x="1582"/>
        <item x="200"/>
        <item x="1307"/>
        <item x="1286"/>
        <item x="1448"/>
        <item x="1172"/>
        <item x="387"/>
        <item x="906"/>
        <item x="373"/>
        <item x="301"/>
        <item x="1414"/>
        <item x="1439"/>
        <item x="1491"/>
        <item x="568"/>
        <item x="981"/>
        <item x="611"/>
        <item x="405"/>
        <item x="1264"/>
        <item x="332"/>
        <item x="367"/>
        <item x="750"/>
        <item x="1447"/>
        <item x="1161"/>
        <item x="863"/>
        <item x="1084"/>
        <item x="606"/>
        <item x="1511"/>
        <item x="518"/>
        <item x="333"/>
        <item x="54"/>
        <item x="1357"/>
        <item x="1258"/>
        <item x="680"/>
        <item x="328"/>
        <item x="1372"/>
        <item x="946"/>
        <item x="809"/>
        <item x="1518"/>
        <item x="1064"/>
        <item x="355"/>
        <item x="636"/>
        <item x="193"/>
        <item x="1013"/>
        <item x="476"/>
        <item x="961"/>
        <item x="1213"/>
        <item x="620"/>
        <item x="18"/>
        <item x="761"/>
        <item x="1133"/>
        <item x="479"/>
        <item x="1519"/>
        <item x="937"/>
        <item x="966"/>
        <item x="31"/>
        <item x="1472"/>
        <item x="1236"/>
        <item x="1073"/>
        <item x="68"/>
        <item x="980"/>
        <item x="1495"/>
        <item x="353"/>
        <item x="713"/>
        <item x="196"/>
        <item x="580"/>
        <item x="746"/>
        <item x="1077"/>
        <item x="1234"/>
        <item x="1183"/>
        <item x="520"/>
        <item x="1456"/>
        <item x="13"/>
        <item x="1319"/>
        <item x="1225"/>
        <item x="1340"/>
        <item x="1276"/>
        <item x="1245"/>
        <item x="1079"/>
        <item x="1335"/>
        <item x="494"/>
        <item x="525"/>
        <item x="48"/>
        <item x="838"/>
        <item x="499"/>
        <item x="645"/>
        <item x="1128"/>
        <item x="1564"/>
        <item x="444"/>
        <item x="1100"/>
        <item x="184"/>
        <item x="913"/>
        <item x="678"/>
        <item x="741"/>
        <item x="625"/>
        <item x="1484"/>
        <item x="610"/>
        <item x="1592"/>
        <item x="539"/>
        <item x="548"/>
        <item x="1125"/>
        <item x="922"/>
        <item x="118"/>
        <item x="1203"/>
        <item x="1336"/>
        <item x="1432"/>
        <item x="542"/>
        <item x="1218"/>
        <item x="1119"/>
        <item x="132"/>
        <item x="939"/>
        <item x="1092"/>
        <item x="1239"/>
        <item x="1180"/>
        <item x="53"/>
        <item x="712"/>
        <item x="1339"/>
        <item x="1364"/>
        <item x="710"/>
        <item x="846"/>
        <item x="1142"/>
        <item x="659"/>
        <item x="912"/>
        <item x="138"/>
        <item x="187"/>
        <item x="325"/>
        <item x="1579"/>
        <item x="1476"/>
        <item x="987"/>
        <item x="1305"/>
        <item x="1475"/>
        <item x="892"/>
        <item x="1359"/>
        <item x="1111"/>
        <item x="517"/>
        <item x="503"/>
        <item x="1488"/>
        <item x="1549"/>
        <item x="1459"/>
        <item x="1284"/>
        <item x="1298"/>
        <item x="1044"/>
        <item x="647"/>
        <item x="285"/>
        <item x="915"/>
        <item x="1388"/>
        <item x="943"/>
        <item x="134"/>
        <item x="1455"/>
        <item x="447"/>
        <item x="551"/>
        <item x="1107"/>
        <item x="159"/>
        <item x="168"/>
        <item x="1071"/>
        <item x="908"/>
        <item x="756"/>
        <item x="562"/>
        <item x="523"/>
        <item x="1168"/>
        <item x="1176"/>
        <item x="1352"/>
        <item x="1252"/>
        <item x="522"/>
        <item x="1561"/>
        <item x="442"/>
        <item x="744"/>
        <item x="1249"/>
        <item x="600"/>
        <item x="1001"/>
        <item x="1116"/>
        <item x="654"/>
        <item x="505"/>
        <item x="1529"/>
        <item x="577"/>
        <item x="43"/>
        <item x="841"/>
        <item x="1294"/>
        <item x="1586"/>
        <item x="406"/>
        <item x="1165"/>
        <item x="1436"/>
        <item x="1301"/>
        <item x="1265"/>
        <item x="1330"/>
        <item x="1334"/>
        <item x="1069"/>
        <item x="886"/>
        <item x="1323"/>
        <item x="1216"/>
        <item x="1523"/>
        <item x="701"/>
        <item x="448"/>
        <item x="740"/>
        <item x="1121"/>
        <item x="1067"/>
        <item x="67"/>
        <item x="413"/>
        <item x="1095"/>
        <item x="1042"/>
        <item x="729"/>
        <item x="1406"/>
        <item x="1209"/>
        <item x="1122"/>
        <item x="1021"/>
        <item x="1510"/>
        <item x="1118"/>
        <item x="339"/>
        <item x="938"/>
        <item x="1416"/>
        <item x="1387"/>
        <item x="1451"/>
        <item x="158"/>
        <item x="1480"/>
        <item x="507"/>
        <item x="362"/>
        <item x="1099"/>
        <item x="1604"/>
        <item x="1299"/>
        <item x="186"/>
        <item x="1545"/>
        <item x="689"/>
        <item x="929"/>
        <item x="878"/>
        <item x="319"/>
        <item x="1584"/>
        <item x="215"/>
        <item x="1108"/>
        <item x="941"/>
        <item x="1159"/>
        <item x="1070"/>
        <item x="160"/>
        <item x="1130"/>
        <item x="884"/>
        <item x="1296"/>
        <item x="1200"/>
        <item x="928"/>
        <item x="183"/>
        <item x="1287"/>
        <item x="59"/>
        <item x="1557"/>
        <item x="856"/>
        <item x="1228"/>
        <item x="273"/>
        <item x="603"/>
        <item x="1199"/>
        <item x="1477"/>
        <item x="1211"/>
        <item x="412"/>
        <item x="1300"/>
        <item x="1260"/>
        <item x="1349"/>
        <item x="423"/>
        <item x="733"/>
        <item x="596"/>
        <item x="1503"/>
        <item x="1191"/>
        <item x="1547"/>
        <item x="1429"/>
        <item x="1322"/>
        <item x="1177"/>
        <item x="1040"/>
        <item x="190"/>
        <item x="1544"/>
        <item x="1514"/>
        <item x="38"/>
        <item x="1458"/>
        <item x="720"/>
        <item x="1259"/>
        <item x="392"/>
        <item x="933"/>
        <item x="1114"/>
        <item x="1482"/>
        <item x="881"/>
        <item x="313"/>
        <item x="1466"/>
        <item x="1465"/>
        <item x="11"/>
        <item x="281"/>
        <item x="293"/>
        <item x="1419"/>
        <item x="1020"/>
        <item x="400"/>
        <item x="1602"/>
        <item x="1238"/>
        <item x="1262"/>
        <item x="971"/>
        <item x="416"/>
        <item x="1065"/>
        <item x="1508"/>
        <item x="602"/>
        <item x="1281"/>
        <item x="394"/>
        <item x="251"/>
        <item x="1492"/>
        <item x="1453"/>
        <item x="828"/>
        <item x="1023"/>
        <item x="1580"/>
        <item x="902"/>
        <item x="39"/>
        <item x="56"/>
        <item x="1080"/>
        <item x="1066"/>
        <item x="808"/>
        <item x="189"/>
        <item x="492"/>
        <item x="926"/>
        <item x="488"/>
        <item x="1347"/>
        <item x="974"/>
        <item x="634"/>
        <item x="642"/>
        <item x="351"/>
        <item x="962"/>
        <item x="165"/>
        <item x="1606"/>
        <item x="1106"/>
        <item x="1316"/>
        <item x="566"/>
        <item x="261"/>
        <item x="383"/>
        <item x="152"/>
        <item x="1002"/>
        <item x="1469"/>
        <item x="294"/>
        <item x="1516"/>
        <item x="219"/>
        <item x="208"/>
        <item x="578"/>
        <item x="969"/>
        <item x="803"/>
        <item x="1060"/>
        <item x="182"/>
        <item x="1563"/>
        <item x="1124"/>
        <item x="1509"/>
        <item x="658"/>
        <item x="213"/>
        <item x="815"/>
        <item x="554"/>
        <item x="131"/>
        <item x="1461"/>
        <item x="279"/>
        <item x="681"/>
        <item x="254"/>
        <item x="639"/>
        <item x="1221"/>
        <item x="528"/>
        <item x="154"/>
        <item x="1269"/>
        <item x="1003"/>
        <item x="2"/>
        <item x="460"/>
        <item x="46"/>
        <item x="1374"/>
        <item x="524"/>
        <item x="1302"/>
        <item x="802"/>
        <item x="1214"/>
        <item x="262"/>
        <item x="1553"/>
        <item x="179"/>
        <item x="369"/>
        <item x="439"/>
        <item x="708"/>
        <item x="25"/>
        <item x="516"/>
        <item x="1446"/>
        <item x="178"/>
        <item x="331"/>
        <item x="1223"/>
        <item x="1437"/>
        <item x="1443"/>
        <item x="1324"/>
        <item x="955"/>
        <item x="1543"/>
        <item x="65"/>
        <item x="930"/>
        <item x="557"/>
        <item x="1423"/>
        <item x="312"/>
        <item x="982"/>
        <item x="883"/>
        <item x="3"/>
        <item x="391"/>
        <item x="860"/>
        <item x="949"/>
        <item x="1043"/>
        <item x="640"/>
        <item x="696"/>
        <item x="979"/>
        <item x="1526"/>
        <item x="377"/>
        <item x="1201"/>
        <item x="120"/>
        <item x="1010"/>
        <item x="228"/>
        <item x="424"/>
        <item x="630"/>
        <item x="385"/>
        <item x="1577"/>
        <item x="471"/>
        <item x="172"/>
        <item x="1024"/>
        <item x="905"/>
        <item x="1512"/>
        <item x="1430"/>
        <item x="795"/>
        <item x="366"/>
        <item x="1450"/>
        <item x="1186"/>
        <item x="927"/>
        <item x="1591"/>
        <item x="1531"/>
        <item x="820"/>
        <item x="1341"/>
        <item x="255"/>
        <item x="790"/>
        <item x="151"/>
        <item x="1037"/>
        <item x="814"/>
        <item x="407"/>
        <item x="904"/>
        <item x="648"/>
        <item x="826"/>
        <item x="711"/>
        <item x="1074"/>
        <item x="1468"/>
        <item x="1517"/>
        <item x="1408"/>
        <item x="1261"/>
        <item x="498"/>
        <item x="415"/>
        <item x="382"/>
        <item x="1030"/>
        <item x="770"/>
        <item x="968"/>
        <item x="959"/>
        <item x="972"/>
        <item x="1082"/>
        <item x="526"/>
        <item x="718"/>
        <item x="1462"/>
        <item x="585"/>
        <item x="1358"/>
        <item x="417"/>
        <item x="1505"/>
        <item x="851"/>
        <item x="97"/>
        <item x="276"/>
        <item x="1386"/>
        <item x="1182"/>
        <item x="736"/>
        <item x="1174"/>
        <item x="1222"/>
        <item x="282"/>
        <item x="1502"/>
        <item x="992"/>
        <item x="1405"/>
        <item x="1156"/>
        <item x="337"/>
        <item x="1208"/>
        <item x="1599"/>
        <item x="583"/>
        <item x="344"/>
        <item x="1158"/>
        <item x="911"/>
        <item x="96"/>
        <item x="1081"/>
        <item x="1187"/>
        <item x="1193"/>
        <item x="690"/>
        <item x="1279"/>
        <item x="591"/>
        <item x="834"/>
        <item x="1562"/>
        <item x="662"/>
        <item x="1026"/>
        <item x="1136"/>
        <item x="84"/>
        <item x="1404"/>
        <item x="1540"/>
        <item x="1373"/>
        <item x="1449"/>
        <item x="266"/>
        <item x="1078"/>
        <item x="889"/>
        <item x="871"/>
        <item x="973"/>
        <item x="1270"/>
        <item x="560"/>
        <item x="1272"/>
        <item x="533"/>
        <item x="484"/>
        <item x="69"/>
        <item x="443"/>
        <item x="1542"/>
        <item x="1422"/>
        <item x="64"/>
        <item x="350"/>
        <item x="495"/>
        <item x="787"/>
        <item x="381"/>
        <item x="1315"/>
        <item x="425"/>
        <item x="816"/>
        <item x="16"/>
        <item x="191"/>
        <item x="1083"/>
        <item x="1014"/>
        <item x="1097"/>
        <item x="1590"/>
        <item x="553"/>
        <item x="365"/>
        <item x="541"/>
        <item x="434"/>
        <item x="272"/>
        <item x="181"/>
        <item x="706"/>
        <item x="1513"/>
        <item x="1467"/>
        <item x="575"/>
        <item x="1601"/>
        <item x="1507"/>
        <item x="256"/>
        <item x="1360"/>
        <item x="824"/>
        <item x="1115"/>
        <item x="1202"/>
        <item x="1402"/>
        <item x="594"/>
        <item x="1123"/>
        <item x="909"/>
        <item x="60"/>
        <item x="801"/>
        <item x="954"/>
        <item x="988"/>
        <item x="1433"/>
        <item x="1394"/>
        <item x="1058"/>
        <item x="1501"/>
        <item x="960"/>
        <item x="728"/>
        <item x="30"/>
        <item x="1390"/>
        <item x="1041"/>
        <item x="552"/>
        <item x="1038"/>
        <item x="1311"/>
        <item x="195"/>
        <item x="466"/>
        <item x="427"/>
        <item x="948"/>
        <item x="481"/>
        <item x="211"/>
        <item x="90"/>
        <item x="1120"/>
        <item x="440"/>
        <item x="1025"/>
        <item x="299"/>
        <item x="1380"/>
        <item x="1354"/>
        <item x="1240"/>
        <item x="1421"/>
        <item x="563"/>
        <item x="1399"/>
        <item x="133"/>
        <item x="540"/>
        <item x="20"/>
        <item x="1425"/>
        <item x="1237"/>
        <item x="49"/>
        <item x="80"/>
        <item x="1474"/>
        <item x="1157"/>
        <item x="1146"/>
        <item x="1554"/>
        <item x="336"/>
        <item x="141"/>
        <item x="825"/>
        <item x="1313"/>
        <item x="1282"/>
        <item x="784"/>
        <item x="1206"/>
        <item x="663"/>
        <item x="122"/>
        <item x="1353"/>
        <item x="469"/>
        <item x="990"/>
        <item x="61"/>
        <item x="1363"/>
        <item x="947"/>
        <item x="885"/>
        <item x="613"/>
        <item x="422"/>
        <item x="1438"/>
        <item x="918"/>
        <item x="1321"/>
        <item x="349"/>
        <item x="686"/>
        <item x="584"/>
        <item x="278"/>
        <item x="868"/>
        <item x="468"/>
        <item x="978"/>
        <item x="57"/>
        <item x="919"/>
        <item x="105"/>
        <item x="1395"/>
        <item x="85"/>
        <item x="512"/>
        <item x="991"/>
        <item x="137"/>
        <item x="1418"/>
        <item x="1093"/>
        <item x="997"/>
        <item x="1035"/>
        <item x="1570"/>
        <item x="452"/>
        <item x="361"/>
        <item x="651"/>
        <item x="284"/>
        <item x="316"/>
        <item x="1538"/>
        <item x="879"/>
        <item x="1392"/>
        <item x="428"/>
        <item x="674"/>
        <item x="1068"/>
        <item x="216"/>
        <item x="789"/>
        <item x="393"/>
        <item x="811"/>
        <item x="45"/>
        <item x="984"/>
        <item x="649"/>
        <item x="1534"/>
        <item x="163"/>
        <item x="963"/>
        <item x="318"/>
        <item x="9"/>
        <item x="872"/>
        <item x="1188"/>
        <item x="198"/>
        <item x="589"/>
        <item x="307"/>
        <item x="472"/>
        <item x="950"/>
        <item x="1346"/>
        <item x="576"/>
        <item x="1016"/>
        <item x="1277"/>
        <item x="1011"/>
        <item x="1212"/>
        <item x="1497"/>
        <item x="52"/>
        <item x="1411"/>
        <item x="791"/>
        <item x="127"/>
        <item x="843"/>
        <item x="1292"/>
        <item x="637"/>
        <item x="506"/>
        <item x="194"/>
        <item x="1317"/>
        <item x="257"/>
        <item x="173"/>
        <item x="1398"/>
        <item x="1105"/>
        <item x="269"/>
        <item x="707"/>
        <item x="697"/>
        <item x="1175"/>
        <item x="212"/>
        <item x="1275"/>
        <item x="260"/>
        <item x="136"/>
        <item x="731"/>
        <item x="144"/>
        <item x="108"/>
        <item x="259"/>
        <item x="1342"/>
        <item x="346"/>
        <item x="139"/>
        <item x="609"/>
        <item x="192"/>
        <item x="236"/>
        <item x="673"/>
        <item x="378"/>
        <item x="126"/>
        <item x="986"/>
        <item x="1246"/>
        <item x="870"/>
        <item x="449"/>
        <item x="467"/>
        <item x="785"/>
        <item x="327"/>
        <item x="1460"/>
        <item x="205"/>
        <item x="348"/>
        <item x="587"/>
        <item x="723"/>
        <item x="73"/>
        <item x="166"/>
        <item x="389"/>
        <item x="250"/>
        <item x="89"/>
        <item x="402"/>
        <item x="408"/>
        <item x="619"/>
        <item x="1283"/>
        <item x="621"/>
        <item x="657"/>
        <item x="125"/>
        <item x="1424"/>
        <item x="1431"/>
        <item x="1051"/>
        <item x="32"/>
        <item x="51"/>
        <item x="970"/>
        <item x="430"/>
        <item x="1343"/>
        <item x="300"/>
        <item x="532"/>
        <item x="920"/>
        <item x="75"/>
        <item x="7"/>
        <item x="66"/>
        <item x="1015"/>
        <item x="800"/>
        <item x="565"/>
        <item x="441"/>
        <item x="762"/>
        <item x="1583"/>
        <item x="956"/>
        <item x="1248"/>
        <item x="1381"/>
        <item x="72"/>
        <item x="653"/>
        <item x="370"/>
        <item x="71"/>
        <item x="555"/>
        <item x="1103"/>
        <item x="91"/>
        <item x="612"/>
        <item x="1314"/>
        <item x="410"/>
        <item x="23"/>
        <item x="486"/>
        <item x="807"/>
        <item x="171"/>
        <item x="1012"/>
        <item x="123"/>
        <item x="623"/>
        <item x="58"/>
        <item x="1181"/>
        <item x="1048"/>
        <item x="682"/>
        <item x="24"/>
        <item x="527"/>
        <item x="263"/>
        <item x="1548"/>
        <item x="748"/>
        <item x="376"/>
        <item x="55"/>
        <item x="401"/>
        <item x="234"/>
        <item x="903"/>
        <item x="1585"/>
        <item x="1255"/>
        <item x="953"/>
        <item x="374"/>
        <item x="1230"/>
        <item x="149"/>
        <item x="470"/>
        <item x="368"/>
        <item x="1355"/>
        <item x="1135"/>
        <item x="1385"/>
        <item x="1297"/>
        <item x="1090"/>
        <item x="107"/>
        <item x="1278"/>
        <item x="652"/>
        <item x="1382"/>
        <item x="1163"/>
        <item x="1250"/>
        <item x="738"/>
        <item x="1328"/>
        <item x="628"/>
        <item x="793"/>
        <item x="237"/>
        <item x="143"/>
        <item x="1197"/>
        <item x="303"/>
        <item x="1401"/>
        <item x="629"/>
        <item x="581"/>
        <item x="1435"/>
        <item x="245"/>
        <item x="1226"/>
        <item x="1471"/>
        <item x="101"/>
        <item x="295"/>
        <item x="121"/>
        <item x="162"/>
        <item x="670"/>
        <item x="1427"/>
        <item x="243"/>
        <item x="419"/>
        <item x="1059"/>
        <item x="951"/>
        <item x="297"/>
        <item x="44"/>
        <item x="1047"/>
        <item x="421"/>
        <item x="550"/>
        <item x="404"/>
        <item x="397"/>
        <item x="901"/>
        <item x="1126"/>
        <item x="5"/>
        <item x="248"/>
        <item x="1273"/>
        <item x="231"/>
        <item x="1266"/>
        <item x="1478"/>
        <item x="1441"/>
        <item x="103"/>
        <item x="1383"/>
        <item x="1039"/>
        <item x="624"/>
        <item x="1428"/>
        <item x="180"/>
        <item x="305"/>
        <item x="977"/>
        <item x="664"/>
        <item x="1327"/>
        <item x="1129"/>
        <item x="668"/>
        <item x="277"/>
        <item x="1009"/>
        <item x="632"/>
        <item x="398"/>
        <item x="291"/>
        <item x="675"/>
        <item x="1332"/>
        <item x="399"/>
        <item x="945"/>
        <item x="1271"/>
        <item x="1053"/>
        <item x="1426"/>
        <item x="1320"/>
        <item x="561"/>
        <item x="116"/>
        <item x="76"/>
        <item x="515"/>
        <item x="241"/>
        <item x="384"/>
        <item x="204"/>
        <item x="62"/>
        <item x="1532"/>
        <item x="420"/>
        <item x="203"/>
        <item x="895"/>
        <item x="111"/>
        <item x="855"/>
        <item x="153"/>
        <item x="864"/>
        <item x="1415"/>
        <item x="1338"/>
        <item x="797"/>
        <item x="1290"/>
        <item x="240"/>
        <item x="135"/>
        <item x="210"/>
        <item x="249"/>
        <item x="364"/>
        <item x="1473"/>
        <item x="79"/>
        <item x="28"/>
        <item x="1344"/>
        <item x="774"/>
        <item x="268"/>
        <item x="687"/>
        <item x="247"/>
        <item x="6"/>
        <item x="358"/>
        <item x="50"/>
        <item x="666"/>
        <item x="88"/>
        <item x="148"/>
        <item x="437"/>
        <item x="209"/>
        <item x="338"/>
        <item x="37"/>
        <item x="63"/>
        <item x="156"/>
        <item x="1169"/>
        <item x="529"/>
        <item x="188"/>
        <item x="207"/>
        <item x="418"/>
        <item x="644"/>
        <item x="375"/>
        <item x="1145"/>
        <item x="626"/>
        <item x="283"/>
        <item x="119"/>
        <item x="246"/>
        <item x="167"/>
        <item x="264"/>
        <item x="631"/>
        <item x="100"/>
        <item x="82"/>
        <item x="70"/>
        <item x="1367"/>
        <item x="341"/>
        <item x="752"/>
        <item x="395"/>
        <item x="463"/>
        <item x="114"/>
        <item x="310"/>
        <item x="574"/>
        <item x="1524"/>
        <item x="311"/>
        <item x="1137"/>
        <item x="810"/>
        <item x="161"/>
        <item x="414"/>
        <item x="859"/>
        <item x="743"/>
        <item x="302"/>
        <item x="1445"/>
        <item x="1280"/>
        <item x="42"/>
        <item x="858"/>
        <item x="500"/>
        <item x="546"/>
        <item x="597"/>
        <item x="667"/>
        <item x="605"/>
        <item x="869"/>
        <item x="699"/>
        <item x="1309"/>
        <item x="115"/>
        <item x="306"/>
        <item x="1362"/>
        <item x="994"/>
        <item x="1004"/>
        <item x="1384"/>
        <item x="106"/>
        <item x="474"/>
        <item x="242"/>
        <item x="451"/>
        <item x="129"/>
        <item x="225"/>
        <item x="564"/>
        <item x="128"/>
        <item x="504"/>
        <item x="1150"/>
        <item x="235"/>
        <item x="1440"/>
        <item x="274"/>
        <item x="142"/>
        <item x="29"/>
        <item x="8"/>
        <item x="1481"/>
        <item x="510"/>
        <item x="1555"/>
        <item x="1274"/>
        <item x="1289"/>
        <item x="1132"/>
        <item x="873"/>
        <item x="223"/>
        <item x="1603"/>
        <item x="324"/>
        <item x="1257"/>
        <item x="1463"/>
        <item x="1229"/>
        <item x="275"/>
        <item x="923"/>
        <item x="534"/>
        <item x="289"/>
        <item x="875"/>
        <item x="874"/>
        <item x="112"/>
        <item x="1151"/>
        <item x="1420"/>
        <item x="292"/>
        <item x="475"/>
        <item x="695"/>
        <item x="298"/>
        <item x="1479"/>
        <item x="900"/>
        <item x="1361"/>
        <item x="976"/>
        <item x="459"/>
        <item x="684"/>
        <item x="1244"/>
        <item x="288"/>
        <item x="559"/>
        <item x="660"/>
        <item x="1598"/>
        <item x="1496"/>
        <item x="1104"/>
        <item x="598"/>
        <item x="363"/>
        <item x="78"/>
        <item x="41"/>
        <item x="679"/>
        <item x="817"/>
        <item x="177"/>
        <item x="388"/>
        <item x="745"/>
        <item x="1247"/>
        <item x="882"/>
        <item x="618"/>
        <item x="94"/>
        <item x="702"/>
        <item x="650"/>
        <item x="985"/>
        <item x="438"/>
        <item x="296"/>
        <item x="1147"/>
        <item x="4"/>
        <item x="290"/>
        <item x="227"/>
        <item x="35"/>
        <item x="271"/>
        <item x="1378"/>
        <item x="586"/>
        <item x="117"/>
        <item x="995"/>
        <item x="887"/>
        <item x="1366"/>
        <item x="95"/>
        <item x="1227"/>
        <item x="983"/>
        <item x="1605"/>
        <item x="1600"/>
        <item x="676"/>
        <item x="794"/>
        <item x="102"/>
        <item x="754"/>
        <item x="1403"/>
        <item x="999"/>
        <item x="1329"/>
        <item x="98"/>
        <item x="1521"/>
        <item x="124"/>
        <item x="1140"/>
        <item x="573"/>
        <item x="1306"/>
        <item x="567"/>
        <item x="252"/>
        <item x="40"/>
        <item x="1149"/>
        <item x="446"/>
        <item x="1139"/>
        <item x="21"/>
        <item x="286"/>
        <item x="230"/>
        <item x="622"/>
        <item x="661"/>
        <item x="1164"/>
        <item x="509"/>
        <item x="1515"/>
        <item x="1179"/>
        <item x="229"/>
        <item x="1160"/>
        <item x="253"/>
        <item x="226"/>
        <item x="669"/>
        <item x="508"/>
        <item x="27"/>
        <item x="1190"/>
        <item x="92"/>
        <item x="147"/>
        <item x="514"/>
        <item x="665"/>
        <item x="1131"/>
        <item x="942"/>
        <item x="0"/>
        <item x="1232"/>
        <item x="224"/>
        <item x="1254"/>
        <item x="380"/>
        <item x="813"/>
        <item x="1"/>
        <item x="456"/>
        <item x="220"/>
        <item x="461"/>
        <item x="462"/>
        <item x="698"/>
        <item x="1597"/>
        <item x="1022"/>
        <item x="1483"/>
        <item x="700"/>
        <item x="1148"/>
        <item x="1596"/>
        <item x="782"/>
        <item x="81"/>
        <item x="1391"/>
        <item x="1155"/>
        <item x="99"/>
        <item x="454"/>
        <item x="1028"/>
        <item x="614"/>
        <item x="453"/>
        <item x="431"/>
        <item x="309"/>
        <item x="342"/>
        <item x="804"/>
        <item x="280"/>
        <item x="109"/>
        <item x="1368"/>
        <item x="33"/>
        <item x="694"/>
        <item x="1413"/>
        <item x="1556"/>
        <item x="1442"/>
        <item x="570"/>
        <item x="572"/>
        <item x="287"/>
        <item x="590"/>
        <item x="93"/>
        <item x="218"/>
        <item x="36"/>
        <item x="996"/>
        <item x="656"/>
        <item x="1607"/>
        <item t="default"/>
      </items>
    </pivotField>
    <pivotField showAll="0"/>
    <pivotField showAll="0"/>
    <pivotField showAll="0"/>
    <pivotField axis="axisPage" multipleItemSelectionAllowed="1" showAll="0">
      <items count="43">
        <item h="1" x="1"/>
        <item h="1" x="2"/>
        <item x="0"/>
        <item h="1" x="4"/>
        <item h="1" x="25"/>
        <item h="1" x="7"/>
        <item h="1" x="20"/>
        <item h="1" x="12"/>
        <item h="1" x="14"/>
        <item h="1" x="6"/>
        <item h="1" x="21"/>
        <item h="1" x="16"/>
        <item h="1" x="38"/>
        <item h="1" x="8"/>
        <item h="1" x="31"/>
        <item h="1" x="33"/>
        <item h="1" x="5"/>
        <item h="1" x="40"/>
        <item h="1" x="13"/>
        <item h="1" x="19"/>
        <item h="1" x="39"/>
        <item h="1" x="9"/>
        <item h="1" x="15"/>
        <item h="1" x="37"/>
        <item h="1" x="17"/>
        <item h="1" x="22"/>
        <item h="1" x="30"/>
        <item h="1" x="35"/>
        <item x="10"/>
        <item h="1" x="26"/>
        <item h="1" x="34"/>
        <item h="1" x="36"/>
        <item h="1" x="32"/>
        <item h="1" x="24"/>
        <item h="1" x="27"/>
        <item h="1" x="29"/>
        <item h="1" x="28"/>
        <item h="1" x="3"/>
        <item h="1" x="11"/>
        <item h="1" x="18"/>
        <item h="1" x="23"/>
        <item h="1" x="4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6">
    <i>
      <x v="105"/>
    </i>
    <i>
      <x v="128"/>
    </i>
    <i>
      <x v="151"/>
    </i>
    <i>
      <x v="186"/>
    </i>
    <i>
      <x v="453"/>
    </i>
    <i>
      <x v="518"/>
    </i>
    <i>
      <x v="615"/>
    </i>
    <i>
      <x v="621"/>
    </i>
    <i>
      <x v="689"/>
    </i>
    <i>
      <x v="704"/>
    </i>
    <i>
      <x v="723"/>
    </i>
    <i>
      <x v="734"/>
    </i>
    <i>
      <x v="744"/>
    </i>
    <i>
      <x v="785"/>
    </i>
    <i>
      <x v="836"/>
    </i>
    <i>
      <x v="840"/>
    </i>
    <i>
      <x v="841"/>
    </i>
    <i>
      <x v="856"/>
    </i>
    <i>
      <x v="867"/>
    </i>
    <i>
      <x v="870"/>
    </i>
    <i>
      <x v="871"/>
    </i>
    <i>
      <x v="887"/>
    </i>
    <i>
      <x v="896"/>
    </i>
    <i>
      <x v="910"/>
    </i>
    <i>
      <x v="913"/>
    </i>
    <i>
      <x v="923"/>
    </i>
    <i>
      <x v="955"/>
    </i>
    <i>
      <x v="959"/>
    </i>
    <i>
      <x v="961"/>
    </i>
    <i>
      <x v="1001"/>
    </i>
    <i>
      <x v="1033"/>
    </i>
    <i>
      <x v="1050"/>
    </i>
    <i>
      <x v="1075"/>
    </i>
    <i>
      <x v="1114"/>
    </i>
    <i>
      <x v="1123"/>
    </i>
    <i t="grand">
      <x/>
    </i>
  </rowItems>
  <colItems count="1">
    <i/>
  </colItems>
  <pageFields count="1">
    <pageField fld="7" hier="-1"/>
  </pageFields>
  <dataFields count="1">
    <dataField name="Sum of amount" fld="3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xmlns:r="http://schemas.openxmlformats.org/officeDocument/2006/relationships" name="PivotTable8" cacheId="1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4:AG67" firstHeaderRow="1" firstDataRow="2" firstDataCol="2" rowPageCount="2" colPageCount="1"/>
  <pivotFields count="20">
    <pivotField showAll="0" defaultSubtotal="0"/>
    <pivotField showAll="0" defaultSubtotal="0"/>
    <pivotField axis="axisRow" compact="0" numFmtId="0" outline="0" showAll="0" defaultSubtotal="0">
      <items count="6">
        <item x="5"/>
        <item x="4"/>
        <item x="3"/>
        <item x="2"/>
        <item x="1"/>
        <item x="0"/>
      </items>
    </pivotField>
    <pivotField axis="axisRow" numFmtId="0" showAll="0" defaultSubtotal="0">
      <items count="12">
        <item x="5"/>
        <item x="4"/>
        <item x="3"/>
        <item x="2"/>
        <item x="1"/>
        <item x="0"/>
        <item x="11"/>
        <item x="10"/>
        <item x="9"/>
        <item x="8"/>
        <item x="7"/>
        <item x="6"/>
      </items>
    </pivotField>
    <pivotField numFmtId="0" showAll="0" defaultSubtotal="0"/>
    <pivotField showAll="0" defaultSubtotal="0"/>
    <pivotField dataField="1" showAll="0" defaultSubtotal="0"/>
    <pivotField axis="axisPage" multipleItemSelectionAllowed="1" showAll="0" defaultSubtotal="0">
      <items count="3">
        <item x="0"/>
        <item h="1" x="2"/>
        <item h="1" x="1"/>
      </items>
    </pivotField>
    <pivotField showAll="0" defaultSubtotal="0"/>
    <pivotField axis="axisCol" showAll="0" defaultSubtotal="0">
      <items count="34">
        <item x="10"/>
        <item x="8"/>
        <item x="23"/>
        <item x="20"/>
        <item x="3"/>
        <item x="27"/>
        <item x="31"/>
        <item x="22"/>
        <item x="4"/>
        <item x="9"/>
        <item x="19"/>
        <item x="5"/>
        <item x="30"/>
        <item x="7"/>
        <item x="13"/>
        <item x="2"/>
        <item x="12"/>
        <item x="24"/>
        <item x="21"/>
        <item x="32"/>
        <item x="25"/>
        <item x="26"/>
        <item x="15"/>
        <item x="29"/>
        <item x="33"/>
        <item x="6"/>
        <item x="0"/>
        <item x="17"/>
        <item x="14"/>
        <item x="11"/>
        <item x="16"/>
        <item x="18"/>
        <item x="28"/>
        <item x="1"/>
      </items>
    </pivotField>
    <pivotField showAll="0" defaultSubtotal="0"/>
    <pivotField axis="axisPage" multipleItemSelectionAllowed="1" showAll="0" defaultSubtotal="0">
      <items count="39">
        <item x="2"/>
        <item x="9"/>
        <item x="21"/>
        <item x="25"/>
        <item x="16"/>
        <item x="38"/>
        <item x="33"/>
        <item x="37"/>
        <item x="5"/>
        <item x="19"/>
        <item x="17"/>
        <item x="11"/>
        <item x="0"/>
        <item x="8"/>
        <item x="1"/>
        <item x="35"/>
        <item x="28"/>
        <item x="18"/>
        <item x="7"/>
        <item x="32"/>
        <item x="31"/>
        <item x="3"/>
        <item h="1" x="20"/>
        <item x="13"/>
        <item x="15"/>
        <item x="23"/>
        <item x="4"/>
        <item x="29"/>
        <item x="14"/>
        <item x="24"/>
        <item x="10"/>
        <item x="26"/>
        <item x="12"/>
        <item x="6"/>
        <item x="36"/>
        <item x="22"/>
        <item x="34"/>
        <item x="27"/>
        <item x="30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2">
    <field x="2"/>
    <field x="3"/>
  </rowFields>
  <rowItems count="62">
    <i>
      <x/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5"/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9"/>
  </colFields>
  <colItems count="3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9"/>
    </i>
    <i>
      <x v="30"/>
    </i>
    <i>
      <x v="31"/>
    </i>
    <i>
      <x v="32"/>
    </i>
    <i t="grand">
      <x/>
    </i>
  </colItems>
  <pageFields count="2">
    <pageField fld="7" hier="-1"/>
    <pageField fld="11" hier="-1"/>
  </pageFields>
  <dataFields count="1">
    <dataField name="Sum of amount" fld="6" baseField="0" baseItem="0" numFmtId="3"/>
  </dataFields>
  <pivotTableStyleInfo name="PivotStyleLight16" showRowHeaders="1" showColHeaders="1" showRowStripes="0" showColStripes="0" showLastColumn="1"/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>
    <a:spDef>
      <a:spPr bwMode="auto"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6.5"/>
  <cols>
    <col bestFit="1" min="1" max="1" width="12.25390625"/>
    <col bestFit="1" min="2" max="2" width="13.875"/>
    <col customWidth="1" min="7" max="7" width="19.125"/>
    <col customWidth="1" min="8" max="8" width="9.00390625"/>
  </cols>
  <sheetData>
    <row r="1" ht="16.5">
      <c r="A1" t="s">
        <v>0</v>
      </c>
      <c r="B1" t="s">
        <v>1</v>
      </c>
      <c r="H1" s="1"/>
    </row>
    <row r="2" ht="16.5">
      <c r="H2" s="1"/>
    </row>
    <row r="3" ht="16.5">
      <c r="A3" t="s">
        <v>2</v>
      </c>
      <c r="B3" t="s">
        <v>3</v>
      </c>
      <c r="D3" s="2" t="s">
        <v>2</v>
      </c>
      <c r="E3" s="2" t="s">
        <v>3</v>
      </c>
      <c r="G3" s="1" t="s">
        <v>2</v>
      </c>
      <c r="H3" s="1" t="s">
        <v>4</v>
      </c>
      <c r="I3" s="1" t="s">
        <v>5</v>
      </c>
      <c r="J3" s="1" t="s">
        <v>6</v>
      </c>
      <c r="K3" s="1" t="s">
        <v>7</v>
      </c>
      <c r="L3" s="1" t="s">
        <v>8</v>
      </c>
      <c r="M3" s="1" t="s">
        <v>9</v>
      </c>
      <c r="N3" s="1" t="s">
        <v>10</v>
      </c>
      <c r="O3" s="1" t="s">
        <v>11</v>
      </c>
      <c r="P3" s="1" t="s">
        <v>12</v>
      </c>
      <c r="Q3" s="1" t="s">
        <v>13</v>
      </c>
      <c r="R3" s="1" t="s">
        <v>14</v>
      </c>
      <c r="S3" s="1" t="s">
        <v>15</v>
      </c>
      <c r="T3" s="1" t="s">
        <v>16</v>
      </c>
      <c r="U3" s="1" t="s">
        <v>17</v>
      </c>
      <c r="V3" s="1" t="s">
        <v>18</v>
      </c>
      <c r="W3" s="1" t="s">
        <v>19</v>
      </c>
      <c r="X3" s="1" t="s">
        <v>20</v>
      </c>
      <c r="Y3" s="1" t="s">
        <v>21</v>
      </c>
      <c r="Z3" s="1" t="s">
        <v>22</v>
      </c>
      <c r="AA3" s="1" t="s">
        <v>23</v>
      </c>
      <c r="AB3" s="1" t="s">
        <v>24</v>
      </c>
      <c r="AC3" s="1" t="s">
        <v>25</v>
      </c>
      <c r="AD3" s="1" t="s">
        <v>26</v>
      </c>
      <c r="AE3" s="1" t="s">
        <v>27</v>
      </c>
      <c r="AF3" s="1" t="s">
        <v>28</v>
      </c>
      <c r="AG3" s="1" t="s">
        <v>29</v>
      </c>
      <c r="AH3" s="1" t="s">
        <v>30</v>
      </c>
      <c r="AI3" s="1" t="s">
        <v>31</v>
      </c>
      <c r="AJ3" s="1" t="s">
        <v>4</v>
      </c>
    </row>
    <row r="4" ht="16.5">
      <c r="A4" s="3" t="s">
        <v>32</v>
      </c>
      <c r="B4">
        <v>10000</v>
      </c>
      <c r="D4" s="4" t="s">
        <v>32</v>
      </c>
      <c r="E4" s="2">
        <v>10000</v>
      </c>
      <c r="G4" s="5">
        <v>44504</v>
      </c>
      <c r="H4" s="6">
        <v>7500</v>
      </c>
      <c r="I4" s="1"/>
      <c r="J4" s="1"/>
      <c r="K4" s="1"/>
      <c r="L4" s="1"/>
      <c r="M4" s="1">
        <v>2500</v>
      </c>
      <c r="N4" s="1"/>
      <c r="O4" s="1"/>
      <c r="P4" s="1"/>
      <c r="Q4" s="1"/>
      <c r="R4" s="1">
        <v>2500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>
        <v>2500</v>
      </c>
      <c r="AF4" s="1"/>
      <c r="AG4" s="1"/>
      <c r="AH4" s="1"/>
      <c r="AI4" s="1"/>
      <c r="AJ4" s="1">
        <v>7500</v>
      </c>
    </row>
    <row r="5" ht="16.5">
      <c r="A5" s="3" t="s">
        <v>33</v>
      </c>
      <c r="B5">
        <v>190000</v>
      </c>
      <c r="D5" s="4" t="s">
        <v>33</v>
      </c>
      <c r="E5" s="2">
        <v>190000</v>
      </c>
      <c r="G5" s="5">
        <v>44505</v>
      </c>
      <c r="H5" s="6">
        <v>2500</v>
      </c>
      <c r="I5" s="1"/>
      <c r="J5" s="1"/>
      <c r="K5" s="1"/>
      <c r="L5" s="1"/>
      <c r="M5" s="1"/>
      <c r="N5" s="1">
        <v>2500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>
        <v>2500</v>
      </c>
    </row>
    <row r="6" ht="16.5">
      <c r="A6" s="3" t="s">
        <v>34</v>
      </c>
      <c r="B6">
        <v>90000</v>
      </c>
      <c r="D6" s="4" t="s">
        <v>34</v>
      </c>
      <c r="E6" s="2">
        <v>90000</v>
      </c>
      <c r="G6" s="5">
        <v>44532</v>
      </c>
      <c r="H6" s="6">
        <v>190000</v>
      </c>
      <c r="I6" s="1"/>
      <c r="J6" s="1"/>
      <c r="K6" s="1"/>
      <c r="L6" s="1"/>
      <c r="M6" s="1">
        <v>30000</v>
      </c>
      <c r="N6" s="1">
        <v>65000</v>
      </c>
      <c r="O6" s="1"/>
      <c r="P6" s="1"/>
      <c r="Q6" s="1"/>
      <c r="R6" s="1">
        <v>65000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>
        <v>30000</v>
      </c>
      <c r="AF6" s="1"/>
      <c r="AG6" s="1"/>
      <c r="AH6" s="1"/>
      <c r="AI6" s="1"/>
      <c r="AJ6" s="1">
        <v>190000</v>
      </c>
    </row>
    <row r="7" ht="16.5">
      <c r="A7" s="3" t="s">
        <v>35</v>
      </c>
      <c r="B7">
        <v>2000</v>
      </c>
      <c r="C7" t="s">
        <v>36</v>
      </c>
      <c r="D7" s="4" t="s">
        <v>35</v>
      </c>
      <c r="E7" s="2">
        <v>2000</v>
      </c>
      <c r="G7" s="5">
        <v>44560</v>
      </c>
      <c r="H7" s="6">
        <v>90000</v>
      </c>
      <c r="I7" s="1"/>
      <c r="J7" s="1"/>
      <c r="K7" s="1"/>
      <c r="L7" s="1"/>
      <c r="M7" s="1"/>
      <c r="N7" s="1"/>
      <c r="O7" s="1">
        <v>30000</v>
      </c>
      <c r="P7" s="1"/>
      <c r="Q7" s="1">
        <v>30000</v>
      </c>
      <c r="R7" s="1"/>
      <c r="S7" s="1">
        <v>30000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>
        <v>90000</v>
      </c>
    </row>
    <row r="8" ht="16.5">
      <c r="A8" s="3" t="s">
        <v>37</v>
      </c>
      <c r="B8">
        <v>200000</v>
      </c>
      <c r="D8" s="4" t="s">
        <v>37</v>
      </c>
      <c r="E8" s="2">
        <v>200000</v>
      </c>
      <c r="G8" s="5">
        <v>44680</v>
      </c>
      <c r="H8" s="6"/>
      <c r="I8" s="1"/>
      <c r="J8" s="1"/>
      <c r="K8" s="1"/>
      <c r="L8" s="1"/>
      <c r="M8" s="1"/>
      <c r="N8" s="1"/>
      <c r="O8" s="1"/>
      <c r="P8" s="1">
        <v>200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>
        <v>200</v>
      </c>
    </row>
    <row r="9" ht="16.5">
      <c r="A9" s="3" t="s">
        <v>38</v>
      </c>
      <c r="B9">
        <v>100000</v>
      </c>
      <c r="C9" t="s">
        <v>36</v>
      </c>
      <c r="D9" s="4" t="s">
        <v>38</v>
      </c>
      <c r="E9" s="2">
        <v>100000</v>
      </c>
      <c r="G9" s="5">
        <v>44923</v>
      </c>
      <c r="H9" s="6">
        <v>150000</v>
      </c>
      <c r="I9" s="1"/>
      <c r="J9" s="1"/>
      <c r="K9" s="1"/>
      <c r="L9" s="1"/>
      <c r="M9" s="1">
        <v>100000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>
        <v>50000</v>
      </c>
      <c r="AI9" s="1"/>
      <c r="AJ9" s="1">
        <v>150000</v>
      </c>
    </row>
    <row r="10" ht="16.5">
      <c r="A10" s="3" t="s">
        <v>39</v>
      </c>
      <c r="B10">
        <v>50000</v>
      </c>
      <c r="D10" s="4" t="s">
        <v>39</v>
      </c>
      <c r="E10" s="2">
        <v>50000</v>
      </c>
      <c r="G10" s="5">
        <v>44924</v>
      </c>
      <c r="H10" s="6">
        <v>50000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>
        <v>50000</v>
      </c>
      <c r="AE10" s="1"/>
      <c r="AF10" s="1"/>
      <c r="AG10" s="1"/>
      <c r="AH10" s="1"/>
      <c r="AI10" s="1"/>
      <c r="AJ10" s="1">
        <v>50000</v>
      </c>
    </row>
    <row r="11" ht="16.5">
      <c r="A11" s="3" t="s">
        <v>40</v>
      </c>
      <c r="B11">
        <v>50000</v>
      </c>
      <c r="D11" s="4" t="s">
        <v>40</v>
      </c>
      <c r="E11" s="2">
        <v>50000</v>
      </c>
      <c r="G11" s="5">
        <v>44984</v>
      </c>
      <c r="H11" s="6"/>
      <c r="I11" s="1">
        <v>100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100</v>
      </c>
    </row>
    <row r="12" ht="16.5">
      <c r="A12" s="3" t="s">
        <v>41</v>
      </c>
      <c r="B12">
        <v>150000</v>
      </c>
      <c r="D12" s="4" t="s">
        <v>41</v>
      </c>
      <c r="E12" s="2">
        <v>150000</v>
      </c>
      <c r="G12" s="5">
        <v>45044</v>
      </c>
      <c r="H12" s="6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>
        <v>100</v>
      </c>
      <c r="AJ12" s="1">
        <v>100</v>
      </c>
    </row>
    <row r="13" ht="16.5">
      <c r="A13" s="3" t="s">
        <v>42</v>
      </c>
      <c r="B13">
        <v>100000</v>
      </c>
      <c r="C13" t="s">
        <v>36</v>
      </c>
      <c r="D13" s="4" t="s">
        <v>42</v>
      </c>
      <c r="E13" s="2">
        <v>100000</v>
      </c>
      <c r="G13" s="5">
        <v>45112</v>
      </c>
      <c r="H13" s="6">
        <v>50000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>
        <v>50000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>
        <v>50000</v>
      </c>
    </row>
    <row r="14" ht="16.5">
      <c r="A14" s="3" t="s">
        <v>43</v>
      </c>
      <c r="B14">
        <v>420000</v>
      </c>
      <c r="C14" t="s">
        <v>36</v>
      </c>
      <c r="D14" s="4" t="s">
        <v>43</v>
      </c>
      <c r="E14" s="2">
        <v>420000</v>
      </c>
      <c r="G14" s="5">
        <v>45118</v>
      </c>
      <c r="H14" s="6">
        <v>50000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>
        <v>50000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>
        <v>50000</v>
      </c>
    </row>
    <row r="15" ht="16.5">
      <c r="A15" s="3" t="s">
        <v>44</v>
      </c>
      <c r="B15">
        <v>100000</v>
      </c>
      <c r="D15" s="4" t="s">
        <v>44</v>
      </c>
      <c r="E15" s="2">
        <v>100000</v>
      </c>
      <c r="G15" s="5">
        <v>45204</v>
      </c>
      <c r="H15" s="6">
        <v>150000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>
        <v>50000</v>
      </c>
      <c r="U15" s="1">
        <v>100000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>
        <v>150000</v>
      </c>
    </row>
    <row r="16" ht="16.5">
      <c r="A16" s="3" t="s">
        <v>45</v>
      </c>
      <c r="B16">
        <v>100000</v>
      </c>
      <c r="D16" s="4" t="s">
        <v>45</v>
      </c>
      <c r="E16" s="2">
        <v>100000</v>
      </c>
      <c r="G16" s="5">
        <v>45278</v>
      </c>
      <c r="H16" s="6">
        <v>100000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>
        <v>100000</v>
      </c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>
        <v>100000</v>
      </c>
    </row>
    <row r="17" ht="16.5">
      <c r="A17" s="3" t="s">
        <v>46</v>
      </c>
      <c r="B17">
        <v>50000</v>
      </c>
      <c r="C17" t="s">
        <v>36</v>
      </c>
      <c r="D17" s="4" t="s">
        <v>46</v>
      </c>
      <c r="E17" s="2">
        <v>50000</v>
      </c>
      <c r="G17" s="5">
        <v>45362</v>
      </c>
      <c r="H17" s="6">
        <v>50000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>
        <v>50000</v>
      </c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>
        <v>50000</v>
      </c>
    </row>
    <row r="18" ht="16.5">
      <c r="A18" s="3" t="s">
        <v>47</v>
      </c>
      <c r="B18">
        <v>5000</v>
      </c>
      <c r="D18" s="4" t="s">
        <v>47</v>
      </c>
      <c r="E18" s="2">
        <v>5000</v>
      </c>
      <c r="G18" s="5">
        <v>45408</v>
      </c>
      <c r="H18" s="6"/>
      <c r="I18" s="1"/>
      <c r="J18" s="1"/>
      <c r="K18" s="1"/>
      <c r="L18" s="1"/>
      <c r="M18" s="1"/>
      <c r="N18" s="1"/>
      <c r="O18" s="1"/>
      <c r="P18" s="1">
        <v>500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>
        <v>500</v>
      </c>
    </row>
    <row r="19" ht="16.5">
      <c r="A19" s="3" t="s">
        <v>48</v>
      </c>
      <c r="B19">
        <v>101000</v>
      </c>
      <c r="D19" s="4" t="s">
        <v>48</v>
      </c>
      <c r="E19" s="2">
        <v>101000</v>
      </c>
      <c r="G19" s="5">
        <v>45460</v>
      </c>
      <c r="H19" s="6">
        <v>5000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>
        <v>5000</v>
      </c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5000</v>
      </c>
    </row>
    <row r="20" ht="16.5">
      <c r="A20" s="3" t="s">
        <v>49</v>
      </c>
      <c r="B20">
        <v>16000</v>
      </c>
      <c r="D20" s="4" t="s">
        <v>49</v>
      </c>
      <c r="E20" s="2">
        <v>16000</v>
      </c>
      <c r="G20" s="5">
        <v>45468</v>
      </c>
      <c r="H20" s="6">
        <v>101000</v>
      </c>
      <c r="I20" s="1"/>
      <c r="J20" s="1"/>
      <c r="K20" s="1"/>
      <c r="L20" s="1">
        <v>100000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>
        <v>1000</v>
      </c>
      <c r="AC20" s="1"/>
      <c r="AD20" s="1"/>
      <c r="AE20" s="1"/>
      <c r="AF20" s="1"/>
      <c r="AG20" s="1"/>
      <c r="AH20" s="1"/>
      <c r="AI20" s="1"/>
      <c r="AJ20" s="1">
        <v>101000</v>
      </c>
    </row>
    <row r="21" ht="16.5">
      <c r="A21" s="3" t="s">
        <v>50</v>
      </c>
      <c r="B21">
        <v>16000</v>
      </c>
      <c r="D21" s="3" t="s">
        <v>50</v>
      </c>
      <c r="E21" s="1">
        <v>16000</v>
      </c>
      <c r="G21" s="5">
        <v>45469</v>
      </c>
      <c r="H21" s="6">
        <v>16000</v>
      </c>
      <c r="I21" s="1"/>
      <c r="J21" s="1">
        <v>16000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>
        <v>16000</v>
      </c>
    </row>
    <row r="22" ht="16.5">
      <c r="A22" s="3" t="s">
        <v>51</v>
      </c>
      <c r="B22">
        <v>100000</v>
      </c>
      <c r="D22" s="3" t="s">
        <v>51</v>
      </c>
      <c r="E22" s="1">
        <v>100000</v>
      </c>
      <c r="G22" s="5">
        <v>45499</v>
      </c>
      <c r="H22" s="6">
        <v>16000</v>
      </c>
      <c r="I22" s="1"/>
      <c r="J22" s="1">
        <v>16000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16000</v>
      </c>
    </row>
    <row r="23" ht="16.5">
      <c r="A23" s="3" t="s">
        <v>52</v>
      </c>
      <c r="B23">
        <v>16000</v>
      </c>
      <c r="D23" s="3" t="s">
        <v>52</v>
      </c>
      <c r="E23" s="1">
        <v>16000</v>
      </c>
      <c r="G23" s="5">
        <v>45527</v>
      </c>
      <c r="H23" s="6">
        <v>100000</v>
      </c>
      <c r="I23" s="1"/>
      <c r="J23" s="1"/>
      <c r="K23" s="1"/>
      <c r="L23" s="1">
        <v>100000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>
        <v>100000</v>
      </c>
    </row>
    <row r="24" ht="16.5">
      <c r="A24" s="3" t="s">
        <v>53</v>
      </c>
      <c r="B24">
        <v>50000</v>
      </c>
      <c r="D24" s="3" t="s">
        <v>53</v>
      </c>
      <c r="E24" s="1">
        <v>50000</v>
      </c>
      <c r="G24" s="5">
        <v>45530</v>
      </c>
      <c r="H24" s="6">
        <v>16000</v>
      </c>
      <c r="I24" s="1"/>
      <c r="J24" s="1">
        <v>16000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>
        <v>16000</v>
      </c>
    </row>
    <row r="25" ht="16.5">
      <c r="A25" s="3" t="s">
        <v>54</v>
      </c>
      <c r="B25">
        <v>26000</v>
      </c>
      <c r="D25" s="3" t="s">
        <v>54</v>
      </c>
      <c r="E25" s="1">
        <v>26000</v>
      </c>
      <c r="G25" s="5">
        <v>45531</v>
      </c>
      <c r="H25" s="6">
        <v>50000</v>
      </c>
      <c r="I25" s="1"/>
      <c r="J25" s="1"/>
      <c r="K25" s="1"/>
      <c r="L25" s="1">
        <v>50000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>
        <v>50000</v>
      </c>
    </row>
    <row r="26" ht="16.5">
      <c r="A26" s="3" t="s">
        <v>55</v>
      </c>
      <c r="B26">
        <v>30000</v>
      </c>
      <c r="D26" s="3" t="s">
        <v>55</v>
      </c>
      <c r="E26" s="1">
        <v>30000</v>
      </c>
      <c r="G26" s="5">
        <v>45561</v>
      </c>
      <c r="H26" s="6">
        <v>26000</v>
      </c>
      <c r="I26" s="1"/>
      <c r="J26" s="1">
        <v>16000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>
        <v>10000</v>
      </c>
      <c r="AA26" s="1"/>
      <c r="AB26" s="1"/>
      <c r="AC26" s="1"/>
      <c r="AD26" s="1"/>
      <c r="AE26" s="1"/>
      <c r="AF26" s="1"/>
      <c r="AG26" s="1"/>
      <c r="AH26" s="1"/>
      <c r="AI26" s="1"/>
      <c r="AJ26" s="1">
        <v>26000</v>
      </c>
    </row>
    <row r="27" ht="16.5">
      <c r="A27" s="3" t="s">
        <v>56</v>
      </c>
      <c r="B27">
        <v>30000</v>
      </c>
      <c r="D27" s="3" t="s">
        <v>56</v>
      </c>
      <c r="E27" s="1">
        <v>30000</v>
      </c>
      <c r="G27" s="5">
        <v>45593</v>
      </c>
      <c r="H27" s="6">
        <v>30000</v>
      </c>
      <c r="I27" s="1"/>
      <c r="J27" s="1">
        <v>15000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>
        <v>15000</v>
      </c>
      <c r="AA27" s="1"/>
      <c r="AB27" s="1"/>
      <c r="AC27" s="1"/>
      <c r="AD27" s="1"/>
      <c r="AE27" s="1"/>
      <c r="AF27" s="1"/>
      <c r="AG27" s="1"/>
      <c r="AH27" s="1"/>
      <c r="AI27" s="1"/>
      <c r="AJ27" s="1">
        <v>30000</v>
      </c>
    </row>
    <row r="28" ht="16.5">
      <c r="A28" s="3" t="s">
        <v>57</v>
      </c>
      <c r="B28">
        <v>30000</v>
      </c>
      <c r="D28" s="3" t="s">
        <v>57</v>
      </c>
      <c r="E28" s="1">
        <v>30000</v>
      </c>
      <c r="G28" s="5">
        <v>45622</v>
      </c>
      <c r="H28" s="6">
        <v>30000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>
        <v>15000</v>
      </c>
      <c r="W28" s="1"/>
      <c r="X28" s="1"/>
      <c r="Y28" s="1"/>
      <c r="Z28" s="1">
        <v>15000</v>
      </c>
      <c r="AA28" s="1"/>
      <c r="AB28" s="1"/>
      <c r="AC28" s="1"/>
      <c r="AD28" s="1"/>
      <c r="AE28" s="1"/>
      <c r="AF28" s="1"/>
      <c r="AG28" s="1"/>
      <c r="AH28" s="1"/>
      <c r="AI28" s="1"/>
      <c r="AJ28" s="1">
        <v>30000</v>
      </c>
    </row>
    <row r="29" ht="16.5">
      <c r="A29" s="3" t="s">
        <v>58</v>
      </c>
      <c r="B29">
        <v>30000</v>
      </c>
      <c r="D29" s="3" t="s">
        <v>58</v>
      </c>
      <c r="E29" s="1">
        <v>30000</v>
      </c>
      <c r="G29" s="5">
        <v>45628</v>
      </c>
      <c r="H29" s="6">
        <v>30000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>
        <v>30000</v>
      </c>
      <c r="AA29" s="1"/>
      <c r="AB29" s="1"/>
      <c r="AC29" s="1"/>
      <c r="AD29" s="1"/>
      <c r="AE29" s="1"/>
      <c r="AF29" s="1"/>
      <c r="AG29" s="1"/>
      <c r="AH29" s="1"/>
      <c r="AI29" s="1"/>
      <c r="AJ29" s="1">
        <v>30000</v>
      </c>
    </row>
    <row r="30" ht="16.5">
      <c r="A30" s="3" t="s">
        <v>59</v>
      </c>
      <c r="B30">
        <v>50000</v>
      </c>
      <c r="D30" s="3" t="s">
        <v>59</v>
      </c>
      <c r="E30" s="1">
        <v>50000</v>
      </c>
      <c r="G30" s="5">
        <v>45650</v>
      </c>
      <c r="H30" s="6">
        <v>30000</v>
      </c>
      <c r="I30" s="1"/>
      <c r="J30" s="1"/>
      <c r="K30" s="1"/>
      <c r="L30" s="1"/>
      <c r="M30" s="1"/>
      <c r="N30" s="1"/>
      <c r="O30" s="1"/>
      <c r="P30" s="1"/>
      <c r="Q30" s="1"/>
      <c r="R30" s="1">
        <v>30000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>
        <v>30000</v>
      </c>
    </row>
    <row r="31" ht="16.5">
      <c r="A31" s="3" t="s">
        <v>60</v>
      </c>
      <c r="B31">
        <v>150000</v>
      </c>
      <c r="D31" s="3" t="s">
        <v>60</v>
      </c>
      <c r="E31" s="1">
        <v>150000</v>
      </c>
      <c r="G31" s="5">
        <v>45715</v>
      </c>
      <c r="H31" s="6">
        <v>50000</v>
      </c>
      <c r="I31" s="1"/>
      <c r="J31" s="1"/>
      <c r="K31" s="1"/>
      <c r="L31" s="1">
        <v>50000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>
        <v>50000</v>
      </c>
    </row>
    <row r="32" ht="16.5">
      <c r="A32" s="3" t="s">
        <v>61</v>
      </c>
      <c r="B32">
        <v>50000</v>
      </c>
      <c r="D32" s="3" t="s">
        <v>61</v>
      </c>
      <c r="E32" s="1">
        <v>50000</v>
      </c>
      <c r="G32" s="5">
        <v>45720</v>
      </c>
      <c r="H32" s="6">
        <v>200000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>
        <v>150000</v>
      </c>
      <c r="Y32" s="1"/>
      <c r="Z32" s="1"/>
      <c r="AA32" s="1"/>
      <c r="AB32" s="1"/>
      <c r="AC32" s="1">
        <v>50000</v>
      </c>
      <c r="AD32" s="1"/>
      <c r="AE32" s="1"/>
      <c r="AF32" s="1"/>
      <c r="AG32" s="1"/>
      <c r="AH32" s="1"/>
      <c r="AI32" s="1"/>
      <c r="AJ32" s="1">
        <v>200000</v>
      </c>
    </row>
    <row r="33" ht="16.5">
      <c r="A33" s="3" t="s">
        <v>62</v>
      </c>
      <c r="B33">
        <v>300000</v>
      </c>
      <c r="D33" s="3" t="s">
        <v>62</v>
      </c>
      <c r="E33" s="1">
        <v>300000</v>
      </c>
      <c r="G33" s="5">
        <v>45833</v>
      </c>
      <c r="H33" s="6"/>
      <c r="I33" s="1"/>
      <c r="J33" s="1"/>
      <c r="K33" s="1">
        <v>500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>
        <v>500</v>
      </c>
    </row>
    <row r="34" ht="16.5">
      <c r="A34" s="3" t="s">
        <v>63</v>
      </c>
      <c r="B34">
        <v>100000</v>
      </c>
      <c r="D34" s="3" t="s">
        <v>63</v>
      </c>
      <c r="E34" s="1">
        <v>100000</v>
      </c>
      <c r="G34" s="5">
        <v>45834</v>
      </c>
      <c r="H34" s="6">
        <v>300000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>
        <v>300000</v>
      </c>
      <c r="AH34" s="1"/>
      <c r="AI34" s="1"/>
      <c r="AJ34" s="1">
        <v>300000</v>
      </c>
    </row>
    <row r="35" ht="16.5">
      <c r="A35" s="3" t="s">
        <v>64</v>
      </c>
      <c r="B35">
        <v>100000</v>
      </c>
      <c r="D35" s="3" t="s">
        <v>64</v>
      </c>
      <c r="E35" s="1">
        <v>100000</v>
      </c>
      <c r="G35" s="5">
        <v>45838</v>
      </c>
      <c r="H35" s="6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v>100</v>
      </c>
      <c r="AB35" s="1"/>
      <c r="AC35" s="1"/>
      <c r="AD35" s="1"/>
      <c r="AE35" s="1"/>
      <c r="AF35" s="1"/>
      <c r="AG35" s="1"/>
      <c r="AH35" s="1"/>
      <c r="AI35" s="1"/>
      <c r="AJ35" s="1">
        <v>100</v>
      </c>
    </row>
    <row r="36" ht="16.5">
      <c r="A36" s="3" t="s">
        <v>65</v>
      </c>
      <c r="B36">
        <v>5000</v>
      </c>
      <c r="D36" s="3" t="s">
        <v>65</v>
      </c>
      <c r="E36" s="1">
        <v>5000</v>
      </c>
      <c r="G36" s="5">
        <v>45897</v>
      </c>
      <c r="H36" s="6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>
        <v>600</v>
      </c>
      <c r="AG36" s="1"/>
      <c r="AH36" s="1"/>
      <c r="AI36" s="1"/>
      <c r="AJ36" s="1">
        <v>600</v>
      </c>
    </row>
    <row r="37" ht="16.5">
      <c r="A37" s="3" t="s">
        <v>66</v>
      </c>
      <c r="B37">
        <v>305000</v>
      </c>
      <c r="D37" s="3" t="s">
        <v>66</v>
      </c>
      <c r="E37" s="1">
        <v>305000</v>
      </c>
      <c r="G37" s="5">
        <v>45912</v>
      </c>
      <c r="H37" s="6">
        <v>100000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100000</v>
      </c>
      <c r="AD37" s="1"/>
      <c r="AE37" s="1"/>
      <c r="AF37" s="1"/>
      <c r="AG37" s="1"/>
      <c r="AH37" s="1"/>
      <c r="AI37" s="1"/>
      <c r="AJ37" s="1">
        <v>100000</v>
      </c>
    </row>
    <row r="38" ht="16.5">
      <c r="A38" s="3" t="s">
        <v>67</v>
      </c>
      <c r="B38">
        <v>50000</v>
      </c>
      <c r="C38" t="s">
        <v>36</v>
      </c>
      <c r="D38" s="4" t="s">
        <v>67</v>
      </c>
      <c r="E38" s="2">
        <v>50000</v>
      </c>
      <c r="G38" s="5">
        <v>45964</v>
      </c>
      <c r="H38" s="6">
        <v>100000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>
        <v>100000</v>
      </c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>
        <v>100000</v>
      </c>
    </row>
    <row r="39" ht="16.5">
      <c r="A39" s="3" t="s">
        <v>4</v>
      </c>
      <c r="B39">
        <v>3172000</v>
      </c>
      <c r="G39" s="5">
        <v>46147</v>
      </c>
      <c r="H39" s="6">
        <v>305000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>
        <v>300000</v>
      </c>
      <c r="X39" s="1"/>
      <c r="Y39" s="1"/>
      <c r="Z39" s="1"/>
      <c r="AA39" s="1"/>
      <c r="AB39" s="1">
        <v>5000</v>
      </c>
      <c r="AC39" s="1"/>
      <c r="AD39" s="1"/>
      <c r="AE39" s="1"/>
      <c r="AF39" s="1"/>
      <c r="AG39" s="1"/>
      <c r="AH39" s="1"/>
      <c r="AI39" s="1"/>
      <c r="AJ39" s="1">
        <v>305000</v>
      </c>
    </row>
    <row r="40" ht="16.5">
      <c r="G40" s="5">
        <v>46198</v>
      </c>
      <c r="H40" s="6"/>
      <c r="I40" s="1"/>
      <c r="J40" s="1"/>
      <c r="K40" s="1">
        <v>100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>
        <v>100</v>
      </c>
    </row>
    <row r="41" ht="16.5">
      <c r="G41" s="5" t="s">
        <v>4</v>
      </c>
      <c r="H41" s="6">
        <f>SUM(H4:H40)</f>
        <v>2395000</v>
      </c>
      <c r="I41" s="1">
        <v>100</v>
      </c>
      <c r="J41" s="1">
        <v>79000</v>
      </c>
      <c r="K41" s="1">
        <v>600</v>
      </c>
      <c r="L41" s="1">
        <v>300000</v>
      </c>
      <c r="M41" s="1">
        <v>132500</v>
      </c>
      <c r="N41" s="1">
        <v>67500</v>
      </c>
      <c r="O41" s="1">
        <v>30000</v>
      </c>
      <c r="P41" s="1">
        <v>700</v>
      </c>
      <c r="Q41" s="1">
        <v>30000</v>
      </c>
      <c r="R41" s="1">
        <v>97500</v>
      </c>
      <c r="S41" s="1">
        <v>30000</v>
      </c>
      <c r="T41" s="1">
        <v>50000</v>
      </c>
      <c r="U41" s="1">
        <v>200000</v>
      </c>
      <c r="V41" s="1">
        <v>15000</v>
      </c>
      <c r="W41" s="1">
        <v>300000</v>
      </c>
      <c r="X41" s="1">
        <v>400000</v>
      </c>
      <c r="Y41" s="1">
        <v>5000</v>
      </c>
      <c r="Z41" s="1">
        <v>70000</v>
      </c>
      <c r="AA41" s="1">
        <v>100</v>
      </c>
      <c r="AB41" s="1">
        <v>6000</v>
      </c>
      <c r="AC41" s="1">
        <v>150000</v>
      </c>
      <c r="AD41" s="1">
        <v>50000</v>
      </c>
      <c r="AE41" s="1">
        <v>32500</v>
      </c>
      <c r="AF41" s="1">
        <v>600</v>
      </c>
      <c r="AG41" s="1">
        <v>300000</v>
      </c>
      <c r="AH41" s="1">
        <v>50000</v>
      </c>
      <c r="AI41" s="1">
        <v>100</v>
      </c>
      <c r="AJ41" s="1">
        <v>2397200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13.875"/>
    <col bestFit="1" min="2" max="2" width="6.375"/>
    <col bestFit="1" min="3" max="3" width="14.625"/>
    <col bestFit="1" min="4" max="4" width="10.375"/>
    <col bestFit="1" min="5" max="5" width="6.125"/>
    <col bestFit="1" min="6" max="6" width="13.625"/>
    <col bestFit="1" min="7" max="7" width="7.125"/>
    <col bestFit="1" min="8" max="8" width="10.50390625"/>
    <col bestFit="1" min="9" max="9" width="14.25390625"/>
    <col bestFit="1" min="10" max="10" width="10.375"/>
    <col bestFit="1" min="11" max="12" width="7.125"/>
    <col bestFit="1" min="13" max="13" width="10.625"/>
    <col bestFit="1" min="14" max="14" width="5.125"/>
    <col bestFit="1" min="15" max="15" width="9.125"/>
    <col bestFit="1" min="16" max="16" width="23.25390625"/>
    <col bestFit="1" min="17" max="17" width="7.125"/>
    <col bestFit="1" min="18" max="18" width="15.25390625"/>
    <col bestFit="1" min="19" max="19" width="8.875"/>
    <col bestFit="1" min="20" max="20" width="8.625"/>
    <col bestFit="1" min="21" max="21" width="7.625"/>
    <col bestFit="1" min="22" max="22" width="6.50390625"/>
    <col bestFit="1" min="23" max="23" width="12.50390625"/>
    <col bestFit="1" min="24" max="24" width="12.00390625"/>
    <col bestFit="1" min="25" max="25" width="19.00390625"/>
    <col bestFit="1" min="26" max="26" width="15.00390625"/>
    <col bestFit="1" min="27" max="27" width="9.50390625"/>
    <col bestFit="1" min="28" max="29" width="7.125"/>
    <col bestFit="1" min="30" max="30" width="9.25390625"/>
    <col bestFit="1" min="31" max="31" width="7.125"/>
    <col bestFit="1" min="32" max="32" width="6.125"/>
    <col bestFit="1" min="33" max="33" width="10.75390625"/>
  </cols>
  <sheetData>
    <row r="1">
      <c r="A1" t="s">
        <v>68</v>
      </c>
      <c r="B1" t="s">
        <v>69</v>
      </c>
    </row>
    <row r="2">
      <c r="A2" t="s">
        <v>70</v>
      </c>
      <c r="B2" t="s">
        <v>1</v>
      </c>
    </row>
    <row r="4">
      <c r="A4" t="s">
        <v>3</v>
      </c>
      <c r="C4" t="s">
        <v>71</v>
      </c>
    </row>
    <row r="5">
      <c r="A5" t="s">
        <v>2</v>
      </c>
      <c r="B5" t="s">
        <v>72</v>
      </c>
      <c r="C5" t="s">
        <v>73</v>
      </c>
      <c r="D5" t="s">
        <v>74</v>
      </c>
      <c r="E5" t="s">
        <v>75</v>
      </c>
      <c r="F5" t="s">
        <v>76</v>
      </c>
      <c r="G5" t="s">
        <v>77</v>
      </c>
      <c r="H5" t="s">
        <v>78</v>
      </c>
      <c r="I5" t="s">
        <v>79</v>
      </c>
      <c r="J5" t="s">
        <v>80</v>
      </c>
      <c r="K5" t="s">
        <v>81</v>
      </c>
      <c r="L5" t="s">
        <v>82</v>
      </c>
      <c r="M5" t="s">
        <v>83</v>
      </c>
      <c r="N5" t="s">
        <v>84</v>
      </c>
      <c r="O5" t="s">
        <v>85</v>
      </c>
      <c r="P5" t="s">
        <v>86</v>
      </c>
      <c r="Q5" t="s">
        <v>87</v>
      </c>
      <c r="R5" t="s">
        <v>88</v>
      </c>
      <c r="S5" t="s">
        <v>89</v>
      </c>
      <c r="T5" t="s">
        <v>90</v>
      </c>
      <c r="U5" t="s">
        <v>91</v>
      </c>
      <c r="V5" t="s">
        <v>92</v>
      </c>
      <c r="W5" t="s">
        <v>93</v>
      </c>
      <c r="X5" t="s">
        <v>94</v>
      </c>
      <c r="Y5" t="s">
        <v>95</v>
      </c>
      <c r="Z5" t="s">
        <v>96</v>
      </c>
      <c r="AA5" t="s">
        <v>97</v>
      </c>
      <c r="AB5" t="s">
        <v>98</v>
      </c>
      <c r="AC5" t="s">
        <v>99</v>
      </c>
      <c r="AD5" t="s">
        <v>100</v>
      </c>
      <c r="AE5" t="s">
        <v>101</v>
      </c>
      <c r="AF5" t="s">
        <v>102</v>
      </c>
      <c r="AG5" t="s">
        <v>4</v>
      </c>
    </row>
    <row r="6">
      <c r="A6" s="3">
        <v>2021</v>
      </c>
      <c r="B6" s="3">
        <v>6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>
        <v>2522</v>
      </c>
      <c r="AC6" s="7"/>
      <c r="AD6" s="7"/>
      <c r="AE6" s="7"/>
      <c r="AF6" s="7"/>
      <c r="AG6" s="7">
        <v>2522</v>
      </c>
    </row>
    <row r="7">
      <c r="B7" s="3">
        <v>7</v>
      </c>
      <c r="C7" s="7"/>
      <c r="D7" s="7"/>
      <c r="E7" s="7"/>
      <c r="F7" s="7">
        <v>167.22999999999999</v>
      </c>
      <c r="G7" s="7">
        <v>1415.1700000000001</v>
      </c>
      <c r="H7" s="7"/>
      <c r="I7" s="7"/>
      <c r="J7" s="7">
        <v>4000</v>
      </c>
      <c r="K7" s="7"/>
      <c r="L7" s="7"/>
      <c r="M7" s="7">
        <v>118</v>
      </c>
      <c r="N7" s="7"/>
      <c r="O7" s="7"/>
      <c r="P7" s="7">
        <v>733.87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>
        <v>83337.600000000006</v>
      </c>
      <c r="AC7" s="7"/>
      <c r="AD7" s="7"/>
      <c r="AE7" s="7"/>
      <c r="AF7" s="7"/>
      <c r="AG7" s="7">
        <v>89771.869999999995</v>
      </c>
    </row>
    <row r="8">
      <c r="B8" s="3">
        <v>8</v>
      </c>
      <c r="C8" s="7"/>
      <c r="D8" s="7">
        <v>767</v>
      </c>
      <c r="E8" s="7"/>
      <c r="F8" s="7">
        <v>167.22999999999999</v>
      </c>
      <c r="G8" s="7"/>
      <c r="H8" s="7"/>
      <c r="I8" s="7"/>
      <c r="J8" s="7">
        <v>7148</v>
      </c>
      <c r="K8" s="7">
        <v>180</v>
      </c>
      <c r="L8" s="7"/>
      <c r="M8" s="7">
        <v>1178.75</v>
      </c>
      <c r="N8" s="7"/>
      <c r="O8" s="7"/>
      <c r="P8" s="7">
        <v>733.87</v>
      </c>
      <c r="Q8" s="7"/>
      <c r="R8" s="7"/>
      <c r="S8" s="7"/>
      <c r="T8" s="7"/>
      <c r="U8" s="7"/>
      <c r="V8" s="7">
        <v>1047</v>
      </c>
      <c r="W8" s="7">
        <v>2466.9899999999998</v>
      </c>
      <c r="X8" s="7"/>
      <c r="Y8" s="7">
        <v>1421</v>
      </c>
      <c r="Z8" s="7">
        <v>918.89999999999998</v>
      </c>
      <c r="AA8" s="7">
        <v>2895</v>
      </c>
      <c r="AB8" s="7">
        <v>23854.700000000001</v>
      </c>
      <c r="AC8" s="7"/>
      <c r="AD8" s="7"/>
      <c r="AE8" s="7"/>
      <c r="AF8" s="7"/>
      <c r="AG8" s="7">
        <v>42778.440000000002</v>
      </c>
    </row>
    <row r="9">
      <c r="B9" s="3">
        <v>9</v>
      </c>
      <c r="C9" s="7"/>
      <c r="D9" s="7">
        <v>700</v>
      </c>
      <c r="E9" s="7">
        <v>1507</v>
      </c>
      <c r="F9" s="7">
        <v>154.47999999999999</v>
      </c>
      <c r="G9" s="7">
        <v>2027.53</v>
      </c>
      <c r="H9" s="7">
        <v>2038</v>
      </c>
      <c r="I9" s="7"/>
      <c r="J9" s="7">
        <v>5912</v>
      </c>
      <c r="K9" s="7"/>
      <c r="L9" s="7"/>
      <c r="M9" s="7">
        <v>340</v>
      </c>
      <c r="N9" s="7"/>
      <c r="O9" s="7"/>
      <c r="P9" s="7">
        <v>688.60000000000002</v>
      </c>
      <c r="Q9" s="7"/>
      <c r="R9" s="7"/>
      <c r="S9" s="7"/>
      <c r="T9" s="7"/>
      <c r="U9" s="7"/>
      <c r="V9" s="7"/>
      <c r="W9" s="7"/>
      <c r="X9" s="7"/>
      <c r="Y9" s="7">
        <v>419</v>
      </c>
      <c r="Z9" s="7"/>
      <c r="AA9" s="7"/>
      <c r="AB9" s="7">
        <v>32342.700000000001</v>
      </c>
      <c r="AC9" s="7"/>
      <c r="AD9" s="7">
        <v>263</v>
      </c>
      <c r="AE9" s="7"/>
      <c r="AF9" s="7"/>
      <c r="AG9" s="7">
        <v>46392.310000000005</v>
      </c>
    </row>
    <row r="10">
      <c r="B10" s="3">
        <v>10</v>
      </c>
      <c r="C10" s="7"/>
      <c r="D10" s="7">
        <v>1783</v>
      </c>
      <c r="E10" s="7">
        <v>1239</v>
      </c>
      <c r="F10" s="7">
        <v>137.34999999999999</v>
      </c>
      <c r="G10" s="7"/>
      <c r="H10" s="7"/>
      <c r="I10" s="7"/>
      <c r="J10" s="7">
        <v>42800</v>
      </c>
      <c r="K10" s="7">
        <v>829</v>
      </c>
      <c r="L10" s="7"/>
      <c r="M10" s="7">
        <v>2209</v>
      </c>
      <c r="N10" s="7"/>
      <c r="O10" s="7"/>
      <c r="P10" s="7">
        <v>622.13999999999999</v>
      </c>
      <c r="Q10" s="7"/>
      <c r="R10" s="7"/>
      <c r="S10" s="7"/>
      <c r="T10" s="7"/>
      <c r="U10" s="7"/>
      <c r="V10" s="7">
        <v>205</v>
      </c>
      <c r="W10" s="7"/>
      <c r="X10" s="7">
        <v>2798.9900000000002</v>
      </c>
      <c r="Y10" s="7">
        <v>459</v>
      </c>
      <c r="Z10" s="7"/>
      <c r="AA10" s="7">
        <v>1184</v>
      </c>
      <c r="AB10" s="7">
        <v>22589.700000000001</v>
      </c>
      <c r="AC10" s="7"/>
      <c r="AD10" s="7"/>
      <c r="AE10" s="7"/>
      <c r="AF10" s="7"/>
      <c r="AG10" s="7">
        <v>76856.180000000008</v>
      </c>
    </row>
    <row r="11">
      <c r="B11" s="3">
        <v>11</v>
      </c>
      <c r="C11" s="7"/>
      <c r="D11" s="7">
        <v>1094</v>
      </c>
      <c r="E11" s="7"/>
      <c r="F11" s="7">
        <v>139.34999999999999</v>
      </c>
      <c r="G11" s="7">
        <v>3242.9400000000001</v>
      </c>
      <c r="H11" s="7">
        <v>401.75</v>
      </c>
      <c r="I11" s="7"/>
      <c r="J11" s="7">
        <v>17770</v>
      </c>
      <c r="K11" s="7"/>
      <c r="L11" s="7"/>
      <c r="M11" s="7">
        <v>2388</v>
      </c>
      <c r="N11" s="7">
        <v>850</v>
      </c>
      <c r="O11" s="7"/>
      <c r="P11" s="7">
        <v>641.42999999999995</v>
      </c>
      <c r="Q11" s="7"/>
      <c r="R11" s="7"/>
      <c r="S11" s="7"/>
      <c r="T11" s="7"/>
      <c r="U11" s="7"/>
      <c r="V11" s="7"/>
      <c r="W11" s="7"/>
      <c r="X11" s="7">
        <v>876.87</v>
      </c>
      <c r="Y11" s="7">
        <v>419</v>
      </c>
      <c r="Z11" s="7">
        <v>768.58000000000004</v>
      </c>
      <c r="AA11" s="7"/>
      <c r="AB11" s="7">
        <v>10720.200000000001</v>
      </c>
      <c r="AC11" s="7"/>
      <c r="AD11" s="7"/>
      <c r="AE11" s="7">
        <v>12115.52</v>
      </c>
      <c r="AF11" s="7"/>
      <c r="AG11" s="7">
        <v>51427.640000000007</v>
      </c>
    </row>
    <row r="12">
      <c r="B12" s="3">
        <v>12</v>
      </c>
      <c r="C12" s="7"/>
      <c r="D12" s="7">
        <v>14985</v>
      </c>
      <c r="E12" s="7">
        <v>428</v>
      </c>
      <c r="F12" s="7">
        <v>167.22999999999999</v>
      </c>
      <c r="G12" s="7">
        <v>1105.47</v>
      </c>
      <c r="H12" s="7">
        <v>834</v>
      </c>
      <c r="I12" s="7"/>
      <c r="J12" s="7">
        <v>7670</v>
      </c>
      <c r="K12" s="7"/>
      <c r="L12" s="7"/>
      <c r="M12" s="7">
        <v>1846</v>
      </c>
      <c r="N12" s="7"/>
      <c r="O12" s="7"/>
      <c r="P12" s="7">
        <v>733.87</v>
      </c>
      <c r="Q12" s="7"/>
      <c r="R12" s="7"/>
      <c r="S12" s="7"/>
      <c r="T12" s="7"/>
      <c r="U12" s="7"/>
      <c r="V12" s="7"/>
      <c r="W12" s="7"/>
      <c r="X12" s="7">
        <v>12608.02</v>
      </c>
      <c r="Y12" s="7">
        <v>419</v>
      </c>
      <c r="Z12" s="7"/>
      <c r="AA12" s="7">
        <v>9618.5599999999995</v>
      </c>
      <c r="AB12" s="7">
        <v>5360.1999999999998</v>
      </c>
      <c r="AC12" s="7"/>
      <c r="AD12" s="7">
        <v>4118</v>
      </c>
      <c r="AE12" s="7"/>
      <c r="AF12" s="7"/>
      <c r="AG12" s="7">
        <v>59893.349999999999</v>
      </c>
    </row>
    <row r="13">
      <c r="A13" s="3">
        <v>2022</v>
      </c>
      <c r="B13" s="3">
        <v>1</v>
      </c>
      <c r="C13" s="7"/>
      <c r="D13" s="7"/>
      <c r="E13" s="7">
        <v>311</v>
      </c>
      <c r="F13" s="7">
        <v>133.88</v>
      </c>
      <c r="G13" s="7">
        <v>4511.6800000000003</v>
      </c>
      <c r="H13" s="7">
        <v>9222</v>
      </c>
      <c r="I13" s="7"/>
      <c r="J13" s="7">
        <v>30004.93</v>
      </c>
      <c r="K13" s="7">
        <v>590</v>
      </c>
      <c r="L13" s="7"/>
      <c r="M13" s="7">
        <v>3179</v>
      </c>
      <c r="N13" s="7"/>
      <c r="O13" s="7"/>
      <c r="P13" s="7">
        <v>637.12</v>
      </c>
      <c r="Q13" s="7">
        <v>736</v>
      </c>
      <c r="R13" s="7"/>
      <c r="S13" s="7"/>
      <c r="T13" s="7"/>
      <c r="U13" s="7">
        <v>600</v>
      </c>
      <c r="V13" s="7"/>
      <c r="W13" s="7">
        <v>4000</v>
      </c>
      <c r="X13" s="7">
        <v>1391.5799999999999</v>
      </c>
      <c r="Y13" s="7">
        <v>419</v>
      </c>
      <c r="Z13" s="7"/>
      <c r="AA13" s="7">
        <v>2904</v>
      </c>
      <c r="AB13" s="7">
        <v>4687.9200000000001</v>
      </c>
      <c r="AC13" s="7"/>
      <c r="AD13" s="7"/>
      <c r="AE13" s="7"/>
      <c r="AF13" s="7"/>
      <c r="AG13" s="7">
        <v>63328.110000000001</v>
      </c>
    </row>
    <row r="14">
      <c r="B14" s="3">
        <v>2</v>
      </c>
      <c r="C14" s="7"/>
      <c r="D14" s="7">
        <v>5313</v>
      </c>
      <c r="E14" s="7"/>
      <c r="F14" s="7">
        <v>122.41</v>
      </c>
      <c r="G14" s="7">
        <v>4367.3999999999996</v>
      </c>
      <c r="H14" s="7">
        <v>4708.6999999999998</v>
      </c>
      <c r="I14" s="7">
        <v>15254</v>
      </c>
      <c r="J14" s="7">
        <v>7070</v>
      </c>
      <c r="K14" s="7"/>
      <c r="L14" s="7"/>
      <c r="M14" s="7">
        <v>1952.5</v>
      </c>
      <c r="N14" s="7"/>
      <c r="O14" s="7"/>
      <c r="P14" s="7">
        <v>592.63</v>
      </c>
      <c r="Q14" s="7">
        <v>2135</v>
      </c>
      <c r="R14" s="7"/>
      <c r="S14" s="7"/>
      <c r="T14" s="7"/>
      <c r="U14" s="7"/>
      <c r="V14" s="7">
        <v>133</v>
      </c>
      <c r="W14" s="7"/>
      <c r="X14" s="7"/>
      <c r="Y14" s="7">
        <v>419</v>
      </c>
      <c r="Z14" s="7"/>
      <c r="AA14" s="7"/>
      <c r="AB14" s="7">
        <v>3214.52</v>
      </c>
      <c r="AC14" s="7">
        <v>7588.4700000000003</v>
      </c>
      <c r="AD14" s="7"/>
      <c r="AE14" s="7"/>
      <c r="AF14" s="7"/>
      <c r="AG14" s="7">
        <v>52870.629999999997</v>
      </c>
    </row>
    <row r="15">
      <c r="B15" s="3">
        <v>3</v>
      </c>
      <c r="C15" s="7"/>
      <c r="D15" s="7">
        <v>2071</v>
      </c>
      <c r="E15" s="7"/>
      <c r="F15" s="7">
        <v>141.25999999999999</v>
      </c>
      <c r="G15" s="7">
        <v>4294.3000000000002</v>
      </c>
      <c r="H15" s="7">
        <v>3635.6599999999999</v>
      </c>
      <c r="I15" s="7"/>
      <c r="J15" s="7">
        <v>17030.48</v>
      </c>
      <c r="K15" s="7"/>
      <c r="L15" s="7"/>
      <c r="M15" s="7">
        <v>796</v>
      </c>
      <c r="N15" s="7"/>
      <c r="O15" s="7"/>
      <c r="P15" s="7">
        <v>696.09000000000003</v>
      </c>
      <c r="Q15" s="7">
        <v>3758</v>
      </c>
      <c r="R15" s="7"/>
      <c r="S15" s="7"/>
      <c r="T15" s="7"/>
      <c r="U15" s="7"/>
      <c r="V15" s="7"/>
      <c r="W15" s="7">
        <v>7500</v>
      </c>
      <c r="X15" s="7">
        <v>2524</v>
      </c>
      <c r="Y15" s="7">
        <v>419</v>
      </c>
      <c r="Z15" s="7"/>
      <c r="AA15" s="7">
        <v>300</v>
      </c>
      <c r="AB15" s="7">
        <v>6988.0500000000002</v>
      </c>
      <c r="AC15" s="7">
        <v>28792.259999999998</v>
      </c>
      <c r="AD15" s="7">
        <v>1330</v>
      </c>
      <c r="AE15" s="7"/>
      <c r="AF15" s="7"/>
      <c r="AG15" s="7">
        <v>80276.099999999991</v>
      </c>
    </row>
    <row r="16">
      <c r="B16" s="3">
        <v>4</v>
      </c>
      <c r="C16" s="7"/>
      <c r="D16" s="7">
        <v>1060</v>
      </c>
      <c r="E16" s="7">
        <v>6477.75</v>
      </c>
      <c r="F16" s="7">
        <v>121.48999999999999</v>
      </c>
      <c r="G16" s="7">
        <v>4461.1999999999998</v>
      </c>
      <c r="H16" s="7">
        <v>3635.6599999999999</v>
      </c>
      <c r="I16" s="7"/>
      <c r="J16" s="7">
        <v>2798.46</v>
      </c>
      <c r="K16" s="7">
        <v>105</v>
      </c>
      <c r="L16" s="7"/>
      <c r="M16" s="7">
        <v>3032.54</v>
      </c>
      <c r="N16" s="7"/>
      <c r="O16" s="7"/>
      <c r="P16" s="7">
        <v>609.63</v>
      </c>
      <c r="Q16" s="7">
        <v>790</v>
      </c>
      <c r="R16" s="7"/>
      <c r="S16" s="7"/>
      <c r="T16" s="7"/>
      <c r="U16" s="7"/>
      <c r="V16" s="7"/>
      <c r="W16" s="7"/>
      <c r="X16" s="7"/>
      <c r="Y16" s="7">
        <v>419</v>
      </c>
      <c r="Z16" s="7"/>
      <c r="AA16" s="7">
        <v>702</v>
      </c>
      <c r="AB16" s="7">
        <v>3768.3200000000002</v>
      </c>
      <c r="AC16" s="7"/>
      <c r="AD16" s="7"/>
      <c r="AE16" s="7"/>
      <c r="AF16" s="7"/>
      <c r="AG16" s="7">
        <v>27981.050000000003</v>
      </c>
    </row>
    <row r="17">
      <c r="B17" s="3">
        <v>5</v>
      </c>
      <c r="C17" s="7"/>
      <c r="D17" s="7"/>
      <c r="E17" s="7">
        <v>695</v>
      </c>
      <c r="F17" s="7">
        <v>122.95</v>
      </c>
      <c r="G17" s="7">
        <v>4320.1199999999999</v>
      </c>
      <c r="H17" s="7">
        <v>4445.6599999999999</v>
      </c>
      <c r="I17" s="7">
        <v>122</v>
      </c>
      <c r="J17" s="7">
        <v>1574.46</v>
      </c>
      <c r="K17" s="7"/>
      <c r="L17" s="7"/>
      <c r="M17" s="7">
        <v>2793</v>
      </c>
      <c r="N17" s="7"/>
      <c r="O17" s="7"/>
      <c r="P17" s="7">
        <v>628.49000000000001</v>
      </c>
      <c r="Q17" s="7"/>
      <c r="R17" s="7"/>
      <c r="S17" s="7"/>
      <c r="T17" s="7"/>
      <c r="U17" s="7"/>
      <c r="V17" s="7">
        <v>76</v>
      </c>
      <c r="W17" s="7"/>
      <c r="X17" s="7">
        <v>2879</v>
      </c>
      <c r="Y17" s="7">
        <v>419</v>
      </c>
      <c r="Z17" s="7"/>
      <c r="AA17" s="7"/>
      <c r="AB17" s="7">
        <v>5999.6199999999999</v>
      </c>
      <c r="AC17" s="7">
        <v>416.25999999999999</v>
      </c>
      <c r="AD17" s="7">
        <v>1500</v>
      </c>
      <c r="AE17" s="7"/>
      <c r="AF17" s="7"/>
      <c r="AG17" s="7">
        <v>25991.560000000001</v>
      </c>
    </row>
    <row r="18">
      <c r="B18" s="3">
        <v>6</v>
      </c>
      <c r="C18" s="7"/>
      <c r="D18" s="7"/>
      <c r="E18" s="7"/>
      <c r="F18" s="7">
        <v>128.22999999999999</v>
      </c>
      <c r="G18" s="7">
        <v>4350</v>
      </c>
      <c r="H18" s="7">
        <v>3635.6599999999999</v>
      </c>
      <c r="I18" s="7"/>
      <c r="J18" s="7">
        <v>8136.5</v>
      </c>
      <c r="K18" s="7"/>
      <c r="L18" s="7"/>
      <c r="M18" s="7">
        <v>1267</v>
      </c>
      <c r="N18" s="7">
        <v>1560</v>
      </c>
      <c r="O18" s="7"/>
      <c r="P18" s="7">
        <v>668.09000000000003</v>
      </c>
      <c r="Q18" s="7">
        <v>5112.04</v>
      </c>
      <c r="R18" s="7"/>
      <c r="S18" s="7"/>
      <c r="T18" s="7"/>
      <c r="U18" s="7"/>
      <c r="V18" s="7"/>
      <c r="W18" s="7"/>
      <c r="X18" s="7">
        <v>459</v>
      </c>
      <c r="Y18" s="7">
        <v>919</v>
      </c>
      <c r="Z18" s="7"/>
      <c r="AA18" s="7">
        <v>100</v>
      </c>
      <c r="AB18" s="7">
        <v>3059.27</v>
      </c>
      <c r="AC18" s="7">
        <v>4062.7199999999998</v>
      </c>
      <c r="AD18" s="7">
        <v>4532</v>
      </c>
      <c r="AE18" s="7"/>
      <c r="AF18" s="7"/>
      <c r="AG18" s="7">
        <v>37989.509999999995</v>
      </c>
    </row>
    <row r="19">
      <c r="B19" s="3">
        <v>7</v>
      </c>
      <c r="C19" s="7"/>
      <c r="D19" s="7"/>
      <c r="E19" s="7"/>
      <c r="F19" s="7">
        <v>97.900000000000006</v>
      </c>
      <c r="G19" s="7">
        <v>4412.8800000000001</v>
      </c>
      <c r="H19" s="7">
        <v>3635.6599999999999</v>
      </c>
      <c r="I19" s="7"/>
      <c r="J19" s="7">
        <v>5135</v>
      </c>
      <c r="K19" s="7">
        <v>598</v>
      </c>
      <c r="L19" s="7"/>
      <c r="M19" s="7">
        <v>3198</v>
      </c>
      <c r="N19" s="7"/>
      <c r="O19" s="7"/>
      <c r="P19" s="7">
        <v>520.14999999999998</v>
      </c>
      <c r="Q19" s="7">
        <v>260</v>
      </c>
      <c r="R19" s="7"/>
      <c r="S19" s="7"/>
      <c r="T19" s="7"/>
      <c r="U19" s="7"/>
      <c r="V19" s="7"/>
      <c r="W19" s="7"/>
      <c r="X19" s="7"/>
      <c r="Y19" s="7">
        <v>773</v>
      </c>
      <c r="Z19" s="7"/>
      <c r="AA19" s="7"/>
      <c r="AB19" s="7">
        <v>14660.809999999999</v>
      </c>
      <c r="AC19" s="7">
        <v>505.38999999999999</v>
      </c>
      <c r="AD19" s="7">
        <v>2337</v>
      </c>
      <c r="AE19" s="7"/>
      <c r="AF19" s="7"/>
      <c r="AG19" s="7">
        <v>36133.790000000001</v>
      </c>
    </row>
    <row r="20">
      <c r="B20" s="3">
        <v>8</v>
      </c>
      <c r="C20" s="7"/>
      <c r="D20" s="7"/>
      <c r="E20" s="7"/>
      <c r="F20" s="7">
        <v>133.87</v>
      </c>
      <c r="G20" s="7">
        <v>4172.8699999999999</v>
      </c>
      <c r="H20" s="7"/>
      <c r="I20" s="7"/>
      <c r="J20" s="7">
        <v>13289</v>
      </c>
      <c r="K20" s="7"/>
      <c r="L20" s="7"/>
      <c r="M20" s="7">
        <v>4314</v>
      </c>
      <c r="N20" s="7"/>
      <c r="O20" s="7"/>
      <c r="P20" s="7">
        <v>725.69000000000005</v>
      </c>
      <c r="Q20" s="7"/>
      <c r="R20" s="7"/>
      <c r="S20" s="7"/>
      <c r="T20" s="7"/>
      <c r="U20" s="7"/>
      <c r="V20" s="7"/>
      <c r="W20" s="7"/>
      <c r="X20" s="7">
        <v>24480.189999999999</v>
      </c>
      <c r="Y20" s="7">
        <v>419</v>
      </c>
      <c r="Z20" s="7"/>
      <c r="AA20" s="7">
        <v>1654</v>
      </c>
      <c r="AB20" s="7">
        <v>1011.75</v>
      </c>
      <c r="AC20" s="7">
        <v>505.93000000000001</v>
      </c>
      <c r="AD20" s="7">
        <v>5154.8500000000004</v>
      </c>
      <c r="AE20" s="7"/>
      <c r="AF20" s="7">
        <v>354.93000000000001</v>
      </c>
      <c r="AG20" s="7">
        <v>56216.079999999994</v>
      </c>
    </row>
    <row r="21">
      <c r="B21" s="3">
        <v>9</v>
      </c>
      <c r="C21" s="7"/>
      <c r="D21" s="7">
        <v>4365</v>
      </c>
      <c r="E21" s="7"/>
      <c r="F21" s="7">
        <v>119.48</v>
      </c>
      <c r="G21" s="7">
        <v>4504</v>
      </c>
      <c r="H21" s="7"/>
      <c r="I21" s="7">
        <v>165</v>
      </c>
      <c r="J21" s="7">
        <v>5180</v>
      </c>
      <c r="K21" s="7"/>
      <c r="L21" s="7"/>
      <c r="M21" s="7">
        <v>3944</v>
      </c>
      <c r="N21" s="7"/>
      <c r="O21" s="7"/>
      <c r="P21" s="7">
        <v>661.19000000000005</v>
      </c>
      <c r="Q21" s="7">
        <v>830.26999999999998</v>
      </c>
      <c r="R21" s="7"/>
      <c r="S21" s="7"/>
      <c r="T21" s="7"/>
      <c r="U21" s="7"/>
      <c r="V21" s="7"/>
      <c r="W21" s="7">
        <v>20000</v>
      </c>
      <c r="X21" s="7">
        <v>401</v>
      </c>
      <c r="Y21" s="7">
        <v>419</v>
      </c>
      <c r="Z21" s="7"/>
      <c r="AA21" s="7">
        <v>1462</v>
      </c>
      <c r="AB21" s="7">
        <v>49236.760000000002</v>
      </c>
      <c r="AC21" s="7">
        <v>505.93000000000001</v>
      </c>
      <c r="AD21" s="7">
        <v>1196</v>
      </c>
      <c r="AE21" s="7"/>
      <c r="AF21" s="7">
        <v>354.93000000000001</v>
      </c>
      <c r="AG21" s="7">
        <v>93344.559999999983</v>
      </c>
    </row>
    <row r="22">
      <c r="B22" s="3">
        <v>10</v>
      </c>
      <c r="C22" s="7"/>
      <c r="D22" s="7"/>
      <c r="E22" s="7">
        <v>880</v>
      </c>
      <c r="F22" s="7">
        <v>105.64</v>
      </c>
      <c r="G22" s="7">
        <v>4398.7700000000004</v>
      </c>
      <c r="H22" s="7"/>
      <c r="I22" s="7"/>
      <c r="J22" s="7">
        <v>448.63999999999999</v>
      </c>
      <c r="K22" s="7">
        <v>2078</v>
      </c>
      <c r="L22" s="7"/>
      <c r="M22" s="7">
        <v>2635</v>
      </c>
      <c r="N22" s="7"/>
      <c r="O22" s="7"/>
      <c r="P22" s="7">
        <v>597.12</v>
      </c>
      <c r="Q22" s="7"/>
      <c r="R22" s="7"/>
      <c r="S22" s="7"/>
      <c r="T22" s="7"/>
      <c r="U22" s="7"/>
      <c r="V22" s="7"/>
      <c r="W22" s="7"/>
      <c r="X22" s="7"/>
      <c r="Y22" s="7">
        <v>838</v>
      </c>
      <c r="Z22" s="7"/>
      <c r="AA22" s="7"/>
      <c r="AB22" s="7">
        <v>4049</v>
      </c>
      <c r="AC22" s="7">
        <v>505.93000000000001</v>
      </c>
      <c r="AD22" s="7">
        <v>5000</v>
      </c>
      <c r="AE22" s="7">
        <v>71779.550000000003</v>
      </c>
      <c r="AF22" s="7"/>
      <c r="AG22" s="7">
        <v>93315.650000000009</v>
      </c>
    </row>
    <row r="23">
      <c r="B23" s="3">
        <v>11</v>
      </c>
      <c r="C23" s="7">
        <v>399</v>
      </c>
      <c r="D23" s="7"/>
      <c r="E23" s="7"/>
      <c r="F23" s="7">
        <v>106.54000000000001</v>
      </c>
      <c r="G23" s="7">
        <v>4294.54</v>
      </c>
      <c r="H23" s="7"/>
      <c r="I23" s="7"/>
      <c r="J23" s="7">
        <v>5564.7399999999998</v>
      </c>
      <c r="K23" s="7">
        <v>1910</v>
      </c>
      <c r="L23" s="7"/>
      <c r="M23" s="7">
        <v>3111</v>
      </c>
      <c r="N23" s="7"/>
      <c r="O23" s="7"/>
      <c r="P23" s="7">
        <v>615.36000000000001</v>
      </c>
      <c r="Q23" s="7"/>
      <c r="R23" s="7"/>
      <c r="S23" s="7"/>
      <c r="T23" s="7"/>
      <c r="U23" s="7"/>
      <c r="V23" s="7">
        <v>180</v>
      </c>
      <c r="W23" s="7"/>
      <c r="X23" s="7"/>
      <c r="Y23" s="7">
        <v>419</v>
      </c>
      <c r="Z23" s="7"/>
      <c r="AA23" s="7">
        <v>3294</v>
      </c>
      <c r="AB23" s="7">
        <v>23073.809999999998</v>
      </c>
      <c r="AC23" s="7">
        <v>505.93000000000001</v>
      </c>
      <c r="AD23" s="7">
        <v>600</v>
      </c>
      <c r="AE23" s="7"/>
      <c r="AF23" s="7"/>
      <c r="AG23" s="7">
        <v>44073.919999999998</v>
      </c>
    </row>
    <row r="24">
      <c r="B24" s="3">
        <v>12</v>
      </c>
      <c r="C24" s="7">
        <v>1700</v>
      </c>
      <c r="D24" s="7">
        <v>1452</v>
      </c>
      <c r="E24" s="7"/>
      <c r="F24" s="7">
        <v>110.73</v>
      </c>
      <c r="G24" s="7">
        <v>4323.3500000000004</v>
      </c>
      <c r="H24" s="7"/>
      <c r="I24" s="7"/>
      <c r="J24" s="7">
        <v>384</v>
      </c>
      <c r="K24" s="7"/>
      <c r="L24" s="7"/>
      <c r="M24" s="7">
        <v>3436</v>
      </c>
      <c r="N24" s="7"/>
      <c r="O24" s="7"/>
      <c r="P24" s="7">
        <v>653.88999999999999</v>
      </c>
      <c r="Q24" s="7"/>
      <c r="R24" s="7"/>
      <c r="S24" s="7"/>
      <c r="T24" s="7"/>
      <c r="U24" s="7"/>
      <c r="V24" s="7"/>
      <c r="W24" s="7">
        <v>2000</v>
      </c>
      <c r="X24" s="7"/>
      <c r="Y24" s="7">
        <v>419</v>
      </c>
      <c r="Z24" s="7"/>
      <c r="AA24" s="7">
        <v>225</v>
      </c>
      <c r="AB24" s="7">
        <v>3791</v>
      </c>
      <c r="AC24" s="7">
        <v>505.93000000000001</v>
      </c>
      <c r="AD24" s="7">
        <v>2908</v>
      </c>
      <c r="AE24" s="7"/>
      <c r="AF24" s="7"/>
      <c r="AG24" s="7">
        <v>21908.900000000001</v>
      </c>
    </row>
    <row r="25">
      <c r="A25" s="3">
        <v>2023</v>
      </c>
      <c r="B25" s="3">
        <v>1</v>
      </c>
      <c r="C25" s="7"/>
      <c r="D25" s="7">
        <v>4767</v>
      </c>
      <c r="E25" s="7">
        <v>1214</v>
      </c>
      <c r="F25" s="7">
        <v>247.08000000000001</v>
      </c>
      <c r="G25" s="7">
        <v>4885</v>
      </c>
      <c r="H25" s="7"/>
      <c r="I25" s="7"/>
      <c r="J25" s="7">
        <v>10727</v>
      </c>
      <c r="K25" s="7"/>
      <c r="L25" s="7"/>
      <c r="M25" s="7">
        <v>3757</v>
      </c>
      <c r="N25" s="7"/>
      <c r="O25" s="7"/>
      <c r="P25" s="7">
        <v>1492.78</v>
      </c>
      <c r="Q25" s="7">
        <v>3849</v>
      </c>
      <c r="R25" s="7"/>
      <c r="S25" s="7"/>
      <c r="T25" s="7"/>
      <c r="U25" s="7"/>
      <c r="V25" s="7"/>
      <c r="W25" s="7"/>
      <c r="X25" s="7"/>
      <c r="Y25" s="7">
        <v>105</v>
      </c>
      <c r="Z25" s="7"/>
      <c r="AA25" s="7">
        <v>990</v>
      </c>
      <c r="AB25" s="7">
        <v>5122</v>
      </c>
      <c r="AC25" s="7">
        <v>201.34</v>
      </c>
      <c r="AD25" s="7">
        <v>600</v>
      </c>
      <c r="AE25" s="7"/>
      <c r="AF25" s="7"/>
      <c r="AG25" s="7">
        <v>37957.199999999997</v>
      </c>
    </row>
    <row r="26">
      <c r="B26" s="3">
        <v>2</v>
      </c>
      <c r="C26" s="7"/>
      <c r="D26" s="7">
        <v>6581</v>
      </c>
      <c r="E26" s="7"/>
      <c r="F26" s="7">
        <v>224.37</v>
      </c>
      <c r="G26" s="7">
        <v>5628.5200000000004</v>
      </c>
      <c r="H26" s="7"/>
      <c r="I26" s="7"/>
      <c r="J26" s="7">
        <v>2538</v>
      </c>
      <c r="K26" s="7"/>
      <c r="L26" s="7"/>
      <c r="M26" s="7">
        <v>5836</v>
      </c>
      <c r="N26" s="7"/>
      <c r="O26" s="7"/>
      <c r="P26" s="7">
        <v>1387.9100000000001</v>
      </c>
      <c r="Q26" s="7">
        <v>724</v>
      </c>
      <c r="R26" s="7"/>
      <c r="S26" s="7"/>
      <c r="T26" s="7"/>
      <c r="U26" s="7"/>
      <c r="V26" s="7"/>
      <c r="W26" s="7"/>
      <c r="X26" s="7">
        <v>8.9100000000000001</v>
      </c>
      <c r="Y26" s="7">
        <v>773</v>
      </c>
      <c r="Z26" s="7"/>
      <c r="AA26" s="7">
        <v>2798</v>
      </c>
      <c r="AB26" s="7">
        <v>20336</v>
      </c>
      <c r="AC26" s="7">
        <v>22237.849999999999</v>
      </c>
      <c r="AD26" s="7"/>
      <c r="AE26" s="7">
        <v>8900</v>
      </c>
      <c r="AF26" s="7"/>
      <c r="AG26" s="7">
        <v>77973.559999999998</v>
      </c>
    </row>
    <row r="27">
      <c r="B27" s="3">
        <v>3</v>
      </c>
      <c r="C27" s="7">
        <v>189</v>
      </c>
      <c r="D27" s="7">
        <v>8327</v>
      </c>
      <c r="E27" s="7">
        <v>480</v>
      </c>
      <c r="F27" s="7">
        <v>257.07999999999998</v>
      </c>
      <c r="G27" s="7">
        <v>5502.5299999999997</v>
      </c>
      <c r="H27" s="7"/>
      <c r="I27" s="7"/>
      <c r="J27" s="7">
        <v>10230</v>
      </c>
      <c r="K27" s="7">
        <v>200</v>
      </c>
      <c r="L27" s="7"/>
      <c r="M27" s="7">
        <v>3385</v>
      </c>
      <c r="N27" s="7"/>
      <c r="O27" s="7"/>
      <c r="P27" s="7">
        <v>1629.46</v>
      </c>
      <c r="Q27" s="7">
        <v>2352</v>
      </c>
      <c r="R27" s="7"/>
      <c r="S27" s="7"/>
      <c r="T27" s="7"/>
      <c r="U27" s="7"/>
      <c r="V27" s="7"/>
      <c r="W27" s="7"/>
      <c r="X27" s="7"/>
      <c r="Y27" s="7">
        <v>838</v>
      </c>
      <c r="Z27" s="7"/>
      <c r="AA27" s="7"/>
      <c r="AB27" s="7">
        <v>4745</v>
      </c>
      <c r="AC27" s="7">
        <v>1027</v>
      </c>
      <c r="AD27" s="7">
        <v>1267</v>
      </c>
      <c r="AE27" s="7"/>
      <c r="AF27" s="7">
        <v>950</v>
      </c>
      <c r="AG27" s="7">
        <v>41379.07</v>
      </c>
    </row>
    <row r="28">
      <c r="B28" s="3">
        <v>4</v>
      </c>
      <c r="C28" s="7">
        <v>239</v>
      </c>
      <c r="D28" s="7">
        <v>2217</v>
      </c>
      <c r="E28" s="7">
        <v>1215</v>
      </c>
      <c r="F28" s="7">
        <v>353.94999999999999</v>
      </c>
      <c r="G28" s="7">
        <v>5793.3599999999997</v>
      </c>
      <c r="H28" s="7"/>
      <c r="I28" s="7"/>
      <c r="J28" s="7">
        <v>13088.860000000001</v>
      </c>
      <c r="K28" s="7">
        <v>582</v>
      </c>
      <c r="L28" s="7"/>
      <c r="M28" s="7">
        <v>7481</v>
      </c>
      <c r="N28" s="7"/>
      <c r="O28" s="7"/>
      <c r="P28" s="7">
        <v>2300.5999999999999</v>
      </c>
      <c r="Q28" s="7">
        <v>565</v>
      </c>
      <c r="R28" s="7"/>
      <c r="S28" s="7"/>
      <c r="T28" s="7"/>
      <c r="U28" s="7"/>
      <c r="V28" s="7"/>
      <c r="W28" s="7"/>
      <c r="X28" s="7">
        <v>315.64999999999998</v>
      </c>
      <c r="Y28" s="7">
        <v>1011.35</v>
      </c>
      <c r="Z28" s="7"/>
      <c r="AA28" s="7">
        <v>757</v>
      </c>
      <c r="AB28" s="7">
        <v>4467</v>
      </c>
      <c r="AC28" s="7">
        <v>100979.03</v>
      </c>
      <c r="AD28" s="7">
        <v>300</v>
      </c>
      <c r="AE28" s="7"/>
      <c r="AF28" s="7"/>
      <c r="AG28" s="7">
        <v>141665.80000000002</v>
      </c>
    </row>
    <row r="29">
      <c r="B29" s="3">
        <v>5</v>
      </c>
      <c r="C29" s="7"/>
      <c r="D29" s="7"/>
      <c r="E29" s="7"/>
      <c r="F29" s="7">
        <v>380.33999999999997</v>
      </c>
      <c r="G29" s="7">
        <v>6347.5299999999997</v>
      </c>
      <c r="H29" s="7"/>
      <c r="I29" s="7"/>
      <c r="J29" s="7"/>
      <c r="K29" s="7">
        <v>199</v>
      </c>
      <c r="L29" s="7"/>
      <c r="M29" s="7">
        <v>4066</v>
      </c>
      <c r="N29" s="7"/>
      <c r="O29" s="7"/>
      <c r="P29" s="7">
        <v>2537.21</v>
      </c>
      <c r="Q29" s="7">
        <v>1536.25</v>
      </c>
      <c r="R29" s="7"/>
      <c r="S29" s="7"/>
      <c r="T29" s="7"/>
      <c r="U29" s="7"/>
      <c r="V29" s="7"/>
      <c r="W29" s="7"/>
      <c r="X29" s="7"/>
      <c r="Y29" s="7">
        <v>419</v>
      </c>
      <c r="Z29" s="7"/>
      <c r="AA29" s="7"/>
      <c r="AB29" s="7">
        <v>3263</v>
      </c>
      <c r="AC29" s="7">
        <v>1027.03</v>
      </c>
      <c r="AD29" s="7">
        <v>700</v>
      </c>
      <c r="AE29" s="7"/>
      <c r="AF29" s="7"/>
      <c r="AG29" s="7">
        <v>20475.359999999997</v>
      </c>
    </row>
    <row r="30">
      <c r="B30" s="3">
        <v>6</v>
      </c>
      <c r="C30" s="7"/>
      <c r="D30" s="7">
        <v>207</v>
      </c>
      <c r="E30" s="7"/>
      <c r="F30" s="7">
        <v>380.69999999999999</v>
      </c>
      <c r="G30" s="7">
        <v>6608</v>
      </c>
      <c r="H30" s="7">
        <v>1015</v>
      </c>
      <c r="I30" s="7"/>
      <c r="J30" s="7">
        <v>7349</v>
      </c>
      <c r="K30" s="7">
        <v>200</v>
      </c>
      <c r="L30" s="7"/>
      <c r="M30" s="7">
        <v>11298.370000000001</v>
      </c>
      <c r="N30" s="7"/>
      <c r="O30" s="7"/>
      <c r="P30" s="7">
        <v>2608.8499999999999</v>
      </c>
      <c r="Q30" s="7"/>
      <c r="R30" s="7"/>
      <c r="S30" s="7"/>
      <c r="T30" s="7"/>
      <c r="U30" s="7"/>
      <c r="V30" s="7"/>
      <c r="W30" s="7"/>
      <c r="X30" s="7"/>
      <c r="Y30" s="7">
        <v>419</v>
      </c>
      <c r="Z30" s="7"/>
      <c r="AA30" s="7"/>
      <c r="AB30" s="7">
        <v>3224.6700000000001</v>
      </c>
      <c r="AC30" s="7">
        <v>7837.1000000000004</v>
      </c>
      <c r="AD30" s="7">
        <v>3300</v>
      </c>
      <c r="AE30" s="7">
        <v>38170.349999999999</v>
      </c>
      <c r="AF30" s="7">
        <v>8269</v>
      </c>
      <c r="AG30" s="7">
        <v>90887.039999999994</v>
      </c>
    </row>
    <row r="31">
      <c r="B31" s="3">
        <v>7</v>
      </c>
      <c r="C31" s="7"/>
      <c r="D31" s="7">
        <v>2175</v>
      </c>
      <c r="E31" s="7"/>
      <c r="F31" s="7">
        <v>257.07999999999998</v>
      </c>
      <c r="G31" s="7">
        <v>6689</v>
      </c>
      <c r="H31" s="7"/>
      <c r="I31" s="7"/>
      <c r="J31" s="7">
        <v>10368</v>
      </c>
      <c r="K31" s="7">
        <v>992</v>
      </c>
      <c r="L31" s="7"/>
      <c r="M31" s="7">
        <v>3184</v>
      </c>
      <c r="N31" s="7"/>
      <c r="O31" s="7"/>
      <c r="P31" s="7">
        <v>1629.46</v>
      </c>
      <c r="Q31" s="7"/>
      <c r="R31" s="7"/>
      <c r="S31" s="7"/>
      <c r="T31" s="7"/>
      <c r="U31" s="7"/>
      <c r="V31" s="7"/>
      <c r="W31" s="7">
        <v>2000</v>
      </c>
      <c r="X31" s="7">
        <v>3664.6399999999999</v>
      </c>
      <c r="Y31" s="7">
        <v>1138</v>
      </c>
      <c r="Z31" s="7"/>
      <c r="AA31" s="7">
        <v>329</v>
      </c>
      <c r="AB31" s="7">
        <v>5659.4099999999999</v>
      </c>
      <c r="AC31" s="7">
        <v>1027.03</v>
      </c>
      <c r="AD31" s="7">
        <v>300</v>
      </c>
      <c r="AE31" s="7"/>
      <c r="AF31" s="7"/>
      <c r="AG31" s="7">
        <v>39412.620000000003</v>
      </c>
    </row>
    <row r="32">
      <c r="B32" s="3">
        <v>8</v>
      </c>
      <c r="C32" s="7">
        <v>529</v>
      </c>
      <c r="D32" s="7">
        <v>185</v>
      </c>
      <c r="E32" s="7">
        <v>285</v>
      </c>
      <c r="F32" s="7">
        <v>490</v>
      </c>
      <c r="G32" s="7">
        <v>6945</v>
      </c>
      <c r="H32" s="7"/>
      <c r="I32" s="7"/>
      <c r="J32" s="7">
        <v>137973.75</v>
      </c>
      <c r="K32" s="7">
        <v>402</v>
      </c>
      <c r="L32" s="7"/>
      <c r="M32" s="7">
        <v>4124</v>
      </c>
      <c r="N32" s="7"/>
      <c r="O32" s="7"/>
      <c r="P32" s="7">
        <v>3554.7199999999998</v>
      </c>
      <c r="Q32" s="7"/>
      <c r="R32" s="7"/>
      <c r="S32" s="7"/>
      <c r="T32" s="7"/>
      <c r="U32" s="7"/>
      <c r="V32" s="7"/>
      <c r="W32" s="7">
        <v>2000</v>
      </c>
      <c r="X32" s="7">
        <v>1.05</v>
      </c>
      <c r="Y32" s="7">
        <v>1019</v>
      </c>
      <c r="Z32" s="7"/>
      <c r="AA32" s="7"/>
      <c r="AB32" s="7">
        <v>944</v>
      </c>
      <c r="AC32" s="7">
        <v>1027.03</v>
      </c>
      <c r="AD32" s="7">
        <v>505</v>
      </c>
      <c r="AE32" s="7"/>
      <c r="AF32" s="7"/>
      <c r="AG32" s="7">
        <v>159984.54999999999</v>
      </c>
    </row>
    <row r="33">
      <c r="B33" s="3">
        <v>9</v>
      </c>
      <c r="C33" s="7">
        <v>25.859999999999999</v>
      </c>
      <c r="D33" s="7"/>
      <c r="E33" s="7"/>
      <c r="F33" s="7">
        <v>404.08999999999997</v>
      </c>
      <c r="G33" s="7">
        <v>7600.6099999999997</v>
      </c>
      <c r="H33" s="7"/>
      <c r="I33" s="7"/>
      <c r="J33" s="7">
        <v>30820</v>
      </c>
      <c r="K33" s="7"/>
      <c r="L33" s="7"/>
      <c r="M33" s="7">
        <v>7540.6500000000005</v>
      </c>
      <c r="N33" s="7"/>
      <c r="O33" s="7"/>
      <c r="P33" s="7">
        <v>3020.02</v>
      </c>
      <c r="Q33" s="7"/>
      <c r="R33" s="7"/>
      <c r="S33" s="7"/>
      <c r="T33" s="7"/>
      <c r="U33" s="7"/>
      <c r="V33" s="7"/>
      <c r="W33" s="7"/>
      <c r="X33" s="7">
        <v>1974.98</v>
      </c>
      <c r="Y33" s="7">
        <v>838</v>
      </c>
      <c r="Z33" s="7"/>
      <c r="AA33" s="7"/>
      <c r="AB33" s="7">
        <v>16160.289999999999</v>
      </c>
      <c r="AC33" s="7">
        <v>1027.03</v>
      </c>
      <c r="AD33" s="7">
        <v>300</v>
      </c>
      <c r="AE33" s="7"/>
      <c r="AF33" s="7"/>
      <c r="AG33" s="7">
        <v>69711.529999999984</v>
      </c>
    </row>
    <row r="34">
      <c r="B34" s="3">
        <v>10</v>
      </c>
      <c r="C34" s="7">
        <v>719</v>
      </c>
      <c r="D34" s="7">
        <v>950</v>
      </c>
      <c r="E34" s="7">
        <v>1349</v>
      </c>
      <c r="F34" s="7">
        <v>403</v>
      </c>
      <c r="G34" s="7">
        <v>7036.71</v>
      </c>
      <c r="H34" s="7">
        <v>591</v>
      </c>
      <c r="I34" s="7"/>
      <c r="J34" s="7">
        <v>22293</v>
      </c>
      <c r="K34" s="7"/>
      <c r="L34" s="7"/>
      <c r="M34" s="7">
        <v>9184.3199999999997</v>
      </c>
      <c r="N34" s="7"/>
      <c r="O34" s="7"/>
      <c r="P34" s="7">
        <v>3111.79</v>
      </c>
      <c r="Q34" s="7">
        <v>1763.1500000000001</v>
      </c>
      <c r="R34" s="7"/>
      <c r="S34" s="7"/>
      <c r="T34" s="7"/>
      <c r="U34" s="7"/>
      <c r="V34" s="7">
        <v>64</v>
      </c>
      <c r="W34" s="7">
        <v>1080</v>
      </c>
      <c r="X34" s="7">
        <v>122318.987729</v>
      </c>
      <c r="Y34" s="7">
        <v>419</v>
      </c>
      <c r="Z34" s="7"/>
      <c r="AA34" s="7">
        <v>347</v>
      </c>
      <c r="AB34" s="7">
        <v>4389</v>
      </c>
      <c r="AC34" s="7">
        <v>1027.03</v>
      </c>
      <c r="AD34" s="7">
        <v>300</v>
      </c>
      <c r="AE34" s="7"/>
      <c r="AF34" s="7"/>
      <c r="AG34" s="7">
        <v>177345.98772899999</v>
      </c>
    </row>
    <row r="35">
      <c r="B35" s="3">
        <v>11</v>
      </c>
      <c r="C35" s="7"/>
      <c r="D35" s="7">
        <v>8247</v>
      </c>
      <c r="E35" s="7"/>
      <c r="F35" s="7">
        <v>415</v>
      </c>
      <c r="G35" s="7">
        <v>7137</v>
      </c>
      <c r="H35" s="7"/>
      <c r="I35" s="7"/>
      <c r="J35" s="7">
        <v>51588.93</v>
      </c>
      <c r="K35" s="7"/>
      <c r="L35" s="7"/>
      <c r="M35" s="7">
        <v>379</v>
      </c>
      <c r="N35" s="7"/>
      <c r="O35" s="7"/>
      <c r="P35" s="7">
        <v>3305</v>
      </c>
      <c r="Q35" s="7"/>
      <c r="R35" s="7"/>
      <c r="S35" s="7"/>
      <c r="T35" s="7"/>
      <c r="U35" s="7"/>
      <c r="V35" s="7"/>
      <c r="W35" s="7"/>
      <c r="X35" s="7"/>
      <c r="Y35" s="7">
        <v>838</v>
      </c>
      <c r="Z35" s="7"/>
      <c r="AA35" s="7"/>
      <c r="AB35" s="7">
        <v>400</v>
      </c>
      <c r="AC35" s="7">
        <v>1027.03</v>
      </c>
      <c r="AD35" s="7">
        <v>900</v>
      </c>
      <c r="AE35" s="7"/>
      <c r="AF35" s="7"/>
      <c r="AG35" s="7">
        <v>74236.959999999992</v>
      </c>
    </row>
    <row r="36">
      <c r="B36" s="3">
        <v>12</v>
      </c>
      <c r="C36" s="7"/>
      <c r="D36" s="7"/>
      <c r="E36" s="7">
        <v>545</v>
      </c>
      <c r="F36" s="7">
        <v>349.75</v>
      </c>
      <c r="G36" s="7">
        <v>7374</v>
      </c>
      <c r="H36" s="7"/>
      <c r="I36" s="7"/>
      <c r="J36" s="7">
        <v>29151.200000000001</v>
      </c>
      <c r="K36" s="7">
        <v>2653</v>
      </c>
      <c r="L36" s="7"/>
      <c r="M36" s="7">
        <v>5378</v>
      </c>
      <c r="N36" s="7"/>
      <c r="O36" s="7"/>
      <c r="P36" s="7">
        <v>2879.4499999999998</v>
      </c>
      <c r="Q36" s="7"/>
      <c r="R36" s="7"/>
      <c r="S36" s="7"/>
      <c r="T36" s="7"/>
      <c r="U36" s="7"/>
      <c r="V36" s="7"/>
      <c r="W36" s="7"/>
      <c r="X36" s="7"/>
      <c r="Y36" s="7">
        <v>419</v>
      </c>
      <c r="Z36" s="7"/>
      <c r="AA36" s="7"/>
      <c r="AB36" s="7">
        <v>1227</v>
      </c>
      <c r="AC36" s="7">
        <v>1027.03</v>
      </c>
      <c r="AD36" s="7">
        <v>3662</v>
      </c>
      <c r="AE36" s="7"/>
      <c r="AF36" s="7"/>
      <c r="AG36" s="7">
        <v>54665.429999999993</v>
      </c>
    </row>
    <row r="37">
      <c r="A37" s="3">
        <v>2024</v>
      </c>
      <c r="B37" s="3">
        <v>1</v>
      </c>
      <c r="C37" s="7">
        <v>3858</v>
      </c>
      <c r="D37" s="7">
        <v>3287</v>
      </c>
      <c r="E37" s="7">
        <v>482</v>
      </c>
      <c r="F37" s="7">
        <v>433</v>
      </c>
      <c r="G37" s="7">
        <v>7398.4300000000003</v>
      </c>
      <c r="H37" s="7"/>
      <c r="I37" s="7"/>
      <c r="J37" s="7">
        <v>5761.9300000000003</v>
      </c>
      <c r="K37" s="7"/>
      <c r="L37" s="7"/>
      <c r="M37" s="7">
        <v>4900.8000000000002</v>
      </c>
      <c r="N37" s="7"/>
      <c r="O37" s="7"/>
      <c r="P37" s="7">
        <v>3694</v>
      </c>
      <c r="Q37" s="7">
        <v>17500</v>
      </c>
      <c r="R37" s="7"/>
      <c r="S37" s="7"/>
      <c r="T37" s="7"/>
      <c r="U37" s="7"/>
      <c r="V37" s="7"/>
      <c r="W37" s="7"/>
      <c r="X37" s="7">
        <v>4610.0999999999995</v>
      </c>
      <c r="Y37" s="7">
        <v>419</v>
      </c>
      <c r="Z37" s="7"/>
      <c r="AA37" s="7"/>
      <c r="AB37" s="7">
        <v>25970.620000000003</v>
      </c>
      <c r="AC37" s="7">
        <v>556.92999999999995</v>
      </c>
      <c r="AD37" s="7"/>
      <c r="AE37" s="7"/>
      <c r="AF37" s="7"/>
      <c r="AG37" s="7">
        <v>78871.809999999998</v>
      </c>
    </row>
    <row r="38">
      <c r="B38" s="3">
        <v>2</v>
      </c>
      <c r="C38" s="7"/>
      <c r="D38" s="7">
        <v>2333</v>
      </c>
      <c r="E38" s="7">
        <v>2447</v>
      </c>
      <c r="F38" s="7">
        <v>365.29000000000002</v>
      </c>
      <c r="G38" s="7">
        <v>8219.3299999999999</v>
      </c>
      <c r="H38" s="7"/>
      <c r="I38" s="7"/>
      <c r="J38" s="7">
        <v>15355.02</v>
      </c>
      <c r="K38" s="7"/>
      <c r="L38" s="7"/>
      <c r="M38" s="7">
        <v>4593</v>
      </c>
      <c r="N38" s="7"/>
      <c r="O38" s="7"/>
      <c r="P38" s="7">
        <v>3230.1500000000001</v>
      </c>
      <c r="Q38" s="7">
        <v>18000</v>
      </c>
      <c r="R38" s="7"/>
      <c r="S38" s="7"/>
      <c r="T38" s="7"/>
      <c r="U38" s="7"/>
      <c r="V38" s="7"/>
      <c r="W38" s="7"/>
      <c r="X38" s="7"/>
      <c r="Y38" s="7">
        <v>419</v>
      </c>
      <c r="Z38" s="7"/>
      <c r="AA38" s="7">
        <v>1322</v>
      </c>
      <c r="AB38" s="7">
        <v>1691</v>
      </c>
      <c r="AC38" s="7">
        <v>21944.939999999999</v>
      </c>
      <c r="AD38" s="7">
        <v>2300</v>
      </c>
      <c r="AE38" s="7"/>
      <c r="AF38" s="7"/>
      <c r="AG38" s="7">
        <v>82219.729999999996</v>
      </c>
    </row>
    <row r="39">
      <c r="B39" s="3">
        <v>3</v>
      </c>
      <c r="C39" s="7">
        <v>220</v>
      </c>
      <c r="D39" s="7"/>
      <c r="E39" s="7"/>
      <c r="F39" s="7">
        <v>400.06</v>
      </c>
      <c r="G39" s="7">
        <v>207735</v>
      </c>
      <c r="H39" s="7"/>
      <c r="I39" s="7"/>
      <c r="J39" s="7">
        <v>11748.860000000001</v>
      </c>
      <c r="K39" s="7"/>
      <c r="L39" s="7"/>
      <c r="M39" s="7">
        <v>8678</v>
      </c>
      <c r="N39" s="7"/>
      <c r="O39" s="7"/>
      <c r="P39" s="7">
        <v>3675.5</v>
      </c>
      <c r="Q39" s="7">
        <v>18000</v>
      </c>
      <c r="R39" s="7"/>
      <c r="S39" s="7"/>
      <c r="T39" s="7"/>
      <c r="U39" s="7"/>
      <c r="V39" s="7"/>
      <c r="W39" s="7"/>
      <c r="X39" s="7"/>
      <c r="Y39" s="7">
        <v>1390.3299999999999</v>
      </c>
      <c r="Z39" s="7"/>
      <c r="AA39" s="7">
        <v>4721</v>
      </c>
      <c r="AB39" s="7"/>
      <c r="AC39" s="7">
        <v>31033.189999999999</v>
      </c>
      <c r="AD39" s="7">
        <v>1882</v>
      </c>
      <c r="AE39" s="7">
        <v>44955</v>
      </c>
      <c r="AF39" s="7">
        <v>1016.5</v>
      </c>
      <c r="AG39" s="7">
        <v>335455.44</v>
      </c>
    </row>
    <row r="40">
      <c r="B40" s="3">
        <v>4</v>
      </c>
      <c r="C40" s="7">
        <v>1305</v>
      </c>
      <c r="D40" s="7"/>
      <c r="E40" s="7">
        <v>1069</v>
      </c>
      <c r="F40" s="7">
        <v>358.73000000000002</v>
      </c>
      <c r="G40" s="7">
        <v>15497.719999999999</v>
      </c>
      <c r="H40" s="7"/>
      <c r="I40" s="7"/>
      <c r="J40" s="7">
        <v>19234</v>
      </c>
      <c r="K40" s="7">
        <v>961</v>
      </c>
      <c r="L40" s="7"/>
      <c r="M40" s="7">
        <v>6913</v>
      </c>
      <c r="N40" s="7"/>
      <c r="O40" s="7"/>
      <c r="P40" s="7">
        <v>3430.6900000000001</v>
      </c>
      <c r="Q40" s="7">
        <v>17819.93</v>
      </c>
      <c r="R40" s="7"/>
      <c r="S40" s="7"/>
      <c r="T40" s="7"/>
      <c r="U40" s="7"/>
      <c r="V40" s="7"/>
      <c r="W40" s="7"/>
      <c r="X40" s="7"/>
      <c r="Y40" s="7">
        <v>917</v>
      </c>
      <c r="Z40" s="7"/>
      <c r="AA40" s="7">
        <v>540</v>
      </c>
      <c r="AB40" s="7">
        <v>919</v>
      </c>
      <c r="AC40" s="7">
        <v>1572.1800000000001</v>
      </c>
      <c r="AD40" s="7">
        <v>554</v>
      </c>
      <c r="AE40" s="7"/>
      <c r="AF40" s="7"/>
      <c r="AG40" s="7">
        <v>71091.25</v>
      </c>
    </row>
    <row r="41">
      <c r="B41" s="3">
        <v>5</v>
      </c>
      <c r="C41" s="7"/>
      <c r="D41" s="7"/>
      <c r="E41" s="7"/>
      <c r="F41" s="7">
        <v>376.63999999999999</v>
      </c>
      <c r="G41" s="7"/>
      <c r="H41" s="7"/>
      <c r="I41" s="7"/>
      <c r="J41" s="7">
        <v>54220</v>
      </c>
      <c r="K41" s="7"/>
      <c r="L41" s="7"/>
      <c r="M41" s="7">
        <v>8397.4900000000016</v>
      </c>
      <c r="N41" s="7"/>
      <c r="O41" s="7">
        <v>2466.3100000000004</v>
      </c>
      <c r="P41" s="7">
        <v>3757.1599999999999</v>
      </c>
      <c r="Q41" s="7">
        <v>18023</v>
      </c>
      <c r="R41" s="7"/>
      <c r="S41" s="7"/>
      <c r="T41" s="7"/>
      <c r="U41" s="7"/>
      <c r="V41" s="7"/>
      <c r="W41" s="7"/>
      <c r="X41" s="7"/>
      <c r="Y41" s="7"/>
      <c r="Z41" s="7"/>
      <c r="AA41" s="7"/>
      <c r="AB41" s="7">
        <v>234.66</v>
      </c>
      <c r="AC41" s="7">
        <v>1572.1900000000001</v>
      </c>
      <c r="AD41" s="7"/>
      <c r="AE41" s="7">
        <v>18929.77</v>
      </c>
      <c r="AF41" s="7">
        <v>2410.4000000000001</v>
      </c>
      <c r="AG41" s="7">
        <v>110387.62000000001</v>
      </c>
    </row>
    <row r="42">
      <c r="B42" s="3">
        <v>6</v>
      </c>
      <c r="C42" s="7"/>
      <c r="D42" s="7"/>
      <c r="E42" s="7"/>
      <c r="F42" s="7">
        <v>304.32999999999998</v>
      </c>
      <c r="G42" s="7">
        <v>7686</v>
      </c>
      <c r="H42" s="7">
        <v>2031</v>
      </c>
      <c r="I42" s="7"/>
      <c r="J42" s="7">
        <v>320</v>
      </c>
      <c r="K42" s="7"/>
      <c r="L42" s="7"/>
      <c r="M42" s="7">
        <v>3804</v>
      </c>
      <c r="N42" s="7"/>
      <c r="O42" s="7">
        <v>5986</v>
      </c>
      <c r="P42" s="7">
        <v>3173</v>
      </c>
      <c r="Q42" s="7">
        <v>17500</v>
      </c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>
        <v>71768</v>
      </c>
      <c r="AD42" s="7">
        <v>661</v>
      </c>
      <c r="AE42" s="7"/>
      <c r="AF42" s="7"/>
      <c r="AG42" s="7">
        <v>113233.33</v>
      </c>
    </row>
    <row r="43">
      <c r="B43" s="3">
        <v>7</v>
      </c>
      <c r="C43" s="7"/>
      <c r="D43" s="7"/>
      <c r="E43" s="7"/>
      <c r="F43" s="7">
        <v>309.74000000000001</v>
      </c>
      <c r="G43" s="7">
        <v>14523.130000000001</v>
      </c>
      <c r="H43" s="7"/>
      <c r="I43" s="7"/>
      <c r="J43" s="7">
        <v>10345</v>
      </c>
      <c r="K43" s="7"/>
      <c r="L43" s="7"/>
      <c r="M43" s="7">
        <v>6353</v>
      </c>
      <c r="N43" s="7"/>
      <c r="O43" s="7">
        <v>2550</v>
      </c>
      <c r="P43" s="7">
        <v>3385.4200000000001</v>
      </c>
      <c r="Q43" s="7">
        <v>17500</v>
      </c>
      <c r="R43" s="7"/>
      <c r="S43" s="7"/>
      <c r="T43" s="7"/>
      <c r="U43" s="7"/>
      <c r="V43" s="7"/>
      <c r="W43" s="7"/>
      <c r="X43" s="7">
        <v>6398.9899999999998</v>
      </c>
      <c r="Y43" s="7"/>
      <c r="Z43" s="7"/>
      <c r="AA43" s="7">
        <v>300</v>
      </c>
      <c r="AB43" s="7">
        <v>1750</v>
      </c>
      <c r="AC43" s="7">
        <v>1976.78</v>
      </c>
      <c r="AD43" s="7"/>
      <c r="AE43" s="7"/>
      <c r="AF43" s="7"/>
      <c r="AG43" s="7">
        <v>65392.059999999998</v>
      </c>
    </row>
    <row r="44">
      <c r="B44" s="3">
        <v>8</v>
      </c>
      <c r="C44" s="7"/>
      <c r="D44" s="7"/>
      <c r="E44" s="7"/>
      <c r="F44" s="7">
        <v>322.75</v>
      </c>
      <c r="G44" s="7"/>
      <c r="H44" s="7"/>
      <c r="I44" s="7"/>
      <c r="J44" s="7">
        <v>23050.669999999998</v>
      </c>
      <c r="K44" s="7"/>
      <c r="L44" s="7"/>
      <c r="M44" s="7">
        <v>8685</v>
      </c>
      <c r="N44" s="7"/>
      <c r="O44" s="7">
        <v>870</v>
      </c>
      <c r="P44" s="7">
        <v>3707.3600000000001</v>
      </c>
      <c r="Q44" s="7">
        <v>24969</v>
      </c>
      <c r="R44" s="7"/>
      <c r="S44" s="7"/>
      <c r="T44" s="7"/>
      <c r="U44" s="7"/>
      <c r="V44" s="7">
        <v>300</v>
      </c>
      <c r="W44" s="7">
        <v>1000</v>
      </c>
      <c r="X44" s="7"/>
      <c r="Y44" s="7"/>
      <c r="Z44" s="7"/>
      <c r="AA44" s="7"/>
      <c r="AB44" s="7">
        <v>6680</v>
      </c>
      <c r="AC44" s="7">
        <v>3123.7399999999998</v>
      </c>
      <c r="AD44" s="7">
        <v>10657</v>
      </c>
      <c r="AE44" s="7"/>
      <c r="AF44" s="7"/>
      <c r="AG44" s="7">
        <v>83365.520000000004</v>
      </c>
    </row>
    <row r="45">
      <c r="B45" s="3">
        <v>9</v>
      </c>
      <c r="C45" s="7"/>
      <c r="D45" s="7"/>
      <c r="E45" s="7"/>
      <c r="F45" s="7">
        <v>267.85000000000002</v>
      </c>
      <c r="G45" s="7">
        <v>7646.3000000000002</v>
      </c>
      <c r="H45" s="7"/>
      <c r="I45" s="7"/>
      <c r="J45" s="7">
        <v>10396</v>
      </c>
      <c r="K45" s="7"/>
      <c r="L45" s="7"/>
      <c r="M45" s="7">
        <v>600</v>
      </c>
      <c r="N45" s="7"/>
      <c r="O45" s="7"/>
      <c r="P45" s="7">
        <v>3243.4000000000001</v>
      </c>
      <c r="Q45" s="7">
        <v>20206</v>
      </c>
      <c r="R45" s="7"/>
      <c r="S45" s="7"/>
      <c r="T45" s="7"/>
      <c r="U45" s="7"/>
      <c r="V45" s="7"/>
      <c r="W45" s="7">
        <v>1000</v>
      </c>
      <c r="X45" s="7">
        <v>-1232</v>
      </c>
      <c r="Y45" s="7"/>
      <c r="Z45" s="7"/>
      <c r="AA45" s="7"/>
      <c r="AB45" s="7">
        <v>80</v>
      </c>
      <c r="AC45" s="7">
        <v>3123.7399999999998</v>
      </c>
      <c r="AD45" s="7">
        <v>11057</v>
      </c>
      <c r="AE45" s="7"/>
      <c r="AF45" s="7"/>
      <c r="AG45" s="7">
        <v>56388.290000000001</v>
      </c>
    </row>
    <row r="46">
      <c r="B46" s="3">
        <v>10</v>
      </c>
      <c r="C46" s="7"/>
      <c r="D46" s="7"/>
      <c r="E46" s="7"/>
      <c r="F46" s="7">
        <v>286.82999999999998</v>
      </c>
      <c r="G46" s="7"/>
      <c r="H46" s="7"/>
      <c r="I46" s="7"/>
      <c r="J46" s="7">
        <v>6213</v>
      </c>
      <c r="K46" s="7"/>
      <c r="L46" s="7"/>
      <c r="M46" s="7">
        <v>8262</v>
      </c>
      <c r="N46" s="7"/>
      <c r="O46" s="7"/>
      <c r="P46" s="7">
        <v>3674.1599999999999</v>
      </c>
      <c r="Q46" s="7">
        <v>20634</v>
      </c>
      <c r="R46" s="7"/>
      <c r="S46" s="7"/>
      <c r="T46" s="7"/>
      <c r="U46" s="7"/>
      <c r="V46" s="7"/>
      <c r="W46" s="7"/>
      <c r="X46" s="7">
        <v>158.69</v>
      </c>
      <c r="Y46" s="7"/>
      <c r="Z46" s="7"/>
      <c r="AA46" s="7"/>
      <c r="AB46" s="7">
        <v>10572</v>
      </c>
      <c r="AC46" s="7">
        <v>3123.7399999999998</v>
      </c>
      <c r="AD46" s="7"/>
      <c r="AE46" s="7"/>
      <c r="AF46" s="7"/>
      <c r="AG46" s="7">
        <v>52924.419999999998</v>
      </c>
    </row>
    <row r="47">
      <c r="B47" s="3">
        <v>11</v>
      </c>
      <c r="C47" s="7"/>
      <c r="D47" s="7"/>
      <c r="E47" s="7">
        <v>510</v>
      </c>
      <c r="F47" s="7">
        <v>236.28</v>
      </c>
      <c r="G47" s="7">
        <v>14854</v>
      </c>
      <c r="H47" s="7"/>
      <c r="I47" s="7"/>
      <c r="J47" s="7"/>
      <c r="K47" s="7">
        <v>389</v>
      </c>
      <c r="L47" s="7"/>
      <c r="M47" s="7">
        <v>4839</v>
      </c>
      <c r="N47" s="7"/>
      <c r="O47" s="7">
        <v>3372</v>
      </c>
      <c r="P47" s="7">
        <v>3213.1500000000001</v>
      </c>
      <c r="Q47" s="7">
        <v>19000</v>
      </c>
      <c r="R47" s="7"/>
      <c r="S47" s="7"/>
      <c r="T47" s="7"/>
      <c r="U47" s="7"/>
      <c r="V47" s="7">
        <v>330</v>
      </c>
      <c r="W47" s="7"/>
      <c r="X47" s="7">
        <v>3.0299999999999998</v>
      </c>
      <c r="Y47" s="7"/>
      <c r="Z47" s="7"/>
      <c r="AA47" s="7"/>
      <c r="AB47" s="7">
        <v>3090</v>
      </c>
      <c r="AC47" s="7">
        <v>3123.7399999999998</v>
      </c>
      <c r="AD47" s="7">
        <v>1860</v>
      </c>
      <c r="AE47" s="7">
        <v>7601.3800000000001</v>
      </c>
      <c r="AF47" s="7"/>
      <c r="AG47" s="7">
        <v>62421.579999999994</v>
      </c>
    </row>
    <row r="48">
      <c r="B48" s="3">
        <v>12</v>
      </c>
      <c r="C48" s="7">
        <v>461</v>
      </c>
      <c r="D48" s="7"/>
      <c r="E48" s="7">
        <v>766</v>
      </c>
      <c r="F48" s="7">
        <v>220.5</v>
      </c>
      <c r="G48" s="7">
        <v>7209.5</v>
      </c>
      <c r="H48" s="7"/>
      <c r="I48" s="7"/>
      <c r="J48" s="7">
        <v>15319</v>
      </c>
      <c r="K48" s="7">
        <v>1454</v>
      </c>
      <c r="L48" s="7"/>
      <c r="M48" s="7">
        <v>4139.75</v>
      </c>
      <c r="N48" s="7"/>
      <c r="O48" s="7"/>
      <c r="P48" s="7">
        <v>3197</v>
      </c>
      <c r="Q48" s="7">
        <v>34000</v>
      </c>
      <c r="R48" s="7"/>
      <c r="S48" s="7"/>
      <c r="T48" s="7"/>
      <c r="U48" s="7"/>
      <c r="V48" s="7"/>
      <c r="W48" s="7"/>
      <c r="X48" s="7">
        <v>138428.54000000001</v>
      </c>
      <c r="Y48" s="7"/>
      <c r="Z48" s="7"/>
      <c r="AA48" s="7"/>
      <c r="AB48" s="7">
        <v>3463</v>
      </c>
      <c r="AC48" s="7">
        <v>3123.7399999999998</v>
      </c>
      <c r="AD48" s="7">
        <v>2592</v>
      </c>
      <c r="AE48" s="7">
        <v>1395</v>
      </c>
      <c r="AF48" s="7"/>
      <c r="AG48" s="7">
        <v>215769.03000000003</v>
      </c>
    </row>
    <row r="49">
      <c r="A49" s="3">
        <v>2025</v>
      </c>
      <c r="B49" s="3">
        <v>1</v>
      </c>
      <c r="C49" s="7"/>
      <c r="D49" s="7"/>
      <c r="E49" s="7"/>
      <c r="F49" s="7">
        <v>267.85000000000002</v>
      </c>
      <c r="G49" s="7">
        <v>7698</v>
      </c>
      <c r="H49" s="7"/>
      <c r="I49" s="7"/>
      <c r="J49" s="7">
        <v>14442</v>
      </c>
      <c r="K49" s="7">
        <v>2515</v>
      </c>
      <c r="L49" s="7"/>
      <c r="M49" s="7">
        <v>4699</v>
      </c>
      <c r="N49" s="7"/>
      <c r="O49" s="7">
        <v>400</v>
      </c>
      <c r="P49" s="7">
        <v>3243</v>
      </c>
      <c r="Q49" s="7">
        <v>19000</v>
      </c>
      <c r="R49" s="7">
        <v>8540</v>
      </c>
      <c r="S49" s="7"/>
      <c r="T49" s="7">
        <v>9240</v>
      </c>
      <c r="U49" s="7"/>
      <c r="V49" s="7"/>
      <c r="W49" s="7"/>
      <c r="X49" s="7"/>
      <c r="Y49" s="7"/>
      <c r="Z49" s="7"/>
      <c r="AA49" s="7"/>
      <c r="AB49" s="7">
        <v>3980</v>
      </c>
      <c r="AC49" s="7">
        <v>3123.7399999999998</v>
      </c>
      <c r="AD49" s="7">
        <v>4100</v>
      </c>
      <c r="AE49" s="7">
        <v>5016.79</v>
      </c>
      <c r="AF49" s="7"/>
      <c r="AG49" s="7">
        <v>86265.37999999999</v>
      </c>
    </row>
    <row r="50">
      <c r="B50" s="3">
        <v>2</v>
      </c>
      <c r="C50" s="7">
        <v>21959</v>
      </c>
      <c r="D50" s="7"/>
      <c r="E50" s="7"/>
      <c r="F50" s="7">
        <v>170.53999999999999</v>
      </c>
      <c r="G50" s="7">
        <v>7967</v>
      </c>
      <c r="H50" s="7"/>
      <c r="I50" s="7"/>
      <c r="J50" s="7"/>
      <c r="K50" s="7"/>
      <c r="L50" s="7"/>
      <c r="M50" s="7">
        <v>3486</v>
      </c>
      <c r="N50" s="7"/>
      <c r="O50" s="7"/>
      <c r="P50" s="7">
        <v>2857.9400000000001</v>
      </c>
      <c r="Q50" s="7">
        <v>19000</v>
      </c>
      <c r="R50" s="7">
        <v>9165</v>
      </c>
      <c r="S50" s="7"/>
      <c r="T50" s="7">
        <v>9240</v>
      </c>
      <c r="U50" s="7"/>
      <c r="V50" s="7"/>
      <c r="W50" s="7"/>
      <c r="X50" s="7">
        <v>2067.3000000000002</v>
      </c>
      <c r="Y50" s="7"/>
      <c r="Z50" s="7"/>
      <c r="AA50" s="7"/>
      <c r="AB50" s="7">
        <v>3890</v>
      </c>
      <c r="AC50" s="7">
        <v>34589.510000000002</v>
      </c>
      <c r="AD50" s="7">
        <v>1522</v>
      </c>
      <c r="AE50" s="7">
        <v>36995.669999999998</v>
      </c>
      <c r="AF50" s="7"/>
      <c r="AG50" s="7">
        <v>152909.96000000002</v>
      </c>
    </row>
    <row r="51">
      <c r="B51" s="3">
        <v>3</v>
      </c>
      <c r="C51" s="7"/>
      <c r="D51" s="7"/>
      <c r="E51" s="7"/>
      <c r="F51" s="7">
        <v>161.87</v>
      </c>
      <c r="G51" s="7">
        <v>14883</v>
      </c>
      <c r="H51" s="7"/>
      <c r="I51" s="7"/>
      <c r="J51" s="7">
        <v>14224</v>
      </c>
      <c r="K51" s="7"/>
      <c r="L51" s="7"/>
      <c r="M51" s="7">
        <v>4038</v>
      </c>
      <c r="N51" s="7"/>
      <c r="O51" s="7"/>
      <c r="P51" s="7">
        <v>2945.3800000000001</v>
      </c>
      <c r="Q51" s="7">
        <v>19000</v>
      </c>
      <c r="R51" s="7">
        <v>9165</v>
      </c>
      <c r="S51" s="7">
        <v>11872</v>
      </c>
      <c r="T51" s="7">
        <v>9240</v>
      </c>
      <c r="U51" s="7"/>
      <c r="V51" s="7"/>
      <c r="W51" s="7"/>
      <c r="X51" s="7"/>
      <c r="Y51" s="7"/>
      <c r="Z51" s="7"/>
      <c r="AA51" s="7">
        <v>800</v>
      </c>
      <c r="AB51" s="7">
        <v>2890</v>
      </c>
      <c r="AC51" s="7">
        <v>25582.68</v>
      </c>
      <c r="AD51" s="7">
        <v>880</v>
      </c>
      <c r="AE51" s="7">
        <v>1755</v>
      </c>
      <c r="AF51" s="7"/>
      <c r="AG51" s="7">
        <v>117436.92999999999</v>
      </c>
    </row>
    <row r="52">
      <c r="B52" s="3">
        <v>4</v>
      </c>
      <c r="C52" s="7"/>
      <c r="D52" s="7"/>
      <c r="E52" s="7"/>
      <c r="F52" s="7">
        <v>145.37</v>
      </c>
      <c r="G52" s="7"/>
      <c r="H52" s="7"/>
      <c r="I52" s="7"/>
      <c r="J52" s="7"/>
      <c r="K52" s="7"/>
      <c r="L52" s="7"/>
      <c r="M52" s="7"/>
      <c r="N52" s="7"/>
      <c r="O52" s="7"/>
      <c r="P52" s="7">
        <v>2896.0500000000002</v>
      </c>
      <c r="Q52" s="7">
        <v>19000</v>
      </c>
      <c r="R52" s="7">
        <v>9165</v>
      </c>
      <c r="S52" s="7"/>
      <c r="T52" s="7">
        <v>9240</v>
      </c>
      <c r="U52" s="7"/>
      <c r="V52" s="7"/>
      <c r="W52" s="7"/>
      <c r="X52" s="7"/>
      <c r="Y52" s="7"/>
      <c r="Z52" s="7"/>
      <c r="AA52" s="7"/>
      <c r="AB52" s="7">
        <v>5205</v>
      </c>
      <c r="AC52" s="7">
        <v>4500.6800000000003</v>
      </c>
      <c r="AD52" s="7"/>
      <c r="AE52" s="7"/>
      <c r="AF52" s="7"/>
      <c r="AG52" s="7">
        <v>50152.100000000006</v>
      </c>
    </row>
    <row r="53">
      <c r="B53" s="3">
        <v>5</v>
      </c>
      <c r="C53" s="7"/>
      <c r="D53" s="7"/>
      <c r="E53" s="7"/>
      <c r="F53" s="7">
        <v>139.50999999999999</v>
      </c>
      <c r="G53" s="7">
        <v>7442</v>
      </c>
      <c r="H53" s="7"/>
      <c r="I53" s="7"/>
      <c r="J53" s="7">
        <v>8000</v>
      </c>
      <c r="K53" s="7"/>
      <c r="L53" s="7"/>
      <c r="M53" s="7">
        <v>213</v>
      </c>
      <c r="N53" s="7"/>
      <c r="O53" s="7"/>
      <c r="P53" s="7">
        <v>3073.6900000000001</v>
      </c>
      <c r="Q53" s="7">
        <v>19000</v>
      </c>
      <c r="R53" s="7">
        <v>9165</v>
      </c>
      <c r="S53" s="7"/>
      <c r="T53" s="7">
        <v>9240</v>
      </c>
      <c r="U53" s="7"/>
      <c r="V53" s="7"/>
      <c r="W53" s="7"/>
      <c r="X53" s="7"/>
      <c r="Y53" s="7"/>
      <c r="Z53" s="7"/>
      <c r="AA53" s="7"/>
      <c r="AB53" s="7">
        <v>2890</v>
      </c>
      <c r="AC53" s="7">
        <v>4500</v>
      </c>
      <c r="AD53" s="7"/>
      <c r="AE53" s="7">
        <v>3247.5500000000002</v>
      </c>
      <c r="AF53" s="7"/>
      <c r="AG53" s="7">
        <v>66910.75</v>
      </c>
    </row>
    <row r="54">
      <c r="B54" s="3">
        <v>6</v>
      </c>
      <c r="C54" s="7"/>
      <c r="D54" s="7"/>
      <c r="E54" s="7"/>
      <c r="F54" s="7">
        <v>170.53999999999999</v>
      </c>
      <c r="G54" s="7"/>
      <c r="H54" s="7"/>
      <c r="I54" s="7"/>
      <c r="J54" s="7">
        <v>8000</v>
      </c>
      <c r="K54" s="7"/>
      <c r="L54" s="7"/>
      <c r="M54" s="7">
        <v>8316</v>
      </c>
      <c r="N54" s="7"/>
      <c r="O54" s="7"/>
      <c r="P54" s="7">
        <v>2857.9400000000001</v>
      </c>
      <c r="Q54" s="7"/>
      <c r="R54" s="7">
        <v>9165</v>
      </c>
      <c r="S54" s="7"/>
      <c r="T54" s="7">
        <v>9240</v>
      </c>
      <c r="U54" s="7"/>
      <c r="V54" s="7"/>
      <c r="W54" s="7"/>
      <c r="X54" s="7"/>
      <c r="Y54" s="7"/>
      <c r="Z54" s="7"/>
      <c r="AA54" s="7"/>
      <c r="AB54" s="7">
        <v>7390</v>
      </c>
      <c r="AC54" s="7">
        <v>3123.7399999999998</v>
      </c>
      <c r="AD54" s="7"/>
      <c r="AE54" s="7">
        <v>25099</v>
      </c>
      <c r="AF54" s="7"/>
      <c r="AG54" s="7">
        <v>73362.220000000001</v>
      </c>
    </row>
    <row r="55">
      <c r="B55" s="3">
        <v>7</v>
      </c>
      <c r="C55" s="7">
        <v>1690</v>
      </c>
      <c r="D55" s="7">
        <v>1011</v>
      </c>
      <c r="E55" s="7"/>
      <c r="F55" s="7">
        <v>97.390000000000001</v>
      </c>
      <c r="G55" s="7">
        <v>7331</v>
      </c>
      <c r="H55" s="7"/>
      <c r="I55" s="7"/>
      <c r="J55" s="7">
        <v>8000</v>
      </c>
      <c r="K55" s="7"/>
      <c r="L55" s="7"/>
      <c r="M55" s="7">
        <v>13448</v>
      </c>
      <c r="N55" s="7"/>
      <c r="O55" s="7">
        <v>1050</v>
      </c>
      <c r="P55" s="7">
        <v>2733</v>
      </c>
      <c r="Q55" s="7">
        <v>19000</v>
      </c>
      <c r="R55" s="7">
        <v>9165</v>
      </c>
      <c r="S55" s="7"/>
      <c r="T55" s="7">
        <v>9240</v>
      </c>
      <c r="U55" s="7"/>
      <c r="V55" s="7"/>
      <c r="W55" s="7"/>
      <c r="X55" s="7">
        <v>2478.3199999999997</v>
      </c>
      <c r="Y55" s="7"/>
      <c r="Z55" s="7"/>
      <c r="AA55" s="7">
        <v>3065</v>
      </c>
      <c r="AB55" s="7">
        <v>2890</v>
      </c>
      <c r="AC55" s="7">
        <v>4500.6800000000003</v>
      </c>
      <c r="AD55" s="7"/>
      <c r="AE55" s="7"/>
      <c r="AF55" s="7"/>
      <c r="AG55" s="7">
        <v>85699.389999999999</v>
      </c>
    </row>
    <row r="56">
      <c r="B56" s="3">
        <v>8</v>
      </c>
      <c r="C56" s="7"/>
      <c r="D56" s="7"/>
      <c r="E56" s="7"/>
      <c r="F56" s="7">
        <v>88.980000000000004</v>
      </c>
      <c r="G56" s="7">
        <v>7300</v>
      </c>
      <c r="H56" s="7"/>
      <c r="I56" s="7"/>
      <c r="J56" s="7">
        <v>18000</v>
      </c>
      <c r="K56" s="7"/>
      <c r="L56" s="7"/>
      <c r="M56" s="7">
        <v>6397.8800000000001</v>
      </c>
      <c r="N56" s="7"/>
      <c r="O56" s="7"/>
      <c r="P56" s="7">
        <v>2901.27</v>
      </c>
      <c r="Q56" s="7">
        <v>19000</v>
      </c>
      <c r="R56" s="7">
        <v>9165</v>
      </c>
      <c r="S56" s="7"/>
      <c r="T56" s="7">
        <v>9240</v>
      </c>
      <c r="U56" s="7"/>
      <c r="V56" s="7"/>
      <c r="W56" s="7"/>
      <c r="X56" s="7"/>
      <c r="Y56" s="7"/>
      <c r="Z56" s="7"/>
      <c r="AA56" s="7">
        <v>750</v>
      </c>
      <c r="AB56" s="7">
        <v>958</v>
      </c>
      <c r="AC56" s="7">
        <v>4500.6800000000003</v>
      </c>
      <c r="AD56" s="7">
        <v>1210</v>
      </c>
      <c r="AE56" s="7"/>
      <c r="AF56" s="7"/>
      <c r="AG56" s="7">
        <v>79511.809999999998</v>
      </c>
    </row>
    <row r="57">
      <c r="B57" s="3">
        <v>9</v>
      </c>
      <c r="C57" s="7"/>
      <c r="D57" s="7"/>
      <c r="E57" s="7">
        <v>80</v>
      </c>
      <c r="F57" s="7">
        <v>69.450000000000003</v>
      </c>
      <c r="G57" s="7">
        <v>7452</v>
      </c>
      <c r="H57" s="7"/>
      <c r="I57" s="7"/>
      <c r="J57" s="7"/>
      <c r="K57" s="7"/>
      <c r="L57" s="7"/>
      <c r="M57" s="7">
        <v>5755</v>
      </c>
      <c r="N57" s="7"/>
      <c r="O57" s="7"/>
      <c r="P57" s="7">
        <v>2706.0799999999999</v>
      </c>
      <c r="Q57" s="7">
        <v>19000</v>
      </c>
      <c r="R57" s="7">
        <v>9165</v>
      </c>
      <c r="S57" s="7"/>
      <c r="T57" s="7">
        <v>9240</v>
      </c>
      <c r="U57" s="7"/>
      <c r="V57" s="7"/>
      <c r="W57" s="7"/>
      <c r="X57" s="7"/>
      <c r="Y57" s="7"/>
      <c r="Z57" s="7"/>
      <c r="AA57" s="7"/>
      <c r="AB57" s="7">
        <v>329</v>
      </c>
      <c r="AC57" s="7">
        <v>4500.6800000000003</v>
      </c>
      <c r="AD57" s="7">
        <v>652</v>
      </c>
      <c r="AE57" s="7"/>
      <c r="AF57" s="7"/>
      <c r="AG57" s="7">
        <v>58949.209999999999</v>
      </c>
    </row>
    <row r="58">
      <c r="B58" s="3">
        <v>10</v>
      </c>
      <c r="C58" s="7"/>
      <c r="D58" s="7"/>
      <c r="E58" s="7">
        <v>742</v>
      </c>
      <c r="F58" s="7">
        <v>55</v>
      </c>
      <c r="G58" s="7">
        <v>7276</v>
      </c>
      <c r="H58" s="7"/>
      <c r="I58" s="7"/>
      <c r="J58" s="7">
        <v>8000</v>
      </c>
      <c r="K58" s="7"/>
      <c r="L58" s="7"/>
      <c r="M58" s="7">
        <v>13122.810000000001</v>
      </c>
      <c r="N58" s="7"/>
      <c r="O58" s="7">
        <v>650</v>
      </c>
      <c r="P58" s="7">
        <v>2159</v>
      </c>
      <c r="Q58" s="7">
        <v>19240</v>
      </c>
      <c r="R58" s="7">
        <v>9790</v>
      </c>
      <c r="S58" s="7"/>
      <c r="T58" s="7">
        <v>9240</v>
      </c>
      <c r="U58" s="7"/>
      <c r="V58" s="7"/>
      <c r="W58" s="7"/>
      <c r="X58" s="7"/>
      <c r="Y58" s="7"/>
      <c r="Z58" s="7"/>
      <c r="AA58" s="7"/>
      <c r="AB58" s="7">
        <v>398</v>
      </c>
      <c r="AC58" s="7">
        <v>4500.6800000000003</v>
      </c>
      <c r="AD58" s="7">
        <v>1567</v>
      </c>
      <c r="AE58" s="7">
        <v>6534</v>
      </c>
      <c r="AF58" s="7"/>
      <c r="AG58" s="7">
        <v>83274.489999999991</v>
      </c>
    </row>
    <row r="59">
      <c r="B59" s="3">
        <v>11</v>
      </c>
      <c r="C59" s="7"/>
      <c r="D59" s="7"/>
      <c r="E59" s="7"/>
      <c r="F59" s="7">
        <v>34</v>
      </c>
      <c r="G59" s="7">
        <v>7153</v>
      </c>
      <c r="H59" s="7"/>
      <c r="I59" s="7"/>
      <c r="J59" s="7"/>
      <c r="K59" s="7"/>
      <c r="L59" s="7"/>
      <c r="M59" s="7">
        <v>8629.869999999999</v>
      </c>
      <c r="N59" s="7"/>
      <c r="O59" s="7"/>
      <c r="P59" s="7">
        <v>2159</v>
      </c>
      <c r="Q59" s="7">
        <v>38000</v>
      </c>
      <c r="R59" s="7">
        <v>9750</v>
      </c>
      <c r="S59" s="7"/>
      <c r="T59" s="7">
        <v>9240</v>
      </c>
      <c r="U59" s="7"/>
      <c r="V59" s="7"/>
      <c r="W59" s="7"/>
      <c r="X59" s="7"/>
      <c r="Y59" s="7"/>
      <c r="Z59" s="7"/>
      <c r="AA59" s="7">
        <v>1500</v>
      </c>
      <c r="AB59" s="7">
        <v>750</v>
      </c>
      <c r="AC59" s="7">
        <v>51724.360000000001</v>
      </c>
      <c r="AD59" s="7"/>
      <c r="AE59" s="7"/>
      <c r="AF59" s="7"/>
      <c r="AG59" s="7">
        <v>128940.23</v>
      </c>
    </row>
    <row r="60">
      <c r="B60" s="3">
        <v>12</v>
      </c>
      <c r="C60" s="7"/>
      <c r="D60" s="7"/>
      <c r="E60" s="7"/>
      <c r="F60" s="7">
        <v>170.53999999999999</v>
      </c>
      <c r="G60" s="7">
        <v>6791</v>
      </c>
      <c r="H60" s="7"/>
      <c r="I60" s="7"/>
      <c r="J60" s="7">
        <v>16000</v>
      </c>
      <c r="K60" s="7"/>
      <c r="L60" s="7"/>
      <c r="M60" s="7">
        <v>4656</v>
      </c>
      <c r="N60" s="7"/>
      <c r="O60" s="7"/>
      <c r="P60" s="7">
        <v>2857.9400000000001</v>
      </c>
      <c r="Q60" s="7">
        <v>15000</v>
      </c>
      <c r="R60" s="7">
        <v>9165</v>
      </c>
      <c r="S60" s="7"/>
      <c r="T60" s="7">
        <v>9240</v>
      </c>
      <c r="U60" s="7"/>
      <c r="V60" s="7"/>
      <c r="W60" s="7"/>
      <c r="X60" s="7"/>
      <c r="Y60" s="7"/>
      <c r="Z60" s="7"/>
      <c r="AA60" s="7"/>
      <c r="AB60" s="7">
        <v>3210</v>
      </c>
      <c r="AC60" s="7">
        <v>3123.7399999999998</v>
      </c>
      <c r="AD60" s="7">
        <v>640</v>
      </c>
      <c r="AE60" s="7">
        <v>580</v>
      </c>
      <c r="AF60" s="7"/>
      <c r="AG60" s="7">
        <v>71434.220000000001</v>
      </c>
    </row>
    <row r="61">
      <c r="A61" s="3">
        <v>2026</v>
      </c>
      <c r="B61" s="3">
        <v>1</v>
      </c>
      <c r="C61" s="7"/>
      <c r="D61" s="7"/>
      <c r="E61" s="7"/>
      <c r="F61" s="7">
        <v>12.15</v>
      </c>
      <c r="G61" s="7">
        <v>7420</v>
      </c>
      <c r="H61" s="7"/>
      <c r="I61" s="7"/>
      <c r="J61" s="7">
        <v>569</v>
      </c>
      <c r="K61" s="7"/>
      <c r="L61" s="7"/>
      <c r="M61" s="7">
        <v>5436.25</v>
      </c>
      <c r="N61" s="7"/>
      <c r="O61" s="7"/>
      <c r="P61" s="7">
        <v>2374</v>
      </c>
      <c r="Q61" s="7">
        <v>28696</v>
      </c>
      <c r="R61" s="7">
        <v>9790</v>
      </c>
      <c r="S61" s="7"/>
      <c r="T61" s="7">
        <v>8960</v>
      </c>
      <c r="U61" s="7"/>
      <c r="V61" s="7"/>
      <c r="W61" s="7"/>
      <c r="X61" s="7"/>
      <c r="Y61" s="7"/>
      <c r="Z61" s="7"/>
      <c r="AA61" s="7"/>
      <c r="AB61" s="7">
        <v>354</v>
      </c>
      <c r="AC61" s="7">
        <v>4345</v>
      </c>
      <c r="AD61" s="7"/>
      <c r="AE61" s="7"/>
      <c r="AF61" s="7"/>
      <c r="AG61" s="7">
        <v>67956.399999999994</v>
      </c>
    </row>
    <row r="62">
      <c r="B62" s="3">
        <v>2</v>
      </c>
      <c r="C62" s="7">
        <v>1446</v>
      </c>
      <c r="D62" s="7"/>
      <c r="E62" s="7"/>
      <c r="F62" s="7"/>
      <c r="G62" s="7">
        <v>14640</v>
      </c>
      <c r="H62" s="7"/>
      <c r="I62" s="7"/>
      <c r="J62" s="7"/>
      <c r="K62" s="7"/>
      <c r="L62" s="7">
        <v>23294</v>
      </c>
      <c r="M62" s="7">
        <v>7974</v>
      </c>
      <c r="N62" s="7"/>
      <c r="O62" s="7"/>
      <c r="P62" s="7">
        <v>2003</v>
      </c>
      <c r="Q62" s="7">
        <v>19000</v>
      </c>
      <c r="R62" s="7">
        <v>9790</v>
      </c>
      <c r="S62" s="7"/>
      <c r="T62" s="7"/>
      <c r="U62" s="7"/>
      <c r="V62" s="7"/>
      <c r="W62" s="7"/>
      <c r="X62" s="7"/>
      <c r="Y62" s="7"/>
      <c r="Z62" s="7"/>
      <c r="AA62" s="7"/>
      <c r="AB62" s="7"/>
      <c r="AC62" s="7">
        <v>47200</v>
      </c>
      <c r="AD62" s="7">
        <v>1859</v>
      </c>
      <c r="AE62" s="7"/>
      <c r="AF62" s="7"/>
      <c r="AG62" s="7">
        <v>127206</v>
      </c>
    </row>
    <row r="63">
      <c r="B63" s="3">
        <v>3</v>
      </c>
      <c r="C63" s="7"/>
      <c r="D63" s="7"/>
      <c r="E63" s="7"/>
      <c r="F63" s="7"/>
      <c r="G63" s="7"/>
      <c r="H63" s="7"/>
      <c r="I63" s="7"/>
      <c r="J63" s="7">
        <v>15000</v>
      </c>
      <c r="K63" s="7">
        <v>300</v>
      </c>
      <c r="L63" s="7"/>
      <c r="M63" s="7">
        <v>4144</v>
      </c>
      <c r="N63" s="7"/>
      <c r="O63" s="7">
        <v>398</v>
      </c>
      <c r="P63" s="7">
        <v>2134</v>
      </c>
      <c r="Q63" s="7"/>
      <c r="R63" s="7">
        <v>9790</v>
      </c>
      <c r="S63" s="7"/>
      <c r="T63" s="7"/>
      <c r="U63" s="7"/>
      <c r="V63" s="7"/>
      <c r="W63" s="7"/>
      <c r="X63" s="7"/>
      <c r="Y63" s="7"/>
      <c r="Z63" s="7"/>
      <c r="AA63" s="7"/>
      <c r="AB63" s="7">
        <v>2400</v>
      </c>
      <c r="AC63" s="7">
        <v>6894</v>
      </c>
      <c r="AD63" s="7">
        <v>1800</v>
      </c>
      <c r="AE63" s="7">
        <v>5986</v>
      </c>
      <c r="AF63" s="7"/>
      <c r="AG63" s="7">
        <v>48846</v>
      </c>
    </row>
    <row r="64">
      <c r="B64" s="3">
        <v>4</v>
      </c>
      <c r="C64" s="7">
        <v>2927</v>
      </c>
      <c r="D64" s="7"/>
      <c r="E64" s="7"/>
      <c r="F64" s="7"/>
      <c r="G64" s="7">
        <v>7269</v>
      </c>
      <c r="H64" s="7"/>
      <c r="I64" s="7"/>
      <c r="J64" s="7">
        <v>2355</v>
      </c>
      <c r="K64" s="7"/>
      <c r="L64" s="7"/>
      <c r="M64" s="7">
        <v>6722</v>
      </c>
      <c r="N64" s="7"/>
      <c r="O64" s="7"/>
      <c r="P64" s="7">
        <v>2127.98</v>
      </c>
      <c r="Q64" s="7">
        <v>19590</v>
      </c>
      <c r="R64" s="7">
        <v>9790</v>
      </c>
      <c r="S64" s="7"/>
      <c r="T64" s="7"/>
      <c r="U64" s="7"/>
      <c r="V64" s="7"/>
      <c r="W64" s="7"/>
      <c r="X64" s="7">
        <v>-715</v>
      </c>
      <c r="Y64" s="7"/>
      <c r="Z64" s="7"/>
      <c r="AA64" s="7"/>
      <c r="AB64" s="7">
        <v>5057</v>
      </c>
      <c r="AC64" s="7">
        <v>7127.6800000000003</v>
      </c>
      <c r="AD64" s="7">
        <v>5443</v>
      </c>
      <c r="AE64" s="7"/>
      <c r="AF64" s="7"/>
      <c r="AG64" s="7">
        <v>67693.660000000003</v>
      </c>
    </row>
    <row r="65">
      <c r="B65" s="3">
        <v>5</v>
      </c>
      <c r="C65" s="7">
        <v>1334</v>
      </c>
      <c r="D65" s="7">
        <v>529</v>
      </c>
      <c r="E65" s="7"/>
      <c r="F65" s="7"/>
      <c r="G65" s="7">
        <v>7264</v>
      </c>
      <c r="H65" s="7"/>
      <c r="I65" s="7"/>
      <c r="J65" s="7">
        <v>9530</v>
      </c>
      <c r="K65" s="7">
        <v>241</v>
      </c>
      <c r="L65" s="7"/>
      <c r="M65" s="7">
        <v>6393</v>
      </c>
      <c r="N65" s="7"/>
      <c r="O65" s="7">
        <v>412</v>
      </c>
      <c r="P65" s="7">
        <v>1917.52</v>
      </c>
      <c r="Q65" s="7">
        <v>19000</v>
      </c>
      <c r="R65" s="7">
        <v>9790</v>
      </c>
      <c r="S65" s="7"/>
      <c r="T65" s="7"/>
      <c r="U65" s="7"/>
      <c r="V65" s="7"/>
      <c r="W65" s="7"/>
      <c r="X65" s="7"/>
      <c r="Y65" s="7"/>
      <c r="Z65" s="7"/>
      <c r="AA65" s="7">
        <v>878</v>
      </c>
      <c r="AB65" s="7">
        <v>5337</v>
      </c>
      <c r="AC65" s="7">
        <v>6894.8000000000002</v>
      </c>
      <c r="AD65" s="7"/>
      <c r="AE65" s="7"/>
      <c r="AF65" s="7"/>
      <c r="AG65" s="7">
        <v>69520.320000000007</v>
      </c>
    </row>
    <row r="66">
      <c r="B66" s="3">
        <v>6</v>
      </c>
      <c r="C66" s="7"/>
      <c r="D66" s="7"/>
      <c r="E66" s="7"/>
      <c r="F66" s="7"/>
      <c r="G66" s="7">
        <v>7071</v>
      </c>
      <c r="H66" s="7"/>
      <c r="I66" s="7"/>
      <c r="J66" s="7">
        <v>10000</v>
      </c>
      <c r="K66" s="7"/>
      <c r="L66" s="7"/>
      <c r="M66" s="7"/>
      <c r="N66" s="7"/>
      <c r="O66" s="7"/>
      <c r="P66" s="7"/>
      <c r="Q66" s="7">
        <v>19000</v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>
        <v>4530</v>
      </c>
      <c r="AC66" s="7"/>
      <c r="AD66" s="7"/>
      <c r="AE66" s="7"/>
      <c r="AF66" s="7"/>
      <c r="AG66" s="7">
        <v>40601</v>
      </c>
    </row>
    <row r="67">
      <c r="A67" s="3" t="s">
        <v>4</v>
      </c>
      <c r="C67" s="7">
        <v>39000.860000000001</v>
      </c>
      <c r="D67" s="7">
        <v>74406</v>
      </c>
      <c r="E67" s="7">
        <v>22721.75</v>
      </c>
      <c r="F67" s="7">
        <v>12004.880000000003</v>
      </c>
      <c r="G67" s="7">
        <v>553475.89000000001</v>
      </c>
      <c r="H67" s="7">
        <v>39829.75</v>
      </c>
      <c r="I67" s="7">
        <v>15541</v>
      </c>
      <c r="J67" s="7">
        <v>812127.42999999993</v>
      </c>
      <c r="K67" s="7">
        <v>17378</v>
      </c>
      <c r="L67" s="7">
        <v>23294</v>
      </c>
      <c r="M67" s="7">
        <v>280946.97999999998</v>
      </c>
      <c r="N67" s="7">
        <v>2410</v>
      </c>
      <c r="O67" s="7">
        <v>18154.310000000001</v>
      </c>
      <c r="P67" s="7">
        <v>126544.25999999999</v>
      </c>
      <c r="Q67" s="7">
        <v>597088.64000000001</v>
      </c>
      <c r="R67" s="7">
        <v>159515</v>
      </c>
      <c r="S67" s="7">
        <v>11872</v>
      </c>
      <c r="T67" s="7">
        <v>119840</v>
      </c>
      <c r="U67" s="7">
        <v>600</v>
      </c>
      <c r="V67" s="7">
        <v>2335</v>
      </c>
      <c r="W67" s="7">
        <v>43046.989999999998</v>
      </c>
      <c r="X67" s="7">
        <v>328900.83772900002</v>
      </c>
      <c r="Y67" s="7">
        <v>20819.68</v>
      </c>
      <c r="Z67" s="7">
        <v>1687.48</v>
      </c>
      <c r="AA67" s="7">
        <v>43435.559999999998</v>
      </c>
      <c r="AB67" s="7">
        <v>481113.57999999996</v>
      </c>
      <c r="AC67" s="7">
        <v>550141.83999999997</v>
      </c>
      <c r="AD67" s="7">
        <v>92308.850000000006</v>
      </c>
      <c r="AE67" s="7">
        <v>289060.58000000002</v>
      </c>
      <c r="AF67" s="7">
        <v>13355.76</v>
      </c>
      <c r="AG67" s="7">
        <v>4792956.9077289999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3" max="3" width="9.00390625"/>
    <col customWidth="1" hidden="1" min="9" max="9" width="0"/>
    <col customWidth="1" min="10" max="10" width="22.875"/>
    <col customWidth="1" hidden="1" min="11" max="11" width="0"/>
  </cols>
  <sheetData>
    <row r="1">
      <c r="A1" t="s">
        <v>103</v>
      </c>
      <c r="B1" t="s">
        <v>104</v>
      </c>
      <c r="C1" s="8" t="s">
        <v>105</v>
      </c>
      <c r="D1" s="9" t="s">
        <v>72</v>
      </c>
      <c r="E1" s="9" t="s">
        <v>106</v>
      </c>
      <c r="F1" t="s">
        <v>107</v>
      </c>
      <c r="G1" t="s">
        <v>108</v>
      </c>
      <c r="H1" t="s">
        <v>68</v>
      </c>
      <c r="I1" t="s">
        <v>109</v>
      </c>
      <c r="J1" s="9" t="s">
        <v>110</v>
      </c>
      <c r="K1" t="s">
        <v>111</v>
      </c>
      <c r="L1" s="9" t="s">
        <v>70</v>
      </c>
      <c r="M1" t="s">
        <v>0</v>
      </c>
      <c r="N1" s="8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</row>
    <row r="2">
      <c r="A2" t="s">
        <v>119</v>
      </c>
      <c r="B2" t="s">
        <v>120</v>
      </c>
      <c r="C2" s="2">
        <v>2026</v>
      </c>
      <c r="D2" s="10">
        <v>6</v>
      </c>
      <c r="E2" s="10">
        <v>2</v>
      </c>
      <c r="F2" t="s">
        <v>121</v>
      </c>
      <c r="G2">
        <v>1050</v>
      </c>
      <c r="H2" t="s">
        <v>69</v>
      </c>
      <c r="I2" t="s">
        <v>122</v>
      </c>
      <c r="J2" s="10" t="str">
        <f>VLOOKUP(I2,Categories!A:B,2,FALSE)</f>
        <v>Other</v>
      </c>
      <c r="K2" t="s">
        <v>123</v>
      </c>
      <c r="L2" s="10" t="str">
        <f>VLOOKUP(K2,Accounts!A:B,2,FALSE)</f>
        <v>KBank</v>
      </c>
      <c r="M2" t="s">
        <v>124</v>
      </c>
      <c r="N2" s="10"/>
      <c r="O2" t="s">
        <v>125</v>
      </c>
      <c r="Q2" t="s">
        <v>126</v>
      </c>
      <c r="R2" t="s">
        <v>124</v>
      </c>
      <c r="S2" t="b">
        <v>0</v>
      </c>
      <c r="T2" t="s">
        <v>124</v>
      </c>
    </row>
    <row r="3">
      <c r="A3" t="s">
        <v>127</v>
      </c>
      <c r="B3" t="s">
        <v>120</v>
      </c>
      <c r="C3" s="2">
        <v>2026</v>
      </c>
      <c r="D3" s="10">
        <v>6</v>
      </c>
      <c r="E3" s="10">
        <v>2</v>
      </c>
      <c r="F3" t="s">
        <v>121</v>
      </c>
      <c r="G3">
        <v>1151</v>
      </c>
      <c r="H3" t="s">
        <v>128</v>
      </c>
      <c r="I3" t="s">
        <v>128</v>
      </c>
      <c r="J3" s="9" t="s">
        <v>129</v>
      </c>
      <c r="K3" t="s">
        <v>130</v>
      </c>
      <c r="L3" s="10" t="str">
        <f>VLOOKUP(K3,Accounts!A:B,2,FALSE)</f>
        <v xml:space="preserve">KTC JCB</v>
      </c>
      <c r="M3" t="s">
        <v>131</v>
      </c>
      <c r="N3" s="10" t="str">
        <f>VLOOKUP(M3,Accounts!A:B,2,FALSE)</f>
        <v xml:space="preserve">Advance Paid</v>
      </c>
      <c r="O3" t="s">
        <v>116</v>
      </c>
      <c r="Q3" t="s">
        <v>126</v>
      </c>
      <c r="R3" t="s">
        <v>124</v>
      </c>
      <c r="S3" t="b">
        <v>0</v>
      </c>
      <c r="T3" t="s">
        <v>124</v>
      </c>
    </row>
    <row r="4">
      <c r="A4" t="s">
        <v>132</v>
      </c>
      <c r="B4" t="s">
        <v>133</v>
      </c>
      <c r="C4" s="2">
        <v>2026</v>
      </c>
      <c r="D4" s="10">
        <v>6</v>
      </c>
      <c r="E4" s="10">
        <v>1</v>
      </c>
      <c r="F4" t="s">
        <v>121</v>
      </c>
      <c r="G4">
        <v>19000</v>
      </c>
      <c r="H4" t="s">
        <v>69</v>
      </c>
      <c r="I4" t="s">
        <v>134</v>
      </c>
      <c r="J4" s="10" t="str">
        <f>VLOOKUP(I4,Categories!A:B,2,FALSE)</f>
        <v>Hong</v>
      </c>
      <c r="K4" t="s">
        <v>123</v>
      </c>
      <c r="L4" s="10" t="str">
        <f>VLOOKUP(K4,Accounts!A:B,2,FALSE)</f>
        <v>KBank</v>
      </c>
      <c r="M4" t="s">
        <v>124</v>
      </c>
      <c r="N4" s="10"/>
      <c r="O4" t="s">
        <v>125</v>
      </c>
      <c r="Q4" t="s">
        <v>126</v>
      </c>
      <c r="R4" t="s">
        <v>124</v>
      </c>
      <c r="S4" t="b">
        <v>0</v>
      </c>
      <c r="T4" t="s">
        <v>124</v>
      </c>
    </row>
    <row r="5">
      <c r="A5" t="s">
        <v>135</v>
      </c>
      <c r="B5" t="s">
        <v>133</v>
      </c>
      <c r="C5" s="2">
        <v>2026</v>
      </c>
      <c r="D5" s="10">
        <v>6</v>
      </c>
      <c r="E5" s="10">
        <v>1</v>
      </c>
      <c r="F5" t="s">
        <v>121</v>
      </c>
      <c r="G5">
        <v>5000</v>
      </c>
      <c r="H5" t="s">
        <v>128</v>
      </c>
      <c r="I5" t="s">
        <v>136</v>
      </c>
      <c r="J5" s="10" t="str">
        <f>VLOOKUP(I5,Categories!A:B,2,FALSE)</f>
        <v>อื่นๆ</v>
      </c>
      <c r="K5" t="s">
        <v>123</v>
      </c>
      <c r="L5" s="10" t="str">
        <f>VLOOKUP(K5,Accounts!A:B,2,FALSE)</f>
        <v>KBank</v>
      </c>
      <c r="M5" t="s">
        <v>137</v>
      </c>
      <c r="N5" s="10" t="str">
        <f>VLOOKUP(M5,Accounts!A:B,2,FALSE)</f>
        <v xml:space="preserve">Make Kbank</v>
      </c>
      <c r="O5" t="s">
        <v>125</v>
      </c>
      <c r="Q5" t="s">
        <v>126</v>
      </c>
      <c r="R5" t="s">
        <v>124</v>
      </c>
      <c r="S5" t="b">
        <v>0</v>
      </c>
      <c r="T5" t="s">
        <v>124</v>
      </c>
    </row>
    <row r="6">
      <c r="A6" t="s">
        <v>138</v>
      </c>
      <c r="B6" t="s">
        <v>133</v>
      </c>
      <c r="C6" s="2">
        <v>2026</v>
      </c>
      <c r="D6" s="10">
        <v>6</v>
      </c>
      <c r="E6" s="10">
        <v>1</v>
      </c>
      <c r="F6" t="s">
        <v>121</v>
      </c>
      <c r="G6">
        <v>7071</v>
      </c>
      <c r="H6" t="s">
        <v>69</v>
      </c>
      <c r="I6" t="s">
        <v>139</v>
      </c>
      <c r="J6" s="10" t="str">
        <f>VLOOKUP(I6,Categories!A:B,2,FALSE)</f>
        <v>Condo</v>
      </c>
      <c r="K6" t="s">
        <v>123</v>
      </c>
      <c r="L6" s="10" t="str">
        <f>VLOOKUP(K6,Accounts!A:B,2,FALSE)</f>
        <v>KBank</v>
      </c>
      <c r="M6" t="s">
        <v>124</v>
      </c>
      <c r="N6" s="10"/>
      <c r="O6" t="s">
        <v>125</v>
      </c>
      <c r="Q6" t="s">
        <v>126</v>
      </c>
      <c r="R6" t="s">
        <v>124</v>
      </c>
      <c r="S6" t="b">
        <v>0</v>
      </c>
      <c r="T6" t="s">
        <v>124</v>
      </c>
    </row>
    <row r="7">
      <c r="A7" t="s">
        <v>140</v>
      </c>
      <c r="B7" t="s">
        <v>133</v>
      </c>
      <c r="C7" s="2">
        <v>2026</v>
      </c>
      <c r="D7" s="10">
        <v>6</v>
      </c>
      <c r="E7" s="10">
        <v>1</v>
      </c>
      <c r="F7" t="s">
        <v>121</v>
      </c>
      <c r="G7">
        <v>3480</v>
      </c>
      <c r="H7" t="s">
        <v>69</v>
      </c>
      <c r="I7" t="s">
        <v>141</v>
      </c>
      <c r="J7" s="10" t="str">
        <f>VLOOKUP(I7,Categories!A:B,2,FALSE)</f>
        <v>Other</v>
      </c>
      <c r="K7" t="s">
        <v>131</v>
      </c>
      <c r="L7" s="10" t="str">
        <f>VLOOKUP(K7,Accounts!A:B,2,FALSE)</f>
        <v xml:space="preserve">Advance Paid</v>
      </c>
      <c r="M7" t="s">
        <v>124</v>
      </c>
      <c r="N7" s="10"/>
      <c r="O7" t="s">
        <v>142</v>
      </c>
      <c r="Q7" t="s">
        <v>126</v>
      </c>
      <c r="R7" t="s">
        <v>124</v>
      </c>
      <c r="S7" t="b">
        <v>0</v>
      </c>
      <c r="T7" t="s">
        <v>124</v>
      </c>
    </row>
    <row r="8">
      <c r="A8" t="s">
        <v>143</v>
      </c>
      <c r="B8" t="s">
        <v>133</v>
      </c>
      <c r="C8" s="2">
        <v>2026</v>
      </c>
      <c r="D8" s="10">
        <v>6</v>
      </c>
      <c r="E8" s="10">
        <v>1</v>
      </c>
      <c r="F8" t="s">
        <v>121</v>
      </c>
      <c r="G8">
        <v>10000</v>
      </c>
      <c r="H8" t="s">
        <v>69</v>
      </c>
      <c r="I8" t="s">
        <v>144</v>
      </c>
      <c r="J8" s="10" t="str">
        <f>VLOOKUP(I8,Categories!A:B,2,FALSE)</f>
        <v xml:space="preserve">Family paid</v>
      </c>
      <c r="K8" t="s">
        <v>123</v>
      </c>
      <c r="L8" s="10" t="str">
        <f>VLOOKUP(K8,Accounts!A:B,2,FALSE)</f>
        <v>KBank</v>
      </c>
      <c r="M8" t="s">
        <v>124</v>
      </c>
      <c r="N8" s="10"/>
      <c r="O8" t="s">
        <v>125</v>
      </c>
      <c r="Q8" t="s">
        <v>126</v>
      </c>
      <c r="R8" t="s">
        <v>124</v>
      </c>
      <c r="S8" t="b">
        <v>0</v>
      </c>
      <c r="T8" t="s">
        <v>124</v>
      </c>
    </row>
    <row r="9">
      <c r="A9" t="s">
        <v>145</v>
      </c>
      <c r="B9" t="s">
        <v>146</v>
      </c>
      <c r="C9" s="2">
        <v>2026</v>
      </c>
      <c r="D9" s="10">
        <v>5</v>
      </c>
      <c r="E9" s="10">
        <v>31</v>
      </c>
      <c r="F9" t="s">
        <v>147</v>
      </c>
      <c r="G9">
        <v>2717</v>
      </c>
      <c r="H9" t="s">
        <v>128</v>
      </c>
      <c r="I9" t="s">
        <v>136</v>
      </c>
      <c r="J9" s="10" t="str">
        <f>VLOOKUP(I9,Categories!A:B,2,FALSE)</f>
        <v>อื่นๆ</v>
      </c>
      <c r="K9" t="s">
        <v>131</v>
      </c>
      <c r="L9" s="10" t="str">
        <f>VLOOKUP(K9,Accounts!A:B,2,FALSE)</f>
        <v xml:space="preserve">Advance Paid</v>
      </c>
      <c r="M9" t="s">
        <v>123</v>
      </c>
      <c r="N9" s="10" t="str">
        <f>VLOOKUP(M9,Accounts!A:B,2,FALSE)</f>
        <v>KBank</v>
      </c>
      <c r="O9" t="s">
        <v>125</v>
      </c>
      <c r="Q9" t="s">
        <v>126</v>
      </c>
      <c r="R9" t="s">
        <v>124</v>
      </c>
      <c r="S9" t="b">
        <v>0</v>
      </c>
      <c r="T9" t="s">
        <v>124</v>
      </c>
    </row>
    <row r="10">
      <c r="A10" t="s">
        <v>148</v>
      </c>
      <c r="B10" t="s">
        <v>146</v>
      </c>
      <c r="C10" s="2">
        <v>2026</v>
      </c>
      <c r="D10" s="10">
        <v>5</v>
      </c>
      <c r="E10" s="10">
        <v>31</v>
      </c>
      <c r="F10" t="s">
        <v>149</v>
      </c>
      <c r="G10">
        <v>125</v>
      </c>
      <c r="H10" t="s">
        <v>69</v>
      </c>
      <c r="I10" t="s">
        <v>150</v>
      </c>
      <c r="J10" s="10" t="str">
        <f>VLOOKUP(I10,Categories!A:B,2,FALSE)</f>
        <v xml:space="preserve">Food &amp; Coff</v>
      </c>
      <c r="K10" t="s">
        <v>131</v>
      </c>
      <c r="L10" s="10" t="str">
        <f>VLOOKUP(K10,Accounts!A:B,2,FALSE)</f>
        <v xml:space="preserve">Advance Paid</v>
      </c>
      <c r="M10" t="s">
        <v>124</v>
      </c>
      <c r="N10" s="10"/>
      <c r="O10" t="s">
        <v>125</v>
      </c>
      <c r="Q10" t="s">
        <v>126</v>
      </c>
      <c r="R10" t="s">
        <v>124</v>
      </c>
      <c r="S10" t="b">
        <v>0</v>
      </c>
      <c r="T10" t="s">
        <v>124</v>
      </c>
    </row>
    <row r="11">
      <c r="A11" t="s">
        <v>151</v>
      </c>
      <c r="B11" t="s">
        <v>146</v>
      </c>
      <c r="C11" s="2">
        <v>2026</v>
      </c>
      <c r="D11" s="10">
        <v>5</v>
      </c>
      <c r="E11" s="10">
        <v>31</v>
      </c>
      <c r="F11" t="s">
        <v>149</v>
      </c>
      <c r="G11">
        <v>878</v>
      </c>
      <c r="H11" t="s">
        <v>69</v>
      </c>
      <c r="I11" t="s">
        <v>152</v>
      </c>
      <c r="J11" s="10" t="str">
        <f>VLOOKUP(I11,Categories!A:B,2,FALSE)</f>
        <v xml:space="preserve">Office Suit</v>
      </c>
      <c r="K11" t="s">
        <v>131</v>
      </c>
      <c r="L11" s="10" t="str">
        <f>VLOOKUP(K11,Accounts!A:B,2,FALSE)</f>
        <v xml:space="preserve">Advance Paid</v>
      </c>
      <c r="M11" t="s">
        <v>124</v>
      </c>
      <c r="N11" s="10"/>
      <c r="O11" t="s">
        <v>125</v>
      </c>
      <c r="Q11" t="s">
        <v>126</v>
      </c>
      <c r="R11" t="s">
        <v>124</v>
      </c>
      <c r="S11" t="b">
        <v>0</v>
      </c>
      <c r="T11" t="s">
        <v>124</v>
      </c>
    </row>
    <row r="12">
      <c r="A12" t="s">
        <v>153</v>
      </c>
      <c r="B12" t="s">
        <v>146</v>
      </c>
      <c r="C12" s="2">
        <v>2026</v>
      </c>
      <c r="D12" s="10">
        <v>5</v>
      </c>
      <c r="E12" s="10">
        <v>31</v>
      </c>
      <c r="F12" t="s">
        <v>154</v>
      </c>
      <c r="G12">
        <v>412</v>
      </c>
      <c r="H12" t="s">
        <v>69</v>
      </c>
      <c r="I12" t="s">
        <v>155</v>
      </c>
      <c r="J12" s="10" t="str">
        <f>VLOOKUP(I12,Categories!A:B,2,FALSE)</f>
        <v>Gashapon</v>
      </c>
      <c r="K12" t="s">
        <v>131</v>
      </c>
      <c r="L12" s="10" t="str">
        <f>VLOOKUP(K12,Accounts!A:B,2,FALSE)</f>
        <v xml:space="preserve">Advance Paid</v>
      </c>
      <c r="M12" t="s">
        <v>124</v>
      </c>
      <c r="N12" s="10"/>
      <c r="O12" t="s">
        <v>125</v>
      </c>
      <c r="Q12" t="s">
        <v>126</v>
      </c>
      <c r="R12" t="s">
        <v>124</v>
      </c>
      <c r="S12" t="b">
        <v>0</v>
      </c>
      <c r="T12" t="s">
        <v>124</v>
      </c>
    </row>
    <row r="13">
      <c r="A13" t="s">
        <v>156</v>
      </c>
      <c r="B13" t="s">
        <v>146</v>
      </c>
      <c r="C13" s="2">
        <v>2026</v>
      </c>
      <c r="D13" s="10">
        <v>5</v>
      </c>
      <c r="E13" s="10">
        <v>31</v>
      </c>
      <c r="F13" t="s">
        <v>154</v>
      </c>
      <c r="G13">
        <v>529</v>
      </c>
      <c r="H13" t="s">
        <v>69</v>
      </c>
      <c r="I13" t="s">
        <v>157</v>
      </c>
      <c r="J13" s="10" t="str">
        <f>VLOOKUP(I13,Categories!A:B,2,FALSE)</f>
        <v>Boardgame</v>
      </c>
      <c r="K13" t="s">
        <v>131</v>
      </c>
      <c r="L13" s="10" t="str">
        <f>VLOOKUP(K13,Accounts!A:B,2,FALSE)</f>
        <v xml:space="preserve">Advance Paid</v>
      </c>
      <c r="M13" t="s">
        <v>124</v>
      </c>
      <c r="N13" s="10"/>
      <c r="O13" t="s">
        <v>125</v>
      </c>
      <c r="Q13" t="s">
        <v>126</v>
      </c>
      <c r="R13" t="s">
        <v>124</v>
      </c>
      <c r="S13" t="b">
        <v>0</v>
      </c>
      <c r="T13" t="s">
        <v>124</v>
      </c>
    </row>
    <row r="14">
      <c r="A14" t="s">
        <v>158</v>
      </c>
      <c r="B14" t="s">
        <v>146</v>
      </c>
      <c r="C14" s="2">
        <v>2026</v>
      </c>
      <c r="D14" s="10">
        <v>5</v>
      </c>
      <c r="E14" s="10">
        <v>31</v>
      </c>
      <c r="F14" t="s">
        <v>159</v>
      </c>
      <c r="G14">
        <v>241</v>
      </c>
      <c r="H14" t="s">
        <v>69</v>
      </c>
      <c r="I14" t="s">
        <v>160</v>
      </c>
      <c r="J14" s="10" t="str">
        <f>VLOOKUP(I14,Categories!A:B,2,FALSE)</f>
        <v>Fashion</v>
      </c>
      <c r="K14" t="s">
        <v>131</v>
      </c>
      <c r="L14" s="10" t="str">
        <f>VLOOKUP(K14,Accounts!A:B,2,FALSE)</f>
        <v xml:space="preserve">Advance Paid</v>
      </c>
      <c r="M14" t="s">
        <v>124</v>
      </c>
      <c r="N14" s="10"/>
      <c r="O14" t="s">
        <v>125</v>
      </c>
      <c r="Q14" t="s">
        <v>126</v>
      </c>
      <c r="R14" t="s">
        <v>124</v>
      </c>
      <c r="S14" t="b">
        <v>0</v>
      </c>
      <c r="T14" t="s">
        <v>124</v>
      </c>
    </row>
    <row r="15">
      <c r="A15" t="s">
        <v>161</v>
      </c>
      <c r="B15" t="s">
        <v>146</v>
      </c>
      <c r="C15" s="2">
        <v>2026</v>
      </c>
      <c r="D15" s="10">
        <v>5</v>
      </c>
      <c r="E15" s="10">
        <v>31</v>
      </c>
      <c r="F15" t="s">
        <v>159</v>
      </c>
      <c r="G15">
        <v>272</v>
      </c>
      <c r="H15" t="s">
        <v>69</v>
      </c>
      <c r="I15" t="s">
        <v>122</v>
      </c>
      <c r="J15" s="10" t="str">
        <f>VLOOKUP(I15,Categories!A:B,2,FALSE)</f>
        <v>Other</v>
      </c>
      <c r="K15" t="s">
        <v>131</v>
      </c>
      <c r="L15" s="10" t="str">
        <f>VLOOKUP(K15,Accounts!A:B,2,FALSE)</f>
        <v xml:space="preserve">Advance Paid</v>
      </c>
      <c r="M15" t="s">
        <v>124</v>
      </c>
      <c r="N15" s="10"/>
      <c r="O15" t="s">
        <v>125</v>
      </c>
      <c r="Q15" t="s">
        <v>126</v>
      </c>
      <c r="R15" t="s">
        <v>124</v>
      </c>
      <c r="S15" t="b">
        <v>0</v>
      </c>
      <c r="T15" t="s">
        <v>124</v>
      </c>
    </row>
    <row r="16">
      <c r="A16" t="s">
        <v>162</v>
      </c>
      <c r="B16" t="s">
        <v>146</v>
      </c>
      <c r="C16" s="2">
        <v>2026</v>
      </c>
      <c r="D16" s="10">
        <v>5</v>
      </c>
      <c r="E16" s="10">
        <v>31</v>
      </c>
      <c r="F16" t="s">
        <v>163</v>
      </c>
      <c r="G16">
        <v>1680</v>
      </c>
      <c r="H16" t="s">
        <v>128</v>
      </c>
      <c r="I16" t="s">
        <v>136</v>
      </c>
      <c r="J16" s="10" t="str">
        <f>VLOOKUP(I16,Categories!A:B,2,FALSE)</f>
        <v>อื่นๆ</v>
      </c>
      <c r="K16" t="s">
        <v>131</v>
      </c>
      <c r="L16" s="10" t="str">
        <f>VLOOKUP(K16,Accounts!A:B,2,FALSE)</f>
        <v xml:space="preserve">Advance Paid</v>
      </c>
      <c r="M16" t="s">
        <v>123</v>
      </c>
      <c r="N16" s="10" t="str">
        <f>VLOOKUP(M16,Accounts!A:B,2,FALSE)</f>
        <v>KBank</v>
      </c>
      <c r="O16" t="s">
        <v>164</v>
      </c>
      <c r="Q16" t="s">
        <v>126</v>
      </c>
      <c r="R16" t="s">
        <v>124</v>
      </c>
      <c r="S16" t="b">
        <v>0</v>
      </c>
      <c r="T16" t="s">
        <v>124</v>
      </c>
    </row>
    <row r="17">
      <c r="A17" t="s">
        <v>165</v>
      </c>
      <c r="B17" t="s">
        <v>146</v>
      </c>
      <c r="C17" s="2">
        <v>2026</v>
      </c>
      <c r="D17" s="10">
        <v>5</v>
      </c>
      <c r="E17" s="10">
        <v>31</v>
      </c>
      <c r="F17" t="s">
        <v>166</v>
      </c>
      <c r="G17">
        <v>320</v>
      </c>
      <c r="H17" t="s">
        <v>69</v>
      </c>
      <c r="I17" t="s">
        <v>144</v>
      </c>
      <c r="J17" s="10" t="str">
        <f>VLOOKUP(I17,Categories!A:B,2,FALSE)</f>
        <v xml:space="preserve">Family paid</v>
      </c>
      <c r="K17" t="s">
        <v>131</v>
      </c>
      <c r="L17" s="10" t="str">
        <f>VLOOKUP(K17,Accounts!A:B,2,FALSE)</f>
        <v xml:space="preserve">Advance Paid</v>
      </c>
      <c r="M17" t="s">
        <v>124</v>
      </c>
      <c r="N17" s="10"/>
      <c r="O17" t="s">
        <v>167</v>
      </c>
      <c r="Q17" t="s">
        <v>126</v>
      </c>
      <c r="R17" t="s">
        <v>124</v>
      </c>
      <c r="S17" t="b">
        <v>0</v>
      </c>
      <c r="T17" t="s">
        <v>124</v>
      </c>
    </row>
    <row r="18">
      <c r="A18" t="s">
        <v>168</v>
      </c>
      <c r="B18" t="s">
        <v>146</v>
      </c>
      <c r="C18" s="2">
        <v>2026</v>
      </c>
      <c r="D18" s="10">
        <v>5</v>
      </c>
      <c r="E18" s="10">
        <v>31</v>
      </c>
      <c r="F18" t="s">
        <v>166</v>
      </c>
      <c r="G18">
        <v>485</v>
      </c>
      <c r="H18" t="s">
        <v>69</v>
      </c>
      <c r="I18" t="s">
        <v>169</v>
      </c>
      <c r="J18" s="10" t="str">
        <f>VLOOKUP(I18,Categories!A:B,2,FALSE)</f>
        <v xml:space="preserve">App &amp; Game</v>
      </c>
      <c r="K18" t="s">
        <v>131</v>
      </c>
      <c r="L18" s="10" t="str">
        <f>VLOOKUP(K18,Accounts!A:B,2,FALSE)</f>
        <v xml:space="preserve">Advance Paid</v>
      </c>
      <c r="M18" t="s">
        <v>124</v>
      </c>
      <c r="N18" s="10"/>
      <c r="O18" t="s">
        <v>125</v>
      </c>
      <c r="Q18" t="s">
        <v>126</v>
      </c>
      <c r="R18" t="s">
        <v>124</v>
      </c>
      <c r="S18" t="b">
        <v>0</v>
      </c>
      <c r="T18" t="s">
        <v>124</v>
      </c>
    </row>
    <row r="19">
      <c r="A19" t="s">
        <v>170</v>
      </c>
      <c r="B19" t="s">
        <v>146</v>
      </c>
      <c r="C19" s="2">
        <v>2026</v>
      </c>
      <c r="D19" s="10">
        <v>5</v>
      </c>
      <c r="E19" s="10">
        <v>31</v>
      </c>
      <c r="F19" t="s">
        <v>171</v>
      </c>
      <c r="G19">
        <v>300</v>
      </c>
      <c r="H19" t="s">
        <v>69</v>
      </c>
      <c r="I19" t="s">
        <v>122</v>
      </c>
      <c r="J19" s="10" t="str">
        <f>VLOOKUP(I19,Categories!A:B,2,FALSE)</f>
        <v>Other</v>
      </c>
      <c r="K19" t="s">
        <v>131</v>
      </c>
      <c r="L19" s="10" t="str">
        <f>VLOOKUP(K19,Accounts!A:B,2,FALSE)</f>
        <v xml:space="preserve">Advance Paid</v>
      </c>
      <c r="M19" t="s">
        <v>124</v>
      </c>
      <c r="N19" s="10"/>
      <c r="O19" t="s">
        <v>172</v>
      </c>
      <c r="Q19" t="s">
        <v>126</v>
      </c>
      <c r="R19" t="s">
        <v>124</v>
      </c>
      <c r="S19" t="b">
        <v>0</v>
      </c>
      <c r="T19" t="s">
        <v>124</v>
      </c>
    </row>
    <row r="20">
      <c r="A20" t="s">
        <v>173</v>
      </c>
      <c r="B20" t="s">
        <v>146</v>
      </c>
      <c r="C20" s="2">
        <v>2026</v>
      </c>
      <c r="D20" s="10">
        <v>5</v>
      </c>
      <c r="E20" s="10">
        <v>31</v>
      </c>
      <c r="F20" t="s">
        <v>171</v>
      </c>
      <c r="G20">
        <v>2108</v>
      </c>
      <c r="H20" t="s">
        <v>69</v>
      </c>
      <c r="I20" t="s">
        <v>150</v>
      </c>
      <c r="J20" s="10" t="str">
        <f>VLOOKUP(I20,Categories!A:B,2,FALSE)</f>
        <v xml:space="preserve">Food &amp; Coff</v>
      </c>
      <c r="K20" t="s">
        <v>131</v>
      </c>
      <c r="L20" s="10" t="str">
        <f>VLOOKUP(K20,Accounts!A:B,2,FALSE)</f>
        <v xml:space="preserve">Advance Paid</v>
      </c>
      <c r="M20" t="s">
        <v>124</v>
      </c>
      <c r="N20" s="10"/>
      <c r="O20" t="s">
        <v>125</v>
      </c>
      <c r="Q20" t="s">
        <v>126</v>
      </c>
      <c r="R20" t="s">
        <v>124</v>
      </c>
      <c r="S20" t="b">
        <v>0</v>
      </c>
      <c r="T20" t="s">
        <v>124</v>
      </c>
    </row>
    <row r="21">
      <c r="A21" t="s">
        <v>174</v>
      </c>
      <c r="B21" t="s">
        <v>146</v>
      </c>
      <c r="C21" s="2">
        <v>2026</v>
      </c>
      <c r="D21" s="10">
        <v>5</v>
      </c>
      <c r="E21" s="10">
        <v>31</v>
      </c>
      <c r="F21" t="s">
        <v>175</v>
      </c>
      <c r="G21">
        <v>31486.369999999999</v>
      </c>
      <c r="H21" t="s">
        <v>128</v>
      </c>
      <c r="I21" t="s">
        <v>136</v>
      </c>
      <c r="J21" s="10" t="str">
        <f>VLOOKUP(I21,Categories!A:B,2,FALSE)</f>
        <v>อื่นๆ</v>
      </c>
      <c r="K21" t="s">
        <v>131</v>
      </c>
      <c r="L21" s="10" t="str">
        <f>VLOOKUP(K21,Accounts!A:B,2,FALSE)</f>
        <v xml:space="preserve">Advance Paid</v>
      </c>
      <c r="M21" t="s">
        <v>123</v>
      </c>
      <c r="N21" s="10" t="str">
        <f>VLOOKUP(M21,Accounts!A:B,2,FALSE)</f>
        <v>KBank</v>
      </c>
      <c r="O21" t="s">
        <v>125</v>
      </c>
      <c r="Q21" t="s">
        <v>126</v>
      </c>
      <c r="R21" t="s">
        <v>124</v>
      </c>
      <c r="S21" t="b">
        <v>0</v>
      </c>
      <c r="T21" t="s">
        <v>124</v>
      </c>
    </row>
    <row r="22">
      <c r="A22" t="s">
        <v>176</v>
      </c>
      <c r="B22" t="s">
        <v>146</v>
      </c>
      <c r="C22" s="2">
        <v>2026</v>
      </c>
      <c r="D22" s="10">
        <v>5</v>
      </c>
      <c r="E22" s="10">
        <v>31</v>
      </c>
      <c r="F22" t="s">
        <v>177</v>
      </c>
      <c r="G22">
        <v>100</v>
      </c>
      <c r="H22" t="s">
        <v>128</v>
      </c>
      <c r="I22" t="s">
        <v>136</v>
      </c>
      <c r="J22" s="10" t="str">
        <f>VLOOKUP(I22,Categories!A:B,2,FALSE)</f>
        <v>อื่นๆ</v>
      </c>
      <c r="K22" t="s">
        <v>123</v>
      </c>
      <c r="L22" s="10" t="str">
        <f>VLOOKUP(K22,Accounts!A:B,2,FALSE)</f>
        <v>KBank</v>
      </c>
      <c r="M22" t="s">
        <v>178</v>
      </c>
      <c r="N22" s="10" t="str">
        <f>VLOOKUP(M22,Accounts!A:B,2,FALSE)</f>
        <v>SCB</v>
      </c>
      <c r="O22" t="s">
        <v>125</v>
      </c>
      <c r="Q22" t="s">
        <v>126</v>
      </c>
      <c r="R22" t="s">
        <v>124</v>
      </c>
      <c r="S22" t="b">
        <v>0</v>
      </c>
      <c r="T22" t="s">
        <v>124</v>
      </c>
    </row>
    <row r="23">
      <c r="A23" t="s">
        <v>179</v>
      </c>
      <c r="B23" t="s">
        <v>146</v>
      </c>
      <c r="C23" s="2">
        <v>2026</v>
      </c>
      <c r="D23" s="10">
        <v>5</v>
      </c>
      <c r="E23" s="10">
        <v>31</v>
      </c>
      <c r="F23" t="s">
        <v>180</v>
      </c>
      <c r="G23">
        <v>3743</v>
      </c>
      <c r="H23" t="s">
        <v>128</v>
      </c>
      <c r="I23" t="s">
        <v>136</v>
      </c>
      <c r="J23" s="10" t="str">
        <f>VLOOKUP(I23,Categories!A:B,2,FALSE)</f>
        <v>อื่นๆ</v>
      </c>
      <c r="K23" t="s">
        <v>131</v>
      </c>
      <c r="L23" s="10" t="str">
        <f>VLOOKUP(K23,Accounts!A:B,2,FALSE)</f>
        <v xml:space="preserve">Advance Paid</v>
      </c>
      <c r="M23" t="s">
        <v>130</v>
      </c>
      <c r="N23" s="10" t="str">
        <f>VLOOKUP(M23,Accounts!A:B,2,FALSE)</f>
        <v xml:space="preserve">KTC JCB</v>
      </c>
      <c r="O23" t="s">
        <v>181</v>
      </c>
      <c r="Q23" t="s">
        <v>126</v>
      </c>
      <c r="R23" t="s">
        <v>124</v>
      </c>
      <c r="S23" t="b">
        <v>0</v>
      </c>
      <c r="T23" t="s">
        <v>124</v>
      </c>
    </row>
    <row r="24">
      <c r="A24" t="s">
        <v>182</v>
      </c>
      <c r="B24" t="s">
        <v>146</v>
      </c>
      <c r="C24" s="2">
        <v>2026</v>
      </c>
      <c r="D24" s="10">
        <v>5</v>
      </c>
      <c r="E24" s="10">
        <v>31</v>
      </c>
      <c r="F24" t="s">
        <v>183</v>
      </c>
      <c r="G24">
        <v>3900</v>
      </c>
      <c r="H24" t="s">
        <v>69</v>
      </c>
      <c r="I24" t="s">
        <v>150</v>
      </c>
      <c r="J24" s="10" t="str">
        <f>VLOOKUP(I24,Categories!A:B,2,FALSE)</f>
        <v xml:space="preserve">Food &amp; Coff</v>
      </c>
      <c r="K24" t="s">
        <v>137</v>
      </c>
      <c r="L24" s="10" t="str">
        <f>VLOOKUP(K24,Accounts!A:B,2,FALSE)</f>
        <v xml:space="preserve">Make Kbank</v>
      </c>
      <c r="M24" t="s">
        <v>124</v>
      </c>
      <c r="N24" s="10"/>
      <c r="O24" t="s">
        <v>125</v>
      </c>
      <c r="Q24" t="s">
        <v>126</v>
      </c>
      <c r="R24" t="s">
        <v>124</v>
      </c>
      <c r="S24" t="b">
        <v>0</v>
      </c>
      <c r="T24" t="s">
        <v>124</v>
      </c>
    </row>
    <row r="25">
      <c r="A25" t="s">
        <v>184</v>
      </c>
      <c r="B25" t="s">
        <v>146</v>
      </c>
      <c r="C25" s="2">
        <v>2026</v>
      </c>
      <c r="D25" s="10">
        <v>5</v>
      </c>
      <c r="E25" s="10">
        <v>31</v>
      </c>
      <c r="F25" t="s">
        <v>185</v>
      </c>
      <c r="G25">
        <v>1085</v>
      </c>
      <c r="H25" t="s">
        <v>69</v>
      </c>
      <c r="I25" t="s">
        <v>141</v>
      </c>
      <c r="J25" s="10" t="str">
        <f>VLOOKUP(I25,Categories!A:B,2,FALSE)</f>
        <v>Other</v>
      </c>
      <c r="K25" t="s">
        <v>130</v>
      </c>
      <c r="L25" s="10" t="str">
        <f>VLOOKUP(K25,Accounts!A:B,2,FALSE)</f>
        <v xml:space="preserve">KTC JCB</v>
      </c>
      <c r="M25" t="s">
        <v>124</v>
      </c>
      <c r="N25" s="10"/>
      <c r="O25" t="s">
        <v>186</v>
      </c>
      <c r="Q25" t="s">
        <v>126</v>
      </c>
      <c r="R25" t="s">
        <v>124</v>
      </c>
      <c r="S25" t="b">
        <v>0</v>
      </c>
      <c r="T25" t="s">
        <v>124</v>
      </c>
    </row>
    <row r="26">
      <c r="A26" t="s">
        <v>187</v>
      </c>
      <c r="B26" t="s">
        <v>188</v>
      </c>
      <c r="C26" s="2">
        <v>2026</v>
      </c>
      <c r="D26" s="10">
        <v>5</v>
      </c>
      <c r="E26" s="10">
        <v>27</v>
      </c>
      <c r="F26" t="s">
        <v>189</v>
      </c>
      <c r="G26">
        <v>200</v>
      </c>
      <c r="H26" t="s">
        <v>69</v>
      </c>
      <c r="I26" t="s">
        <v>122</v>
      </c>
      <c r="J26" s="10" t="str">
        <f>VLOOKUP(I26,Categories!A:B,2,FALSE)</f>
        <v>Other</v>
      </c>
      <c r="K26" t="s">
        <v>123</v>
      </c>
      <c r="L26" s="10" t="str">
        <f>VLOOKUP(K26,Accounts!A:B,2,FALSE)</f>
        <v>KBank</v>
      </c>
      <c r="M26" t="s">
        <v>124</v>
      </c>
      <c r="N26" s="10"/>
      <c r="O26" t="s">
        <v>125</v>
      </c>
      <c r="Q26" t="s">
        <v>126</v>
      </c>
      <c r="R26" t="s">
        <v>124</v>
      </c>
      <c r="S26" t="b">
        <v>0</v>
      </c>
      <c r="T26" t="s">
        <v>124</v>
      </c>
    </row>
    <row r="27">
      <c r="A27" t="s">
        <v>190</v>
      </c>
      <c r="B27" t="s">
        <v>188</v>
      </c>
      <c r="C27" s="2">
        <v>2026</v>
      </c>
      <c r="D27" s="10">
        <v>5</v>
      </c>
      <c r="E27" s="10">
        <v>27</v>
      </c>
      <c r="F27" t="s">
        <v>191</v>
      </c>
      <c r="G27">
        <v>45029.790000000001</v>
      </c>
      <c r="H27" t="s">
        <v>128</v>
      </c>
      <c r="I27" t="s">
        <v>136</v>
      </c>
      <c r="J27" s="10" t="str">
        <f>VLOOKUP(I27,Categories!A:B,2,FALSE)</f>
        <v>อื่นๆ</v>
      </c>
      <c r="K27" t="s">
        <v>123</v>
      </c>
      <c r="L27" s="10" t="str">
        <f>VLOOKUP(K27,Accounts!A:B,2,FALSE)</f>
        <v>KBank</v>
      </c>
      <c r="M27" t="s">
        <v>131</v>
      </c>
      <c r="N27" s="10" t="str">
        <f>VLOOKUP(M27,Accounts!A:B,2,FALSE)</f>
        <v xml:space="preserve">Advance Paid</v>
      </c>
      <c r="O27" t="s">
        <v>192</v>
      </c>
      <c r="Q27" t="s">
        <v>126</v>
      </c>
      <c r="R27" t="s">
        <v>124</v>
      </c>
      <c r="S27" t="b">
        <v>0</v>
      </c>
      <c r="T27" t="s">
        <v>124</v>
      </c>
    </row>
    <row r="28">
      <c r="A28" t="s">
        <v>193</v>
      </c>
      <c r="B28" t="s">
        <v>194</v>
      </c>
      <c r="C28" s="2">
        <v>2026</v>
      </c>
      <c r="D28" s="10">
        <v>5</v>
      </c>
      <c r="E28" s="10">
        <v>25</v>
      </c>
      <c r="F28" t="s">
        <v>121</v>
      </c>
      <c r="G28">
        <v>6894.8000000000002</v>
      </c>
      <c r="H28" t="s">
        <v>69</v>
      </c>
      <c r="I28" t="s">
        <v>195</v>
      </c>
      <c r="J28" s="10" t="str">
        <f>VLOOKUP(I28,Categories!A:B,2,FALSE)</f>
        <v>Tax</v>
      </c>
      <c r="K28" t="s">
        <v>123</v>
      </c>
      <c r="L28" s="10" t="str">
        <f>VLOOKUP(K28,Accounts!A:B,2,FALSE)</f>
        <v>KBank</v>
      </c>
      <c r="M28" t="s">
        <v>124</v>
      </c>
      <c r="N28" s="10"/>
      <c r="O28" t="s">
        <v>125</v>
      </c>
      <c r="Q28" t="s">
        <v>126</v>
      </c>
      <c r="R28" t="s">
        <v>124</v>
      </c>
      <c r="S28" t="b">
        <v>0</v>
      </c>
      <c r="T28" t="s">
        <v>124</v>
      </c>
    </row>
    <row r="29">
      <c r="A29" t="s">
        <v>196</v>
      </c>
      <c r="B29" t="s">
        <v>194</v>
      </c>
      <c r="C29" s="2">
        <v>2026</v>
      </c>
      <c r="D29" s="10">
        <v>5</v>
      </c>
      <c r="E29" s="10">
        <v>25</v>
      </c>
      <c r="F29" t="s">
        <v>121</v>
      </c>
      <c r="G29">
        <v>9790</v>
      </c>
      <c r="H29" t="s">
        <v>69</v>
      </c>
      <c r="I29" t="s">
        <v>197</v>
      </c>
      <c r="J29" s="10" t="str">
        <f>VLOOKUP(I29,Categories!A:B,2,FALSE)</f>
        <v xml:space="preserve">Initial Home loan</v>
      </c>
      <c r="K29" t="s">
        <v>123</v>
      </c>
      <c r="L29" s="10" t="str">
        <f>VLOOKUP(K29,Accounts!A:B,2,FALSE)</f>
        <v>KBank</v>
      </c>
      <c r="M29" t="s">
        <v>124</v>
      </c>
      <c r="N29" s="10"/>
      <c r="O29" t="s">
        <v>125</v>
      </c>
      <c r="Q29" t="s">
        <v>126</v>
      </c>
      <c r="R29" t="s">
        <v>124</v>
      </c>
      <c r="S29" t="b">
        <v>0</v>
      </c>
      <c r="T29" t="s">
        <v>124</v>
      </c>
    </row>
    <row r="30">
      <c r="A30" t="s">
        <v>198</v>
      </c>
      <c r="B30" t="s">
        <v>194</v>
      </c>
      <c r="C30" s="2">
        <v>2026</v>
      </c>
      <c r="D30" s="10">
        <v>5</v>
      </c>
      <c r="E30" s="10">
        <v>25</v>
      </c>
      <c r="F30" t="s">
        <v>121</v>
      </c>
      <c r="G30">
        <v>1917.52</v>
      </c>
      <c r="H30" t="s">
        <v>69</v>
      </c>
      <c r="I30" t="s">
        <v>199</v>
      </c>
      <c r="J30" s="10" t="str">
        <f>VLOOKUP(I30,Categories!A:B,2,FALSE)</f>
        <v xml:space="preserve">Home Chomthong Interest</v>
      </c>
      <c r="K30" t="s">
        <v>123</v>
      </c>
      <c r="L30" s="10" t="str">
        <f>VLOOKUP(K30,Accounts!A:B,2,FALSE)</f>
        <v>KBank</v>
      </c>
      <c r="M30" t="s">
        <v>124</v>
      </c>
      <c r="N30" s="10"/>
      <c r="O30" t="s">
        <v>125</v>
      </c>
      <c r="Q30" t="s">
        <v>126</v>
      </c>
      <c r="R30" t="s">
        <v>124</v>
      </c>
      <c r="S30" t="b">
        <v>0</v>
      </c>
      <c r="T30" t="s">
        <v>124</v>
      </c>
    </row>
    <row r="31">
      <c r="A31" t="s">
        <v>200</v>
      </c>
      <c r="B31" t="s">
        <v>194</v>
      </c>
      <c r="C31" s="2">
        <v>2026</v>
      </c>
      <c r="D31" s="10">
        <v>5</v>
      </c>
      <c r="E31" s="10">
        <v>25</v>
      </c>
      <c r="F31" t="s">
        <v>121</v>
      </c>
      <c r="G31">
        <v>500</v>
      </c>
      <c r="H31" t="s">
        <v>128</v>
      </c>
      <c r="I31" t="s">
        <v>136</v>
      </c>
      <c r="J31" s="10" t="str">
        <f>VLOOKUP(I31,Categories!A:B,2,FALSE)</f>
        <v>อื่นๆ</v>
      </c>
      <c r="K31" t="s">
        <v>123</v>
      </c>
      <c r="L31" s="10" t="str">
        <f>VLOOKUP(K31,Accounts!A:B,2,FALSE)</f>
        <v>KBank</v>
      </c>
      <c r="M31" t="s">
        <v>201</v>
      </c>
      <c r="N31" s="10" t="str">
        <f>VLOOKUP(M31,Accounts!A:B,2,FALSE)</f>
        <v>Coop</v>
      </c>
      <c r="O31" t="s">
        <v>125</v>
      </c>
      <c r="Q31" t="s">
        <v>126</v>
      </c>
      <c r="R31" t="s">
        <v>124</v>
      </c>
      <c r="S31" t="b">
        <v>0</v>
      </c>
      <c r="T31" t="s">
        <v>124</v>
      </c>
    </row>
    <row r="32">
      <c r="A32" t="s">
        <v>202</v>
      </c>
      <c r="B32" t="s">
        <v>194</v>
      </c>
      <c r="C32" s="2">
        <v>2026</v>
      </c>
      <c r="D32" s="10">
        <v>5</v>
      </c>
      <c r="E32" s="10">
        <v>25</v>
      </c>
      <c r="F32" t="s">
        <v>121</v>
      </c>
      <c r="G32">
        <v>3357</v>
      </c>
      <c r="H32" t="s">
        <v>128</v>
      </c>
      <c r="I32" t="s">
        <v>136</v>
      </c>
      <c r="J32" s="10" t="str">
        <f>VLOOKUP(I32,Categories!A:B,2,FALSE)</f>
        <v>อื่นๆ</v>
      </c>
      <c r="K32" t="s">
        <v>123</v>
      </c>
      <c r="L32" s="10" t="str">
        <f>VLOOKUP(K32,Accounts!A:B,2,FALSE)</f>
        <v>KBank</v>
      </c>
      <c r="M32" t="s">
        <v>203</v>
      </c>
      <c r="N32" s="10" t="str">
        <f>VLOOKUP(M32,Accounts!A:B,2,FALSE)</f>
        <v xml:space="preserve">Provident Fund</v>
      </c>
      <c r="O32" t="s">
        <v>204</v>
      </c>
      <c r="Q32" t="s">
        <v>126</v>
      </c>
      <c r="R32" t="s">
        <v>124</v>
      </c>
      <c r="S32" t="b">
        <v>0</v>
      </c>
      <c r="T32" t="s">
        <v>124</v>
      </c>
    </row>
    <row r="33">
      <c r="A33" t="s">
        <v>205</v>
      </c>
      <c r="B33" t="s">
        <v>194</v>
      </c>
      <c r="C33" s="2">
        <v>2026</v>
      </c>
      <c r="D33" s="10">
        <v>5</v>
      </c>
      <c r="E33" s="10">
        <v>25</v>
      </c>
      <c r="F33" t="s">
        <v>121</v>
      </c>
      <c r="G33">
        <v>167890</v>
      </c>
      <c r="H33" t="s">
        <v>206</v>
      </c>
      <c r="I33" t="s">
        <v>207</v>
      </c>
      <c r="J33" s="10" t="str">
        <f>VLOOKUP(I33,Categories!A:B,2,FALSE)</f>
        <v>Salary</v>
      </c>
      <c r="K33" t="s">
        <v>123</v>
      </c>
      <c r="L33" s="10" t="str">
        <f>VLOOKUP(K33,Accounts!A:B,2,FALSE)</f>
        <v>KBank</v>
      </c>
      <c r="M33" t="s">
        <v>124</v>
      </c>
      <c r="N33" s="10"/>
      <c r="O33" t="s">
        <v>125</v>
      </c>
      <c r="Q33" t="s">
        <v>126</v>
      </c>
      <c r="R33" t="s">
        <v>124</v>
      </c>
      <c r="S33" t="b">
        <v>0</v>
      </c>
      <c r="T33" t="s">
        <v>124</v>
      </c>
    </row>
    <row r="34">
      <c r="A34" t="s">
        <v>208</v>
      </c>
      <c r="B34" t="s">
        <v>209</v>
      </c>
      <c r="C34" s="2">
        <v>2026</v>
      </c>
      <c r="D34" s="10">
        <v>5</v>
      </c>
      <c r="E34" s="10">
        <v>13</v>
      </c>
      <c r="F34" t="s">
        <v>189</v>
      </c>
      <c r="G34">
        <v>260</v>
      </c>
      <c r="H34" t="s">
        <v>69</v>
      </c>
      <c r="I34" t="s">
        <v>150</v>
      </c>
      <c r="J34" s="10" t="str">
        <f>VLOOKUP(I34,Categories!A:B,2,FALSE)</f>
        <v xml:space="preserve">Food &amp; Coff</v>
      </c>
      <c r="K34" t="s">
        <v>123</v>
      </c>
      <c r="L34" s="10" t="str">
        <f>VLOOKUP(K34,Accounts!A:B,2,FALSE)</f>
        <v>KBank</v>
      </c>
      <c r="M34" t="s">
        <v>124</v>
      </c>
      <c r="N34" s="10"/>
      <c r="O34" t="s">
        <v>125</v>
      </c>
      <c r="Q34" t="s">
        <v>126</v>
      </c>
      <c r="R34" t="s">
        <v>124</v>
      </c>
      <c r="S34" t="b">
        <v>0</v>
      </c>
      <c r="T34" t="s">
        <v>124</v>
      </c>
    </row>
    <row r="35">
      <c r="A35" t="s">
        <v>210</v>
      </c>
      <c r="B35" t="s">
        <v>211</v>
      </c>
      <c r="C35" s="2">
        <v>2026</v>
      </c>
      <c r="D35" s="10">
        <v>5</v>
      </c>
      <c r="E35" s="10">
        <v>12</v>
      </c>
      <c r="F35" t="s">
        <v>212</v>
      </c>
      <c r="G35">
        <v>20000</v>
      </c>
      <c r="H35" t="s">
        <v>128</v>
      </c>
      <c r="I35" t="s">
        <v>136</v>
      </c>
      <c r="J35" s="10" t="str">
        <f>VLOOKUP(I35,Categories!A:B,2,FALSE)</f>
        <v>อื่นๆ</v>
      </c>
      <c r="K35" t="s">
        <v>123</v>
      </c>
      <c r="L35" s="10" t="str">
        <f>VLOOKUP(K35,Accounts!A:B,2,FALSE)</f>
        <v>KBank</v>
      </c>
      <c r="M35" t="s">
        <v>213</v>
      </c>
      <c r="N35" s="10" t="str">
        <f>VLOOKUP(M35,Accounts!A:B,2,FALSE)</f>
        <v xml:space="preserve">Krungthai Next</v>
      </c>
      <c r="O35" t="s">
        <v>125</v>
      </c>
      <c r="Q35" t="s">
        <v>126</v>
      </c>
      <c r="R35" t="s">
        <v>124</v>
      </c>
      <c r="S35" t="b">
        <v>0</v>
      </c>
      <c r="T35" t="s">
        <v>124</v>
      </c>
    </row>
    <row r="36">
      <c r="A36" t="s">
        <v>214</v>
      </c>
      <c r="B36" t="s">
        <v>66</v>
      </c>
      <c r="C36" s="2">
        <v>2026</v>
      </c>
      <c r="D36" s="10">
        <v>5</v>
      </c>
      <c r="E36" s="10">
        <v>5</v>
      </c>
      <c r="F36" t="s">
        <v>212</v>
      </c>
      <c r="G36">
        <v>305000</v>
      </c>
      <c r="H36" t="s">
        <v>128</v>
      </c>
      <c r="I36" t="s">
        <v>136</v>
      </c>
      <c r="J36" s="10" t="str">
        <f>VLOOKUP(I36,Categories!A:B,2,FALSE)</f>
        <v>อื่นๆ</v>
      </c>
      <c r="K36" t="s">
        <v>123</v>
      </c>
      <c r="L36" s="10" t="str">
        <f>VLOOKUP(K36,Accounts!A:B,2,FALSE)</f>
        <v>KBank</v>
      </c>
      <c r="M36" t="s">
        <v>215</v>
      </c>
      <c r="N36" s="10" t="str">
        <f>VLOOKUP(M36,Accounts!A:B,2,FALSE)</f>
        <v>Investment</v>
      </c>
      <c r="O36" t="s">
        <v>125</v>
      </c>
      <c r="Q36" t="s">
        <v>126</v>
      </c>
      <c r="R36" t="s">
        <v>124</v>
      </c>
      <c r="S36" t="b">
        <v>0</v>
      </c>
      <c r="T36" t="s">
        <v>124</v>
      </c>
    </row>
    <row r="37">
      <c r="A37" t="s">
        <v>216</v>
      </c>
      <c r="B37" t="s">
        <v>217</v>
      </c>
      <c r="C37" s="2">
        <v>2026</v>
      </c>
      <c r="D37" s="10">
        <v>5</v>
      </c>
      <c r="E37" s="10">
        <v>4</v>
      </c>
      <c r="F37" t="s">
        <v>121</v>
      </c>
      <c r="G37">
        <v>19000</v>
      </c>
      <c r="H37" t="s">
        <v>69</v>
      </c>
      <c r="I37" t="s">
        <v>134</v>
      </c>
      <c r="J37" s="10" t="str">
        <f>VLOOKUP(I37,Categories!A:B,2,FALSE)</f>
        <v>Hong</v>
      </c>
      <c r="K37" t="s">
        <v>123</v>
      </c>
      <c r="L37" s="10" t="str">
        <f>VLOOKUP(K37,Accounts!A:B,2,FALSE)</f>
        <v>KBank</v>
      </c>
      <c r="M37" t="s">
        <v>124</v>
      </c>
      <c r="N37" s="10"/>
      <c r="O37" t="s">
        <v>125</v>
      </c>
      <c r="Q37" t="s">
        <v>126</v>
      </c>
      <c r="R37" t="s">
        <v>124</v>
      </c>
      <c r="S37" t="b">
        <v>0</v>
      </c>
      <c r="T37" t="s">
        <v>124</v>
      </c>
    </row>
    <row r="38">
      <c r="A38" t="s">
        <v>218</v>
      </c>
      <c r="B38" t="s">
        <v>217</v>
      </c>
      <c r="C38" s="2">
        <v>2026</v>
      </c>
      <c r="D38" s="10">
        <v>5</v>
      </c>
      <c r="E38" s="10">
        <v>4</v>
      </c>
      <c r="F38" t="s">
        <v>219</v>
      </c>
      <c r="G38">
        <v>7264</v>
      </c>
      <c r="H38" t="s">
        <v>69</v>
      </c>
      <c r="I38" t="s">
        <v>139</v>
      </c>
      <c r="J38" s="10" t="str">
        <f>VLOOKUP(I38,Categories!A:B,2,FALSE)</f>
        <v>Condo</v>
      </c>
      <c r="K38" t="s">
        <v>123</v>
      </c>
      <c r="L38" s="10" t="str">
        <f>VLOOKUP(K38,Accounts!A:B,2,FALSE)</f>
        <v>KBank</v>
      </c>
      <c r="M38" t="s">
        <v>124</v>
      </c>
      <c r="N38" s="10"/>
      <c r="O38" t="s">
        <v>125</v>
      </c>
      <c r="Q38" t="s">
        <v>126</v>
      </c>
      <c r="R38" t="s">
        <v>124</v>
      </c>
      <c r="S38" t="b">
        <v>0</v>
      </c>
      <c r="T38" t="s">
        <v>124</v>
      </c>
    </row>
    <row r="39">
      <c r="A39" t="s">
        <v>220</v>
      </c>
      <c r="B39" t="s">
        <v>217</v>
      </c>
      <c r="C39" s="2">
        <v>2026</v>
      </c>
      <c r="D39" s="10">
        <v>5</v>
      </c>
      <c r="E39" s="10">
        <v>4</v>
      </c>
      <c r="F39" t="s">
        <v>221</v>
      </c>
      <c r="G39">
        <v>3480</v>
      </c>
      <c r="H39" t="s">
        <v>69</v>
      </c>
      <c r="I39" t="s">
        <v>141</v>
      </c>
      <c r="J39" s="10" t="str">
        <f>VLOOKUP(I39,Categories!A:B,2,FALSE)</f>
        <v>Other</v>
      </c>
      <c r="K39" t="s">
        <v>123</v>
      </c>
      <c r="L39" s="10" t="str">
        <f>VLOOKUP(K39,Accounts!A:B,2,FALSE)</f>
        <v>KBank</v>
      </c>
      <c r="M39" t="s">
        <v>124</v>
      </c>
      <c r="N39" s="10"/>
      <c r="O39" t="s">
        <v>222</v>
      </c>
      <c r="Q39" t="s">
        <v>126</v>
      </c>
      <c r="R39" t="s">
        <v>124</v>
      </c>
      <c r="S39" t="b">
        <v>0</v>
      </c>
      <c r="T39" t="s">
        <v>124</v>
      </c>
    </row>
    <row r="40">
      <c r="A40" t="s">
        <v>223</v>
      </c>
      <c r="B40" t="s">
        <v>217</v>
      </c>
      <c r="C40" s="2">
        <v>2026</v>
      </c>
      <c r="D40" s="10">
        <v>5</v>
      </c>
      <c r="E40" s="10">
        <v>4</v>
      </c>
      <c r="F40" t="s">
        <v>224</v>
      </c>
      <c r="G40">
        <v>320</v>
      </c>
      <c r="H40" t="s">
        <v>69</v>
      </c>
      <c r="I40" t="s">
        <v>144</v>
      </c>
      <c r="J40" s="10" t="str">
        <f>VLOOKUP(I40,Categories!A:B,2,FALSE)</f>
        <v xml:space="preserve">Family paid</v>
      </c>
      <c r="K40" t="s">
        <v>123</v>
      </c>
      <c r="L40" s="10" t="str">
        <f>VLOOKUP(K40,Accounts!A:B,2,FALSE)</f>
        <v>KBank</v>
      </c>
      <c r="M40" t="s">
        <v>124</v>
      </c>
      <c r="N40" s="10"/>
      <c r="O40" t="s">
        <v>125</v>
      </c>
      <c r="Q40" t="s">
        <v>126</v>
      </c>
      <c r="R40" t="s">
        <v>124</v>
      </c>
      <c r="S40" t="b">
        <v>0</v>
      </c>
      <c r="T40" t="s">
        <v>124</v>
      </c>
    </row>
    <row r="41">
      <c r="A41" t="s">
        <v>225</v>
      </c>
      <c r="B41" t="s">
        <v>217</v>
      </c>
      <c r="C41" s="2">
        <v>2026</v>
      </c>
      <c r="D41" s="10">
        <v>5</v>
      </c>
      <c r="E41" s="10">
        <v>4</v>
      </c>
      <c r="F41" t="s">
        <v>226</v>
      </c>
      <c r="G41">
        <v>849</v>
      </c>
      <c r="H41" t="s">
        <v>69</v>
      </c>
      <c r="I41" t="s">
        <v>169</v>
      </c>
      <c r="J41" s="10" t="str">
        <f>VLOOKUP(I41,Categories!A:B,2,FALSE)</f>
        <v xml:space="preserve">App &amp; Game</v>
      </c>
      <c r="K41" t="s">
        <v>123</v>
      </c>
      <c r="L41" s="10" t="str">
        <f>VLOOKUP(K41,Accounts!A:B,2,FALSE)</f>
        <v>KBank</v>
      </c>
      <c r="M41" t="s">
        <v>124</v>
      </c>
      <c r="N41" s="10"/>
      <c r="O41" t="s">
        <v>125</v>
      </c>
      <c r="Q41" t="s">
        <v>126</v>
      </c>
      <c r="R41" t="s">
        <v>124</v>
      </c>
      <c r="S41" t="b">
        <v>0</v>
      </c>
      <c r="T41" t="s">
        <v>124</v>
      </c>
    </row>
    <row r="42">
      <c r="A42" t="s">
        <v>227</v>
      </c>
      <c r="B42" t="s">
        <v>217</v>
      </c>
      <c r="C42" s="2">
        <v>2026</v>
      </c>
      <c r="D42" s="10">
        <v>5</v>
      </c>
      <c r="E42" s="10">
        <v>4</v>
      </c>
      <c r="F42" t="s">
        <v>228</v>
      </c>
      <c r="G42">
        <v>923</v>
      </c>
      <c r="H42" t="s">
        <v>128</v>
      </c>
      <c r="I42" t="s">
        <v>136</v>
      </c>
      <c r="J42" s="10" t="str">
        <f>VLOOKUP(I42,Categories!A:B,2,FALSE)</f>
        <v>อื่นๆ</v>
      </c>
      <c r="K42" t="s">
        <v>131</v>
      </c>
      <c r="L42" s="10" t="str">
        <f>VLOOKUP(K42,Accounts!A:B,2,FALSE)</f>
        <v xml:space="preserve">Advance Paid</v>
      </c>
      <c r="M42" t="s">
        <v>123</v>
      </c>
      <c r="N42" s="10" t="str">
        <f>VLOOKUP(M42,Accounts!A:B,2,FALSE)</f>
        <v>KBank</v>
      </c>
      <c r="O42" t="s">
        <v>229</v>
      </c>
      <c r="Q42" t="s">
        <v>126</v>
      </c>
      <c r="R42" t="s">
        <v>124</v>
      </c>
      <c r="S42" t="b">
        <v>0</v>
      </c>
      <c r="T42" t="s">
        <v>124</v>
      </c>
    </row>
    <row r="43">
      <c r="A43" t="s">
        <v>230</v>
      </c>
      <c r="B43" t="s">
        <v>217</v>
      </c>
      <c r="C43" s="2">
        <v>2026</v>
      </c>
      <c r="D43" s="10">
        <v>5</v>
      </c>
      <c r="E43" s="10">
        <v>4</v>
      </c>
      <c r="F43" t="s">
        <v>231</v>
      </c>
      <c r="G43">
        <v>30015</v>
      </c>
      <c r="H43" t="s">
        <v>128</v>
      </c>
      <c r="I43" t="s">
        <v>136</v>
      </c>
      <c r="J43" s="10" t="str">
        <f>VLOOKUP(I43,Categories!A:B,2,FALSE)</f>
        <v>อื่นๆ</v>
      </c>
      <c r="K43" t="s">
        <v>123</v>
      </c>
      <c r="L43" s="10" t="str">
        <f>VLOOKUP(K43,Accounts!A:B,2,FALSE)</f>
        <v>KBank</v>
      </c>
      <c r="M43" t="s">
        <v>131</v>
      </c>
      <c r="N43" s="10" t="str">
        <f>VLOOKUP(M43,Accounts!A:B,2,FALSE)</f>
        <v xml:space="preserve">Advance Paid</v>
      </c>
      <c r="O43" t="s">
        <v>232</v>
      </c>
      <c r="Q43" t="s">
        <v>126</v>
      </c>
      <c r="R43" t="s">
        <v>124</v>
      </c>
      <c r="S43" t="b">
        <v>0</v>
      </c>
      <c r="T43" t="s">
        <v>124</v>
      </c>
    </row>
    <row r="44">
      <c r="A44" t="s">
        <v>233</v>
      </c>
      <c r="B44" t="s">
        <v>217</v>
      </c>
      <c r="C44" s="2">
        <v>2026</v>
      </c>
      <c r="D44" s="10">
        <v>5</v>
      </c>
      <c r="E44" s="10">
        <v>4</v>
      </c>
      <c r="F44" t="s">
        <v>234</v>
      </c>
      <c r="G44">
        <v>15015</v>
      </c>
      <c r="H44" t="s">
        <v>128</v>
      </c>
      <c r="I44" t="s">
        <v>136</v>
      </c>
      <c r="J44" s="10" t="str">
        <f>VLOOKUP(I44,Categories!A:B,2,FALSE)</f>
        <v>อื่นๆ</v>
      </c>
      <c r="K44" t="s">
        <v>131</v>
      </c>
      <c r="L44" s="10" t="str">
        <f>VLOOKUP(K44,Accounts!A:B,2,FALSE)</f>
        <v xml:space="preserve">Advance Paid</v>
      </c>
      <c r="M44" t="s">
        <v>235</v>
      </c>
      <c r="N44" s="10" t="str">
        <f>VLOOKUP(M44,Accounts!A:B,2,FALSE)</f>
        <v xml:space="preserve">JPY cash</v>
      </c>
      <c r="O44" t="s">
        <v>125</v>
      </c>
      <c r="Q44" t="s">
        <v>126</v>
      </c>
      <c r="R44" t="s">
        <v>124</v>
      </c>
      <c r="S44" t="b">
        <v>0</v>
      </c>
      <c r="T44" t="s">
        <v>124</v>
      </c>
    </row>
    <row r="45">
      <c r="A45" t="s">
        <v>236</v>
      </c>
      <c r="B45" t="s">
        <v>237</v>
      </c>
      <c r="C45" s="2">
        <v>2026</v>
      </c>
      <c r="D45" s="10">
        <v>5</v>
      </c>
      <c r="E45" s="10">
        <v>3</v>
      </c>
      <c r="F45" t="s">
        <v>219</v>
      </c>
      <c r="G45">
        <v>200</v>
      </c>
      <c r="H45" t="s">
        <v>69</v>
      </c>
      <c r="I45" t="s">
        <v>144</v>
      </c>
      <c r="J45" s="10" t="str">
        <f>VLOOKUP(I45,Categories!A:B,2,FALSE)</f>
        <v xml:space="preserve">Family paid</v>
      </c>
      <c r="K45" t="s">
        <v>123</v>
      </c>
      <c r="L45" s="10" t="str">
        <f>VLOOKUP(K45,Accounts!A:B,2,FALSE)</f>
        <v>KBank</v>
      </c>
      <c r="M45" t="s">
        <v>124</v>
      </c>
      <c r="N45" s="10"/>
      <c r="O45" t="s">
        <v>125</v>
      </c>
      <c r="Q45" t="s">
        <v>126</v>
      </c>
      <c r="R45" t="s">
        <v>124</v>
      </c>
      <c r="S45" t="b">
        <v>0</v>
      </c>
      <c r="T45" t="s">
        <v>124</v>
      </c>
    </row>
    <row r="46">
      <c r="A46" t="s">
        <v>238</v>
      </c>
      <c r="B46" t="s">
        <v>237</v>
      </c>
      <c r="C46" s="2">
        <v>2026</v>
      </c>
      <c r="D46" s="10">
        <v>5</v>
      </c>
      <c r="E46" s="10">
        <v>3</v>
      </c>
      <c r="F46" t="s">
        <v>219</v>
      </c>
      <c r="G46">
        <v>8000</v>
      </c>
      <c r="H46" t="s">
        <v>69</v>
      </c>
      <c r="I46" t="s">
        <v>144</v>
      </c>
      <c r="J46" s="10" t="str">
        <f>VLOOKUP(I46,Categories!A:B,2,FALSE)</f>
        <v xml:space="preserve">Family paid</v>
      </c>
      <c r="K46" t="s">
        <v>123</v>
      </c>
      <c r="L46" s="10" t="str">
        <f>VLOOKUP(K46,Accounts!A:B,2,FALSE)</f>
        <v>KBank</v>
      </c>
      <c r="M46" t="s">
        <v>124</v>
      </c>
      <c r="N46" s="10"/>
      <c r="O46" t="s">
        <v>125</v>
      </c>
      <c r="Q46" t="s">
        <v>126</v>
      </c>
      <c r="R46" t="s">
        <v>124</v>
      </c>
      <c r="S46" t="b">
        <v>0</v>
      </c>
      <c r="T46" t="s">
        <v>124</v>
      </c>
    </row>
    <row r="47">
      <c r="A47" t="s">
        <v>239</v>
      </c>
      <c r="B47" t="s">
        <v>240</v>
      </c>
      <c r="C47" s="2">
        <v>2026</v>
      </c>
      <c r="D47" s="10">
        <v>5</v>
      </c>
      <c r="E47" s="10">
        <v>2</v>
      </c>
      <c r="F47" t="s">
        <v>241</v>
      </c>
      <c r="G47">
        <v>690</v>
      </c>
      <c r="H47" t="s">
        <v>69</v>
      </c>
      <c r="I47" t="s">
        <v>144</v>
      </c>
      <c r="J47" s="10" t="str">
        <f>VLOOKUP(I47,Categories!A:B,2,FALSE)</f>
        <v xml:space="preserve">Family paid</v>
      </c>
      <c r="K47" t="s">
        <v>123</v>
      </c>
      <c r="L47" s="10" t="str">
        <f>VLOOKUP(K47,Accounts!A:B,2,FALSE)</f>
        <v>KBank</v>
      </c>
      <c r="M47" t="s">
        <v>124</v>
      </c>
      <c r="N47" s="10"/>
      <c r="O47" t="s">
        <v>242</v>
      </c>
      <c r="Q47" t="s">
        <v>126</v>
      </c>
      <c r="R47" t="s">
        <v>124</v>
      </c>
      <c r="S47" t="b">
        <v>0</v>
      </c>
      <c r="T47" t="s">
        <v>124</v>
      </c>
    </row>
    <row r="48">
      <c r="A48" t="s">
        <v>243</v>
      </c>
      <c r="B48" t="s">
        <v>244</v>
      </c>
      <c r="C48" s="2">
        <v>2026</v>
      </c>
      <c r="D48" s="10">
        <v>5</v>
      </c>
      <c r="E48" s="10">
        <v>1</v>
      </c>
      <c r="F48" t="s">
        <v>241</v>
      </c>
      <c r="G48">
        <v>5000</v>
      </c>
      <c r="H48" t="s">
        <v>128</v>
      </c>
      <c r="I48" t="s">
        <v>136</v>
      </c>
      <c r="J48" s="10" t="str">
        <f>VLOOKUP(I48,Categories!A:B,2,FALSE)</f>
        <v>อื่นๆ</v>
      </c>
      <c r="K48" t="s">
        <v>123</v>
      </c>
      <c r="L48" s="10" t="str">
        <f>VLOOKUP(K48,Accounts!A:B,2,FALSE)</f>
        <v>KBank</v>
      </c>
      <c r="M48" t="s">
        <v>137</v>
      </c>
      <c r="N48" s="10" t="str">
        <f>VLOOKUP(M48,Accounts!A:B,2,FALSE)</f>
        <v xml:space="preserve">Make Kbank</v>
      </c>
      <c r="O48" t="s">
        <v>125</v>
      </c>
      <c r="Q48" t="s">
        <v>126</v>
      </c>
      <c r="R48" t="s">
        <v>124</v>
      </c>
      <c r="S48" t="b">
        <v>0</v>
      </c>
      <c r="T48" t="s">
        <v>124</v>
      </c>
    </row>
    <row r="49">
      <c r="A49" t="s">
        <v>245</v>
      </c>
      <c r="B49" t="s">
        <v>246</v>
      </c>
      <c r="C49" s="2">
        <v>2026</v>
      </c>
      <c r="D49" s="10">
        <v>4</v>
      </c>
      <c r="E49" s="10">
        <v>30</v>
      </c>
      <c r="F49" t="s">
        <v>247</v>
      </c>
      <c r="G49">
        <v>4863</v>
      </c>
      <c r="H49" t="s">
        <v>69</v>
      </c>
      <c r="I49" t="s">
        <v>150</v>
      </c>
      <c r="J49" s="10" t="str">
        <f>VLOOKUP(I49,Categories!A:B,2,FALSE)</f>
        <v xml:space="preserve">Food &amp; Coff</v>
      </c>
      <c r="K49" t="s">
        <v>137</v>
      </c>
      <c r="L49" s="10" t="str">
        <f>VLOOKUP(K49,Accounts!A:B,2,FALSE)</f>
        <v xml:space="preserve">Make Kbank</v>
      </c>
      <c r="M49" t="s">
        <v>124</v>
      </c>
      <c r="N49" s="10"/>
      <c r="O49" t="s">
        <v>125</v>
      </c>
      <c r="Q49" t="s">
        <v>126</v>
      </c>
      <c r="R49" t="s">
        <v>124</v>
      </c>
      <c r="S49" t="b">
        <v>0</v>
      </c>
      <c r="T49" t="s">
        <v>124</v>
      </c>
    </row>
    <row r="50">
      <c r="A50" t="s">
        <v>248</v>
      </c>
      <c r="B50" t="s">
        <v>246</v>
      </c>
      <c r="C50" s="2">
        <v>2026</v>
      </c>
      <c r="D50" s="10">
        <v>4</v>
      </c>
      <c r="E50" s="10">
        <v>30</v>
      </c>
      <c r="F50" t="s">
        <v>249</v>
      </c>
      <c r="G50">
        <v>2618</v>
      </c>
      <c r="H50" t="s">
        <v>128</v>
      </c>
      <c r="I50" t="s">
        <v>136</v>
      </c>
      <c r="J50" s="10" t="str">
        <f>VLOOKUP(I50,Categories!A:B,2,FALSE)</f>
        <v>อื่นๆ</v>
      </c>
      <c r="K50" t="s">
        <v>130</v>
      </c>
      <c r="L50" s="10" t="str">
        <f>VLOOKUP(K50,Accounts!A:B,2,FALSE)</f>
        <v xml:space="preserve">KTC JCB</v>
      </c>
      <c r="M50" t="s">
        <v>123</v>
      </c>
      <c r="N50" s="10" t="str">
        <f>VLOOKUP(M50,Accounts!A:B,2,FALSE)</f>
        <v>KBank</v>
      </c>
      <c r="O50" t="s">
        <v>125</v>
      </c>
      <c r="Q50" t="s">
        <v>126</v>
      </c>
      <c r="R50" t="s">
        <v>124</v>
      </c>
      <c r="S50" t="b">
        <v>0</v>
      </c>
      <c r="T50" t="s">
        <v>124</v>
      </c>
    </row>
    <row r="51">
      <c r="A51" t="s">
        <v>250</v>
      </c>
      <c r="B51" t="s">
        <v>246</v>
      </c>
      <c r="C51" s="2">
        <v>2026</v>
      </c>
      <c r="D51" s="10">
        <v>4</v>
      </c>
      <c r="E51" s="10">
        <v>30</v>
      </c>
      <c r="F51" t="s">
        <v>251</v>
      </c>
      <c r="G51">
        <v>1064</v>
      </c>
      <c r="H51" t="s">
        <v>69</v>
      </c>
      <c r="I51" t="s">
        <v>150</v>
      </c>
      <c r="J51" s="10" t="str">
        <f>VLOOKUP(I51,Categories!A:B,2,FALSE)</f>
        <v xml:space="preserve">Food &amp; Coff</v>
      </c>
      <c r="K51" t="s">
        <v>123</v>
      </c>
      <c r="L51" s="10" t="str">
        <f>VLOOKUP(K51,Accounts!A:B,2,FALSE)</f>
        <v>KBank</v>
      </c>
      <c r="M51" t="s">
        <v>124</v>
      </c>
      <c r="N51" s="10"/>
      <c r="O51" t="s">
        <v>125</v>
      </c>
      <c r="Q51" t="s">
        <v>126</v>
      </c>
      <c r="R51" t="s">
        <v>124</v>
      </c>
      <c r="S51" t="b">
        <v>0</v>
      </c>
      <c r="T51" t="s">
        <v>124</v>
      </c>
    </row>
    <row r="52">
      <c r="A52" t="s">
        <v>252</v>
      </c>
      <c r="B52" t="s">
        <v>246</v>
      </c>
      <c r="C52" s="2">
        <v>2026</v>
      </c>
      <c r="D52" s="10">
        <v>4</v>
      </c>
      <c r="E52" s="10">
        <v>30</v>
      </c>
      <c r="F52" t="s">
        <v>253</v>
      </c>
      <c r="G52">
        <v>-715</v>
      </c>
      <c r="H52" t="s">
        <v>69</v>
      </c>
      <c r="I52" t="s">
        <v>254</v>
      </c>
      <c r="J52" s="10" t="str">
        <f>VLOOKUP(I52,Categories!A:B,2,FALSE)</f>
        <v xml:space="preserve">Modified Bal.</v>
      </c>
      <c r="K52" t="s">
        <v>130</v>
      </c>
      <c r="L52" s="10" t="str">
        <f>VLOOKUP(K52,Accounts!A:B,2,FALSE)</f>
        <v xml:space="preserve">KTC JCB</v>
      </c>
      <c r="M52" t="s">
        <v>124</v>
      </c>
      <c r="N52" s="10"/>
      <c r="O52" t="s">
        <v>255</v>
      </c>
      <c r="Q52" t="s">
        <v>126</v>
      </c>
      <c r="R52" t="s">
        <v>124</v>
      </c>
      <c r="S52" t="b">
        <v>0</v>
      </c>
      <c r="T52" t="s">
        <v>124</v>
      </c>
    </row>
    <row r="53">
      <c r="A53" t="s">
        <v>256</v>
      </c>
      <c r="B53" t="s">
        <v>257</v>
      </c>
      <c r="C53" s="2">
        <v>2026</v>
      </c>
      <c r="D53" s="10">
        <v>4</v>
      </c>
      <c r="E53" s="10">
        <v>29</v>
      </c>
      <c r="F53" t="s">
        <v>258</v>
      </c>
      <c r="G53">
        <v>541</v>
      </c>
      <c r="H53" t="s">
        <v>69</v>
      </c>
      <c r="I53" t="s">
        <v>259</v>
      </c>
      <c r="J53" s="10" t="str">
        <f>VLOOKUP(I53,Categories!A:B,2,FALSE)</f>
        <v xml:space="preserve">Team BOT</v>
      </c>
      <c r="K53" t="s">
        <v>123</v>
      </c>
      <c r="L53" s="10" t="str">
        <f>VLOOKUP(K53,Accounts!A:B,2,FALSE)</f>
        <v>KBank</v>
      </c>
      <c r="M53" t="s">
        <v>124</v>
      </c>
      <c r="N53" s="10"/>
      <c r="O53" t="s">
        <v>260</v>
      </c>
      <c r="Q53" t="s">
        <v>126</v>
      </c>
      <c r="R53" t="s">
        <v>124</v>
      </c>
      <c r="S53" t="b">
        <v>0</v>
      </c>
      <c r="T53" t="s">
        <v>124</v>
      </c>
    </row>
    <row r="54">
      <c r="A54" t="s">
        <v>261</v>
      </c>
      <c r="B54" t="s">
        <v>262</v>
      </c>
      <c r="C54" s="2">
        <v>2026</v>
      </c>
      <c r="D54" s="10">
        <v>4</v>
      </c>
      <c r="E54" s="10">
        <v>25</v>
      </c>
      <c r="F54" t="s">
        <v>121</v>
      </c>
      <c r="G54">
        <v>500</v>
      </c>
      <c r="H54" t="s">
        <v>128</v>
      </c>
      <c r="I54" t="s">
        <v>136</v>
      </c>
      <c r="J54" s="10" t="str">
        <f>VLOOKUP(I54,Categories!A:B,2,FALSE)</f>
        <v>อื่นๆ</v>
      </c>
      <c r="K54" t="s">
        <v>123</v>
      </c>
      <c r="L54" s="10" t="str">
        <f>VLOOKUP(K54,Accounts!A:B,2,FALSE)</f>
        <v>KBank</v>
      </c>
      <c r="M54" t="s">
        <v>201</v>
      </c>
      <c r="N54" s="10" t="str">
        <f>VLOOKUP(M54,Accounts!A:B,2,FALSE)</f>
        <v>Coop</v>
      </c>
      <c r="O54" t="s">
        <v>125</v>
      </c>
      <c r="Q54" t="s">
        <v>126</v>
      </c>
      <c r="R54" t="s">
        <v>124</v>
      </c>
      <c r="S54" t="b">
        <v>0</v>
      </c>
      <c r="T54" t="s">
        <v>124</v>
      </c>
    </row>
    <row r="55">
      <c r="A55" t="s">
        <v>263</v>
      </c>
      <c r="B55" t="s">
        <v>262</v>
      </c>
      <c r="C55" s="2">
        <v>2026</v>
      </c>
      <c r="D55" s="10">
        <v>4</v>
      </c>
      <c r="E55" s="10">
        <v>25</v>
      </c>
      <c r="F55" t="s">
        <v>121</v>
      </c>
      <c r="G55">
        <v>2127.98</v>
      </c>
      <c r="H55" t="s">
        <v>69</v>
      </c>
      <c r="I55" t="s">
        <v>199</v>
      </c>
      <c r="J55" s="10" t="str">
        <f>VLOOKUP(I55,Categories!A:B,2,FALSE)</f>
        <v xml:space="preserve">Home Chomthong Interest</v>
      </c>
      <c r="K55" t="s">
        <v>123</v>
      </c>
      <c r="L55" s="10" t="str">
        <f>VLOOKUP(K55,Accounts!A:B,2,FALSE)</f>
        <v>KBank</v>
      </c>
      <c r="M55" t="s">
        <v>124</v>
      </c>
      <c r="N55" s="10"/>
      <c r="O55" t="s">
        <v>125</v>
      </c>
      <c r="Q55" t="s">
        <v>126</v>
      </c>
      <c r="R55" t="s">
        <v>124</v>
      </c>
      <c r="S55" t="b">
        <v>0</v>
      </c>
      <c r="T55" t="s">
        <v>124</v>
      </c>
    </row>
    <row r="56">
      <c r="A56" t="s">
        <v>264</v>
      </c>
      <c r="B56" t="s">
        <v>262</v>
      </c>
      <c r="C56" s="2">
        <v>2026</v>
      </c>
      <c r="D56" s="10">
        <v>4</v>
      </c>
      <c r="E56" s="10">
        <v>25</v>
      </c>
      <c r="F56" t="s">
        <v>121</v>
      </c>
      <c r="G56">
        <v>9790</v>
      </c>
      <c r="H56" t="s">
        <v>69</v>
      </c>
      <c r="I56" t="s">
        <v>197</v>
      </c>
      <c r="J56" s="10" t="str">
        <f>VLOOKUP(I56,Categories!A:B,2,FALSE)</f>
        <v xml:space="preserve">Initial Home loan</v>
      </c>
      <c r="K56" t="s">
        <v>123</v>
      </c>
      <c r="L56" s="10" t="str">
        <f>VLOOKUP(K56,Accounts!A:B,2,FALSE)</f>
        <v>KBank</v>
      </c>
      <c r="M56" t="s">
        <v>124</v>
      </c>
      <c r="N56" s="10"/>
      <c r="O56" t="s">
        <v>125</v>
      </c>
      <c r="Q56" t="s">
        <v>126</v>
      </c>
      <c r="R56" t="s">
        <v>124</v>
      </c>
      <c r="S56" t="b">
        <v>0</v>
      </c>
      <c r="T56" t="s">
        <v>124</v>
      </c>
    </row>
    <row r="57">
      <c r="A57" t="s">
        <v>265</v>
      </c>
      <c r="B57" t="s">
        <v>262</v>
      </c>
      <c r="C57" s="2">
        <v>2026</v>
      </c>
      <c r="D57" s="10">
        <v>4</v>
      </c>
      <c r="E57" s="10">
        <v>25</v>
      </c>
      <c r="F57" t="s">
        <v>121</v>
      </c>
      <c r="G57">
        <v>7127.6800000000003</v>
      </c>
      <c r="H57" t="s">
        <v>69</v>
      </c>
      <c r="I57" t="s">
        <v>195</v>
      </c>
      <c r="J57" s="10" t="str">
        <f>VLOOKUP(I57,Categories!A:B,2,FALSE)</f>
        <v>Tax</v>
      </c>
      <c r="K57" t="s">
        <v>123</v>
      </c>
      <c r="L57" s="10" t="str">
        <f>VLOOKUP(K57,Accounts!A:B,2,FALSE)</f>
        <v>KBank</v>
      </c>
      <c r="M57" t="s">
        <v>124</v>
      </c>
      <c r="N57" s="10"/>
      <c r="O57" t="s">
        <v>125</v>
      </c>
      <c r="Q57" t="s">
        <v>126</v>
      </c>
      <c r="R57" t="s">
        <v>124</v>
      </c>
      <c r="S57" t="b">
        <v>0</v>
      </c>
      <c r="T57" t="s">
        <v>124</v>
      </c>
    </row>
    <row r="58">
      <c r="A58" t="s">
        <v>266</v>
      </c>
      <c r="B58" t="s">
        <v>262</v>
      </c>
      <c r="C58" s="2">
        <v>2026</v>
      </c>
      <c r="D58" s="10">
        <v>4</v>
      </c>
      <c r="E58" s="10">
        <v>25</v>
      </c>
      <c r="F58" t="s">
        <v>121</v>
      </c>
      <c r="G58">
        <v>3357.8000000000002</v>
      </c>
      <c r="H58" t="s">
        <v>128</v>
      </c>
      <c r="I58" t="s">
        <v>136</v>
      </c>
      <c r="J58" s="10" t="str">
        <f>VLOOKUP(I58,Categories!A:B,2,FALSE)</f>
        <v>อื่นๆ</v>
      </c>
      <c r="K58" t="s">
        <v>123</v>
      </c>
      <c r="L58" s="10" t="str">
        <f>VLOOKUP(K58,Accounts!A:B,2,FALSE)</f>
        <v>KBank</v>
      </c>
      <c r="M58" t="s">
        <v>203</v>
      </c>
      <c r="N58" s="10" t="str">
        <f>VLOOKUP(M58,Accounts!A:B,2,FALSE)</f>
        <v xml:space="preserve">Provident Fund</v>
      </c>
      <c r="O58" t="s">
        <v>125</v>
      </c>
      <c r="Q58" t="s">
        <v>126</v>
      </c>
      <c r="R58" t="s">
        <v>124</v>
      </c>
      <c r="S58" t="b">
        <v>0</v>
      </c>
      <c r="T58" t="s">
        <v>124</v>
      </c>
    </row>
    <row r="59">
      <c r="A59" t="s">
        <v>267</v>
      </c>
      <c r="B59" t="s">
        <v>262</v>
      </c>
      <c r="C59" s="2">
        <v>2026</v>
      </c>
      <c r="D59" s="10">
        <v>4</v>
      </c>
      <c r="E59" s="10">
        <v>25</v>
      </c>
      <c r="F59" t="s">
        <v>121</v>
      </c>
      <c r="G59">
        <v>167890</v>
      </c>
      <c r="H59" t="s">
        <v>206</v>
      </c>
      <c r="I59" t="s">
        <v>207</v>
      </c>
      <c r="J59" s="10" t="str">
        <f>VLOOKUP(I59,Categories!A:B,2,FALSE)</f>
        <v>Salary</v>
      </c>
      <c r="K59" t="s">
        <v>123</v>
      </c>
      <c r="L59" s="10" t="str">
        <f>VLOOKUP(K59,Accounts!A:B,2,FALSE)</f>
        <v>KBank</v>
      </c>
      <c r="M59" t="s">
        <v>124</v>
      </c>
      <c r="N59" s="10"/>
      <c r="O59" t="s">
        <v>125</v>
      </c>
      <c r="Q59" t="s">
        <v>126</v>
      </c>
      <c r="R59" t="s">
        <v>124</v>
      </c>
      <c r="S59" t="b">
        <v>0</v>
      </c>
      <c r="T59" t="s">
        <v>124</v>
      </c>
    </row>
    <row r="60">
      <c r="A60" t="s">
        <v>268</v>
      </c>
      <c r="B60" t="s">
        <v>269</v>
      </c>
      <c r="C60" s="2">
        <v>2026</v>
      </c>
      <c r="D60" s="10">
        <v>4</v>
      </c>
      <c r="E60" s="10">
        <v>24</v>
      </c>
      <c r="F60" t="s">
        <v>270</v>
      </c>
      <c r="G60">
        <v>2816</v>
      </c>
      <c r="H60" t="s">
        <v>69</v>
      </c>
      <c r="I60" t="s">
        <v>259</v>
      </c>
      <c r="J60" s="10" t="str">
        <f>VLOOKUP(I60,Categories!A:B,2,FALSE)</f>
        <v xml:space="preserve">Team BOT</v>
      </c>
      <c r="K60" t="s">
        <v>123</v>
      </c>
      <c r="L60" s="10" t="str">
        <f>VLOOKUP(K60,Accounts!A:B,2,FALSE)</f>
        <v>KBank</v>
      </c>
      <c r="M60" t="s">
        <v>124</v>
      </c>
      <c r="N60" s="10"/>
      <c r="O60" t="s">
        <v>271</v>
      </c>
      <c r="Q60" t="s">
        <v>126</v>
      </c>
      <c r="R60" t="s">
        <v>124</v>
      </c>
      <c r="S60" t="b">
        <v>0</v>
      </c>
      <c r="T60" t="s">
        <v>124</v>
      </c>
    </row>
    <row r="61">
      <c r="A61" t="s">
        <v>272</v>
      </c>
      <c r="B61" t="s">
        <v>269</v>
      </c>
      <c r="C61" s="2">
        <v>2026</v>
      </c>
      <c r="D61" s="10">
        <v>4</v>
      </c>
      <c r="E61" s="10">
        <v>24</v>
      </c>
      <c r="F61" t="s">
        <v>270</v>
      </c>
      <c r="G61">
        <v>590</v>
      </c>
      <c r="H61" t="s">
        <v>69</v>
      </c>
      <c r="I61" t="s">
        <v>134</v>
      </c>
      <c r="J61" s="10" t="str">
        <f>VLOOKUP(I61,Categories!A:B,2,FALSE)</f>
        <v>Hong</v>
      </c>
      <c r="K61" t="s">
        <v>123</v>
      </c>
      <c r="L61" s="10" t="str">
        <f>VLOOKUP(K61,Accounts!A:B,2,FALSE)</f>
        <v>KBank</v>
      </c>
      <c r="M61" t="s">
        <v>124</v>
      </c>
      <c r="N61" s="10"/>
      <c r="O61" t="s">
        <v>273</v>
      </c>
      <c r="Q61" t="s">
        <v>126</v>
      </c>
      <c r="R61" t="s">
        <v>124</v>
      </c>
      <c r="S61" t="b">
        <v>0</v>
      </c>
      <c r="T61" t="s">
        <v>124</v>
      </c>
    </row>
    <row r="62">
      <c r="A62" t="s">
        <v>274</v>
      </c>
      <c r="B62" t="s">
        <v>275</v>
      </c>
      <c r="C62" s="2">
        <v>2026</v>
      </c>
      <c r="D62" s="10">
        <v>4</v>
      </c>
      <c r="E62" s="10">
        <v>23</v>
      </c>
      <c r="F62" t="s">
        <v>276</v>
      </c>
      <c r="G62">
        <v>456</v>
      </c>
      <c r="H62" t="s">
        <v>69</v>
      </c>
      <c r="I62" t="s">
        <v>259</v>
      </c>
      <c r="J62" s="10" t="str">
        <f>VLOOKUP(I62,Categories!A:B,2,FALSE)</f>
        <v xml:space="preserve">Team BOT</v>
      </c>
      <c r="K62" t="s">
        <v>123</v>
      </c>
      <c r="L62" s="10" t="str">
        <f>VLOOKUP(K62,Accounts!A:B,2,FALSE)</f>
        <v>KBank</v>
      </c>
      <c r="M62" t="s">
        <v>124</v>
      </c>
      <c r="N62" s="10"/>
      <c r="O62" t="s">
        <v>277</v>
      </c>
      <c r="Q62" t="s">
        <v>126</v>
      </c>
      <c r="R62" t="s">
        <v>124</v>
      </c>
      <c r="S62" t="b">
        <v>0</v>
      </c>
      <c r="T62" t="s">
        <v>124</v>
      </c>
    </row>
    <row r="63">
      <c r="A63" t="s">
        <v>278</v>
      </c>
      <c r="B63" t="s">
        <v>279</v>
      </c>
      <c r="C63" s="2">
        <v>2026</v>
      </c>
      <c r="D63" s="10">
        <v>4</v>
      </c>
      <c r="E63" s="10">
        <v>21</v>
      </c>
      <c r="F63" t="s">
        <v>280</v>
      </c>
      <c r="G63">
        <v>3995</v>
      </c>
      <c r="H63" t="s">
        <v>206</v>
      </c>
      <c r="I63" t="s">
        <v>281</v>
      </c>
      <c r="J63" s="10" t="str">
        <f>VLOOKUP(I63,Categories!A:B,2,FALSE)</f>
        <v>Others</v>
      </c>
      <c r="K63" t="s">
        <v>123</v>
      </c>
      <c r="L63" s="10" t="str">
        <f>VLOOKUP(K63,Accounts!A:B,2,FALSE)</f>
        <v>KBank</v>
      </c>
      <c r="M63" t="s">
        <v>124</v>
      </c>
      <c r="N63" s="10"/>
      <c r="O63" t="s">
        <v>125</v>
      </c>
      <c r="Q63" t="s">
        <v>126</v>
      </c>
      <c r="R63" t="s">
        <v>124</v>
      </c>
      <c r="S63" t="b">
        <v>0</v>
      </c>
      <c r="T63" t="s">
        <v>124</v>
      </c>
    </row>
    <row r="64">
      <c r="A64" t="s">
        <v>282</v>
      </c>
      <c r="B64" t="s">
        <v>283</v>
      </c>
      <c r="C64" s="2">
        <v>2026</v>
      </c>
      <c r="D64" s="10">
        <v>4</v>
      </c>
      <c r="E64" s="10">
        <v>15</v>
      </c>
      <c r="F64" t="s">
        <v>284</v>
      </c>
      <c r="G64">
        <v>923.76999999999998</v>
      </c>
      <c r="H64" t="s">
        <v>128</v>
      </c>
      <c r="I64" t="s">
        <v>136</v>
      </c>
      <c r="J64" s="10" t="str">
        <f>VLOOKUP(I64,Categories!A:B,2,FALSE)</f>
        <v>อื่นๆ</v>
      </c>
      <c r="K64" t="s">
        <v>123</v>
      </c>
      <c r="L64" s="10" t="str">
        <f>VLOOKUP(K64,Accounts!A:B,2,FALSE)</f>
        <v>KBank</v>
      </c>
      <c r="M64" t="s">
        <v>131</v>
      </c>
      <c r="N64" s="10" t="str">
        <f>VLOOKUP(M64,Accounts!A:B,2,FALSE)</f>
        <v xml:space="preserve">Advance Paid</v>
      </c>
      <c r="O64" t="s">
        <v>285</v>
      </c>
      <c r="Q64" t="s">
        <v>126</v>
      </c>
      <c r="R64" t="s">
        <v>124</v>
      </c>
      <c r="S64" t="b">
        <v>0</v>
      </c>
      <c r="T64" t="s">
        <v>124</v>
      </c>
    </row>
    <row r="65">
      <c r="A65" t="s">
        <v>286</v>
      </c>
      <c r="B65" t="s">
        <v>283</v>
      </c>
      <c r="C65" s="2">
        <v>2026</v>
      </c>
      <c r="D65" s="10">
        <v>4</v>
      </c>
      <c r="E65" s="10">
        <v>15</v>
      </c>
      <c r="F65" t="s">
        <v>280</v>
      </c>
      <c r="G65">
        <v>2355</v>
      </c>
      <c r="H65" t="s">
        <v>69</v>
      </c>
      <c r="I65" t="s">
        <v>144</v>
      </c>
      <c r="J65" s="10" t="str">
        <f>VLOOKUP(I65,Categories!A:B,2,FALSE)</f>
        <v xml:space="preserve">Family paid</v>
      </c>
      <c r="K65" t="s">
        <v>123</v>
      </c>
      <c r="L65" s="10" t="str">
        <f>VLOOKUP(K65,Accounts!A:B,2,FALSE)</f>
        <v>KBank</v>
      </c>
      <c r="M65" t="s">
        <v>124</v>
      </c>
      <c r="N65" s="10"/>
      <c r="O65" t="s">
        <v>125</v>
      </c>
      <c r="Q65" t="s">
        <v>126</v>
      </c>
      <c r="R65" t="s">
        <v>124</v>
      </c>
      <c r="S65" t="b">
        <v>0</v>
      </c>
      <c r="T65" t="s">
        <v>124</v>
      </c>
    </row>
    <row r="66">
      <c r="A66" t="s">
        <v>287</v>
      </c>
      <c r="B66" t="s">
        <v>288</v>
      </c>
      <c r="C66" s="2">
        <v>2026</v>
      </c>
      <c r="D66" s="10">
        <v>4</v>
      </c>
      <c r="E66" s="10">
        <v>6</v>
      </c>
      <c r="F66" t="s">
        <v>289</v>
      </c>
      <c r="G66">
        <v>3834</v>
      </c>
      <c r="H66" t="s">
        <v>128</v>
      </c>
      <c r="I66" t="s">
        <v>136</v>
      </c>
      <c r="J66" s="10" t="str">
        <f>VLOOKUP(I66,Categories!A:B,2,FALSE)</f>
        <v>อื่นๆ</v>
      </c>
      <c r="K66" t="s">
        <v>131</v>
      </c>
      <c r="L66" s="10" t="str">
        <f>VLOOKUP(K66,Accounts!A:B,2,FALSE)</f>
        <v xml:space="preserve">Advance Paid</v>
      </c>
      <c r="M66" t="s">
        <v>130</v>
      </c>
      <c r="N66" s="10" t="str">
        <f>VLOOKUP(M66,Accounts!A:B,2,FALSE)</f>
        <v xml:space="preserve">KTC JCB</v>
      </c>
      <c r="O66" t="s">
        <v>125</v>
      </c>
      <c r="Q66" t="s">
        <v>126</v>
      </c>
      <c r="R66" t="s">
        <v>124</v>
      </c>
      <c r="S66" t="b">
        <v>0</v>
      </c>
      <c r="T66" t="s">
        <v>124</v>
      </c>
    </row>
    <row r="67">
      <c r="A67" t="s">
        <v>290</v>
      </c>
      <c r="B67" t="s">
        <v>288</v>
      </c>
      <c r="C67" s="2">
        <v>2026</v>
      </c>
      <c r="D67" s="10">
        <v>4</v>
      </c>
      <c r="E67" s="10">
        <v>6</v>
      </c>
      <c r="F67" t="s">
        <v>291</v>
      </c>
      <c r="G67">
        <v>795</v>
      </c>
      <c r="H67" t="s">
        <v>69</v>
      </c>
      <c r="I67" t="s">
        <v>150</v>
      </c>
      <c r="J67" s="10" t="str">
        <f>VLOOKUP(I67,Categories!A:B,2,FALSE)</f>
        <v xml:space="preserve">Food &amp; Coff</v>
      </c>
      <c r="K67" t="s">
        <v>130</v>
      </c>
      <c r="L67" s="10" t="str">
        <f>VLOOKUP(K67,Accounts!A:B,2,FALSE)</f>
        <v xml:space="preserve">KTC JCB</v>
      </c>
      <c r="M67" t="s">
        <v>124</v>
      </c>
      <c r="N67" s="10"/>
      <c r="O67" t="s">
        <v>125</v>
      </c>
      <c r="Q67" t="s">
        <v>126</v>
      </c>
      <c r="R67" t="s">
        <v>124</v>
      </c>
      <c r="S67" t="b">
        <v>0</v>
      </c>
      <c r="T67" t="s">
        <v>124</v>
      </c>
    </row>
    <row r="68">
      <c r="A68" t="s">
        <v>292</v>
      </c>
      <c r="B68" t="s">
        <v>288</v>
      </c>
      <c r="C68" s="2">
        <v>2026</v>
      </c>
      <c r="D68" s="10">
        <v>4</v>
      </c>
      <c r="E68" s="10">
        <v>6</v>
      </c>
      <c r="F68" t="s">
        <v>293</v>
      </c>
      <c r="G68">
        <v>1820</v>
      </c>
      <c r="H68" t="s">
        <v>128</v>
      </c>
      <c r="I68" t="s">
        <v>136</v>
      </c>
      <c r="J68" s="10" t="str">
        <f>VLOOKUP(I68,Categories!A:B,2,FALSE)</f>
        <v>อื่นๆ</v>
      </c>
      <c r="K68" t="s">
        <v>130</v>
      </c>
      <c r="L68" s="10" t="str">
        <f>VLOOKUP(K68,Accounts!A:B,2,FALSE)</f>
        <v xml:space="preserve">KTC JCB</v>
      </c>
      <c r="M68" t="s">
        <v>131</v>
      </c>
      <c r="N68" s="10" t="str">
        <f>VLOOKUP(M68,Accounts!A:B,2,FALSE)</f>
        <v xml:space="preserve">Advance Paid</v>
      </c>
      <c r="O68" t="s">
        <v>294</v>
      </c>
      <c r="Q68" t="s">
        <v>126</v>
      </c>
      <c r="R68" t="s">
        <v>124</v>
      </c>
      <c r="S68" t="b">
        <v>0</v>
      </c>
      <c r="T68" t="s">
        <v>124</v>
      </c>
    </row>
    <row r="69">
      <c r="A69" t="s">
        <v>295</v>
      </c>
      <c r="B69" t="s">
        <v>296</v>
      </c>
      <c r="C69" s="2">
        <v>2026</v>
      </c>
      <c r="D69" s="10">
        <v>4</v>
      </c>
      <c r="E69" s="10">
        <v>4</v>
      </c>
      <c r="F69" t="s">
        <v>121</v>
      </c>
      <c r="G69">
        <v>19000</v>
      </c>
      <c r="H69" t="s">
        <v>69</v>
      </c>
      <c r="I69" t="s">
        <v>134</v>
      </c>
      <c r="J69" s="10" t="str">
        <f>VLOOKUP(I69,Categories!A:B,2,FALSE)</f>
        <v>Hong</v>
      </c>
      <c r="K69" t="s">
        <v>123</v>
      </c>
      <c r="L69" s="10" t="str">
        <f>VLOOKUP(K69,Accounts!A:B,2,FALSE)</f>
        <v>KBank</v>
      </c>
      <c r="M69" t="s">
        <v>124</v>
      </c>
      <c r="N69" s="10"/>
      <c r="O69" t="s">
        <v>125</v>
      </c>
      <c r="Q69" t="s">
        <v>126</v>
      </c>
      <c r="R69" t="s">
        <v>124</v>
      </c>
      <c r="S69" t="b">
        <v>0</v>
      </c>
      <c r="T69" t="s">
        <v>124</v>
      </c>
    </row>
    <row r="70">
      <c r="A70" t="s">
        <v>297</v>
      </c>
      <c r="B70" t="s">
        <v>296</v>
      </c>
      <c r="C70" s="2">
        <v>2026</v>
      </c>
      <c r="D70" s="10">
        <v>4</v>
      </c>
      <c r="E70" s="10">
        <v>4</v>
      </c>
      <c r="F70" t="s">
        <v>298</v>
      </c>
      <c r="G70">
        <v>2208</v>
      </c>
      <c r="H70" t="s">
        <v>69</v>
      </c>
      <c r="I70" t="s">
        <v>169</v>
      </c>
      <c r="J70" s="10" t="str">
        <f>VLOOKUP(I70,Categories!A:B,2,FALSE)</f>
        <v xml:space="preserve">App &amp; Game</v>
      </c>
      <c r="K70" t="s">
        <v>123</v>
      </c>
      <c r="L70" s="10" t="str">
        <f>VLOOKUP(K70,Accounts!A:B,2,FALSE)</f>
        <v>KBank</v>
      </c>
      <c r="M70" t="s">
        <v>124</v>
      </c>
      <c r="N70" s="10"/>
      <c r="O70" t="s">
        <v>299</v>
      </c>
      <c r="Q70" t="s">
        <v>126</v>
      </c>
      <c r="R70" t="s">
        <v>124</v>
      </c>
      <c r="S70" t="b">
        <v>0</v>
      </c>
      <c r="T70" t="s">
        <v>124</v>
      </c>
    </row>
    <row r="71">
      <c r="A71" t="s">
        <v>300</v>
      </c>
      <c r="B71" t="s">
        <v>296</v>
      </c>
      <c r="C71" s="2">
        <v>2026</v>
      </c>
      <c r="D71" s="10">
        <v>4</v>
      </c>
      <c r="E71" s="10">
        <v>4</v>
      </c>
      <c r="F71" t="s">
        <v>301</v>
      </c>
      <c r="G71">
        <v>6213</v>
      </c>
      <c r="H71" t="s">
        <v>128</v>
      </c>
      <c r="I71" t="s">
        <v>136</v>
      </c>
      <c r="J71" s="10" t="str">
        <f>VLOOKUP(I71,Categories!A:B,2,FALSE)</f>
        <v>อื่นๆ</v>
      </c>
      <c r="K71" t="s">
        <v>131</v>
      </c>
      <c r="L71" s="10" t="str">
        <f>VLOOKUP(K71,Accounts!A:B,2,FALSE)</f>
        <v xml:space="preserve">Advance Paid</v>
      </c>
      <c r="M71" t="s">
        <v>123</v>
      </c>
      <c r="N71" s="10" t="str">
        <f>VLOOKUP(M71,Accounts!A:B,2,FALSE)</f>
        <v>KBank</v>
      </c>
      <c r="O71" t="s">
        <v>302</v>
      </c>
      <c r="Q71" t="s">
        <v>126</v>
      </c>
      <c r="R71" t="s">
        <v>124</v>
      </c>
      <c r="S71" t="b">
        <v>0</v>
      </c>
      <c r="T71" t="s">
        <v>124</v>
      </c>
    </row>
    <row r="72">
      <c r="A72" t="s">
        <v>303</v>
      </c>
      <c r="B72" t="s">
        <v>296</v>
      </c>
      <c r="C72" s="2">
        <v>2026</v>
      </c>
      <c r="D72" s="10">
        <v>4</v>
      </c>
      <c r="E72" s="10">
        <v>4</v>
      </c>
      <c r="F72" t="s">
        <v>304</v>
      </c>
      <c r="G72">
        <v>7269</v>
      </c>
      <c r="H72" t="s">
        <v>69</v>
      </c>
      <c r="I72" t="s">
        <v>139</v>
      </c>
      <c r="J72" s="10" t="str">
        <f>VLOOKUP(I72,Categories!A:B,2,FALSE)</f>
        <v>Condo</v>
      </c>
      <c r="K72" t="s">
        <v>123</v>
      </c>
      <c r="L72" s="10" t="str">
        <f>VLOOKUP(K72,Accounts!A:B,2,FALSE)</f>
        <v>KBank</v>
      </c>
      <c r="M72" t="s">
        <v>124</v>
      </c>
      <c r="N72" s="10"/>
      <c r="O72" t="s">
        <v>125</v>
      </c>
      <c r="Q72" t="s">
        <v>126</v>
      </c>
      <c r="R72" t="s">
        <v>124</v>
      </c>
      <c r="S72" t="b">
        <v>0</v>
      </c>
      <c r="T72" t="s">
        <v>124</v>
      </c>
    </row>
    <row r="73">
      <c r="A73" t="s">
        <v>305</v>
      </c>
      <c r="B73" t="s">
        <v>296</v>
      </c>
      <c r="C73" s="2">
        <v>2026</v>
      </c>
      <c r="D73" s="10">
        <v>4</v>
      </c>
      <c r="E73" s="10">
        <v>4</v>
      </c>
      <c r="F73" t="s">
        <v>306</v>
      </c>
      <c r="G73">
        <v>1599</v>
      </c>
      <c r="H73" t="s">
        <v>128</v>
      </c>
      <c r="I73" t="s">
        <v>136</v>
      </c>
      <c r="J73" s="10" t="str">
        <f>VLOOKUP(I73,Categories!A:B,2,FALSE)</f>
        <v>อื่นๆ</v>
      </c>
      <c r="K73" t="s">
        <v>131</v>
      </c>
      <c r="L73" s="10" t="str">
        <f>VLOOKUP(K73,Accounts!A:B,2,FALSE)</f>
        <v xml:space="preserve">Advance Paid</v>
      </c>
      <c r="M73" t="s">
        <v>123</v>
      </c>
      <c r="N73" s="10" t="str">
        <f>VLOOKUP(M73,Accounts!A:B,2,FALSE)</f>
        <v>KBank</v>
      </c>
      <c r="O73" t="s">
        <v>229</v>
      </c>
      <c r="Q73" t="s">
        <v>126</v>
      </c>
      <c r="R73" t="s">
        <v>124</v>
      </c>
      <c r="S73" t="b">
        <v>0</v>
      </c>
      <c r="T73" t="s">
        <v>124</v>
      </c>
    </row>
    <row r="74">
      <c r="A74" t="s">
        <v>307</v>
      </c>
      <c r="B74" t="s">
        <v>296</v>
      </c>
      <c r="C74" s="2">
        <v>2026</v>
      </c>
      <c r="D74" s="10">
        <v>4</v>
      </c>
      <c r="E74" s="10">
        <v>4</v>
      </c>
      <c r="F74" t="s">
        <v>308</v>
      </c>
      <c r="G74">
        <v>1122</v>
      </c>
      <c r="H74" t="s">
        <v>69</v>
      </c>
      <c r="I74" t="s">
        <v>259</v>
      </c>
      <c r="J74" s="10" t="str">
        <f>VLOOKUP(I74,Categories!A:B,2,FALSE)</f>
        <v xml:space="preserve">Team BOT</v>
      </c>
      <c r="K74" t="s">
        <v>123</v>
      </c>
      <c r="L74" s="10" t="str">
        <f>VLOOKUP(K74,Accounts!A:B,2,FALSE)</f>
        <v>KBank</v>
      </c>
      <c r="M74" t="s">
        <v>124</v>
      </c>
      <c r="N74" s="10"/>
      <c r="O74" t="s">
        <v>260</v>
      </c>
      <c r="Q74" t="s">
        <v>126</v>
      </c>
      <c r="R74" t="s">
        <v>124</v>
      </c>
      <c r="S74" t="b">
        <v>0</v>
      </c>
      <c r="T74" t="s">
        <v>124</v>
      </c>
    </row>
    <row r="75">
      <c r="A75" t="s">
        <v>309</v>
      </c>
      <c r="B75" t="s">
        <v>296</v>
      </c>
      <c r="C75" s="2">
        <v>2026</v>
      </c>
      <c r="D75" s="10">
        <v>4</v>
      </c>
      <c r="E75" s="10">
        <v>4</v>
      </c>
      <c r="F75" t="s">
        <v>308</v>
      </c>
      <c r="G75">
        <v>3481</v>
      </c>
      <c r="H75" t="s">
        <v>69</v>
      </c>
      <c r="I75" t="s">
        <v>141</v>
      </c>
      <c r="J75" s="10" t="str">
        <f>VLOOKUP(I75,Categories!A:B,2,FALSE)</f>
        <v>Other</v>
      </c>
      <c r="K75" t="s">
        <v>123</v>
      </c>
      <c r="L75" s="10" t="str">
        <f>VLOOKUP(K75,Accounts!A:B,2,FALSE)</f>
        <v>KBank</v>
      </c>
      <c r="M75" t="s">
        <v>124</v>
      </c>
      <c r="N75" s="10"/>
      <c r="O75" t="s">
        <v>125</v>
      </c>
      <c r="Q75" t="s">
        <v>126</v>
      </c>
      <c r="R75" t="s">
        <v>124</v>
      </c>
      <c r="S75" t="b">
        <v>0</v>
      </c>
      <c r="T75" t="s">
        <v>124</v>
      </c>
    </row>
    <row r="76">
      <c r="A76" t="s">
        <v>310</v>
      </c>
      <c r="B76" t="s">
        <v>296</v>
      </c>
      <c r="C76" s="2">
        <v>2026</v>
      </c>
      <c r="D76" s="10">
        <v>4</v>
      </c>
      <c r="E76" s="10">
        <v>4</v>
      </c>
      <c r="F76" t="s">
        <v>311</v>
      </c>
      <c r="G76">
        <v>719</v>
      </c>
      <c r="H76" t="s">
        <v>69</v>
      </c>
      <c r="I76" t="s">
        <v>169</v>
      </c>
      <c r="J76" s="10" t="str">
        <f>VLOOKUP(I76,Categories!A:B,2,FALSE)</f>
        <v xml:space="preserve">App &amp; Game</v>
      </c>
      <c r="K76" t="s">
        <v>123</v>
      </c>
      <c r="L76" s="10" t="str">
        <f>VLOOKUP(K76,Accounts!A:B,2,FALSE)</f>
        <v>KBank</v>
      </c>
      <c r="M76" t="s">
        <v>124</v>
      </c>
      <c r="N76" s="10"/>
      <c r="O76" t="s">
        <v>125</v>
      </c>
      <c r="Q76" t="s">
        <v>126</v>
      </c>
      <c r="R76" t="s">
        <v>124</v>
      </c>
      <c r="S76" t="b">
        <v>0</v>
      </c>
      <c r="T76" t="s">
        <v>124</v>
      </c>
    </row>
    <row r="77">
      <c r="A77" t="s">
        <v>312</v>
      </c>
      <c r="B77" t="s">
        <v>296</v>
      </c>
      <c r="C77" s="2">
        <v>2026</v>
      </c>
      <c r="D77" s="10">
        <v>4</v>
      </c>
      <c r="E77" s="10">
        <v>4</v>
      </c>
      <c r="F77" t="s">
        <v>311</v>
      </c>
      <c r="G77">
        <v>508</v>
      </c>
      <c r="H77" t="s">
        <v>69</v>
      </c>
      <c r="I77" t="s">
        <v>259</v>
      </c>
      <c r="J77" s="10" t="str">
        <f>VLOOKUP(I77,Categories!A:B,2,FALSE)</f>
        <v xml:space="preserve">Team BOT</v>
      </c>
      <c r="K77" t="s">
        <v>123</v>
      </c>
      <c r="L77" s="10" t="str">
        <f>VLOOKUP(K77,Accounts!A:B,2,FALSE)</f>
        <v>KBank</v>
      </c>
      <c r="M77" t="s">
        <v>124</v>
      </c>
      <c r="N77" s="10"/>
      <c r="O77" t="s">
        <v>313</v>
      </c>
      <c r="Q77" t="s">
        <v>126</v>
      </c>
      <c r="R77" t="s">
        <v>124</v>
      </c>
      <c r="S77" t="b">
        <v>0</v>
      </c>
      <c r="T77" t="s">
        <v>124</v>
      </c>
    </row>
    <row r="78">
      <c r="A78" t="s">
        <v>314</v>
      </c>
      <c r="B78" t="s">
        <v>296</v>
      </c>
      <c r="C78" s="2">
        <v>2026</v>
      </c>
      <c r="D78" s="10">
        <v>4</v>
      </c>
      <c r="E78" s="10">
        <v>4</v>
      </c>
      <c r="F78" t="s">
        <v>315</v>
      </c>
      <c r="G78">
        <v>1576</v>
      </c>
      <c r="H78" t="s">
        <v>69</v>
      </c>
      <c r="I78" t="s">
        <v>122</v>
      </c>
      <c r="J78" s="10" t="str">
        <f>VLOOKUP(I78,Categories!A:B,2,FALSE)</f>
        <v>Other</v>
      </c>
      <c r="K78" t="s">
        <v>123</v>
      </c>
      <c r="L78" s="10" t="str">
        <f>VLOOKUP(K78,Accounts!A:B,2,FALSE)</f>
        <v>KBank</v>
      </c>
      <c r="M78" t="s">
        <v>124</v>
      </c>
      <c r="N78" s="10"/>
      <c r="O78" t="s">
        <v>125</v>
      </c>
      <c r="Q78" t="s">
        <v>126</v>
      </c>
      <c r="R78" t="s">
        <v>124</v>
      </c>
      <c r="S78" t="b">
        <v>0</v>
      </c>
      <c r="T78" t="s">
        <v>124</v>
      </c>
    </row>
    <row r="79">
      <c r="A79" t="s">
        <v>316</v>
      </c>
      <c r="B79" t="s">
        <v>296</v>
      </c>
      <c r="C79" s="2">
        <v>2026</v>
      </c>
      <c r="D79" s="10">
        <v>4</v>
      </c>
      <c r="E79" s="10">
        <v>4</v>
      </c>
      <c r="F79" t="s">
        <v>317</v>
      </c>
      <c r="G79">
        <v>7560</v>
      </c>
      <c r="H79" t="s">
        <v>128</v>
      </c>
      <c r="I79" t="s">
        <v>136</v>
      </c>
      <c r="J79" s="10" t="str">
        <f>VLOOKUP(I79,Categories!A:B,2,FALSE)</f>
        <v>อื่นๆ</v>
      </c>
      <c r="K79" t="s">
        <v>123</v>
      </c>
      <c r="L79" s="10" t="str">
        <f>VLOOKUP(K79,Accounts!A:B,2,FALSE)</f>
        <v>KBank</v>
      </c>
      <c r="M79" t="s">
        <v>131</v>
      </c>
      <c r="N79" s="10" t="str">
        <f>VLOOKUP(M79,Accounts!A:B,2,FALSE)</f>
        <v xml:space="preserve">Advance Paid</v>
      </c>
      <c r="O79" t="s">
        <v>318</v>
      </c>
      <c r="Q79" t="s">
        <v>126</v>
      </c>
      <c r="R79" t="s">
        <v>124</v>
      </c>
      <c r="S79" t="b">
        <v>0</v>
      </c>
      <c r="T79" t="s">
        <v>124</v>
      </c>
    </row>
    <row r="80">
      <c r="A80" t="s">
        <v>319</v>
      </c>
      <c r="B80" t="s">
        <v>296</v>
      </c>
      <c r="C80" s="2">
        <v>2026</v>
      </c>
      <c r="D80" s="10">
        <v>4</v>
      </c>
      <c r="E80" s="10">
        <v>4</v>
      </c>
      <c r="F80" t="s">
        <v>320</v>
      </c>
      <c r="G80">
        <v>3675</v>
      </c>
      <c r="H80" t="s">
        <v>128</v>
      </c>
      <c r="I80" t="s">
        <v>136</v>
      </c>
      <c r="J80" s="10" t="str">
        <f>VLOOKUP(I80,Categories!A:B,2,FALSE)</f>
        <v>อื่นๆ</v>
      </c>
      <c r="K80" t="s">
        <v>123</v>
      </c>
      <c r="L80" s="10" t="str">
        <f>VLOOKUP(K80,Accounts!A:B,2,FALSE)</f>
        <v>KBank</v>
      </c>
      <c r="M80" t="s">
        <v>131</v>
      </c>
      <c r="N80" s="10" t="str">
        <f>VLOOKUP(M80,Accounts!A:B,2,FALSE)</f>
        <v xml:space="preserve">Advance Paid</v>
      </c>
      <c r="O80" t="s">
        <v>321</v>
      </c>
      <c r="Q80" t="s">
        <v>126</v>
      </c>
      <c r="R80" t="s">
        <v>124</v>
      </c>
      <c r="S80" t="b">
        <v>0</v>
      </c>
      <c r="T80" t="s">
        <v>124</v>
      </c>
    </row>
    <row r="81">
      <c r="A81" t="s">
        <v>322</v>
      </c>
      <c r="B81" t="s">
        <v>296</v>
      </c>
      <c r="C81" s="2">
        <v>2026</v>
      </c>
      <c r="D81" s="10">
        <v>4</v>
      </c>
      <c r="E81" s="10">
        <v>4</v>
      </c>
      <c r="F81" t="s">
        <v>320</v>
      </c>
      <c r="G81">
        <v>3642</v>
      </c>
      <c r="H81" t="s">
        <v>128</v>
      </c>
      <c r="I81" t="s">
        <v>136</v>
      </c>
      <c r="J81" s="10" t="str">
        <f>VLOOKUP(I81,Categories!A:B,2,FALSE)</f>
        <v>อื่นๆ</v>
      </c>
      <c r="K81" t="s">
        <v>123</v>
      </c>
      <c r="L81" s="10" t="str">
        <f>VLOOKUP(K81,Accounts!A:B,2,FALSE)</f>
        <v>KBank</v>
      </c>
      <c r="M81" t="s">
        <v>131</v>
      </c>
      <c r="N81" s="10" t="str">
        <f>VLOOKUP(M81,Accounts!A:B,2,FALSE)</f>
        <v xml:space="preserve">Advance Paid</v>
      </c>
      <c r="O81" t="s">
        <v>323</v>
      </c>
      <c r="Q81" t="s">
        <v>126</v>
      </c>
      <c r="R81" t="s">
        <v>124</v>
      </c>
      <c r="S81" t="b">
        <v>0</v>
      </c>
      <c r="T81" t="s">
        <v>124</v>
      </c>
    </row>
    <row r="82">
      <c r="A82" t="s">
        <v>324</v>
      </c>
      <c r="B82" t="s">
        <v>325</v>
      </c>
      <c r="C82" s="2">
        <v>2026</v>
      </c>
      <c r="D82" s="10">
        <v>4</v>
      </c>
      <c r="E82" s="10">
        <v>2</v>
      </c>
      <c r="F82" t="s">
        <v>326</v>
      </c>
      <c r="G82">
        <v>3238</v>
      </c>
      <c r="H82" t="s">
        <v>206</v>
      </c>
      <c r="I82" t="s">
        <v>281</v>
      </c>
      <c r="J82" s="10" t="str">
        <f>VLOOKUP(I82,Categories!A:B,2,FALSE)</f>
        <v>Others</v>
      </c>
      <c r="K82" t="s">
        <v>123</v>
      </c>
      <c r="L82" s="10" t="str">
        <f>VLOOKUP(K82,Accounts!A:B,2,FALSE)</f>
        <v>KBank</v>
      </c>
      <c r="M82" t="s">
        <v>124</v>
      </c>
      <c r="N82" s="10"/>
      <c r="O82" t="s">
        <v>125</v>
      </c>
      <c r="Q82" t="s">
        <v>126</v>
      </c>
      <c r="R82" t="s">
        <v>124</v>
      </c>
      <c r="S82" t="b">
        <v>0</v>
      </c>
      <c r="T82" t="s">
        <v>124</v>
      </c>
    </row>
    <row r="83">
      <c r="A83" t="s">
        <v>327</v>
      </c>
      <c r="B83" t="s">
        <v>328</v>
      </c>
      <c r="C83" s="2">
        <v>2026</v>
      </c>
      <c r="D83" s="10">
        <v>4</v>
      </c>
      <c r="E83" s="10">
        <v>1</v>
      </c>
      <c r="F83" t="s">
        <v>329</v>
      </c>
      <c r="G83">
        <v>5000</v>
      </c>
      <c r="H83" t="s">
        <v>128</v>
      </c>
      <c r="I83" t="s">
        <v>136</v>
      </c>
      <c r="J83" s="10" t="str">
        <f>VLOOKUP(I83,Categories!A:B,2,FALSE)</f>
        <v>อื่นๆ</v>
      </c>
      <c r="K83" t="s">
        <v>123</v>
      </c>
      <c r="L83" s="10" t="str">
        <f>VLOOKUP(K83,Accounts!A:B,2,FALSE)</f>
        <v>KBank</v>
      </c>
      <c r="M83" t="s">
        <v>137</v>
      </c>
      <c r="N83" s="10" t="str">
        <f>VLOOKUP(M83,Accounts!A:B,2,FALSE)</f>
        <v xml:space="preserve">Make Kbank</v>
      </c>
      <c r="O83" t="s">
        <v>125</v>
      </c>
      <c r="Q83" t="s">
        <v>126</v>
      </c>
      <c r="R83" t="s">
        <v>124</v>
      </c>
      <c r="S83" t="b">
        <v>0</v>
      </c>
      <c r="T83" t="s">
        <v>124</v>
      </c>
    </row>
    <row r="84">
      <c r="A84" t="s">
        <v>330</v>
      </c>
      <c r="B84" t="s">
        <v>331</v>
      </c>
      <c r="C84" s="2">
        <v>2026</v>
      </c>
      <c r="D84" s="10">
        <v>3</v>
      </c>
      <c r="E84" s="10">
        <v>31</v>
      </c>
      <c r="F84" t="s">
        <v>332</v>
      </c>
      <c r="G84">
        <v>45</v>
      </c>
      <c r="H84" t="s">
        <v>69</v>
      </c>
      <c r="I84" t="s">
        <v>150</v>
      </c>
      <c r="J84" s="10" t="str">
        <f>VLOOKUP(I84,Categories!A:B,2,FALSE)</f>
        <v xml:space="preserve">Food &amp; Coff</v>
      </c>
      <c r="K84" t="s">
        <v>123</v>
      </c>
      <c r="L84" s="10" t="str">
        <f>VLOOKUP(K84,Accounts!A:B,2,FALSE)</f>
        <v>KBank</v>
      </c>
      <c r="M84" t="s">
        <v>124</v>
      </c>
      <c r="N84" s="10"/>
      <c r="O84" t="s">
        <v>125</v>
      </c>
      <c r="Q84" t="s">
        <v>126</v>
      </c>
      <c r="R84" t="s">
        <v>124</v>
      </c>
      <c r="S84" t="b">
        <v>0</v>
      </c>
      <c r="T84" t="s">
        <v>124</v>
      </c>
    </row>
    <row r="85">
      <c r="A85" t="s">
        <v>333</v>
      </c>
      <c r="B85" t="s">
        <v>331</v>
      </c>
      <c r="C85" s="2">
        <v>2026</v>
      </c>
      <c r="D85" s="10">
        <v>3</v>
      </c>
      <c r="E85" s="10">
        <v>31</v>
      </c>
      <c r="F85" t="s">
        <v>334</v>
      </c>
      <c r="G85">
        <v>3460</v>
      </c>
      <c r="H85" t="s">
        <v>69</v>
      </c>
      <c r="I85" t="s">
        <v>150</v>
      </c>
      <c r="J85" s="10" t="str">
        <f>VLOOKUP(I85,Categories!A:B,2,FALSE)</f>
        <v xml:space="preserve">Food &amp; Coff</v>
      </c>
      <c r="K85" t="s">
        <v>137</v>
      </c>
      <c r="L85" s="10" t="str">
        <f>VLOOKUP(K85,Accounts!A:B,2,FALSE)</f>
        <v xml:space="preserve">Make Kbank</v>
      </c>
      <c r="M85" t="s">
        <v>124</v>
      </c>
      <c r="N85" s="10"/>
      <c r="O85" t="s">
        <v>125</v>
      </c>
      <c r="Q85" t="s">
        <v>126</v>
      </c>
      <c r="R85" t="s">
        <v>124</v>
      </c>
      <c r="S85" t="b">
        <v>0</v>
      </c>
      <c r="T85" t="s">
        <v>124</v>
      </c>
    </row>
    <row r="86">
      <c r="A86" t="s">
        <v>335</v>
      </c>
      <c r="B86" t="s">
        <v>336</v>
      </c>
      <c r="C86" s="2">
        <v>2026</v>
      </c>
      <c r="D86" s="10">
        <v>3</v>
      </c>
      <c r="E86" s="10">
        <v>29</v>
      </c>
      <c r="F86" t="s">
        <v>337</v>
      </c>
      <c r="G86">
        <v>5986</v>
      </c>
      <c r="H86" t="s">
        <v>69</v>
      </c>
      <c r="I86" t="s">
        <v>338</v>
      </c>
      <c r="J86" s="10" t="str">
        <f>VLOOKUP(I86,Categories!A:B,2,FALSE)</f>
        <v>Trips</v>
      </c>
      <c r="K86" t="s">
        <v>123</v>
      </c>
      <c r="L86" s="10" t="str">
        <f>VLOOKUP(K86,Accounts!A:B,2,FALSE)</f>
        <v>KBank</v>
      </c>
      <c r="M86" t="s">
        <v>124</v>
      </c>
      <c r="N86" s="10"/>
      <c r="O86" t="s">
        <v>339</v>
      </c>
      <c r="Q86" t="s">
        <v>126</v>
      </c>
      <c r="R86" t="s">
        <v>124</v>
      </c>
      <c r="S86" t="b">
        <v>0</v>
      </c>
      <c r="T86" t="s">
        <v>124</v>
      </c>
    </row>
    <row r="87">
      <c r="A87" t="s">
        <v>340</v>
      </c>
      <c r="B87" t="s">
        <v>336</v>
      </c>
      <c r="C87" s="2">
        <v>2026</v>
      </c>
      <c r="D87" s="10">
        <v>3</v>
      </c>
      <c r="E87" s="10">
        <v>29</v>
      </c>
      <c r="F87" t="s">
        <v>341</v>
      </c>
      <c r="G87">
        <v>398</v>
      </c>
      <c r="H87" t="s">
        <v>69</v>
      </c>
      <c r="I87" t="s">
        <v>155</v>
      </c>
      <c r="J87" s="10" t="str">
        <f>VLOOKUP(I87,Categories!A:B,2,FALSE)</f>
        <v>Gashapon</v>
      </c>
      <c r="K87" t="s">
        <v>123</v>
      </c>
      <c r="L87" s="10" t="str">
        <f>VLOOKUP(K87,Accounts!A:B,2,FALSE)</f>
        <v>KBank</v>
      </c>
      <c r="M87" t="s">
        <v>124</v>
      </c>
      <c r="N87" s="10"/>
      <c r="O87" t="s">
        <v>342</v>
      </c>
      <c r="Q87" t="s">
        <v>126</v>
      </c>
      <c r="R87" t="s">
        <v>124</v>
      </c>
      <c r="S87" t="b">
        <v>0</v>
      </c>
      <c r="T87" t="s">
        <v>124</v>
      </c>
    </row>
    <row r="88">
      <c r="A88" t="s">
        <v>343</v>
      </c>
      <c r="B88" t="s">
        <v>344</v>
      </c>
      <c r="C88" s="2">
        <v>2026</v>
      </c>
      <c r="D88" s="10">
        <v>3</v>
      </c>
      <c r="E88" s="10">
        <v>27</v>
      </c>
      <c r="F88" t="s">
        <v>345</v>
      </c>
      <c r="G88">
        <v>15000</v>
      </c>
      <c r="H88" t="s">
        <v>69</v>
      </c>
      <c r="I88" t="s">
        <v>144</v>
      </c>
      <c r="J88" s="10" t="str">
        <f>VLOOKUP(I88,Categories!A:B,2,FALSE)</f>
        <v xml:space="preserve">Family paid</v>
      </c>
      <c r="K88" t="s">
        <v>123</v>
      </c>
      <c r="L88" s="10" t="str">
        <f>VLOOKUP(K88,Accounts!A:B,2,FALSE)</f>
        <v>KBank</v>
      </c>
      <c r="M88" t="s">
        <v>124</v>
      </c>
      <c r="N88" s="10"/>
      <c r="O88" t="s">
        <v>125</v>
      </c>
      <c r="Q88" t="s">
        <v>126</v>
      </c>
      <c r="R88" t="s">
        <v>124</v>
      </c>
      <c r="S88" t="b">
        <v>0</v>
      </c>
      <c r="T88" t="s">
        <v>124</v>
      </c>
    </row>
    <row r="89">
      <c r="A89" t="s">
        <v>346</v>
      </c>
      <c r="B89" t="s">
        <v>347</v>
      </c>
      <c r="C89" s="2">
        <v>2026</v>
      </c>
      <c r="D89" s="10">
        <v>3</v>
      </c>
      <c r="E89" s="10">
        <v>25</v>
      </c>
      <c r="F89" t="s">
        <v>121</v>
      </c>
      <c r="G89">
        <v>3357</v>
      </c>
      <c r="H89" t="s">
        <v>128</v>
      </c>
      <c r="I89" t="s">
        <v>136</v>
      </c>
      <c r="J89" s="10" t="str">
        <f>VLOOKUP(I89,Categories!A:B,2,FALSE)</f>
        <v>อื่นๆ</v>
      </c>
      <c r="K89" t="s">
        <v>123</v>
      </c>
      <c r="L89" s="10" t="str">
        <f>VLOOKUP(K89,Accounts!A:B,2,FALSE)</f>
        <v>KBank</v>
      </c>
      <c r="M89" t="s">
        <v>203</v>
      </c>
      <c r="N89" s="10" t="str">
        <f>VLOOKUP(M89,Accounts!A:B,2,FALSE)</f>
        <v xml:space="preserve">Provident Fund</v>
      </c>
      <c r="O89" t="s">
        <v>125</v>
      </c>
      <c r="Q89" t="s">
        <v>126</v>
      </c>
      <c r="R89" t="s">
        <v>124</v>
      </c>
      <c r="S89" t="b">
        <v>0</v>
      </c>
      <c r="T89" t="s">
        <v>124</v>
      </c>
    </row>
    <row r="90">
      <c r="A90" t="s">
        <v>348</v>
      </c>
      <c r="B90" t="s">
        <v>347</v>
      </c>
      <c r="C90" s="2">
        <v>2026</v>
      </c>
      <c r="D90" s="10">
        <v>3</v>
      </c>
      <c r="E90" s="10">
        <v>25</v>
      </c>
      <c r="F90" t="s">
        <v>121</v>
      </c>
      <c r="G90">
        <v>6894</v>
      </c>
      <c r="H90" t="s">
        <v>69</v>
      </c>
      <c r="I90" t="s">
        <v>195</v>
      </c>
      <c r="J90" s="10" t="str">
        <f>VLOOKUP(I90,Categories!A:B,2,FALSE)</f>
        <v>Tax</v>
      </c>
      <c r="K90" t="s">
        <v>123</v>
      </c>
      <c r="L90" s="10" t="str">
        <f>VLOOKUP(K90,Accounts!A:B,2,FALSE)</f>
        <v>KBank</v>
      </c>
      <c r="M90" t="s">
        <v>124</v>
      </c>
      <c r="N90" s="10"/>
      <c r="O90" t="s">
        <v>125</v>
      </c>
      <c r="Q90" t="s">
        <v>126</v>
      </c>
      <c r="R90" t="s">
        <v>124</v>
      </c>
      <c r="S90" t="b">
        <v>0</v>
      </c>
      <c r="T90" t="s">
        <v>124</v>
      </c>
    </row>
    <row r="91">
      <c r="A91" t="s">
        <v>349</v>
      </c>
      <c r="B91" t="s">
        <v>347</v>
      </c>
      <c r="C91" s="2">
        <v>2026</v>
      </c>
      <c r="D91" s="10">
        <v>3</v>
      </c>
      <c r="E91" s="10">
        <v>25</v>
      </c>
      <c r="F91" t="s">
        <v>121</v>
      </c>
      <c r="G91">
        <v>2134</v>
      </c>
      <c r="H91" t="s">
        <v>69</v>
      </c>
      <c r="I91" t="s">
        <v>199</v>
      </c>
      <c r="J91" s="10" t="str">
        <f>VLOOKUP(I91,Categories!A:B,2,FALSE)</f>
        <v xml:space="preserve">Home Chomthong Interest</v>
      </c>
      <c r="K91" t="s">
        <v>123</v>
      </c>
      <c r="L91" s="10" t="str">
        <f>VLOOKUP(K91,Accounts!A:B,2,FALSE)</f>
        <v>KBank</v>
      </c>
      <c r="M91" t="s">
        <v>124</v>
      </c>
      <c r="N91" s="10"/>
      <c r="O91" t="s">
        <v>125</v>
      </c>
      <c r="Q91" t="s">
        <v>126</v>
      </c>
      <c r="R91" t="s">
        <v>124</v>
      </c>
      <c r="S91" t="b">
        <v>0</v>
      </c>
      <c r="T91" t="s">
        <v>124</v>
      </c>
    </row>
    <row r="92">
      <c r="A92" t="s">
        <v>350</v>
      </c>
      <c r="B92" t="s">
        <v>347</v>
      </c>
      <c r="C92" s="2">
        <v>2026</v>
      </c>
      <c r="D92" s="10">
        <v>3</v>
      </c>
      <c r="E92" s="10">
        <v>25</v>
      </c>
      <c r="F92" t="s">
        <v>121</v>
      </c>
      <c r="G92">
        <v>9790</v>
      </c>
      <c r="H92" t="s">
        <v>69</v>
      </c>
      <c r="I92" t="s">
        <v>197</v>
      </c>
      <c r="J92" s="10" t="str">
        <f>VLOOKUP(I92,Categories!A:B,2,FALSE)</f>
        <v xml:space="preserve">Initial Home loan</v>
      </c>
      <c r="K92" t="s">
        <v>123</v>
      </c>
      <c r="L92" s="10" t="str">
        <f>VLOOKUP(K92,Accounts!A:B,2,FALSE)</f>
        <v>KBank</v>
      </c>
      <c r="M92" t="s">
        <v>124</v>
      </c>
      <c r="N92" s="10"/>
      <c r="O92" t="s">
        <v>125</v>
      </c>
      <c r="Q92" t="s">
        <v>126</v>
      </c>
      <c r="R92" t="s">
        <v>124</v>
      </c>
      <c r="S92" t="b">
        <v>0</v>
      </c>
      <c r="T92" t="s">
        <v>124</v>
      </c>
    </row>
    <row r="93">
      <c r="A93" t="s">
        <v>351</v>
      </c>
      <c r="B93" t="s">
        <v>347</v>
      </c>
      <c r="C93" s="2">
        <v>2026</v>
      </c>
      <c r="D93" s="10">
        <v>3</v>
      </c>
      <c r="E93" s="10">
        <v>25</v>
      </c>
      <c r="F93" t="s">
        <v>121</v>
      </c>
      <c r="G93">
        <v>167890</v>
      </c>
      <c r="H93" t="s">
        <v>206</v>
      </c>
      <c r="I93" t="s">
        <v>207</v>
      </c>
      <c r="J93" s="10" t="str">
        <f>VLOOKUP(I93,Categories!A:B,2,FALSE)</f>
        <v>Salary</v>
      </c>
      <c r="K93" t="s">
        <v>123</v>
      </c>
      <c r="L93" s="10" t="str">
        <f>VLOOKUP(K93,Accounts!A:B,2,FALSE)</f>
        <v>KBank</v>
      </c>
      <c r="M93" t="s">
        <v>124</v>
      </c>
      <c r="N93" s="10"/>
      <c r="O93" t="s">
        <v>125</v>
      </c>
      <c r="Q93" t="s">
        <v>126</v>
      </c>
      <c r="R93" t="s">
        <v>124</v>
      </c>
      <c r="S93" t="b">
        <v>0</v>
      </c>
      <c r="T93" t="s">
        <v>124</v>
      </c>
    </row>
    <row r="94">
      <c r="A94" t="s">
        <v>352</v>
      </c>
      <c r="B94" t="s">
        <v>347</v>
      </c>
      <c r="C94" s="2">
        <v>2026</v>
      </c>
      <c r="D94" s="10">
        <v>3</v>
      </c>
      <c r="E94" s="10">
        <v>25</v>
      </c>
      <c r="F94" t="s">
        <v>121</v>
      </c>
      <c r="G94">
        <v>500</v>
      </c>
      <c r="H94" t="s">
        <v>128</v>
      </c>
      <c r="I94" t="s">
        <v>136</v>
      </c>
      <c r="J94" s="10" t="str">
        <f>VLOOKUP(I94,Categories!A:B,2,FALSE)</f>
        <v>อื่นๆ</v>
      </c>
      <c r="K94" t="s">
        <v>123</v>
      </c>
      <c r="L94" s="10" t="str">
        <f>VLOOKUP(K94,Accounts!A:B,2,FALSE)</f>
        <v>KBank</v>
      </c>
      <c r="M94" t="s">
        <v>201</v>
      </c>
      <c r="N94" s="10" t="str">
        <f>VLOOKUP(M94,Accounts!A:B,2,FALSE)</f>
        <v>Coop</v>
      </c>
      <c r="O94" t="s">
        <v>125</v>
      </c>
      <c r="Q94" t="s">
        <v>126</v>
      </c>
      <c r="R94" t="s">
        <v>124</v>
      </c>
      <c r="S94" t="b">
        <v>0</v>
      </c>
      <c r="T94" t="s">
        <v>124</v>
      </c>
    </row>
    <row r="95">
      <c r="A95" t="s">
        <v>353</v>
      </c>
      <c r="B95" t="s">
        <v>354</v>
      </c>
      <c r="C95" s="2">
        <v>2026</v>
      </c>
      <c r="D95" s="10">
        <v>3</v>
      </c>
      <c r="E95" s="10">
        <v>24</v>
      </c>
      <c r="F95" t="s">
        <v>355</v>
      </c>
      <c r="G95">
        <v>300</v>
      </c>
      <c r="H95" t="s">
        <v>69</v>
      </c>
      <c r="I95" t="s">
        <v>150</v>
      </c>
      <c r="J95" s="10" t="str">
        <f>VLOOKUP(I95,Categories!A:B,2,FALSE)</f>
        <v xml:space="preserve">Food &amp; Coff</v>
      </c>
      <c r="K95" t="s">
        <v>123</v>
      </c>
      <c r="L95" s="10" t="str">
        <f>VLOOKUP(K95,Accounts!A:B,2,FALSE)</f>
        <v>KBank</v>
      </c>
      <c r="M95" t="s">
        <v>124</v>
      </c>
      <c r="N95" s="10"/>
      <c r="O95" t="s">
        <v>125</v>
      </c>
      <c r="Q95" t="s">
        <v>126</v>
      </c>
      <c r="R95" t="s">
        <v>124</v>
      </c>
      <c r="S95" t="b">
        <v>0</v>
      </c>
      <c r="T95" t="s">
        <v>124</v>
      </c>
    </row>
    <row r="96">
      <c r="A96" t="s">
        <v>356</v>
      </c>
      <c r="B96" t="s">
        <v>357</v>
      </c>
      <c r="C96" s="2">
        <v>2026</v>
      </c>
      <c r="D96" s="10">
        <v>3</v>
      </c>
      <c r="E96" s="10">
        <v>21</v>
      </c>
      <c r="F96" t="s">
        <v>355</v>
      </c>
      <c r="G96">
        <v>20000</v>
      </c>
      <c r="H96" t="s">
        <v>128</v>
      </c>
      <c r="I96" t="s">
        <v>136</v>
      </c>
      <c r="J96" s="10" t="str">
        <f>VLOOKUP(I96,Categories!A:B,2,FALSE)</f>
        <v>อื่นๆ</v>
      </c>
      <c r="K96" t="s">
        <v>123</v>
      </c>
      <c r="L96" s="10" t="str">
        <f>VLOOKUP(K96,Accounts!A:B,2,FALSE)</f>
        <v>KBank</v>
      </c>
      <c r="M96" t="s">
        <v>131</v>
      </c>
      <c r="N96" s="10" t="str">
        <f>VLOOKUP(M96,Accounts!A:B,2,FALSE)</f>
        <v xml:space="preserve">Advance Paid</v>
      </c>
      <c r="O96" t="s">
        <v>358</v>
      </c>
      <c r="Q96" t="s">
        <v>126</v>
      </c>
      <c r="R96" t="s">
        <v>124</v>
      </c>
      <c r="S96" t="b">
        <v>0</v>
      </c>
      <c r="T96" t="s">
        <v>124</v>
      </c>
    </row>
    <row r="97">
      <c r="A97" t="s">
        <v>359</v>
      </c>
      <c r="B97" t="s">
        <v>360</v>
      </c>
      <c r="C97" s="2">
        <v>2026</v>
      </c>
      <c r="D97" s="10">
        <v>3</v>
      </c>
      <c r="E97" s="10">
        <v>19</v>
      </c>
      <c r="F97" t="s">
        <v>361</v>
      </c>
      <c r="G97">
        <v>90000</v>
      </c>
      <c r="H97" t="s">
        <v>128</v>
      </c>
      <c r="I97" t="s">
        <v>136</v>
      </c>
      <c r="J97" s="10" t="str">
        <f>VLOOKUP(I97,Categories!A:B,2,FALSE)</f>
        <v>อื่นๆ</v>
      </c>
      <c r="K97" t="s">
        <v>123</v>
      </c>
      <c r="L97" s="10" t="str">
        <f>VLOOKUP(K97,Accounts!A:B,2,FALSE)</f>
        <v>KBank</v>
      </c>
      <c r="M97" t="s">
        <v>235</v>
      </c>
      <c r="N97" s="10" t="str">
        <f>VLOOKUP(M97,Accounts!A:B,2,FALSE)</f>
        <v xml:space="preserve">JPY cash</v>
      </c>
      <c r="O97" t="s">
        <v>362</v>
      </c>
      <c r="Q97" t="s">
        <v>126</v>
      </c>
      <c r="R97" t="s">
        <v>124</v>
      </c>
      <c r="S97" t="b">
        <v>0</v>
      </c>
      <c r="T97" t="s">
        <v>124</v>
      </c>
    </row>
    <row r="98">
      <c r="A98" t="s">
        <v>363</v>
      </c>
      <c r="B98" t="s">
        <v>360</v>
      </c>
      <c r="C98" s="2">
        <v>2026</v>
      </c>
      <c r="D98" s="10">
        <v>3</v>
      </c>
      <c r="E98" s="10">
        <v>19</v>
      </c>
      <c r="F98" t="s">
        <v>364</v>
      </c>
      <c r="G98">
        <v>7500</v>
      </c>
      <c r="H98" t="s">
        <v>128</v>
      </c>
      <c r="I98" t="s">
        <v>136</v>
      </c>
      <c r="J98" s="10" t="str">
        <f>VLOOKUP(I98,Categories!A:B,2,FALSE)</f>
        <v>อื่นๆ</v>
      </c>
      <c r="K98" t="s">
        <v>178</v>
      </c>
      <c r="L98" s="10" t="str">
        <f>VLOOKUP(K98,Accounts!A:B,2,FALSE)</f>
        <v>SCB</v>
      </c>
      <c r="M98" t="s">
        <v>131</v>
      </c>
      <c r="N98" s="10" t="str">
        <f>VLOOKUP(M98,Accounts!A:B,2,FALSE)</f>
        <v xml:space="preserve">Advance Paid</v>
      </c>
      <c r="O98" t="s">
        <v>358</v>
      </c>
      <c r="Q98" t="s">
        <v>126</v>
      </c>
      <c r="R98" t="s">
        <v>124</v>
      </c>
      <c r="S98" t="b">
        <v>0</v>
      </c>
      <c r="T98" t="s">
        <v>124</v>
      </c>
    </row>
    <row r="99">
      <c r="A99" t="s">
        <v>365</v>
      </c>
      <c r="B99" t="s">
        <v>366</v>
      </c>
      <c r="C99" s="2">
        <v>2026</v>
      </c>
      <c r="D99" s="10">
        <v>3</v>
      </c>
      <c r="E99" s="10">
        <v>16</v>
      </c>
      <c r="F99" t="s">
        <v>367</v>
      </c>
      <c r="G99">
        <v>210</v>
      </c>
      <c r="H99" t="s">
        <v>69</v>
      </c>
      <c r="I99" t="s">
        <v>150</v>
      </c>
      <c r="J99" s="10" t="str">
        <f>VLOOKUP(I99,Categories!A:B,2,FALSE)</f>
        <v xml:space="preserve">Food &amp; Coff</v>
      </c>
      <c r="K99" t="s">
        <v>123</v>
      </c>
      <c r="L99" s="10" t="str">
        <f>VLOOKUP(K99,Accounts!A:B,2,FALSE)</f>
        <v>KBank</v>
      </c>
      <c r="M99" t="s">
        <v>124</v>
      </c>
      <c r="N99" s="10"/>
      <c r="O99" t="s">
        <v>125</v>
      </c>
      <c r="Q99" t="s">
        <v>126</v>
      </c>
      <c r="R99" t="s">
        <v>124</v>
      </c>
      <c r="S99" t="b">
        <v>0</v>
      </c>
      <c r="T99" t="s">
        <v>124</v>
      </c>
    </row>
    <row r="100">
      <c r="A100" t="s">
        <v>368</v>
      </c>
      <c r="B100" t="s">
        <v>369</v>
      </c>
      <c r="C100" s="2">
        <v>2026</v>
      </c>
      <c r="D100" s="10">
        <v>3</v>
      </c>
      <c r="E100" s="10">
        <v>15</v>
      </c>
      <c r="F100" t="s">
        <v>370</v>
      </c>
      <c r="G100">
        <v>1599</v>
      </c>
      <c r="H100" t="s">
        <v>128</v>
      </c>
      <c r="I100" t="s">
        <v>136</v>
      </c>
      <c r="J100" s="10" t="str">
        <f>VLOOKUP(I100,Categories!A:B,2,FALSE)</f>
        <v>อื่นๆ</v>
      </c>
      <c r="K100" t="s">
        <v>123</v>
      </c>
      <c r="L100" s="10" t="str">
        <f>VLOOKUP(K100,Accounts!A:B,2,FALSE)</f>
        <v>KBank</v>
      </c>
      <c r="M100" t="s">
        <v>131</v>
      </c>
      <c r="N100" s="10" t="str">
        <f>VLOOKUP(M100,Accounts!A:B,2,FALSE)</f>
        <v xml:space="preserve">Advance Paid</v>
      </c>
      <c r="O100" t="s">
        <v>285</v>
      </c>
      <c r="Q100" t="s">
        <v>126</v>
      </c>
      <c r="R100" t="s">
        <v>124</v>
      </c>
      <c r="S100" t="b">
        <v>0</v>
      </c>
      <c r="T100" t="s">
        <v>124</v>
      </c>
    </row>
    <row r="101">
      <c r="A101" t="s">
        <v>371</v>
      </c>
      <c r="B101" t="s">
        <v>372</v>
      </c>
      <c r="C101" s="2">
        <v>2026</v>
      </c>
      <c r="D101" s="10">
        <v>3</v>
      </c>
      <c r="E101" s="10">
        <v>13</v>
      </c>
      <c r="F101" t="s">
        <v>373</v>
      </c>
      <c r="G101">
        <v>300</v>
      </c>
      <c r="H101" t="s">
        <v>69</v>
      </c>
      <c r="I101" t="s">
        <v>259</v>
      </c>
      <c r="J101" s="10" t="str">
        <f>VLOOKUP(I101,Categories!A:B,2,FALSE)</f>
        <v xml:space="preserve">Team BOT</v>
      </c>
      <c r="K101" t="s">
        <v>123</v>
      </c>
      <c r="L101" s="10" t="str">
        <f>VLOOKUP(K101,Accounts!A:B,2,FALSE)</f>
        <v>KBank</v>
      </c>
      <c r="M101" t="s">
        <v>124</v>
      </c>
      <c r="N101" s="10"/>
      <c r="O101" t="s">
        <v>374</v>
      </c>
      <c r="Q101" t="s">
        <v>126</v>
      </c>
      <c r="R101" t="s">
        <v>124</v>
      </c>
      <c r="S101" t="b">
        <v>0</v>
      </c>
      <c r="T101" t="s">
        <v>124</v>
      </c>
    </row>
    <row r="102">
      <c r="A102" t="s">
        <v>375</v>
      </c>
      <c r="B102" t="s">
        <v>372</v>
      </c>
      <c r="C102" s="2">
        <v>2026</v>
      </c>
      <c r="D102" s="10">
        <v>3</v>
      </c>
      <c r="E102" s="10">
        <v>13</v>
      </c>
      <c r="F102" t="s">
        <v>376</v>
      </c>
      <c r="G102">
        <v>300</v>
      </c>
      <c r="H102" t="s">
        <v>69</v>
      </c>
      <c r="I102" t="s">
        <v>160</v>
      </c>
      <c r="J102" s="10" t="str">
        <f>VLOOKUP(I102,Categories!A:B,2,FALSE)</f>
        <v>Fashion</v>
      </c>
      <c r="K102" t="s">
        <v>123</v>
      </c>
      <c r="L102" s="10" t="str">
        <f>VLOOKUP(K102,Accounts!A:B,2,FALSE)</f>
        <v>KBank</v>
      </c>
      <c r="M102" t="s">
        <v>124</v>
      </c>
      <c r="N102" s="10"/>
      <c r="O102" t="s">
        <v>377</v>
      </c>
      <c r="Q102" t="s">
        <v>126</v>
      </c>
      <c r="R102" t="s">
        <v>124</v>
      </c>
      <c r="S102" t="b">
        <v>0</v>
      </c>
      <c r="T102" t="s">
        <v>124</v>
      </c>
    </row>
    <row r="103">
      <c r="A103" t="s">
        <v>378</v>
      </c>
      <c r="B103" t="s">
        <v>379</v>
      </c>
      <c r="C103" s="2">
        <v>2026</v>
      </c>
      <c r="D103" s="10">
        <v>3</v>
      </c>
      <c r="E103" s="10">
        <v>9</v>
      </c>
      <c r="F103" t="s">
        <v>380</v>
      </c>
      <c r="G103">
        <v>1500</v>
      </c>
      <c r="H103" t="s">
        <v>69</v>
      </c>
      <c r="I103" t="s">
        <v>259</v>
      </c>
      <c r="J103" s="10" t="str">
        <f>VLOOKUP(I103,Categories!A:B,2,FALSE)</f>
        <v xml:space="preserve">Team BOT</v>
      </c>
      <c r="K103" t="s">
        <v>123</v>
      </c>
      <c r="L103" s="10" t="str">
        <f>VLOOKUP(K103,Accounts!A:B,2,FALSE)</f>
        <v>KBank</v>
      </c>
      <c r="M103" t="s">
        <v>124</v>
      </c>
      <c r="N103" s="10"/>
      <c r="O103" t="s">
        <v>125</v>
      </c>
      <c r="Q103" t="s">
        <v>126</v>
      </c>
      <c r="R103" t="s">
        <v>124</v>
      </c>
      <c r="S103" t="b">
        <v>0</v>
      </c>
      <c r="T103" t="s">
        <v>124</v>
      </c>
    </row>
    <row r="104">
      <c r="A104" t="s">
        <v>381</v>
      </c>
      <c r="B104" t="s">
        <v>382</v>
      </c>
      <c r="C104" s="2">
        <v>2026</v>
      </c>
      <c r="D104" s="10">
        <v>3</v>
      </c>
      <c r="E104" s="10">
        <v>7</v>
      </c>
      <c r="F104" t="s">
        <v>383</v>
      </c>
      <c r="G104">
        <v>2400</v>
      </c>
      <c r="H104" t="s">
        <v>69</v>
      </c>
      <c r="I104" t="s">
        <v>141</v>
      </c>
      <c r="J104" s="10" t="str">
        <f>VLOOKUP(I104,Categories!A:B,2,FALSE)</f>
        <v>Other</v>
      </c>
      <c r="K104" t="s">
        <v>123</v>
      </c>
      <c r="L104" s="10" t="str">
        <f>VLOOKUP(K104,Accounts!A:B,2,FALSE)</f>
        <v>KBank</v>
      </c>
      <c r="M104" t="s">
        <v>124</v>
      </c>
      <c r="N104" s="10"/>
      <c r="O104" t="s">
        <v>384</v>
      </c>
      <c r="Q104" t="s">
        <v>126</v>
      </c>
      <c r="R104" t="s">
        <v>124</v>
      </c>
      <c r="S104" t="b">
        <v>0</v>
      </c>
      <c r="T104" t="s">
        <v>124</v>
      </c>
    </row>
    <row r="105">
      <c r="A105" t="s">
        <v>385</v>
      </c>
      <c r="B105" t="s">
        <v>382</v>
      </c>
      <c r="C105" s="2">
        <v>2026</v>
      </c>
      <c r="D105" s="10">
        <v>3</v>
      </c>
      <c r="E105" s="10">
        <v>7</v>
      </c>
      <c r="F105" t="s">
        <v>386</v>
      </c>
      <c r="G105">
        <v>129</v>
      </c>
      <c r="H105" t="s">
        <v>69</v>
      </c>
      <c r="I105" t="s">
        <v>150</v>
      </c>
      <c r="J105" s="10" t="str">
        <f>VLOOKUP(I105,Categories!A:B,2,FALSE)</f>
        <v xml:space="preserve">Food &amp; Coff</v>
      </c>
      <c r="K105" t="s">
        <v>123</v>
      </c>
      <c r="L105" s="10" t="str">
        <f>VLOOKUP(K105,Accounts!A:B,2,FALSE)</f>
        <v>KBank</v>
      </c>
      <c r="M105" t="s">
        <v>124</v>
      </c>
      <c r="N105" s="10"/>
      <c r="O105" t="s">
        <v>125</v>
      </c>
      <c r="Q105" t="s">
        <v>126</v>
      </c>
      <c r="R105" t="s">
        <v>124</v>
      </c>
      <c r="S105" t="b">
        <v>0</v>
      </c>
      <c r="T105" t="s">
        <v>124</v>
      </c>
    </row>
    <row r="106">
      <c r="A106" t="s">
        <v>387</v>
      </c>
      <c r="B106" t="s">
        <v>388</v>
      </c>
      <c r="C106" s="2">
        <v>2026</v>
      </c>
      <c r="D106" s="10">
        <v>3</v>
      </c>
      <c r="E106" s="10">
        <v>1</v>
      </c>
      <c r="F106" t="s">
        <v>389</v>
      </c>
      <c r="G106">
        <v>5000</v>
      </c>
      <c r="H106" t="s">
        <v>128</v>
      </c>
      <c r="I106" t="s">
        <v>136</v>
      </c>
      <c r="J106" s="10" t="str">
        <f>VLOOKUP(I106,Categories!A:B,2,FALSE)</f>
        <v>อื่นๆ</v>
      </c>
      <c r="K106" t="s">
        <v>123</v>
      </c>
      <c r="L106" s="10" t="str">
        <f>VLOOKUP(K106,Accounts!A:B,2,FALSE)</f>
        <v>KBank</v>
      </c>
      <c r="M106" t="s">
        <v>137</v>
      </c>
      <c r="N106" s="10" t="str">
        <f>VLOOKUP(M106,Accounts!A:B,2,FALSE)</f>
        <v xml:space="preserve">Make Kbank</v>
      </c>
      <c r="O106" t="s">
        <v>125</v>
      </c>
      <c r="Q106" t="s">
        <v>126</v>
      </c>
      <c r="R106" t="s">
        <v>124</v>
      </c>
      <c r="S106" t="b">
        <v>0</v>
      </c>
      <c r="T106" t="s">
        <v>124</v>
      </c>
    </row>
    <row r="107">
      <c r="A107" t="s">
        <v>390</v>
      </c>
      <c r="B107" t="s">
        <v>391</v>
      </c>
      <c r="C107" s="2">
        <v>2026</v>
      </c>
      <c r="D107" s="10">
        <v>2</v>
      </c>
      <c r="E107" s="10">
        <v>28</v>
      </c>
      <c r="F107" t="s">
        <v>251</v>
      </c>
      <c r="G107">
        <v>70</v>
      </c>
      <c r="H107" t="s">
        <v>69</v>
      </c>
      <c r="I107" t="s">
        <v>150</v>
      </c>
      <c r="J107" s="10" t="str">
        <f>VLOOKUP(I107,Categories!A:B,2,FALSE)</f>
        <v xml:space="preserve">Food &amp; Coff</v>
      </c>
      <c r="K107" t="s">
        <v>123</v>
      </c>
      <c r="L107" s="10" t="str">
        <f>VLOOKUP(K107,Accounts!A:B,2,FALSE)</f>
        <v>KBank</v>
      </c>
      <c r="M107" t="s">
        <v>124</v>
      </c>
      <c r="N107" s="10"/>
      <c r="O107" t="s">
        <v>125</v>
      </c>
      <c r="Q107" t="s">
        <v>126</v>
      </c>
      <c r="R107" t="s">
        <v>124</v>
      </c>
      <c r="S107" t="b">
        <v>0</v>
      </c>
      <c r="T107" t="s">
        <v>124</v>
      </c>
    </row>
    <row r="108">
      <c r="A108" t="s">
        <v>392</v>
      </c>
      <c r="B108" t="s">
        <v>391</v>
      </c>
      <c r="C108" s="2">
        <v>2026</v>
      </c>
      <c r="D108" s="10">
        <v>2</v>
      </c>
      <c r="E108" s="10">
        <v>28</v>
      </c>
      <c r="F108" t="s">
        <v>389</v>
      </c>
      <c r="G108">
        <v>7151</v>
      </c>
      <c r="H108" t="s">
        <v>69</v>
      </c>
      <c r="I108" t="s">
        <v>139</v>
      </c>
      <c r="J108" s="10" t="str">
        <f>VLOOKUP(I108,Categories!A:B,2,FALSE)</f>
        <v>Condo</v>
      </c>
      <c r="K108" t="s">
        <v>123</v>
      </c>
      <c r="L108" s="10" t="str">
        <f>VLOOKUP(K108,Accounts!A:B,2,FALSE)</f>
        <v>KBank</v>
      </c>
      <c r="M108" t="s">
        <v>124</v>
      </c>
      <c r="N108" s="10"/>
      <c r="O108" t="s">
        <v>125</v>
      </c>
      <c r="Q108" t="s">
        <v>126</v>
      </c>
      <c r="R108" t="s">
        <v>124</v>
      </c>
      <c r="S108" t="b">
        <v>0</v>
      </c>
      <c r="T108" t="s">
        <v>124</v>
      </c>
    </row>
    <row r="109">
      <c r="A109" t="s">
        <v>393</v>
      </c>
      <c r="B109" t="s">
        <v>391</v>
      </c>
      <c r="C109" s="2">
        <v>2026</v>
      </c>
      <c r="D109" s="10">
        <v>2</v>
      </c>
      <c r="E109" s="10">
        <v>28</v>
      </c>
      <c r="F109" t="s">
        <v>394</v>
      </c>
      <c r="G109">
        <v>3258</v>
      </c>
      <c r="H109" t="s">
        <v>69</v>
      </c>
      <c r="I109" t="s">
        <v>150</v>
      </c>
      <c r="J109" s="10" t="str">
        <f>VLOOKUP(I109,Categories!A:B,2,FALSE)</f>
        <v xml:space="preserve">Food &amp; Coff</v>
      </c>
      <c r="K109" t="s">
        <v>137</v>
      </c>
      <c r="L109" s="10" t="str">
        <f>VLOOKUP(K109,Accounts!A:B,2,FALSE)</f>
        <v xml:space="preserve">Make Kbank</v>
      </c>
      <c r="M109" t="s">
        <v>124</v>
      </c>
      <c r="N109" s="10"/>
      <c r="O109" t="s">
        <v>125</v>
      </c>
      <c r="Q109" t="s">
        <v>126</v>
      </c>
      <c r="R109" t="s">
        <v>124</v>
      </c>
      <c r="S109" t="b">
        <v>0</v>
      </c>
      <c r="T109" t="s">
        <v>124</v>
      </c>
    </row>
    <row r="110">
      <c r="A110" t="s">
        <v>395</v>
      </c>
      <c r="B110" t="s">
        <v>396</v>
      </c>
      <c r="C110" s="2">
        <v>2026</v>
      </c>
      <c r="D110" s="10">
        <v>2</v>
      </c>
      <c r="E110" s="10">
        <v>25</v>
      </c>
      <c r="F110" t="s">
        <v>121</v>
      </c>
      <c r="G110">
        <v>9790</v>
      </c>
      <c r="H110" t="s">
        <v>69</v>
      </c>
      <c r="I110" t="s">
        <v>197</v>
      </c>
      <c r="J110" s="10" t="str">
        <f>VLOOKUP(I110,Categories!A:B,2,FALSE)</f>
        <v xml:space="preserve">Initial Home loan</v>
      </c>
      <c r="K110" t="s">
        <v>123</v>
      </c>
      <c r="L110" s="10" t="str">
        <f>VLOOKUP(K110,Accounts!A:B,2,FALSE)</f>
        <v>KBank</v>
      </c>
      <c r="M110" t="s">
        <v>124</v>
      </c>
      <c r="N110" s="10"/>
      <c r="O110" t="s">
        <v>125</v>
      </c>
      <c r="Q110" t="s">
        <v>126</v>
      </c>
      <c r="R110" t="s">
        <v>124</v>
      </c>
      <c r="S110" t="b">
        <v>0</v>
      </c>
      <c r="T110" t="s">
        <v>124</v>
      </c>
    </row>
    <row r="111">
      <c r="A111" t="s">
        <v>397</v>
      </c>
      <c r="B111" t="s">
        <v>396</v>
      </c>
      <c r="C111" s="2">
        <v>2026</v>
      </c>
      <c r="D111" s="10">
        <v>2</v>
      </c>
      <c r="E111" s="10">
        <v>25</v>
      </c>
      <c r="F111" t="s">
        <v>121</v>
      </c>
      <c r="G111">
        <v>2003</v>
      </c>
      <c r="H111" t="s">
        <v>69</v>
      </c>
      <c r="I111" t="s">
        <v>199</v>
      </c>
      <c r="J111" s="10" t="str">
        <f>VLOOKUP(I111,Categories!A:B,2,FALSE)</f>
        <v xml:space="preserve">Home Chomthong Interest</v>
      </c>
      <c r="K111" t="s">
        <v>123</v>
      </c>
      <c r="L111" s="10" t="str">
        <f>VLOOKUP(K111,Accounts!A:B,2,FALSE)</f>
        <v>KBank</v>
      </c>
      <c r="M111" t="s">
        <v>124</v>
      </c>
      <c r="N111" s="10"/>
      <c r="O111" t="s">
        <v>125</v>
      </c>
      <c r="Q111" t="s">
        <v>126</v>
      </c>
      <c r="R111" t="s">
        <v>124</v>
      </c>
      <c r="S111" t="b">
        <v>0</v>
      </c>
      <c r="T111" t="s">
        <v>124</v>
      </c>
    </row>
    <row r="112">
      <c r="A112" t="s">
        <v>398</v>
      </c>
      <c r="B112" t="s">
        <v>396</v>
      </c>
      <c r="C112" s="2">
        <v>2026</v>
      </c>
      <c r="D112" s="10">
        <v>2</v>
      </c>
      <c r="E112" s="10">
        <v>25</v>
      </c>
      <c r="F112" t="s">
        <v>121</v>
      </c>
      <c r="G112">
        <v>3690</v>
      </c>
      <c r="H112" t="s">
        <v>128</v>
      </c>
      <c r="I112" t="s">
        <v>136</v>
      </c>
      <c r="J112" s="10" t="str">
        <f>VLOOKUP(I112,Categories!A:B,2,FALSE)</f>
        <v>อื่นๆ</v>
      </c>
      <c r="K112" t="s">
        <v>123</v>
      </c>
      <c r="L112" s="10" t="str">
        <f>VLOOKUP(K112,Accounts!A:B,2,FALSE)</f>
        <v>KBank</v>
      </c>
      <c r="M112" t="s">
        <v>203</v>
      </c>
      <c r="N112" s="10" t="str">
        <f>VLOOKUP(M112,Accounts!A:B,2,FALSE)</f>
        <v xml:space="preserve">Provident Fund</v>
      </c>
      <c r="O112" t="s">
        <v>125</v>
      </c>
      <c r="Q112" t="s">
        <v>126</v>
      </c>
      <c r="R112" t="s">
        <v>124</v>
      </c>
      <c r="S112" t="b">
        <v>0</v>
      </c>
      <c r="T112" t="s">
        <v>124</v>
      </c>
    </row>
    <row r="113">
      <c r="A113" t="s">
        <v>399</v>
      </c>
      <c r="B113" t="s">
        <v>396</v>
      </c>
      <c r="C113" s="2">
        <v>2026</v>
      </c>
      <c r="D113" s="10">
        <v>2</v>
      </c>
      <c r="E113" s="10">
        <v>25</v>
      </c>
      <c r="F113" t="s">
        <v>121</v>
      </c>
      <c r="G113">
        <v>47200</v>
      </c>
      <c r="H113" t="s">
        <v>69</v>
      </c>
      <c r="I113" t="s">
        <v>195</v>
      </c>
      <c r="J113" s="10" t="str">
        <f>VLOOKUP(I113,Categories!A:B,2,FALSE)</f>
        <v>Tax</v>
      </c>
      <c r="K113" t="s">
        <v>123</v>
      </c>
      <c r="L113" s="10" t="str">
        <f>VLOOKUP(K113,Accounts!A:B,2,FALSE)</f>
        <v>KBank</v>
      </c>
      <c r="M113" t="s">
        <v>124</v>
      </c>
      <c r="N113" s="10"/>
      <c r="O113" t="s">
        <v>125</v>
      </c>
      <c r="Q113" t="s">
        <v>126</v>
      </c>
      <c r="R113" t="s">
        <v>124</v>
      </c>
      <c r="S113" t="b">
        <v>0</v>
      </c>
      <c r="T113" t="s">
        <v>124</v>
      </c>
    </row>
    <row r="114">
      <c r="A114" t="s">
        <v>400</v>
      </c>
      <c r="B114" t="s">
        <v>396</v>
      </c>
      <c r="C114" s="2">
        <v>2026</v>
      </c>
      <c r="D114" s="10">
        <v>2</v>
      </c>
      <c r="E114" s="10">
        <v>25</v>
      </c>
      <c r="F114" t="s">
        <v>121</v>
      </c>
      <c r="G114">
        <v>167890</v>
      </c>
      <c r="H114" t="s">
        <v>206</v>
      </c>
      <c r="I114" t="s">
        <v>207</v>
      </c>
      <c r="J114" s="10" t="str">
        <f>VLOOKUP(I114,Categories!A:B,2,FALSE)</f>
        <v>Salary</v>
      </c>
      <c r="K114" t="s">
        <v>123</v>
      </c>
      <c r="L114" s="10" t="str">
        <f>VLOOKUP(K114,Accounts!A:B,2,FALSE)</f>
        <v>KBank</v>
      </c>
      <c r="M114" t="s">
        <v>124</v>
      </c>
      <c r="N114" s="10"/>
      <c r="O114" t="s">
        <v>125</v>
      </c>
      <c r="Q114" t="s">
        <v>126</v>
      </c>
      <c r="R114" t="s">
        <v>124</v>
      </c>
      <c r="S114" t="b">
        <v>0</v>
      </c>
      <c r="T114" t="s">
        <v>124</v>
      </c>
    </row>
    <row r="115">
      <c r="A115" t="s">
        <v>401</v>
      </c>
      <c r="B115" t="s">
        <v>396</v>
      </c>
      <c r="C115" s="2">
        <v>2026</v>
      </c>
      <c r="D115" s="10">
        <v>2</v>
      </c>
      <c r="E115" s="10">
        <v>25</v>
      </c>
      <c r="F115" t="s">
        <v>121</v>
      </c>
      <c r="G115">
        <v>500</v>
      </c>
      <c r="H115" t="s">
        <v>128</v>
      </c>
      <c r="I115" t="s">
        <v>136</v>
      </c>
      <c r="J115" s="10" t="str">
        <f>VLOOKUP(I115,Categories!A:B,2,FALSE)</f>
        <v>อื่นๆ</v>
      </c>
      <c r="K115" t="s">
        <v>123</v>
      </c>
      <c r="L115" s="10" t="str">
        <f>VLOOKUP(K115,Accounts!A:B,2,FALSE)</f>
        <v>KBank</v>
      </c>
      <c r="M115" t="s">
        <v>201</v>
      </c>
      <c r="N115" s="10" t="str">
        <f>VLOOKUP(M115,Accounts!A:B,2,FALSE)</f>
        <v>Coop</v>
      </c>
      <c r="O115" t="s">
        <v>125</v>
      </c>
      <c r="Q115" t="s">
        <v>126</v>
      </c>
      <c r="R115" t="s">
        <v>124</v>
      </c>
      <c r="S115" t="b">
        <v>0</v>
      </c>
      <c r="T115" t="s">
        <v>124</v>
      </c>
    </row>
    <row r="116">
      <c r="A116" t="s">
        <v>402</v>
      </c>
      <c r="B116" t="s">
        <v>396</v>
      </c>
      <c r="C116" s="2">
        <v>2026</v>
      </c>
      <c r="D116" s="10">
        <v>2</v>
      </c>
      <c r="E116" s="10">
        <v>25</v>
      </c>
      <c r="F116" t="s">
        <v>403</v>
      </c>
      <c r="G116">
        <v>242016</v>
      </c>
      <c r="H116" t="s">
        <v>206</v>
      </c>
      <c r="I116" t="s">
        <v>281</v>
      </c>
      <c r="J116" s="10" t="str">
        <f>VLOOKUP(I116,Categories!A:B,2,FALSE)</f>
        <v>Others</v>
      </c>
      <c r="K116" t="s">
        <v>123</v>
      </c>
      <c r="L116" s="10" t="str">
        <f>VLOOKUP(K116,Accounts!A:B,2,FALSE)</f>
        <v>KBank</v>
      </c>
      <c r="M116" t="s">
        <v>124</v>
      </c>
      <c r="N116" s="10"/>
      <c r="O116" t="s">
        <v>125</v>
      </c>
      <c r="Q116" t="s">
        <v>126</v>
      </c>
      <c r="R116" t="s">
        <v>124</v>
      </c>
      <c r="S116" t="b">
        <v>0</v>
      </c>
      <c r="T116" t="s">
        <v>124</v>
      </c>
    </row>
    <row r="117">
      <c r="A117" t="s">
        <v>404</v>
      </c>
      <c r="B117" t="s">
        <v>396</v>
      </c>
      <c r="C117" s="2">
        <v>2026</v>
      </c>
      <c r="D117" s="10">
        <v>2</v>
      </c>
      <c r="E117" s="10">
        <v>25</v>
      </c>
      <c r="F117" t="s">
        <v>403</v>
      </c>
      <c r="G117">
        <v>16630</v>
      </c>
      <c r="H117" t="s">
        <v>206</v>
      </c>
      <c r="I117" t="s">
        <v>207</v>
      </c>
      <c r="J117" s="10" t="str">
        <f>VLOOKUP(I117,Categories!A:B,2,FALSE)</f>
        <v>Salary</v>
      </c>
      <c r="K117" t="s">
        <v>123</v>
      </c>
      <c r="L117" s="10" t="str">
        <f>VLOOKUP(K117,Accounts!A:B,2,FALSE)</f>
        <v>KBank</v>
      </c>
      <c r="M117" t="s">
        <v>124</v>
      </c>
      <c r="N117" s="10"/>
      <c r="O117" t="s">
        <v>125</v>
      </c>
      <c r="Q117" t="s">
        <v>126</v>
      </c>
      <c r="R117" t="s">
        <v>124</v>
      </c>
      <c r="S117" t="b">
        <v>0</v>
      </c>
      <c r="T117" t="s">
        <v>124</v>
      </c>
    </row>
    <row r="118">
      <c r="A118" t="s">
        <v>405</v>
      </c>
      <c r="B118" t="s">
        <v>406</v>
      </c>
      <c r="C118" s="2">
        <v>2026</v>
      </c>
      <c r="D118" s="10">
        <v>2</v>
      </c>
      <c r="E118" s="10">
        <v>22</v>
      </c>
      <c r="F118" t="s">
        <v>407</v>
      </c>
      <c r="G118">
        <v>23294</v>
      </c>
      <c r="H118" t="s">
        <v>69</v>
      </c>
      <c r="I118" t="s">
        <v>408</v>
      </c>
      <c r="J118" s="10" t="str">
        <f>VLOOKUP(I118,Categories!A:B,2,FALSE)</f>
        <v>Finance</v>
      </c>
      <c r="K118" t="s">
        <v>123</v>
      </c>
      <c r="L118" s="10" t="str">
        <f>VLOOKUP(K118,Accounts!A:B,2,FALSE)</f>
        <v>KBank</v>
      </c>
      <c r="M118" t="s">
        <v>124</v>
      </c>
      <c r="N118" s="10"/>
      <c r="O118" t="s">
        <v>409</v>
      </c>
      <c r="Q118" t="s">
        <v>126</v>
      </c>
      <c r="R118" t="s">
        <v>124</v>
      </c>
      <c r="S118" t="b">
        <v>0</v>
      </c>
      <c r="T118" t="s">
        <v>124</v>
      </c>
    </row>
    <row r="119">
      <c r="A119" t="s">
        <v>410</v>
      </c>
      <c r="B119" t="s">
        <v>406</v>
      </c>
      <c r="C119" s="2">
        <v>2026</v>
      </c>
      <c r="D119" s="10">
        <v>2</v>
      </c>
      <c r="E119" s="10">
        <v>22</v>
      </c>
      <c r="F119" t="s">
        <v>411</v>
      </c>
      <c r="G119">
        <v>1446</v>
      </c>
      <c r="H119" t="s">
        <v>69</v>
      </c>
      <c r="I119" t="s">
        <v>169</v>
      </c>
      <c r="J119" s="10" t="str">
        <f>VLOOKUP(I119,Categories!A:B,2,FALSE)</f>
        <v xml:space="preserve">App &amp; Game</v>
      </c>
      <c r="K119" t="s">
        <v>123</v>
      </c>
      <c r="L119" s="10" t="str">
        <f>VLOOKUP(K119,Accounts!A:B,2,FALSE)</f>
        <v>KBank</v>
      </c>
      <c r="M119" t="s">
        <v>124</v>
      </c>
      <c r="N119" s="10"/>
      <c r="O119" t="s">
        <v>412</v>
      </c>
      <c r="Q119" t="s">
        <v>126</v>
      </c>
      <c r="R119" t="s">
        <v>124</v>
      </c>
      <c r="S119" t="b">
        <v>0</v>
      </c>
      <c r="T119" t="s">
        <v>124</v>
      </c>
    </row>
    <row r="120">
      <c r="A120" t="s">
        <v>413</v>
      </c>
      <c r="B120" t="s">
        <v>406</v>
      </c>
      <c r="C120" s="2">
        <v>2026</v>
      </c>
      <c r="D120" s="10">
        <v>2</v>
      </c>
      <c r="E120" s="10">
        <v>22</v>
      </c>
      <c r="F120" t="s">
        <v>411</v>
      </c>
      <c r="G120">
        <v>1359</v>
      </c>
      <c r="H120" t="s">
        <v>69</v>
      </c>
      <c r="I120" t="s">
        <v>259</v>
      </c>
      <c r="J120" s="10" t="str">
        <f>VLOOKUP(I120,Categories!A:B,2,FALSE)</f>
        <v xml:space="preserve">Team BOT</v>
      </c>
      <c r="K120" t="s">
        <v>123</v>
      </c>
      <c r="L120" s="10" t="str">
        <f>VLOOKUP(K120,Accounts!A:B,2,FALSE)</f>
        <v>KBank</v>
      </c>
      <c r="M120" t="s">
        <v>124</v>
      </c>
      <c r="N120" s="10"/>
      <c r="O120" t="s">
        <v>414</v>
      </c>
      <c r="Q120" t="s">
        <v>126</v>
      </c>
      <c r="R120" t="s">
        <v>124</v>
      </c>
      <c r="S120" t="b">
        <v>0</v>
      </c>
      <c r="T120" t="s">
        <v>124</v>
      </c>
    </row>
    <row r="121">
      <c r="A121" t="s">
        <v>415</v>
      </c>
      <c r="B121" t="s">
        <v>416</v>
      </c>
      <c r="C121" s="2">
        <v>2026</v>
      </c>
      <c r="D121" s="10">
        <v>2</v>
      </c>
      <c r="E121" s="10">
        <v>21</v>
      </c>
      <c r="F121" t="s">
        <v>417</v>
      </c>
      <c r="G121">
        <v>500</v>
      </c>
      <c r="H121" t="s">
        <v>69</v>
      </c>
      <c r="I121" t="s">
        <v>259</v>
      </c>
      <c r="J121" s="10" t="str">
        <f>VLOOKUP(I121,Categories!A:B,2,FALSE)</f>
        <v xml:space="preserve">Team BOT</v>
      </c>
      <c r="K121" t="s">
        <v>123</v>
      </c>
      <c r="L121" s="10" t="str">
        <f>VLOOKUP(K121,Accounts!A:B,2,FALSE)</f>
        <v>KBank</v>
      </c>
      <c r="M121" t="s">
        <v>124</v>
      </c>
      <c r="N121" s="10"/>
      <c r="O121" t="s">
        <v>418</v>
      </c>
      <c r="Q121" t="s">
        <v>126</v>
      </c>
      <c r="R121" t="s">
        <v>124</v>
      </c>
      <c r="S121" t="b">
        <v>0</v>
      </c>
      <c r="T121" t="s">
        <v>124</v>
      </c>
    </row>
    <row r="122">
      <c r="A122" t="s">
        <v>419</v>
      </c>
      <c r="B122" t="s">
        <v>420</v>
      </c>
      <c r="C122" s="2">
        <v>2026</v>
      </c>
      <c r="D122" s="10">
        <v>2</v>
      </c>
      <c r="E122" s="10">
        <v>5</v>
      </c>
      <c r="F122" t="s">
        <v>417</v>
      </c>
      <c r="G122">
        <v>28740</v>
      </c>
      <c r="H122" t="s">
        <v>128</v>
      </c>
      <c r="I122" t="s">
        <v>136</v>
      </c>
      <c r="J122" s="10" t="str">
        <f>VLOOKUP(I122,Categories!A:B,2,FALSE)</f>
        <v>อื่นๆ</v>
      </c>
      <c r="K122" t="s">
        <v>123</v>
      </c>
      <c r="L122" s="10" t="str">
        <f>VLOOKUP(K122,Accounts!A:B,2,FALSE)</f>
        <v>KBank</v>
      </c>
      <c r="M122" t="s">
        <v>131</v>
      </c>
      <c r="N122" s="10" t="str">
        <f>VLOOKUP(M122,Accounts!A:B,2,FALSE)</f>
        <v xml:space="preserve">Advance Paid</v>
      </c>
      <c r="O122" t="s">
        <v>421</v>
      </c>
      <c r="Q122" t="s">
        <v>126</v>
      </c>
      <c r="R122" t="s">
        <v>124</v>
      </c>
      <c r="S122" t="b">
        <v>0</v>
      </c>
      <c r="T122" t="s">
        <v>124</v>
      </c>
    </row>
    <row r="123">
      <c r="A123" t="s">
        <v>422</v>
      </c>
      <c r="B123" t="s">
        <v>423</v>
      </c>
      <c r="C123" s="2">
        <v>2026</v>
      </c>
      <c r="D123" s="10">
        <v>2</v>
      </c>
      <c r="E123" s="10">
        <v>4</v>
      </c>
      <c r="F123" t="s">
        <v>424</v>
      </c>
      <c r="G123">
        <v>100000</v>
      </c>
      <c r="H123" t="s">
        <v>128</v>
      </c>
      <c r="I123" t="s">
        <v>136</v>
      </c>
      <c r="J123" s="10" t="str">
        <f>VLOOKUP(I123,Categories!A:B,2,FALSE)</f>
        <v>อื่นๆ</v>
      </c>
      <c r="K123" t="s">
        <v>123</v>
      </c>
      <c r="L123" s="10" t="str">
        <f>VLOOKUP(K123,Accounts!A:B,2,FALSE)</f>
        <v>KBank</v>
      </c>
      <c r="M123" t="s">
        <v>425</v>
      </c>
      <c r="N123" s="10" t="str">
        <f>VLOOKUP(M123,Accounts!A:B,2,FALSE)</f>
        <v>Cash</v>
      </c>
      <c r="O123" t="s">
        <v>125</v>
      </c>
      <c r="Q123" t="s">
        <v>126</v>
      </c>
      <c r="R123" t="s">
        <v>124</v>
      </c>
      <c r="S123" t="b">
        <v>0</v>
      </c>
      <c r="T123" t="s">
        <v>124</v>
      </c>
    </row>
    <row r="124">
      <c r="A124" t="s">
        <v>426</v>
      </c>
      <c r="B124" t="s">
        <v>427</v>
      </c>
      <c r="C124" s="2">
        <v>2026</v>
      </c>
      <c r="D124" s="10">
        <v>2</v>
      </c>
      <c r="E124" s="10">
        <v>3</v>
      </c>
      <c r="F124" t="s">
        <v>121</v>
      </c>
      <c r="G124">
        <v>19000</v>
      </c>
      <c r="H124" t="s">
        <v>69</v>
      </c>
      <c r="I124" t="s">
        <v>134</v>
      </c>
      <c r="J124" s="10" t="str">
        <f>VLOOKUP(I124,Categories!A:B,2,FALSE)</f>
        <v>Hong</v>
      </c>
      <c r="K124" t="s">
        <v>123</v>
      </c>
      <c r="L124" s="10" t="str">
        <f>VLOOKUP(K124,Accounts!A:B,2,FALSE)</f>
        <v>KBank</v>
      </c>
      <c r="M124" t="s">
        <v>124</v>
      </c>
      <c r="N124" s="10"/>
      <c r="O124" t="s">
        <v>125</v>
      </c>
      <c r="Q124" t="s">
        <v>126</v>
      </c>
      <c r="R124" t="s">
        <v>124</v>
      </c>
      <c r="S124" t="b">
        <v>0</v>
      </c>
      <c r="T124" t="s">
        <v>124</v>
      </c>
    </row>
    <row r="125">
      <c r="A125" t="s">
        <v>428</v>
      </c>
      <c r="B125" t="s">
        <v>427</v>
      </c>
      <c r="C125" s="2">
        <v>2026</v>
      </c>
      <c r="D125" s="10">
        <v>2</v>
      </c>
      <c r="E125" s="10">
        <v>3</v>
      </c>
      <c r="F125" t="s">
        <v>424</v>
      </c>
      <c r="G125">
        <v>7489</v>
      </c>
      <c r="H125" t="s">
        <v>69</v>
      </c>
      <c r="I125" t="s">
        <v>139</v>
      </c>
      <c r="J125" s="10" t="str">
        <f>VLOOKUP(I125,Categories!A:B,2,FALSE)</f>
        <v>Condo</v>
      </c>
      <c r="K125" t="s">
        <v>123</v>
      </c>
      <c r="L125" s="10" t="str">
        <f>VLOOKUP(K125,Accounts!A:B,2,FALSE)</f>
        <v>KBank</v>
      </c>
      <c r="M125" t="s">
        <v>124</v>
      </c>
      <c r="N125" s="10"/>
      <c r="O125" t="s">
        <v>125</v>
      </c>
      <c r="Q125" t="s">
        <v>126</v>
      </c>
      <c r="R125" t="s">
        <v>124</v>
      </c>
      <c r="S125" t="b">
        <v>0</v>
      </c>
      <c r="T125" t="s">
        <v>124</v>
      </c>
    </row>
    <row r="126">
      <c r="A126" t="s">
        <v>429</v>
      </c>
      <c r="B126" t="s">
        <v>430</v>
      </c>
      <c r="C126" s="2">
        <v>2026</v>
      </c>
      <c r="D126" s="10">
        <v>2</v>
      </c>
      <c r="E126" s="10">
        <v>2</v>
      </c>
      <c r="F126" t="s">
        <v>431</v>
      </c>
      <c r="G126">
        <v>4646</v>
      </c>
      <c r="H126" t="s">
        <v>69</v>
      </c>
      <c r="I126" t="s">
        <v>150</v>
      </c>
      <c r="J126" s="10" t="str">
        <f>VLOOKUP(I126,Categories!A:B,2,FALSE)</f>
        <v xml:space="preserve">Food &amp; Coff</v>
      </c>
      <c r="K126" t="s">
        <v>123</v>
      </c>
      <c r="L126" s="10" t="str">
        <f>VLOOKUP(K126,Accounts!A:B,2,FALSE)</f>
        <v>KBank</v>
      </c>
      <c r="M126" t="s">
        <v>124</v>
      </c>
      <c r="N126" s="10"/>
      <c r="O126" t="s">
        <v>432</v>
      </c>
      <c r="Q126" t="s">
        <v>126</v>
      </c>
      <c r="R126" t="s">
        <v>124</v>
      </c>
      <c r="S126" t="b">
        <v>0</v>
      </c>
      <c r="T126" t="s">
        <v>124</v>
      </c>
    </row>
    <row r="127">
      <c r="A127" t="s">
        <v>433</v>
      </c>
      <c r="B127" t="s">
        <v>434</v>
      </c>
      <c r="C127" s="2">
        <v>2026</v>
      </c>
      <c r="D127" s="10">
        <v>2</v>
      </c>
      <c r="E127" s="10">
        <v>1</v>
      </c>
      <c r="F127" t="s">
        <v>431</v>
      </c>
      <c r="G127">
        <v>5000</v>
      </c>
      <c r="H127" t="s">
        <v>128</v>
      </c>
      <c r="I127" t="s">
        <v>136</v>
      </c>
      <c r="J127" s="10" t="str">
        <f>VLOOKUP(I127,Categories!A:B,2,FALSE)</f>
        <v>อื่นๆ</v>
      </c>
      <c r="K127" t="s">
        <v>123</v>
      </c>
      <c r="L127" s="10" t="str">
        <f>VLOOKUP(K127,Accounts!A:B,2,FALSE)</f>
        <v>KBank</v>
      </c>
      <c r="M127" t="s">
        <v>137</v>
      </c>
      <c r="N127" s="10" t="str">
        <f>VLOOKUP(M127,Accounts!A:B,2,FALSE)</f>
        <v xml:space="preserve">Make Kbank</v>
      </c>
      <c r="O127" t="s">
        <v>125</v>
      </c>
      <c r="Q127" t="s">
        <v>126</v>
      </c>
      <c r="R127" t="s">
        <v>124</v>
      </c>
      <c r="S127" t="b">
        <v>0</v>
      </c>
      <c r="T127" t="s">
        <v>124</v>
      </c>
    </row>
    <row r="128">
      <c r="A128" t="s">
        <v>435</v>
      </c>
      <c r="B128" t="s">
        <v>436</v>
      </c>
      <c r="C128" s="2">
        <v>2026</v>
      </c>
      <c r="D128" s="10">
        <v>1</v>
      </c>
      <c r="E128" s="10">
        <v>31</v>
      </c>
      <c r="F128" t="s">
        <v>437</v>
      </c>
      <c r="G128">
        <v>27000</v>
      </c>
      <c r="H128" t="s">
        <v>128</v>
      </c>
      <c r="I128" t="s">
        <v>136</v>
      </c>
      <c r="J128" s="10" t="str">
        <f>VLOOKUP(I128,Categories!A:B,2,FALSE)</f>
        <v>อื่นๆ</v>
      </c>
      <c r="K128" t="s">
        <v>123</v>
      </c>
      <c r="L128" s="10" t="str">
        <f>VLOOKUP(K128,Accounts!A:B,2,FALSE)</f>
        <v>KBank</v>
      </c>
      <c r="M128" t="s">
        <v>425</v>
      </c>
      <c r="N128" s="10" t="str">
        <f>VLOOKUP(M128,Accounts!A:B,2,FALSE)</f>
        <v>Cash</v>
      </c>
      <c r="O128" t="s">
        <v>125</v>
      </c>
      <c r="Q128" t="s">
        <v>126</v>
      </c>
      <c r="R128" t="s">
        <v>124</v>
      </c>
      <c r="S128" t="b">
        <v>0</v>
      </c>
      <c r="T128" t="s">
        <v>124</v>
      </c>
    </row>
    <row r="129">
      <c r="A129" t="s">
        <v>438</v>
      </c>
      <c r="B129" t="s">
        <v>436</v>
      </c>
      <c r="C129" s="2">
        <v>2026</v>
      </c>
      <c r="D129" s="10">
        <v>1</v>
      </c>
      <c r="E129" s="10">
        <v>31</v>
      </c>
      <c r="F129" t="s">
        <v>394</v>
      </c>
      <c r="G129">
        <v>5307.25</v>
      </c>
      <c r="H129" t="s">
        <v>69</v>
      </c>
      <c r="I129" t="s">
        <v>150</v>
      </c>
      <c r="J129" s="10" t="str">
        <f>VLOOKUP(I129,Categories!A:B,2,FALSE)</f>
        <v xml:space="preserve">Food &amp; Coff</v>
      </c>
      <c r="K129" t="s">
        <v>137</v>
      </c>
      <c r="L129" s="10" t="str">
        <f>VLOOKUP(K129,Accounts!A:B,2,FALSE)</f>
        <v xml:space="preserve">Make Kbank</v>
      </c>
      <c r="M129" t="s">
        <v>124</v>
      </c>
      <c r="N129" s="10"/>
      <c r="O129" t="s">
        <v>125</v>
      </c>
      <c r="Q129" t="s">
        <v>126</v>
      </c>
      <c r="R129" t="s">
        <v>124</v>
      </c>
      <c r="S129" t="b">
        <v>0</v>
      </c>
      <c r="T129" t="s">
        <v>124</v>
      </c>
    </row>
    <row r="130">
      <c r="A130" t="s">
        <v>439</v>
      </c>
      <c r="B130" t="s">
        <v>65</v>
      </c>
      <c r="C130" s="2">
        <v>2026</v>
      </c>
      <c r="D130" s="10">
        <v>1</v>
      </c>
      <c r="E130" s="10">
        <v>29</v>
      </c>
      <c r="F130" t="s">
        <v>440</v>
      </c>
      <c r="G130">
        <v>5000</v>
      </c>
      <c r="H130" t="s">
        <v>128</v>
      </c>
      <c r="I130" t="s">
        <v>136</v>
      </c>
      <c r="J130" s="10" t="str">
        <f>VLOOKUP(I130,Categories!A:B,2,FALSE)</f>
        <v>อื่นๆ</v>
      </c>
      <c r="K130" t="s">
        <v>123</v>
      </c>
      <c r="L130" s="10" t="str">
        <f>VLOOKUP(K130,Accounts!A:B,2,FALSE)</f>
        <v>KBank</v>
      </c>
      <c r="M130" t="s">
        <v>215</v>
      </c>
      <c r="N130" s="10" t="str">
        <f>VLOOKUP(M130,Accounts!A:B,2,FALSE)</f>
        <v>Investment</v>
      </c>
      <c r="O130" t="s">
        <v>125</v>
      </c>
      <c r="Q130" t="s">
        <v>126</v>
      </c>
      <c r="R130" t="s">
        <v>124</v>
      </c>
      <c r="S130" t="b">
        <v>0</v>
      </c>
      <c r="T130" t="s">
        <v>124</v>
      </c>
    </row>
    <row r="131">
      <c r="A131" t="s">
        <v>441</v>
      </c>
      <c r="B131" t="s">
        <v>442</v>
      </c>
      <c r="C131" s="2">
        <v>2026</v>
      </c>
      <c r="D131" s="10">
        <v>1</v>
      </c>
      <c r="E131" s="10">
        <v>25</v>
      </c>
      <c r="F131" t="s">
        <v>121</v>
      </c>
      <c r="G131">
        <v>12.15</v>
      </c>
      <c r="H131" t="s">
        <v>69</v>
      </c>
      <c r="I131" t="s">
        <v>443</v>
      </c>
      <c r="J131" s="10" t="str">
        <f>VLOOKUP(I131,Categories!A:B,2,FALSE)</f>
        <v xml:space="preserve">City SV Interest</v>
      </c>
      <c r="K131" t="s">
        <v>123</v>
      </c>
      <c r="L131" s="10" t="str">
        <f>VLOOKUP(K131,Accounts!A:B,2,FALSE)</f>
        <v>KBank</v>
      </c>
      <c r="M131" t="s">
        <v>124</v>
      </c>
      <c r="N131" s="10"/>
      <c r="O131" t="s">
        <v>125</v>
      </c>
      <c r="Q131" t="s">
        <v>126</v>
      </c>
      <c r="R131" t="s">
        <v>124</v>
      </c>
      <c r="S131" t="b">
        <v>0</v>
      </c>
      <c r="T131" t="s">
        <v>124</v>
      </c>
    </row>
    <row r="132">
      <c r="A132" t="s">
        <v>444</v>
      </c>
      <c r="B132" t="s">
        <v>442</v>
      </c>
      <c r="C132" s="2">
        <v>2026</v>
      </c>
      <c r="D132" s="10">
        <v>1</v>
      </c>
      <c r="E132" s="10">
        <v>25</v>
      </c>
      <c r="F132" t="s">
        <v>121</v>
      </c>
      <c r="G132">
        <v>2374</v>
      </c>
      <c r="H132" t="s">
        <v>69</v>
      </c>
      <c r="I132" t="s">
        <v>199</v>
      </c>
      <c r="J132" s="10" t="str">
        <f>VLOOKUP(I132,Categories!A:B,2,FALSE)</f>
        <v xml:space="preserve">Home Chomthong Interest</v>
      </c>
      <c r="K132" t="s">
        <v>123</v>
      </c>
      <c r="L132" s="10" t="str">
        <f>VLOOKUP(K132,Accounts!A:B,2,FALSE)</f>
        <v>KBank</v>
      </c>
      <c r="M132" t="s">
        <v>124</v>
      </c>
      <c r="N132" s="10"/>
      <c r="O132" t="s">
        <v>125</v>
      </c>
      <c r="Q132" t="s">
        <v>126</v>
      </c>
      <c r="R132" t="s">
        <v>124</v>
      </c>
      <c r="S132" t="b">
        <v>0</v>
      </c>
      <c r="T132" t="s">
        <v>124</v>
      </c>
    </row>
    <row r="133">
      <c r="A133" t="s">
        <v>445</v>
      </c>
      <c r="B133" t="s">
        <v>442</v>
      </c>
      <c r="C133" s="2">
        <v>2026</v>
      </c>
      <c r="D133" s="10">
        <v>1</v>
      </c>
      <c r="E133" s="10">
        <v>25</v>
      </c>
      <c r="F133" t="s">
        <v>121</v>
      </c>
      <c r="G133">
        <v>8960</v>
      </c>
      <c r="H133" t="s">
        <v>69</v>
      </c>
      <c r="I133" t="s">
        <v>446</v>
      </c>
      <c r="J133" s="10" t="str">
        <f>VLOOKUP(I133,Categories!A:B,2,FALSE)</f>
        <v xml:space="preserve">Intial city</v>
      </c>
      <c r="K133" t="s">
        <v>123</v>
      </c>
      <c r="L133" s="10" t="str">
        <f>VLOOKUP(K133,Accounts!A:B,2,FALSE)</f>
        <v>KBank</v>
      </c>
      <c r="M133" t="s">
        <v>124</v>
      </c>
      <c r="N133" s="10"/>
      <c r="O133" t="s">
        <v>125</v>
      </c>
      <c r="Q133" t="s">
        <v>126</v>
      </c>
      <c r="R133" t="s">
        <v>124</v>
      </c>
      <c r="S133" t="b">
        <v>0</v>
      </c>
      <c r="T133" t="s">
        <v>124</v>
      </c>
    </row>
    <row r="134">
      <c r="A134" t="s">
        <v>447</v>
      </c>
      <c r="B134" t="s">
        <v>442</v>
      </c>
      <c r="C134" s="2">
        <v>2026</v>
      </c>
      <c r="D134" s="10">
        <v>1</v>
      </c>
      <c r="E134" s="10">
        <v>25</v>
      </c>
      <c r="F134" t="s">
        <v>121</v>
      </c>
      <c r="G134">
        <v>4345</v>
      </c>
      <c r="H134" t="s">
        <v>69</v>
      </c>
      <c r="I134" t="s">
        <v>195</v>
      </c>
      <c r="J134" s="10" t="str">
        <f>VLOOKUP(I134,Categories!A:B,2,FALSE)</f>
        <v>Tax</v>
      </c>
      <c r="K134" t="s">
        <v>123</v>
      </c>
      <c r="L134" s="10" t="str">
        <f>VLOOKUP(K134,Accounts!A:B,2,FALSE)</f>
        <v>KBank</v>
      </c>
      <c r="M134" t="s">
        <v>124</v>
      </c>
      <c r="N134" s="10"/>
      <c r="O134" t="s">
        <v>125</v>
      </c>
      <c r="Q134" t="s">
        <v>126</v>
      </c>
      <c r="R134" t="s">
        <v>124</v>
      </c>
      <c r="S134" t="b">
        <v>0</v>
      </c>
      <c r="T134" t="s">
        <v>124</v>
      </c>
    </row>
    <row r="135">
      <c r="A135" t="s">
        <v>448</v>
      </c>
      <c r="B135" t="s">
        <v>442</v>
      </c>
      <c r="C135" s="2">
        <v>2026</v>
      </c>
      <c r="D135" s="10">
        <v>1</v>
      </c>
      <c r="E135" s="10">
        <v>25</v>
      </c>
      <c r="F135" t="s">
        <v>121</v>
      </c>
      <c r="G135">
        <v>9790</v>
      </c>
      <c r="H135" t="s">
        <v>69</v>
      </c>
      <c r="I135" t="s">
        <v>197</v>
      </c>
      <c r="J135" s="10" t="str">
        <f>VLOOKUP(I135,Categories!A:B,2,FALSE)</f>
        <v xml:space="preserve">Initial Home loan</v>
      </c>
      <c r="K135" t="s">
        <v>123</v>
      </c>
      <c r="L135" s="10" t="str">
        <f>VLOOKUP(K135,Accounts!A:B,2,FALSE)</f>
        <v>KBank</v>
      </c>
      <c r="M135" t="s">
        <v>124</v>
      </c>
      <c r="N135" s="10"/>
      <c r="O135" t="s">
        <v>125</v>
      </c>
      <c r="Q135" t="s">
        <v>126</v>
      </c>
      <c r="R135" t="s">
        <v>124</v>
      </c>
      <c r="S135" t="b">
        <v>0</v>
      </c>
      <c r="T135" t="s">
        <v>124</v>
      </c>
    </row>
    <row r="136">
      <c r="A136" t="s">
        <v>449</v>
      </c>
      <c r="B136" t="s">
        <v>442</v>
      </c>
      <c r="C136" s="2">
        <v>2026</v>
      </c>
      <c r="D136" s="10">
        <v>1</v>
      </c>
      <c r="E136" s="10">
        <v>25</v>
      </c>
      <c r="F136" t="s">
        <v>121</v>
      </c>
      <c r="G136">
        <v>3025.1999999999998</v>
      </c>
      <c r="H136" t="s">
        <v>128</v>
      </c>
      <c r="I136" t="s">
        <v>136</v>
      </c>
      <c r="J136" s="10" t="str">
        <f>VLOOKUP(I136,Categories!A:B,2,FALSE)</f>
        <v>อื่นๆ</v>
      </c>
      <c r="K136" t="s">
        <v>123</v>
      </c>
      <c r="L136" s="10" t="str">
        <f>VLOOKUP(K136,Accounts!A:B,2,FALSE)</f>
        <v>KBank</v>
      </c>
      <c r="M136" t="s">
        <v>203</v>
      </c>
      <c r="N136" s="10" t="str">
        <f>VLOOKUP(M136,Accounts!A:B,2,FALSE)</f>
        <v xml:space="preserve">Provident Fund</v>
      </c>
      <c r="O136" t="s">
        <v>125</v>
      </c>
      <c r="Q136" t="s">
        <v>126</v>
      </c>
      <c r="R136" t="s">
        <v>124</v>
      </c>
      <c r="S136" t="b">
        <v>0</v>
      </c>
      <c r="T136" t="s">
        <v>124</v>
      </c>
    </row>
    <row r="137">
      <c r="A137" t="s">
        <v>450</v>
      </c>
      <c r="B137" t="s">
        <v>442</v>
      </c>
      <c r="C137" s="2">
        <v>2026</v>
      </c>
      <c r="D137" s="10">
        <v>1</v>
      </c>
      <c r="E137" s="10">
        <v>25</v>
      </c>
      <c r="F137" t="s">
        <v>121</v>
      </c>
      <c r="G137">
        <v>500</v>
      </c>
      <c r="H137" t="s">
        <v>128</v>
      </c>
      <c r="I137" t="s">
        <v>136</v>
      </c>
      <c r="J137" s="10" t="str">
        <f>VLOOKUP(I137,Categories!A:B,2,FALSE)</f>
        <v>อื่นๆ</v>
      </c>
      <c r="K137" t="s">
        <v>123</v>
      </c>
      <c r="L137" s="10" t="str">
        <f>VLOOKUP(K137,Accounts!A:B,2,FALSE)</f>
        <v>KBank</v>
      </c>
      <c r="M137" t="s">
        <v>201</v>
      </c>
      <c r="N137" s="10" t="str">
        <f>VLOOKUP(M137,Accounts!A:B,2,FALSE)</f>
        <v>Coop</v>
      </c>
      <c r="O137" t="s">
        <v>125</v>
      </c>
      <c r="Q137" t="s">
        <v>126</v>
      </c>
      <c r="R137" t="s">
        <v>124</v>
      </c>
      <c r="S137" t="b">
        <v>0</v>
      </c>
      <c r="T137" t="s">
        <v>124</v>
      </c>
    </row>
    <row r="138">
      <c r="A138" t="s">
        <v>451</v>
      </c>
      <c r="B138" t="s">
        <v>442</v>
      </c>
      <c r="C138" s="2">
        <v>2026</v>
      </c>
      <c r="D138" s="10">
        <v>1</v>
      </c>
      <c r="E138" s="10">
        <v>25</v>
      </c>
      <c r="F138" t="s">
        <v>121</v>
      </c>
      <c r="G138">
        <v>151260</v>
      </c>
      <c r="H138" t="s">
        <v>206</v>
      </c>
      <c r="I138" t="s">
        <v>207</v>
      </c>
      <c r="J138" s="10" t="str">
        <f>VLOOKUP(I138,Categories!A:B,2,FALSE)</f>
        <v>Salary</v>
      </c>
      <c r="K138" t="s">
        <v>123</v>
      </c>
      <c r="L138" s="10" t="str">
        <f>VLOOKUP(K138,Accounts!A:B,2,FALSE)</f>
        <v>KBank</v>
      </c>
      <c r="M138" t="s">
        <v>124</v>
      </c>
      <c r="N138" s="10"/>
      <c r="O138" t="s">
        <v>125</v>
      </c>
      <c r="Q138" t="s">
        <v>126</v>
      </c>
      <c r="R138" t="s">
        <v>124</v>
      </c>
      <c r="S138" t="b">
        <v>0</v>
      </c>
      <c r="T138" t="s">
        <v>124</v>
      </c>
    </row>
    <row r="139">
      <c r="A139" t="s">
        <v>452</v>
      </c>
      <c r="B139" t="s">
        <v>453</v>
      </c>
      <c r="C139" s="2">
        <v>2026</v>
      </c>
      <c r="D139" s="10">
        <v>1</v>
      </c>
      <c r="E139" s="10">
        <v>24</v>
      </c>
      <c r="F139" t="s">
        <v>121</v>
      </c>
      <c r="G139">
        <v>29</v>
      </c>
      <c r="H139" t="s">
        <v>69</v>
      </c>
      <c r="I139" t="s">
        <v>150</v>
      </c>
      <c r="J139" s="10" t="str">
        <f>VLOOKUP(I139,Categories!A:B,2,FALSE)</f>
        <v xml:space="preserve">Food &amp; Coff</v>
      </c>
      <c r="K139" t="s">
        <v>123</v>
      </c>
      <c r="L139" s="10" t="str">
        <f>VLOOKUP(K139,Accounts!A:B,2,FALSE)</f>
        <v>KBank</v>
      </c>
      <c r="M139" t="s">
        <v>124</v>
      </c>
      <c r="N139" s="10"/>
      <c r="O139" t="s">
        <v>125</v>
      </c>
      <c r="Q139" t="s">
        <v>126</v>
      </c>
      <c r="R139" t="s">
        <v>124</v>
      </c>
      <c r="S139" t="b">
        <v>0</v>
      </c>
      <c r="T139" t="s">
        <v>124</v>
      </c>
    </row>
    <row r="140">
      <c r="A140" t="s">
        <v>454</v>
      </c>
      <c r="B140" t="s">
        <v>453</v>
      </c>
      <c r="C140" s="2">
        <v>2026</v>
      </c>
      <c r="D140" s="10">
        <v>1</v>
      </c>
      <c r="E140" s="10">
        <v>24</v>
      </c>
      <c r="F140" t="s">
        <v>455</v>
      </c>
      <c r="G140">
        <v>3834</v>
      </c>
      <c r="H140" t="s">
        <v>128</v>
      </c>
      <c r="I140" t="s">
        <v>136</v>
      </c>
      <c r="J140" s="10" t="str">
        <f>VLOOKUP(I140,Categories!A:B,2,FALSE)</f>
        <v>อื่นๆ</v>
      </c>
      <c r="K140" t="s">
        <v>130</v>
      </c>
      <c r="L140" s="10" t="str">
        <f>VLOOKUP(K140,Accounts!A:B,2,FALSE)</f>
        <v xml:space="preserve">KTC JCB</v>
      </c>
      <c r="M140" t="s">
        <v>131</v>
      </c>
      <c r="N140" s="10" t="str">
        <f>VLOOKUP(M140,Accounts!A:B,2,FALSE)</f>
        <v xml:space="preserve">Advance Paid</v>
      </c>
      <c r="O140" t="s">
        <v>456</v>
      </c>
      <c r="Q140" t="s">
        <v>126</v>
      </c>
      <c r="R140" t="s">
        <v>124</v>
      </c>
      <c r="S140" t="b">
        <v>0</v>
      </c>
      <c r="T140" t="s">
        <v>124</v>
      </c>
    </row>
    <row r="141">
      <c r="A141" t="s">
        <v>457</v>
      </c>
      <c r="B141" t="s">
        <v>453</v>
      </c>
      <c r="C141" s="2">
        <v>2026</v>
      </c>
      <c r="D141" s="10">
        <v>1</v>
      </c>
      <c r="E141" s="10">
        <v>24</v>
      </c>
      <c r="F141" t="s">
        <v>458</v>
      </c>
      <c r="G141">
        <v>6378</v>
      </c>
      <c r="H141" t="s">
        <v>128</v>
      </c>
      <c r="I141" t="s">
        <v>136</v>
      </c>
      <c r="J141" s="10" t="str">
        <f>VLOOKUP(I141,Categories!A:B,2,FALSE)</f>
        <v>อื่นๆ</v>
      </c>
      <c r="K141" t="s">
        <v>130</v>
      </c>
      <c r="L141" s="10" t="str">
        <f>VLOOKUP(K141,Accounts!A:B,2,FALSE)</f>
        <v xml:space="preserve">KTC JCB</v>
      </c>
      <c r="M141" t="s">
        <v>131</v>
      </c>
      <c r="N141" s="10" t="str">
        <f>VLOOKUP(M141,Accounts!A:B,2,FALSE)</f>
        <v xml:space="preserve">Advance Paid</v>
      </c>
      <c r="O141" t="s">
        <v>459</v>
      </c>
      <c r="Q141" t="s">
        <v>126</v>
      </c>
      <c r="R141" t="s">
        <v>124</v>
      </c>
      <c r="S141" t="b">
        <v>0</v>
      </c>
      <c r="T141" t="s">
        <v>124</v>
      </c>
    </row>
    <row r="142">
      <c r="A142" t="s">
        <v>460</v>
      </c>
      <c r="B142" t="s">
        <v>453</v>
      </c>
      <c r="C142" s="2">
        <v>2026</v>
      </c>
      <c r="D142" s="10">
        <v>1</v>
      </c>
      <c r="E142" s="10">
        <v>24</v>
      </c>
      <c r="F142" t="s">
        <v>461</v>
      </c>
      <c r="G142">
        <v>12465</v>
      </c>
      <c r="H142" t="s">
        <v>128</v>
      </c>
      <c r="I142" t="s">
        <v>136</v>
      </c>
      <c r="J142" s="10" t="str">
        <f>VLOOKUP(I142,Categories!A:B,2,FALSE)</f>
        <v>อื่นๆ</v>
      </c>
      <c r="K142" t="s">
        <v>131</v>
      </c>
      <c r="L142" s="10" t="str">
        <f>VLOOKUP(K142,Accounts!A:B,2,FALSE)</f>
        <v xml:space="preserve">Advance Paid</v>
      </c>
      <c r="M142" t="s">
        <v>130</v>
      </c>
      <c r="N142" s="10" t="str">
        <f>VLOOKUP(M142,Accounts!A:B,2,FALSE)</f>
        <v xml:space="preserve">KTC JCB</v>
      </c>
      <c r="O142" t="s">
        <v>462</v>
      </c>
      <c r="Q142" t="s">
        <v>126</v>
      </c>
      <c r="R142" t="s">
        <v>124</v>
      </c>
      <c r="S142" t="b">
        <v>0</v>
      </c>
      <c r="T142" t="s">
        <v>124</v>
      </c>
    </row>
    <row r="143">
      <c r="A143" t="s">
        <v>463</v>
      </c>
      <c r="B143" t="s">
        <v>453</v>
      </c>
      <c r="C143" s="2">
        <v>2026</v>
      </c>
      <c r="D143" s="10">
        <v>1</v>
      </c>
      <c r="E143" s="10">
        <v>24</v>
      </c>
      <c r="F143" t="s">
        <v>461</v>
      </c>
      <c r="G143">
        <v>354</v>
      </c>
      <c r="H143" t="s">
        <v>69</v>
      </c>
      <c r="I143" t="s">
        <v>122</v>
      </c>
      <c r="J143" s="10" t="str">
        <f>VLOOKUP(I143,Categories!A:B,2,FALSE)</f>
        <v>Other</v>
      </c>
      <c r="K143" t="s">
        <v>130</v>
      </c>
      <c r="L143" s="10" t="str">
        <f>VLOOKUP(K143,Accounts!A:B,2,FALSE)</f>
        <v xml:space="preserve">KTC JCB</v>
      </c>
      <c r="M143" t="s">
        <v>124</v>
      </c>
      <c r="N143" s="10"/>
      <c r="O143" t="s">
        <v>125</v>
      </c>
      <c r="Q143" t="s">
        <v>126</v>
      </c>
      <c r="R143" t="s">
        <v>124</v>
      </c>
      <c r="S143" t="b">
        <v>0</v>
      </c>
      <c r="T143" t="s">
        <v>124</v>
      </c>
    </row>
    <row r="144">
      <c r="A144" t="s">
        <v>464</v>
      </c>
      <c r="B144" t="s">
        <v>453</v>
      </c>
      <c r="C144" s="2">
        <v>2026</v>
      </c>
      <c r="D144" s="10">
        <v>1</v>
      </c>
      <c r="E144" s="10">
        <v>24</v>
      </c>
      <c r="F144" t="s">
        <v>465</v>
      </c>
      <c r="G144">
        <v>7696</v>
      </c>
      <c r="H144" t="s">
        <v>128</v>
      </c>
      <c r="I144" t="s">
        <v>136</v>
      </c>
      <c r="J144" s="10" t="str">
        <f>VLOOKUP(I144,Categories!A:B,2,FALSE)</f>
        <v>อื่นๆ</v>
      </c>
      <c r="K144" t="s">
        <v>131</v>
      </c>
      <c r="L144" s="10" t="str">
        <f>VLOOKUP(K144,Accounts!A:B,2,FALSE)</f>
        <v xml:space="preserve">Advance Paid</v>
      </c>
      <c r="M144" t="s">
        <v>123</v>
      </c>
      <c r="N144" s="10" t="str">
        <f>VLOOKUP(M144,Accounts!A:B,2,FALSE)</f>
        <v>KBank</v>
      </c>
      <c r="O144" t="s">
        <v>125</v>
      </c>
      <c r="Q144" t="s">
        <v>126</v>
      </c>
      <c r="R144" t="s">
        <v>124</v>
      </c>
      <c r="S144" t="b">
        <v>0</v>
      </c>
      <c r="T144" t="s">
        <v>124</v>
      </c>
    </row>
    <row r="145">
      <c r="A145" t="s">
        <v>466</v>
      </c>
      <c r="B145" t="s">
        <v>467</v>
      </c>
      <c r="C145" s="2">
        <v>2026</v>
      </c>
      <c r="D145" s="10">
        <v>1</v>
      </c>
      <c r="E145" s="10">
        <v>23</v>
      </c>
      <c r="F145" t="s">
        <v>468</v>
      </c>
      <c r="G145">
        <v>8506</v>
      </c>
      <c r="H145" t="s">
        <v>69</v>
      </c>
      <c r="I145" t="s">
        <v>134</v>
      </c>
      <c r="J145" s="10" t="str">
        <f>VLOOKUP(I145,Categories!A:B,2,FALSE)</f>
        <v>Hong</v>
      </c>
      <c r="K145" t="s">
        <v>123</v>
      </c>
      <c r="L145" s="10" t="str">
        <f>VLOOKUP(K145,Accounts!A:B,2,FALSE)</f>
        <v>KBank</v>
      </c>
      <c r="M145" t="s">
        <v>124</v>
      </c>
      <c r="N145" s="10"/>
      <c r="O145" t="s">
        <v>125</v>
      </c>
      <c r="Q145" t="s">
        <v>126</v>
      </c>
      <c r="R145" t="s">
        <v>124</v>
      </c>
      <c r="S145" t="b">
        <v>0</v>
      </c>
      <c r="T145" t="s">
        <v>124</v>
      </c>
    </row>
    <row r="146">
      <c r="A146" t="s">
        <v>469</v>
      </c>
      <c r="B146" t="s">
        <v>467</v>
      </c>
      <c r="C146" s="2">
        <v>2026</v>
      </c>
      <c r="D146" s="10">
        <v>1</v>
      </c>
      <c r="E146" s="10">
        <v>23</v>
      </c>
      <c r="F146" t="s">
        <v>470</v>
      </c>
      <c r="G146">
        <v>5979</v>
      </c>
      <c r="H146" t="s">
        <v>128</v>
      </c>
      <c r="I146" t="s">
        <v>136</v>
      </c>
      <c r="J146" s="10" t="str">
        <f>VLOOKUP(I146,Categories!A:B,2,FALSE)</f>
        <v>อื่นๆ</v>
      </c>
      <c r="K146" t="s">
        <v>123</v>
      </c>
      <c r="L146" s="10" t="str">
        <f>VLOOKUP(K146,Accounts!A:B,2,FALSE)</f>
        <v>KBank</v>
      </c>
      <c r="M146" t="s">
        <v>131</v>
      </c>
      <c r="N146" s="10" t="str">
        <f>VLOOKUP(M146,Accounts!A:B,2,FALSE)</f>
        <v xml:space="preserve">Advance Paid</v>
      </c>
      <c r="O146" t="s">
        <v>471</v>
      </c>
      <c r="Q146" t="s">
        <v>126</v>
      </c>
      <c r="R146" t="s">
        <v>124</v>
      </c>
      <c r="S146" t="b">
        <v>0</v>
      </c>
      <c r="T146" t="s">
        <v>124</v>
      </c>
    </row>
    <row r="147">
      <c r="A147" t="s">
        <v>472</v>
      </c>
      <c r="B147" t="s">
        <v>467</v>
      </c>
      <c r="C147" s="2">
        <v>2026</v>
      </c>
      <c r="D147" s="10">
        <v>1</v>
      </c>
      <c r="E147" s="10">
        <v>23</v>
      </c>
      <c r="F147" t="s">
        <v>470</v>
      </c>
      <c r="G147">
        <v>22082.5</v>
      </c>
      <c r="H147" t="s">
        <v>128</v>
      </c>
      <c r="I147" t="s">
        <v>136</v>
      </c>
      <c r="J147" s="10" t="str">
        <f>VLOOKUP(I147,Categories!A:B,2,FALSE)</f>
        <v>อื่นๆ</v>
      </c>
      <c r="K147" t="s">
        <v>123</v>
      </c>
      <c r="L147" s="10" t="str">
        <f>VLOOKUP(K147,Accounts!A:B,2,FALSE)</f>
        <v>KBank</v>
      </c>
      <c r="M147" t="s">
        <v>131</v>
      </c>
      <c r="N147" s="10" t="str">
        <f>VLOOKUP(M147,Accounts!A:B,2,FALSE)</f>
        <v xml:space="preserve">Advance Paid</v>
      </c>
      <c r="O147" t="s">
        <v>473</v>
      </c>
      <c r="Q147" t="s">
        <v>126</v>
      </c>
      <c r="R147" t="s">
        <v>124</v>
      </c>
      <c r="S147" t="b">
        <v>0</v>
      </c>
      <c r="T147" t="s">
        <v>124</v>
      </c>
    </row>
    <row r="148">
      <c r="A148" t="s">
        <v>474</v>
      </c>
      <c r="B148" t="s">
        <v>475</v>
      </c>
      <c r="C148" s="2">
        <v>2026</v>
      </c>
      <c r="D148" s="10">
        <v>1</v>
      </c>
      <c r="E148" s="10">
        <v>22</v>
      </c>
      <c r="F148" t="s">
        <v>476</v>
      </c>
      <c r="G148">
        <v>5979</v>
      </c>
      <c r="H148" t="s">
        <v>128</v>
      </c>
      <c r="I148" t="s">
        <v>136</v>
      </c>
      <c r="J148" s="10" t="str">
        <f>VLOOKUP(I148,Categories!A:B,2,FALSE)</f>
        <v>อื่นๆ</v>
      </c>
      <c r="K148" t="s">
        <v>131</v>
      </c>
      <c r="L148" s="10" t="str">
        <f>VLOOKUP(K148,Accounts!A:B,2,FALSE)</f>
        <v xml:space="preserve">Advance Paid</v>
      </c>
      <c r="M148" t="s">
        <v>123</v>
      </c>
      <c r="N148" s="10" t="str">
        <f>VLOOKUP(M148,Accounts!A:B,2,FALSE)</f>
        <v>KBank</v>
      </c>
      <c r="O148" t="s">
        <v>125</v>
      </c>
      <c r="Q148" t="s">
        <v>126</v>
      </c>
      <c r="R148" t="s">
        <v>124</v>
      </c>
      <c r="S148" t="b">
        <v>0</v>
      </c>
      <c r="T148" t="s">
        <v>124</v>
      </c>
    </row>
    <row r="149">
      <c r="A149" t="s">
        <v>477</v>
      </c>
      <c r="B149" t="s">
        <v>478</v>
      </c>
      <c r="C149" s="2">
        <v>2026</v>
      </c>
      <c r="D149" s="10">
        <v>1</v>
      </c>
      <c r="E149" s="10">
        <v>20</v>
      </c>
      <c r="F149" t="s">
        <v>479</v>
      </c>
      <c r="G149">
        <v>7696</v>
      </c>
      <c r="H149" t="s">
        <v>128</v>
      </c>
      <c r="I149" t="s">
        <v>136</v>
      </c>
      <c r="J149" s="10" t="str">
        <f>VLOOKUP(I149,Categories!A:B,2,FALSE)</f>
        <v>อื่นๆ</v>
      </c>
      <c r="K149" t="s">
        <v>123</v>
      </c>
      <c r="L149" s="10" t="str">
        <f>VLOOKUP(K149,Accounts!A:B,2,FALSE)</f>
        <v>KBank</v>
      </c>
      <c r="M149" t="s">
        <v>131</v>
      </c>
      <c r="N149" s="10" t="str">
        <f>VLOOKUP(M149,Accounts!A:B,2,FALSE)</f>
        <v xml:space="preserve">Advance Paid</v>
      </c>
      <c r="O149" t="s">
        <v>471</v>
      </c>
      <c r="Q149" t="s">
        <v>126</v>
      </c>
      <c r="R149" t="s">
        <v>124</v>
      </c>
      <c r="S149" t="b">
        <v>0</v>
      </c>
      <c r="T149" t="s">
        <v>124</v>
      </c>
    </row>
    <row r="150">
      <c r="A150" t="s">
        <v>480</v>
      </c>
      <c r="B150" t="s">
        <v>481</v>
      </c>
      <c r="C150" s="2">
        <v>2026</v>
      </c>
      <c r="D150" s="10">
        <v>1</v>
      </c>
      <c r="E150" s="10">
        <v>13</v>
      </c>
      <c r="F150" t="s">
        <v>482</v>
      </c>
      <c r="G150">
        <v>100</v>
      </c>
      <c r="H150" t="s">
        <v>69</v>
      </c>
      <c r="I150" t="s">
        <v>150</v>
      </c>
      <c r="J150" s="10" t="str">
        <f>VLOOKUP(I150,Categories!A:B,2,FALSE)</f>
        <v xml:space="preserve">Food &amp; Coff</v>
      </c>
      <c r="K150" t="s">
        <v>123</v>
      </c>
      <c r="L150" s="10" t="str">
        <f>VLOOKUP(K150,Accounts!A:B,2,FALSE)</f>
        <v>KBank</v>
      </c>
      <c r="M150" t="s">
        <v>124</v>
      </c>
      <c r="N150" s="10"/>
      <c r="O150" t="s">
        <v>125</v>
      </c>
      <c r="Q150" t="s">
        <v>126</v>
      </c>
      <c r="R150" t="s">
        <v>124</v>
      </c>
      <c r="S150" t="b">
        <v>0</v>
      </c>
      <c r="T150" t="s">
        <v>124</v>
      </c>
    </row>
    <row r="151">
      <c r="A151" t="s">
        <v>483</v>
      </c>
      <c r="B151" t="s">
        <v>484</v>
      </c>
      <c r="C151" s="2">
        <v>2026</v>
      </c>
      <c r="D151" s="10">
        <v>1</v>
      </c>
      <c r="E151" s="10">
        <v>11</v>
      </c>
      <c r="F151" t="s">
        <v>485</v>
      </c>
      <c r="G151">
        <v>569</v>
      </c>
      <c r="H151" t="s">
        <v>69</v>
      </c>
      <c r="I151" t="s">
        <v>144</v>
      </c>
      <c r="J151" s="10" t="str">
        <f>VLOOKUP(I151,Categories!A:B,2,FALSE)</f>
        <v xml:space="preserve">Family paid</v>
      </c>
      <c r="K151" t="s">
        <v>123</v>
      </c>
      <c r="L151" s="10" t="str">
        <f>VLOOKUP(K151,Accounts!A:B,2,FALSE)</f>
        <v>KBank</v>
      </c>
      <c r="M151" t="s">
        <v>124</v>
      </c>
      <c r="N151" s="10"/>
      <c r="O151" t="s">
        <v>486</v>
      </c>
      <c r="Q151" t="s">
        <v>126</v>
      </c>
      <c r="R151" t="s">
        <v>124</v>
      </c>
      <c r="S151" t="b">
        <v>0</v>
      </c>
      <c r="T151" t="s">
        <v>124</v>
      </c>
    </row>
    <row r="152">
      <c r="A152" t="s">
        <v>487</v>
      </c>
      <c r="B152" t="s">
        <v>488</v>
      </c>
      <c r="C152" s="2">
        <v>2026</v>
      </c>
      <c r="D152" s="10">
        <v>1</v>
      </c>
      <c r="E152" s="10">
        <v>6</v>
      </c>
      <c r="F152" t="s">
        <v>489</v>
      </c>
      <c r="G152">
        <v>7420</v>
      </c>
      <c r="H152" t="s">
        <v>69</v>
      </c>
      <c r="I152" t="s">
        <v>139</v>
      </c>
      <c r="J152" s="10" t="str">
        <f>VLOOKUP(I152,Categories!A:B,2,FALSE)</f>
        <v>Condo</v>
      </c>
      <c r="K152" t="s">
        <v>123</v>
      </c>
      <c r="L152" s="10" t="str">
        <f>VLOOKUP(K152,Accounts!A:B,2,FALSE)</f>
        <v>KBank</v>
      </c>
      <c r="M152" t="s">
        <v>124</v>
      </c>
      <c r="N152" s="10"/>
      <c r="O152" t="s">
        <v>125</v>
      </c>
      <c r="Q152" t="s">
        <v>126</v>
      </c>
      <c r="R152" t="s">
        <v>124</v>
      </c>
      <c r="S152" t="b">
        <v>0</v>
      </c>
      <c r="T152" t="s">
        <v>124</v>
      </c>
    </row>
    <row r="153">
      <c r="A153" t="s">
        <v>490</v>
      </c>
      <c r="B153" t="s">
        <v>488</v>
      </c>
      <c r="C153" s="2">
        <v>2026</v>
      </c>
      <c r="D153" s="10">
        <v>1</v>
      </c>
      <c r="E153" s="10">
        <v>6</v>
      </c>
      <c r="F153" t="s">
        <v>485</v>
      </c>
      <c r="G153">
        <v>1190</v>
      </c>
      <c r="H153" t="s">
        <v>69</v>
      </c>
      <c r="I153" t="s">
        <v>134</v>
      </c>
      <c r="J153" s="10" t="str">
        <f>VLOOKUP(I153,Categories!A:B,2,FALSE)</f>
        <v>Hong</v>
      </c>
      <c r="K153" t="s">
        <v>123</v>
      </c>
      <c r="L153" s="10" t="str">
        <f>VLOOKUP(K153,Accounts!A:B,2,FALSE)</f>
        <v>KBank</v>
      </c>
      <c r="M153" t="s">
        <v>124</v>
      </c>
      <c r="N153" s="10"/>
      <c r="O153" t="s">
        <v>125</v>
      </c>
      <c r="Q153" t="s">
        <v>126</v>
      </c>
      <c r="R153" t="s">
        <v>124</v>
      </c>
      <c r="S153" t="b">
        <v>0</v>
      </c>
      <c r="T153" t="s">
        <v>124</v>
      </c>
    </row>
    <row r="154">
      <c r="A154" t="s">
        <v>491</v>
      </c>
      <c r="B154" t="s">
        <v>492</v>
      </c>
      <c r="C154" s="2">
        <v>2026</v>
      </c>
      <c r="D154" s="10">
        <v>1</v>
      </c>
      <c r="E154" s="10">
        <v>1</v>
      </c>
      <c r="F154" t="s">
        <v>121</v>
      </c>
      <c r="G154">
        <v>19000</v>
      </c>
      <c r="H154" t="s">
        <v>69</v>
      </c>
      <c r="I154" t="s">
        <v>134</v>
      </c>
      <c r="J154" s="10" t="str">
        <f>VLOOKUP(I154,Categories!A:B,2,FALSE)</f>
        <v>Hong</v>
      </c>
      <c r="K154" t="s">
        <v>123</v>
      </c>
      <c r="L154" s="10" t="str">
        <f>VLOOKUP(K154,Accounts!A:B,2,FALSE)</f>
        <v>KBank</v>
      </c>
      <c r="M154" t="s">
        <v>124</v>
      </c>
      <c r="N154" s="10"/>
      <c r="O154" t="s">
        <v>125</v>
      </c>
      <c r="Q154" t="s">
        <v>126</v>
      </c>
      <c r="R154" t="s">
        <v>124</v>
      </c>
      <c r="S154" t="b">
        <v>0</v>
      </c>
      <c r="T154" t="s">
        <v>124</v>
      </c>
    </row>
    <row r="155">
      <c r="A155" t="s">
        <v>493</v>
      </c>
      <c r="B155" t="s">
        <v>492</v>
      </c>
      <c r="C155" s="2">
        <v>2026</v>
      </c>
      <c r="D155" s="10">
        <v>1</v>
      </c>
      <c r="E155" s="10">
        <v>1</v>
      </c>
      <c r="F155" t="s">
        <v>489</v>
      </c>
      <c r="G155">
        <v>5000</v>
      </c>
      <c r="H155" t="s">
        <v>128</v>
      </c>
      <c r="I155" t="s">
        <v>136</v>
      </c>
      <c r="J155" s="10" t="str">
        <f>VLOOKUP(I155,Categories!A:B,2,FALSE)</f>
        <v>อื่นๆ</v>
      </c>
      <c r="K155" t="s">
        <v>123</v>
      </c>
      <c r="L155" s="10" t="str">
        <f>VLOOKUP(K155,Accounts!A:B,2,FALSE)</f>
        <v>KBank</v>
      </c>
      <c r="M155" t="s">
        <v>137</v>
      </c>
      <c r="N155" s="10" t="str">
        <f>VLOOKUP(M155,Accounts!A:B,2,FALSE)</f>
        <v xml:space="preserve">Make Kbank</v>
      </c>
      <c r="O155" t="s">
        <v>125</v>
      </c>
      <c r="Q155" t="s">
        <v>126</v>
      </c>
      <c r="R155" t="s">
        <v>124</v>
      </c>
      <c r="S155" t="b">
        <v>0</v>
      </c>
      <c r="T155" t="s">
        <v>124</v>
      </c>
    </row>
    <row r="156">
      <c r="A156" t="s">
        <v>494</v>
      </c>
      <c r="B156" t="s">
        <v>495</v>
      </c>
      <c r="C156" s="2">
        <v>2025</v>
      </c>
      <c r="D156" s="10">
        <v>12</v>
      </c>
      <c r="E156" s="10">
        <v>31</v>
      </c>
      <c r="F156" t="s">
        <v>496</v>
      </c>
      <c r="G156">
        <v>4656</v>
      </c>
      <c r="H156" t="s">
        <v>69</v>
      </c>
      <c r="I156" t="s">
        <v>150</v>
      </c>
      <c r="J156" s="10" t="str">
        <f>VLOOKUP(I156,Categories!A:B,2,FALSE)</f>
        <v xml:space="preserve">Food &amp; Coff</v>
      </c>
      <c r="K156" t="s">
        <v>137</v>
      </c>
      <c r="L156" s="10" t="str">
        <f>VLOOKUP(K156,Accounts!A:B,2,FALSE)</f>
        <v xml:space="preserve">Make Kbank</v>
      </c>
      <c r="M156" t="s">
        <v>124</v>
      </c>
      <c r="N156" s="10"/>
      <c r="O156" t="s">
        <v>125</v>
      </c>
      <c r="Q156" t="s">
        <v>126</v>
      </c>
      <c r="R156" t="s">
        <v>124</v>
      </c>
      <c r="S156" t="b">
        <v>0</v>
      </c>
      <c r="T156" t="s">
        <v>124</v>
      </c>
    </row>
    <row r="157">
      <c r="A157" t="s">
        <v>497</v>
      </c>
      <c r="B157" t="s">
        <v>498</v>
      </c>
      <c r="C157" s="2">
        <v>2025</v>
      </c>
      <c r="D157" s="10">
        <v>12</v>
      </c>
      <c r="E157" s="10">
        <v>28</v>
      </c>
      <c r="F157" t="s">
        <v>499</v>
      </c>
      <c r="G157">
        <v>8000</v>
      </c>
      <c r="H157" t="s">
        <v>69</v>
      </c>
      <c r="I157" t="s">
        <v>144</v>
      </c>
      <c r="J157" s="10" t="str">
        <f>VLOOKUP(I157,Categories!A:B,2,FALSE)</f>
        <v xml:space="preserve">Family paid</v>
      </c>
      <c r="K157" t="s">
        <v>123</v>
      </c>
      <c r="L157" s="10" t="str">
        <f>VLOOKUP(K157,Accounts!A:B,2,FALSE)</f>
        <v>KBank</v>
      </c>
      <c r="M157" t="s">
        <v>124</v>
      </c>
      <c r="N157" s="10"/>
      <c r="O157" t="s">
        <v>125</v>
      </c>
      <c r="Q157" t="s">
        <v>126</v>
      </c>
      <c r="R157" t="s">
        <v>124</v>
      </c>
      <c r="S157" t="b">
        <v>0</v>
      </c>
      <c r="T157" t="s">
        <v>124</v>
      </c>
    </row>
    <row r="158">
      <c r="A158" t="s">
        <v>500</v>
      </c>
      <c r="B158" t="s">
        <v>498</v>
      </c>
      <c r="C158" s="2">
        <v>2025</v>
      </c>
      <c r="D158" s="10">
        <v>12</v>
      </c>
      <c r="E158" s="10">
        <v>28</v>
      </c>
      <c r="F158" t="s">
        <v>499</v>
      </c>
      <c r="G158">
        <v>2193</v>
      </c>
      <c r="H158" t="s">
        <v>69</v>
      </c>
      <c r="I158" t="s">
        <v>141</v>
      </c>
      <c r="J158" s="10" t="str">
        <f>VLOOKUP(I158,Categories!A:B,2,FALSE)</f>
        <v>Other</v>
      </c>
      <c r="K158" t="s">
        <v>123</v>
      </c>
      <c r="L158" s="10" t="str">
        <f>VLOOKUP(K158,Accounts!A:B,2,FALSE)</f>
        <v>KBank</v>
      </c>
      <c r="M158" t="s">
        <v>124</v>
      </c>
      <c r="N158" s="10"/>
      <c r="O158" t="s">
        <v>501</v>
      </c>
      <c r="Q158" t="s">
        <v>126</v>
      </c>
      <c r="R158" t="s">
        <v>124</v>
      </c>
      <c r="S158" t="b">
        <v>0</v>
      </c>
      <c r="T158" t="s">
        <v>124</v>
      </c>
    </row>
    <row r="159">
      <c r="A159" t="s">
        <v>502</v>
      </c>
      <c r="B159" t="s">
        <v>503</v>
      </c>
      <c r="C159" s="2">
        <v>2025</v>
      </c>
      <c r="D159" s="10">
        <v>12</v>
      </c>
      <c r="E159" s="10">
        <v>27</v>
      </c>
      <c r="F159" t="s">
        <v>504</v>
      </c>
      <c r="G159">
        <v>3777</v>
      </c>
      <c r="H159" t="s">
        <v>128</v>
      </c>
      <c r="I159" t="s">
        <v>136</v>
      </c>
      <c r="J159" s="10" t="str">
        <f>VLOOKUP(I159,Categories!A:B,2,FALSE)</f>
        <v>อื่นๆ</v>
      </c>
      <c r="K159" t="s">
        <v>123</v>
      </c>
      <c r="L159" s="10" t="str">
        <f>VLOOKUP(K159,Accounts!A:B,2,FALSE)</f>
        <v>KBank</v>
      </c>
      <c r="M159" t="s">
        <v>131</v>
      </c>
      <c r="N159" s="10" t="str">
        <f>VLOOKUP(M159,Accounts!A:B,2,FALSE)</f>
        <v xml:space="preserve">Advance Paid</v>
      </c>
      <c r="O159" t="s">
        <v>505</v>
      </c>
      <c r="Q159" t="s">
        <v>126</v>
      </c>
      <c r="R159" t="s">
        <v>124</v>
      </c>
      <c r="S159" t="b">
        <v>0</v>
      </c>
      <c r="T159" t="s">
        <v>124</v>
      </c>
    </row>
    <row r="160">
      <c r="A160" t="s">
        <v>506</v>
      </c>
      <c r="B160" t="s">
        <v>503</v>
      </c>
      <c r="C160" s="2">
        <v>2025</v>
      </c>
      <c r="D160" s="10">
        <v>12</v>
      </c>
      <c r="E160" s="10">
        <v>27</v>
      </c>
      <c r="F160" t="s">
        <v>507</v>
      </c>
      <c r="G160">
        <v>12465</v>
      </c>
      <c r="H160" t="s">
        <v>128</v>
      </c>
      <c r="I160" t="s">
        <v>136</v>
      </c>
      <c r="J160" s="10" t="str">
        <f>VLOOKUP(I160,Categories!A:B,2,FALSE)</f>
        <v>อื่นๆ</v>
      </c>
      <c r="K160" t="s">
        <v>123</v>
      </c>
      <c r="L160" s="10" t="str">
        <f>VLOOKUP(K160,Accounts!A:B,2,FALSE)</f>
        <v>KBank</v>
      </c>
      <c r="M160" t="s">
        <v>131</v>
      </c>
      <c r="N160" s="10" t="str">
        <f>VLOOKUP(M160,Accounts!A:B,2,FALSE)</f>
        <v xml:space="preserve">Advance Paid</v>
      </c>
      <c r="O160" t="s">
        <v>508</v>
      </c>
      <c r="Q160" t="s">
        <v>126</v>
      </c>
      <c r="R160" t="s">
        <v>124</v>
      </c>
      <c r="S160" t="b">
        <v>0</v>
      </c>
      <c r="T160" t="s">
        <v>124</v>
      </c>
    </row>
    <row r="161">
      <c r="A161" t="s">
        <v>509</v>
      </c>
      <c r="B161" t="s">
        <v>503</v>
      </c>
      <c r="C161" s="2">
        <v>2025</v>
      </c>
      <c r="D161" s="10">
        <v>12</v>
      </c>
      <c r="E161" s="10">
        <v>27</v>
      </c>
      <c r="F161" t="s">
        <v>510</v>
      </c>
      <c r="G161">
        <v>28956</v>
      </c>
      <c r="H161" t="s">
        <v>128</v>
      </c>
      <c r="I161" t="s">
        <v>136</v>
      </c>
      <c r="J161" s="10" t="str">
        <f>VLOOKUP(I161,Categories!A:B,2,FALSE)</f>
        <v>อื่นๆ</v>
      </c>
      <c r="K161" t="s">
        <v>131</v>
      </c>
      <c r="L161" s="10" t="str">
        <f>VLOOKUP(K161,Accounts!A:B,2,FALSE)</f>
        <v xml:space="preserve">Advance Paid</v>
      </c>
      <c r="M161" t="s">
        <v>123</v>
      </c>
      <c r="N161" s="10" t="str">
        <f>VLOOKUP(M161,Accounts!A:B,2,FALSE)</f>
        <v>KBank</v>
      </c>
      <c r="O161" t="s">
        <v>125</v>
      </c>
      <c r="Q161" t="s">
        <v>126</v>
      </c>
      <c r="R161" t="s">
        <v>124</v>
      </c>
      <c r="S161" t="b">
        <v>0</v>
      </c>
      <c r="T161" t="s">
        <v>124</v>
      </c>
    </row>
    <row r="162">
      <c r="A162" t="s">
        <v>511</v>
      </c>
      <c r="B162" t="s">
        <v>512</v>
      </c>
      <c r="C162" s="2">
        <v>2025</v>
      </c>
      <c r="D162" s="10">
        <v>12</v>
      </c>
      <c r="E162" s="10">
        <v>25</v>
      </c>
      <c r="F162" t="s">
        <v>121</v>
      </c>
      <c r="G162">
        <v>500</v>
      </c>
      <c r="H162" t="s">
        <v>128</v>
      </c>
      <c r="I162" t="s">
        <v>136</v>
      </c>
      <c r="J162" s="10" t="str">
        <f>VLOOKUP(I162,Categories!A:B,2,FALSE)</f>
        <v>อื่นๆ</v>
      </c>
      <c r="K162" t="s">
        <v>123</v>
      </c>
      <c r="L162" s="10" t="str">
        <f>VLOOKUP(K162,Accounts!A:B,2,FALSE)</f>
        <v>KBank</v>
      </c>
      <c r="M162" t="s">
        <v>201</v>
      </c>
      <c r="N162" s="10" t="str">
        <f>VLOOKUP(M162,Accounts!A:B,2,FALSE)</f>
        <v>Coop</v>
      </c>
      <c r="O162" t="s">
        <v>125</v>
      </c>
      <c r="Q162" t="s">
        <v>126</v>
      </c>
      <c r="R162" t="s">
        <v>124</v>
      </c>
      <c r="S162" t="b">
        <v>0</v>
      </c>
      <c r="T162" t="s">
        <v>124</v>
      </c>
    </row>
    <row r="163">
      <c r="A163" t="s">
        <v>513</v>
      </c>
      <c r="B163" t="s">
        <v>512</v>
      </c>
      <c r="C163" s="2">
        <v>2025</v>
      </c>
      <c r="D163" s="10">
        <v>12</v>
      </c>
      <c r="E163" s="10">
        <v>25</v>
      </c>
      <c r="F163" t="s">
        <v>121</v>
      </c>
      <c r="G163">
        <v>3306.4000000000001</v>
      </c>
      <c r="H163" t="s">
        <v>128</v>
      </c>
      <c r="I163" t="s">
        <v>136</v>
      </c>
      <c r="J163" s="10" t="str">
        <f>VLOOKUP(I163,Categories!A:B,2,FALSE)</f>
        <v>อื่นๆ</v>
      </c>
      <c r="K163" t="s">
        <v>123</v>
      </c>
      <c r="L163" s="10" t="str">
        <f>VLOOKUP(K163,Accounts!A:B,2,FALSE)</f>
        <v>KBank</v>
      </c>
      <c r="M163" t="s">
        <v>203</v>
      </c>
      <c r="N163" s="10" t="str">
        <f>VLOOKUP(M163,Accounts!A:B,2,FALSE)</f>
        <v xml:space="preserve">Provident Fund</v>
      </c>
      <c r="O163" t="s">
        <v>125</v>
      </c>
      <c r="Q163" t="s">
        <v>126</v>
      </c>
      <c r="R163" t="s">
        <v>124</v>
      </c>
      <c r="S163" t="b">
        <v>0</v>
      </c>
      <c r="T163" t="s">
        <v>124</v>
      </c>
    </row>
    <row r="164">
      <c r="A164" t="s">
        <v>514</v>
      </c>
      <c r="B164" t="s">
        <v>512</v>
      </c>
      <c r="C164" s="2">
        <v>2025</v>
      </c>
      <c r="D164" s="10">
        <v>12</v>
      </c>
      <c r="E164" s="10">
        <v>25</v>
      </c>
      <c r="F164" t="s">
        <v>121</v>
      </c>
      <c r="G164">
        <v>3123.7399999999998</v>
      </c>
      <c r="H164" t="s">
        <v>69</v>
      </c>
      <c r="I164" t="s">
        <v>195</v>
      </c>
      <c r="J164" s="10" t="str">
        <f>VLOOKUP(I164,Categories!A:B,2,FALSE)</f>
        <v>Tax</v>
      </c>
      <c r="K164" t="s">
        <v>123</v>
      </c>
      <c r="L164" s="10" t="str">
        <f>VLOOKUP(K164,Accounts!A:B,2,FALSE)</f>
        <v>KBank</v>
      </c>
      <c r="M164" t="s">
        <v>124</v>
      </c>
      <c r="N164" s="10"/>
      <c r="O164" t="s">
        <v>125</v>
      </c>
      <c r="Q164" t="s">
        <v>126</v>
      </c>
      <c r="R164" t="s">
        <v>124</v>
      </c>
      <c r="S164" t="b">
        <v>0</v>
      </c>
      <c r="T164" t="s">
        <v>124</v>
      </c>
    </row>
    <row r="165">
      <c r="A165" t="s">
        <v>515</v>
      </c>
      <c r="B165" t="s">
        <v>512</v>
      </c>
      <c r="C165" s="2">
        <v>2025</v>
      </c>
      <c r="D165" s="10">
        <v>12</v>
      </c>
      <c r="E165" s="10">
        <v>25</v>
      </c>
      <c r="F165" t="s">
        <v>121</v>
      </c>
      <c r="G165">
        <v>2857.9400000000001</v>
      </c>
      <c r="H165" t="s">
        <v>69</v>
      </c>
      <c r="I165" t="s">
        <v>199</v>
      </c>
      <c r="J165" s="10" t="str">
        <f>VLOOKUP(I165,Categories!A:B,2,FALSE)</f>
        <v xml:space="preserve">Home Chomthong Interest</v>
      </c>
      <c r="K165" t="s">
        <v>123</v>
      </c>
      <c r="L165" s="10" t="str">
        <f>VLOOKUP(K165,Accounts!A:B,2,FALSE)</f>
        <v>KBank</v>
      </c>
      <c r="M165" t="s">
        <v>124</v>
      </c>
      <c r="N165" s="10"/>
      <c r="O165" t="s">
        <v>125</v>
      </c>
      <c r="Q165" t="s">
        <v>126</v>
      </c>
      <c r="R165" t="s">
        <v>124</v>
      </c>
      <c r="S165" t="b">
        <v>0</v>
      </c>
      <c r="T165" t="s">
        <v>124</v>
      </c>
    </row>
    <row r="166">
      <c r="A166" t="s">
        <v>516</v>
      </c>
      <c r="B166" t="s">
        <v>512</v>
      </c>
      <c r="C166" s="2">
        <v>2025</v>
      </c>
      <c r="D166" s="10">
        <v>12</v>
      </c>
      <c r="E166" s="10">
        <v>25</v>
      </c>
      <c r="F166" t="s">
        <v>121</v>
      </c>
      <c r="G166">
        <v>9240</v>
      </c>
      <c r="H166" t="s">
        <v>69</v>
      </c>
      <c r="I166" t="s">
        <v>446</v>
      </c>
      <c r="J166" s="10" t="str">
        <f>VLOOKUP(I166,Categories!A:B,2,FALSE)</f>
        <v xml:space="preserve">Intial city</v>
      </c>
      <c r="K166" t="s">
        <v>123</v>
      </c>
      <c r="L166" s="10" t="str">
        <f>VLOOKUP(K166,Accounts!A:B,2,FALSE)</f>
        <v>KBank</v>
      </c>
      <c r="M166" t="s">
        <v>124</v>
      </c>
      <c r="N166" s="10"/>
      <c r="O166" t="s">
        <v>125</v>
      </c>
      <c r="Q166" t="s">
        <v>126</v>
      </c>
      <c r="R166" t="s">
        <v>124</v>
      </c>
      <c r="S166" t="b">
        <v>0</v>
      </c>
      <c r="T166" t="s">
        <v>124</v>
      </c>
    </row>
    <row r="167">
      <c r="A167" t="s">
        <v>517</v>
      </c>
      <c r="B167" t="s">
        <v>512</v>
      </c>
      <c r="C167" s="2">
        <v>2025</v>
      </c>
      <c r="D167" s="10">
        <v>12</v>
      </c>
      <c r="E167" s="10">
        <v>25</v>
      </c>
      <c r="F167" t="s">
        <v>121</v>
      </c>
      <c r="G167">
        <v>9165</v>
      </c>
      <c r="H167" t="s">
        <v>69</v>
      </c>
      <c r="I167" t="s">
        <v>197</v>
      </c>
      <c r="J167" s="10" t="str">
        <f>VLOOKUP(I167,Categories!A:B,2,FALSE)</f>
        <v xml:space="preserve">Initial Home loan</v>
      </c>
      <c r="K167" t="s">
        <v>123</v>
      </c>
      <c r="L167" s="10" t="str">
        <f>VLOOKUP(K167,Accounts!A:B,2,FALSE)</f>
        <v>KBank</v>
      </c>
      <c r="M167" t="s">
        <v>124</v>
      </c>
      <c r="N167" s="10"/>
      <c r="O167" t="s">
        <v>125</v>
      </c>
      <c r="Q167" t="s">
        <v>126</v>
      </c>
      <c r="R167" t="s">
        <v>124</v>
      </c>
      <c r="S167" t="b">
        <v>0</v>
      </c>
      <c r="T167" t="s">
        <v>124</v>
      </c>
    </row>
    <row r="168">
      <c r="A168" t="s">
        <v>518</v>
      </c>
      <c r="B168" t="s">
        <v>512</v>
      </c>
      <c r="C168" s="2">
        <v>2025</v>
      </c>
      <c r="D168" s="10">
        <v>12</v>
      </c>
      <c r="E168" s="10">
        <v>25</v>
      </c>
      <c r="F168" t="s">
        <v>121</v>
      </c>
      <c r="G168">
        <v>170.53999999999999</v>
      </c>
      <c r="H168" t="s">
        <v>69</v>
      </c>
      <c r="I168" t="s">
        <v>443</v>
      </c>
      <c r="J168" s="10" t="str">
        <f>VLOOKUP(I168,Categories!A:B,2,FALSE)</f>
        <v xml:space="preserve">City SV Interest</v>
      </c>
      <c r="K168" t="s">
        <v>123</v>
      </c>
      <c r="L168" s="10" t="str">
        <f>VLOOKUP(K168,Accounts!A:B,2,FALSE)</f>
        <v>KBank</v>
      </c>
      <c r="M168" t="s">
        <v>124</v>
      </c>
      <c r="N168" s="10"/>
      <c r="O168" t="s">
        <v>125</v>
      </c>
      <c r="Q168" t="s">
        <v>126</v>
      </c>
      <c r="R168" t="s">
        <v>124</v>
      </c>
      <c r="S168" t="b">
        <v>0</v>
      </c>
      <c r="T168" t="s">
        <v>124</v>
      </c>
    </row>
    <row r="169">
      <c r="A169" t="s">
        <v>519</v>
      </c>
      <c r="B169" t="s">
        <v>512</v>
      </c>
      <c r="C169" s="2">
        <v>2025</v>
      </c>
      <c r="D169" s="10">
        <v>12</v>
      </c>
      <c r="E169" s="10">
        <v>25</v>
      </c>
      <c r="F169" t="s">
        <v>121</v>
      </c>
      <c r="G169">
        <v>151260</v>
      </c>
      <c r="H169" t="s">
        <v>206</v>
      </c>
      <c r="I169" t="s">
        <v>207</v>
      </c>
      <c r="J169" s="10" t="str">
        <f>VLOOKUP(I169,Categories!A:B,2,FALSE)</f>
        <v>Salary</v>
      </c>
      <c r="K169" t="s">
        <v>123</v>
      </c>
      <c r="L169" s="10" t="str">
        <f>VLOOKUP(K169,Accounts!A:B,2,FALSE)</f>
        <v>KBank</v>
      </c>
      <c r="M169" t="s">
        <v>124</v>
      </c>
      <c r="N169" s="10"/>
      <c r="O169" t="s">
        <v>125</v>
      </c>
      <c r="Q169" t="s">
        <v>126</v>
      </c>
      <c r="R169" t="s">
        <v>124</v>
      </c>
      <c r="S169" t="b">
        <v>0</v>
      </c>
      <c r="T169" t="s">
        <v>124</v>
      </c>
    </row>
    <row r="170">
      <c r="A170" t="s">
        <v>520</v>
      </c>
      <c r="B170" t="s">
        <v>512</v>
      </c>
      <c r="C170" s="2">
        <v>2025</v>
      </c>
      <c r="D170" s="10">
        <v>12</v>
      </c>
      <c r="E170" s="10">
        <v>25</v>
      </c>
      <c r="F170" t="s">
        <v>521</v>
      </c>
      <c r="G170">
        <v>1017</v>
      </c>
      <c r="H170" t="s">
        <v>69</v>
      </c>
      <c r="I170" t="s">
        <v>122</v>
      </c>
      <c r="J170" s="10" t="str">
        <f>VLOOKUP(I170,Categories!A:B,2,FALSE)</f>
        <v>Other</v>
      </c>
      <c r="K170" t="s">
        <v>123</v>
      </c>
      <c r="L170" s="10" t="str">
        <f>VLOOKUP(K170,Accounts!A:B,2,FALSE)</f>
        <v>KBank</v>
      </c>
      <c r="M170" t="s">
        <v>124</v>
      </c>
      <c r="N170" s="10"/>
      <c r="O170" t="s">
        <v>125</v>
      </c>
      <c r="Q170" t="s">
        <v>126</v>
      </c>
      <c r="R170" t="s">
        <v>124</v>
      </c>
      <c r="S170" t="b">
        <v>0</v>
      </c>
      <c r="T170" t="s">
        <v>124</v>
      </c>
    </row>
    <row r="171">
      <c r="A171" t="s">
        <v>522</v>
      </c>
      <c r="B171" t="s">
        <v>523</v>
      </c>
      <c r="C171" s="2">
        <v>2025</v>
      </c>
      <c r="D171" s="10">
        <v>12</v>
      </c>
      <c r="E171" s="10">
        <v>23</v>
      </c>
      <c r="F171" t="s">
        <v>524</v>
      </c>
      <c r="G171">
        <v>15000</v>
      </c>
      <c r="H171" t="s">
        <v>69</v>
      </c>
      <c r="I171" t="s">
        <v>134</v>
      </c>
      <c r="J171" s="10" t="str">
        <f>VLOOKUP(I171,Categories!A:B,2,FALSE)</f>
        <v>Hong</v>
      </c>
      <c r="K171" t="s">
        <v>123</v>
      </c>
      <c r="L171" s="10" t="str">
        <f>VLOOKUP(K171,Accounts!A:B,2,FALSE)</f>
        <v>KBank</v>
      </c>
      <c r="M171" t="s">
        <v>124</v>
      </c>
      <c r="N171" s="10"/>
      <c r="O171" t="s">
        <v>125</v>
      </c>
      <c r="Q171" t="s">
        <v>126</v>
      </c>
      <c r="R171" t="s">
        <v>124</v>
      </c>
      <c r="S171" t="b">
        <v>0</v>
      </c>
      <c r="T171" t="s">
        <v>124</v>
      </c>
    </row>
    <row r="172">
      <c r="A172" t="s">
        <v>525</v>
      </c>
      <c r="B172" t="s">
        <v>526</v>
      </c>
      <c r="C172" s="2">
        <v>2025</v>
      </c>
      <c r="D172" s="10">
        <v>12</v>
      </c>
      <c r="E172" s="10">
        <v>21</v>
      </c>
      <c r="F172" t="s">
        <v>527</v>
      </c>
      <c r="G172">
        <v>580</v>
      </c>
      <c r="H172" t="s">
        <v>69</v>
      </c>
      <c r="I172" t="s">
        <v>338</v>
      </c>
      <c r="J172" s="10" t="str">
        <f>VLOOKUP(I172,Categories!A:B,2,FALSE)</f>
        <v>Trips</v>
      </c>
      <c r="K172" t="s">
        <v>123</v>
      </c>
      <c r="L172" s="10" t="str">
        <f>VLOOKUP(K172,Accounts!A:B,2,FALSE)</f>
        <v>KBank</v>
      </c>
      <c r="M172" t="s">
        <v>124</v>
      </c>
      <c r="N172" s="10"/>
      <c r="O172" t="s">
        <v>528</v>
      </c>
      <c r="Q172" t="s">
        <v>126</v>
      </c>
      <c r="R172" t="s">
        <v>124</v>
      </c>
      <c r="S172" t="b">
        <v>0</v>
      </c>
      <c r="T172" t="s">
        <v>124</v>
      </c>
    </row>
    <row r="173">
      <c r="A173" t="s">
        <v>529</v>
      </c>
      <c r="B173" t="s">
        <v>530</v>
      </c>
      <c r="C173" s="2">
        <v>2025</v>
      </c>
      <c r="D173" s="10">
        <v>12</v>
      </c>
      <c r="E173" s="10">
        <v>19</v>
      </c>
      <c r="F173" t="s">
        <v>527</v>
      </c>
      <c r="G173">
        <v>2100</v>
      </c>
      <c r="H173" t="s">
        <v>206</v>
      </c>
      <c r="I173" t="s">
        <v>531</v>
      </c>
      <c r="J173" s="10" t="str">
        <f>VLOOKUP(I173,Categories!A:B,2,FALSE)</f>
        <v>Dividends</v>
      </c>
      <c r="K173" t="s">
        <v>123</v>
      </c>
      <c r="L173" s="10" t="str">
        <f>VLOOKUP(K173,Accounts!A:B,2,FALSE)</f>
        <v>KBank</v>
      </c>
      <c r="M173" t="s">
        <v>124</v>
      </c>
      <c r="N173" s="10"/>
      <c r="O173" t="s">
        <v>125</v>
      </c>
      <c r="Q173" t="s">
        <v>126</v>
      </c>
      <c r="R173" t="s">
        <v>124</v>
      </c>
      <c r="S173" t="b">
        <v>0</v>
      </c>
      <c r="T173" t="s">
        <v>124</v>
      </c>
    </row>
    <row r="174">
      <c r="A174" t="s">
        <v>532</v>
      </c>
      <c r="B174" t="s">
        <v>530</v>
      </c>
      <c r="C174" s="2">
        <v>2025</v>
      </c>
      <c r="D174" s="10">
        <v>12</v>
      </c>
      <c r="E174" s="10">
        <v>19</v>
      </c>
      <c r="F174" t="s">
        <v>533</v>
      </c>
      <c r="G174">
        <v>28956</v>
      </c>
      <c r="H174" t="s">
        <v>128</v>
      </c>
      <c r="I174" t="s">
        <v>136</v>
      </c>
      <c r="J174" s="10" t="str">
        <f>VLOOKUP(I174,Categories!A:B,2,FALSE)</f>
        <v>อื่นๆ</v>
      </c>
      <c r="K174" t="s">
        <v>123</v>
      </c>
      <c r="L174" s="10" t="str">
        <f>VLOOKUP(K174,Accounts!A:B,2,FALSE)</f>
        <v>KBank</v>
      </c>
      <c r="M174" t="s">
        <v>131</v>
      </c>
      <c r="N174" s="10" t="str">
        <f>VLOOKUP(M174,Accounts!A:B,2,FALSE)</f>
        <v xml:space="preserve">Advance Paid</v>
      </c>
      <c r="O174" t="s">
        <v>534</v>
      </c>
      <c r="Q174" t="s">
        <v>126</v>
      </c>
      <c r="R174" t="s">
        <v>124</v>
      </c>
      <c r="S174" t="b">
        <v>0</v>
      </c>
      <c r="T174" t="s">
        <v>124</v>
      </c>
    </row>
    <row r="175">
      <c r="A175" t="s">
        <v>535</v>
      </c>
      <c r="B175" t="s">
        <v>536</v>
      </c>
      <c r="C175" s="2">
        <v>2025</v>
      </c>
      <c r="D175" s="10">
        <v>12</v>
      </c>
      <c r="E175" s="10">
        <v>18</v>
      </c>
      <c r="F175" t="s">
        <v>537</v>
      </c>
      <c r="G175">
        <v>640</v>
      </c>
      <c r="H175" t="s">
        <v>69</v>
      </c>
      <c r="I175" t="s">
        <v>259</v>
      </c>
      <c r="J175" s="10" t="str">
        <f>VLOOKUP(I175,Categories!A:B,2,FALSE)</f>
        <v xml:space="preserve">Team BOT</v>
      </c>
      <c r="K175" t="s">
        <v>123</v>
      </c>
      <c r="L175" s="10" t="str">
        <f>VLOOKUP(K175,Accounts!A:B,2,FALSE)</f>
        <v>KBank</v>
      </c>
      <c r="M175" t="s">
        <v>124</v>
      </c>
      <c r="N175" s="10"/>
      <c r="O175" t="s">
        <v>125</v>
      </c>
      <c r="Q175" t="s">
        <v>126</v>
      </c>
      <c r="R175" t="s">
        <v>124</v>
      </c>
      <c r="S175" t="b">
        <v>0</v>
      </c>
      <c r="T175" t="s">
        <v>124</v>
      </c>
    </row>
    <row r="176">
      <c r="A176" t="s">
        <v>538</v>
      </c>
      <c r="B176" t="s">
        <v>539</v>
      </c>
      <c r="C176" s="2">
        <v>2025</v>
      </c>
      <c r="D176" s="10">
        <v>12</v>
      </c>
      <c r="E176" s="10">
        <v>14</v>
      </c>
      <c r="F176" t="s">
        <v>540</v>
      </c>
      <c r="G176">
        <v>8000</v>
      </c>
      <c r="H176" t="s">
        <v>69</v>
      </c>
      <c r="I176" t="s">
        <v>144</v>
      </c>
      <c r="J176" s="10" t="str">
        <f>VLOOKUP(I176,Categories!A:B,2,FALSE)</f>
        <v xml:space="preserve">Family paid</v>
      </c>
      <c r="K176" t="s">
        <v>123</v>
      </c>
      <c r="L176" s="10" t="str">
        <f>VLOOKUP(K176,Accounts!A:B,2,FALSE)</f>
        <v>KBank</v>
      </c>
      <c r="M176" t="s">
        <v>124</v>
      </c>
      <c r="N176" s="10"/>
      <c r="O176" t="s">
        <v>125</v>
      </c>
      <c r="Q176" t="s">
        <v>126</v>
      </c>
      <c r="R176" t="s">
        <v>124</v>
      </c>
      <c r="S176" t="b">
        <v>0</v>
      </c>
      <c r="T176" t="s">
        <v>124</v>
      </c>
    </row>
    <row r="177">
      <c r="A177" t="s">
        <v>541</v>
      </c>
      <c r="B177" t="s">
        <v>542</v>
      </c>
      <c r="C177" s="2">
        <v>2025</v>
      </c>
      <c r="D177" s="10">
        <v>12</v>
      </c>
      <c r="E177" s="10">
        <v>13</v>
      </c>
      <c r="F177" t="s">
        <v>540</v>
      </c>
      <c r="G177">
        <v>6791</v>
      </c>
      <c r="H177" t="s">
        <v>69</v>
      </c>
      <c r="I177" t="s">
        <v>139</v>
      </c>
      <c r="J177" s="10" t="str">
        <f>VLOOKUP(I177,Categories!A:B,2,FALSE)</f>
        <v>Condo</v>
      </c>
      <c r="K177" t="s">
        <v>123</v>
      </c>
      <c r="L177" s="10" t="str">
        <f>VLOOKUP(K177,Accounts!A:B,2,FALSE)</f>
        <v>KBank</v>
      </c>
      <c r="M177" t="s">
        <v>124</v>
      </c>
      <c r="N177" s="10"/>
      <c r="O177" t="s">
        <v>125</v>
      </c>
      <c r="Q177" t="s">
        <v>126</v>
      </c>
      <c r="R177" t="s">
        <v>124</v>
      </c>
      <c r="S177" t="b">
        <v>0</v>
      </c>
      <c r="T177" t="s">
        <v>124</v>
      </c>
    </row>
    <row r="178">
      <c r="A178" t="s">
        <v>543</v>
      </c>
      <c r="B178" t="s">
        <v>544</v>
      </c>
      <c r="C178" s="2">
        <v>2025</v>
      </c>
      <c r="D178" s="10">
        <v>12</v>
      </c>
      <c r="E178" s="10">
        <v>1</v>
      </c>
      <c r="F178" t="s">
        <v>540</v>
      </c>
      <c r="G178">
        <v>5000</v>
      </c>
      <c r="H178" t="s">
        <v>128</v>
      </c>
      <c r="I178" t="s">
        <v>136</v>
      </c>
      <c r="J178" s="10" t="str">
        <f>VLOOKUP(I178,Categories!A:B,2,FALSE)</f>
        <v>อื่นๆ</v>
      </c>
      <c r="K178" t="s">
        <v>123</v>
      </c>
      <c r="L178" s="10" t="str">
        <f>VLOOKUP(K178,Accounts!A:B,2,FALSE)</f>
        <v>KBank</v>
      </c>
      <c r="M178" t="s">
        <v>137</v>
      </c>
      <c r="N178" s="10" t="str">
        <f>VLOOKUP(M178,Accounts!A:B,2,FALSE)</f>
        <v xml:space="preserve">Make Kbank</v>
      </c>
      <c r="O178" t="s">
        <v>125</v>
      </c>
      <c r="Q178" t="s">
        <v>126</v>
      </c>
      <c r="R178" t="s">
        <v>124</v>
      </c>
      <c r="S178" t="b">
        <v>0</v>
      </c>
      <c r="T178" t="s">
        <v>124</v>
      </c>
    </row>
    <row r="179">
      <c r="A179" t="s">
        <v>545</v>
      </c>
      <c r="B179" t="s">
        <v>546</v>
      </c>
      <c r="C179" s="2">
        <v>2025</v>
      </c>
      <c r="D179" s="10">
        <v>11</v>
      </c>
      <c r="E179" s="10">
        <v>30</v>
      </c>
      <c r="F179" t="s">
        <v>547</v>
      </c>
      <c r="G179">
        <v>1500</v>
      </c>
      <c r="H179" t="s">
        <v>69</v>
      </c>
      <c r="I179" t="s">
        <v>152</v>
      </c>
      <c r="J179" s="10" t="str">
        <f>VLOOKUP(I179,Categories!A:B,2,FALSE)</f>
        <v xml:space="preserve">Office Suit</v>
      </c>
      <c r="K179" t="s">
        <v>123</v>
      </c>
      <c r="L179" s="10" t="str">
        <f>VLOOKUP(K179,Accounts!A:B,2,FALSE)</f>
        <v>KBank</v>
      </c>
      <c r="M179" t="s">
        <v>124</v>
      </c>
      <c r="N179" s="10"/>
      <c r="O179" t="s">
        <v>125</v>
      </c>
      <c r="Q179" t="s">
        <v>126</v>
      </c>
      <c r="R179" t="s">
        <v>124</v>
      </c>
      <c r="S179" t="b">
        <v>0</v>
      </c>
      <c r="T179" t="s">
        <v>124</v>
      </c>
    </row>
    <row r="180">
      <c r="A180" t="s">
        <v>548</v>
      </c>
      <c r="B180" t="s">
        <v>546</v>
      </c>
      <c r="C180" s="2">
        <v>2025</v>
      </c>
      <c r="D180" s="10">
        <v>11</v>
      </c>
      <c r="E180" s="10">
        <v>30</v>
      </c>
      <c r="F180" t="s">
        <v>547</v>
      </c>
      <c r="G180">
        <v>3016</v>
      </c>
      <c r="H180" t="s">
        <v>69</v>
      </c>
      <c r="I180" t="s">
        <v>150</v>
      </c>
      <c r="J180" s="10" t="str">
        <f>VLOOKUP(I180,Categories!A:B,2,FALSE)</f>
        <v xml:space="preserve">Food &amp; Coff</v>
      </c>
      <c r="K180" t="s">
        <v>123</v>
      </c>
      <c r="L180" s="10" t="str">
        <f>VLOOKUP(K180,Accounts!A:B,2,FALSE)</f>
        <v>KBank</v>
      </c>
      <c r="M180" t="s">
        <v>124</v>
      </c>
      <c r="N180" s="10"/>
      <c r="O180" t="s">
        <v>125</v>
      </c>
      <c r="Q180" t="s">
        <v>126</v>
      </c>
      <c r="R180" t="s">
        <v>124</v>
      </c>
      <c r="S180" t="b">
        <v>0</v>
      </c>
      <c r="T180" t="s">
        <v>124</v>
      </c>
    </row>
    <row r="181">
      <c r="A181" t="s">
        <v>549</v>
      </c>
      <c r="B181" t="s">
        <v>546</v>
      </c>
      <c r="C181" s="2">
        <v>2025</v>
      </c>
      <c r="D181" s="10">
        <v>11</v>
      </c>
      <c r="E181" s="10">
        <v>30</v>
      </c>
      <c r="F181" t="s">
        <v>547</v>
      </c>
      <c r="G181">
        <v>2424</v>
      </c>
      <c r="H181" t="s">
        <v>69</v>
      </c>
      <c r="I181" t="s">
        <v>150</v>
      </c>
      <c r="J181" s="10" t="str">
        <f>VLOOKUP(I181,Categories!A:B,2,FALSE)</f>
        <v xml:space="preserve">Food &amp; Coff</v>
      </c>
      <c r="K181" t="s">
        <v>123</v>
      </c>
      <c r="L181" s="10" t="str">
        <f>VLOOKUP(K181,Accounts!A:B,2,FALSE)</f>
        <v>KBank</v>
      </c>
      <c r="M181" t="s">
        <v>124</v>
      </c>
      <c r="N181" s="10"/>
      <c r="O181" t="s">
        <v>125</v>
      </c>
      <c r="Q181" t="s">
        <v>126</v>
      </c>
      <c r="R181" t="s">
        <v>124</v>
      </c>
      <c r="S181" t="b">
        <v>0</v>
      </c>
      <c r="T181" t="s">
        <v>124</v>
      </c>
    </row>
    <row r="182">
      <c r="A182" t="s">
        <v>550</v>
      </c>
      <c r="B182" t="s">
        <v>546</v>
      </c>
      <c r="C182" s="2">
        <v>2025</v>
      </c>
      <c r="D182" s="10">
        <v>11</v>
      </c>
      <c r="E182" s="10">
        <v>30</v>
      </c>
      <c r="F182" t="s">
        <v>551</v>
      </c>
      <c r="G182">
        <v>600</v>
      </c>
      <c r="H182" t="s">
        <v>69</v>
      </c>
      <c r="I182" t="s">
        <v>122</v>
      </c>
      <c r="J182" s="10" t="str">
        <f>VLOOKUP(I182,Categories!A:B,2,FALSE)</f>
        <v>Other</v>
      </c>
      <c r="K182" t="s">
        <v>123</v>
      </c>
      <c r="L182" s="10" t="str">
        <f>VLOOKUP(K182,Accounts!A:B,2,FALSE)</f>
        <v>KBank</v>
      </c>
      <c r="M182" t="s">
        <v>124</v>
      </c>
      <c r="N182" s="10"/>
      <c r="O182" t="s">
        <v>552</v>
      </c>
      <c r="Q182" t="s">
        <v>126</v>
      </c>
      <c r="R182" t="s">
        <v>124</v>
      </c>
      <c r="S182" t="b">
        <v>0</v>
      </c>
      <c r="T182" t="s">
        <v>124</v>
      </c>
    </row>
    <row r="183">
      <c r="A183" t="s">
        <v>553</v>
      </c>
      <c r="B183" t="s">
        <v>546</v>
      </c>
      <c r="C183" s="2">
        <v>2025</v>
      </c>
      <c r="D183" s="10">
        <v>11</v>
      </c>
      <c r="E183" s="10">
        <v>30</v>
      </c>
      <c r="F183" t="s">
        <v>554</v>
      </c>
      <c r="G183">
        <v>19000</v>
      </c>
      <c r="H183" t="s">
        <v>69</v>
      </c>
      <c r="I183" t="s">
        <v>134</v>
      </c>
      <c r="J183" s="10" t="str">
        <f>VLOOKUP(I183,Categories!A:B,2,FALSE)</f>
        <v>Hong</v>
      </c>
      <c r="K183" t="s">
        <v>123</v>
      </c>
      <c r="L183" s="10" t="str">
        <f>VLOOKUP(K183,Accounts!A:B,2,FALSE)</f>
        <v>KBank</v>
      </c>
      <c r="M183" t="s">
        <v>124</v>
      </c>
      <c r="N183" s="10"/>
      <c r="O183" t="s">
        <v>125</v>
      </c>
      <c r="Q183" t="s">
        <v>126</v>
      </c>
      <c r="R183" t="s">
        <v>124</v>
      </c>
      <c r="S183" t="b">
        <v>0</v>
      </c>
      <c r="T183" t="s">
        <v>124</v>
      </c>
    </row>
    <row r="184">
      <c r="A184" t="s">
        <v>555</v>
      </c>
      <c r="B184" t="s">
        <v>546</v>
      </c>
      <c r="C184" s="2">
        <v>2025</v>
      </c>
      <c r="D184" s="10">
        <v>11</v>
      </c>
      <c r="E184" s="10">
        <v>30</v>
      </c>
      <c r="F184" t="s">
        <v>556</v>
      </c>
      <c r="G184">
        <v>3048.8699999999999</v>
      </c>
      <c r="H184" t="s">
        <v>69</v>
      </c>
      <c r="I184" t="s">
        <v>150</v>
      </c>
      <c r="J184" s="10" t="str">
        <f>VLOOKUP(I184,Categories!A:B,2,FALSE)</f>
        <v xml:space="preserve">Food &amp; Coff</v>
      </c>
      <c r="K184" t="s">
        <v>137</v>
      </c>
      <c r="L184" s="10" t="str">
        <f>VLOOKUP(K184,Accounts!A:B,2,FALSE)</f>
        <v xml:space="preserve">Make Kbank</v>
      </c>
      <c r="M184" t="s">
        <v>124</v>
      </c>
      <c r="N184" s="10"/>
      <c r="O184" t="s">
        <v>255</v>
      </c>
      <c r="Q184" t="s">
        <v>126</v>
      </c>
      <c r="R184" t="s">
        <v>124</v>
      </c>
      <c r="S184" t="b">
        <v>0</v>
      </c>
      <c r="T184" t="s">
        <v>124</v>
      </c>
    </row>
    <row r="185">
      <c r="A185" t="s">
        <v>557</v>
      </c>
      <c r="B185" t="s">
        <v>546</v>
      </c>
      <c r="C185" s="2">
        <v>2025</v>
      </c>
      <c r="D185" s="10">
        <v>11</v>
      </c>
      <c r="E185" s="10">
        <v>30</v>
      </c>
      <c r="F185" t="s">
        <v>558</v>
      </c>
      <c r="G185">
        <v>141</v>
      </c>
      <c r="H185" t="s">
        <v>69</v>
      </c>
      <c r="I185" t="s">
        <v>150</v>
      </c>
      <c r="J185" s="10" t="str">
        <f>VLOOKUP(I185,Categories!A:B,2,FALSE)</f>
        <v xml:space="preserve">Food &amp; Coff</v>
      </c>
      <c r="K185" t="s">
        <v>123</v>
      </c>
      <c r="L185" s="10" t="str">
        <f>VLOOKUP(K185,Accounts!A:B,2,FALSE)</f>
        <v>KBank</v>
      </c>
      <c r="M185" t="s">
        <v>124</v>
      </c>
      <c r="N185" s="10"/>
      <c r="O185" t="s">
        <v>125</v>
      </c>
      <c r="Q185" t="s">
        <v>126</v>
      </c>
      <c r="R185" t="s">
        <v>124</v>
      </c>
      <c r="S185" t="b">
        <v>0</v>
      </c>
      <c r="T185" t="s">
        <v>124</v>
      </c>
    </row>
    <row r="186">
      <c r="A186" t="s">
        <v>559</v>
      </c>
      <c r="B186" t="s">
        <v>560</v>
      </c>
      <c r="C186" s="2">
        <v>2025</v>
      </c>
      <c r="D186" s="10">
        <v>11</v>
      </c>
      <c r="E186" s="10">
        <v>25</v>
      </c>
      <c r="F186" t="s">
        <v>121</v>
      </c>
      <c r="G186">
        <v>2159</v>
      </c>
      <c r="H186" t="s">
        <v>69</v>
      </c>
      <c r="I186" t="s">
        <v>199</v>
      </c>
      <c r="J186" s="10" t="str">
        <f>VLOOKUP(I186,Categories!A:B,2,FALSE)</f>
        <v xml:space="preserve">Home Chomthong Interest</v>
      </c>
      <c r="K186" t="s">
        <v>123</v>
      </c>
      <c r="L186" s="10" t="str">
        <f>VLOOKUP(K186,Accounts!A:B,2,FALSE)</f>
        <v>KBank</v>
      </c>
      <c r="M186" t="s">
        <v>124</v>
      </c>
      <c r="N186" s="10"/>
      <c r="O186" t="s">
        <v>125</v>
      </c>
      <c r="Q186" t="s">
        <v>126</v>
      </c>
      <c r="R186" t="s">
        <v>124</v>
      </c>
      <c r="S186" t="b">
        <v>0</v>
      </c>
      <c r="T186" t="s">
        <v>124</v>
      </c>
    </row>
    <row r="187">
      <c r="A187" t="s">
        <v>561</v>
      </c>
      <c r="B187" t="s">
        <v>560</v>
      </c>
      <c r="C187" s="2">
        <v>2025</v>
      </c>
      <c r="D187" s="10">
        <v>11</v>
      </c>
      <c r="E187" s="10">
        <v>25</v>
      </c>
      <c r="F187" t="s">
        <v>121</v>
      </c>
      <c r="G187">
        <v>9750</v>
      </c>
      <c r="H187" t="s">
        <v>69</v>
      </c>
      <c r="I187" t="s">
        <v>197</v>
      </c>
      <c r="J187" s="10" t="str">
        <f>VLOOKUP(I187,Categories!A:B,2,FALSE)</f>
        <v xml:space="preserve">Initial Home loan</v>
      </c>
      <c r="K187" t="s">
        <v>123</v>
      </c>
      <c r="L187" s="10" t="str">
        <f>VLOOKUP(K187,Accounts!A:B,2,FALSE)</f>
        <v>KBank</v>
      </c>
      <c r="M187" t="s">
        <v>124</v>
      </c>
      <c r="N187" s="10"/>
      <c r="O187" t="s">
        <v>125</v>
      </c>
      <c r="Q187" t="s">
        <v>126</v>
      </c>
      <c r="R187" t="s">
        <v>124</v>
      </c>
      <c r="S187" t="b">
        <v>0</v>
      </c>
      <c r="T187" t="s">
        <v>124</v>
      </c>
    </row>
    <row r="188">
      <c r="A188" t="s">
        <v>562</v>
      </c>
      <c r="B188" t="s">
        <v>560</v>
      </c>
      <c r="C188" s="2">
        <v>2025</v>
      </c>
      <c r="D188" s="10">
        <v>11</v>
      </c>
      <c r="E188" s="10">
        <v>25</v>
      </c>
      <c r="F188" t="s">
        <v>121</v>
      </c>
      <c r="G188">
        <v>4500.6800000000003</v>
      </c>
      <c r="H188" t="s">
        <v>69</v>
      </c>
      <c r="I188" t="s">
        <v>195</v>
      </c>
      <c r="J188" s="10" t="str">
        <f>VLOOKUP(I188,Categories!A:B,2,FALSE)</f>
        <v>Tax</v>
      </c>
      <c r="K188" t="s">
        <v>123</v>
      </c>
      <c r="L188" s="10" t="str">
        <f>VLOOKUP(K188,Accounts!A:B,2,FALSE)</f>
        <v>KBank</v>
      </c>
      <c r="M188" t="s">
        <v>124</v>
      </c>
      <c r="N188" s="10"/>
      <c r="O188" t="s">
        <v>125</v>
      </c>
      <c r="Q188" t="s">
        <v>126</v>
      </c>
      <c r="R188" t="s">
        <v>124</v>
      </c>
      <c r="S188" t="b">
        <v>0</v>
      </c>
      <c r="T188" t="s">
        <v>124</v>
      </c>
    </row>
    <row r="189">
      <c r="A189" t="s">
        <v>563</v>
      </c>
      <c r="B189" t="s">
        <v>560</v>
      </c>
      <c r="C189" s="2">
        <v>2025</v>
      </c>
      <c r="D189" s="10">
        <v>11</v>
      </c>
      <c r="E189" s="10">
        <v>25</v>
      </c>
      <c r="F189" t="s">
        <v>121</v>
      </c>
      <c r="G189">
        <v>3025</v>
      </c>
      <c r="H189" t="s">
        <v>128</v>
      </c>
      <c r="I189" t="s">
        <v>136</v>
      </c>
      <c r="J189" s="10" t="str">
        <f>VLOOKUP(I189,Categories!A:B,2,FALSE)</f>
        <v>อื่นๆ</v>
      </c>
      <c r="K189" t="s">
        <v>123</v>
      </c>
      <c r="L189" s="10" t="str">
        <f>VLOOKUP(K189,Accounts!A:B,2,FALSE)</f>
        <v>KBank</v>
      </c>
      <c r="M189" t="s">
        <v>203</v>
      </c>
      <c r="N189" s="10" t="str">
        <f>VLOOKUP(M189,Accounts!A:B,2,FALSE)</f>
        <v xml:space="preserve">Provident Fund</v>
      </c>
      <c r="O189" t="s">
        <v>125</v>
      </c>
      <c r="Q189" t="s">
        <v>126</v>
      </c>
      <c r="R189" t="s">
        <v>124</v>
      </c>
      <c r="S189" t="b">
        <v>0</v>
      </c>
      <c r="T189" t="s">
        <v>124</v>
      </c>
    </row>
    <row r="190">
      <c r="A190" t="s">
        <v>564</v>
      </c>
      <c r="B190" t="s">
        <v>560</v>
      </c>
      <c r="C190" s="2">
        <v>2025</v>
      </c>
      <c r="D190" s="10">
        <v>11</v>
      </c>
      <c r="E190" s="10">
        <v>25</v>
      </c>
      <c r="F190" t="s">
        <v>121</v>
      </c>
      <c r="G190">
        <v>34</v>
      </c>
      <c r="H190" t="s">
        <v>69</v>
      </c>
      <c r="I190" t="s">
        <v>443</v>
      </c>
      <c r="J190" s="10" t="str">
        <f>VLOOKUP(I190,Categories!A:B,2,FALSE)</f>
        <v xml:space="preserve">City SV Interest</v>
      </c>
      <c r="K190" t="s">
        <v>123</v>
      </c>
      <c r="L190" s="10" t="str">
        <f>VLOOKUP(K190,Accounts!A:B,2,FALSE)</f>
        <v>KBank</v>
      </c>
      <c r="M190" t="s">
        <v>124</v>
      </c>
      <c r="N190" s="10"/>
      <c r="O190" t="s">
        <v>125</v>
      </c>
      <c r="Q190" t="s">
        <v>126</v>
      </c>
      <c r="R190" t="s">
        <v>124</v>
      </c>
      <c r="S190" t="b">
        <v>0</v>
      </c>
      <c r="T190" t="s">
        <v>124</v>
      </c>
    </row>
    <row r="191">
      <c r="A191" t="s">
        <v>565</v>
      </c>
      <c r="B191" t="s">
        <v>560</v>
      </c>
      <c r="C191" s="2">
        <v>2025</v>
      </c>
      <c r="D191" s="10">
        <v>11</v>
      </c>
      <c r="E191" s="10">
        <v>25</v>
      </c>
      <c r="F191" t="s">
        <v>121</v>
      </c>
      <c r="G191">
        <v>500</v>
      </c>
      <c r="H191" t="s">
        <v>128</v>
      </c>
      <c r="I191" t="s">
        <v>136</v>
      </c>
      <c r="J191" s="10" t="str">
        <f>VLOOKUP(I191,Categories!A:B,2,FALSE)</f>
        <v>อื่นๆ</v>
      </c>
      <c r="K191" t="s">
        <v>123</v>
      </c>
      <c r="L191" s="10" t="str">
        <f>VLOOKUP(K191,Accounts!A:B,2,FALSE)</f>
        <v>KBank</v>
      </c>
      <c r="M191" t="s">
        <v>201</v>
      </c>
      <c r="N191" s="10" t="str">
        <f>VLOOKUP(M191,Accounts!A:B,2,FALSE)</f>
        <v>Coop</v>
      </c>
      <c r="O191" t="s">
        <v>125</v>
      </c>
      <c r="Q191" t="s">
        <v>126</v>
      </c>
      <c r="R191" t="s">
        <v>124</v>
      </c>
      <c r="S191" t="b">
        <v>0</v>
      </c>
      <c r="T191" t="s">
        <v>124</v>
      </c>
    </row>
    <row r="192">
      <c r="A192" t="s">
        <v>566</v>
      </c>
      <c r="B192" t="s">
        <v>560</v>
      </c>
      <c r="C192" s="2">
        <v>2025</v>
      </c>
      <c r="D192" s="10">
        <v>11</v>
      </c>
      <c r="E192" s="10">
        <v>25</v>
      </c>
      <c r="F192" t="s">
        <v>121</v>
      </c>
      <c r="G192">
        <v>9240</v>
      </c>
      <c r="H192" t="s">
        <v>69</v>
      </c>
      <c r="I192" t="s">
        <v>446</v>
      </c>
      <c r="J192" s="10" t="str">
        <f>VLOOKUP(I192,Categories!A:B,2,FALSE)</f>
        <v xml:space="preserve">Intial city</v>
      </c>
      <c r="K192" t="s">
        <v>123</v>
      </c>
      <c r="L192" s="10" t="str">
        <f>VLOOKUP(K192,Accounts!A:B,2,FALSE)</f>
        <v>KBank</v>
      </c>
      <c r="M192" t="s">
        <v>124</v>
      </c>
      <c r="N192" s="10"/>
      <c r="O192" t="s">
        <v>125</v>
      </c>
      <c r="Q192" t="s">
        <v>126</v>
      </c>
      <c r="R192" t="s">
        <v>124</v>
      </c>
      <c r="S192" t="b">
        <v>0</v>
      </c>
      <c r="T192" t="s">
        <v>124</v>
      </c>
    </row>
    <row r="193">
      <c r="A193" t="s">
        <v>567</v>
      </c>
      <c r="B193" t="s">
        <v>560</v>
      </c>
      <c r="C193" s="2">
        <v>2025</v>
      </c>
      <c r="D193" s="10">
        <v>11</v>
      </c>
      <c r="E193" s="10">
        <v>25</v>
      </c>
      <c r="F193" t="s">
        <v>121</v>
      </c>
      <c r="G193">
        <v>151260</v>
      </c>
      <c r="H193" t="s">
        <v>206</v>
      </c>
      <c r="I193" t="s">
        <v>207</v>
      </c>
      <c r="J193" s="10" t="str">
        <f>VLOOKUP(I193,Categories!A:B,2,FALSE)</f>
        <v>Salary</v>
      </c>
      <c r="K193" t="s">
        <v>123</v>
      </c>
      <c r="L193" s="10" t="str">
        <f>VLOOKUP(K193,Accounts!A:B,2,FALSE)</f>
        <v>KBank</v>
      </c>
      <c r="M193" t="s">
        <v>124</v>
      </c>
      <c r="N193" s="10"/>
      <c r="O193" t="s">
        <v>125</v>
      </c>
      <c r="Q193" t="s">
        <v>126</v>
      </c>
      <c r="R193" t="s">
        <v>124</v>
      </c>
      <c r="S193" t="b">
        <v>0</v>
      </c>
      <c r="T193" t="s">
        <v>124</v>
      </c>
    </row>
    <row r="194">
      <c r="A194" t="s">
        <v>568</v>
      </c>
      <c r="B194" t="s">
        <v>569</v>
      </c>
      <c r="C194" s="2">
        <v>2025</v>
      </c>
      <c r="D194" s="10">
        <v>11</v>
      </c>
      <c r="E194" s="10">
        <v>21</v>
      </c>
      <c r="F194" t="s">
        <v>570</v>
      </c>
      <c r="G194">
        <v>150</v>
      </c>
      <c r="H194" t="s">
        <v>69</v>
      </c>
      <c r="I194" t="s">
        <v>122</v>
      </c>
      <c r="J194" s="10" t="str">
        <f>VLOOKUP(I194,Categories!A:B,2,FALSE)</f>
        <v>Other</v>
      </c>
      <c r="K194" t="s">
        <v>123</v>
      </c>
      <c r="L194" s="10" t="str">
        <f>VLOOKUP(K194,Accounts!A:B,2,FALSE)</f>
        <v>KBank</v>
      </c>
      <c r="M194" t="s">
        <v>124</v>
      </c>
      <c r="N194" s="10"/>
      <c r="O194" t="s">
        <v>125</v>
      </c>
      <c r="Q194" t="s">
        <v>126</v>
      </c>
      <c r="R194" t="s">
        <v>124</v>
      </c>
      <c r="S194" t="b">
        <v>0</v>
      </c>
      <c r="T194" t="s">
        <v>124</v>
      </c>
    </row>
    <row r="195">
      <c r="A195" t="s">
        <v>571</v>
      </c>
      <c r="B195" t="s">
        <v>572</v>
      </c>
      <c r="C195" s="2">
        <v>2025</v>
      </c>
      <c r="D195" s="10">
        <v>11</v>
      </c>
      <c r="E195" s="10">
        <v>14</v>
      </c>
      <c r="F195" t="s">
        <v>573</v>
      </c>
      <c r="G195">
        <v>47223.68</v>
      </c>
      <c r="H195" t="s">
        <v>69</v>
      </c>
      <c r="I195" t="s">
        <v>195</v>
      </c>
      <c r="J195" s="10" t="str">
        <f>VLOOKUP(I195,Categories!A:B,2,FALSE)</f>
        <v>Tax</v>
      </c>
      <c r="K195" t="s">
        <v>123</v>
      </c>
      <c r="L195" s="10" t="str">
        <f>VLOOKUP(K195,Accounts!A:B,2,FALSE)</f>
        <v>KBank</v>
      </c>
      <c r="M195" t="s">
        <v>124</v>
      </c>
      <c r="N195" s="10"/>
      <c r="O195" t="s">
        <v>125</v>
      </c>
      <c r="Q195" t="s">
        <v>126</v>
      </c>
      <c r="R195" t="s">
        <v>124</v>
      </c>
      <c r="S195" t="b">
        <v>0</v>
      </c>
      <c r="T195" t="s">
        <v>124</v>
      </c>
    </row>
    <row r="196">
      <c r="A196" t="s">
        <v>574</v>
      </c>
      <c r="B196" t="s">
        <v>64</v>
      </c>
      <c r="C196" s="2">
        <v>2025</v>
      </c>
      <c r="D196" s="10">
        <v>11</v>
      </c>
      <c r="E196" s="10">
        <v>3</v>
      </c>
      <c r="F196" t="s">
        <v>573</v>
      </c>
      <c r="G196">
        <v>7153</v>
      </c>
      <c r="H196" t="s">
        <v>69</v>
      </c>
      <c r="I196" t="s">
        <v>139</v>
      </c>
      <c r="J196" s="10" t="str">
        <f>VLOOKUP(I196,Categories!A:B,2,FALSE)</f>
        <v>Condo</v>
      </c>
      <c r="K196" t="s">
        <v>123</v>
      </c>
      <c r="L196" s="10" t="str">
        <f>VLOOKUP(K196,Accounts!A:B,2,FALSE)</f>
        <v>KBank</v>
      </c>
      <c r="M196" t="s">
        <v>124</v>
      </c>
      <c r="N196" s="10"/>
      <c r="O196" t="s">
        <v>125</v>
      </c>
      <c r="Q196" t="s">
        <v>126</v>
      </c>
      <c r="R196" t="s">
        <v>124</v>
      </c>
      <c r="S196" t="b">
        <v>0</v>
      </c>
      <c r="T196" t="s">
        <v>124</v>
      </c>
    </row>
    <row r="197">
      <c r="A197" t="s">
        <v>575</v>
      </c>
      <c r="B197" t="s">
        <v>64</v>
      </c>
      <c r="C197" s="2">
        <v>2025</v>
      </c>
      <c r="D197" s="10">
        <v>11</v>
      </c>
      <c r="E197" s="10">
        <v>3</v>
      </c>
      <c r="F197" t="s">
        <v>570</v>
      </c>
      <c r="G197">
        <v>100000</v>
      </c>
      <c r="H197" t="s">
        <v>128</v>
      </c>
      <c r="I197" t="s">
        <v>136</v>
      </c>
      <c r="J197" s="10" t="str">
        <f>VLOOKUP(I197,Categories!A:B,2,FALSE)</f>
        <v>อื่นๆ</v>
      </c>
      <c r="K197" t="s">
        <v>123</v>
      </c>
      <c r="L197" s="10" t="str">
        <f>VLOOKUP(K197,Accounts!A:B,2,FALSE)</f>
        <v>KBank</v>
      </c>
      <c r="M197" t="s">
        <v>215</v>
      </c>
      <c r="N197" s="10" t="str">
        <f>VLOOKUP(M197,Accounts!A:B,2,FALSE)</f>
        <v>Investment</v>
      </c>
      <c r="O197" t="s">
        <v>125</v>
      </c>
      <c r="Q197" t="s">
        <v>126</v>
      </c>
      <c r="R197" t="s">
        <v>124</v>
      </c>
      <c r="S197" t="b">
        <v>0</v>
      </c>
      <c r="T197" t="s">
        <v>124</v>
      </c>
    </row>
    <row r="198">
      <c r="A198" t="s">
        <v>576</v>
      </c>
      <c r="B198" t="s">
        <v>577</v>
      </c>
      <c r="C198" s="2">
        <v>2025</v>
      </c>
      <c r="D198" s="10">
        <v>11</v>
      </c>
      <c r="E198" s="10">
        <v>1</v>
      </c>
      <c r="F198" t="s">
        <v>121</v>
      </c>
      <c r="G198">
        <v>19000</v>
      </c>
      <c r="H198" t="s">
        <v>69</v>
      </c>
      <c r="I198" t="s">
        <v>134</v>
      </c>
      <c r="J198" s="10" t="str">
        <f>VLOOKUP(I198,Categories!A:B,2,FALSE)</f>
        <v>Hong</v>
      </c>
      <c r="K198" t="s">
        <v>123</v>
      </c>
      <c r="L198" s="10" t="str">
        <f>VLOOKUP(K198,Accounts!A:B,2,FALSE)</f>
        <v>KBank</v>
      </c>
      <c r="M198" t="s">
        <v>124</v>
      </c>
      <c r="N198" s="10"/>
      <c r="O198" t="s">
        <v>125</v>
      </c>
      <c r="Q198" t="s">
        <v>126</v>
      </c>
      <c r="R198" t="s">
        <v>124</v>
      </c>
      <c r="S198" t="b">
        <v>0</v>
      </c>
      <c r="T198" t="s">
        <v>124</v>
      </c>
    </row>
    <row r="199">
      <c r="A199" t="s">
        <v>578</v>
      </c>
      <c r="B199" t="s">
        <v>577</v>
      </c>
      <c r="C199" s="2">
        <v>2025</v>
      </c>
      <c r="D199" s="10">
        <v>11</v>
      </c>
      <c r="E199" s="10">
        <v>1</v>
      </c>
      <c r="F199" t="s">
        <v>579</v>
      </c>
      <c r="G199">
        <v>5000</v>
      </c>
      <c r="H199" t="s">
        <v>128</v>
      </c>
      <c r="I199" t="s">
        <v>136</v>
      </c>
      <c r="J199" s="10" t="str">
        <f>VLOOKUP(I199,Categories!A:B,2,FALSE)</f>
        <v>อื่นๆ</v>
      </c>
      <c r="K199" t="s">
        <v>123</v>
      </c>
      <c r="L199" s="10" t="str">
        <f>VLOOKUP(K199,Accounts!A:B,2,FALSE)</f>
        <v>KBank</v>
      </c>
      <c r="M199" t="s">
        <v>137</v>
      </c>
      <c r="N199" s="10" t="str">
        <f>VLOOKUP(M199,Accounts!A:B,2,FALSE)</f>
        <v xml:space="preserve">Make Kbank</v>
      </c>
      <c r="O199" t="s">
        <v>125</v>
      </c>
      <c r="Q199" t="s">
        <v>126</v>
      </c>
      <c r="R199" t="s">
        <v>124</v>
      </c>
      <c r="S199" t="b">
        <v>0</v>
      </c>
      <c r="T199" t="s">
        <v>124</v>
      </c>
    </row>
    <row r="200">
      <c r="A200" t="s">
        <v>580</v>
      </c>
      <c r="B200" t="s">
        <v>581</v>
      </c>
      <c r="C200" s="2">
        <v>2025</v>
      </c>
      <c r="D200" s="10">
        <v>10</v>
      </c>
      <c r="E200" s="10">
        <v>31</v>
      </c>
      <c r="F200" t="s">
        <v>582</v>
      </c>
      <c r="G200">
        <v>4211</v>
      </c>
      <c r="H200" t="s">
        <v>69</v>
      </c>
      <c r="I200" t="s">
        <v>150</v>
      </c>
      <c r="J200" s="10" t="str">
        <f>VLOOKUP(I200,Categories!A:B,2,FALSE)</f>
        <v xml:space="preserve">Food &amp; Coff</v>
      </c>
      <c r="K200" t="s">
        <v>137</v>
      </c>
      <c r="L200" s="10" t="str">
        <f>VLOOKUP(K200,Accounts!A:B,2,FALSE)</f>
        <v xml:space="preserve">Make Kbank</v>
      </c>
      <c r="M200" t="s">
        <v>124</v>
      </c>
      <c r="N200" s="10"/>
      <c r="O200" t="s">
        <v>125</v>
      </c>
      <c r="Q200" t="s">
        <v>126</v>
      </c>
      <c r="R200" t="s">
        <v>124</v>
      </c>
      <c r="S200" t="b">
        <v>0</v>
      </c>
      <c r="T200" t="s">
        <v>124</v>
      </c>
    </row>
    <row r="201">
      <c r="A201" t="s">
        <v>583</v>
      </c>
      <c r="B201" t="s">
        <v>584</v>
      </c>
      <c r="C201" s="2">
        <v>2025</v>
      </c>
      <c r="D201" s="10">
        <v>10</v>
      </c>
      <c r="E201" s="10">
        <v>25</v>
      </c>
      <c r="F201" t="s">
        <v>121</v>
      </c>
      <c r="G201">
        <v>55</v>
      </c>
      <c r="H201" t="s">
        <v>69</v>
      </c>
      <c r="I201" t="s">
        <v>443</v>
      </c>
      <c r="J201" s="10" t="str">
        <f>VLOOKUP(I201,Categories!A:B,2,FALSE)</f>
        <v xml:space="preserve">City SV Interest</v>
      </c>
      <c r="K201" t="s">
        <v>123</v>
      </c>
      <c r="L201" s="10" t="str">
        <f>VLOOKUP(K201,Accounts!A:B,2,FALSE)</f>
        <v>KBank</v>
      </c>
      <c r="M201" t="s">
        <v>124</v>
      </c>
      <c r="N201" s="10"/>
      <c r="O201" t="s">
        <v>125</v>
      </c>
      <c r="Q201" t="s">
        <v>126</v>
      </c>
      <c r="R201" t="s">
        <v>124</v>
      </c>
      <c r="S201" t="b">
        <v>0</v>
      </c>
      <c r="T201" t="s">
        <v>124</v>
      </c>
    </row>
    <row r="202">
      <c r="A202" t="s">
        <v>585</v>
      </c>
      <c r="B202" t="s">
        <v>584</v>
      </c>
      <c r="C202" s="2">
        <v>2025</v>
      </c>
      <c r="D202" s="10">
        <v>10</v>
      </c>
      <c r="E202" s="10">
        <v>25</v>
      </c>
      <c r="F202" t="s">
        <v>121</v>
      </c>
      <c r="G202">
        <v>2159</v>
      </c>
      <c r="H202" t="s">
        <v>69</v>
      </c>
      <c r="I202" t="s">
        <v>199</v>
      </c>
      <c r="J202" s="10" t="str">
        <f>VLOOKUP(I202,Categories!A:B,2,FALSE)</f>
        <v xml:space="preserve">Home Chomthong Interest</v>
      </c>
      <c r="K202" t="s">
        <v>123</v>
      </c>
      <c r="L202" s="10" t="str">
        <f>VLOOKUP(K202,Accounts!A:B,2,FALSE)</f>
        <v>KBank</v>
      </c>
      <c r="M202" t="s">
        <v>124</v>
      </c>
      <c r="N202" s="10"/>
      <c r="O202" t="s">
        <v>125</v>
      </c>
      <c r="Q202" t="s">
        <v>126</v>
      </c>
      <c r="R202" t="s">
        <v>124</v>
      </c>
      <c r="S202" t="b">
        <v>0</v>
      </c>
      <c r="T202" t="s">
        <v>124</v>
      </c>
    </row>
    <row r="203">
      <c r="A203" t="s">
        <v>586</v>
      </c>
      <c r="B203" t="s">
        <v>584</v>
      </c>
      <c r="C203" s="2">
        <v>2025</v>
      </c>
      <c r="D203" s="10">
        <v>10</v>
      </c>
      <c r="E203" s="10">
        <v>25</v>
      </c>
      <c r="F203" t="s">
        <v>121</v>
      </c>
      <c r="G203">
        <v>3025.1999999999998</v>
      </c>
      <c r="H203" t="s">
        <v>128</v>
      </c>
      <c r="I203" t="s">
        <v>136</v>
      </c>
      <c r="J203" s="10" t="str">
        <f>VLOOKUP(I203,Categories!A:B,2,FALSE)</f>
        <v>อื่นๆ</v>
      </c>
      <c r="K203" t="s">
        <v>123</v>
      </c>
      <c r="L203" s="10" t="str">
        <f>VLOOKUP(K203,Accounts!A:B,2,FALSE)</f>
        <v>KBank</v>
      </c>
      <c r="M203" t="s">
        <v>203</v>
      </c>
      <c r="N203" s="10" t="str">
        <f>VLOOKUP(M203,Accounts!A:B,2,FALSE)</f>
        <v xml:space="preserve">Provident Fund</v>
      </c>
      <c r="O203" t="s">
        <v>125</v>
      </c>
      <c r="Q203" t="s">
        <v>126</v>
      </c>
      <c r="R203" t="s">
        <v>124</v>
      </c>
      <c r="S203" t="b">
        <v>0</v>
      </c>
      <c r="T203" t="s">
        <v>124</v>
      </c>
    </row>
    <row r="204">
      <c r="A204" t="s">
        <v>587</v>
      </c>
      <c r="B204" t="s">
        <v>584</v>
      </c>
      <c r="C204" s="2">
        <v>2025</v>
      </c>
      <c r="D204" s="10">
        <v>10</v>
      </c>
      <c r="E204" s="10">
        <v>25</v>
      </c>
      <c r="F204" t="s">
        <v>121</v>
      </c>
      <c r="G204">
        <v>4500.6800000000003</v>
      </c>
      <c r="H204" t="s">
        <v>69</v>
      </c>
      <c r="I204" t="s">
        <v>195</v>
      </c>
      <c r="J204" s="10" t="str">
        <f>VLOOKUP(I204,Categories!A:B,2,FALSE)</f>
        <v>Tax</v>
      </c>
      <c r="K204" t="s">
        <v>123</v>
      </c>
      <c r="L204" s="10" t="str">
        <f>VLOOKUP(K204,Accounts!A:B,2,FALSE)</f>
        <v>KBank</v>
      </c>
      <c r="M204" t="s">
        <v>124</v>
      </c>
      <c r="N204" s="10"/>
      <c r="O204" t="s">
        <v>125</v>
      </c>
      <c r="Q204" t="s">
        <v>126</v>
      </c>
      <c r="R204" t="s">
        <v>124</v>
      </c>
      <c r="S204" t="b">
        <v>0</v>
      </c>
      <c r="T204" t="s">
        <v>124</v>
      </c>
    </row>
    <row r="205">
      <c r="A205" t="s">
        <v>588</v>
      </c>
      <c r="B205" t="s">
        <v>584</v>
      </c>
      <c r="C205" s="2">
        <v>2025</v>
      </c>
      <c r="D205" s="10">
        <v>10</v>
      </c>
      <c r="E205" s="10">
        <v>25</v>
      </c>
      <c r="F205" t="s">
        <v>121</v>
      </c>
      <c r="G205">
        <v>9790</v>
      </c>
      <c r="H205" t="s">
        <v>69</v>
      </c>
      <c r="I205" t="s">
        <v>197</v>
      </c>
      <c r="J205" s="10" t="str">
        <f>VLOOKUP(I205,Categories!A:B,2,FALSE)</f>
        <v xml:space="preserve">Initial Home loan</v>
      </c>
      <c r="K205" t="s">
        <v>123</v>
      </c>
      <c r="L205" s="10" t="str">
        <f>VLOOKUP(K205,Accounts!A:B,2,FALSE)</f>
        <v>KBank</v>
      </c>
      <c r="M205" t="s">
        <v>124</v>
      </c>
      <c r="N205" s="10"/>
      <c r="O205" t="s">
        <v>125</v>
      </c>
      <c r="Q205" t="s">
        <v>126</v>
      </c>
      <c r="R205" t="s">
        <v>124</v>
      </c>
      <c r="S205" t="b">
        <v>0</v>
      </c>
      <c r="T205" t="s">
        <v>124</v>
      </c>
    </row>
    <row r="206">
      <c r="A206" t="s">
        <v>589</v>
      </c>
      <c r="B206" t="s">
        <v>584</v>
      </c>
      <c r="C206" s="2">
        <v>2025</v>
      </c>
      <c r="D206" s="10">
        <v>10</v>
      </c>
      <c r="E206" s="10">
        <v>25</v>
      </c>
      <c r="F206" t="s">
        <v>121</v>
      </c>
      <c r="G206">
        <v>500</v>
      </c>
      <c r="H206" t="s">
        <v>128</v>
      </c>
      <c r="I206" t="s">
        <v>136</v>
      </c>
      <c r="J206" s="10" t="str">
        <f>VLOOKUP(I206,Categories!A:B,2,FALSE)</f>
        <v>อื่นๆ</v>
      </c>
      <c r="K206" t="s">
        <v>123</v>
      </c>
      <c r="L206" s="10" t="str">
        <f>VLOOKUP(K206,Accounts!A:B,2,FALSE)</f>
        <v>KBank</v>
      </c>
      <c r="M206" t="s">
        <v>201</v>
      </c>
      <c r="N206" s="10" t="str">
        <f>VLOOKUP(M206,Accounts!A:B,2,FALSE)</f>
        <v>Coop</v>
      </c>
      <c r="O206" t="s">
        <v>125</v>
      </c>
      <c r="Q206" t="s">
        <v>126</v>
      </c>
      <c r="R206" t="s">
        <v>124</v>
      </c>
      <c r="S206" t="b">
        <v>0</v>
      </c>
      <c r="T206" t="s">
        <v>124</v>
      </c>
    </row>
    <row r="207">
      <c r="A207" t="s">
        <v>590</v>
      </c>
      <c r="B207" t="s">
        <v>584</v>
      </c>
      <c r="C207" s="2">
        <v>2025</v>
      </c>
      <c r="D207" s="10">
        <v>10</v>
      </c>
      <c r="E207" s="10">
        <v>25</v>
      </c>
      <c r="F207" t="s">
        <v>121</v>
      </c>
      <c r="G207">
        <v>9240</v>
      </c>
      <c r="H207" t="s">
        <v>69</v>
      </c>
      <c r="I207" t="s">
        <v>446</v>
      </c>
      <c r="J207" s="10" t="str">
        <f>VLOOKUP(I207,Categories!A:B,2,FALSE)</f>
        <v xml:space="preserve">Intial city</v>
      </c>
      <c r="K207" t="s">
        <v>123</v>
      </c>
      <c r="L207" s="10" t="str">
        <f>VLOOKUP(K207,Accounts!A:B,2,FALSE)</f>
        <v>KBank</v>
      </c>
      <c r="M207" t="s">
        <v>124</v>
      </c>
      <c r="N207" s="10"/>
      <c r="O207" t="s">
        <v>125</v>
      </c>
      <c r="Q207" t="s">
        <v>126</v>
      </c>
      <c r="R207" t="s">
        <v>124</v>
      </c>
      <c r="S207" t="b">
        <v>0</v>
      </c>
      <c r="T207" t="s">
        <v>124</v>
      </c>
    </row>
    <row r="208">
      <c r="A208" t="s">
        <v>591</v>
      </c>
      <c r="B208" t="s">
        <v>584</v>
      </c>
      <c r="C208" s="2">
        <v>2025</v>
      </c>
      <c r="D208" s="10">
        <v>10</v>
      </c>
      <c r="E208" s="10">
        <v>25</v>
      </c>
      <c r="F208" t="s">
        <v>121</v>
      </c>
      <c r="G208">
        <v>151260</v>
      </c>
      <c r="H208" t="s">
        <v>206</v>
      </c>
      <c r="I208" t="s">
        <v>207</v>
      </c>
      <c r="J208" s="10" t="str">
        <f>VLOOKUP(I208,Categories!A:B,2,FALSE)</f>
        <v>Salary</v>
      </c>
      <c r="K208" t="s">
        <v>123</v>
      </c>
      <c r="L208" s="10" t="str">
        <f>VLOOKUP(K208,Accounts!A:B,2,FALSE)</f>
        <v>KBank</v>
      </c>
      <c r="M208" t="s">
        <v>124</v>
      </c>
      <c r="N208" s="10"/>
      <c r="O208" t="s">
        <v>125</v>
      </c>
      <c r="Q208" t="s">
        <v>126</v>
      </c>
      <c r="R208" t="s">
        <v>124</v>
      </c>
      <c r="S208" t="b">
        <v>0</v>
      </c>
      <c r="T208" t="s">
        <v>124</v>
      </c>
    </row>
    <row r="209">
      <c r="A209" t="s">
        <v>592</v>
      </c>
      <c r="B209" t="s">
        <v>584</v>
      </c>
      <c r="C209" s="2">
        <v>2025</v>
      </c>
      <c r="D209" s="10">
        <v>10</v>
      </c>
      <c r="E209" s="10">
        <v>25</v>
      </c>
      <c r="F209" t="s">
        <v>411</v>
      </c>
      <c r="G209">
        <v>398</v>
      </c>
      <c r="H209" t="s">
        <v>69</v>
      </c>
      <c r="I209" t="s">
        <v>122</v>
      </c>
      <c r="J209" s="10" t="str">
        <f>VLOOKUP(I209,Categories!A:B,2,FALSE)</f>
        <v>Other</v>
      </c>
      <c r="K209" t="s">
        <v>123</v>
      </c>
      <c r="L209" s="10" t="str">
        <f>VLOOKUP(K209,Accounts!A:B,2,FALSE)</f>
        <v>KBank</v>
      </c>
      <c r="M209" t="s">
        <v>124</v>
      </c>
      <c r="N209" s="10"/>
      <c r="O209" t="s">
        <v>125</v>
      </c>
      <c r="Q209" t="s">
        <v>126</v>
      </c>
      <c r="R209" t="s">
        <v>124</v>
      </c>
      <c r="S209" t="b">
        <v>0</v>
      </c>
      <c r="T209" t="s">
        <v>124</v>
      </c>
    </row>
    <row r="210">
      <c r="A210" t="s">
        <v>593</v>
      </c>
      <c r="B210" t="s">
        <v>594</v>
      </c>
      <c r="C210" s="2">
        <v>2025</v>
      </c>
      <c r="D210" s="10">
        <v>10</v>
      </c>
      <c r="E210" s="10">
        <v>24</v>
      </c>
      <c r="F210" t="s">
        <v>595</v>
      </c>
      <c r="G210">
        <v>1257</v>
      </c>
      <c r="H210" t="s">
        <v>69</v>
      </c>
      <c r="I210" t="s">
        <v>259</v>
      </c>
      <c r="J210" s="10" t="str">
        <f>VLOOKUP(I210,Categories!A:B,2,FALSE)</f>
        <v xml:space="preserve">Team BOT</v>
      </c>
      <c r="K210" t="s">
        <v>123</v>
      </c>
      <c r="L210" s="10" t="str">
        <f>VLOOKUP(K210,Accounts!A:B,2,FALSE)</f>
        <v>KBank</v>
      </c>
      <c r="M210" t="s">
        <v>124</v>
      </c>
      <c r="N210" s="10"/>
      <c r="O210" t="s">
        <v>125</v>
      </c>
      <c r="Q210" t="s">
        <v>126</v>
      </c>
      <c r="R210" t="s">
        <v>124</v>
      </c>
      <c r="S210" t="b">
        <v>0</v>
      </c>
      <c r="T210" t="s">
        <v>124</v>
      </c>
    </row>
    <row r="211">
      <c r="A211" t="s">
        <v>596</v>
      </c>
      <c r="B211" t="s">
        <v>594</v>
      </c>
      <c r="C211" s="2">
        <v>2025</v>
      </c>
      <c r="D211" s="10">
        <v>10</v>
      </c>
      <c r="E211" s="10">
        <v>24</v>
      </c>
      <c r="F211" t="s">
        <v>597</v>
      </c>
      <c r="G211">
        <v>973.70000000000005</v>
      </c>
      <c r="H211" t="s">
        <v>206</v>
      </c>
      <c r="I211" t="s">
        <v>281</v>
      </c>
      <c r="J211" s="10" t="str">
        <f>VLOOKUP(I211,Categories!A:B,2,FALSE)</f>
        <v>Others</v>
      </c>
      <c r="K211" t="s">
        <v>123</v>
      </c>
      <c r="L211" s="10" t="str">
        <f>VLOOKUP(K211,Accounts!A:B,2,FALSE)</f>
        <v>KBank</v>
      </c>
      <c r="M211" t="s">
        <v>124</v>
      </c>
      <c r="N211" s="10"/>
      <c r="O211" t="s">
        <v>125</v>
      </c>
      <c r="Q211" t="s">
        <v>126</v>
      </c>
      <c r="R211" t="s">
        <v>124</v>
      </c>
      <c r="S211" t="b">
        <v>0</v>
      </c>
      <c r="T211" t="s">
        <v>124</v>
      </c>
    </row>
    <row r="212">
      <c r="A212" t="s">
        <v>598</v>
      </c>
      <c r="B212" t="s">
        <v>594</v>
      </c>
      <c r="C212" s="2">
        <v>2025</v>
      </c>
      <c r="D212" s="10">
        <v>10</v>
      </c>
      <c r="E212" s="10">
        <v>24</v>
      </c>
      <c r="F212" t="s">
        <v>599</v>
      </c>
      <c r="G212">
        <v>6534</v>
      </c>
      <c r="H212" t="s">
        <v>69</v>
      </c>
      <c r="I212" t="s">
        <v>338</v>
      </c>
      <c r="J212" s="10" t="str">
        <f>VLOOKUP(I212,Categories!A:B,2,FALSE)</f>
        <v>Trips</v>
      </c>
      <c r="K212" t="s">
        <v>123</v>
      </c>
      <c r="L212" s="10" t="str">
        <f>VLOOKUP(K212,Accounts!A:B,2,FALSE)</f>
        <v>KBank</v>
      </c>
      <c r="M212" t="s">
        <v>124</v>
      </c>
      <c r="N212" s="10"/>
      <c r="O212" t="s">
        <v>528</v>
      </c>
      <c r="Q212" t="s">
        <v>126</v>
      </c>
      <c r="R212" t="s">
        <v>124</v>
      </c>
      <c r="S212" t="b">
        <v>0</v>
      </c>
      <c r="T212" t="s">
        <v>124</v>
      </c>
    </row>
    <row r="213">
      <c r="A213" t="s">
        <v>600</v>
      </c>
      <c r="B213" t="s">
        <v>594</v>
      </c>
      <c r="C213" s="2">
        <v>2025</v>
      </c>
      <c r="D213" s="10">
        <v>10</v>
      </c>
      <c r="E213" s="10">
        <v>24</v>
      </c>
      <c r="F213" t="s">
        <v>249</v>
      </c>
      <c r="G213">
        <v>1047</v>
      </c>
      <c r="H213" t="s">
        <v>69</v>
      </c>
      <c r="I213" t="s">
        <v>150</v>
      </c>
      <c r="J213" s="10" t="str">
        <f>VLOOKUP(I213,Categories!A:B,2,FALSE)</f>
        <v xml:space="preserve">Food &amp; Coff</v>
      </c>
      <c r="K213" t="s">
        <v>123</v>
      </c>
      <c r="L213" s="10" t="str">
        <f>VLOOKUP(K213,Accounts!A:B,2,FALSE)</f>
        <v>KBank</v>
      </c>
      <c r="M213" t="s">
        <v>124</v>
      </c>
      <c r="N213" s="10"/>
      <c r="O213" t="s">
        <v>125</v>
      </c>
      <c r="Q213" t="s">
        <v>126</v>
      </c>
      <c r="R213" t="s">
        <v>124</v>
      </c>
      <c r="S213" t="b">
        <v>0</v>
      </c>
      <c r="T213" t="s">
        <v>124</v>
      </c>
    </row>
    <row r="214">
      <c r="A214" t="s">
        <v>601</v>
      </c>
      <c r="B214" t="s">
        <v>602</v>
      </c>
      <c r="C214" s="2">
        <v>2025</v>
      </c>
      <c r="D214" s="10">
        <v>10</v>
      </c>
      <c r="E214" s="10">
        <v>22</v>
      </c>
      <c r="F214" t="s">
        <v>603</v>
      </c>
      <c r="G214">
        <v>240</v>
      </c>
      <c r="H214" t="s">
        <v>69</v>
      </c>
      <c r="I214" t="s">
        <v>134</v>
      </c>
      <c r="J214" s="10" t="str">
        <f>VLOOKUP(I214,Categories!A:B,2,FALSE)</f>
        <v>Hong</v>
      </c>
      <c r="K214" t="s">
        <v>123</v>
      </c>
      <c r="L214" s="10" t="str">
        <f>VLOOKUP(K214,Accounts!A:B,2,FALSE)</f>
        <v>KBank</v>
      </c>
      <c r="M214" t="s">
        <v>124</v>
      </c>
      <c r="N214" s="10"/>
      <c r="O214" t="s">
        <v>125</v>
      </c>
      <c r="Q214" t="s">
        <v>126</v>
      </c>
      <c r="R214" t="s">
        <v>124</v>
      </c>
      <c r="S214" t="b">
        <v>0</v>
      </c>
      <c r="T214" t="s">
        <v>124</v>
      </c>
    </row>
    <row r="215">
      <c r="A215" t="s">
        <v>604</v>
      </c>
      <c r="B215" t="s">
        <v>605</v>
      </c>
      <c r="C215" s="2">
        <v>2025</v>
      </c>
      <c r="D215" s="10">
        <v>10</v>
      </c>
      <c r="E215" s="10">
        <v>19</v>
      </c>
      <c r="F215" t="s">
        <v>606</v>
      </c>
      <c r="G215">
        <v>7276</v>
      </c>
      <c r="H215" t="s">
        <v>69</v>
      </c>
      <c r="I215" t="s">
        <v>139</v>
      </c>
      <c r="J215" s="10" t="str">
        <f>VLOOKUP(I215,Categories!A:B,2,FALSE)</f>
        <v>Condo</v>
      </c>
      <c r="K215" t="s">
        <v>123</v>
      </c>
      <c r="L215" s="10" t="str">
        <f>VLOOKUP(K215,Accounts!A:B,2,FALSE)</f>
        <v>KBank</v>
      </c>
      <c r="M215" t="s">
        <v>124</v>
      </c>
      <c r="N215" s="10"/>
      <c r="O215" t="s">
        <v>125</v>
      </c>
      <c r="Q215" t="s">
        <v>126</v>
      </c>
      <c r="R215" t="s">
        <v>124</v>
      </c>
      <c r="S215" t="b">
        <v>0</v>
      </c>
      <c r="T215" t="s">
        <v>124</v>
      </c>
    </row>
    <row r="216">
      <c r="A216" t="s">
        <v>607</v>
      </c>
      <c r="B216" t="s">
        <v>605</v>
      </c>
      <c r="C216" s="2">
        <v>2025</v>
      </c>
      <c r="D216" s="10">
        <v>10</v>
      </c>
      <c r="E216" s="10">
        <v>19</v>
      </c>
      <c r="F216" t="s">
        <v>608</v>
      </c>
      <c r="G216">
        <v>5000</v>
      </c>
      <c r="H216" t="s">
        <v>128</v>
      </c>
      <c r="I216" t="s">
        <v>136</v>
      </c>
      <c r="J216" s="10" t="str">
        <f>VLOOKUP(I216,Categories!A:B,2,FALSE)</f>
        <v>อื่นๆ</v>
      </c>
      <c r="K216" t="s">
        <v>123</v>
      </c>
      <c r="L216" s="10" t="str">
        <f>VLOOKUP(K216,Accounts!A:B,2,FALSE)</f>
        <v>KBank</v>
      </c>
      <c r="M216" t="s">
        <v>137</v>
      </c>
      <c r="N216" s="10" t="str">
        <f>VLOOKUP(M216,Accounts!A:B,2,FALSE)</f>
        <v xml:space="preserve">Make Kbank</v>
      </c>
      <c r="O216" t="s">
        <v>125</v>
      </c>
      <c r="Q216" t="s">
        <v>126</v>
      </c>
      <c r="R216" t="s">
        <v>124</v>
      </c>
      <c r="S216" t="b">
        <v>0</v>
      </c>
      <c r="T216" t="s">
        <v>124</v>
      </c>
    </row>
    <row r="217">
      <c r="A217" t="s">
        <v>609</v>
      </c>
      <c r="B217" t="s">
        <v>610</v>
      </c>
      <c r="C217" s="2">
        <v>2025</v>
      </c>
      <c r="D217" s="10">
        <v>10</v>
      </c>
      <c r="E217" s="10">
        <v>17</v>
      </c>
      <c r="F217" t="s">
        <v>606</v>
      </c>
      <c r="G217">
        <v>310</v>
      </c>
      <c r="H217" t="s">
        <v>69</v>
      </c>
      <c r="I217" t="s">
        <v>259</v>
      </c>
      <c r="J217" s="10" t="str">
        <f>VLOOKUP(I217,Categories!A:B,2,FALSE)</f>
        <v xml:space="preserve">Team BOT</v>
      </c>
      <c r="K217" t="s">
        <v>123</v>
      </c>
      <c r="L217" s="10" t="str">
        <f>VLOOKUP(K217,Accounts!A:B,2,FALSE)</f>
        <v>KBank</v>
      </c>
      <c r="M217" t="s">
        <v>124</v>
      </c>
      <c r="N217" s="10"/>
      <c r="O217" t="s">
        <v>125</v>
      </c>
      <c r="Q217" t="s">
        <v>126</v>
      </c>
      <c r="R217" t="s">
        <v>124</v>
      </c>
      <c r="S217" t="b">
        <v>0</v>
      </c>
      <c r="T217" t="s">
        <v>124</v>
      </c>
    </row>
    <row r="218">
      <c r="A218" t="s">
        <v>611</v>
      </c>
      <c r="B218" t="s">
        <v>612</v>
      </c>
      <c r="C218" s="2">
        <v>2025</v>
      </c>
      <c r="D218" s="10">
        <v>10</v>
      </c>
      <c r="E218" s="10">
        <v>15</v>
      </c>
      <c r="F218" t="s">
        <v>613</v>
      </c>
      <c r="G218">
        <v>742</v>
      </c>
      <c r="H218" t="s">
        <v>69</v>
      </c>
      <c r="I218" t="s">
        <v>614</v>
      </c>
      <c r="J218" s="10" t="str">
        <f>VLOOKUP(I218,Categories!A:B,2,FALSE)</f>
        <v>Books</v>
      </c>
      <c r="K218" t="s">
        <v>123</v>
      </c>
      <c r="L218" s="10" t="str">
        <f>VLOOKUP(K218,Accounts!A:B,2,FALSE)</f>
        <v>KBank</v>
      </c>
      <c r="M218" t="s">
        <v>124</v>
      </c>
      <c r="N218" s="10"/>
      <c r="O218" t="s">
        <v>125</v>
      </c>
      <c r="Q218" t="s">
        <v>126</v>
      </c>
      <c r="R218" t="s">
        <v>124</v>
      </c>
      <c r="S218" t="b">
        <v>0</v>
      </c>
      <c r="T218" t="s">
        <v>124</v>
      </c>
    </row>
    <row r="219">
      <c r="A219" t="s">
        <v>615</v>
      </c>
      <c r="B219" t="s">
        <v>616</v>
      </c>
      <c r="C219" s="2">
        <v>2025</v>
      </c>
      <c r="D219" s="10">
        <v>10</v>
      </c>
      <c r="E219" s="10">
        <v>14</v>
      </c>
      <c r="F219" t="s">
        <v>613</v>
      </c>
      <c r="G219">
        <v>650</v>
      </c>
      <c r="H219" t="s">
        <v>69</v>
      </c>
      <c r="I219" t="s">
        <v>155</v>
      </c>
      <c r="J219" s="10" t="str">
        <f>VLOOKUP(I219,Categories!A:B,2,FALSE)</f>
        <v>Gashapon</v>
      </c>
      <c r="K219" t="s">
        <v>123</v>
      </c>
      <c r="L219" s="10" t="str">
        <f>VLOOKUP(K219,Accounts!A:B,2,FALSE)</f>
        <v>KBank</v>
      </c>
      <c r="M219" t="s">
        <v>124</v>
      </c>
      <c r="N219" s="10"/>
      <c r="O219" t="s">
        <v>125</v>
      </c>
      <c r="Q219" t="s">
        <v>126</v>
      </c>
      <c r="R219" t="s">
        <v>124</v>
      </c>
      <c r="S219" t="b">
        <v>0</v>
      </c>
      <c r="T219" t="s">
        <v>124</v>
      </c>
    </row>
    <row r="220">
      <c r="A220" t="s">
        <v>617</v>
      </c>
      <c r="B220" t="s">
        <v>618</v>
      </c>
      <c r="C220" s="2">
        <v>2025</v>
      </c>
      <c r="D220" s="10">
        <v>10</v>
      </c>
      <c r="E220" s="10">
        <v>8</v>
      </c>
      <c r="F220" t="s">
        <v>121</v>
      </c>
      <c r="G220">
        <v>19000</v>
      </c>
      <c r="H220" t="s">
        <v>69</v>
      </c>
      <c r="I220" t="s">
        <v>134</v>
      </c>
      <c r="J220" s="10" t="str">
        <f>VLOOKUP(I220,Categories!A:B,2,FALSE)</f>
        <v>Hong</v>
      </c>
      <c r="K220" t="s">
        <v>123</v>
      </c>
      <c r="L220" s="10" t="str">
        <f>VLOOKUP(K220,Accounts!A:B,2,FALSE)</f>
        <v>KBank</v>
      </c>
      <c r="M220" t="s">
        <v>124</v>
      </c>
      <c r="N220" s="10"/>
      <c r="O220" t="s">
        <v>125</v>
      </c>
      <c r="Q220" t="s">
        <v>126</v>
      </c>
      <c r="R220" t="s">
        <v>124</v>
      </c>
      <c r="S220" t="b">
        <v>0</v>
      </c>
      <c r="T220" t="s">
        <v>124</v>
      </c>
    </row>
    <row r="221">
      <c r="A221" t="s">
        <v>619</v>
      </c>
      <c r="B221" t="s">
        <v>618</v>
      </c>
      <c r="C221" s="2">
        <v>2025</v>
      </c>
      <c r="D221" s="10">
        <v>10</v>
      </c>
      <c r="E221" s="10">
        <v>8</v>
      </c>
      <c r="F221" t="s">
        <v>620</v>
      </c>
      <c r="G221">
        <v>778</v>
      </c>
      <c r="H221" t="s">
        <v>128</v>
      </c>
      <c r="I221" t="s">
        <v>136</v>
      </c>
      <c r="J221" s="10" t="str">
        <f>VLOOKUP(I221,Categories!A:B,2,FALSE)</f>
        <v>อื่นๆ</v>
      </c>
      <c r="K221" t="s">
        <v>123</v>
      </c>
      <c r="L221" s="10" t="str">
        <f>VLOOKUP(K221,Accounts!A:B,2,FALSE)</f>
        <v>KBank</v>
      </c>
      <c r="M221" t="s">
        <v>131</v>
      </c>
      <c r="N221" s="10" t="str">
        <f>VLOOKUP(M221,Accounts!A:B,2,FALSE)</f>
        <v xml:space="preserve">Advance Paid</v>
      </c>
      <c r="O221" t="s">
        <v>621</v>
      </c>
      <c r="Q221" t="s">
        <v>126</v>
      </c>
      <c r="R221" t="s">
        <v>124</v>
      </c>
      <c r="S221" t="b">
        <v>0</v>
      </c>
      <c r="T221" t="s">
        <v>124</v>
      </c>
    </row>
    <row r="222">
      <c r="A222" t="s">
        <v>622</v>
      </c>
      <c r="B222" t="s">
        <v>618</v>
      </c>
      <c r="C222" s="2">
        <v>2025</v>
      </c>
      <c r="D222" s="10">
        <v>10</v>
      </c>
      <c r="E222" s="10">
        <v>8</v>
      </c>
      <c r="F222" t="s">
        <v>595</v>
      </c>
      <c r="G222">
        <v>7864.8100000000004</v>
      </c>
      <c r="H222" t="s">
        <v>69</v>
      </c>
      <c r="I222" t="s">
        <v>150</v>
      </c>
      <c r="J222" s="10" t="str">
        <f>VLOOKUP(I222,Categories!A:B,2,FALSE)</f>
        <v xml:space="preserve">Food &amp; Coff</v>
      </c>
      <c r="K222" t="s">
        <v>123</v>
      </c>
      <c r="L222" s="10" t="str">
        <f>VLOOKUP(K222,Accounts!A:B,2,FALSE)</f>
        <v>KBank</v>
      </c>
      <c r="M222" t="s">
        <v>124</v>
      </c>
      <c r="N222" s="10"/>
      <c r="O222" t="s">
        <v>125</v>
      </c>
      <c r="Q222" t="s">
        <v>126</v>
      </c>
      <c r="R222" t="s">
        <v>124</v>
      </c>
      <c r="S222" t="b">
        <v>0</v>
      </c>
      <c r="T222" t="s">
        <v>124</v>
      </c>
    </row>
    <row r="223">
      <c r="A223" t="s">
        <v>623</v>
      </c>
      <c r="B223" t="s">
        <v>624</v>
      </c>
      <c r="C223" s="2">
        <v>2025</v>
      </c>
      <c r="D223" s="10">
        <v>10</v>
      </c>
      <c r="E223" s="10">
        <v>5</v>
      </c>
      <c r="F223" t="s">
        <v>625</v>
      </c>
      <c r="G223">
        <v>8000</v>
      </c>
      <c r="H223" t="s">
        <v>69</v>
      </c>
      <c r="I223" t="s">
        <v>144</v>
      </c>
      <c r="J223" s="10" t="str">
        <f>VLOOKUP(I223,Categories!A:B,2,FALSE)</f>
        <v xml:space="preserve">Family paid</v>
      </c>
      <c r="K223" t="s">
        <v>123</v>
      </c>
      <c r="L223" s="10" t="str">
        <f>VLOOKUP(K223,Accounts!A:B,2,FALSE)</f>
        <v>KBank</v>
      </c>
      <c r="M223" t="s">
        <v>124</v>
      </c>
      <c r="N223" s="10"/>
      <c r="O223" t="s">
        <v>125</v>
      </c>
      <c r="Q223" t="s">
        <v>126</v>
      </c>
      <c r="R223" t="s">
        <v>124</v>
      </c>
      <c r="S223" t="b">
        <v>0</v>
      </c>
      <c r="T223" t="s">
        <v>124</v>
      </c>
    </row>
    <row r="224">
      <c r="A224" t="s">
        <v>626</v>
      </c>
      <c r="B224" t="s">
        <v>627</v>
      </c>
      <c r="C224" s="2">
        <v>2025</v>
      </c>
      <c r="D224" s="10">
        <v>9</v>
      </c>
      <c r="E224" s="10">
        <v>30</v>
      </c>
      <c r="F224" t="s">
        <v>212</v>
      </c>
      <c r="G224">
        <v>4671</v>
      </c>
      <c r="H224" t="s">
        <v>69</v>
      </c>
      <c r="I224" t="s">
        <v>150</v>
      </c>
      <c r="J224" s="10" t="str">
        <f>VLOOKUP(I224,Categories!A:B,2,FALSE)</f>
        <v xml:space="preserve">Food &amp; Coff</v>
      </c>
      <c r="K224" t="s">
        <v>137</v>
      </c>
      <c r="L224" s="10" t="str">
        <f>VLOOKUP(K224,Accounts!A:B,2,FALSE)</f>
        <v xml:space="preserve">Make Kbank</v>
      </c>
      <c r="M224" t="s">
        <v>124</v>
      </c>
      <c r="N224" s="10"/>
      <c r="O224" t="s">
        <v>125</v>
      </c>
      <c r="Q224" t="s">
        <v>126</v>
      </c>
      <c r="R224" t="s">
        <v>124</v>
      </c>
      <c r="S224" t="b">
        <v>0</v>
      </c>
      <c r="T224" t="s">
        <v>124</v>
      </c>
    </row>
    <row r="225">
      <c r="A225" t="s">
        <v>628</v>
      </c>
      <c r="B225" t="s">
        <v>629</v>
      </c>
      <c r="C225" s="2">
        <v>2025</v>
      </c>
      <c r="D225" s="10">
        <v>9</v>
      </c>
      <c r="E225" s="10">
        <v>25</v>
      </c>
      <c r="F225" t="s">
        <v>121</v>
      </c>
      <c r="G225">
        <v>2706.0799999999999</v>
      </c>
      <c r="H225" t="s">
        <v>69</v>
      </c>
      <c r="I225" t="s">
        <v>199</v>
      </c>
      <c r="J225" s="10" t="str">
        <f>VLOOKUP(I225,Categories!A:B,2,FALSE)</f>
        <v xml:space="preserve">Home Chomthong Interest</v>
      </c>
      <c r="K225" t="s">
        <v>123</v>
      </c>
      <c r="L225" s="10" t="str">
        <f>VLOOKUP(K225,Accounts!A:B,2,FALSE)</f>
        <v>KBank</v>
      </c>
      <c r="M225" t="s">
        <v>124</v>
      </c>
      <c r="N225" s="10"/>
      <c r="O225" t="s">
        <v>125</v>
      </c>
      <c r="Q225" t="s">
        <v>126</v>
      </c>
      <c r="R225" t="s">
        <v>124</v>
      </c>
      <c r="S225" t="b">
        <v>0</v>
      </c>
      <c r="T225" t="s">
        <v>124</v>
      </c>
    </row>
    <row r="226">
      <c r="A226" t="s">
        <v>630</v>
      </c>
      <c r="B226" t="s">
        <v>629</v>
      </c>
      <c r="C226" s="2">
        <v>2025</v>
      </c>
      <c r="D226" s="10">
        <v>9</v>
      </c>
      <c r="E226" s="10">
        <v>25</v>
      </c>
      <c r="F226" t="s">
        <v>121</v>
      </c>
      <c r="G226">
        <v>4500.6800000000003</v>
      </c>
      <c r="H226" t="s">
        <v>69</v>
      </c>
      <c r="I226" t="s">
        <v>195</v>
      </c>
      <c r="J226" s="10" t="str">
        <f>VLOOKUP(I226,Categories!A:B,2,FALSE)</f>
        <v>Tax</v>
      </c>
      <c r="K226" t="s">
        <v>123</v>
      </c>
      <c r="L226" s="10" t="str">
        <f>VLOOKUP(K226,Accounts!A:B,2,FALSE)</f>
        <v>KBank</v>
      </c>
      <c r="M226" t="s">
        <v>124</v>
      </c>
      <c r="N226" s="10"/>
      <c r="O226" t="s">
        <v>125</v>
      </c>
      <c r="Q226" t="s">
        <v>126</v>
      </c>
      <c r="R226" t="s">
        <v>124</v>
      </c>
      <c r="S226" t="b">
        <v>0</v>
      </c>
      <c r="T226" t="s">
        <v>124</v>
      </c>
    </row>
    <row r="227">
      <c r="A227" t="s">
        <v>631</v>
      </c>
      <c r="B227" t="s">
        <v>629</v>
      </c>
      <c r="C227" s="2">
        <v>2025</v>
      </c>
      <c r="D227" s="10">
        <v>9</v>
      </c>
      <c r="E227" s="10">
        <v>25</v>
      </c>
      <c r="F227" t="s">
        <v>121</v>
      </c>
      <c r="G227">
        <v>3025.1999999999998</v>
      </c>
      <c r="H227" t="s">
        <v>128</v>
      </c>
      <c r="I227" t="s">
        <v>136</v>
      </c>
      <c r="J227" s="10" t="str">
        <f>VLOOKUP(I227,Categories!A:B,2,FALSE)</f>
        <v>อื่นๆ</v>
      </c>
      <c r="K227" t="s">
        <v>123</v>
      </c>
      <c r="L227" s="10" t="str">
        <f>VLOOKUP(K227,Accounts!A:B,2,FALSE)</f>
        <v>KBank</v>
      </c>
      <c r="M227" t="s">
        <v>203</v>
      </c>
      <c r="N227" s="10" t="str">
        <f>VLOOKUP(M227,Accounts!A:B,2,FALSE)</f>
        <v xml:space="preserve">Provident Fund</v>
      </c>
      <c r="O227" t="s">
        <v>125</v>
      </c>
      <c r="Q227" t="s">
        <v>126</v>
      </c>
      <c r="R227" t="s">
        <v>124</v>
      </c>
      <c r="S227" t="b">
        <v>0</v>
      </c>
      <c r="T227" t="s">
        <v>124</v>
      </c>
    </row>
    <row r="228">
      <c r="A228" t="s">
        <v>632</v>
      </c>
      <c r="B228" t="s">
        <v>629</v>
      </c>
      <c r="C228" s="2">
        <v>2025</v>
      </c>
      <c r="D228" s="10">
        <v>9</v>
      </c>
      <c r="E228" s="10">
        <v>25</v>
      </c>
      <c r="F228" t="s">
        <v>121</v>
      </c>
      <c r="G228">
        <v>69.450000000000003</v>
      </c>
      <c r="H228" t="s">
        <v>69</v>
      </c>
      <c r="I228" t="s">
        <v>443</v>
      </c>
      <c r="J228" s="10" t="str">
        <f>VLOOKUP(I228,Categories!A:B,2,FALSE)</f>
        <v xml:space="preserve">City SV Interest</v>
      </c>
      <c r="K228" t="s">
        <v>123</v>
      </c>
      <c r="L228" s="10" t="str">
        <f>VLOOKUP(K228,Accounts!A:B,2,FALSE)</f>
        <v>KBank</v>
      </c>
      <c r="M228" t="s">
        <v>124</v>
      </c>
      <c r="N228" s="10"/>
      <c r="O228" t="s">
        <v>125</v>
      </c>
      <c r="Q228" t="s">
        <v>126</v>
      </c>
      <c r="R228" t="s">
        <v>124</v>
      </c>
      <c r="S228" t="b">
        <v>0</v>
      </c>
      <c r="T228" t="s">
        <v>124</v>
      </c>
    </row>
    <row r="229">
      <c r="A229" t="s">
        <v>633</v>
      </c>
      <c r="B229" t="s">
        <v>629</v>
      </c>
      <c r="C229" s="2">
        <v>2025</v>
      </c>
      <c r="D229" s="10">
        <v>9</v>
      </c>
      <c r="E229" s="10">
        <v>25</v>
      </c>
      <c r="F229" t="s">
        <v>121</v>
      </c>
      <c r="G229">
        <v>500</v>
      </c>
      <c r="H229" t="s">
        <v>128</v>
      </c>
      <c r="I229" t="s">
        <v>136</v>
      </c>
      <c r="J229" s="10" t="str">
        <f>VLOOKUP(I229,Categories!A:B,2,FALSE)</f>
        <v>อื่นๆ</v>
      </c>
      <c r="K229" t="s">
        <v>123</v>
      </c>
      <c r="L229" s="10" t="str">
        <f>VLOOKUP(K229,Accounts!A:B,2,FALSE)</f>
        <v>KBank</v>
      </c>
      <c r="M229" t="s">
        <v>201</v>
      </c>
      <c r="N229" s="10" t="str">
        <f>VLOOKUP(M229,Accounts!A:B,2,FALSE)</f>
        <v>Coop</v>
      </c>
      <c r="O229" t="s">
        <v>125</v>
      </c>
      <c r="Q229" t="s">
        <v>126</v>
      </c>
      <c r="R229" t="s">
        <v>124</v>
      </c>
      <c r="S229" t="b">
        <v>0</v>
      </c>
      <c r="T229" t="s">
        <v>124</v>
      </c>
    </row>
    <row r="230">
      <c r="A230" t="s">
        <v>634</v>
      </c>
      <c r="B230" t="s">
        <v>629</v>
      </c>
      <c r="C230" s="2">
        <v>2025</v>
      </c>
      <c r="D230" s="10">
        <v>9</v>
      </c>
      <c r="E230" s="10">
        <v>25</v>
      </c>
      <c r="F230" t="s">
        <v>121</v>
      </c>
      <c r="G230">
        <v>9240</v>
      </c>
      <c r="H230" t="s">
        <v>69</v>
      </c>
      <c r="I230" t="s">
        <v>446</v>
      </c>
      <c r="J230" s="10" t="str">
        <f>VLOOKUP(I230,Categories!A:B,2,FALSE)</f>
        <v xml:space="preserve">Intial city</v>
      </c>
      <c r="K230" t="s">
        <v>123</v>
      </c>
      <c r="L230" s="10" t="str">
        <f>VLOOKUP(K230,Accounts!A:B,2,FALSE)</f>
        <v>KBank</v>
      </c>
      <c r="M230" t="s">
        <v>124</v>
      </c>
      <c r="N230" s="10"/>
      <c r="O230" t="s">
        <v>125</v>
      </c>
      <c r="Q230" t="s">
        <v>126</v>
      </c>
      <c r="R230" t="s">
        <v>124</v>
      </c>
      <c r="S230" t="b">
        <v>0</v>
      </c>
      <c r="T230" t="s">
        <v>124</v>
      </c>
    </row>
    <row r="231">
      <c r="A231" t="s">
        <v>635</v>
      </c>
      <c r="B231" t="s">
        <v>629</v>
      </c>
      <c r="C231" s="2">
        <v>2025</v>
      </c>
      <c r="D231" s="10">
        <v>9</v>
      </c>
      <c r="E231" s="10">
        <v>25</v>
      </c>
      <c r="F231" t="s">
        <v>121</v>
      </c>
      <c r="G231">
        <v>9165</v>
      </c>
      <c r="H231" t="s">
        <v>69</v>
      </c>
      <c r="I231" t="s">
        <v>197</v>
      </c>
      <c r="J231" s="10" t="str">
        <f>VLOOKUP(I231,Categories!A:B,2,FALSE)</f>
        <v xml:space="preserve">Initial Home loan</v>
      </c>
      <c r="K231" t="s">
        <v>123</v>
      </c>
      <c r="L231" s="10" t="str">
        <f>VLOOKUP(K231,Accounts!A:B,2,FALSE)</f>
        <v>KBank</v>
      </c>
      <c r="M231" t="s">
        <v>124</v>
      </c>
      <c r="N231" s="10"/>
      <c r="O231" t="s">
        <v>125</v>
      </c>
      <c r="Q231" t="s">
        <v>126</v>
      </c>
      <c r="R231" t="s">
        <v>124</v>
      </c>
      <c r="S231" t="b">
        <v>0</v>
      </c>
      <c r="T231" t="s">
        <v>124</v>
      </c>
    </row>
    <row r="232">
      <c r="A232" t="s">
        <v>636</v>
      </c>
      <c r="B232" t="s">
        <v>629</v>
      </c>
      <c r="C232" s="2">
        <v>2025</v>
      </c>
      <c r="D232" s="10">
        <v>9</v>
      </c>
      <c r="E232" s="10">
        <v>25</v>
      </c>
      <c r="F232" t="s">
        <v>121</v>
      </c>
      <c r="G232">
        <v>151260</v>
      </c>
      <c r="H232" t="s">
        <v>206</v>
      </c>
      <c r="I232" t="s">
        <v>207</v>
      </c>
      <c r="J232" s="10" t="str">
        <f>VLOOKUP(I232,Categories!A:B,2,FALSE)</f>
        <v>Salary</v>
      </c>
      <c r="K232" t="s">
        <v>123</v>
      </c>
      <c r="L232" s="10" t="str">
        <f>VLOOKUP(K232,Accounts!A:B,2,FALSE)</f>
        <v>KBank</v>
      </c>
      <c r="M232" t="s">
        <v>124</v>
      </c>
      <c r="N232" s="10"/>
      <c r="O232" t="s">
        <v>125</v>
      </c>
      <c r="Q232" t="s">
        <v>126</v>
      </c>
      <c r="R232" t="s">
        <v>124</v>
      </c>
      <c r="S232" t="b">
        <v>0</v>
      </c>
      <c r="T232" t="s">
        <v>124</v>
      </c>
    </row>
    <row r="233">
      <c r="A233" t="s">
        <v>637</v>
      </c>
      <c r="B233" t="s">
        <v>638</v>
      </c>
      <c r="C233" s="2">
        <v>2025</v>
      </c>
      <c r="D233" s="10">
        <v>9</v>
      </c>
      <c r="E233" s="10">
        <v>16</v>
      </c>
      <c r="F233" t="s">
        <v>639</v>
      </c>
      <c r="G233">
        <v>600</v>
      </c>
      <c r="H233" t="s">
        <v>206</v>
      </c>
      <c r="I233" t="s">
        <v>531</v>
      </c>
      <c r="J233" s="10" t="str">
        <f>VLOOKUP(I233,Categories!A:B,2,FALSE)</f>
        <v>Dividends</v>
      </c>
      <c r="K233" t="s">
        <v>123</v>
      </c>
      <c r="L233" s="10" t="str">
        <f>VLOOKUP(K233,Accounts!A:B,2,FALSE)</f>
        <v>KBank</v>
      </c>
      <c r="M233" t="s">
        <v>124</v>
      </c>
      <c r="N233" s="10"/>
      <c r="O233" t="s">
        <v>125</v>
      </c>
      <c r="Q233" t="s">
        <v>126</v>
      </c>
      <c r="R233" t="s">
        <v>124</v>
      </c>
      <c r="S233" t="b">
        <v>0</v>
      </c>
      <c r="T233" t="s">
        <v>124</v>
      </c>
    </row>
    <row r="234">
      <c r="A234" t="s">
        <v>640</v>
      </c>
      <c r="B234" t="s">
        <v>641</v>
      </c>
      <c r="C234" s="2">
        <v>2025</v>
      </c>
      <c r="D234" s="10">
        <v>9</v>
      </c>
      <c r="E234" s="10">
        <v>14</v>
      </c>
      <c r="F234" t="s">
        <v>121</v>
      </c>
      <c r="G234">
        <v>19000</v>
      </c>
      <c r="H234" t="s">
        <v>69</v>
      </c>
      <c r="I234" t="s">
        <v>134</v>
      </c>
      <c r="J234" s="10" t="str">
        <f>VLOOKUP(I234,Categories!A:B,2,FALSE)</f>
        <v>Hong</v>
      </c>
      <c r="K234" t="s">
        <v>123</v>
      </c>
      <c r="L234" s="10" t="str">
        <f>VLOOKUP(K234,Accounts!A:B,2,FALSE)</f>
        <v>KBank</v>
      </c>
      <c r="M234" t="s">
        <v>124</v>
      </c>
      <c r="N234" s="10"/>
      <c r="O234" t="s">
        <v>125</v>
      </c>
      <c r="Q234" t="s">
        <v>126</v>
      </c>
      <c r="R234" t="s">
        <v>124</v>
      </c>
      <c r="S234" t="b">
        <v>0</v>
      </c>
      <c r="T234" t="s">
        <v>124</v>
      </c>
    </row>
    <row r="235">
      <c r="A235" t="s">
        <v>642</v>
      </c>
      <c r="B235" t="s">
        <v>641</v>
      </c>
      <c r="C235" s="2">
        <v>2025</v>
      </c>
      <c r="D235" s="10">
        <v>9</v>
      </c>
      <c r="E235" s="10">
        <v>14</v>
      </c>
      <c r="F235" t="s">
        <v>643</v>
      </c>
      <c r="G235">
        <v>959</v>
      </c>
      <c r="H235" t="s">
        <v>69</v>
      </c>
      <c r="I235" t="s">
        <v>150</v>
      </c>
      <c r="J235" s="10" t="str">
        <f>VLOOKUP(I235,Categories!A:B,2,FALSE)</f>
        <v xml:space="preserve">Food &amp; Coff</v>
      </c>
      <c r="K235" t="s">
        <v>123</v>
      </c>
      <c r="L235" s="10" t="str">
        <f>VLOOKUP(K235,Accounts!A:B,2,FALSE)</f>
        <v>KBank</v>
      </c>
      <c r="M235" t="s">
        <v>124</v>
      </c>
      <c r="N235" s="10"/>
      <c r="O235" t="s">
        <v>125</v>
      </c>
      <c r="Q235" t="s">
        <v>126</v>
      </c>
      <c r="R235" t="s">
        <v>124</v>
      </c>
      <c r="S235" t="b">
        <v>0</v>
      </c>
      <c r="T235" t="s">
        <v>124</v>
      </c>
    </row>
    <row r="236">
      <c r="A236" t="s">
        <v>644</v>
      </c>
      <c r="B236" t="s">
        <v>641</v>
      </c>
      <c r="C236" s="2">
        <v>2025</v>
      </c>
      <c r="D236" s="10">
        <v>9</v>
      </c>
      <c r="E236" s="10">
        <v>14</v>
      </c>
      <c r="F236" t="s">
        <v>289</v>
      </c>
      <c r="G236">
        <v>3243</v>
      </c>
      <c r="H236" t="s">
        <v>128</v>
      </c>
      <c r="I236" t="s">
        <v>136</v>
      </c>
      <c r="J236" s="10" t="str">
        <f>VLOOKUP(I236,Categories!A:B,2,FALSE)</f>
        <v>อื่นๆ</v>
      </c>
      <c r="K236" t="s">
        <v>131</v>
      </c>
      <c r="L236" s="10" t="str">
        <f>VLOOKUP(K236,Accounts!A:B,2,FALSE)</f>
        <v xml:space="preserve">Advance Paid</v>
      </c>
      <c r="M236" t="s">
        <v>123</v>
      </c>
      <c r="N236" s="10" t="str">
        <f>VLOOKUP(M236,Accounts!A:B,2,FALSE)</f>
        <v>KBank</v>
      </c>
      <c r="O236" t="s">
        <v>125</v>
      </c>
      <c r="Q236" t="s">
        <v>126</v>
      </c>
      <c r="R236" t="s">
        <v>124</v>
      </c>
      <c r="S236" t="b">
        <v>0</v>
      </c>
      <c r="T236" t="s">
        <v>124</v>
      </c>
    </row>
    <row r="237">
      <c r="A237" t="s">
        <v>645</v>
      </c>
      <c r="B237" t="s">
        <v>646</v>
      </c>
      <c r="C237" s="2">
        <v>2025</v>
      </c>
      <c r="D237" s="10">
        <v>9</v>
      </c>
      <c r="E237" s="10">
        <v>13</v>
      </c>
      <c r="F237" t="s">
        <v>647</v>
      </c>
      <c r="G237">
        <v>7452</v>
      </c>
      <c r="H237" t="s">
        <v>69</v>
      </c>
      <c r="I237" t="s">
        <v>139</v>
      </c>
      <c r="J237" s="10" t="str">
        <f>VLOOKUP(I237,Categories!A:B,2,FALSE)</f>
        <v>Condo</v>
      </c>
      <c r="K237" t="s">
        <v>123</v>
      </c>
      <c r="L237" s="10" t="str">
        <f>VLOOKUP(K237,Accounts!A:B,2,FALSE)</f>
        <v>KBank</v>
      </c>
      <c r="M237" t="s">
        <v>124</v>
      </c>
      <c r="N237" s="10"/>
      <c r="O237" t="s">
        <v>125</v>
      </c>
      <c r="Q237" t="s">
        <v>126</v>
      </c>
      <c r="R237" t="s">
        <v>124</v>
      </c>
      <c r="S237" t="b">
        <v>0</v>
      </c>
      <c r="T237" t="s">
        <v>124</v>
      </c>
    </row>
    <row r="238">
      <c r="A238" t="s">
        <v>648</v>
      </c>
      <c r="B238" t="s">
        <v>63</v>
      </c>
      <c r="C238" s="2">
        <v>2025</v>
      </c>
      <c r="D238" s="10">
        <v>9</v>
      </c>
      <c r="E238" s="10">
        <v>12</v>
      </c>
      <c r="F238" t="s">
        <v>649</v>
      </c>
      <c r="G238">
        <v>100000</v>
      </c>
      <c r="H238" t="s">
        <v>128</v>
      </c>
      <c r="I238" t="s">
        <v>136</v>
      </c>
      <c r="J238" s="10" t="str">
        <f>VLOOKUP(I238,Categories!A:B,2,FALSE)</f>
        <v>อื่นๆ</v>
      </c>
      <c r="K238" t="s">
        <v>123</v>
      </c>
      <c r="L238" s="10" t="str">
        <f>VLOOKUP(K238,Accounts!A:B,2,FALSE)</f>
        <v>KBank</v>
      </c>
      <c r="M238" t="s">
        <v>215</v>
      </c>
      <c r="N238" s="10" t="str">
        <f>VLOOKUP(M238,Accounts!A:B,2,FALSE)</f>
        <v>Investment</v>
      </c>
      <c r="O238" t="s">
        <v>125</v>
      </c>
      <c r="Q238" t="s">
        <v>126</v>
      </c>
      <c r="R238" t="s">
        <v>124</v>
      </c>
      <c r="S238" t="b">
        <v>0</v>
      </c>
      <c r="T238" t="s">
        <v>124</v>
      </c>
    </row>
    <row r="239">
      <c r="A239" t="s">
        <v>650</v>
      </c>
      <c r="B239" t="s">
        <v>63</v>
      </c>
      <c r="C239" s="2">
        <v>2025</v>
      </c>
      <c r="D239" s="10">
        <v>9</v>
      </c>
      <c r="E239" s="10">
        <v>12</v>
      </c>
      <c r="F239" t="s">
        <v>651</v>
      </c>
      <c r="G239">
        <v>652</v>
      </c>
      <c r="H239" t="s">
        <v>69</v>
      </c>
      <c r="I239" t="s">
        <v>259</v>
      </c>
      <c r="J239" s="10" t="str">
        <f>VLOOKUP(I239,Categories!A:B,2,FALSE)</f>
        <v xml:space="preserve">Team BOT</v>
      </c>
      <c r="K239" t="s">
        <v>123</v>
      </c>
      <c r="L239" s="10" t="str">
        <f>VLOOKUP(K239,Accounts!A:B,2,FALSE)</f>
        <v>KBank</v>
      </c>
      <c r="M239" t="s">
        <v>124</v>
      </c>
      <c r="N239" s="10"/>
      <c r="O239" t="s">
        <v>652</v>
      </c>
      <c r="Q239" t="s">
        <v>126</v>
      </c>
      <c r="R239" t="s">
        <v>124</v>
      </c>
      <c r="S239" t="b">
        <v>0</v>
      </c>
      <c r="T239" t="s">
        <v>124</v>
      </c>
    </row>
    <row r="240">
      <c r="A240" t="s">
        <v>653</v>
      </c>
      <c r="B240" t="s">
        <v>63</v>
      </c>
      <c r="C240" s="2">
        <v>2025</v>
      </c>
      <c r="D240" s="10">
        <v>9</v>
      </c>
      <c r="E240" s="10">
        <v>12</v>
      </c>
      <c r="F240" t="s">
        <v>647</v>
      </c>
      <c r="G240">
        <v>80</v>
      </c>
      <c r="H240" t="s">
        <v>69</v>
      </c>
      <c r="I240" t="s">
        <v>614</v>
      </c>
      <c r="J240" s="10" t="str">
        <f>VLOOKUP(I240,Categories!A:B,2,FALSE)</f>
        <v>Books</v>
      </c>
      <c r="K240" t="s">
        <v>123</v>
      </c>
      <c r="L240" s="10" t="str">
        <f>VLOOKUP(K240,Accounts!A:B,2,FALSE)</f>
        <v>KBank</v>
      </c>
      <c r="M240" t="s">
        <v>124</v>
      </c>
      <c r="N240" s="10"/>
      <c r="O240" t="s">
        <v>125</v>
      </c>
      <c r="Q240" t="s">
        <v>126</v>
      </c>
      <c r="R240" t="s">
        <v>124</v>
      </c>
      <c r="S240" t="b">
        <v>0</v>
      </c>
      <c r="T240" t="s">
        <v>124</v>
      </c>
    </row>
    <row r="241">
      <c r="A241" t="s">
        <v>654</v>
      </c>
      <c r="B241" t="s">
        <v>655</v>
      </c>
      <c r="C241" s="2">
        <v>2025</v>
      </c>
      <c r="D241" s="10">
        <v>9</v>
      </c>
      <c r="E241" s="10">
        <v>11</v>
      </c>
      <c r="F241" t="s">
        <v>649</v>
      </c>
      <c r="G241">
        <v>10000</v>
      </c>
      <c r="H241" t="s">
        <v>128</v>
      </c>
      <c r="I241" t="s">
        <v>136</v>
      </c>
      <c r="J241" s="10" t="str">
        <f>VLOOKUP(I241,Categories!A:B,2,FALSE)</f>
        <v>อื่นๆ</v>
      </c>
      <c r="K241" t="s">
        <v>123</v>
      </c>
      <c r="L241" s="10" t="str">
        <f>VLOOKUP(K241,Accounts!A:B,2,FALSE)</f>
        <v>KBank</v>
      </c>
      <c r="M241" t="s">
        <v>137</v>
      </c>
      <c r="N241" s="10" t="str">
        <f>VLOOKUP(M241,Accounts!A:B,2,FALSE)</f>
        <v xml:space="preserve">Make Kbank</v>
      </c>
      <c r="O241" t="s">
        <v>125</v>
      </c>
      <c r="Q241" t="s">
        <v>126</v>
      </c>
      <c r="R241" t="s">
        <v>124</v>
      </c>
      <c r="S241" t="b">
        <v>0</v>
      </c>
      <c r="T241" t="s">
        <v>124</v>
      </c>
    </row>
    <row r="242">
      <c r="A242" t="s">
        <v>656</v>
      </c>
      <c r="B242" t="s">
        <v>657</v>
      </c>
      <c r="C242" s="2">
        <v>2025</v>
      </c>
      <c r="D242" s="10">
        <v>9</v>
      </c>
      <c r="E242" s="10">
        <v>6</v>
      </c>
      <c r="F242" t="s">
        <v>658</v>
      </c>
      <c r="G242">
        <v>329</v>
      </c>
      <c r="H242" t="s">
        <v>69</v>
      </c>
      <c r="I242" t="s">
        <v>122</v>
      </c>
      <c r="J242" s="10" t="str">
        <f>VLOOKUP(I242,Categories!A:B,2,FALSE)</f>
        <v>Other</v>
      </c>
      <c r="K242" t="s">
        <v>123</v>
      </c>
      <c r="L242" s="10" t="str">
        <f>VLOOKUP(K242,Accounts!A:B,2,FALSE)</f>
        <v>KBank</v>
      </c>
      <c r="M242" t="s">
        <v>124</v>
      </c>
      <c r="N242" s="10"/>
      <c r="O242" t="s">
        <v>125</v>
      </c>
      <c r="Q242" t="s">
        <v>126</v>
      </c>
      <c r="R242" t="s">
        <v>124</v>
      </c>
      <c r="S242" t="b">
        <v>0</v>
      </c>
      <c r="T242" t="s">
        <v>124</v>
      </c>
    </row>
    <row r="243">
      <c r="A243" t="s">
        <v>659</v>
      </c>
      <c r="B243" t="s">
        <v>657</v>
      </c>
      <c r="C243" s="2">
        <v>2025</v>
      </c>
      <c r="D243" s="10">
        <v>9</v>
      </c>
      <c r="E243" s="10">
        <v>6</v>
      </c>
      <c r="F243" t="s">
        <v>658</v>
      </c>
      <c r="G243">
        <v>125</v>
      </c>
      <c r="H243" t="s">
        <v>69</v>
      </c>
      <c r="I243" t="s">
        <v>150</v>
      </c>
      <c r="J243" s="10" t="str">
        <f>VLOOKUP(I243,Categories!A:B,2,FALSE)</f>
        <v xml:space="preserve">Food &amp; Coff</v>
      </c>
      <c r="K243" t="s">
        <v>123</v>
      </c>
      <c r="L243" s="10" t="str">
        <f>VLOOKUP(K243,Accounts!A:B,2,FALSE)</f>
        <v>KBank</v>
      </c>
      <c r="M243" t="s">
        <v>124</v>
      </c>
      <c r="N243" s="10"/>
      <c r="O243" t="s">
        <v>125</v>
      </c>
      <c r="Q243" t="s">
        <v>126</v>
      </c>
      <c r="R243" t="s">
        <v>124</v>
      </c>
      <c r="S243" t="b">
        <v>0</v>
      </c>
      <c r="T243" t="s">
        <v>124</v>
      </c>
    </row>
    <row r="244">
      <c r="A244" t="s">
        <v>660</v>
      </c>
      <c r="B244" t="s">
        <v>661</v>
      </c>
      <c r="C244" s="2">
        <v>2025</v>
      </c>
      <c r="D244" s="10">
        <v>9</v>
      </c>
      <c r="E244" s="10">
        <v>5</v>
      </c>
      <c r="F244" t="s">
        <v>662</v>
      </c>
      <c r="G244">
        <v>3243</v>
      </c>
      <c r="H244" t="s">
        <v>128</v>
      </c>
      <c r="I244" t="s">
        <v>136</v>
      </c>
      <c r="J244" s="10" t="str">
        <f>VLOOKUP(I244,Categories!A:B,2,FALSE)</f>
        <v>อื่นๆ</v>
      </c>
      <c r="K244" t="s">
        <v>123</v>
      </c>
      <c r="L244" s="10" t="str">
        <f>VLOOKUP(K244,Accounts!A:B,2,FALSE)</f>
        <v>KBank</v>
      </c>
      <c r="M244" t="s">
        <v>131</v>
      </c>
      <c r="N244" s="10" t="str">
        <f>VLOOKUP(M244,Accounts!A:B,2,FALSE)</f>
        <v xml:space="preserve">Advance Paid</v>
      </c>
      <c r="O244" t="s">
        <v>663</v>
      </c>
      <c r="Q244" t="s">
        <v>126</v>
      </c>
      <c r="R244" t="s">
        <v>124</v>
      </c>
      <c r="S244" t="b">
        <v>0</v>
      </c>
      <c r="T244" t="s">
        <v>124</v>
      </c>
    </row>
    <row r="245">
      <c r="A245" t="s">
        <v>664</v>
      </c>
      <c r="B245" t="s">
        <v>665</v>
      </c>
      <c r="C245" s="2">
        <v>2025</v>
      </c>
      <c r="D245" s="10">
        <v>8</v>
      </c>
      <c r="E245" s="10">
        <v>31</v>
      </c>
      <c r="F245" t="s">
        <v>280</v>
      </c>
      <c r="G245">
        <v>10000</v>
      </c>
      <c r="H245" t="s">
        <v>69</v>
      </c>
      <c r="I245" t="s">
        <v>144</v>
      </c>
      <c r="J245" s="10" t="str">
        <f>VLOOKUP(I245,Categories!A:B,2,FALSE)</f>
        <v xml:space="preserve">Family paid</v>
      </c>
      <c r="K245" t="s">
        <v>178</v>
      </c>
      <c r="L245" s="10" t="str">
        <f>VLOOKUP(K245,Accounts!A:B,2,FALSE)</f>
        <v>SCB</v>
      </c>
      <c r="M245" t="s">
        <v>124</v>
      </c>
      <c r="N245" s="10"/>
      <c r="O245" t="s">
        <v>125</v>
      </c>
      <c r="Q245" t="s">
        <v>126</v>
      </c>
      <c r="R245" t="s">
        <v>124</v>
      </c>
      <c r="S245" t="b">
        <v>0</v>
      </c>
      <c r="T245" t="s">
        <v>124</v>
      </c>
    </row>
    <row r="246">
      <c r="A246" t="s">
        <v>666</v>
      </c>
      <c r="B246" t="s">
        <v>665</v>
      </c>
      <c r="C246" s="2">
        <v>2025</v>
      </c>
      <c r="D246" s="10">
        <v>8</v>
      </c>
      <c r="E246" s="10">
        <v>31</v>
      </c>
      <c r="F246" t="s">
        <v>258</v>
      </c>
      <c r="G246">
        <v>3774.8800000000001</v>
      </c>
      <c r="H246" t="s">
        <v>69</v>
      </c>
      <c r="I246" t="s">
        <v>150</v>
      </c>
      <c r="J246" s="10" t="str">
        <f>VLOOKUP(I246,Categories!A:B,2,FALSE)</f>
        <v xml:space="preserve">Food &amp; Coff</v>
      </c>
      <c r="K246" t="s">
        <v>137</v>
      </c>
      <c r="L246" s="10" t="str">
        <f>VLOOKUP(K246,Accounts!A:B,2,FALSE)</f>
        <v xml:space="preserve">Make Kbank</v>
      </c>
      <c r="M246" t="s">
        <v>124</v>
      </c>
      <c r="N246" s="10"/>
      <c r="O246" t="s">
        <v>125</v>
      </c>
      <c r="Q246" t="s">
        <v>126</v>
      </c>
      <c r="R246" t="s">
        <v>124</v>
      </c>
      <c r="S246" t="b">
        <v>0</v>
      </c>
      <c r="T246" t="s">
        <v>124</v>
      </c>
    </row>
    <row r="247">
      <c r="A247" t="s">
        <v>667</v>
      </c>
      <c r="B247" t="s">
        <v>665</v>
      </c>
      <c r="C247" s="2">
        <v>2025</v>
      </c>
      <c r="D247" s="10">
        <v>8</v>
      </c>
      <c r="E247" s="10">
        <v>31</v>
      </c>
      <c r="F247" t="s">
        <v>668</v>
      </c>
      <c r="G247">
        <v>10000</v>
      </c>
      <c r="H247" t="s">
        <v>128</v>
      </c>
      <c r="I247" t="s">
        <v>136</v>
      </c>
      <c r="J247" s="10" t="str">
        <f>VLOOKUP(I247,Categories!A:B,2,FALSE)</f>
        <v>อื่นๆ</v>
      </c>
      <c r="K247" t="s">
        <v>123</v>
      </c>
      <c r="L247" s="10" t="str">
        <f>VLOOKUP(K247,Accounts!A:B,2,FALSE)</f>
        <v>KBank</v>
      </c>
      <c r="M247" t="s">
        <v>178</v>
      </c>
      <c r="N247" s="10" t="str">
        <f>VLOOKUP(M247,Accounts!A:B,2,FALSE)</f>
        <v>SCB</v>
      </c>
      <c r="O247" t="s">
        <v>125</v>
      </c>
      <c r="Q247" t="s">
        <v>126</v>
      </c>
      <c r="R247" t="s">
        <v>124</v>
      </c>
      <c r="S247" t="b">
        <v>0</v>
      </c>
      <c r="T247" t="s">
        <v>124</v>
      </c>
    </row>
    <row r="248">
      <c r="A248" t="s">
        <v>669</v>
      </c>
      <c r="B248" t="s">
        <v>670</v>
      </c>
      <c r="C248" s="2">
        <v>2025</v>
      </c>
      <c r="D248" s="10">
        <v>8</v>
      </c>
      <c r="E248" s="10">
        <v>27</v>
      </c>
      <c r="F248" t="s">
        <v>671</v>
      </c>
      <c r="G248">
        <v>1210</v>
      </c>
      <c r="H248" t="s">
        <v>69</v>
      </c>
      <c r="I248" t="s">
        <v>259</v>
      </c>
      <c r="J248" s="10" t="str">
        <f>VLOOKUP(I248,Categories!A:B,2,FALSE)</f>
        <v xml:space="preserve">Team BOT</v>
      </c>
      <c r="K248" t="s">
        <v>123</v>
      </c>
      <c r="L248" s="10" t="str">
        <f>VLOOKUP(K248,Accounts!A:B,2,FALSE)</f>
        <v>KBank</v>
      </c>
      <c r="M248" t="s">
        <v>124</v>
      </c>
      <c r="N248" s="10"/>
      <c r="O248" t="s">
        <v>672</v>
      </c>
      <c r="Q248" t="s">
        <v>126</v>
      </c>
      <c r="R248" t="s">
        <v>124</v>
      </c>
      <c r="S248" t="b">
        <v>0</v>
      </c>
      <c r="T248" t="s">
        <v>124</v>
      </c>
    </row>
    <row r="249">
      <c r="A249" t="s">
        <v>673</v>
      </c>
      <c r="B249" t="s">
        <v>674</v>
      </c>
      <c r="C249" s="2">
        <v>2025</v>
      </c>
      <c r="D249" s="10">
        <v>8</v>
      </c>
      <c r="E249" s="10">
        <v>26</v>
      </c>
      <c r="F249" t="s">
        <v>675</v>
      </c>
      <c r="G249">
        <v>70</v>
      </c>
      <c r="H249" t="s">
        <v>69</v>
      </c>
      <c r="I249" t="s">
        <v>150</v>
      </c>
      <c r="J249" s="10" t="str">
        <f>VLOOKUP(I249,Categories!A:B,2,FALSE)</f>
        <v xml:space="preserve">Food &amp; Coff</v>
      </c>
      <c r="K249" t="s">
        <v>123</v>
      </c>
      <c r="L249" s="10" t="str">
        <f>VLOOKUP(K249,Accounts!A:B,2,FALSE)</f>
        <v>KBank</v>
      </c>
      <c r="M249" t="s">
        <v>124</v>
      </c>
      <c r="N249" s="10"/>
      <c r="O249" t="s">
        <v>125</v>
      </c>
      <c r="Q249" t="s">
        <v>126</v>
      </c>
      <c r="R249" t="s">
        <v>124</v>
      </c>
      <c r="S249" t="b">
        <v>0</v>
      </c>
      <c r="T249" t="s">
        <v>124</v>
      </c>
    </row>
    <row r="250">
      <c r="A250" t="s">
        <v>676</v>
      </c>
      <c r="B250" t="s">
        <v>677</v>
      </c>
      <c r="C250" s="2">
        <v>2025</v>
      </c>
      <c r="D250" s="10">
        <v>8</v>
      </c>
      <c r="E250" s="10">
        <v>25</v>
      </c>
      <c r="F250" t="s">
        <v>121</v>
      </c>
      <c r="G250">
        <v>4500.6800000000003</v>
      </c>
      <c r="H250" t="s">
        <v>69</v>
      </c>
      <c r="I250" t="s">
        <v>195</v>
      </c>
      <c r="J250" s="10" t="str">
        <f>VLOOKUP(I250,Categories!A:B,2,FALSE)</f>
        <v>Tax</v>
      </c>
      <c r="K250" t="s">
        <v>123</v>
      </c>
      <c r="L250" s="10" t="str">
        <f>VLOOKUP(K250,Accounts!A:B,2,FALSE)</f>
        <v>KBank</v>
      </c>
      <c r="M250" t="s">
        <v>124</v>
      </c>
      <c r="N250" s="10"/>
      <c r="O250" t="s">
        <v>125</v>
      </c>
      <c r="Q250" t="s">
        <v>126</v>
      </c>
      <c r="R250" t="s">
        <v>124</v>
      </c>
      <c r="S250" t="b">
        <v>0</v>
      </c>
      <c r="T250" t="s">
        <v>124</v>
      </c>
    </row>
    <row r="251">
      <c r="A251" t="s">
        <v>678</v>
      </c>
      <c r="B251" t="s">
        <v>677</v>
      </c>
      <c r="C251" s="2">
        <v>2025</v>
      </c>
      <c r="D251" s="10">
        <v>8</v>
      </c>
      <c r="E251" s="10">
        <v>25</v>
      </c>
      <c r="F251" t="s">
        <v>121</v>
      </c>
      <c r="G251">
        <v>3025</v>
      </c>
      <c r="H251" t="s">
        <v>128</v>
      </c>
      <c r="I251" t="s">
        <v>136</v>
      </c>
      <c r="J251" s="10" t="str">
        <f>VLOOKUP(I251,Categories!A:B,2,FALSE)</f>
        <v>อื่นๆ</v>
      </c>
      <c r="K251" t="s">
        <v>123</v>
      </c>
      <c r="L251" s="10" t="str">
        <f>VLOOKUP(K251,Accounts!A:B,2,FALSE)</f>
        <v>KBank</v>
      </c>
      <c r="M251" t="s">
        <v>203</v>
      </c>
      <c r="N251" s="10" t="str">
        <f>VLOOKUP(M251,Accounts!A:B,2,FALSE)</f>
        <v xml:space="preserve">Provident Fund</v>
      </c>
      <c r="O251" t="s">
        <v>125</v>
      </c>
      <c r="Q251" t="s">
        <v>126</v>
      </c>
      <c r="R251" t="s">
        <v>124</v>
      </c>
      <c r="S251" t="b">
        <v>0</v>
      </c>
      <c r="T251" t="s">
        <v>124</v>
      </c>
    </row>
    <row r="252">
      <c r="A252" t="s">
        <v>679</v>
      </c>
      <c r="B252" t="s">
        <v>677</v>
      </c>
      <c r="C252" s="2">
        <v>2025</v>
      </c>
      <c r="D252" s="10">
        <v>8</v>
      </c>
      <c r="E252" s="10">
        <v>25</v>
      </c>
      <c r="F252" t="s">
        <v>121</v>
      </c>
      <c r="G252">
        <v>2901.27</v>
      </c>
      <c r="H252" t="s">
        <v>69</v>
      </c>
      <c r="I252" t="s">
        <v>199</v>
      </c>
      <c r="J252" s="10" t="str">
        <f>VLOOKUP(I252,Categories!A:B,2,FALSE)</f>
        <v xml:space="preserve">Home Chomthong Interest</v>
      </c>
      <c r="K252" t="s">
        <v>123</v>
      </c>
      <c r="L252" s="10" t="str">
        <f>VLOOKUP(K252,Accounts!A:B,2,FALSE)</f>
        <v>KBank</v>
      </c>
      <c r="M252" t="s">
        <v>124</v>
      </c>
      <c r="N252" s="10"/>
      <c r="O252" t="s">
        <v>125</v>
      </c>
      <c r="Q252" t="s">
        <v>126</v>
      </c>
      <c r="R252" t="s">
        <v>124</v>
      </c>
      <c r="S252" t="b">
        <v>0</v>
      </c>
      <c r="T252" t="s">
        <v>124</v>
      </c>
    </row>
    <row r="253">
      <c r="A253" t="s">
        <v>680</v>
      </c>
      <c r="B253" t="s">
        <v>677</v>
      </c>
      <c r="C253" s="2">
        <v>2025</v>
      </c>
      <c r="D253" s="10">
        <v>8</v>
      </c>
      <c r="E253" s="10">
        <v>25</v>
      </c>
      <c r="F253" t="s">
        <v>121</v>
      </c>
      <c r="G253">
        <v>88.980000000000004</v>
      </c>
      <c r="H253" t="s">
        <v>69</v>
      </c>
      <c r="I253" t="s">
        <v>443</v>
      </c>
      <c r="J253" s="10" t="str">
        <f>VLOOKUP(I253,Categories!A:B,2,FALSE)</f>
        <v xml:space="preserve">City SV Interest</v>
      </c>
      <c r="K253" t="s">
        <v>123</v>
      </c>
      <c r="L253" s="10" t="str">
        <f>VLOOKUP(K253,Accounts!A:B,2,FALSE)</f>
        <v>KBank</v>
      </c>
      <c r="M253" t="s">
        <v>124</v>
      </c>
      <c r="N253" s="10"/>
      <c r="O253" t="s">
        <v>125</v>
      </c>
      <c r="Q253" t="s">
        <v>126</v>
      </c>
      <c r="R253" t="s">
        <v>124</v>
      </c>
      <c r="S253" t="b">
        <v>0</v>
      </c>
      <c r="T253" t="s">
        <v>124</v>
      </c>
    </row>
    <row r="254">
      <c r="A254" t="s">
        <v>681</v>
      </c>
      <c r="B254" t="s">
        <v>677</v>
      </c>
      <c r="C254" s="2">
        <v>2025</v>
      </c>
      <c r="D254" s="10">
        <v>8</v>
      </c>
      <c r="E254" s="10">
        <v>25</v>
      </c>
      <c r="F254" t="s">
        <v>121</v>
      </c>
      <c r="G254">
        <v>500</v>
      </c>
      <c r="H254" t="s">
        <v>128</v>
      </c>
      <c r="I254" t="s">
        <v>136</v>
      </c>
      <c r="J254" s="10" t="str">
        <f>VLOOKUP(I254,Categories!A:B,2,FALSE)</f>
        <v>อื่นๆ</v>
      </c>
      <c r="K254" t="s">
        <v>123</v>
      </c>
      <c r="L254" s="10" t="str">
        <f>VLOOKUP(K254,Accounts!A:B,2,FALSE)</f>
        <v>KBank</v>
      </c>
      <c r="M254" t="s">
        <v>201</v>
      </c>
      <c r="N254" s="10" t="str">
        <f>VLOOKUP(M254,Accounts!A:B,2,FALSE)</f>
        <v>Coop</v>
      </c>
      <c r="O254" t="s">
        <v>125</v>
      </c>
      <c r="Q254" t="s">
        <v>126</v>
      </c>
      <c r="R254" t="s">
        <v>124</v>
      </c>
      <c r="S254" t="b">
        <v>0</v>
      </c>
      <c r="T254" t="s">
        <v>124</v>
      </c>
    </row>
    <row r="255">
      <c r="A255" t="s">
        <v>682</v>
      </c>
      <c r="B255" t="s">
        <v>677</v>
      </c>
      <c r="C255" s="2">
        <v>2025</v>
      </c>
      <c r="D255" s="10">
        <v>8</v>
      </c>
      <c r="E255" s="10">
        <v>25</v>
      </c>
      <c r="F255" t="s">
        <v>121</v>
      </c>
      <c r="G255">
        <v>9240</v>
      </c>
      <c r="H255" t="s">
        <v>69</v>
      </c>
      <c r="I255" t="s">
        <v>446</v>
      </c>
      <c r="J255" s="10" t="str">
        <f>VLOOKUP(I255,Categories!A:B,2,FALSE)</f>
        <v xml:space="preserve">Intial city</v>
      </c>
      <c r="K255" t="s">
        <v>123</v>
      </c>
      <c r="L255" s="10" t="str">
        <f>VLOOKUP(K255,Accounts!A:B,2,FALSE)</f>
        <v>KBank</v>
      </c>
      <c r="M255" t="s">
        <v>124</v>
      </c>
      <c r="N255" s="10"/>
      <c r="O255" t="s">
        <v>125</v>
      </c>
      <c r="Q255" t="s">
        <v>126</v>
      </c>
      <c r="R255" t="s">
        <v>124</v>
      </c>
      <c r="S255" t="b">
        <v>0</v>
      </c>
      <c r="T255" t="s">
        <v>124</v>
      </c>
    </row>
    <row r="256">
      <c r="A256" t="s">
        <v>683</v>
      </c>
      <c r="B256" t="s">
        <v>677</v>
      </c>
      <c r="C256" s="2">
        <v>2025</v>
      </c>
      <c r="D256" s="10">
        <v>8</v>
      </c>
      <c r="E256" s="10">
        <v>25</v>
      </c>
      <c r="F256" t="s">
        <v>121</v>
      </c>
      <c r="G256">
        <v>9165</v>
      </c>
      <c r="H256" t="s">
        <v>69</v>
      </c>
      <c r="I256" t="s">
        <v>197</v>
      </c>
      <c r="J256" s="10" t="str">
        <f>VLOOKUP(I256,Categories!A:B,2,FALSE)</f>
        <v xml:space="preserve">Initial Home loan</v>
      </c>
      <c r="K256" t="s">
        <v>123</v>
      </c>
      <c r="L256" s="10" t="str">
        <f>VLOOKUP(K256,Accounts!A:B,2,FALSE)</f>
        <v>KBank</v>
      </c>
      <c r="M256" t="s">
        <v>124</v>
      </c>
      <c r="N256" s="10"/>
      <c r="O256" t="s">
        <v>125</v>
      </c>
      <c r="Q256" t="s">
        <v>126</v>
      </c>
      <c r="R256" t="s">
        <v>124</v>
      </c>
      <c r="S256" t="b">
        <v>0</v>
      </c>
      <c r="T256" t="s">
        <v>124</v>
      </c>
    </row>
    <row r="257">
      <c r="A257" t="s">
        <v>684</v>
      </c>
      <c r="B257" t="s">
        <v>677</v>
      </c>
      <c r="C257" s="2">
        <v>2025</v>
      </c>
      <c r="D257" s="10">
        <v>8</v>
      </c>
      <c r="E257" s="10">
        <v>25</v>
      </c>
      <c r="F257" t="s">
        <v>121</v>
      </c>
      <c r="G257">
        <v>151260</v>
      </c>
      <c r="H257" t="s">
        <v>206</v>
      </c>
      <c r="I257" t="s">
        <v>207</v>
      </c>
      <c r="J257" s="10" t="str">
        <f>VLOOKUP(I257,Categories!A:B,2,FALSE)</f>
        <v>Salary</v>
      </c>
      <c r="K257" t="s">
        <v>123</v>
      </c>
      <c r="L257" s="10" t="str">
        <f>VLOOKUP(K257,Accounts!A:B,2,FALSE)</f>
        <v>KBank</v>
      </c>
      <c r="M257" t="s">
        <v>124</v>
      </c>
      <c r="N257" s="10"/>
      <c r="O257" t="s">
        <v>125</v>
      </c>
      <c r="Q257" t="s">
        <v>126</v>
      </c>
      <c r="R257" t="s">
        <v>124</v>
      </c>
      <c r="S257" t="b">
        <v>0</v>
      </c>
      <c r="T257" t="s">
        <v>124</v>
      </c>
    </row>
    <row r="258">
      <c r="A258" t="s">
        <v>685</v>
      </c>
      <c r="B258" t="s">
        <v>677</v>
      </c>
      <c r="C258" s="2">
        <v>2025</v>
      </c>
      <c r="D258" s="10">
        <v>8</v>
      </c>
      <c r="E258" s="10">
        <v>25</v>
      </c>
      <c r="F258" t="s">
        <v>686</v>
      </c>
      <c r="G258">
        <v>25</v>
      </c>
      <c r="H258" t="s">
        <v>69</v>
      </c>
      <c r="I258" t="s">
        <v>122</v>
      </c>
      <c r="J258" s="10" t="str">
        <f>VLOOKUP(I258,Categories!A:B,2,FALSE)</f>
        <v>Other</v>
      </c>
      <c r="K258" t="s">
        <v>123</v>
      </c>
      <c r="L258" s="10" t="str">
        <f>VLOOKUP(K258,Accounts!A:B,2,FALSE)</f>
        <v>KBank</v>
      </c>
      <c r="M258" t="s">
        <v>124</v>
      </c>
      <c r="N258" s="10"/>
      <c r="O258" t="s">
        <v>125</v>
      </c>
      <c r="Q258" t="s">
        <v>126</v>
      </c>
      <c r="R258" t="s">
        <v>124</v>
      </c>
      <c r="S258" t="b">
        <v>0</v>
      </c>
      <c r="T258" t="s">
        <v>124</v>
      </c>
    </row>
    <row r="259">
      <c r="A259" t="s">
        <v>687</v>
      </c>
      <c r="B259" t="s">
        <v>688</v>
      </c>
      <c r="C259" s="2">
        <v>2025</v>
      </c>
      <c r="D259" s="10">
        <v>8</v>
      </c>
      <c r="E259" s="10">
        <v>24</v>
      </c>
      <c r="F259" t="s">
        <v>689</v>
      </c>
      <c r="G259">
        <v>73</v>
      </c>
      <c r="H259" t="s">
        <v>69</v>
      </c>
      <c r="I259" t="s">
        <v>150</v>
      </c>
      <c r="J259" s="10" t="str">
        <f>VLOOKUP(I259,Categories!A:B,2,FALSE)</f>
        <v xml:space="preserve">Food &amp; Coff</v>
      </c>
      <c r="K259" t="s">
        <v>123</v>
      </c>
      <c r="L259" s="10" t="str">
        <f>VLOOKUP(K259,Accounts!A:B,2,FALSE)</f>
        <v>KBank</v>
      </c>
      <c r="M259" t="s">
        <v>124</v>
      </c>
      <c r="N259" s="10"/>
      <c r="O259" t="s">
        <v>125</v>
      </c>
      <c r="Q259" t="s">
        <v>126</v>
      </c>
      <c r="R259" t="s">
        <v>124</v>
      </c>
      <c r="S259" t="b">
        <v>0</v>
      </c>
      <c r="T259" t="s">
        <v>124</v>
      </c>
    </row>
    <row r="260">
      <c r="A260" t="s">
        <v>690</v>
      </c>
      <c r="B260" t="s">
        <v>688</v>
      </c>
      <c r="C260" s="2">
        <v>2025</v>
      </c>
      <c r="D260" s="10">
        <v>8</v>
      </c>
      <c r="E260" s="10">
        <v>24</v>
      </c>
      <c r="F260" t="s">
        <v>691</v>
      </c>
      <c r="G260">
        <v>15914</v>
      </c>
      <c r="H260" t="s">
        <v>128</v>
      </c>
      <c r="I260" t="s">
        <v>136</v>
      </c>
      <c r="J260" s="10" t="str">
        <f>VLOOKUP(I260,Categories!A:B,2,FALSE)</f>
        <v>อื่นๆ</v>
      </c>
      <c r="K260" t="s">
        <v>123</v>
      </c>
      <c r="L260" s="10" t="str">
        <f>VLOOKUP(K260,Accounts!A:B,2,FALSE)</f>
        <v>KBank</v>
      </c>
      <c r="M260" t="s">
        <v>131</v>
      </c>
      <c r="N260" s="10" t="str">
        <f>VLOOKUP(M260,Accounts!A:B,2,FALSE)</f>
        <v xml:space="preserve">Advance Paid</v>
      </c>
      <c r="O260" t="s">
        <v>125</v>
      </c>
      <c r="Q260" t="s">
        <v>126</v>
      </c>
      <c r="R260" t="s">
        <v>124</v>
      </c>
      <c r="S260" t="b">
        <v>0</v>
      </c>
      <c r="T260" t="s">
        <v>124</v>
      </c>
    </row>
    <row r="261">
      <c r="A261" t="s">
        <v>692</v>
      </c>
      <c r="B261" t="s">
        <v>688</v>
      </c>
      <c r="C261" s="2">
        <v>2025</v>
      </c>
      <c r="D261" s="10">
        <v>8</v>
      </c>
      <c r="E261" s="10">
        <v>24</v>
      </c>
      <c r="F261" t="s">
        <v>693</v>
      </c>
      <c r="G261">
        <v>1100</v>
      </c>
      <c r="H261" t="s">
        <v>69</v>
      </c>
      <c r="I261" t="s">
        <v>150</v>
      </c>
      <c r="J261" s="10" t="str">
        <f>VLOOKUP(I261,Categories!A:B,2,FALSE)</f>
        <v xml:space="preserve">Food &amp; Coff</v>
      </c>
      <c r="K261" t="s">
        <v>123</v>
      </c>
      <c r="L261" s="10" t="str">
        <f>VLOOKUP(K261,Accounts!A:B,2,FALSE)</f>
        <v>KBank</v>
      </c>
      <c r="M261" t="s">
        <v>124</v>
      </c>
      <c r="N261" s="10"/>
      <c r="O261" t="s">
        <v>694</v>
      </c>
      <c r="Q261" t="s">
        <v>126</v>
      </c>
      <c r="R261" t="s">
        <v>124</v>
      </c>
      <c r="S261" t="b">
        <v>0</v>
      </c>
      <c r="T261" t="s">
        <v>124</v>
      </c>
    </row>
    <row r="262">
      <c r="A262" t="s">
        <v>695</v>
      </c>
      <c r="B262" t="s">
        <v>688</v>
      </c>
      <c r="C262" s="2">
        <v>2025</v>
      </c>
      <c r="D262" s="10">
        <v>8</v>
      </c>
      <c r="E262" s="10">
        <v>24</v>
      </c>
      <c r="F262" t="s">
        <v>696</v>
      </c>
      <c r="G262">
        <v>1075</v>
      </c>
      <c r="H262" t="s">
        <v>128</v>
      </c>
      <c r="I262" t="s">
        <v>136</v>
      </c>
      <c r="J262" s="10" t="str">
        <f>VLOOKUP(I262,Categories!A:B,2,FALSE)</f>
        <v>อื่นๆ</v>
      </c>
      <c r="K262" t="s">
        <v>131</v>
      </c>
      <c r="L262" s="10" t="str">
        <f>VLOOKUP(K262,Accounts!A:B,2,FALSE)</f>
        <v xml:space="preserve">Advance Paid</v>
      </c>
      <c r="M262" t="s">
        <v>123</v>
      </c>
      <c r="N262" s="10" t="str">
        <f>VLOOKUP(M262,Accounts!A:B,2,FALSE)</f>
        <v>KBank</v>
      </c>
      <c r="O262" t="s">
        <v>125</v>
      </c>
      <c r="Q262" t="s">
        <v>126</v>
      </c>
      <c r="R262" t="s">
        <v>124</v>
      </c>
      <c r="S262" t="b">
        <v>0</v>
      </c>
      <c r="T262" t="s">
        <v>124</v>
      </c>
    </row>
    <row r="263">
      <c r="A263" t="s">
        <v>697</v>
      </c>
      <c r="B263" t="s">
        <v>688</v>
      </c>
      <c r="C263" s="2">
        <v>2025</v>
      </c>
      <c r="D263" s="10">
        <v>8</v>
      </c>
      <c r="E263" s="10">
        <v>24</v>
      </c>
      <c r="F263" t="s">
        <v>698</v>
      </c>
      <c r="G263">
        <v>5457</v>
      </c>
      <c r="H263" t="s">
        <v>128</v>
      </c>
      <c r="I263" t="s">
        <v>136</v>
      </c>
      <c r="J263" s="10" t="str">
        <f>VLOOKUP(I263,Categories!A:B,2,FALSE)</f>
        <v>อื่นๆ</v>
      </c>
      <c r="K263" t="s">
        <v>123</v>
      </c>
      <c r="L263" s="10" t="str">
        <f>VLOOKUP(K263,Accounts!A:B,2,FALSE)</f>
        <v>KBank</v>
      </c>
      <c r="M263" t="s">
        <v>131</v>
      </c>
      <c r="N263" s="10" t="str">
        <f>VLOOKUP(M263,Accounts!A:B,2,FALSE)</f>
        <v xml:space="preserve">Advance Paid</v>
      </c>
      <c r="O263" t="s">
        <v>699</v>
      </c>
      <c r="Q263" t="s">
        <v>126</v>
      </c>
      <c r="R263" t="s">
        <v>124</v>
      </c>
      <c r="S263" t="b">
        <v>0</v>
      </c>
      <c r="T263" t="s">
        <v>124</v>
      </c>
    </row>
    <row r="264">
      <c r="A264" t="s">
        <v>700</v>
      </c>
      <c r="B264" t="s">
        <v>688</v>
      </c>
      <c r="C264" s="2">
        <v>2025</v>
      </c>
      <c r="D264" s="10">
        <v>8</v>
      </c>
      <c r="E264" s="10">
        <v>24</v>
      </c>
      <c r="F264" t="s">
        <v>701</v>
      </c>
      <c r="G264">
        <v>1760</v>
      </c>
      <c r="H264" t="s">
        <v>128</v>
      </c>
      <c r="I264" t="s">
        <v>136</v>
      </c>
      <c r="J264" s="10" t="str">
        <f>VLOOKUP(I264,Categories!A:B,2,FALSE)</f>
        <v>อื่นๆ</v>
      </c>
      <c r="K264" t="s">
        <v>123</v>
      </c>
      <c r="L264" s="10" t="str">
        <f>VLOOKUP(K264,Accounts!A:B,2,FALSE)</f>
        <v>KBank</v>
      </c>
      <c r="M264" t="s">
        <v>131</v>
      </c>
      <c r="N264" s="10" t="str">
        <f>VLOOKUP(M264,Accounts!A:B,2,FALSE)</f>
        <v xml:space="preserve">Advance Paid</v>
      </c>
      <c r="O264" t="s">
        <v>702</v>
      </c>
      <c r="Q264" t="s">
        <v>126</v>
      </c>
      <c r="R264" t="s">
        <v>124</v>
      </c>
      <c r="S264" t="b">
        <v>0</v>
      </c>
      <c r="T264" t="s">
        <v>124</v>
      </c>
    </row>
    <row r="265">
      <c r="A265" t="s">
        <v>703</v>
      </c>
      <c r="B265" t="s">
        <v>704</v>
      </c>
      <c r="C265" s="2">
        <v>2025</v>
      </c>
      <c r="D265" s="10">
        <v>8</v>
      </c>
      <c r="E265" s="10">
        <v>21</v>
      </c>
      <c r="F265" t="s">
        <v>705</v>
      </c>
      <c r="G265">
        <v>1000</v>
      </c>
      <c r="H265" t="s">
        <v>206</v>
      </c>
      <c r="I265" t="s">
        <v>281</v>
      </c>
      <c r="J265" s="10" t="str">
        <f>VLOOKUP(I265,Categories!A:B,2,FALSE)</f>
        <v>Others</v>
      </c>
      <c r="K265" t="s">
        <v>123</v>
      </c>
      <c r="L265" s="10" t="str">
        <f>VLOOKUP(K265,Accounts!A:B,2,FALSE)</f>
        <v>KBank</v>
      </c>
      <c r="M265" t="s">
        <v>124</v>
      </c>
      <c r="N265" s="10"/>
      <c r="O265" t="s">
        <v>125</v>
      </c>
      <c r="Q265" t="s">
        <v>126</v>
      </c>
      <c r="R265" t="s">
        <v>124</v>
      </c>
      <c r="S265" t="b">
        <v>0</v>
      </c>
      <c r="T265" t="s">
        <v>124</v>
      </c>
    </row>
    <row r="266">
      <c r="A266" t="s">
        <v>706</v>
      </c>
      <c r="B266" t="s">
        <v>704</v>
      </c>
      <c r="C266" s="2">
        <v>2025</v>
      </c>
      <c r="D266" s="10">
        <v>8</v>
      </c>
      <c r="E266" s="10">
        <v>21</v>
      </c>
      <c r="F266" t="s">
        <v>693</v>
      </c>
      <c r="G266">
        <v>790</v>
      </c>
      <c r="H266" t="s">
        <v>69</v>
      </c>
      <c r="I266" t="s">
        <v>150</v>
      </c>
      <c r="J266" s="10" t="str">
        <f>VLOOKUP(I266,Categories!A:B,2,FALSE)</f>
        <v xml:space="preserve">Food &amp; Coff</v>
      </c>
      <c r="K266" t="s">
        <v>123</v>
      </c>
      <c r="L266" s="10" t="str">
        <f>VLOOKUP(K266,Accounts!A:B,2,FALSE)</f>
        <v>KBank</v>
      </c>
      <c r="M266" t="s">
        <v>124</v>
      </c>
      <c r="N266" s="10"/>
      <c r="O266" t="s">
        <v>707</v>
      </c>
      <c r="Q266" t="s">
        <v>126</v>
      </c>
      <c r="R266" t="s">
        <v>124</v>
      </c>
      <c r="S266" t="b">
        <v>0</v>
      </c>
      <c r="T266" t="s">
        <v>124</v>
      </c>
    </row>
    <row r="267">
      <c r="A267" t="s">
        <v>708</v>
      </c>
      <c r="B267" t="s">
        <v>709</v>
      </c>
      <c r="C267" s="2">
        <v>2025</v>
      </c>
      <c r="D267" s="10">
        <v>8</v>
      </c>
      <c r="E267" s="10">
        <v>20</v>
      </c>
      <c r="F267" t="s">
        <v>705</v>
      </c>
      <c r="G267">
        <v>300</v>
      </c>
      <c r="H267" t="s">
        <v>128</v>
      </c>
      <c r="I267" t="s">
        <v>136</v>
      </c>
      <c r="J267" s="10" t="str">
        <f>VLOOKUP(I267,Categories!A:B,2,FALSE)</f>
        <v>อื่นๆ</v>
      </c>
      <c r="K267" t="s">
        <v>123</v>
      </c>
      <c r="L267" s="10" t="str">
        <f>VLOOKUP(K267,Accounts!A:B,2,FALSE)</f>
        <v>KBank</v>
      </c>
      <c r="M267" t="s">
        <v>710</v>
      </c>
      <c r="N267" s="10" t="str">
        <f>VLOOKUP(M267,Accounts!A:B,2,FALSE)</f>
        <v xml:space="preserve">Line Pay</v>
      </c>
      <c r="O267" t="s">
        <v>125</v>
      </c>
      <c r="Q267" t="s">
        <v>126</v>
      </c>
      <c r="R267" t="s">
        <v>124</v>
      </c>
      <c r="S267" t="b">
        <v>0</v>
      </c>
      <c r="T267" t="s">
        <v>124</v>
      </c>
    </row>
    <row r="268">
      <c r="A268" t="s">
        <v>711</v>
      </c>
      <c r="B268" t="s">
        <v>712</v>
      </c>
      <c r="C268" s="2">
        <v>2025</v>
      </c>
      <c r="D268" s="10">
        <v>8</v>
      </c>
      <c r="E268" s="10">
        <v>18</v>
      </c>
      <c r="F268" t="s">
        <v>713</v>
      </c>
      <c r="G268">
        <v>550</v>
      </c>
      <c r="H268" t="s">
        <v>69</v>
      </c>
      <c r="I268" t="s">
        <v>150</v>
      </c>
      <c r="J268" s="10" t="str">
        <f>VLOOKUP(I268,Categories!A:B,2,FALSE)</f>
        <v xml:space="preserve">Food &amp; Coff</v>
      </c>
      <c r="K268" t="s">
        <v>123</v>
      </c>
      <c r="L268" s="10" t="str">
        <f>VLOOKUP(K268,Accounts!A:B,2,FALSE)</f>
        <v>KBank</v>
      </c>
      <c r="M268" t="s">
        <v>124</v>
      </c>
      <c r="N268" s="10"/>
      <c r="O268" t="s">
        <v>714</v>
      </c>
      <c r="Q268" t="s">
        <v>126</v>
      </c>
      <c r="R268" t="s">
        <v>124</v>
      </c>
      <c r="S268" t="b">
        <v>0</v>
      </c>
      <c r="T268" t="s">
        <v>124</v>
      </c>
    </row>
    <row r="269">
      <c r="A269" t="s">
        <v>715</v>
      </c>
      <c r="B269" t="s">
        <v>712</v>
      </c>
      <c r="C269" s="2">
        <v>2025</v>
      </c>
      <c r="D269" s="10">
        <v>8</v>
      </c>
      <c r="E269" s="10">
        <v>18</v>
      </c>
      <c r="F269" t="s">
        <v>705</v>
      </c>
      <c r="G269">
        <v>40</v>
      </c>
      <c r="H269" t="s">
        <v>69</v>
      </c>
      <c r="I269" t="s">
        <v>150</v>
      </c>
      <c r="J269" s="10" t="str">
        <f>VLOOKUP(I269,Categories!A:B,2,FALSE)</f>
        <v xml:space="preserve">Food &amp; Coff</v>
      </c>
      <c r="K269" t="s">
        <v>123</v>
      </c>
      <c r="L269" s="10" t="str">
        <f>VLOOKUP(K269,Accounts!A:B,2,FALSE)</f>
        <v>KBank</v>
      </c>
      <c r="M269" t="s">
        <v>124</v>
      </c>
      <c r="N269" s="10"/>
      <c r="O269" t="s">
        <v>125</v>
      </c>
      <c r="Q269" t="s">
        <v>126</v>
      </c>
      <c r="R269" t="s">
        <v>124</v>
      </c>
      <c r="S269" t="b">
        <v>0</v>
      </c>
      <c r="T269" t="s">
        <v>124</v>
      </c>
    </row>
    <row r="270">
      <c r="A270" t="s">
        <v>716</v>
      </c>
      <c r="B270" t="s">
        <v>717</v>
      </c>
      <c r="C270" s="2">
        <v>2025</v>
      </c>
      <c r="D270" s="10">
        <v>8</v>
      </c>
      <c r="E270" s="10">
        <v>14</v>
      </c>
      <c r="F270" t="s">
        <v>696</v>
      </c>
      <c r="G270">
        <v>750</v>
      </c>
      <c r="H270" t="s">
        <v>69</v>
      </c>
      <c r="I270" t="s">
        <v>152</v>
      </c>
      <c r="J270" s="10" t="str">
        <f>VLOOKUP(I270,Categories!A:B,2,FALSE)</f>
        <v xml:space="preserve">Office Suit</v>
      </c>
      <c r="K270" t="s">
        <v>123</v>
      </c>
      <c r="L270" s="10" t="str">
        <f>VLOOKUP(K270,Accounts!A:B,2,FALSE)</f>
        <v>KBank</v>
      </c>
      <c r="M270" t="s">
        <v>124</v>
      </c>
      <c r="N270" s="10"/>
      <c r="O270" t="s">
        <v>125</v>
      </c>
      <c r="Q270" t="s">
        <v>126</v>
      </c>
      <c r="R270" t="s">
        <v>124</v>
      </c>
      <c r="S270" t="b">
        <v>0</v>
      </c>
      <c r="T270" t="s">
        <v>124</v>
      </c>
    </row>
    <row r="271">
      <c r="A271" t="s">
        <v>718</v>
      </c>
      <c r="B271" t="s">
        <v>719</v>
      </c>
      <c r="C271" s="2">
        <v>2025</v>
      </c>
      <c r="D271" s="10">
        <v>8</v>
      </c>
      <c r="E271" s="10">
        <v>5</v>
      </c>
      <c r="F271" t="s">
        <v>689</v>
      </c>
      <c r="G271">
        <v>600.90999999999997</v>
      </c>
      <c r="H271" t="s">
        <v>206</v>
      </c>
      <c r="I271" t="s">
        <v>531</v>
      </c>
      <c r="J271" s="10" t="str">
        <f>VLOOKUP(I271,Categories!A:B,2,FALSE)</f>
        <v>Dividends</v>
      </c>
      <c r="K271" t="s">
        <v>123</v>
      </c>
      <c r="L271" s="10" t="str">
        <f>VLOOKUP(K271,Accounts!A:B,2,FALSE)</f>
        <v>KBank</v>
      </c>
      <c r="M271" t="s">
        <v>124</v>
      </c>
      <c r="N271" s="10"/>
      <c r="O271" t="s">
        <v>125</v>
      </c>
      <c r="Q271" t="s">
        <v>126</v>
      </c>
      <c r="R271" t="s">
        <v>124</v>
      </c>
      <c r="S271" t="b">
        <v>0</v>
      </c>
      <c r="T271" t="s">
        <v>124</v>
      </c>
    </row>
    <row r="272">
      <c r="A272" t="s">
        <v>720</v>
      </c>
      <c r="B272" t="s">
        <v>721</v>
      </c>
      <c r="C272" s="2">
        <v>2025</v>
      </c>
      <c r="D272" s="10">
        <v>8</v>
      </c>
      <c r="E272" s="10">
        <v>4</v>
      </c>
      <c r="F272" t="s">
        <v>722</v>
      </c>
      <c r="G272">
        <v>1075</v>
      </c>
      <c r="H272" t="s">
        <v>128</v>
      </c>
      <c r="I272" t="s">
        <v>136</v>
      </c>
      <c r="J272" s="10" t="str">
        <f>VLOOKUP(I272,Categories!A:B,2,FALSE)</f>
        <v>อื่นๆ</v>
      </c>
      <c r="K272" t="s">
        <v>123</v>
      </c>
      <c r="L272" s="10" t="str">
        <f>VLOOKUP(K272,Accounts!A:B,2,FALSE)</f>
        <v>KBank</v>
      </c>
      <c r="M272" t="s">
        <v>131</v>
      </c>
      <c r="N272" s="10" t="str">
        <f>VLOOKUP(M272,Accounts!A:B,2,FALSE)</f>
        <v xml:space="preserve">Advance Paid</v>
      </c>
      <c r="O272" t="s">
        <v>125</v>
      </c>
      <c r="Q272" t="s">
        <v>126</v>
      </c>
      <c r="R272" t="s">
        <v>124</v>
      </c>
      <c r="S272" t="b">
        <v>0</v>
      </c>
      <c r="T272" t="s">
        <v>124</v>
      </c>
    </row>
    <row r="273">
      <c r="A273" t="s">
        <v>723</v>
      </c>
      <c r="B273" t="s">
        <v>724</v>
      </c>
      <c r="C273" s="2">
        <v>2025</v>
      </c>
      <c r="D273" s="10">
        <v>8</v>
      </c>
      <c r="E273" s="10">
        <v>3</v>
      </c>
      <c r="F273" t="s">
        <v>689</v>
      </c>
      <c r="G273">
        <v>8000</v>
      </c>
      <c r="H273" t="s">
        <v>69</v>
      </c>
      <c r="I273" t="s">
        <v>144</v>
      </c>
      <c r="J273" s="10" t="str">
        <f>VLOOKUP(I273,Categories!A:B,2,FALSE)</f>
        <v xml:space="preserve">Family paid</v>
      </c>
      <c r="K273" t="s">
        <v>123</v>
      </c>
      <c r="L273" s="10" t="str">
        <f>VLOOKUP(K273,Accounts!A:B,2,FALSE)</f>
        <v>KBank</v>
      </c>
      <c r="M273" t="s">
        <v>124</v>
      </c>
      <c r="N273" s="10"/>
      <c r="O273" t="s">
        <v>125</v>
      </c>
      <c r="Q273" t="s">
        <v>126</v>
      </c>
      <c r="R273" t="s">
        <v>124</v>
      </c>
      <c r="S273" t="b">
        <v>0</v>
      </c>
      <c r="T273" t="s">
        <v>124</v>
      </c>
    </row>
    <row r="274">
      <c r="A274" t="s">
        <v>725</v>
      </c>
      <c r="B274" t="s">
        <v>726</v>
      </c>
      <c r="C274" s="2">
        <v>2025</v>
      </c>
      <c r="D274" s="10">
        <v>8</v>
      </c>
      <c r="E274" s="10">
        <v>2</v>
      </c>
      <c r="F274" t="s">
        <v>270</v>
      </c>
      <c r="G274">
        <v>7300</v>
      </c>
      <c r="H274" t="s">
        <v>69</v>
      </c>
      <c r="I274" t="s">
        <v>139</v>
      </c>
      <c r="J274" s="10" t="str">
        <f>VLOOKUP(I274,Categories!A:B,2,FALSE)</f>
        <v>Condo</v>
      </c>
      <c r="K274" t="s">
        <v>123</v>
      </c>
      <c r="L274" s="10" t="str">
        <f>VLOOKUP(K274,Accounts!A:B,2,FALSE)</f>
        <v>KBank</v>
      </c>
      <c r="M274" t="s">
        <v>124</v>
      </c>
      <c r="N274" s="10"/>
      <c r="O274" t="s">
        <v>125</v>
      </c>
      <c r="Q274" t="s">
        <v>126</v>
      </c>
      <c r="R274" t="s">
        <v>124</v>
      </c>
      <c r="S274" t="b">
        <v>0</v>
      </c>
      <c r="T274" t="s">
        <v>124</v>
      </c>
    </row>
    <row r="275">
      <c r="A275" t="s">
        <v>727</v>
      </c>
      <c r="B275" t="s">
        <v>728</v>
      </c>
      <c r="C275" s="2">
        <v>2025</v>
      </c>
      <c r="D275" s="10">
        <v>8</v>
      </c>
      <c r="E275" s="10">
        <v>1</v>
      </c>
      <c r="F275" t="s">
        <v>121</v>
      </c>
      <c r="G275">
        <v>19000</v>
      </c>
      <c r="H275" t="s">
        <v>69</v>
      </c>
      <c r="I275" t="s">
        <v>134</v>
      </c>
      <c r="J275" s="10" t="str">
        <f>VLOOKUP(I275,Categories!A:B,2,FALSE)</f>
        <v>Hong</v>
      </c>
      <c r="K275" t="s">
        <v>123</v>
      </c>
      <c r="L275" s="10" t="str">
        <f>VLOOKUP(K275,Accounts!A:B,2,FALSE)</f>
        <v>KBank</v>
      </c>
      <c r="M275" t="s">
        <v>124</v>
      </c>
      <c r="N275" s="10"/>
      <c r="O275" t="s">
        <v>125</v>
      </c>
      <c r="Q275" t="s">
        <v>126</v>
      </c>
      <c r="R275" t="s">
        <v>124</v>
      </c>
      <c r="S275" t="b">
        <v>0</v>
      </c>
      <c r="T275" t="s">
        <v>124</v>
      </c>
    </row>
    <row r="276">
      <c r="A276" t="s">
        <v>729</v>
      </c>
      <c r="B276" t="s">
        <v>728</v>
      </c>
      <c r="C276" s="2">
        <v>2025</v>
      </c>
      <c r="D276" s="10">
        <v>8</v>
      </c>
      <c r="E276" s="10">
        <v>1</v>
      </c>
      <c r="F276" t="s">
        <v>270</v>
      </c>
      <c r="G276">
        <v>933</v>
      </c>
      <c r="H276" t="s">
        <v>69</v>
      </c>
      <c r="I276" t="s">
        <v>122</v>
      </c>
      <c r="J276" s="10" t="str">
        <f>VLOOKUP(I276,Categories!A:B,2,FALSE)</f>
        <v>Other</v>
      </c>
      <c r="K276" t="s">
        <v>123</v>
      </c>
      <c r="L276" s="10" t="str">
        <f>VLOOKUP(K276,Accounts!A:B,2,FALSE)</f>
        <v>KBank</v>
      </c>
      <c r="M276" t="s">
        <v>124</v>
      </c>
      <c r="N276" s="10"/>
      <c r="O276" t="s">
        <v>730</v>
      </c>
      <c r="Q276" t="s">
        <v>126</v>
      </c>
      <c r="R276" t="s">
        <v>124</v>
      </c>
      <c r="S276" t="b">
        <v>0</v>
      </c>
      <c r="T276" t="s">
        <v>124</v>
      </c>
    </row>
    <row r="277">
      <c r="A277" t="s">
        <v>731</v>
      </c>
      <c r="B277" t="s">
        <v>732</v>
      </c>
      <c r="C277" s="2">
        <v>2025</v>
      </c>
      <c r="D277" s="10">
        <v>7</v>
      </c>
      <c r="E277" s="10">
        <v>31</v>
      </c>
      <c r="F277" t="s">
        <v>258</v>
      </c>
      <c r="G277">
        <v>600</v>
      </c>
      <c r="H277" t="s">
        <v>69</v>
      </c>
      <c r="I277" t="s">
        <v>150</v>
      </c>
      <c r="J277" s="10" t="str">
        <f>VLOOKUP(I277,Categories!A:B,2,FALSE)</f>
        <v xml:space="preserve">Food &amp; Coff</v>
      </c>
      <c r="K277" t="s">
        <v>123</v>
      </c>
      <c r="L277" s="10" t="str">
        <f>VLOOKUP(K277,Accounts!A:B,2,FALSE)</f>
        <v>KBank</v>
      </c>
      <c r="M277" t="s">
        <v>124</v>
      </c>
      <c r="N277" s="10"/>
      <c r="O277" t="s">
        <v>125</v>
      </c>
      <c r="Q277" t="s">
        <v>126</v>
      </c>
      <c r="R277" t="s">
        <v>124</v>
      </c>
      <c r="S277" t="b">
        <v>0</v>
      </c>
      <c r="T277" t="s">
        <v>124</v>
      </c>
    </row>
    <row r="278">
      <c r="A278" t="s">
        <v>733</v>
      </c>
      <c r="B278" t="s">
        <v>734</v>
      </c>
      <c r="C278" s="2">
        <v>2025</v>
      </c>
      <c r="D278" s="10">
        <v>7</v>
      </c>
      <c r="E278" s="10">
        <v>30</v>
      </c>
      <c r="F278" t="s">
        <v>212</v>
      </c>
      <c r="G278">
        <v>842</v>
      </c>
      <c r="H278" t="s">
        <v>69</v>
      </c>
      <c r="I278" t="s">
        <v>150</v>
      </c>
      <c r="J278" s="10" t="str">
        <f>VLOOKUP(I278,Categories!A:B,2,FALSE)</f>
        <v xml:space="preserve">Food &amp; Coff</v>
      </c>
      <c r="K278" t="s">
        <v>123</v>
      </c>
      <c r="L278" s="10" t="str">
        <f>VLOOKUP(K278,Accounts!A:B,2,FALSE)</f>
        <v>KBank</v>
      </c>
      <c r="M278" t="s">
        <v>124</v>
      </c>
      <c r="N278" s="10"/>
      <c r="O278" t="s">
        <v>125</v>
      </c>
      <c r="Q278" t="s">
        <v>126</v>
      </c>
      <c r="R278" t="s">
        <v>124</v>
      </c>
      <c r="S278" t="b">
        <v>0</v>
      </c>
      <c r="T278" t="s">
        <v>124</v>
      </c>
    </row>
    <row r="279">
      <c r="A279" t="s">
        <v>735</v>
      </c>
      <c r="B279" t="s">
        <v>736</v>
      </c>
      <c r="C279" s="2">
        <v>2025</v>
      </c>
      <c r="D279" s="10">
        <v>7</v>
      </c>
      <c r="E279" s="10">
        <v>26</v>
      </c>
      <c r="F279" t="s">
        <v>737</v>
      </c>
      <c r="G279">
        <v>1690</v>
      </c>
      <c r="H279" t="s">
        <v>69</v>
      </c>
      <c r="I279" t="s">
        <v>169</v>
      </c>
      <c r="J279" s="10" t="str">
        <f>VLOOKUP(I279,Categories!A:B,2,FALSE)</f>
        <v xml:space="preserve">App &amp; Game</v>
      </c>
      <c r="K279" t="s">
        <v>123</v>
      </c>
      <c r="L279" s="10" t="str">
        <f>VLOOKUP(K279,Accounts!A:B,2,FALSE)</f>
        <v>KBank</v>
      </c>
      <c r="M279" t="s">
        <v>124</v>
      </c>
      <c r="N279" s="10"/>
      <c r="O279" t="s">
        <v>125</v>
      </c>
      <c r="Q279" t="s">
        <v>126</v>
      </c>
      <c r="R279" t="s">
        <v>124</v>
      </c>
      <c r="S279" t="b">
        <v>0</v>
      </c>
      <c r="T279" t="s">
        <v>124</v>
      </c>
    </row>
    <row r="280">
      <c r="A280" t="s">
        <v>738</v>
      </c>
      <c r="B280" t="s">
        <v>736</v>
      </c>
      <c r="C280" s="2">
        <v>2025</v>
      </c>
      <c r="D280" s="10">
        <v>7</v>
      </c>
      <c r="E280" s="10">
        <v>26</v>
      </c>
      <c r="F280" t="s">
        <v>737</v>
      </c>
      <c r="G280">
        <v>3065</v>
      </c>
      <c r="H280" t="s">
        <v>69</v>
      </c>
      <c r="I280" t="s">
        <v>152</v>
      </c>
      <c r="J280" s="10" t="str">
        <f>VLOOKUP(I280,Categories!A:B,2,FALSE)</f>
        <v xml:space="preserve">Office Suit</v>
      </c>
      <c r="K280" t="s">
        <v>123</v>
      </c>
      <c r="L280" s="10" t="str">
        <f>VLOOKUP(K280,Accounts!A:B,2,FALSE)</f>
        <v>KBank</v>
      </c>
      <c r="M280" t="s">
        <v>124</v>
      </c>
      <c r="N280" s="10"/>
      <c r="O280" t="s">
        <v>125</v>
      </c>
      <c r="Q280" t="s">
        <v>126</v>
      </c>
      <c r="R280" t="s">
        <v>124</v>
      </c>
      <c r="S280" t="b">
        <v>0</v>
      </c>
      <c r="T280" t="s">
        <v>124</v>
      </c>
    </row>
    <row r="281">
      <c r="A281" t="s">
        <v>739</v>
      </c>
      <c r="B281" t="s">
        <v>736</v>
      </c>
      <c r="C281" s="2">
        <v>2025</v>
      </c>
      <c r="D281" s="10">
        <v>7</v>
      </c>
      <c r="E281" s="10">
        <v>26</v>
      </c>
      <c r="F281" t="s">
        <v>740</v>
      </c>
      <c r="G281">
        <v>477</v>
      </c>
      <c r="H281" t="s">
        <v>69</v>
      </c>
      <c r="I281" t="s">
        <v>150</v>
      </c>
      <c r="J281" s="10" t="str">
        <f>VLOOKUP(I281,Categories!A:B,2,FALSE)</f>
        <v xml:space="preserve">Food &amp; Coff</v>
      </c>
      <c r="K281" t="s">
        <v>123</v>
      </c>
      <c r="L281" s="10" t="str">
        <f>VLOOKUP(K281,Accounts!A:B,2,FALSE)</f>
        <v>KBank</v>
      </c>
      <c r="M281" t="s">
        <v>124</v>
      </c>
      <c r="N281" s="10"/>
      <c r="O281" t="s">
        <v>125</v>
      </c>
      <c r="Q281" t="s">
        <v>126</v>
      </c>
      <c r="R281" t="s">
        <v>124</v>
      </c>
      <c r="S281" t="b">
        <v>0</v>
      </c>
      <c r="T281" t="s">
        <v>124</v>
      </c>
    </row>
    <row r="282">
      <c r="A282" t="s">
        <v>741</v>
      </c>
      <c r="B282" t="s">
        <v>736</v>
      </c>
      <c r="C282" s="2">
        <v>2025</v>
      </c>
      <c r="D282" s="10">
        <v>7</v>
      </c>
      <c r="E282" s="10">
        <v>26</v>
      </c>
      <c r="F282" t="s">
        <v>742</v>
      </c>
      <c r="G282">
        <v>2890</v>
      </c>
      <c r="H282" t="s">
        <v>128</v>
      </c>
      <c r="I282" t="s">
        <v>136</v>
      </c>
      <c r="J282" s="10" t="str">
        <f>VLOOKUP(I282,Categories!A:B,2,FALSE)</f>
        <v>อื่นๆ</v>
      </c>
      <c r="K282" t="s">
        <v>123</v>
      </c>
      <c r="L282" s="10" t="str">
        <f>VLOOKUP(K282,Accounts!A:B,2,FALSE)</f>
        <v>KBank</v>
      </c>
      <c r="M282" t="s">
        <v>743</v>
      </c>
      <c r="N282" s="10" t="str">
        <f>VLOOKUP(M282,Accounts!A:B,2,FALSE)</f>
        <v>HOMEPRO</v>
      </c>
      <c r="O282" t="s">
        <v>125</v>
      </c>
      <c r="Q282" t="s">
        <v>126</v>
      </c>
      <c r="R282" t="s">
        <v>124</v>
      </c>
      <c r="S282" t="b">
        <v>0</v>
      </c>
      <c r="T282" t="s">
        <v>124</v>
      </c>
    </row>
    <row r="283">
      <c r="A283" t="s">
        <v>744</v>
      </c>
      <c r="B283" t="s">
        <v>736</v>
      </c>
      <c r="C283" s="2">
        <v>2025</v>
      </c>
      <c r="D283" s="10">
        <v>7</v>
      </c>
      <c r="E283" s="10">
        <v>26</v>
      </c>
      <c r="F283" t="s">
        <v>742</v>
      </c>
      <c r="G283">
        <v>1963.3199999999999</v>
      </c>
      <c r="H283" t="s">
        <v>69</v>
      </c>
      <c r="I283" t="s">
        <v>254</v>
      </c>
      <c r="J283" s="10" t="str">
        <f>VLOOKUP(I283,Categories!A:B,2,FALSE)</f>
        <v xml:space="preserve">Modified Bal.</v>
      </c>
      <c r="K283" t="s">
        <v>743</v>
      </c>
      <c r="L283" s="10" t="str">
        <f>VLOOKUP(K283,Accounts!A:B,2,FALSE)</f>
        <v>HOMEPRO</v>
      </c>
      <c r="M283" t="s">
        <v>124</v>
      </c>
      <c r="N283" s="10"/>
      <c r="O283" t="s">
        <v>255</v>
      </c>
      <c r="Q283" t="s">
        <v>126</v>
      </c>
      <c r="R283" t="s">
        <v>124</v>
      </c>
      <c r="S283" t="b">
        <v>0</v>
      </c>
      <c r="T283" t="s">
        <v>124</v>
      </c>
    </row>
    <row r="284">
      <c r="A284" t="s">
        <v>745</v>
      </c>
      <c r="B284" t="s">
        <v>736</v>
      </c>
      <c r="C284" s="2">
        <v>2025</v>
      </c>
      <c r="D284" s="10">
        <v>7</v>
      </c>
      <c r="E284" s="10">
        <v>26</v>
      </c>
      <c r="F284" t="s">
        <v>746</v>
      </c>
      <c r="G284">
        <v>515</v>
      </c>
      <c r="H284" t="s">
        <v>69</v>
      </c>
      <c r="I284" t="s">
        <v>254</v>
      </c>
      <c r="J284" s="10" t="str">
        <f>VLOOKUP(I284,Categories!A:B,2,FALSE)</f>
        <v xml:space="preserve">Modified Bal.</v>
      </c>
      <c r="K284" t="s">
        <v>747</v>
      </c>
      <c r="L284" s="10" t="str">
        <f>VLOOKUP(K284,Accounts!A:B,2,FALSE)</f>
        <v xml:space="preserve">UOB world</v>
      </c>
      <c r="M284" t="s">
        <v>124</v>
      </c>
      <c r="N284" s="10"/>
      <c r="O284" t="s">
        <v>255</v>
      </c>
      <c r="Q284" t="s">
        <v>126</v>
      </c>
      <c r="R284" t="s">
        <v>124</v>
      </c>
      <c r="S284" t="b">
        <v>0</v>
      </c>
      <c r="T284" t="s">
        <v>124</v>
      </c>
    </row>
    <row r="285">
      <c r="A285" t="s">
        <v>748</v>
      </c>
      <c r="B285" t="s">
        <v>749</v>
      </c>
      <c r="C285" s="2">
        <v>2025</v>
      </c>
      <c r="D285" s="10">
        <v>7</v>
      </c>
      <c r="E285" s="10">
        <v>25</v>
      </c>
      <c r="F285" t="s">
        <v>121</v>
      </c>
      <c r="G285">
        <v>97.390000000000001</v>
      </c>
      <c r="H285" t="s">
        <v>69</v>
      </c>
      <c r="I285" t="s">
        <v>443</v>
      </c>
      <c r="J285" s="10" t="str">
        <f>VLOOKUP(I285,Categories!A:B,2,FALSE)</f>
        <v xml:space="preserve">City SV Interest</v>
      </c>
      <c r="K285" t="s">
        <v>123</v>
      </c>
      <c r="L285" s="10" t="str">
        <f>VLOOKUP(K285,Accounts!A:B,2,FALSE)</f>
        <v>KBank</v>
      </c>
      <c r="M285" t="s">
        <v>124</v>
      </c>
      <c r="N285" s="10"/>
      <c r="O285" t="s">
        <v>125</v>
      </c>
      <c r="Q285" t="s">
        <v>126</v>
      </c>
      <c r="R285" t="s">
        <v>124</v>
      </c>
      <c r="S285" t="b">
        <v>0</v>
      </c>
      <c r="T285" t="s">
        <v>124</v>
      </c>
    </row>
    <row r="286">
      <c r="A286" t="s">
        <v>750</v>
      </c>
      <c r="B286" t="s">
        <v>749</v>
      </c>
      <c r="C286" s="2">
        <v>2025</v>
      </c>
      <c r="D286" s="10">
        <v>7</v>
      </c>
      <c r="E286" s="10">
        <v>25</v>
      </c>
      <c r="F286" t="s">
        <v>121</v>
      </c>
      <c r="G286">
        <v>3025.1999999999998</v>
      </c>
      <c r="H286" t="s">
        <v>128</v>
      </c>
      <c r="I286" t="s">
        <v>136</v>
      </c>
      <c r="J286" s="10" t="str">
        <f>VLOOKUP(I286,Categories!A:B,2,FALSE)</f>
        <v>อื่นๆ</v>
      </c>
      <c r="K286" t="s">
        <v>123</v>
      </c>
      <c r="L286" s="10" t="str">
        <f>VLOOKUP(K286,Accounts!A:B,2,FALSE)</f>
        <v>KBank</v>
      </c>
      <c r="M286" t="s">
        <v>203</v>
      </c>
      <c r="N286" s="10" t="str">
        <f>VLOOKUP(M286,Accounts!A:B,2,FALSE)</f>
        <v xml:space="preserve">Provident Fund</v>
      </c>
      <c r="O286" t="s">
        <v>125</v>
      </c>
      <c r="Q286" t="s">
        <v>126</v>
      </c>
      <c r="R286" t="s">
        <v>124</v>
      </c>
      <c r="S286" t="b">
        <v>0</v>
      </c>
      <c r="T286" t="s">
        <v>124</v>
      </c>
    </row>
    <row r="287">
      <c r="A287" t="s">
        <v>751</v>
      </c>
      <c r="B287" t="s">
        <v>749</v>
      </c>
      <c r="C287" s="2">
        <v>2025</v>
      </c>
      <c r="D287" s="10">
        <v>7</v>
      </c>
      <c r="E287" s="10">
        <v>25</v>
      </c>
      <c r="F287" t="s">
        <v>121</v>
      </c>
      <c r="G287">
        <v>4500.6800000000003</v>
      </c>
      <c r="H287" t="s">
        <v>69</v>
      </c>
      <c r="I287" t="s">
        <v>195</v>
      </c>
      <c r="J287" s="10" t="str">
        <f>VLOOKUP(I287,Categories!A:B,2,FALSE)</f>
        <v>Tax</v>
      </c>
      <c r="K287" t="s">
        <v>123</v>
      </c>
      <c r="L287" s="10" t="str">
        <f>VLOOKUP(K287,Accounts!A:B,2,FALSE)</f>
        <v>KBank</v>
      </c>
      <c r="M287" t="s">
        <v>124</v>
      </c>
      <c r="N287" s="10"/>
      <c r="O287" t="s">
        <v>125</v>
      </c>
      <c r="Q287" t="s">
        <v>126</v>
      </c>
      <c r="R287" t="s">
        <v>124</v>
      </c>
      <c r="S287" t="b">
        <v>0</v>
      </c>
      <c r="T287" t="s">
        <v>124</v>
      </c>
    </row>
    <row r="288">
      <c r="A288" t="s">
        <v>752</v>
      </c>
      <c r="B288" t="s">
        <v>749</v>
      </c>
      <c r="C288" s="2">
        <v>2025</v>
      </c>
      <c r="D288" s="10">
        <v>7</v>
      </c>
      <c r="E288" s="10">
        <v>25</v>
      </c>
      <c r="F288" t="s">
        <v>121</v>
      </c>
      <c r="G288">
        <v>2733</v>
      </c>
      <c r="H288" t="s">
        <v>69</v>
      </c>
      <c r="I288" t="s">
        <v>199</v>
      </c>
      <c r="J288" s="10" t="str">
        <f>VLOOKUP(I288,Categories!A:B,2,FALSE)</f>
        <v xml:space="preserve">Home Chomthong Interest</v>
      </c>
      <c r="K288" t="s">
        <v>123</v>
      </c>
      <c r="L288" s="10" t="str">
        <f>VLOOKUP(K288,Accounts!A:B,2,FALSE)</f>
        <v>KBank</v>
      </c>
      <c r="M288" t="s">
        <v>124</v>
      </c>
      <c r="N288" s="10"/>
      <c r="O288" t="s">
        <v>125</v>
      </c>
      <c r="Q288" t="s">
        <v>126</v>
      </c>
      <c r="R288" t="s">
        <v>124</v>
      </c>
      <c r="S288" t="b">
        <v>0</v>
      </c>
      <c r="T288" t="s">
        <v>124</v>
      </c>
    </row>
    <row r="289">
      <c r="A289" t="s">
        <v>753</v>
      </c>
      <c r="B289" t="s">
        <v>749</v>
      </c>
      <c r="C289" s="2">
        <v>2025</v>
      </c>
      <c r="D289" s="10">
        <v>7</v>
      </c>
      <c r="E289" s="10">
        <v>25</v>
      </c>
      <c r="F289" t="s">
        <v>121</v>
      </c>
      <c r="G289">
        <v>500</v>
      </c>
      <c r="H289" t="s">
        <v>128</v>
      </c>
      <c r="I289" t="s">
        <v>136</v>
      </c>
      <c r="J289" s="10" t="str">
        <f>VLOOKUP(I289,Categories!A:B,2,FALSE)</f>
        <v>อื่นๆ</v>
      </c>
      <c r="K289" t="s">
        <v>123</v>
      </c>
      <c r="L289" s="10" t="str">
        <f>VLOOKUP(K289,Accounts!A:B,2,FALSE)</f>
        <v>KBank</v>
      </c>
      <c r="M289" t="s">
        <v>201</v>
      </c>
      <c r="N289" s="10" t="str">
        <f>VLOOKUP(M289,Accounts!A:B,2,FALSE)</f>
        <v>Coop</v>
      </c>
      <c r="O289" t="s">
        <v>125</v>
      </c>
      <c r="Q289" t="s">
        <v>126</v>
      </c>
      <c r="R289" t="s">
        <v>124</v>
      </c>
      <c r="S289" t="b">
        <v>0</v>
      </c>
      <c r="T289" t="s">
        <v>124</v>
      </c>
    </row>
    <row r="290">
      <c r="A290" t="s">
        <v>754</v>
      </c>
      <c r="B290" t="s">
        <v>749</v>
      </c>
      <c r="C290" s="2">
        <v>2025</v>
      </c>
      <c r="D290" s="10">
        <v>7</v>
      </c>
      <c r="E290" s="10">
        <v>25</v>
      </c>
      <c r="F290" t="s">
        <v>121</v>
      </c>
      <c r="G290">
        <v>9240</v>
      </c>
      <c r="H290" t="s">
        <v>69</v>
      </c>
      <c r="I290" t="s">
        <v>446</v>
      </c>
      <c r="J290" s="10" t="str">
        <f>VLOOKUP(I290,Categories!A:B,2,FALSE)</f>
        <v xml:space="preserve">Intial city</v>
      </c>
      <c r="K290" t="s">
        <v>123</v>
      </c>
      <c r="L290" s="10" t="str">
        <f>VLOOKUP(K290,Accounts!A:B,2,FALSE)</f>
        <v>KBank</v>
      </c>
      <c r="M290" t="s">
        <v>124</v>
      </c>
      <c r="N290" s="10"/>
      <c r="O290" t="s">
        <v>125</v>
      </c>
      <c r="Q290" t="s">
        <v>126</v>
      </c>
      <c r="R290" t="s">
        <v>124</v>
      </c>
      <c r="S290" t="b">
        <v>0</v>
      </c>
      <c r="T290" t="s">
        <v>124</v>
      </c>
    </row>
    <row r="291">
      <c r="A291" t="s">
        <v>755</v>
      </c>
      <c r="B291" t="s">
        <v>749</v>
      </c>
      <c r="C291" s="2">
        <v>2025</v>
      </c>
      <c r="D291" s="10">
        <v>7</v>
      </c>
      <c r="E291" s="10">
        <v>25</v>
      </c>
      <c r="F291" t="s">
        <v>121</v>
      </c>
      <c r="G291">
        <v>9165</v>
      </c>
      <c r="H291" t="s">
        <v>69</v>
      </c>
      <c r="I291" t="s">
        <v>197</v>
      </c>
      <c r="J291" s="10" t="str">
        <f>VLOOKUP(I291,Categories!A:B,2,FALSE)</f>
        <v xml:space="preserve">Initial Home loan</v>
      </c>
      <c r="K291" t="s">
        <v>123</v>
      </c>
      <c r="L291" s="10" t="str">
        <f>VLOOKUP(K291,Accounts!A:B,2,FALSE)</f>
        <v>KBank</v>
      </c>
      <c r="M291" t="s">
        <v>124</v>
      </c>
      <c r="N291" s="10"/>
      <c r="O291" t="s">
        <v>125</v>
      </c>
      <c r="Q291" t="s">
        <v>126</v>
      </c>
      <c r="R291" t="s">
        <v>124</v>
      </c>
      <c r="S291" t="b">
        <v>0</v>
      </c>
      <c r="T291" t="s">
        <v>124</v>
      </c>
    </row>
    <row r="292">
      <c r="A292" t="s">
        <v>756</v>
      </c>
      <c r="B292" t="s">
        <v>749</v>
      </c>
      <c r="C292" s="2">
        <v>2025</v>
      </c>
      <c r="D292" s="10">
        <v>7</v>
      </c>
      <c r="E292" s="10">
        <v>25</v>
      </c>
      <c r="F292" t="s">
        <v>121</v>
      </c>
      <c r="G292">
        <v>151260</v>
      </c>
      <c r="H292" t="s">
        <v>206</v>
      </c>
      <c r="I292" t="s">
        <v>207</v>
      </c>
      <c r="J292" s="10" t="str">
        <f>VLOOKUP(I292,Categories!A:B,2,FALSE)</f>
        <v>Salary</v>
      </c>
      <c r="K292" t="s">
        <v>123</v>
      </c>
      <c r="L292" s="10" t="str">
        <f>VLOOKUP(K292,Accounts!A:B,2,FALSE)</f>
        <v>KBank</v>
      </c>
      <c r="M292" t="s">
        <v>124</v>
      </c>
      <c r="N292" s="10"/>
      <c r="O292" t="s">
        <v>125</v>
      </c>
      <c r="Q292" t="s">
        <v>126</v>
      </c>
      <c r="R292" t="s">
        <v>124</v>
      </c>
      <c r="S292" t="b">
        <v>0</v>
      </c>
      <c r="T292" t="s">
        <v>124</v>
      </c>
    </row>
    <row r="293">
      <c r="A293" t="s">
        <v>757</v>
      </c>
      <c r="B293" t="s">
        <v>749</v>
      </c>
      <c r="C293" s="2">
        <v>2025</v>
      </c>
      <c r="D293" s="10">
        <v>7</v>
      </c>
      <c r="E293" s="10">
        <v>25</v>
      </c>
      <c r="F293" t="s">
        <v>758</v>
      </c>
      <c r="G293">
        <v>50</v>
      </c>
      <c r="H293" t="s">
        <v>69</v>
      </c>
      <c r="I293" t="s">
        <v>150</v>
      </c>
      <c r="J293" s="10" t="str">
        <f>VLOOKUP(I293,Categories!A:B,2,FALSE)</f>
        <v xml:space="preserve">Food &amp; Coff</v>
      </c>
      <c r="K293" t="s">
        <v>123</v>
      </c>
      <c r="L293" s="10" t="str">
        <f>VLOOKUP(K293,Accounts!A:B,2,FALSE)</f>
        <v>KBank</v>
      </c>
      <c r="M293" t="s">
        <v>124</v>
      </c>
      <c r="N293" s="10"/>
      <c r="O293" t="s">
        <v>125</v>
      </c>
      <c r="Q293" t="s">
        <v>126</v>
      </c>
      <c r="R293" t="s">
        <v>124</v>
      </c>
      <c r="S293" t="b">
        <v>0</v>
      </c>
      <c r="T293" t="s">
        <v>124</v>
      </c>
    </row>
    <row r="294">
      <c r="A294" t="s">
        <v>759</v>
      </c>
      <c r="B294" t="s">
        <v>760</v>
      </c>
      <c r="C294" s="2">
        <v>2025</v>
      </c>
      <c r="D294" s="10">
        <v>7</v>
      </c>
      <c r="E294" s="10">
        <v>20</v>
      </c>
      <c r="F294" t="s">
        <v>761</v>
      </c>
      <c r="G294">
        <v>415</v>
      </c>
      <c r="H294" t="s">
        <v>69</v>
      </c>
      <c r="I294" t="s">
        <v>150</v>
      </c>
      <c r="J294" s="10" t="str">
        <f>VLOOKUP(I294,Categories!A:B,2,FALSE)</f>
        <v xml:space="preserve">Food &amp; Coff</v>
      </c>
      <c r="K294" t="s">
        <v>123</v>
      </c>
      <c r="L294" s="10" t="str">
        <f>VLOOKUP(K294,Accounts!A:B,2,FALSE)</f>
        <v>KBank</v>
      </c>
      <c r="M294" t="s">
        <v>124</v>
      </c>
      <c r="N294" s="10"/>
      <c r="O294" t="s">
        <v>125</v>
      </c>
      <c r="Q294" t="s">
        <v>126</v>
      </c>
      <c r="R294" t="s">
        <v>124</v>
      </c>
      <c r="S294" t="b">
        <v>0</v>
      </c>
      <c r="T294" t="s">
        <v>124</v>
      </c>
    </row>
    <row r="295">
      <c r="A295" t="s">
        <v>762</v>
      </c>
      <c r="B295" t="s">
        <v>760</v>
      </c>
      <c r="C295" s="2">
        <v>2025</v>
      </c>
      <c r="D295" s="10">
        <v>7</v>
      </c>
      <c r="E295" s="10">
        <v>20</v>
      </c>
      <c r="F295" t="s">
        <v>763</v>
      </c>
      <c r="G295">
        <v>7.0899999999999999</v>
      </c>
      <c r="H295" t="s">
        <v>206</v>
      </c>
      <c r="I295" t="s">
        <v>254</v>
      </c>
      <c r="J295" s="10" t="str">
        <f>VLOOKUP(I295,Categories!A:B,2,FALSE)</f>
        <v xml:space="preserve">Modified Bal.</v>
      </c>
      <c r="K295" t="s">
        <v>213</v>
      </c>
      <c r="L295" s="10" t="str">
        <f>VLOOKUP(K295,Accounts!A:B,2,FALSE)</f>
        <v xml:space="preserve">Krungthai Next</v>
      </c>
      <c r="M295" t="s">
        <v>124</v>
      </c>
      <c r="N295" s="10"/>
      <c r="O295" t="s">
        <v>255</v>
      </c>
      <c r="Q295" t="s">
        <v>126</v>
      </c>
      <c r="R295" t="s">
        <v>124</v>
      </c>
      <c r="S295" t="b">
        <v>0</v>
      </c>
      <c r="T295" t="s">
        <v>124</v>
      </c>
    </row>
    <row r="296">
      <c r="A296" t="s">
        <v>764</v>
      </c>
      <c r="B296" t="s">
        <v>760</v>
      </c>
      <c r="C296" s="2">
        <v>2025</v>
      </c>
      <c r="D296" s="10">
        <v>7</v>
      </c>
      <c r="E296" s="10">
        <v>20</v>
      </c>
      <c r="F296" t="s">
        <v>765</v>
      </c>
      <c r="G296">
        <v>5.46</v>
      </c>
      <c r="H296" t="s">
        <v>206</v>
      </c>
      <c r="I296" t="s">
        <v>254</v>
      </c>
      <c r="J296" s="10" t="str">
        <f>VLOOKUP(I296,Categories!A:B,2,FALSE)</f>
        <v xml:space="preserve">Modified Bal.</v>
      </c>
      <c r="K296" t="s">
        <v>766</v>
      </c>
      <c r="L296" s="10" t="str">
        <f>VLOOKUP(K296,Accounts!A:B,2,FALSE)</f>
        <v>KRUNGSRI</v>
      </c>
      <c r="M296" t="s">
        <v>124</v>
      </c>
      <c r="N296" s="10"/>
      <c r="O296" t="s">
        <v>255</v>
      </c>
      <c r="Q296" t="s">
        <v>126</v>
      </c>
      <c r="R296" t="s">
        <v>124</v>
      </c>
      <c r="S296" t="b">
        <v>0</v>
      </c>
      <c r="T296" t="s">
        <v>124</v>
      </c>
    </row>
    <row r="297">
      <c r="A297" t="s">
        <v>767</v>
      </c>
      <c r="B297" t="s">
        <v>760</v>
      </c>
      <c r="C297" s="2">
        <v>2025</v>
      </c>
      <c r="D297" s="10">
        <v>7</v>
      </c>
      <c r="E297" s="10">
        <v>20</v>
      </c>
      <c r="F297" t="s">
        <v>768</v>
      </c>
      <c r="G297">
        <v>6309</v>
      </c>
      <c r="H297" t="s">
        <v>128</v>
      </c>
      <c r="I297" t="s">
        <v>136</v>
      </c>
      <c r="J297" s="10" t="str">
        <f>VLOOKUP(I297,Categories!A:B,2,FALSE)</f>
        <v>อื่นๆ</v>
      </c>
      <c r="K297" t="s">
        <v>123</v>
      </c>
      <c r="L297" s="10" t="str">
        <f>VLOOKUP(K297,Accounts!A:B,2,FALSE)</f>
        <v>KBank</v>
      </c>
      <c r="M297" t="s">
        <v>213</v>
      </c>
      <c r="N297" s="10" t="str">
        <f>VLOOKUP(M297,Accounts!A:B,2,FALSE)</f>
        <v xml:space="preserve">Krungthai Next</v>
      </c>
      <c r="O297" t="s">
        <v>125</v>
      </c>
      <c r="Q297" t="s">
        <v>126</v>
      </c>
      <c r="R297" t="s">
        <v>124</v>
      </c>
      <c r="S297" t="b">
        <v>0</v>
      </c>
      <c r="T297" t="s">
        <v>124</v>
      </c>
    </row>
    <row r="298">
      <c r="A298" t="s">
        <v>769</v>
      </c>
      <c r="B298" t="s">
        <v>760</v>
      </c>
      <c r="C298" s="2">
        <v>2025</v>
      </c>
      <c r="D298" s="10">
        <v>7</v>
      </c>
      <c r="E298" s="10">
        <v>20</v>
      </c>
      <c r="F298" t="s">
        <v>770</v>
      </c>
      <c r="G298">
        <v>6153</v>
      </c>
      <c r="H298" t="s">
        <v>128</v>
      </c>
      <c r="I298" t="s">
        <v>136</v>
      </c>
      <c r="J298" s="10" t="str">
        <f>VLOOKUP(I298,Categories!A:B,2,FALSE)</f>
        <v>อื่นๆ</v>
      </c>
      <c r="K298" t="s">
        <v>123</v>
      </c>
      <c r="L298" s="10" t="str">
        <f>VLOOKUP(K298,Accounts!A:B,2,FALSE)</f>
        <v>KBank</v>
      </c>
      <c r="M298" t="s">
        <v>766</v>
      </c>
      <c r="N298" s="10" t="str">
        <f>VLOOKUP(M298,Accounts!A:B,2,FALSE)</f>
        <v>KRUNGSRI</v>
      </c>
      <c r="O298" t="s">
        <v>125</v>
      </c>
      <c r="Q298" t="s">
        <v>126</v>
      </c>
      <c r="R298" t="s">
        <v>124</v>
      </c>
      <c r="S298" t="b">
        <v>0</v>
      </c>
      <c r="T298" t="s">
        <v>124</v>
      </c>
    </row>
    <row r="299">
      <c r="A299" t="s">
        <v>771</v>
      </c>
      <c r="B299" t="s">
        <v>772</v>
      </c>
      <c r="C299" s="2">
        <v>2025</v>
      </c>
      <c r="D299" s="10">
        <v>7</v>
      </c>
      <c r="E299" s="10">
        <v>17</v>
      </c>
      <c r="F299" t="s">
        <v>773</v>
      </c>
      <c r="G299">
        <v>5000</v>
      </c>
      <c r="H299" t="s">
        <v>69</v>
      </c>
      <c r="I299" t="s">
        <v>150</v>
      </c>
      <c r="J299" s="10" t="str">
        <f>VLOOKUP(I299,Categories!A:B,2,FALSE)</f>
        <v xml:space="preserve">Food &amp; Coff</v>
      </c>
      <c r="K299" t="s">
        <v>123</v>
      </c>
      <c r="L299" s="10" t="str">
        <f>VLOOKUP(K299,Accounts!A:B,2,FALSE)</f>
        <v>KBank</v>
      </c>
      <c r="M299" t="s">
        <v>124</v>
      </c>
      <c r="N299" s="10"/>
      <c r="O299" t="s">
        <v>125</v>
      </c>
      <c r="Q299" t="s">
        <v>126</v>
      </c>
      <c r="R299" t="s">
        <v>124</v>
      </c>
      <c r="S299" t="b">
        <v>0</v>
      </c>
      <c r="T299" t="s">
        <v>124</v>
      </c>
    </row>
    <row r="300">
      <c r="A300" t="s">
        <v>774</v>
      </c>
      <c r="B300" t="s">
        <v>775</v>
      </c>
      <c r="C300" s="2">
        <v>2025</v>
      </c>
      <c r="D300" s="10">
        <v>7</v>
      </c>
      <c r="E300" s="10">
        <v>12</v>
      </c>
      <c r="F300" t="s">
        <v>776</v>
      </c>
      <c r="G300">
        <v>3201.8600000000001</v>
      </c>
      <c r="H300" t="s">
        <v>206</v>
      </c>
      <c r="I300" t="s">
        <v>254</v>
      </c>
      <c r="J300" s="10" t="str">
        <f>VLOOKUP(I300,Categories!A:B,2,FALSE)</f>
        <v xml:space="preserve">Modified Bal.</v>
      </c>
      <c r="K300" t="s">
        <v>178</v>
      </c>
      <c r="L300" s="10" t="str">
        <f>VLOOKUP(K300,Accounts!A:B,2,FALSE)</f>
        <v>SCB</v>
      </c>
      <c r="M300" t="s">
        <v>124</v>
      </c>
      <c r="N300" s="10"/>
      <c r="O300" t="s">
        <v>255</v>
      </c>
      <c r="Q300" t="s">
        <v>126</v>
      </c>
      <c r="R300" t="s">
        <v>124</v>
      </c>
      <c r="S300" t="b">
        <v>0</v>
      </c>
      <c r="T300" t="s">
        <v>124</v>
      </c>
    </row>
    <row r="301">
      <c r="A301" t="s">
        <v>777</v>
      </c>
      <c r="B301" t="s">
        <v>775</v>
      </c>
      <c r="C301" s="2">
        <v>2025</v>
      </c>
      <c r="D301" s="10">
        <v>7</v>
      </c>
      <c r="E301" s="10">
        <v>12</v>
      </c>
      <c r="F301" t="s">
        <v>778</v>
      </c>
      <c r="G301">
        <v>200</v>
      </c>
      <c r="H301" t="s">
        <v>69</v>
      </c>
      <c r="I301" t="s">
        <v>150</v>
      </c>
      <c r="J301" s="10" t="str">
        <f>VLOOKUP(I301,Categories!A:B,2,FALSE)</f>
        <v xml:space="preserve">Food &amp; Coff</v>
      </c>
      <c r="K301" t="s">
        <v>123</v>
      </c>
      <c r="L301" s="10" t="str">
        <f>VLOOKUP(K301,Accounts!A:B,2,FALSE)</f>
        <v>KBank</v>
      </c>
      <c r="M301" t="s">
        <v>124</v>
      </c>
      <c r="N301" s="10"/>
      <c r="O301" t="s">
        <v>125</v>
      </c>
      <c r="Q301" t="s">
        <v>126</v>
      </c>
      <c r="R301" t="s">
        <v>124</v>
      </c>
      <c r="S301" t="b">
        <v>0</v>
      </c>
      <c r="T301" t="s">
        <v>124</v>
      </c>
    </row>
    <row r="302">
      <c r="A302" t="s">
        <v>779</v>
      </c>
      <c r="B302" t="s">
        <v>780</v>
      </c>
      <c r="C302" s="2">
        <v>2025</v>
      </c>
      <c r="D302" s="10">
        <v>7</v>
      </c>
      <c r="E302" s="10">
        <v>10</v>
      </c>
      <c r="F302" t="s">
        <v>234</v>
      </c>
      <c r="G302">
        <v>2890</v>
      </c>
      <c r="H302" t="s">
        <v>69</v>
      </c>
      <c r="I302" t="s">
        <v>141</v>
      </c>
      <c r="J302" s="10" t="str">
        <f>VLOOKUP(I302,Categories!A:B,2,FALSE)</f>
        <v>Other</v>
      </c>
      <c r="K302" t="s">
        <v>743</v>
      </c>
      <c r="L302" s="10" t="str">
        <f>VLOOKUP(K302,Accounts!A:B,2,FALSE)</f>
        <v>HOMEPRO</v>
      </c>
      <c r="M302" t="s">
        <v>124</v>
      </c>
      <c r="N302" s="10"/>
      <c r="O302" t="s">
        <v>781</v>
      </c>
      <c r="Q302" t="s">
        <v>126</v>
      </c>
      <c r="R302" t="s">
        <v>124</v>
      </c>
      <c r="S302" t="b">
        <v>0</v>
      </c>
      <c r="T302" t="s">
        <v>124</v>
      </c>
    </row>
    <row r="303">
      <c r="A303" t="s">
        <v>782</v>
      </c>
      <c r="B303" t="s">
        <v>780</v>
      </c>
      <c r="C303" s="2">
        <v>2025</v>
      </c>
      <c r="D303" s="10">
        <v>7</v>
      </c>
      <c r="E303" s="10">
        <v>10</v>
      </c>
      <c r="F303" t="s">
        <v>783</v>
      </c>
      <c r="G303">
        <v>270</v>
      </c>
      <c r="H303" t="s">
        <v>69</v>
      </c>
      <c r="I303" t="s">
        <v>150</v>
      </c>
      <c r="J303" s="10" t="str">
        <f>VLOOKUP(I303,Categories!A:B,2,FALSE)</f>
        <v xml:space="preserve">Food &amp; Coff</v>
      </c>
      <c r="K303" t="s">
        <v>123</v>
      </c>
      <c r="L303" s="10" t="str">
        <f>VLOOKUP(K303,Accounts!A:B,2,FALSE)</f>
        <v>KBank</v>
      </c>
      <c r="M303" t="s">
        <v>124</v>
      </c>
      <c r="N303" s="10"/>
      <c r="O303" t="s">
        <v>784</v>
      </c>
      <c r="Q303" t="s">
        <v>126</v>
      </c>
      <c r="R303" t="s">
        <v>124</v>
      </c>
      <c r="S303" t="b">
        <v>0</v>
      </c>
      <c r="T303" t="s">
        <v>124</v>
      </c>
    </row>
    <row r="304">
      <c r="A304" t="s">
        <v>785</v>
      </c>
      <c r="B304" t="s">
        <v>786</v>
      </c>
      <c r="C304" s="2">
        <v>2025</v>
      </c>
      <c r="D304" s="10">
        <v>7</v>
      </c>
      <c r="E304" s="10">
        <v>8</v>
      </c>
      <c r="F304" t="s">
        <v>787</v>
      </c>
      <c r="G304">
        <v>1050</v>
      </c>
      <c r="H304" t="s">
        <v>69</v>
      </c>
      <c r="I304" t="s">
        <v>155</v>
      </c>
      <c r="J304" s="10" t="str">
        <f>VLOOKUP(I304,Categories!A:B,2,FALSE)</f>
        <v>Gashapon</v>
      </c>
      <c r="K304" t="s">
        <v>123</v>
      </c>
      <c r="L304" s="10" t="str">
        <f>VLOOKUP(K304,Accounts!A:B,2,FALSE)</f>
        <v>KBank</v>
      </c>
      <c r="M304" t="s">
        <v>124</v>
      </c>
      <c r="N304" s="10"/>
      <c r="O304" t="s">
        <v>125</v>
      </c>
      <c r="Q304" t="s">
        <v>126</v>
      </c>
      <c r="R304" t="s">
        <v>124</v>
      </c>
      <c r="S304" t="b">
        <v>0</v>
      </c>
      <c r="T304" t="s">
        <v>124</v>
      </c>
    </row>
    <row r="305">
      <c r="A305" t="s">
        <v>788</v>
      </c>
      <c r="B305" t="s">
        <v>786</v>
      </c>
      <c r="C305" s="2">
        <v>2025</v>
      </c>
      <c r="D305" s="10">
        <v>7</v>
      </c>
      <c r="E305" s="10">
        <v>8</v>
      </c>
      <c r="F305" t="s">
        <v>783</v>
      </c>
      <c r="G305">
        <v>8000</v>
      </c>
      <c r="H305" t="s">
        <v>69</v>
      </c>
      <c r="I305" t="s">
        <v>144</v>
      </c>
      <c r="J305" s="10" t="str">
        <f>VLOOKUP(I305,Categories!A:B,2,FALSE)</f>
        <v xml:space="preserve">Family paid</v>
      </c>
      <c r="K305" t="s">
        <v>123</v>
      </c>
      <c r="L305" s="10" t="str">
        <f>VLOOKUP(K305,Accounts!A:B,2,FALSE)</f>
        <v>KBank</v>
      </c>
      <c r="M305" t="s">
        <v>124</v>
      </c>
      <c r="N305" s="10"/>
      <c r="O305" t="s">
        <v>125</v>
      </c>
      <c r="Q305" t="s">
        <v>126</v>
      </c>
      <c r="R305" t="s">
        <v>124</v>
      </c>
      <c r="S305" t="b">
        <v>0</v>
      </c>
      <c r="T305" t="s">
        <v>124</v>
      </c>
    </row>
    <row r="306">
      <c r="A306" t="s">
        <v>789</v>
      </c>
      <c r="B306" t="s">
        <v>790</v>
      </c>
      <c r="C306" s="2">
        <v>2025</v>
      </c>
      <c r="D306" s="10">
        <v>7</v>
      </c>
      <c r="E306" s="10">
        <v>6</v>
      </c>
      <c r="F306" t="s">
        <v>791</v>
      </c>
      <c r="G306">
        <v>19000</v>
      </c>
      <c r="H306" t="s">
        <v>69</v>
      </c>
      <c r="I306" t="s">
        <v>134</v>
      </c>
      <c r="J306" s="10" t="str">
        <f>VLOOKUP(I306,Categories!A:B,2,FALSE)</f>
        <v>Hong</v>
      </c>
      <c r="K306" t="s">
        <v>123</v>
      </c>
      <c r="L306" s="10" t="str">
        <f>VLOOKUP(K306,Accounts!A:B,2,FALSE)</f>
        <v>KBank</v>
      </c>
      <c r="M306" t="s">
        <v>124</v>
      </c>
      <c r="N306" s="10"/>
      <c r="O306" t="s">
        <v>125</v>
      </c>
      <c r="Q306" t="s">
        <v>126</v>
      </c>
      <c r="R306" t="s">
        <v>124</v>
      </c>
      <c r="S306" t="b">
        <v>0</v>
      </c>
      <c r="T306" t="s">
        <v>124</v>
      </c>
    </row>
    <row r="307">
      <c r="A307" t="s">
        <v>792</v>
      </c>
      <c r="B307" t="s">
        <v>790</v>
      </c>
      <c r="C307" s="2">
        <v>2025</v>
      </c>
      <c r="D307" s="10">
        <v>7</v>
      </c>
      <c r="E307" s="10">
        <v>6</v>
      </c>
      <c r="F307" t="s">
        <v>791</v>
      </c>
      <c r="G307">
        <v>7331</v>
      </c>
      <c r="H307" t="s">
        <v>69</v>
      </c>
      <c r="I307" t="s">
        <v>139</v>
      </c>
      <c r="J307" s="10" t="str">
        <f>VLOOKUP(I307,Categories!A:B,2,FALSE)</f>
        <v>Condo</v>
      </c>
      <c r="K307" t="s">
        <v>123</v>
      </c>
      <c r="L307" s="10" t="str">
        <f>VLOOKUP(K307,Accounts!A:B,2,FALSE)</f>
        <v>KBank</v>
      </c>
      <c r="M307" t="s">
        <v>124</v>
      </c>
      <c r="N307" s="10"/>
      <c r="O307" t="s">
        <v>125</v>
      </c>
      <c r="Q307" t="s">
        <v>126</v>
      </c>
      <c r="R307" t="s">
        <v>124</v>
      </c>
      <c r="S307" t="b">
        <v>0</v>
      </c>
      <c r="T307" t="s">
        <v>124</v>
      </c>
    </row>
    <row r="308">
      <c r="A308" t="s">
        <v>793</v>
      </c>
      <c r="B308" t="s">
        <v>790</v>
      </c>
      <c r="C308" s="2">
        <v>2025</v>
      </c>
      <c r="D308" s="10">
        <v>7</v>
      </c>
      <c r="E308" s="10">
        <v>6</v>
      </c>
      <c r="F308" t="s">
        <v>794</v>
      </c>
      <c r="G308">
        <v>986</v>
      </c>
      <c r="H308" t="s">
        <v>128</v>
      </c>
      <c r="I308" t="s">
        <v>136</v>
      </c>
      <c r="J308" s="10" t="str">
        <f>VLOOKUP(I308,Categories!A:B,2,FALSE)</f>
        <v>อื่นๆ</v>
      </c>
      <c r="K308" t="s">
        <v>131</v>
      </c>
      <c r="L308" s="10" t="str">
        <f>VLOOKUP(K308,Accounts!A:B,2,FALSE)</f>
        <v xml:space="preserve">Advance Paid</v>
      </c>
      <c r="M308" t="s">
        <v>123</v>
      </c>
      <c r="N308" s="10" t="str">
        <f>VLOOKUP(M308,Accounts!A:B,2,FALSE)</f>
        <v>KBank</v>
      </c>
      <c r="O308" t="s">
        <v>125</v>
      </c>
      <c r="Q308" t="s">
        <v>126</v>
      </c>
      <c r="R308" t="s">
        <v>124</v>
      </c>
      <c r="S308" t="b">
        <v>0</v>
      </c>
      <c r="T308" t="s">
        <v>124</v>
      </c>
    </row>
    <row r="309">
      <c r="A309" t="s">
        <v>795</v>
      </c>
      <c r="B309" t="s">
        <v>790</v>
      </c>
      <c r="C309" s="2">
        <v>2025</v>
      </c>
      <c r="D309" s="10">
        <v>7</v>
      </c>
      <c r="E309" s="10">
        <v>6</v>
      </c>
      <c r="F309" t="s">
        <v>510</v>
      </c>
      <c r="G309">
        <v>7187</v>
      </c>
      <c r="H309" t="s">
        <v>128</v>
      </c>
      <c r="I309" t="s">
        <v>136</v>
      </c>
      <c r="J309" s="10" t="str">
        <f>VLOOKUP(I309,Categories!A:B,2,FALSE)</f>
        <v>อื่นๆ</v>
      </c>
      <c r="K309" t="s">
        <v>123</v>
      </c>
      <c r="L309" s="10" t="str">
        <f>VLOOKUP(K309,Accounts!A:B,2,FALSE)</f>
        <v>KBank</v>
      </c>
      <c r="M309" t="s">
        <v>131</v>
      </c>
      <c r="N309" s="10" t="str">
        <f>VLOOKUP(M309,Accounts!A:B,2,FALSE)</f>
        <v xml:space="preserve">Advance Paid</v>
      </c>
      <c r="O309" t="s">
        <v>796</v>
      </c>
      <c r="Q309" t="s">
        <v>126</v>
      </c>
      <c r="R309" t="s">
        <v>124</v>
      </c>
      <c r="S309" t="b">
        <v>0</v>
      </c>
      <c r="T309" t="s">
        <v>124</v>
      </c>
    </row>
    <row r="310">
      <c r="A310" t="s">
        <v>797</v>
      </c>
      <c r="B310" t="s">
        <v>790</v>
      </c>
      <c r="C310" s="2">
        <v>2025</v>
      </c>
      <c r="D310" s="10">
        <v>7</v>
      </c>
      <c r="E310" s="10">
        <v>6</v>
      </c>
      <c r="F310" t="s">
        <v>798</v>
      </c>
      <c r="G310">
        <v>6853</v>
      </c>
      <c r="H310" t="s">
        <v>128</v>
      </c>
      <c r="I310" t="s">
        <v>136</v>
      </c>
      <c r="J310" s="10" t="str">
        <f>VLOOKUP(I310,Categories!A:B,2,FALSE)</f>
        <v>อื่นๆ</v>
      </c>
      <c r="K310" t="s">
        <v>131</v>
      </c>
      <c r="L310" s="10" t="str">
        <f>VLOOKUP(K310,Accounts!A:B,2,FALSE)</f>
        <v xml:space="preserve">Advance Paid</v>
      </c>
      <c r="M310" t="s">
        <v>123</v>
      </c>
      <c r="N310" s="10" t="str">
        <f>VLOOKUP(M310,Accounts!A:B,2,FALSE)</f>
        <v>KBank</v>
      </c>
      <c r="O310" t="s">
        <v>799</v>
      </c>
      <c r="Q310" t="s">
        <v>126</v>
      </c>
      <c r="R310" t="s">
        <v>124</v>
      </c>
      <c r="S310" t="b">
        <v>0</v>
      </c>
      <c r="T310" t="s">
        <v>124</v>
      </c>
    </row>
    <row r="311">
      <c r="A311" t="s">
        <v>800</v>
      </c>
      <c r="B311" t="s">
        <v>801</v>
      </c>
      <c r="C311" s="2">
        <v>2025</v>
      </c>
      <c r="D311" s="10">
        <v>7</v>
      </c>
      <c r="E311" s="10">
        <v>5</v>
      </c>
      <c r="F311" t="s">
        <v>802</v>
      </c>
      <c r="G311">
        <v>600</v>
      </c>
      <c r="H311" t="s">
        <v>128</v>
      </c>
      <c r="I311" t="s">
        <v>136</v>
      </c>
      <c r="J311" s="10" t="str">
        <f>VLOOKUP(I311,Categories!A:B,2,FALSE)</f>
        <v>อื่นๆ</v>
      </c>
      <c r="K311" t="s">
        <v>123</v>
      </c>
      <c r="L311" s="10" t="str">
        <f>VLOOKUP(K311,Accounts!A:B,2,FALSE)</f>
        <v>KBank</v>
      </c>
      <c r="M311" t="s">
        <v>710</v>
      </c>
      <c r="N311" s="10" t="str">
        <f>VLOOKUP(M311,Accounts!A:B,2,FALSE)</f>
        <v xml:space="preserve">Line Pay</v>
      </c>
      <c r="O311" t="s">
        <v>125</v>
      </c>
      <c r="Q311" t="s">
        <v>126</v>
      </c>
      <c r="R311" t="s">
        <v>124</v>
      </c>
      <c r="S311" t="b">
        <v>0</v>
      </c>
      <c r="T311" t="s">
        <v>124</v>
      </c>
    </row>
    <row r="312">
      <c r="A312" t="s">
        <v>803</v>
      </c>
      <c r="B312" t="s">
        <v>801</v>
      </c>
      <c r="C312" s="2">
        <v>2025</v>
      </c>
      <c r="D312" s="10">
        <v>7</v>
      </c>
      <c r="E312" s="10">
        <v>5</v>
      </c>
      <c r="F312" t="s">
        <v>804</v>
      </c>
      <c r="G312">
        <v>2000</v>
      </c>
      <c r="H312" t="s">
        <v>128</v>
      </c>
      <c r="I312" t="s">
        <v>136</v>
      </c>
      <c r="J312" s="10" t="str">
        <f>VLOOKUP(I312,Categories!A:B,2,FALSE)</f>
        <v>อื่นๆ</v>
      </c>
      <c r="K312" t="s">
        <v>131</v>
      </c>
      <c r="L312" s="10" t="str">
        <f>VLOOKUP(K312,Accounts!A:B,2,FALSE)</f>
        <v xml:space="preserve">Advance Paid</v>
      </c>
      <c r="M312" t="s">
        <v>123</v>
      </c>
      <c r="N312" s="10" t="str">
        <f>VLOOKUP(M312,Accounts!A:B,2,FALSE)</f>
        <v>KBank</v>
      </c>
      <c r="O312" t="s">
        <v>805</v>
      </c>
      <c r="Q312" t="s">
        <v>126</v>
      </c>
      <c r="R312" t="s">
        <v>124</v>
      </c>
      <c r="S312" t="b">
        <v>0</v>
      </c>
      <c r="T312" t="s">
        <v>124</v>
      </c>
    </row>
    <row r="313">
      <c r="A313" t="s">
        <v>806</v>
      </c>
      <c r="B313" t="s">
        <v>801</v>
      </c>
      <c r="C313" s="2">
        <v>2025</v>
      </c>
      <c r="D313" s="10">
        <v>7</v>
      </c>
      <c r="E313" s="10">
        <v>5</v>
      </c>
      <c r="F313" t="s">
        <v>807</v>
      </c>
      <c r="G313">
        <v>3000</v>
      </c>
      <c r="H313" t="s">
        <v>69</v>
      </c>
      <c r="I313" t="s">
        <v>150</v>
      </c>
      <c r="J313" s="10" t="str">
        <f>VLOOKUP(I313,Categories!A:B,2,FALSE)</f>
        <v xml:space="preserve">Food &amp; Coff</v>
      </c>
      <c r="K313" t="s">
        <v>131</v>
      </c>
      <c r="L313" s="10" t="str">
        <f>VLOOKUP(K313,Accounts!A:B,2,FALSE)</f>
        <v xml:space="preserve">Advance Paid</v>
      </c>
      <c r="M313" t="s">
        <v>124</v>
      </c>
      <c r="N313" s="10"/>
      <c r="O313" t="s">
        <v>808</v>
      </c>
      <c r="Q313" t="s">
        <v>126</v>
      </c>
      <c r="R313" t="s">
        <v>124</v>
      </c>
      <c r="S313" t="b">
        <v>0</v>
      </c>
      <c r="T313" t="s">
        <v>124</v>
      </c>
    </row>
    <row r="314">
      <c r="A314" t="s">
        <v>809</v>
      </c>
      <c r="B314" t="s">
        <v>801</v>
      </c>
      <c r="C314" s="2">
        <v>2025</v>
      </c>
      <c r="D314" s="10">
        <v>7</v>
      </c>
      <c r="E314" s="10">
        <v>5</v>
      </c>
      <c r="F314" t="s">
        <v>807</v>
      </c>
      <c r="G314">
        <v>1011</v>
      </c>
      <c r="H314" t="s">
        <v>69</v>
      </c>
      <c r="I314" t="s">
        <v>157</v>
      </c>
      <c r="J314" s="10" t="str">
        <f>VLOOKUP(I314,Categories!A:B,2,FALSE)</f>
        <v>Boardgame</v>
      </c>
      <c r="K314" t="s">
        <v>131</v>
      </c>
      <c r="L314" s="10" t="str">
        <f>VLOOKUP(K314,Accounts!A:B,2,FALSE)</f>
        <v xml:space="preserve">Advance Paid</v>
      </c>
      <c r="M314" t="s">
        <v>124</v>
      </c>
      <c r="N314" s="10"/>
      <c r="O314" t="s">
        <v>125</v>
      </c>
      <c r="Q314" t="s">
        <v>126</v>
      </c>
      <c r="R314" t="s">
        <v>124</v>
      </c>
      <c r="S314" t="b">
        <v>0</v>
      </c>
      <c r="T314" t="s">
        <v>124</v>
      </c>
    </row>
    <row r="315">
      <c r="A315" t="s">
        <v>810</v>
      </c>
      <c r="B315" t="s">
        <v>811</v>
      </c>
      <c r="C315" s="2">
        <v>2025</v>
      </c>
      <c r="D315" s="10">
        <v>7</v>
      </c>
      <c r="E315" s="10">
        <v>3</v>
      </c>
      <c r="F315" t="s">
        <v>437</v>
      </c>
      <c r="G315">
        <v>3357</v>
      </c>
      <c r="H315" t="s">
        <v>128</v>
      </c>
      <c r="I315" t="s">
        <v>136</v>
      </c>
      <c r="J315" s="10" t="str">
        <f>VLOOKUP(I315,Categories!A:B,2,FALSE)</f>
        <v>อื่นๆ</v>
      </c>
      <c r="K315" t="s">
        <v>123</v>
      </c>
      <c r="L315" s="10" t="str">
        <f>VLOOKUP(K315,Accounts!A:B,2,FALSE)</f>
        <v>KBank</v>
      </c>
      <c r="M315" t="s">
        <v>131</v>
      </c>
      <c r="N315" s="10" t="str">
        <f>VLOOKUP(M315,Accounts!A:B,2,FALSE)</f>
        <v xml:space="preserve">Advance Paid</v>
      </c>
      <c r="O315" t="s">
        <v>812</v>
      </c>
      <c r="Q315" t="s">
        <v>126</v>
      </c>
      <c r="R315" t="s">
        <v>124</v>
      </c>
      <c r="S315" t="b">
        <v>0</v>
      </c>
      <c r="T315" t="s">
        <v>124</v>
      </c>
    </row>
    <row r="316">
      <c r="A316" t="s">
        <v>813</v>
      </c>
      <c r="B316" t="s">
        <v>811</v>
      </c>
      <c r="C316" s="2">
        <v>2025</v>
      </c>
      <c r="D316" s="10">
        <v>7</v>
      </c>
      <c r="E316" s="10">
        <v>3</v>
      </c>
      <c r="F316" t="s">
        <v>437</v>
      </c>
      <c r="G316">
        <v>5</v>
      </c>
      <c r="H316" t="s">
        <v>69</v>
      </c>
      <c r="I316" t="s">
        <v>150</v>
      </c>
      <c r="J316" s="10" t="str">
        <f>VLOOKUP(I316,Categories!A:B,2,FALSE)</f>
        <v xml:space="preserve">Food &amp; Coff</v>
      </c>
      <c r="K316" t="s">
        <v>123</v>
      </c>
      <c r="L316" s="10" t="str">
        <f>VLOOKUP(K316,Accounts!A:B,2,FALSE)</f>
        <v>KBank</v>
      </c>
      <c r="M316" t="s">
        <v>124</v>
      </c>
      <c r="N316" s="10"/>
      <c r="O316" t="s">
        <v>125</v>
      </c>
      <c r="Q316" t="s">
        <v>126</v>
      </c>
      <c r="R316" t="s">
        <v>124</v>
      </c>
      <c r="S316" t="b">
        <v>0</v>
      </c>
      <c r="T316" t="s">
        <v>124</v>
      </c>
    </row>
    <row r="317">
      <c r="A317" t="s">
        <v>814</v>
      </c>
      <c r="B317" t="s">
        <v>811</v>
      </c>
      <c r="C317" s="2">
        <v>2025</v>
      </c>
      <c r="D317" s="10">
        <v>7</v>
      </c>
      <c r="E317" s="10">
        <v>3</v>
      </c>
      <c r="F317" t="s">
        <v>815</v>
      </c>
      <c r="G317">
        <v>768</v>
      </c>
      <c r="H317" t="s">
        <v>128</v>
      </c>
      <c r="I317" t="s">
        <v>136</v>
      </c>
      <c r="J317" s="10" t="str">
        <f>VLOOKUP(I317,Categories!A:B,2,FALSE)</f>
        <v>อื่นๆ</v>
      </c>
      <c r="K317" t="s">
        <v>131</v>
      </c>
      <c r="L317" s="10" t="str">
        <f>VLOOKUP(K317,Accounts!A:B,2,FALSE)</f>
        <v xml:space="preserve">Advance Paid</v>
      </c>
      <c r="M317" t="s">
        <v>123</v>
      </c>
      <c r="N317" s="10" t="str">
        <f>VLOOKUP(M317,Accounts!A:B,2,FALSE)</f>
        <v>KBank</v>
      </c>
      <c r="O317" t="s">
        <v>125</v>
      </c>
      <c r="Q317" t="s">
        <v>126</v>
      </c>
      <c r="R317" t="s">
        <v>124</v>
      </c>
      <c r="S317" t="b">
        <v>0</v>
      </c>
      <c r="T317" t="s">
        <v>124</v>
      </c>
    </row>
    <row r="318">
      <c r="A318" t="s">
        <v>816</v>
      </c>
      <c r="B318" t="s">
        <v>811</v>
      </c>
      <c r="C318" s="2">
        <v>2025</v>
      </c>
      <c r="D318" s="10">
        <v>7</v>
      </c>
      <c r="E318" s="10">
        <v>3</v>
      </c>
      <c r="F318" t="s">
        <v>815</v>
      </c>
      <c r="G318">
        <v>2589</v>
      </c>
      <c r="H318" t="s">
        <v>69</v>
      </c>
      <c r="I318" t="s">
        <v>150</v>
      </c>
      <c r="J318" s="10" t="str">
        <f>VLOOKUP(I318,Categories!A:B,2,FALSE)</f>
        <v xml:space="preserve">Food &amp; Coff</v>
      </c>
      <c r="K318" t="s">
        <v>131</v>
      </c>
      <c r="L318" s="10" t="str">
        <f>VLOOKUP(K318,Accounts!A:B,2,FALSE)</f>
        <v xml:space="preserve">Advance Paid</v>
      </c>
      <c r="M318" t="s">
        <v>124</v>
      </c>
      <c r="N318" s="10"/>
      <c r="O318" t="s">
        <v>125</v>
      </c>
      <c r="Q318" t="s">
        <v>126</v>
      </c>
      <c r="R318" t="s">
        <v>124</v>
      </c>
      <c r="S318" t="b">
        <v>0</v>
      </c>
      <c r="T318" t="s">
        <v>124</v>
      </c>
    </row>
    <row r="319">
      <c r="A319" t="s">
        <v>817</v>
      </c>
      <c r="B319" t="s">
        <v>818</v>
      </c>
      <c r="C319" s="2">
        <v>2025</v>
      </c>
      <c r="D319" s="10">
        <v>6</v>
      </c>
      <c r="E319" s="10">
        <v>29</v>
      </c>
      <c r="F319" t="s">
        <v>440</v>
      </c>
      <c r="G319">
        <v>200</v>
      </c>
      <c r="H319" t="s">
        <v>69</v>
      </c>
      <c r="I319" t="s">
        <v>141</v>
      </c>
      <c r="J319" s="10" t="str">
        <f>VLOOKUP(I319,Categories!A:B,2,FALSE)</f>
        <v>Other</v>
      </c>
      <c r="K319" t="s">
        <v>123</v>
      </c>
      <c r="L319" s="10" t="str">
        <f>VLOOKUP(K319,Accounts!A:B,2,FALSE)</f>
        <v>KBank</v>
      </c>
      <c r="M319" t="s">
        <v>124</v>
      </c>
      <c r="N319" s="10"/>
      <c r="O319" t="s">
        <v>125</v>
      </c>
      <c r="Q319" t="s">
        <v>126</v>
      </c>
      <c r="R319" t="s">
        <v>124</v>
      </c>
      <c r="S319" t="b">
        <v>0</v>
      </c>
      <c r="T319" t="s">
        <v>124</v>
      </c>
    </row>
    <row r="320">
      <c r="A320" t="s">
        <v>819</v>
      </c>
      <c r="B320" t="s">
        <v>818</v>
      </c>
      <c r="C320" s="2">
        <v>2025</v>
      </c>
      <c r="D320" s="10">
        <v>6</v>
      </c>
      <c r="E320" s="10">
        <v>29</v>
      </c>
      <c r="F320" t="s">
        <v>820</v>
      </c>
      <c r="G320">
        <v>1000</v>
      </c>
      <c r="H320" t="s">
        <v>128</v>
      </c>
      <c r="I320" t="s">
        <v>136</v>
      </c>
      <c r="J320" s="10" t="str">
        <f>VLOOKUP(I320,Categories!A:B,2,FALSE)</f>
        <v>อื่นๆ</v>
      </c>
      <c r="K320" t="s">
        <v>747</v>
      </c>
      <c r="L320" s="10" t="str">
        <f>VLOOKUP(K320,Accounts!A:B,2,FALSE)</f>
        <v xml:space="preserve">UOB world</v>
      </c>
      <c r="M320" t="s">
        <v>178</v>
      </c>
      <c r="N320" s="10" t="str">
        <f>VLOOKUP(M320,Accounts!A:B,2,FALSE)</f>
        <v>SCB</v>
      </c>
      <c r="O320" t="s">
        <v>821</v>
      </c>
      <c r="Q320" t="s">
        <v>126</v>
      </c>
      <c r="R320" t="s">
        <v>124</v>
      </c>
      <c r="S320" t="b">
        <v>0</v>
      </c>
      <c r="T320" t="s">
        <v>124</v>
      </c>
    </row>
    <row r="321">
      <c r="A321" t="s">
        <v>822</v>
      </c>
      <c r="B321" t="s">
        <v>823</v>
      </c>
      <c r="C321" s="2">
        <v>2025</v>
      </c>
      <c r="D321" s="10">
        <v>6</v>
      </c>
      <c r="E321" s="10">
        <v>28</v>
      </c>
      <c r="F321" t="s">
        <v>440</v>
      </c>
      <c r="G321">
        <v>300</v>
      </c>
      <c r="H321" t="s">
        <v>69</v>
      </c>
      <c r="I321" t="s">
        <v>824</v>
      </c>
      <c r="J321" s="10" t="str">
        <f>VLOOKUP(I321,Categories!A:B,2,FALSE)</f>
        <v>Other</v>
      </c>
      <c r="K321" t="s">
        <v>123</v>
      </c>
      <c r="L321" s="10" t="str">
        <f>VLOOKUP(K321,Accounts!A:B,2,FALSE)</f>
        <v>KBank</v>
      </c>
      <c r="M321" t="s">
        <v>124</v>
      </c>
      <c r="N321" s="10"/>
      <c r="O321" t="s">
        <v>377</v>
      </c>
      <c r="Q321" t="s">
        <v>126</v>
      </c>
      <c r="R321" t="s">
        <v>124</v>
      </c>
      <c r="S321" t="b">
        <v>0</v>
      </c>
      <c r="T321" t="s">
        <v>124</v>
      </c>
    </row>
    <row r="322">
      <c r="A322" t="s">
        <v>825</v>
      </c>
      <c r="B322" t="s">
        <v>823</v>
      </c>
      <c r="C322" s="2">
        <v>2025</v>
      </c>
      <c r="D322" s="10">
        <v>6</v>
      </c>
      <c r="E322" s="10">
        <v>28</v>
      </c>
      <c r="F322" t="s">
        <v>407</v>
      </c>
      <c r="G322">
        <v>336</v>
      </c>
      <c r="H322" t="s">
        <v>206</v>
      </c>
      <c r="I322" t="s">
        <v>281</v>
      </c>
      <c r="J322" s="10" t="str">
        <f>VLOOKUP(I322,Categories!A:B,2,FALSE)</f>
        <v>Others</v>
      </c>
      <c r="K322" t="s">
        <v>178</v>
      </c>
      <c r="L322" s="10" t="str">
        <f>VLOOKUP(K322,Accounts!A:B,2,FALSE)</f>
        <v>SCB</v>
      </c>
      <c r="M322" t="s">
        <v>124</v>
      </c>
      <c r="N322" s="10"/>
      <c r="O322" t="s">
        <v>125</v>
      </c>
      <c r="Q322" t="s">
        <v>126</v>
      </c>
      <c r="R322" t="s">
        <v>124</v>
      </c>
      <c r="S322" t="b">
        <v>0</v>
      </c>
      <c r="T322" t="s">
        <v>124</v>
      </c>
    </row>
    <row r="323">
      <c r="A323" t="s">
        <v>826</v>
      </c>
      <c r="B323" t="s">
        <v>62</v>
      </c>
      <c r="C323" s="2">
        <v>2025</v>
      </c>
      <c r="D323" s="10">
        <v>6</v>
      </c>
      <c r="E323" s="10">
        <v>26</v>
      </c>
      <c r="F323" t="s">
        <v>827</v>
      </c>
      <c r="G323">
        <v>300000</v>
      </c>
      <c r="H323" t="s">
        <v>128</v>
      </c>
      <c r="I323" t="s">
        <v>136</v>
      </c>
      <c r="J323" s="10" t="str">
        <f>VLOOKUP(I323,Categories!A:B,2,FALSE)</f>
        <v>อื่นๆ</v>
      </c>
      <c r="K323" t="s">
        <v>123</v>
      </c>
      <c r="L323" s="10" t="str">
        <f>VLOOKUP(K323,Accounts!A:B,2,FALSE)</f>
        <v>KBank</v>
      </c>
      <c r="M323" t="s">
        <v>215</v>
      </c>
      <c r="N323" s="10" t="str">
        <f>VLOOKUP(M323,Accounts!A:B,2,FALSE)</f>
        <v>Investment</v>
      </c>
      <c r="O323" t="s">
        <v>125</v>
      </c>
      <c r="Q323" t="s">
        <v>126</v>
      </c>
      <c r="R323" t="s">
        <v>124</v>
      </c>
      <c r="S323" t="b">
        <v>0</v>
      </c>
      <c r="T323" t="s">
        <v>124</v>
      </c>
    </row>
    <row r="324">
      <c r="A324" t="s">
        <v>828</v>
      </c>
      <c r="B324" t="s">
        <v>62</v>
      </c>
      <c r="C324" s="2">
        <v>2025</v>
      </c>
      <c r="D324" s="10">
        <v>6</v>
      </c>
      <c r="E324" s="10">
        <v>26</v>
      </c>
      <c r="F324" t="s">
        <v>829</v>
      </c>
      <c r="G324">
        <v>985.99000000000001</v>
      </c>
      <c r="H324" t="s">
        <v>128</v>
      </c>
      <c r="I324" t="s">
        <v>136</v>
      </c>
      <c r="J324" s="10" t="str">
        <f>VLOOKUP(I324,Categories!A:B,2,FALSE)</f>
        <v>อื่นๆ</v>
      </c>
      <c r="K324" t="s">
        <v>123</v>
      </c>
      <c r="L324" s="10" t="str">
        <f>VLOOKUP(K324,Accounts!A:B,2,FALSE)</f>
        <v>KBank</v>
      </c>
      <c r="M324" t="s">
        <v>131</v>
      </c>
      <c r="N324" s="10" t="str">
        <f>VLOOKUP(M324,Accounts!A:B,2,FALSE)</f>
        <v xml:space="preserve">Advance Paid</v>
      </c>
      <c r="O324" t="s">
        <v>125</v>
      </c>
      <c r="Q324" t="s">
        <v>126</v>
      </c>
      <c r="R324" t="s">
        <v>124</v>
      </c>
      <c r="S324" t="b">
        <v>0</v>
      </c>
      <c r="T324" t="s">
        <v>124</v>
      </c>
    </row>
    <row r="325">
      <c r="A325" t="s">
        <v>830</v>
      </c>
      <c r="B325" t="s">
        <v>831</v>
      </c>
      <c r="C325" s="2">
        <v>2025</v>
      </c>
      <c r="D325" s="10">
        <v>6</v>
      </c>
      <c r="E325" s="10">
        <v>25</v>
      </c>
      <c r="F325" t="s">
        <v>121</v>
      </c>
      <c r="G325">
        <v>500</v>
      </c>
      <c r="H325" t="s">
        <v>128</v>
      </c>
      <c r="I325" t="s">
        <v>136</v>
      </c>
      <c r="J325" s="10" t="str">
        <f>VLOOKUP(I325,Categories!A:B,2,FALSE)</f>
        <v>อื่นๆ</v>
      </c>
      <c r="K325" t="s">
        <v>123</v>
      </c>
      <c r="L325" s="10" t="str">
        <f>VLOOKUP(K325,Accounts!A:B,2,FALSE)</f>
        <v>KBank</v>
      </c>
      <c r="M325" t="s">
        <v>201</v>
      </c>
      <c r="N325" s="10" t="str">
        <f>VLOOKUP(M325,Accounts!A:B,2,FALSE)</f>
        <v>Coop</v>
      </c>
      <c r="O325" t="s">
        <v>125</v>
      </c>
      <c r="Q325" t="s">
        <v>126</v>
      </c>
      <c r="R325" t="s">
        <v>124</v>
      </c>
      <c r="S325" t="b">
        <v>0</v>
      </c>
      <c r="T325" t="s">
        <v>124</v>
      </c>
    </row>
    <row r="326">
      <c r="A326" t="s">
        <v>832</v>
      </c>
      <c r="B326" t="s">
        <v>831</v>
      </c>
      <c r="C326" s="2">
        <v>2025</v>
      </c>
      <c r="D326" s="10">
        <v>6</v>
      </c>
      <c r="E326" s="10">
        <v>25</v>
      </c>
      <c r="F326" t="s">
        <v>121</v>
      </c>
      <c r="G326">
        <v>3306.4000000000001</v>
      </c>
      <c r="H326" t="s">
        <v>128</v>
      </c>
      <c r="I326" t="s">
        <v>136</v>
      </c>
      <c r="J326" s="10" t="str">
        <f>VLOOKUP(I326,Categories!A:B,2,FALSE)</f>
        <v>อื่นๆ</v>
      </c>
      <c r="K326" t="s">
        <v>123</v>
      </c>
      <c r="L326" s="10" t="str">
        <f>VLOOKUP(K326,Accounts!A:B,2,FALSE)</f>
        <v>KBank</v>
      </c>
      <c r="M326" t="s">
        <v>203</v>
      </c>
      <c r="N326" s="10" t="str">
        <f>VLOOKUP(M326,Accounts!A:B,2,FALSE)</f>
        <v xml:space="preserve">Provident Fund</v>
      </c>
      <c r="O326" t="s">
        <v>125</v>
      </c>
      <c r="Q326" t="s">
        <v>126</v>
      </c>
      <c r="R326" t="s">
        <v>124</v>
      </c>
      <c r="S326" t="b">
        <v>0</v>
      </c>
      <c r="T326" t="s">
        <v>124</v>
      </c>
    </row>
    <row r="327">
      <c r="A327" t="s">
        <v>833</v>
      </c>
      <c r="B327" t="s">
        <v>831</v>
      </c>
      <c r="C327" s="2">
        <v>2025</v>
      </c>
      <c r="D327" s="10">
        <v>6</v>
      </c>
      <c r="E327" s="10">
        <v>25</v>
      </c>
      <c r="F327" t="s">
        <v>121</v>
      </c>
      <c r="G327">
        <v>3123.7399999999998</v>
      </c>
      <c r="H327" t="s">
        <v>69</v>
      </c>
      <c r="I327" t="s">
        <v>195</v>
      </c>
      <c r="J327" s="10" t="str">
        <f>VLOOKUP(I327,Categories!A:B,2,FALSE)</f>
        <v>Tax</v>
      </c>
      <c r="K327" t="s">
        <v>123</v>
      </c>
      <c r="L327" s="10" t="str">
        <f>VLOOKUP(K327,Accounts!A:B,2,FALSE)</f>
        <v>KBank</v>
      </c>
      <c r="M327" t="s">
        <v>124</v>
      </c>
      <c r="N327" s="10"/>
      <c r="O327" t="s">
        <v>125</v>
      </c>
      <c r="Q327" t="s">
        <v>126</v>
      </c>
      <c r="R327" t="s">
        <v>124</v>
      </c>
      <c r="S327" t="b">
        <v>0</v>
      </c>
      <c r="T327" t="s">
        <v>124</v>
      </c>
    </row>
    <row r="328">
      <c r="A328" t="s">
        <v>834</v>
      </c>
      <c r="B328" t="s">
        <v>831</v>
      </c>
      <c r="C328" s="2">
        <v>2025</v>
      </c>
      <c r="D328" s="10">
        <v>6</v>
      </c>
      <c r="E328" s="10">
        <v>25</v>
      </c>
      <c r="F328" t="s">
        <v>121</v>
      </c>
      <c r="G328">
        <v>2857.9400000000001</v>
      </c>
      <c r="H328" t="s">
        <v>69</v>
      </c>
      <c r="I328" t="s">
        <v>199</v>
      </c>
      <c r="J328" s="10" t="str">
        <f>VLOOKUP(I328,Categories!A:B,2,FALSE)</f>
        <v xml:space="preserve">Home Chomthong Interest</v>
      </c>
      <c r="K328" t="s">
        <v>123</v>
      </c>
      <c r="L328" s="10" t="str">
        <f>VLOOKUP(K328,Accounts!A:B,2,FALSE)</f>
        <v>KBank</v>
      </c>
      <c r="M328" t="s">
        <v>124</v>
      </c>
      <c r="N328" s="10"/>
      <c r="O328" t="s">
        <v>125</v>
      </c>
      <c r="Q328" t="s">
        <v>126</v>
      </c>
      <c r="R328" t="s">
        <v>124</v>
      </c>
      <c r="S328" t="b">
        <v>0</v>
      </c>
      <c r="T328" t="s">
        <v>124</v>
      </c>
    </row>
    <row r="329">
      <c r="A329" t="s">
        <v>835</v>
      </c>
      <c r="B329" t="s">
        <v>831</v>
      </c>
      <c r="C329" s="2">
        <v>2025</v>
      </c>
      <c r="D329" s="10">
        <v>6</v>
      </c>
      <c r="E329" s="10">
        <v>25</v>
      </c>
      <c r="F329" t="s">
        <v>121</v>
      </c>
      <c r="G329">
        <v>9240</v>
      </c>
      <c r="H329" t="s">
        <v>69</v>
      </c>
      <c r="I329" t="s">
        <v>446</v>
      </c>
      <c r="J329" s="10" t="str">
        <f>VLOOKUP(I329,Categories!A:B,2,FALSE)</f>
        <v xml:space="preserve">Intial city</v>
      </c>
      <c r="K329" t="s">
        <v>123</v>
      </c>
      <c r="L329" s="10" t="str">
        <f>VLOOKUP(K329,Accounts!A:B,2,FALSE)</f>
        <v>KBank</v>
      </c>
      <c r="M329" t="s">
        <v>124</v>
      </c>
      <c r="N329" s="10"/>
      <c r="O329" t="s">
        <v>125</v>
      </c>
      <c r="Q329" t="s">
        <v>126</v>
      </c>
      <c r="R329" t="s">
        <v>124</v>
      </c>
      <c r="S329" t="b">
        <v>0</v>
      </c>
      <c r="T329" t="s">
        <v>124</v>
      </c>
    </row>
    <row r="330">
      <c r="A330" t="s">
        <v>836</v>
      </c>
      <c r="B330" t="s">
        <v>831</v>
      </c>
      <c r="C330" s="2">
        <v>2025</v>
      </c>
      <c r="D330" s="10">
        <v>6</v>
      </c>
      <c r="E330" s="10">
        <v>25</v>
      </c>
      <c r="F330" t="s">
        <v>121</v>
      </c>
      <c r="G330">
        <v>9165</v>
      </c>
      <c r="H330" t="s">
        <v>69</v>
      </c>
      <c r="I330" t="s">
        <v>197</v>
      </c>
      <c r="J330" s="10" t="str">
        <f>VLOOKUP(I330,Categories!A:B,2,FALSE)</f>
        <v xml:space="preserve">Initial Home loan</v>
      </c>
      <c r="K330" t="s">
        <v>123</v>
      </c>
      <c r="L330" s="10" t="str">
        <f>VLOOKUP(K330,Accounts!A:B,2,FALSE)</f>
        <v>KBank</v>
      </c>
      <c r="M330" t="s">
        <v>124</v>
      </c>
      <c r="N330" s="10"/>
      <c r="O330" t="s">
        <v>125</v>
      </c>
      <c r="Q330" t="s">
        <v>126</v>
      </c>
      <c r="R330" t="s">
        <v>124</v>
      </c>
      <c r="S330" t="b">
        <v>0</v>
      </c>
      <c r="T330" t="s">
        <v>124</v>
      </c>
    </row>
    <row r="331">
      <c r="A331" t="s">
        <v>837</v>
      </c>
      <c r="B331" t="s">
        <v>831</v>
      </c>
      <c r="C331" s="2">
        <v>2025</v>
      </c>
      <c r="D331" s="10">
        <v>6</v>
      </c>
      <c r="E331" s="10">
        <v>25</v>
      </c>
      <c r="F331" t="s">
        <v>121</v>
      </c>
      <c r="G331">
        <v>170.53999999999999</v>
      </c>
      <c r="H331" t="s">
        <v>69</v>
      </c>
      <c r="I331" t="s">
        <v>443</v>
      </c>
      <c r="J331" s="10" t="str">
        <f>VLOOKUP(I331,Categories!A:B,2,FALSE)</f>
        <v xml:space="preserve">City SV Interest</v>
      </c>
      <c r="K331" t="s">
        <v>123</v>
      </c>
      <c r="L331" s="10" t="str">
        <f>VLOOKUP(K331,Accounts!A:B,2,FALSE)</f>
        <v>KBank</v>
      </c>
      <c r="M331" t="s">
        <v>124</v>
      </c>
      <c r="N331" s="10"/>
      <c r="O331" t="s">
        <v>125</v>
      </c>
      <c r="Q331" t="s">
        <v>126</v>
      </c>
      <c r="R331" t="s">
        <v>124</v>
      </c>
      <c r="S331" t="b">
        <v>0</v>
      </c>
      <c r="T331" t="s">
        <v>124</v>
      </c>
    </row>
    <row r="332">
      <c r="A332" t="s">
        <v>838</v>
      </c>
      <c r="B332" t="s">
        <v>831</v>
      </c>
      <c r="C332" s="2">
        <v>2025</v>
      </c>
      <c r="D332" s="10">
        <v>6</v>
      </c>
      <c r="E332" s="10">
        <v>25</v>
      </c>
      <c r="F332" t="s">
        <v>121</v>
      </c>
      <c r="G332">
        <v>151260</v>
      </c>
      <c r="H332" t="s">
        <v>206</v>
      </c>
      <c r="I332" t="s">
        <v>207</v>
      </c>
      <c r="J332" s="10" t="str">
        <f>VLOOKUP(I332,Categories!A:B,2,FALSE)</f>
        <v>Salary</v>
      </c>
      <c r="K332" t="s">
        <v>123</v>
      </c>
      <c r="L332" s="10" t="str">
        <f>VLOOKUP(K332,Accounts!A:B,2,FALSE)</f>
        <v>KBank</v>
      </c>
      <c r="M332" t="s">
        <v>124</v>
      </c>
      <c r="N332" s="10"/>
      <c r="O332" t="s">
        <v>125</v>
      </c>
      <c r="Q332" t="s">
        <v>126</v>
      </c>
      <c r="R332" t="s">
        <v>124</v>
      </c>
      <c r="S332" t="b">
        <v>0</v>
      </c>
      <c r="T332" t="s">
        <v>124</v>
      </c>
    </row>
    <row r="333">
      <c r="A333" t="s">
        <v>839</v>
      </c>
      <c r="B333" t="s">
        <v>831</v>
      </c>
      <c r="C333" s="2">
        <v>2025</v>
      </c>
      <c r="D333" s="10">
        <v>6</v>
      </c>
      <c r="E333" s="10">
        <v>25</v>
      </c>
      <c r="F333" t="s">
        <v>840</v>
      </c>
      <c r="G333">
        <v>62427.099999999999</v>
      </c>
      <c r="H333" t="s">
        <v>206</v>
      </c>
      <c r="I333" t="s">
        <v>281</v>
      </c>
      <c r="J333" s="10" t="str">
        <f>VLOOKUP(I333,Categories!A:B,2,FALSE)</f>
        <v>Others</v>
      </c>
      <c r="K333" t="s">
        <v>123</v>
      </c>
      <c r="L333" s="10" t="str">
        <f>VLOOKUP(K333,Accounts!A:B,2,FALSE)</f>
        <v>KBank</v>
      </c>
      <c r="M333" t="s">
        <v>124</v>
      </c>
      <c r="N333" s="10"/>
      <c r="O333" t="s">
        <v>125</v>
      </c>
      <c r="Q333" t="s">
        <v>126</v>
      </c>
      <c r="R333" t="s">
        <v>124</v>
      </c>
      <c r="S333" t="b">
        <v>0</v>
      </c>
      <c r="T333" t="s">
        <v>124</v>
      </c>
    </row>
    <row r="334">
      <c r="A334" t="s">
        <v>841</v>
      </c>
      <c r="B334" t="s">
        <v>831</v>
      </c>
      <c r="C334" s="2">
        <v>2025</v>
      </c>
      <c r="D334" s="10">
        <v>6</v>
      </c>
      <c r="E334" s="10">
        <v>25</v>
      </c>
      <c r="F334" t="s">
        <v>827</v>
      </c>
      <c r="G334">
        <v>50</v>
      </c>
      <c r="H334" t="s">
        <v>69</v>
      </c>
      <c r="I334" t="s">
        <v>150</v>
      </c>
      <c r="J334" s="10" t="str">
        <f>VLOOKUP(I334,Categories!A:B,2,FALSE)</f>
        <v xml:space="preserve">Food &amp; Coff</v>
      </c>
      <c r="K334" t="s">
        <v>123</v>
      </c>
      <c r="L334" s="10" t="str">
        <f>VLOOKUP(K334,Accounts!A:B,2,FALSE)</f>
        <v>KBank</v>
      </c>
      <c r="M334" t="s">
        <v>124</v>
      </c>
      <c r="N334" s="10"/>
      <c r="O334" t="s">
        <v>125</v>
      </c>
      <c r="Q334" t="s">
        <v>126</v>
      </c>
      <c r="R334" t="s">
        <v>124</v>
      </c>
      <c r="S334" t="b">
        <v>0</v>
      </c>
      <c r="T334" t="s">
        <v>124</v>
      </c>
    </row>
    <row r="335">
      <c r="A335" t="s">
        <v>842</v>
      </c>
      <c r="B335" t="s">
        <v>831</v>
      </c>
      <c r="C335" s="2">
        <v>2025</v>
      </c>
      <c r="D335" s="10">
        <v>6</v>
      </c>
      <c r="E335" s="10">
        <v>25</v>
      </c>
      <c r="F335" t="s">
        <v>843</v>
      </c>
      <c r="G335">
        <v>31</v>
      </c>
      <c r="H335" t="s">
        <v>206</v>
      </c>
      <c r="I335" t="s">
        <v>531</v>
      </c>
      <c r="J335" s="10" t="str">
        <f>VLOOKUP(I335,Categories!A:B,2,FALSE)</f>
        <v>Dividends</v>
      </c>
      <c r="K335" t="s">
        <v>844</v>
      </c>
      <c r="L335" s="10" t="str">
        <f>VLOOKUP(K335,Accounts!A:B,2,FALSE)</f>
        <v>BBL</v>
      </c>
      <c r="M335" t="s">
        <v>124</v>
      </c>
      <c r="N335" s="10"/>
      <c r="O335" t="s">
        <v>125</v>
      </c>
      <c r="Q335" t="s">
        <v>126</v>
      </c>
      <c r="R335" t="s">
        <v>124</v>
      </c>
      <c r="S335" t="b">
        <v>0</v>
      </c>
      <c r="T335" t="s">
        <v>124</v>
      </c>
    </row>
    <row r="336">
      <c r="A336" t="s">
        <v>845</v>
      </c>
      <c r="B336" t="s">
        <v>846</v>
      </c>
      <c r="C336" s="2">
        <v>2025</v>
      </c>
      <c r="D336" s="10">
        <v>6</v>
      </c>
      <c r="E336" s="10">
        <v>23</v>
      </c>
      <c r="F336" t="s">
        <v>847</v>
      </c>
      <c r="G336">
        <v>200</v>
      </c>
      <c r="H336" t="s">
        <v>69</v>
      </c>
      <c r="I336" t="s">
        <v>150</v>
      </c>
      <c r="J336" s="10" t="str">
        <f>VLOOKUP(I336,Categories!A:B,2,FALSE)</f>
        <v xml:space="preserve">Food &amp; Coff</v>
      </c>
      <c r="K336" t="s">
        <v>123</v>
      </c>
      <c r="L336" s="10" t="str">
        <f>VLOOKUP(K336,Accounts!A:B,2,FALSE)</f>
        <v>KBank</v>
      </c>
      <c r="M336" t="s">
        <v>124</v>
      </c>
      <c r="N336" s="10"/>
      <c r="O336" t="s">
        <v>125</v>
      </c>
      <c r="Q336" t="s">
        <v>126</v>
      </c>
      <c r="R336" t="s">
        <v>124</v>
      </c>
      <c r="S336" t="b">
        <v>0</v>
      </c>
      <c r="T336" t="s">
        <v>124</v>
      </c>
    </row>
    <row r="337">
      <c r="A337" t="s">
        <v>848</v>
      </c>
      <c r="B337" t="s">
        <v>846</v>
      </c>
      <c r="C337" s="2">
        <v>2025</v>
      </c>
      <c r="D337" s="10">
        <v>6</v>
      </c>
      <c r="E337" s="10">
        <v>23</v>
      </c>
      <c r="F337" t="s">
        <v>407</v>
      </c>
      <c r="G337">
        <v>279</v>
      </c>
      <c r="H337" t="s">
        <v>69</v>
      </c>
      <c r="I337" t="s">
        <v>150</v>
      </c>
      <c r="J337" s="10" t="str">
        <f>VLOOKUP(I337,Categories!A:B,2,FALSE)</f>
        <v xml:space="preserve">Food &amp; Coff</v>
      </c>
      <c r="K337" t="s">
        <v>178</v>
      </c>
      <c r="L337" s="10" t="str">
        <f>VLOOKUP(K337,Accounts!A:B,2,FALSE)</f>
        <v>SCB</v>
      </c>
      <c r="M337" t="s">
        <v>124</v>
      </c>
      <c r="N337" s="10"/>
      <c r="O337" t="s">
        <v>125</v>
      </c>
      <c r="Q337" t="s">
        <v>126</v>
      </c>
      <c r="R337" t="s">
        <v>124</v>
      </c>
      <c r="S337" t="b">
        <v>0</v>
      </c>
      <c r="T337" t="s">
        <v>124</v>
      </c>
    </row>
    <row r="338">
      <c r="A338" t="s">
        <v>849</v>
      </c>
      <c r="B338" t="s">
        <v>850</v>
      </c>
      <c r="C338" s="2">
        <v>2025</v>
      </c>
      <c r="D338" s="10">
        <v>6</v>
      </c>
      <c r="E338" s="10">
        <v>22</v>
      </c>
      <c r="F338" t="s">
        <v>851</v>
      </c>
      <c r="G338">
        <v>2890</v>
      </c>
      <c r="H338" t="s">
        <v>128</v>
      </c>
      <c r="I338" t="s">
        <v>136</v>
      </c>
      <c r="J338" s="10" t="str">
        <f>VLOOKUP(I338,Categories!A:B,2,FALSE)</f>
        <v>อื่นๆ</v>
      </c>
      <c r="K338" t="s">
        <v>123</v>
      </c>
      <c r="L338" s="10" t="str">
        <f>VLOOKUP(K338,Accounts!A:B,2,FALSE)</f>
        <v>KBank</v>
      </c>
      <c r="M338" t="s">
        <v>743</v>
      </c>
      <c r="N338" s="10" t="str">
        <f>VLOOKUP(M338,Accounts!A:B,2,FALSE)</f>
        <v>HOMEPRO</v>
      </c>
      <c r="O338" t="s">
        <v>125</v>
      </c>
      <c r="Q338" t="s">
        <v>126</v>
      </c>
      <c r="R338" t="s">
        <v>124</v>
      </c>
      <c r="S338" t="b">
        <v>0</v>
      </c>
      <c r="T338" t="s">
        <v>124</v>
      </c>
    </row>
    <row r="339">
      <c r="A339" t="s">
        <v>852</v>
      </c>
      <c r="B339" t="s">
        <v>850</v>
      </c>
      <c r="C339" s="2">
        <v>2025</v>
      </c>
      <c r="D339" s="10">
        <v>6</v>
      </c>
      <c r="E339" s="10">
        <v>22</v>
      </c>
      <c r="F339" t="s">
        <v>847</v>
      </c>
      <c r="G339">
        <v>11222</v>
      </c>
      <c r="H339" t="s">
        <v>128</v>
      </c>
      <c r="I339" t="s">
        <v>136</v>
      </c>
      <c r="J339" s="10" t="str">
        <f>VLOOKUP(I339,Categories!A:B,2,FALSE)</f>
        <v>อื่นๆ</v>
      </c>
      <c r="K339" t="s">
        <v>123</v>
      </c>
      <c r="L339" s="10" t="str">
        <f>VLOOKUP(K339,Accounts!A:B,2,FALSE)</f>
        <v>KBank</v>
      </c>
      <c r="M339" t="s">
        <v>130</v>
      </c>
      <c r="N339" s="10" t="str">
        <f>VLOOKUP(M339,Accounts!A:B,2,FALSE)</f>
        <v xml:space="preserve">KTC JCB</v>
      </c>
      <c r="O339" t="s">
        <v>125</v>
      </c>
      <c r="Q339" t="s">
        <v>126</v>
      </c>
      <c r="R339" t="s">
        <v>124</v>
      </c>
      <c r="S339" t="b">
        <v>0</v>
      </c>
      <c r="T339" t="s">
        <v>124</v>
      </c>
    </row>
    <row r="340">
      <c r="A340" t="s">
        <v>853</v>
      </c>
      <c r="B340" t="s">
        <v>850</v>
      </c>
      <c r="C340" s="2">
        <v>2025</v>
      </c>
      <c r="D340" s="10">
        <v>6</v>
      </c>
      <c r="E340" s="10">
        <v>22</v>
      </c>
      <c r="F340" t="s">
        <v>854</v>
      </c>
      <c r="G340">
        <v>50993.040000000001</v>
      </c>
      <c r="H340" t="s">
        <v>128</v>
      </c>
      <c r="I340" t="s">
        <v>136</v>
      </c>
      <c r="J340" s="10" t="str">
        <f>VLOOKUP(I340,Categories!A:B,2,FALSE)</f>
        <v>อื่นๆ</v>
      </c>
      <c r="K340" t="s">
        <v>855</v>
      </c>
      <c r="L340" s="10" t="str">
        <f>VLOOKUP(K340,Accounts!A:B,2,FALSE)</f>
        <v xml:space="preserve">Travelcard JPY</v>
      </c>
      <c r="M340" t="s">
        <v>131</v>
      </c>
      <c r="N340" s="10" t="str">
        <f>VLOOKUP(M340,Accounts!A:B,2,FALSE)</f>
        <v xml:space="preserve">Advance Paid</v>
      </c>
      <c r="O340" t="s">
        <v>125</v>
      </c>
      <c r="Q340" t="s">
        <v>126</v>
      </c>
      <c r="R340" t="s">
        <v>124</v>
      </c>
      <c r="S340" t="b">
        <v>0</v>
      </c>
      <c r="T340" t="s">
        <v>124</v>
      </c>
    </row>
    <row r="341">
      <c r="A341" t="s">
        <v>856</v>
      </c>
      <c r="B341" t="s">
        <v>850</v>
      </c>
      <c r="C341" s="2">
        <v>2025</v>
      </c>
      <c r="D341" s="10">
        <v>6</v>
      </c>
      <c r="E341" s="10">
        <v>22</v>
      </c>
      <c r="F341" t="s">
        <v>857</v>
      </c>
      <c r="G341">
        <v>9229</v>
      </c>
      <c r="H341" t="s">
        <v>128</v>
      </c>
      <c r="I341" t="s">
        <v>136</v>
      </c>
      <c r="J341" s="10" t="str">
        <f>VLOOKUP(I341,Categories!A:B,2,FALSE)</f>
        <v>อื่นๆ</v>
      </c>
      <c r="K341" t="s">
        <v>130</v>
      </c>
      <c r="L341" s="10" t="str">
        <f>VLOOKUP(K341,Accounts!A:B,2,FALSE)</f>
        <v xml:space="preserve">KTC JCB</v>
      </c>
      <c r="M341" t="s">
        <v>131</v>
      </c>
      <c r="N341" s="10" t="str">
        <f>VLOOKUP(M341,Accounts!A:B,2,FALSE)</f>
        <v xml:space="preserve">Advance Paid</v>
      </c>
      <c r="O341" t="s">
        <v>125</v>
      </c>
      <c r="Q341" t="s">
        <v>126</v>
      </c>
      <c r="R341" t="s">
        <v>124</v>
      </c>
      <c r="S341" t="b">
        <v>0</v>
      </c>
      <c r="T341" t="s">
        <v>124</v>
      </c>
    </row>
    <row r="342">
      <c r="A342" t="s">
        <v>858</v>
      </c>
      <c r="B342" t="s">
        <v>850</v>
      </c>
      <c r="C342" s="2">
        <v>2025</v>
      </c>
      <c r="D342" s="10">
        <v>6</v>
      </c>
      <c r="E342" s="10">
        <v>22</v>
      </c>
      <c r="F342" t="s">
        <v>859</v>
      </c>
      <c r="G342">
        <v>40312</v>
      </c>
      <c r="H342" t="s">
        <v>128</v>
      </c>
      <c r="I342" t="s">
        <v>136</v>
      </c>
      <c r="J342" s="10" t="str">
        <f>VLOOKUP(I342,Categories!A:B,2,FALSE)</f>
        <v>อื่นๆ</v>
      </c>
      <c r="K342" t="s">
        <v>131</v>
      </c>
      <c r="L342" s="10" t="str">
        <f>VLOOKUP(K342,Accounts!A:B,2,FALSE)</f>
        <v xml:space="preserve">Advance Paid</v>
      </c>
      <c r="M342" t="s">
        <v>123</v>
      </c>
      <c r="N342" s="10" t="str">
        <f>VLOOKUP(M342,Accounts!A:B,2,FALSE)</f>
        <v>KBank</v>
      </c>
      <c r="O342" t="s">
        <v>860</v>
      </c>
      <c r="Q342" t="s">
        <v>126</v>
      </c>
      <c r="R342" t="s">
        <v>124</v>
      </c>
      <c r="S342" t="b">
        <v>0</v>
      </c>
      <c r="T342" t="s">
        <v>124</v>
      </c>
    </row>
    <row r="343">
      <c r="A343" t="s">
        <v>861</v>
      </c>
      <c r="B343" t="s">
        <v>850</v>
      </c>
      <c r="C343" s="2">
        <v>2025</v>
      </c>
      <c r="D343" s="10">
        <v>6</v>
      </c>
      <c r="E343" s="10">
        <v>22</v>
      </c>
      <c r="F343" t="s">
        <v>862</v>
      </c>
      <c r="G343">
        <v>19910</v>
      </c>
      <c r="H343" t="s">
        <v>69</v>
      </c>
      <c r="I343" t="s">
        <v>338</v>
      </c>
      <c r="J343" s="10" t="str">
        <f>VLOOKUP(I343,Categories!A:B,2,FALSE)</f>
        <v>Trips</v>
      </c>
      <c r="K343" t="s">
        <v>131</v>
      </c>
      <c r="L343" s="10" t="str">
        <f>VLOOKUP(K343,Accounts!A:B,2,FALSE)</f>
        <v xml:space="preserve">Advance Paid</v>
      </c>
      <c r="M343" t="s">
        <v>124</v>
      </c>
      <c r="N343" s="10"/>
      <c r="O343" t="s">
        <v>863</v>
      </c>
      <c r="Q343" t="s">
        <v>126</v>
      </c>
      <c r="R343" t="s">
        <v>124</v>
      </c>
      <c r="S343" t="b">
        <v>0</v>
      </c>
      <c r="T343" t="s">
        <v>124</v>
      </c>
    </row>
    <row r="344">
      <c r="A344" t="s">
        <v>864</v>
      </c>
      <c r="B344" t="s">
        <v>865</v>
      </c>
      <c r="C344" s="2">
        <v>2025</v>
      </c>
      <c r="D344" s="10">
        <v>6</v>
      </c>
      <c r="E344" s="10">
        <v>20</v>
      </c>
      <c r="F344" t="s">
        <v>768</v>
      </c>
      <c r="G344">
        <v>200</v>
      </c>
      <c r="H344" t="s">
        <v>69</v>
      </c>
      <c r="I344" t="s">
        <v>150</v>
      </c>
      <c r="J344" s="10" t="str">
        <f>VLOOKUP(I344,Categories!A:B,2,FALSE)</f>
        <v xml:space="preserve">Food &amp; Coff</v>
      </c>
      <c r="K344" t="s">
        <v>123</v>
      </c>
      <c r="L344" s="10" t="str">
        <f>VLOOKUP(K344,Accounts!A:B,2,FALSE)</f>
        <v>KBank</v>
      </c>
      <c r="M344" t="s">
        <v>124</v>
      </c>
      <c r="N344" s="10"/>
      <c r="O344" t="s">
        <v>125</v>
      </c>
      <c r="Q344" t="s">
        <v>126</v>
      </c>
      <c r="R344" t="s">
        <v>124</v>
      </c>
      <c r="S344" t="b">
        <v>0</v>
      </c>
      <c r="T344" t="s">
        <v>124</v>
      </c>
    </row>
    <row r="345">
      <c r="A345" t="s">
        <v>866</v>
      </c>
      <c r="B345" t="s">
        <v>865</v>
      </c>
      <c r="C345" s="2">
        <v>2025</v>
      </c>
      <c r="D345" s="10">
        <v>6</v>
      </c>
      <c r="E345" s="10">
        <v>20</v>
      </c>
      <c r="F345" t="s">
        <v>770</v>
      </c>
      <c r="G345">
        <v>1194</v>
      </c>
      <c r="H345" t="s">
        <v>206</v>
      </c>
      <c r="I345" t="s">
        <v>531</v>
      </c>
      <c r="J345" s="10" t="str">
        <f>VLOOKUP(I345,Categories!A:B,2,FALSE)</f>
        <v>Dividends</v>
      </c>
      <c r="K345" t="s">
        <v>123</v>
      </c>
      <c r="L345" s="10" t="str">
        <f>VLOOKUP(K345,Accounts!A:B,2,FALSE)</f>
        <v>KBank</v>
      </c>
      <c r="M345" t="s">
        <v>124</v>
      </c>
      <c r="N345" s="10"/>
      <c r="O345" t="s">
        <v>125</v>
      </c>
      <c r="Q345" t="s">
        <v>126</v>
      </c>
      <c r="R345" t="s">
        <v>124</v>
      </c>
      <c r="S345" t="b">
        <v>0</v>
      </c>
      <c r="T345" t="s">
        <v>124</v>
      </c>
    </row>
    <row r="346">
      <c r="A346" t="s">
        <v>867</v>
      </c>
      <c r="B346" t="s">
        <v>868</v>
      </c>
      <c r="C346" s="2">
        <v>2025</v>
      </c>
      <c r="D346" s="10">
        <v>6</v>
      </c>
      <c r="E346" s="10">
        <v>19</v>
      </c>
      <c r="F346" t="s">
        <v>869</v>
      </c>
      <c r="G346">
        <v>2000</v>
      </c>
      <c r="H346" t="s">
        <v>128</v>
      </c>
      <c r="I346" t="s">
        <v>136</v>
      </c>
      <c r="J346" s="10" t="str">
        <f>VLOOKUP(I346,Categories!A:B,2,FALSE)</f>
        <v>อื่นๆ</v>
      </c>
      <c r="K346" t="s">
        <v>123</v>
      </c>
      <c r="L346" s="10" t="str">
        <f>VLOOKUP(K346,Accounts!A:B,2,FALSE)</f>
        <v>KBank</v>
      </c>
      <c r="M346" t="s">
        <v>131</v>
      </c>
      <c r="N346" s="10" t="str">
        <f>VLOOKUP(M346,Accounts!A:B,2,FALSE)</f>
        <v xml:space="preserve">Advance Paid</v>
      </c>
      <c r="O346" t="s">
        <v>125</v>
      </c>
      <c r="Q346" t="s">
        <v>126</v>
      </c>
      <c r="R346" t="s">
        <v>124</v>
      </c>
      <c r="S346" t="b">
        <v>0</v>
      </c>
      <c r="T346" t="s">
        <v>124</v>
      </c>
    </row>
    <row r="347">
      <c r="A347" t="s">
        <v>870</v>
      </c>
      <c r="B347" t="s">
        <v>868</v>
      </c>
      <c r="C347" s="2">
        <v>2025</v>
      </c>
      <c r="D347" s="10">
        <v>6</v>
      </c>
      <c r="E347" s="10">
        <v>19</v>
      </c>
      <c r="F347" t="s">
        <v>871</v>
      </c>
      <c r="G347">
        <v>2000</v>
      </c>
      <c r="H347" t="s">
        <v>69</v>
      </c>
      <c r="I347" t="s">
        <v>150</v>
      </c>
      <c r="J347" s="10" t="str">
        <f>VLOOKUP(I347,Categories!A:B,2,FALSE)</f>
        <v xml:space="preserve">Food &amp; Coff</v>
      </c>
      <c r="K347" t="s">
        <v>130</v>
      </c>
      <c r="L347" s="10" t="str">
        <f>VLOOKUP(K347,Accounts!A:B,2,FALSE)</f>
        <v xml:space="preserve">KTC JCB</v>
      </c>
      <c r="M347" t="s">
        <v>124</v>
      </c>
      <c r="N347" s="10"/>
      <c r="O347" t="s">
        <v>125</v>
      </c>
      <c r="Q347" t="s">
        <v>126</v>
      </c>
      <c r="R347" t="s">
        <v>124</v>
      </c>
      <c r="S347" t="b">
        <v>0</v>
      </c>
      <c r="T347" t="s">
        <v>124</v>
      </c>
    </row>
    <row r="348">
      <c r="A348" t="s">
        <v>872</v>
      </c>
      <c r="B348" t="s">
        <v>868</v>
      </c>
      <c r="C348" s="2">
        <v>2025</v>
      </c>
      <c r="D348" s="10">
        <v>6</v>
      </c>
      <c r="E348" s="10">
        <v>19</v>
      </c>
      <c r="F348" t="s">
        <v>873</v>
      </c>
      <c r="G348">
        <v>2000</v>
      </c>
      <c r="H348" t="s">
        <v>128</v>
      </c>
      <c r="I348" t="s">
        <v>136</v>
      </c>
      <c r="J348" s="10" t="str">
        <f>VLOOKUP(I348,Categories!A:B,2,FALSE)</f>
        <v>อื่นๆ</v>
      </c>
      <c r="K348" t="s">
        <v>131</v>
      </c>
      <c r="L348" s="10" t="str">
        <f>VLOOKUP(K348,Accounts!A:B,2,FALSE)</f>
        <v xml:space="preserve">Advance Paid</v>
      </c>
      <c r="M348" t="s">
        <v>123</v>
      </c>
      <c r="N348" s="10" t="str">
        <f>VLOOKUP(M348,Accounts!A:B,2,FALSE)</f>
        <v>KBank</v>
      </c>
      <c r="O348" t="s">
        <v>125</v>
      </c>
      <c r="Q348" t="s">
        <v>126</v>
      </c>
      <c r="R348" t="s">
        <v>124</v>
      </c>
      <c r="S348" t="b">
        <v>0</v>
      </c>
      <c r="T348" t="s">
        <v>124</v>
      </c>
    </row>
    <row r="349">
      <c r="A349" t="s">
        <v>874</v>
      </c>
      <c r="B349" t="s">
        <v>875</v>
      </c>
      <c r="C349" s="2">
        <v>2025</v>
      </c>
      <c r="D349" s="10">
        <v>6</v>
      </c>
      <c r="E349" s="10">
        <v>15</v>
      </c>
      <c r="F349" t="s">
        <v>876</v>
      </c>
      <c r="G349">
        <v>8000</v>
      </c>
      <c r="H349" t="s">
        <v>69</v>
      </c>
      <c r="I349" t="s">
        <v>144</v>
      </c>
      <c r="J349" s="10" t="str">
        <f>VLOOKUP(I349,Categories!A:B,2,FALSE)</f>
        <v xml:space="preserve">Family paid</v>
      </c>
      <c r="K349" t="s">
        <v>123</v>
      </c>
      <c r="L349" s="10" t="str">
        <f>VLOOKUP(K349,Accounts!A:B,2,FALSE)</f>
        <v>KBank</v>
      </c>
      <c r="M349" t="s">
        <v>124</v>
      </c>
      <c r="N349" s="10"/>
      <c r="O349" t="s">
        <v>125</v>
      </c>
      <c r="Q349" t="s">
        <v>126</v>
      </c>
      <c r="R349" t="s">
        <v>124</v>
      </c>
      <c r="S349" t="b">
        <v>0</v>
      </c>
      <c r="T349" t="s">
        <v>124</v>
      </c>
    </row>
    <row r="350">
      <c r="A350" t="s">
        <v>877</v>
      </c>
      <c r="B350" t="s">
        <v>878</v>
      </c>
      <c r="C350" s="2">
        <v>2025</v>
      </c>
      <c r="D350" s="10">
        <v>6</v>
      </c>
      <c r="E350" s="10">
        <v>14</v>
      </c>
      <c r="F350" t="s">
        <v>879</v>
      </c>
      <c r="G350">
        <v>10000</v>
      </c>
      <c r="H350" t="s">
        <v>128</v>
      </c>
      <c r="I350" t="s">
        <v>136</v>
      </c>
      <c r="J350" s="10" t="str">
        <f>VLOOKUP(I350,Categories!A:B,2,FALSE)</f>
        <v>อื่นๆ</v>
      </c>
      <c r="K350" t="s">
        <v>213</v>
      </c>
      <c r="L350" s="10" t="str">
        <f>VLOOKUP(K350,Accounts!A:B,2,FALSE)</f>
        <v xml:space="preserve">Krungthai Next</v>
      </c>
      <c r="M350" t="s">
        <v>123</v>
      </c>
      <c r="N350" s="10" t="str">
        <f>VLOOKUP(M350,Accounts!A:B,2,FALSE)</f>
        <v>KBank</v>
      </c>
      <c r="O350" t="s">
        <v>125</v>
      </c>
      <c r="Q350" t="s">
        <v>126</v>
      </c>
      <c r="R350" t="s">
        <v>124</v>
      </c>
      <c r="S350" t="b">
        <v>0</v>
      </c>
      <c r="T350" t="s">
        <v>124</v>
      </c>
    </row>
    <row r="351">
      <c r="A351" t="s">
        <v>880</v>
      </c>
      <c r="B351" t="s">
        <v>878</v>
      </c>
      <c r="C351" s="2">
        <v>2025</v>
      </c>
      <c r="D351" s="10">
        <v>6</v>
      </c>
      <c r="E351" s="10">
        <v>14</v>
      </c>
      <c r="F351" t="s">
        <v>879</v>
      </c>
      <c r="G351">
        <v>39000</v>
      </c>
      <c r="H351" t="s">
        <v>128</v>
      </c>
      <c r="I351" t="s">
        <v>136</v>
      </c>
      <c r="J351" s="10" t="str">
        <f>VLOOKUP(I351,Categories!A:B,2,FALSE)</f>
        <v>อื่นๆ</v>
      </c>
      <c r="K351" t="s">
        <v>844</v>
      </c>
      <c r="L351" s="10" t="str">
        <f>VLOOKUP(K351,Accounts!A:B,2,FALSE)</f>
        <v>BBL</v>
      </c>
      <c r="M351" t="s">
        <v>123</v>
      </c>
      <c r="N351" s="10" t="str">
        <f>VLOOKUP(M351,Accounts!A:B,2,FALSE)</f>
        <v>KBank</v>
      </c>
      <c r="O351" t="s">
        <v>125</v>
      </c>
      <c r="Q351" t="s">
        <v>126</v>
      </c>
      <c r="R351" t="s">
        <v>124</v>
      </c>
      <c r="S351" t="b">
        <v>0</v>
      </c>
      <c r="T351" t="s">
        <v>124</v>
      </c>
    </row>
    <row r="352">
      <c r="A352" t="s">
        <v>881</v>
      </c>
      <c r="B352" t="s">
        <v>878</v>
      </c>
      <c r="C352" s="2">
        <v>2025</v>
      </c>
      <c r="D352" s="10">
        <v>6</v>
      </c>
      <c r="E352" s="10">
        <v>14</v>
      </c>
      <c r="F352" t="s">
        <v>882</v>
      </c>
      <c r="G352">
        <v>34811</v>
      </c>
      <c r="H352" t="s">
        <v>128</v>
      </c>
      <c r="I352" t="s">
        <v>136</v>
      </c>
      <c r="J352" s="10" t="str">
        <f>VLOOKUP(I352,Categories!A:B,2,FALSE)</f>
        <v>อื่นๆ</v>
      </c>
      <c r="K352" t="s">
        <v>131</v>
      </c>
      <c r="L352" s="10" t="str">
        <f>VLOOKUP(K352,Accounts!A:B,2,FALSE)</f>
        <v xml:space="preserve">Advance Paid</v>
      </c>
      <c r="M352" t="s">
        <v>123</v>
      </c>
      <c r="N352" s="10" t="str">
        <f>VLOOKUP(M352,Accounts!A:B,2,FALSE)</f>
        <v>KBank</v>
      </c>
      <c r="O352" t="s">
        <v>883</v>
      </c>
      <c r="Q352" t="s">
        <v>126</v>
      </c>
      <c r="R352" t="s">
        <v>124</v>
      </c>
      <c r="S352" t="b">
        <v>0</v>
      </c>
      <c r="T352" t="s">
        <v>124</v>
      </c>
    </row>
    <row r="353">
      <c r="A353" t="s">
        <v>884</v>
      </c>
      <c r="B353" t="s">
        <v>878</v>
      </c>
      <c r="C353" s="2">
        <v>2025</v>
      </c>
      <c r="D353" s="10">
        <v>6</v>
      </c>
      <c r="E353" s="10">
        <v>14</v>
      </c>
      <c r="F353" t="s">
        <v>885</v>
      </c>
      <c r="G353">
        <v>5189</v>
      </c>
      <c r="H353" t="s">
        <v>69</v>
      </c>
      <c r="I353" t="s">
        <v>338</v>
      </c>
      <c r="J353" s="10" t="str">
        <f>VLOOKUP(I353,Categories!A:B,2,FALSE)</f>
        <v>Trips</v>
      </c>
      <c r="K353" t="s">
        <v>131</v>
      </c>
      <c r="L353" s="10" t="str">
        <f>VLOOKUP(K353,Accounts!A:B,2,FALSE)</f>
        <v xml:space="preserve">Advance Paid</v>
      </c>
      <c r="M353" t="s">
        <v>124</v>
      </c>
      <c r="N353" s="10"/>
      <c r="O353" t="s">
        <v>863</v>
      </c>
      <c r="Q353" t="s">
        <v>126</v>
      </c>
      <c r="R353" t="s">
        <v>124</v>
      </c>
      <c r="S353" t="b">
        <v>0</v>
      </c>
      <c r="T353" t="s">
        <v>124</v>
      </c>
    </row>
    <row r="354">
      <c r="A354" t="s">
        <v>886</v>
      </c>
      <c r="B354" t="s">
        <v>887</v>
      </c>
      <c r="C354" s="2">
        <v>2025</v>
      </c>
      <c r="D354" s="10">
        <v>6</v>
      </c>
      <c r="E354" s="10">
        <v>10</v>
      </c>
      <c r="F354" t="s">
        <v>888</v>
      </c>
      <c r="G354">
        <v>230</v>
      </c>
      <c r="H354" t="s">
        <v>69</v>
      </c>
      <c r="I354" t="s">
        <v>150</v>
      </c>
      <c r="J354" s="10" t="str">
        <f>VLOOKUP(I354,Categories!A:B,2,FALSE)</f>
        <v xml:space="preserve">Food &amp; Coff</v>
      </c>
      <c r="K354" t="s">
        <v>123</v>
      </c>
      <c r="L354" s="10" t="str">
        <f>VLOOKUP(K354,Accounts!A:B,2,FALSE)</f>
        <v>KBank</v>
      </c>
      <c r="M354" t="s">
        <v>124</v>
      </c>
      <c r="N354" s="10"/>
      <c r="O354" t="s">
        <v>125</v>
      </c>
      <c r="Q354" t="s">
        <v>126</v>
      </c>
      <c r="R354" t="s">
        <v>124</v>
      </c>
      <c r="S354" t="b">
        <v>0</v>
      </c>
      <c r="T354" t="s">
        <v>124</v>
      </c>
    </row>
    <row r="355">
      <c r="A355" t="s">
        <v>889</v>
      </c>
      <c r="B355" t="s">
        <v>887</v>
      </c>
      <c r="C355" s="2">
        <v>2025</v>
      </c>
      <c r="D355" s="10">
        <v>6</v>
      </c>
      <c r="E355" s="10">
        <v>10</v>
      </c>
      <c r="F355" t="s">
        <v>234</v>
      </c>
      <c r="G355">
        <v>2890</v>
      </c>
      <c r="H355" t="s">
        <v>69</v>
      </c>
      <c r="I355" t="s">
        <v>141</v>
      </c>
      <c r="J355" s="10" t="str">
        <f>VLOOKUP(I355,Categories!A:B,2,FALSE)</f>
        <v>Other</v>
      </c>
      <c r="K355" t="s">
        <v>743</v>
      </c>
      <c r="L355" s="10" t="str">
        <f>VLOOKUP(K355,Accounts!A:B,2,FALSE)</f>
        <v>HOMEPRO</v>
      </c>
      <c r="M355" t="s">
        <v>124</v>
      </c>
      <c r="N355" s="10"/>
      <c r="O355" t="s">
        <v>890</v>
      </c>
      <c r="Q355" t="s">
        <v>126</v>
      </c>
      <c r="R355" t="s">
        <v>124</v>
      </c>
      <c r="S355" t="b">
        <v>0</v>
      </c>
      <c r="T355" t="s">
        <v>124</v>
      </c>
    </row>
    <row r="356">
      <c r="A356" t="s">
        <v>891</v>
      </c>
      <c r="B356" t="s">
        <v>892</v>
      </c>
      <c r="C356" s="2">
        <v>2025</v>
      </c>
      <c r="D356" s="10">
        <v>6</v>
      </c>
      <c r="E356" s="10">
        <v>9</v>
      </c>
      <c r="F356" t="s">
        <v>417</v>
      </c>
      <c r="G356">
        <v>600</v>
      </c>
      <c r="H356" t="s">
        <v>128</v>
      </c>
      <c r="I356" t="s">
        <v>136</v>
      </c>
      <c r="J356" s="10" t="str">
        <f>VLOOKUP(I356,Categories!A:B,2,FALSE)</f>
        <v>อื่นๆ</v>
      </c>
      <c r="K356" t="s">
        <v>178</v>
      </c>
      <c r="L356" s="10" t="str">
        <f>VLOOKUP(K356,Accounts!A:B,2,FALSE)</f>
        <v>SCB</v>
      </c>
      <c r="M356" t="s">
        <v>893</v>
      </c>
      <c r="N356" s="10" t="str">
        <f>VLOOKUP(M356,Accounts!A:B,2,FALSE)</f>
        <v>Shopee</v>
      </c>
      <c r="O356" t="s">
        <v>894</v>
      </c>
      <c r="Q356" t="s">
        <v>126</v>
      </c>
      <c r="R356" t="s">
        <v>124</v>
      </c>
      <c r="S356" t="b">
        <v>0</v>
      </c>
      <c r="T356" t="s">
        <v>124</v>
      </c>
    </row>
    <row r="357">
      <c r="A357" t="s">
        <v>895</v>
      </c>
      <c r="B357" t="s">
        <v>896</v>
      </c>
      <c r="C357" s="2">
        <v>2025</v>
      </c>
      <c r="D357" s="10">
        <v>6</v>
      </c>
      <c r="E357" s="10">
        <v>5</v>
      </c>
      <c r="F357" t="s">
        <v>897</v>
      </c>
      <c r="G357">
        <v>147</v>
      </c>
      <c r="H357" t="s">
        <v>69</v>
      </c>
      <c r="I357" t="s">
        <v>150</v>
      </c>
      <c r="J357" s="10" t="str">
        <f>VLOOKUP(I357,Categories!A:B,2,FALSE)</f>
        <v xml:space="preserve">Food &amp; Coff</v>
      </c>
      <c r="K357" t="s">
        <v>123</v>
      </c>
      <c r="L357" s="10" t="str">
        <f>VLOOKUP(K357,Accounts!A:B,2,FALSE)</f>
        <v>KBank</v>
      </c>
      <c r="M357" t="s">
        <v>124</v>
      </c>
      <c r="N357" s="10"/>
      <c r="O357" t="s">
        <v>125</v>
      </c>
      <c r="Q357" t="s">
        <v>126</v>
      </c>
      <c r="R357" t="s">
        <v>124</v>
      </c>
      <c r="S357" t="b">
        <v>0</v>
      </c>
      <c r="T357" t="s">
        <v>124</v>
      </c>
    </row>
    <row r="358">
      <c r="A358" t="s">
        <v>898</v>
      </c>
      <c r="B358" t="s">
        <v>896</v>
      </c>
      <c r="C358" s="2">
        <v>2025</v>
      </c>
      <c r="D358" s="10">
        <v>6</v>
      </c>
      <c r="E358" s="10">
        <v>5</v>
      </c>
      <c r="F358" t="s">
        <v>899</v>
      </c>
      <c r="G358">
        <v>5000</v>
      </c>
      <c r="H358" t="s">
        <v>69</v>
      </c>
      <c r="I358" t="s">
        <v>150</v>
      </c>
      <c r="J358" s="10" t="str">
        <f>VLOOKUP(I358,Categories!A:B,2,FALSE)</f>
        <v xml:space="preserve">Food &amp; Coff</v>
      </c>
      <c r="K358" t="s">
        <v>123</v>
      </c>
      <c r="L358" s="10" t="str">
        <f>VLOOKUP(K358,Accounts!A:B,2,FALSE)</f>
        <v>KBank</v>
      </c>
      <c r="M358" t="s">
        <v>124</v>
      </c>
      <c r="N358" s="10"/>
      <c r="O358" t="s">
        <v>125</v>
      </c>
      <c r="Q358" t="s">
        <v>126</v>
      </c>
      <c r="R358" t="s">
        <v>124</v>
      </c>
      <c r="S358" t="b">
        <v>0</v>
      </c>
      <c r="T358" t="s">
        <v>124</v>
      </c>
    </row>
    <row r="359">
      <c r="A359" t="s">
        <v>900</v>
      </c>
      <c r="B359" t="s">
        <v>896</v>
      </c>
      <c r="C359" s="2">
        <v>2025</v>
      </c>
      <c r="D359" s="10">
        <v>6</v>
      </c>
      <c r="E359" s="10">
        <v>5</v>
      </c>
      <c r="F359" t="s">
        <v>899</v>
      </c>
      <c r="G359">
        <v>210</v>
      </c>
      <c r="H359" t="s">
        <v>69</v>
      </c>
      <c r="I359" t="s">
        <v>150</v>
      </c>
      <c r="J359" s="10" t="str">
        <f>VLOOKUP(I359,Categories!A:B,2,FALSE)</f>
        <v xml:space="preserve">Food &amp; Coff</v>
      </c>
      <c r="K359" t="s">
        <v>123</v>
      </c>
      <c r="L359" s="10" t="str">
        <f>VLOOKUP(K359,Accounts!A:B,2,FALSE)</f>
        <v>KBank</v>
      </c>
      <c r="M359" t="s">
        <v>124</v>
      </c>
      <c r="N359" s="10"/>
      <c r="O359" t="s">
        <v>125</v>
      </c>
      <c r="Q359" t="s">
        <v>126</v>
      </c>
      <c r="R359" t="s">
        <v>124</v>
      </c>
      <c r="S359" t="b">
        <v>0</v>
      </c>
      <c r="T359" t="s">
        <v>124</v>
      </c>
    </row>
    <row r="360">
      <c r="A360" t="s">
        <v>901</v>
      </c>
      <c r="B360" t="s">
        <v>902</v>
      </c>
      <c r="C360" s="2">
        <v>2025</v>
      </c>
      <c r="D360" s="10">
        <v>6</v>
      </c>
      <c r="E360" s="10">
        <v>4</v>
      </c>
      <c r="F360" t="s">
        <v>903</v>
      </c>
      <c r="G360">
        <v>4000</v>
      </c>
      <c r="H360" t="s">
        <v>69</v>
      </c>
      <c r="I360" t="s">
        <v>122</v>
      </c>
      <c r="J360" s="10" t="str">
        <f>VLOOKUP(I360,Categories!A:B,2,FALSE)</f>
        <v>Other</v>
      </c>
      <c r="K360" t="s">
        <v>123</v>
      </c>
      <c r="L360" s="10" t="str">
        <f>VLOOKUP(K360,Accounts!A:B,2,FALSE)</f>
        <v>KBank</v>
      </c>
      <c r="M360" t="s">
        <v>124</v>
      </c>
      <c r="N360" s="10"/>
      <c r="O360" t="s">
        <v>125</v>
      </c>
      <c r="Q360" t="s">
        <v>126</v>
      </c>
      <c r="R360" t="s">
        <v>124</v>
      </c>
      <c r="S360" t="b">
        <v>0</v>
      </c>
      <c r="T360" t="s">
        <v>124</v>
      </c>
    </row>
    <row r="361">
      <c r="A361" t="s">
        <v>904</v>
      </c>
      <c r="B361" t="s">
        <v>902</v>
      </c>
      <c r="C361" s="2">
        <v>2025</v>
      </c>
      <c r="D361" s="10">
        <v>6</v>
      </c>
      <c r="E361" s="10">
        <v>4</v>
      </c>
      <c r="F361" t="s">
        <v>905</v>
      </c>
      <c r="G361">
        <v>9409</v>
      </c>
      <c r="H361" t="s">
        <v>206</v>
      </c>
      <c r="I361" t="s">
        <v>531</v>
      </c>
      <c r="J361" s="10" t="str">
        <f>VLOOKUP(I361,Categories!A:B,2,FALSE)</f>
        <v>Dividends</v>
      </c>
      <c r="K361" t="s">
        <v>844</v>
      </c>
      <c r="L361" s="10" t="str">
        <f>VLOOKUP(K361,Accounts!A:B,2,FALSE)</f>
        <v>BBL</v>
      </c>
      <c r="M361" t="s">
        <v>124</v>
      </c>
      <c r="N361" s="10"/>
      <c r="O361" t="s">
        <v>125</v>
      </c>
      <c r="Q361" t="s">
        <v>126</v>
      </c>
      <c r="R361" t="s">
        <v>124</v>
      </c>
      <c r="S361" t="b">
        <v>0</v>
      </c>
      <c r="T361" t="s">
        <v>124</v>
      </c>
    </row>
    <row r="362">
      <c r="A362" t="s">
        <v>906</v>
      </c>
      <c r="B362" t="s">
        <v>907</v>
      </c>
      <c r="C362" s="2">
        <v>2025</v>
      </c>
      <c r="D362" s="10">
        <v>5</v>
      </c>
      <c r="E362" s="10">
        <v>28</v>
      </c>
      <c r="F362" t="s">
        <v>903</v>
      </c>
      <c r="G362">
        <v>300</v>
      </c>
      <c r="H362" t="s">
        <v>128</v>
      </c>
      <c r="I362" t="s">
        <v>136</v>
      </c>
      <c r="J362" s="10" t="str">
        <f>VLOOKUP(I362,Categories!A:B,2,FALSE)</f>
        <v>อื่นๆ</v>
      </c>
      <c r="K362" t="s">
        <v>123</v>
      </c>
      <c r="L362" s="10" t="str">
        <f>VLOOKUP(K362,Accounts!A:B,2,FALSE)</f>
        <v>KBank</v>
      </c>
      <c r="M362" t="s">
        <v>710</v>
      </c>
      <c r="N362" s="10" t="str">
        <f>VLOOKUP(M362,Accounts!A:B,2,FALSE)</f>
        <v xml:space="preserve">Line Pay</v>
      </c>
      <c r="O362" t="s">
        <v>125</v>
      </c>
      <c r="Q362" t="s">
        <v>126</v>
      </c>
      <c r="R362" t="s">
        <v>124</v>
      </c>
      <c r="S362" t="b">
        <v>0</v>
      </c>
      <c r="T362" t="s">
        <v>124</v>
      </c>
    </row>
    <row r="363">
      <c r="A363" t="s">
        <v>908</v>
      </c>
      <c r="B363" t="s">
        <v>909</v>
      </c>
      <c r="C363" s="2">
        <v>2025</v>
      </c>
      <c r="D363" s="10">
        <v>5</v>
      </c>
      <c r="E363" s="10">
        <v>27</v>
      </c>
      <c r="F363" t="s">
        <v>121</v>
      </c>
      <c r="G363">
        <v>3073.6900000000001</v>
      </c>
      <c r="H363" t="s">
        <v>69</v>
      </c>
      <c r="I363" t="s">
        <v>199</v>
      </c>
      <c r="J363" s="10" t="str">
        <f>VLOOKUP(I363,Categories!A:B,2,FALSE)</f>
        <v xml:space="preserve">Home Chomthong Interest</v>
      </c>
      <c r="K363" t="s">
        <v>123</v>
      </c>
      <c r="L363" s="10" t="str">
        <f>VLOOKUP(K363,Accounts!A:B,2,FALSE)</f>
        <v>KBank</v>
      </c>
      <c r="M363" t="s">
        <v>124</v>
      </c>
      <c r="N363" s="10"/>
      <c r="O363" t="s">
        <v>125</v>
      </c>
      <c r="Q363" t="s">
        <v>126</v>
      </c>
      <c r="R363" t="s">
        <v>124</v>
      </c>
      <c r="S363" t="b">
        <v>0</v>
      </c>
      <c r="T363" t="s">
        <v>124</v>
      </c>
    </row>
    <row r="364">
      <c r="A364" t="s">
        <v>910</v>
      </c>
      <c r="B364" t="s">
        <v>909</v>
      </c>
      <c r="C364" s="2">
        <v>2025</v>
      </c>
      <c r="D364" s="10">
        <v>5</v>
      </c>
      <c r="E364" s="10">
        <v>27</v>
      </c>
      <c r="F364" t="s">
        <v>121</v>
      </c>
      <c r="G364">
        <v>4500</v>
      </c>
      <c r="H364" t="s">
        <v>69</v>
      </c>
      <c r="I364" t="s">
        <v>195</v>
      </c>
      <c r="J364" s="10" t="str">
        <f>VLOOKUP(I364,Categories!A:B,2,FALSE)</f>
        <v>Tax</v>
      </c>
      <c r="K364" t="s">
        <v>123</v>
      </c>
      <c r="L364" s="10" t="str">
        <f>VLOOKUP(K364,Accounts!A:B,2,FALSE)</f>
        <v>KBank</v>
      </c>
      <c r="M364" t="s">
        <v>124</v>
      </c>
      <c r="N364" s="10"/>
      <c r="O364" t="s">
        <v>125</v>
      </c>
      <c r="Q364" t="s">
        <v>126</v>
      </c>
      <c r="R364" t="s">
        <v>124</v>
      </c>
      <c r="S364" t="b">
        <v>0</v>
      </c>
      <c r="T364" t="s">
        <v>124</v>
      </c>
    </row>
    <row r="365">
      <c r="A365" t="s">
        <v>911</v>
      </c>
      <c r="B365" t="s">
        <v>909</v>
      </c>
      <c r="C365" s="2">
        <v>2025</v>
      </c>
      <c r="D365" s="10">
        <v>5</v>
      </c>
      <c r="E365" s="10">
        <v>27</v>
      </c>
      <c r="F365" t="s">
        <v>121</v>
      </c>
      <c r="G365">
        <v>3025.1999999999998</v>
      </c>
      <c r="H365" t="s">
        <v>128</v>
      </c>
      <c r="I365" t="s">
        <v>136</v>
      </c>
      <c r="J365" s="10" t="str">
        <f>VLOOKUP(I365,Categories!A:B,2,FALSE)</f>
        <v>อื่นๆ</v>
      </c>
      <c r="K365" t="s">
        <v>123</v>
      </c>
      <c r="L365" s="10" t="str">
        <f>VLOOKUP(K365,Accounts!A:B,2,FALSE)</f>
        <v>KBank</v>
      </c>
      <c r="M365" t="s">
        <v>203</v>
      </c>
      <c r="N365" s="10" t="str">
        <f>VLOOKUP(M365,Accounts!A:B,2,FALSE)</f>
        <v xml:space="preserve">Provident Fund</v>
      </c>
      <c r="O365" t="s">
        <v>125</v>
      </c>
      <c r="Q365" t="s">
        <v>126</v>
      </c>
      <c r="R365" t="s">
        <v>124</v>
      </c>
      <c r="S365" t="b">
        <v>0</v>
      </c>
      <c r="T365" t="s">
        <v>124</v>
      </c>
    </row>
    <row r="366">
      <c r="A366" t="s">
        <v>912</v>
      </c>
      <c r="B366" t="s">
        <v>909</v>
      </c>
      <c r="C366" s="2">
        <v>2025</v>
      </c>
      <c r="D366" s="10">
        <v>5</v>
      </c>
      <c r="E366" s="10">
        <v>27</v>
      </c>
      <c r="F366" t="s">
        <v>121</v>
      </c>
      <c r="G366">
        <v>139.50999999999999</v>
      </c>
      <c r="H366" t="s">
        <v>69</v>
      </c>
      <c r="I366" t="s">
        <v>443</v>
      </c>
      <c r="J366" s="10" t="str">
        <f>VLOOKUP(I366,Categories!A:B,2,FALSE)</f>
        <v xml:space="preserve">City SV Interest</v>
      </c>
      <c r="K366" t="s">
        <v>123</v>
      </c>
      <c r="L366" s="10" t="str">
        <f>VLOOKUP(K366,Accounts!A:B,2,FALSE)</f>
        <v>KBank</v>
      </c>
      <c r="M366" t="s">
        <v>124</v>
      </c>
      <c r="N366" s="10"/>
      <c r="O366" t="s">
        <v>125</v>
      </c>
      <c r="Q366" t="s">
        <v>126</v>
      </c>
      <c r="R366" t="s">
        <v>124</v>
      </c>
      <c r="S366" t="b">
        <v>0</v>
      </c>
      <c r="T366" t="s">
        <v>124</v>
      </c>
    </row>
    <row r="367">
      <c r="A367" t="s">
        <v>913</v>
      </c>
      <c r="B367" t="s">
        <v>909</v>
      </c>
      <c r="C367" s="2">
        <v>2025</v>
      </c>
      <c r="D367" s="10">
        <v>5</v>
      </c>
      <c r="E367" s="10">
        <v>27</v>
      </c>
      <c r="F367" t="s">
        <v>121</v>
      </c>
      <c r="G367">
        <v>500</v>
      </c>
      <c r="H367" t="s">
        <v>128</v>
      </c>
      <c r="I367" t="s">
        <v>136</v>
      </c>
      <c r="J367" s="10" t="str">
        <f>VLOOKUP(I367,Categories!A:B,2,FALSE)</f>
        <v>อื่นๆ</v>
      </c>
      <c r="K367" t="s">
        <v>123</v>
      </c>
      <c r="L367" s="10" t="str">
        <f>VLOOKUP(K367,Accounts!A:B,2,FALSE)</f>
        <v>KBank</v>
      </c>
      <c r="M367" t="s">
        <v>201</v>
      </c>
      <c r="N367" s="10" t="str">
        <f>VLOOKUP(M367,Accounts!A:B,2,FALSE)</f>
        <v>Coop</v>
      </c>
      <c r="O367" t="s">
        <v>125</v>
      </c>
      <c r="Q367" t="s">
        <v>126</v>
      </c>
      <c r="R367" t="s">
        <v>124</v>
      </c>
      <c r="S367" t="b">
        <v>0</v>
      </c>
      <c r="T367" t="s">
        <v>124</v>
      </c>
    </row>
    <row r="368">
      <c r="A368" t="s">
        <v>914</v>
      </c>
      <c r="B368" t="s">
        <v>909</v>
      </c>
      <c r="C368" s="2">
        <v>2025</v>
      </c>
      <c r="D368" s="10">
        <v>5</v>
      </c>
      <c r="E368" s="10">
        <v>27</v>
      </c>
      <c r="F368" t="s">
        <v>121</v>
      </c>
      <c r="G368">
        <v>9240</v>
      </c>
      <c r="H368" t="s">
        <v>69</v>
      </c>
      <c r="I368" t="s">
        <v>446</v>
      </c>
      <c r="J368" s="10" t="str">
        <f>VLOOKUP(I368,Categories!A:B,2,FALSE)</f>
        <v xml:space="preserve">Intial city</v>
      </c>
      <c r="K368" t="s">
        <v>123</v>
      </c>
      <c r="L368" s="10" t="str">
        <f>VLOOKUP(K368,Accounts!A:B,2,FALSE)</f>
        <v>KBank</v>
      </c>
      <c r="M368" t="s">
        <v>124</v>
      </c>
      <c r="N368" s="10"/>
      <c r="O368" t="s">
        <v>125</v>
      </c>
      <c r="Q368" t="s">
        <v>126</v>
      </c>
      <c r="R368" t="s">
        <v>124</v>
      </c>
      <c r="S368" t="b">
        <v>0</v>
      </c>
      <c r="T368" t="s">
        <v>124</v>
      </c>
    </row>
    <row r="369">
      <c r="A369" t="s">
        <v>915</v>
      </c>
      <c r="B369" t="s">
        <v>909</v>
      </c>
      <c r="C369" s="2">
        <v>2025</v>
      </c>
      <c r="D369" s="10">
        <v>5</v>
      </c>
      <c r="E369" s="10">
        <v>27</v>
      </c>
      <c r="F369" t="s">
        <v>121</v>
      </c>
      <c r="G369">
        <v>9165</v>
      </c>
      <c r="H369" t="s">
        <v>69</v>
      </c>
      <c r="I369" t="s">
        <v>197</v>
      </c>
      <c r="J369" s="10" t="str">
        <f>VLOOKUP(I369,Categories!A:B,2,FALSE)</f>
        <v xml:space="preserve">Initial Home loan</v>
      </c>
      <c r="K369" t="s">
        <v>123</v>
      </c>
      <c r="L369" s="10" t="str">
        <f>VLOOKUP(K369,Accounts!A:B,2,FALSE)</f>
        <v>KBank</v>
      </c>
      <c r="M369" t="s">
        <v>124</v>
      </c>
      <c r="N369" s="10"/>
      <c r="O369" t="s">
        <v>125</v>
      </c>
      <c r="Q369" t="s">
        <v>126</v>
      </c>
      <c r="R369" t="s">
        <v>124</v>
      </c>
      <c r="S369" t="b">
        <v>0</v>
      </c>
      <c r="T369" t="s">
        <v>124</v>
      </c>
    </row>
    <row r="370">
      <c r="A370" t="s">
        <v>916</v>
      </c>
      <c r="B370" t="s">
        <v>909</v>
      </c>
      <c r="C370" s="2">
        <v>2025</v>
      </c>
      <c r="D370" s="10">
        <v>5</v>
      </c>
      <c r="E370" s="10">
        <v>27</v>
      </c>
      <c r="F370" t="s">
        <v>121</v>
      </c>
      <c r="G370">
        <v>151260</v>
      </c>
      <c r="H370" t="s">
        <v>206</v>
      </c>
      <c r="I370" t="s">
        <v>207</v>
      </c>
      <c r="J370" s="10" t="str">
        <f>VLOOKUP(I370,Categories!A:B,2,FALSE)</f>
        <v>Salary</v>
      </c>
      <c r="K370" t="s">
        <v>123</v>
      </c>
      <c r="L370" s="10" t="str">
        <f>VLOOKUP(K370,Accounts!A:B,2,FALSE)</f>
        <v>KBank</v>
      </c>
      <c r="M370" t="s">
        <v>124</v>
      </c>
      <c r="N370" s="10"/>
      <c r="O370" t="s">
        <v>125</v>
      </c>
      <c r="Q370" t="s">
        <v>126</v>
      </c>
      <c r="R370" t="s">
        <v>124</v>
      </c>
      <c r="S370" t="b">
        <v>0</v>
      </c>
      <c r="T370" t="s">
        <v>124</v>
      </c>
    </row>
    <row r="371">
      <c r="A371" t="s">
        <v>917</v>
      </c>
      <c r="B371" t="s">
        <v>918</v>
      </c>
      <c r="C371" s="2">
        <v>2025</v>
      </c>
      <c r="D371" s="10">
        <v>5</v>
      </c>
      <c r="E371" s="10">
        <v>26</v>
      </c>
      <c r="F371" t="s">
        <v>897</v>
      </c>
      <c r="G371">
        <v>95</v>
      </c>
      <c r="H371" t="s">
        <v>69</v>
      </c>
      <c r="I371" t="s">
        <v>150</v>
      </c>
      <c r="J371" s="10" t="str">
        <f>VLOOKUP(I371,Categories!A:B,2,FALSE)</f>
        <v xml:space="preserve">Food &amp; Coff</v>
      </c>
      <c r="K371" t="s">
        <v>123</v>
      </c>
      <c r="L371" s="10" t="str">
        <f>VLOOKUP(K371,Accounts!A:B,2,FALSE)</f>
        <v>KBank</v>
      </c>
      <c r="M371" t="s">
        <v>124</v>
      </c>
      <c r="N371" s="10"/>
      <c r="O371" t="s">
        <v>125</v>
      </c>
      <c r="Q371" t="s">
        <v>126</v>
      </c>
      <c r="R371" t="s">
        <v>124</v>
      </c>
      <c r="S371" t="b">
        <v>0</v>
      </c>
      <c r="T371" t="s">
        <v>124</v>
      </c>
    </row>
    <row r="372">
      <c r="A372" t="s">
        <v>919</v>
      </c>
      <c r="B372" t="s">
        <v>918</v>
      </c>
      <c r="C372" s="2">
        <v>2025</v>
      </c>
      <c r="D372" s="10">
        <v>5</v>
      </c>
      <c r="E372" s="10">
        <v>26</v>
      </c>
      <c r="F372" t="s">
        <v>905</v>
      </c>
      <c r="G372">
        <v>6736</v>
      </c>
      <c r="H372" t="s">
        <v>206</v>
      </c>
      <c r="I372" t="s">
        <v>531</v>
      </c>
      <c r="J372" s="10" t="str">
        <f>VLOOKUP(I372,Categories!A:B,2,FALSE)</f>
        <v>Dividends</v>
      </c>
      <c r="K372" t="s">
        <v>844</v>
      </c>
      <c r="L372" s="10" t="str">
        <f>VLOOKUP(K372,Accounts!A:B,2,FALSE)</f>
        <v>BBL</v>
      </c>
      <c r="M372" t="s">
        <v>124</v>
      </c>
      <c r="N372" s="10"/>
      <c r="O372" t="s">
        <v>125</v>
      </c>
      <c r="Q372" t="s">
        <v>126</v>
      </c>
      <c r="R372" t="s">
        <v>124</v>
      </c>
      <c r="S372" t="b">
        <v>0</v>
      </c>
      <c r="T372" t="s">
        <v>124</v>
      </c>
    </row>
    <row r="373">
      <c r="A373" t="s">
        <v>920</v>
      </c>
      <c r="B373" t="s">
        <v>921</v>
      </c>
      <c r="C373" s="2">
        <v>2025</v>
      </c>
      <c r="D373" s="10">
        <v>5</v>
      </c>
      <c r="E373" s="10">
        <v>25</v>
      </c>
      <c r="F373" t="s">
        <v>922</v>
      </c>
      <c r="G373">
        <v>300</v>
      </c>
      <c r="H373" t="s">
        <v>128</v>
      </c>
      <c r="I373" t="s">
        <v>136</v>
      </c>
      <c r="J373" s="10" t="str">
        <f>VLOOKUP(I373,Categories!A:B,2,FALSE)</f>
        <v>อื่นๆ</v>
      </c>
      <c r="K373" t="s">
        <v>123</v>
      </c>
      <c r="L373" s="10" t="str">
        <f>VLOOKUP(K373,Accounts!A:B,2,FALSE)</f>
        <v>KBank</v>
      </c>
      <c r="M373" t="s">
        <v>710</v>
      </c>
      <c r="N373" s="10" t="str">
        <f>VLOOKUP(M373,Accounts!A:B,2,FALSE)</f>
        <v xml:space="preserve">Line Pay</v>
      </c>
      <c r="O373" t="s">
        <v>125</v>
      </c>
      <c r="Q373" t="s">
        <v>126</v>
      </c>
      <c r="R373" t="s">
        <v>124</v>
      </c>
      <c r="S373" t="b">
        <v>0</v>
      </c>
      <c r="T373" t="s">
        <v>124</v>
      </c>
    </row>
    <row r="374">
      <c r="A374" t="s">
        <v>923</v>
      </c>
      <c r="B374" t="s">
        <v>921</v>
      </c>
      <c r="C374" s="2">
        <v>2025</v>
      </c>
      <c r="D374" s="10">
        <v>5</v>
      </c>
      <c r="E374" s="10">
        <v>25</v>
      </c>
      <c r="F374" t="s">
        <v>924</v>
      </c>
      <c r="G374">
        <v>6011</v>
      </c>
      <c r="H374" t="s">
        <v>128</v>
      </c>
      <c r="I374" t="s">
        <v>136</v>
      </c>
      <c r="J374" s="10" t="str">
        <f>VLOOKUP(I374,Categories!A:B,2,FALSE)</f>
        <v>อื่นๆ</v>
      </c>
      <c r="K374" t="s">
        <v>123</v>
      </c>
      <c r="L374" s="10" t="str">
        <f>VLOOKUP(K374,Accounts!A:B,2,FALSE)</f>
        <v>KBank</v>
      </c>
      <c r="M374" t="s">
        <v>131</v>
      </c>
      <c r="N374" s="10" t="str">
        <f>VLOOKUP(M374,Accounts!A:B,2,FALSE)</f>
        <v xml:space="preserve">Advance Paid</v>
      </c>
      <c r="O374" t="s">
        <v>925</v>
      </c>
      <c r="Q374" t="s">
        <v>126</v>
      </c>
      <c r="R374" t="s">
        <v>124</v>
      </c>
      <c r="S374" t="b">
        <v>0</v>
      </c>
      <c r="T374" t="s">
        <v>124</v>
      </c>
    </row>
    <row r="375">
      <c r="A375" t="s">
        <v>926</v>
      </c>
      <c r="B375" t="s">
        <v>927</v>
      </c>
      <c r="C375" s="2">
        <v>2025</v>
      </c>
      <c r="D375" s="10">
        <v>5</v>
      </c>
      <c r="E375" s="10">
        <v>24</v>
      </c>
      <c r="F375" t="s">
        <v>928</v>
      </c>
      <c r="G375">
        <v>9120</v>
      </c>
      <c r="H375" t="s">
        <v>128</v>
      </c>
      <c r="I375" t="s">
        <v>136</v>
      </c>
      <c r="J375" s="10" t="str">
        <f>VLOOKUP(I375,Categories!A:B,2,FALSE)</f>
        <v>อื่นๆ</v>
      </c>
      <c r="K375" t="s">
        <v>123</v>
      </c>
      <c r="L375" s="10" t="str">
        <f>VLOOKUP(K375,Accounts!A:B,2,FALSE)</f>
        <v>KBank</v>
      </c>
      <c r="M375" t="s">
        <v>235</v>
      </c>
      <c r="N375" s="10" t="str">
        <f>VLOOKUP(M375,Accounts!A:B,2,FALSE)</f>
        <v xml:space="preserve">JPY cash</v>
      </c>
      <c r="O375" t="s">
        <v>125</v>
      </c>
      <c r="Q375" t="s">
        <v>126</v>
      </c>
      <c r="R375" t="s">
        <v>124</v>
      </c>
      <c r="S375" t="b">
        <v>0</v>
      </c>
      <c r="T375" t="s">
        <v>124</v>
      </c>
    </row>
    <row r="376">
      <c r="A376" t="s">
        <v>929</v>
      </c>
      <c r="B376" t="s">
        <v>927</v>
      </c>
      <c r="C376" s="2">
        <v>2025</v>
      </c>
      <c r="D376" s="10">
        <v>5</v>
      </c>
      <c r="E376" s="10">
        <v>24</v>
      </c>
      <c r="F376" t="s">
        <v>930</v>
      </c>
      <c r="G376">
        <v>4737.8900000000003</v>
      </c>
      <c r="H376" t="s">
        <v>128</v>
      </c>
      <c r="I376" t="s">
        <v>136</v>
      </c>
      <c r="J376" s="10" t="str">
        <f>VLOOKUP(I376,Categories!A:B,2,FALSE)</f>
        <v>อื่นๆ</v>
      </c>
      <c r="K376" t="s">
        <v>766</v>
      </c>
      <c r="L376" s="10" t="str">
        <f>VLOOKUP(K376,Accounts!A:B,2,FALSE)</f>
        <v>KRUNGSRI</v>
      </c>
      <c r="M376" t="s">
        <v>743</v>
      </c>
      <c r="N376" s="10" t="str">
        <f>VLOOKUP(M376,Accounts!A:B,2,FALSE)</f>
        <v>HOMEPRO</v>
      </c>
      <c r="O376" t="s">
        <v>125</v>
      </c>
      <c r="Q376" t="s">
        <v>126</v>
      </c>
      <c r="R376" t="s">
        <v>124</v>
      </c>
      <c r="S376" t="b">
        <v>0</v>
      </c>
      <c r="T376" t="s">
        <v>124</v>
      </c>
    </row>
    <row r="377">
      <c r="A377" t="s">
        <v>931</v>
      </c>
      <c r="B377" t="s">
        <v>932</v>
      </c>
      <c r="C377" s="2">
        <v>2025</v>
      </c>
      <c r="D377" s="10">
        <v>5</v>
      </c>
      <c r="E377" s="10">
        <v>19</v>
      </c>
      <c r="F377" t="s">
        <v>933</v>
      </c>
      <c r="G377">
        <v>118</v>
      </c>
      <c r="H377" t="s">
        <v>69</v>
      </c>
      <c r="I377" t="s">
        <v>150</v>
      </c>
      <c r="J377" s="10" t="str">
        <f>VLOOKUP(I377,Categories!A:B,2,FALSE)</f>
        <v xml:space="preserve">Food &amp; Coff</v>
      </c>
      <c r="K377" t="s">
        <v>123</v>
      </c>
      <c r="L377" s="10" t="str">
        <f>VLOOKUP(K377,Accounts!A:B,2,FALSE)</f>
        <v>KBank</v>
      </c>
      <c r="M377" t="s">
        <v>124</v>
      </c>
      <c r="N377" s="10"/>
      <c r="O377" t="s">
        <v>125</v>
      </c>
      <c r="Q377" t="s">
        <v>126</v>
      </c>
      <c r="R377" t="s">
        <v>124</v>
      </c>
      <c r="S377" t="b">
        <v>0</v>
      </c>
      <c r="T377" t="s">
        <v>124</v>
      </c>
    </row>
    <row r="378">
      <c r="A378" t="s">
        <v>934</v>
      </c>
      <c r="B378" t="s">
        <v>935</v>
      </c>
      <c r="C378" s="2">
        <v>2025</v>
      </c>
      <c r="D378" s="10">
        <v>5</v>
      </c>
      <c r="E378" s="10">
        <v>17</v>
      </c>
      <c r="F378" t="s">
        <v>121</v>
      </c>
      <c r="G378">
        <v>19000</v>
      </c>
      <c r="H378" t="s">
        <v>69</v>
      </c>
      <c r="I378" t="s">
        <v>134</v>
      </c>
      <c r="J378" s="10" t="str">
        <f>VLOOKUP(I378,Categories!A:B,2,FALSE)</f>
        <v>Hong</v>
      </c>
      <c r="K378" t="s">
        <v>123</v>
      </c>
      <c r="L378" s="10" t="str">
        <f>VLOOKUP(K378,Accounts!A:B,2,FALSE)</f>
        <v>KBank</v>
      </c>
      <c r="M378" t="s">
        <v>124</v>
      </c>
      <c r="N378" s="10"/>
      <c r="O378" t="s">
        <v>125</v>
      </c>
      <c r="Q378" t="s">
        <v>126</v>
      </c>
      <c r="R378" t="s">
        <v>124</v>
      </c>
      <c r="S378" t="b">
        <v>0</v>
      </c>
      <c r="T378" t="s">
        <v>124</v>
      </c>
    </row>
    <row r="379">
      <c r="A379" t="s">
        <v>936</v>
      </c>
      <c r="B379" t="s">
        <v>935</v>
      </c>
      <c r="C379" s="2">
        <v>2025</v>
      </c>
      <c r="D379" s="10">
        <v>5</v>
      </c>
      <c r="E379" s="10">
        <v>17</v>
      </c>
      <c r="F379" t="s">
        <v>458</v>
      </c>
      <c r="G379">
        <v>4580.4099999999999</v>
      </c>
      <c r="H379" t="s">
        <v>128</v>
      </c>
      <c r="I379" t="s">
        <v>136</v>
      </c>
      <c r="J379" s="10" t="str">
        <f>VLOOKUP(I379,Categories!A:B,2,FALSE)</f>
        <v>อื่นๆ</v>
      </c>
      <c r="K379" t="s">
        <v>123</v>
      </c>
      <c r="L379" s="10" t="str">
        <f>VLOOKUP(K379,Accounts!A:B,2,FALSE)</f>
        <v>KBank</v>
      </c>
      <c r="M379" t="s">
        <v>235</v>
      </c>
      <c r="N379" s="10" t="str">
        <f>VLOOKUP(M379,Accounts!A:B,2,FALSE)</f>
        <v xml:space="preserve">JPY cash</v>
      </c>
      <c r="O379" t="s">
        <v>125</v>
      </c>
      <c r="Q379" t="s">
        <v>126</v>
      </c>
      <c r="R379" t="s">
        <v>124</v>
      </c>
      <c r="S379" t="b">
        <v>0</v>
      </c>
      <c r="T379" t="s">
        <v>124</v>
      </c>
    </row>
    <row r="380">
      <c r="A380" t="s">
        <v>937</v>
      </c>
      <c r="B380" t="s">
        <v>938</v>
      </c>
      <c r="C380" s="2">
        <v>2025</v>
      </c>
      <c r="D380" s="10">
        <v>5</v>
      </c>
      <c r="E380" s="10">
        <v>11</v>
      </c>
      <c r="F380" t="s">
        <v>939</v>
      </c>
      <c r="G380">
        <v>8000</v>
      </c>
      <c r="H380" t="s">
        <v>69</v>
      </c>
      <c r="I380" t="s">
        <v>144</v>
      </c>
      <c r="J380" s="10" t="str">
        <f>VLOOKUP(I380,Categories!A:B,2,FALSE)</f>
        <v xml:space="preserve">Family paid</v>
      </c>
      <c r="K380" t="s">
        <v>213</v>
      </c>
      <c r="L380" s="10" t="str">
        <f>VLOOKUP(K380,Accounts!A:B,2,FALSE)</f>
        <v xml:space="preserve">Krungthai Next</v>
      </c>
      <c r="M380" t="s">
        <v>124</v>
      </c>
      <c r="N380" s="10"/>
      <c r="O380" t="s">
        <v>125</v>
      </c>
      <c r="Q380" t="s">
        <v>126</v>
      </c>
      <c r="R380" t="s">
        <v>124</v>
      </c>
      <c r="S380" t="b">
        <v>0</v>
      </c>
      <c r="T380" t="s">
        <v>124</v>
      </c>
    </row>
    <row r="381">
      <c r="A381" t="s">
        <v>940</v>
      </c>
      <c r="B381" t="s">
        <v>938</v>
      </c>
      <c r="C381" s="2">
        <v>2025</v>
      </c>
      <c r="D381" s="10">
        <v>5</v>
      </c>
      <c r="E381" s="10">
        <v>11</v>
      </c>
      <c r="F381" t="s">
        <v>320</v>
      </c>
      <c r="G381">
        <v>7442</v>
      </c>
      <c r="H381" t="s">
        <v>69</v>
      </c>
      <c r="I381" t="s">
        <v>139</v>
      </c>
      <c r="J381" s="10" t="str">
        <f>VLOOKUP(I381,Categories!A:B,2,FALSE)</f>
        <v>Condo</v>
      </c>
      <c r="K381" t="s">
        <v>123</v>
      </c>
      <c r="L381" s="10" t="str">
        <f>VLOOKUP(K381,Accounts!A:B,2,FALSE)</f>
        <v>KBank</v>
      </c>
      <c r="M381" t="s">
        <v>124</v>
      </c>
      <c r="N381" s="10"/>
      <c r="O381" t="s">
        <v>125</v>
      </c>
      <c r="Q381" t="s">
        <v>126</v>
      </c>
      <c r="R381" t="s">
        <v>124</v>
      </c>
      <c r="S381" t="b">
        <v>0</v>
      </c>
      <c r="T381" t="s">
        <v>124</v>
      </c>
    </row>
    <row r="382">
      <c r="A382" t="s">
        <v>941</v>
      </c>
      <c r="B382" t="s">
        <v>938</v>
      </c>
      <c r="C382" s="2">
        <v>2025</v>
      </c>
      <c r="D382" s="10">
        <v>5</v>
      </c>
      <c r="E382" s="10">
        <v>11</v>
      </c>
      <c r="F382" t="s">
        <v>942</v>
      </c>
      <c r="G382">
        <v>7068</v>
      </c>
      <c r="H382" t="s">
        <v>128</v>
      </c>
      <c r="I382" t="s">
        <v>136</v>
      </c>
      <c r="J382" s="10" t="str">
        <f>VLOOKUP(I382,Categories!A:B,2,FALSE)</f>
        <v>อื่นๆ</v>
      </c>
      <c r="K382" t="s">
        <v>213</v>
      </c>
      <c r="L382" s="10" t="str">
        <f>VLOOKUP(K382,Accounts!A:B,2,FALSE)</f>
        <v xml:space="preserve">Krungthai Next</v>
      </c>
      <c r="M382" t="s">
        <v>178</v>
      </c>
      <c r="N382" s="10" t="str">
        <f>VLOOKUP(M382,Accounts!A:B,2,FALSE)</f>
        <v>SCB</v>
      </c>
      <c r="O382" t="s">
        <v>125</v>
      </c>
      <c r="Q382" t="s">
        <v>126</v>
      </c>
      <c r="R382" t="s">
        <v>124</v>
      </c>
      <c r="S382" t="b">
        <v>0</v>
      </c>
      <c r="T382" t="s">
        <v>124</v>
      </c>
    </row>
    <row r="383">
      <c r="A383" t="s">
        <v>943</v>
      </c>
      <c r="B383" t="s">
        <v>944</v>
      </c>
      <c r="C383" s="2">
        <v>2025</v>
      </c>
      <c r="D383" s="10">
        <v>5</v>
      </c>
      <c r="E383" s="10">
        <v>10</v>
      </c>
      <c r="F383" t="s">
        <v>234</v>
      </c>
      <c r="G383">
        <v>2890</v>
      </c>
      <c r="H383" t="s">
        <v>69</v>
      </c>
      <c r="I383" t="s">
        <v>141</v>
      </c>
      <c r="J383" s="10" t="str">
        <f>VLOOKUP(I383,Categories!A:B,2,FALSE)</f>
        <v>Other</v>
      </c>
      <c r="K383" t="s">
        <v>743</v>
      </c>
      <c r="L383" s="10" t="str">
        <f>VLOOKUP(K383,Accounts!A:B,2,FALSE)</f>
        <v>HOMEPRO</v>
      </c>
      <c r="M383" t="s">
        <v>124</v>
      </c>
      <c r="N383" s="10"/>
      <c r="O383" t="s">
        <v>945</v>
      </c>
      <c r="Q383" t="s">
        <v>126</v>
      </c>
      <c r="R383" t="s">
        <v>124</v>
      </c>
      <c r="S383" t="b">
        <v>0</v>
      </c>
      <c r="T383" t="s">
        <v>124</v>
      </c>
    </row>
    <row r="384">
      <c r="A384" t="s">
        <v>946</v>
      </c>
      <c r="B384" t="s">
        <v>947</v>
      </c>
      <c r="C384" s="2">
        <v>2025</v>
      </c>
      <c r="D384" s="10">
        <v>5</v>
      </c>
      <c r="E384" s="10">
        <v>8</v>
      </c>
      <c r="F384" t="s">
        <v>942</v>
      </c>
      <c r="G384">
        <v>5016.79</v>
      </c>
      <c r="H384" t="s">
        <v>206</v>
      </c>
      <c r="I384" t="s">
        <v>531</v>
      </c>
      <c r="J384" s="10" t="str">
        <f>VLOOKUP(I384,Categories!A:B,2,FALSE)</f>
        <v>Dividends</v>
      </c>
      <c r="K384" t="s">
        <v>178</v>
      </c>
      <c r="L384" s="10" t="str">
        <f>VLOOKUP(K384,Accounts!A:B,2,FALSE)</f>
        <v>SCB</v>
      </c>
      <c r="M384" t="s">
        <v>124</v>
      </c>
      <c r="N384" s="10"/>
      <c r="O384" t="s">
        <v>125</v>
      </c>
      <c r="Q384" t="s">
        <v>126</v>
      </c>
      <c r="R384" t="s">
        <v>124</v>
      </c>
      <c r="S384" t="b">
        <v>0</v>
      </c>
      <c r="T384" t="s">
        <v>124</v>
      </c>
    </row>
    <row r="385">
      <c r="A385" t="s">
        <v>948</v>
      </c>
      <c r="B385" t="s">
        <v>949</v>
      </c>
      <c r="C385" s="2">
        <v>2025</v>
      </c>
      <c r="D385" s="10">
        <v>5</v>
      </c>
      <c r="E385" s="10">
        <v>5</v>
      </c>
      <c r="F385" t="s">
        <v>933</v>
      </c>
      <c r="G385">
        <v>6853.3199999999997</v>
      </c>
      <c r="H385" t="s">
        <v>128</v>
      </c>
      <c r="I385" t="s">
        <v>136</v>
      </c>
      <c r="J385" s="10" t="str">
        <f>VLOOKUP(I385,Categories!A:B,2,FALSE)</f>
        <v>อื่นๆ</v>
      </c>
      <c r="K385" t="s">
        <v>123</v>
      </c>
      <c r="L385" s="10" t="str">
        <f>VLOOKUP(K385,Accounts!A:B,2,FALSE)</f>
        <v>KBank</v>
      </c>
      <c r="M385" t="s">
        <v>131</v>
      </c>
      <c r="N385" s="10" t="str">
        <f>VLOOKUP(M385,Accounts!A:B,2,FALSE)</f>
        <v xml:space="preserve">Advance Paid</v>
      </c>
      <c r="O385" t="s">
        <v>796</v>
      </c>
      <c r="Q385" t="s">
        <v>126</v>
      </c>
      <c r="R385" t="s">
        <v>124</v>
      </c>
      <c r="S385" t="b">
        <v>0</v>
      </c>
      <c r="T385" t="s">
        <v>124</v>
      </c>
    </row>
    <row r="386">
      <c r="A386" t="s">
        <v>950</v>
      </c>
      <c r="B386" t="s">
        <v>949</v>
      </c>
      <c r="C386" s="2">
        <v>2025</v>
      </c>
      <c r="D386" s="10">
        <v>5</v>
      </c>
      <c r="E386" s="10">
        <v>5</v>
      </c>
      <c r="F386" t="s">
        <v>951</v>
      </c>
      <c r="G386">
        <v>3247.5500000000002</v>
      </c>
      <c r="H386" t="s">
        <v>69</v>
      </c>
      <c r="I386" t="s">
        <v>338</v>
      </c>
      <c r="J386" s="10" t="str">
        <f>VLOOKUP(I386,Categories!A:B,2,FALSE)</f>
        <v>Trips</v>
      </c>
      <c r="K386" t="s">
        <v>213</v>
      </c>
      <c r="L386" s="10" t="str">
        <f>VLOOKUP(K386,Accounts!A:B,2,FALSE)</f>
        <v xml:space="preserve">Krungthai Next</v>
      </c>
      <c r="M386" t="s">
        <v>124</v>
      </c>
      <c r="N386" s="10"/>
      <c r="O386" t="s">
        <v>952</v>
      </c>
      <c r="Q386" t="s">
        <v>126</v>
      </c>
      <c r="R386" t="s">
        <v>124</v>
      </c>
      <c r="S386" t="b">
        <v>0</v>
      </c>
      <c r="T386" t="s">
        <v>124</v>
      </c>
    </row>
    <row r="387">
      <c r="A387" t="s">
        <v>953</v>
      </c>
      <c r="B387" t="s">
        <v>954</v>
      </c>
      <c r="C387" s="2">
        <v>2025</v>
      </c>
      <c r="D387" s="10">
        <v>4</v>
      </c>
      <c r="E387" s="10">
        <v>30</v>
      </c>
      <c r="F387" t="s">
        <v>955</v>
      </c>
      <c r="G387">
        <v>904</v>
      </c>
      <c r="H387" t="s">
        <v>206</v>
      </c>
      <c r="I387" t="s">
        <v>281</v>
      </c>
      <c r="J387" s="10" t="str">
        <f>VLOOKUP(I387,Categories!A:B,2,FALSE)</f>
        <v>Others</v>
      </c>
      <c r="K387" t="s">
        <v>123</v>
      </c>
      <c r="L387" s="10" t="str">
        <f>VLOOKUP(K387,Accounts!A:B,2,FALSE)</f>
        <v>KBank</v>
      </c>
      <c r="M387" t="s">
        <v>124</v>
      </c>
      <c r="N387" s="10"/>
      <c r="O387" t="s">
        <v>956</v>
      </c>
      <c r="Q387" t="s">
        <v>126</v>
      </c>
      <c r="R387" t="s">
        <v>124</v>
      </c>
      <c r="S387" t="b">
        <v>0</v>
      </c>
      <c r="T387" t="s">
        <v>124</v>
      </c>
    </row>
    <row r="388">
      <c r="A388" t="s">
        <v>957</v>
      </c>
      <c r="B388" t="s">
        <v>954</v>
      </c>
      <c r="C388" s="2">
        <v>2025</v>
      </c>
      <c r="D388" s="10">
        <v>4</v>
      </c>
      <c r="E388" s="10">
        <v>30</v>
      </c>
      <c r="F388" t="s">
        <v>958</v>
      </c>
      <c r="G388">
        <v>30000</v>
      </c>
      <c r="H388" t="s">
        <v>128</v>
      </c>
      <c r="I388" t="s">
        <v>136</v>
      </c>
      <c r="J388" s="10" t="str">
        <f>VLOOKUP(I388,Categories!A:B,2,FALSE)</f>
        <v>อื่นๆ</v>
      </c>
      <c r="K388" t="s">
        <v>123</v>
      </c>
      <c r="L388" s="10" t="str">
        <f>VLOOKUP(K388,Accounts!A:B,2,FALSE)</f>
        <v>KBank</v>
      </c>
      <c r="M388" t="s">
        <v>213</v>
      </c>
      <c r="N388" s="10" t="str">
        <f>VLOOKUP(M388,Accounts!A:B,2,FALSE)</f>
        <v xml:space="preserve">Krungthai Next</v>
      </c>
      <c r="O388" t="s">
        <v>125</v>
      </c>
      <c r="Q388" t="s">
        <v>126</v>
      </c>
      <c r="R388" t="s">
        <v>124</v>
      </c>
      <c r="S388" t="b">
        <v>0</v>
      </c>
      <c r="T388" t="s">
        <v>124</v>
      </c>
    </row>
    <row r="389">
      <c r="A389" t="s">
        <v>959</v>
      </c>
      <c r="B389" t="s">
        <v>954</v>
      </c>
      <c r="C389" s="2">
        <v>2025</v>
      </c>
      <c r="D389" s="10">
        <v>4</v>
      </c>
      <c r="E389" s="10">
        <v>30</v>
      </c>
      <c r="F389" t="s">
        <v>958</v>
      </c>
      <c r="G389">
        <v>40000</v>
      </c>
      <c r="H389" t="s">
        <v>128</v>
      </c>
      <c r="I389" t="s">
        <v>136</v>
      </c>
      <c r="J389" s="10" t="str">
        <f>VLOOKUP(I389,Categories!A:B,2,FALSE)</f>
        <v>อื่นๆ</v>
      </c>
      <c r="K389" t="s">
        <v>123</v>
      </c>
      <c r="L389" s="10" t="str">
        <f>VLOOKUP(K389,Accounts!A:B,2,FALSE)</f>
        <v>KBank</v>
      </c>
      <c r="M389" t="s">
        <v>131</v>
      </c>
      <c r="N389" s="10" t="str">
        <f>VLOOKUP(M389,Accounts!A:B,2,FALSE)</f>
        <v xml:space="preserve">Advance Paid</v>
      </c>
      <c r="O389" t="s">
        <v>883</v>
      </c>
      <c r="Q389" t="s">
        <v>126</v>
      </c>
      <c r="R389" t="s">
        <v>124</v>
      </c>
      <c r="S389" t="b">
        <v>0</v>
      </c>
      <c r="T389" t="s">
        <v>124</v>
      </c>
    </row>
    <row r="390">
      <c r="A390" t="s">
        <v>960</v>
      </c>
      <c r="B390" t="s">
        <v>961</v>
      </c>
      <c r="C390" s="2">
        <v>2025</v>
      </c>
      <c r="D390" s="10">
        <v>4</v>
      </c>
      <c r="E390" s="10">
        <v>29</v>
      </c>
      <c r="F390" t="s">
        <v>962</v>
      </c>
      <c r="G390">
        <v>2000</v>
      </c>
      <c r="H390" t="s">
        <v>128</v>
      </c>
      <c r="I390" t="s">
        <v>136</v>
      </c>
      <c r="J390" s="10" t="str">
        <f>VLOOKUP(I390,Categories!A:B,2,FALSE)</f>
        <v>อื่นๆ</v>
      </c>
      <c r="K390" t="s">
        <v>844</v>
      </c>
      <c r="L390" s="10" t="str">
        <f>VLOOKUP(K390,Accounts!A:B,2,FALSE)</f>
        <v>BBL</v>
      </c>
      <c r="M390" t="s">
        <v>425</v>
      </c>
      <c r="N390" s="10" t="str">
        <f>VLOOKUP(M390,Accounts!A:B,2,FALSE)</f>
        <v>Cash</v>
      </c>
      <c r="O390" t="s">
        <v>125</v>
      </c>
      <c r="Q390" t="s">
        <v>126</v>
      </c>
      <c r="R390" t="s">
        <v>124</v>
      </c>
      <c r="S390" t="b">
        <v>0</v>
      </c>
      <c r="T390" t="s">
        <v>124</v>
      </c>
    </row>
    <row r="391">
      <c r="A391" t="s">
        <v>963</v>
      </c>
      <c r="B391" t="s">
        <v>961</v>
      </c>
      <c r="C391" s="2">
        <v>2025</v>
      </c>
      <c r="D391" s="10">
        <v>4</v>
      </c>
      <c r="E391" s="10">
        <v>29</v>
      </c>
      <c r="F391" t="s">
        <v>964</v>
      </c>
      <c r="G391">
        <v>1027</v>
      </c>
      <c r="H391" t="s">
        <v>206</v>
      </c>
      <c r="I391" t="s">
        <v>531</v>
      </c>
      <c r="J391" s="10" t="str">
        <f>VLOOKUP(I391,Categories!A:B,2,FALSE)</f>
        <v>Dividends</v>
      </c>
      <c r="K391" t="s">
        <v>844</v>
      </c>
      <c r="L391" s="10" t="str">
        <f>VLOOKUP(K391,Accounts!A:B,2,FALSE)</f>
        <v>BBL</v>
      </c>
      <c r="M391" t="s">
        <v>124</v>
      </c>
      <c r="N391" s="10"/>
      <c r="O391" t="s">
        <v>125</v>
      </c>
      <c r="Q391" t="s">
        <v>126</v>
      </c>
      <c r="R391" t="s">
        <v>124</v>
      </c>
      <c r="S391" t="b">
        <v>0</v>
      </c>
      <c r="T391" t="s">
        <v>124</v>
      </c>
    </row>
    <row r="392">
      <c r="A392" t="s">
        <v>965</v>
      </c>
      <c r="B392" t="s">
        <v>966</v>
      </c>
      <c r="C392" s="2">
        <v>2025</v>
      </c>
      <c r="D392" s="10">
        <v>4</v>
      </c>
      <c r="E392" s="10">
        <v>26</v>
      </c>
      <c r="F392" t="s">
        <v>939</v>
      </c>
      <c r="G392">
        <v>1245</v>
      </c>
      <c r="H392" t="s">
        <v>128</v>
      </c>
      <c r="I392" t="s">
        <v>136</v>
      </c>
      <c r="J392" s="10" t="str">
        <f>VLOOKUP(I392,Categories!A:B,2,FALSE)</f>
        <v>อื่นๆ</v>
      </c>
      <c r="K392" t="s">
        <v>131</v>
      </c>
      <c r="L392" s="10" t="str">
        <f>VLOOKUP(K392,Accounts!A:B,2,FALSE)</f>
        <v xml:space="preserve">Advance Paid</v>
      </c>
      <c r="M392" t="s">
        <v>123</v>
      </c>
      <c r="N392" s="10" t="str">
        <f>VLOOKUP(M392,Accounts!A:B,2,FALSE)</f>
        <v>KBank</v>
      </c>
      <c r="O392" t="s">
        <v>125</v>
      </c>
      <c r="Q392" t="s">
        <v>126</v>
      </c>
      <c r="R392" t="s">
        <v>124</v>
      </c>
      <c r="S392" t="b">
        <v>0</v>
      </c>
      <c r="T392" t="s">
        <v>124</v>
      </c>
    </row>
    <row r="393">
      <c r="A393" t="s">
        <v>967</v>
      </c>
      <c r="B393" t="s">
        <v>966</v>
      </c>
      <c r="C393" s="2">
        <v>2025</v>
      </c>
      <c r="D393" s="10">
        <v>4</v>
      </c>
      <c r="E393" s="10">
        <v>26</v>
      </c>
      <c r="F393" t="s">
        <v>968</v>
      </c>
      <c r="G393">
        <v>1785</v>
      </c>
      <c r="H393" t="s">
        <v>69</v>
      </c>
      <c r="I393" t="s">
        <v>122</v>
      </c>
      <c r="J393" s="10" t="str">
        <f>VLOOKUP(I393,Categories!A:B,2,FALSE)</f>
        <v>Other</v>
      </c>
      <c r="K393" t="s">
        <v>131</v>
      </c>
      <c r="L393" s="10" t="str">
        <f>VLOOKUP(K393,Accounts!A:B,2,FALSE)</f>
        <v xml:space="preserve">Advance Paid</v>
      </c>
      <c r="M393" t="s">
        <v>124</v>
      </c>
      <c r="N393" s="10"/>
      <c r="O393" t="s">
        <v>125</v>
      </c>
      <c r="Q393" t="s">
        <v>126</v>
      </c>
      <c r="R393" t="s">
        <v>124</v>
      </c>
      <c r="S393" t="b">
        <v>0</v>
      </c>
      <c r="T393" t="s">
        <v>124</v>
      </c>
    </row>
    <row r="394">
      <c r="A394" t="s">
        <v>969</v>
      </c>
      <c r="B394" t="s">
        <v>970</v>
      </c>
      <c r="C394" s="2">
        <v>2025</v>
      </c>
      <c r="D394" s="10">
        <v>4</v>
      </c>
      <c r="E394" s="10">
        <v>25</v>
      </c>
      <c r="F394" t="s">
        <v>121</v>
      </c>
      <c r="G394">
        <v>2896.0500000000002</v>
      </c>
      <c r="H394" t="s">
        <v>69</v>
      </c>
      <c r="I394" t="s">
        <v>199</v>
      </c>
      <c r="J394" s="10" t="str">
        <f>VLOOKUP(I394,Categories!A:B,2,FALSE)</f>
        <v xml:space="preserve">Home Chomthong Interest</v>
      </c>
      <c r="K394" t="s">
        <v>123</v>
      </c>
      <c r="L394" s="10" t="str">
        <f>VLOOKUP(K394,Accounts!A:B,2,FALSE)</f>
        <v>KBank</v>
      </c>
      <c r="M394" t="s">
        <v>124</v>
      </c>
      <c r="N394" s="10"/>
      <c r="O394" t="s">
        <v>125</v>
      </c>
      <c r="Q394" t="s">
        <v>126</v>
      </c>
      <c r="R394" t="s">
        <v>124</v>
      </c>
      <c r="S394" t="b">
        <v>0</v>
      </c>
      <c r="T394" t="s">
        <v>124</v>
      </c>
    </row>
    <row r="395">
      <c r="A395" t="s">
        <v>971</v>
      </c>
      <c r="B395" t="s">
        <v>970</v>
      </c>
      <c r="C395" s="2">
        <v>2025</v>
      </c>
      <c r="D395" s="10">
        <v>4</v>
      </c>
      <c r="E395" s="10">
        <v>25</v>
      </c>
      <c r="F395" t="s">
        <v>121</v>
      </c>
      <c r="G395">
        <v>4500.6800000000003</v>
      </c>
      <c r="H395" t="s">
        <v>69</v>
      </c>
      <c r="I395" t="s">
        <v>195</v>
      </c>
      <c r="J395" s="10" t="str">
        <f>VLOOKUP(I395,Categories!A:B,2,FALSE)</f>
        <v>Tax</v>
      </c>
      <c r="K395" t="s">
        <v>123</v>
      </c>
      <c r="L395" s="10" t="str">
        <f>VLOOKUP(K395,Accounts!A:B,2,FALSE)</f>
        <v>KBank</v>
      </c>
      <c r="M395" t="s">
        <v>124</v>
      </c>
      <c r="N395" s="10"/>
      <c r="O395" t="s">
        <v>125</v>
      </c>
      <c r="Q395" t="s">
        <v>126</v>
      </c>
      <c r="R395" t="s">
        <v>124</v>
      </c>
      <c r="S395" t="b">
        <v>0</v>
      </c>
      <c r="T395" t="s">
        <v>124</v>
      </c>
    </row>
    <row r="396">
      <c r="A396" t="s">
        <v>972</v>
      </c>
      <c r="B396" t="s">
        <v>970</v>
      </c>
      <c r="C396" s="2">
        <v>2025</v>
      </c>
      <c r="D396" s="10">
        <v>4</v>
      </c>
      <c r="E396" s="10">
        <v>25</v>
      </c>
      <c r="F396" t="s">
        <v>121</v>
      </c>
      <c r="G396">
        <v>3025.1999999999998</v>
      </c>
      <c r="H396" t="s">
        <v>128</v>
      </c>
      <c r="I396" t="s">
        <v>136</v>
      </c>
      <c r="J396" s="10" t="str">
        <f>VLOOKUP(I396,Categories!A:B,2,FALSE)</f>
        <v>อื่นๆ</v>
      </c>
      <c r="K396" t="s">
        <v>123</v>
      </c>
      <c r="L396" s="10" t="str">
        <f>VLOOKUP(K396,Accounts!A:B,2,FALSE)</f>
        <v>KBank</v>
      </c>
      <c r="M396" t="s">
        <v>203</v>
      </c>
      <c r="N396" s="10" t="str">
        <f>VLOOKUP(M396,Accounts!A:B,2,FALSE)</f>
        <v xml:space="preserve">Provident Fund</v>
      </c>
      <c r="O396" t="s">
        <v>125</v>
      </c>
      <c r="Q396" t="s">
        <v>126</v>
      </c>
      <c r="R396" t="s">
        <v>124</v>
      </c>
      <c r="S396" t="b">
        <v>0</v>
      </c>
      <c r="T396" t="s">
        <v>124</v>
      </c>
    </row>
    <row r="397">
      <c r="A397" t="s">
        <v>973</v>
      </c>
      <c r="B397" t="s">
        <v>970</v>
      </c>
      <c r="C397" s="2">
        <v>2025</v>
      </c>
      <c r="D397" s="10">
        <v>4</v>
      </c>
      <c r="E397" s="10">
        <v>25</v>
      </c>
      <c r="F397" t="s">
        <v>121</v>
      </c>
      <c r="G397">
        <v>145.37</v>
      </c>
      <c r="H397" t="s">
        <v>69</v>
      </c>
      <c r="I397" t="s">
        <v>443</v>
      </c>
      <c r="J397" s="10" t="str">
        <f>VLOOKUP(I397,Categories!A:B,2,FALSE)</f>
        <v xml:space="preserve">City SV Interest</v>
      </c>
      <c r="K397" t="s">
        <v>123</v>
      </c>
      <c r="L397" s="10" t="str">
        <f>VLOOKUP(K397,Accounts!A:B,2,FALSE)</f>
        <v>KBank</v>
      </c>
      <c r="M397" t="s">
        <v>124</v>
      </c>
      <c r="N397" s="10"/>
      <c r="O397" t="s">
        <v>125</v>
      </c>
      <c r="Q397" t="s">
        <v>126</v>
      </c>
      <c r="R397" t="s">
        <v>124</v>
      </c>
      <c r="S397" t="b">
        <v>0</v>
      </c>
      <c r="T397" t="s">
        <v>124</v>
      </c>
    </row>
    <row r="398">
      <c r="A398" t="s">
        <v>974</v>
      </c>
      <c r="B398" t="s">
        <v>970</v>
      </c>
      <c r="C398" s="2">
        <v>2025</v>
      </c>
      <c r="D398" s="10">
        <v>4</v>
      </c>
      <c r="E398" s="10">
        <v>25</v>
      </c>
      <c r="F398" t="s">
        <v>121</v>
      </c>
      <c r="G398">
        <v>500</v>
      </c>
      <c r="H398" t="s">
        <v>128</v>
      </c>
      <c r="I398" t="s">
        <v>136</v>
      </c>
      <c r="J398" s="10" t="str">
        <f>VLOOKUP(I398,Categories!A:B,2,FALSE)</f>
        <v>อื่นๆ</v>
      </c>
      <c r="K398" t="s">
        <v>123</v>
      </c>
      <c r="L398" s="10" t="str">
        <f>VLOOKUP(K398,Accounts!A:B,2,FALSE)</f>
        <v>KBank</v>
      </c>
      <c r="M398" t="s">
        <v>201</v>
      </c>
      <c r="N398" s="10" t="str">
        <f>VLOOKUP(M398,Accounts!A:B,2,FALSE)</f>
        <v>Coop</v>
      </c>
      <c r="O398" t="s">
        <v>125</v>
      </c>
      <c r="Q398" t="s">
        <v>126</v>
      </c>
      <c r="R398" t="s">
        <v>124</v>
      </c>
      <c r="S398" t="b">
        <v>0</v>
      </c>
      <c r="T398" t="s">
        <v>124</v>
      </c>
    </row>
    <row r="399">
      <c r="A399" t="s">
        <v>975</v>
      </c>
      <c r="B399" t="s">
        <v>970</v>
      </c>
      <c r="C399" s="2">
        <v>2025</v>
      </c>
      <c r="D399" s="10">
        <v>4</v>
      </c>
      <c r="E399" s="10">
        <v>25</v>
      </c>
      <c r="F399" t="s">
        <v>121</v>
      </c>
      <c r="G399">
        <v>9240</v>
      </c>
      <c r="H399" t="s">
        <v>69</v>
      </c>
      <c r="I399" t="s">
        <v>446</v>
      </c>
      <c r="J399" s="10" t="str">
        <f>VLOOKUP(I399,Categories!A:B,2,FALSE)</f>
        <v xml:space="preserve">Intial city</v>
      </c>
      <c r="K399" t="s">
        <v>123</v>
      </c>
      <c r="L399" s="10" t="str">
        <f>VLOOKUP(K399,Accounts!A:B,2,FALSE)</f>
        <v>KBank</v>
      </c>
      <c r="M399" t="s">
        <v>124</v>
      </c>
      <c r="N399" s="10"/>
      <c r="O399" t="s">
        <v>125</v>
      </c>
      <c r="Q399" t="s">
        <v>126</v>
      </c>
      <c r="R399" t="s">
        <v>124</v>
      </c>
      <c r="S399" t="b">
        <v>0</v>
      </c>
      <c r="T399" t="s">
        <v>124</v>
      </c>
    </row>
    <row r="400">
      <c r="A400" t="s">
        <v>976</v>
      </c>
      <c r="B400" t="s">
        <v>970</v>
      </c>
      <c r="C400" s="2">
        <v>2025</v>
      </c>
      <c r="D400" s="10">
        <v>4</v>
      </c>
      <c r="E400" s="10">
        <v>25</v>
      </c>
      <c r="F400" t="s">
        <v>121</v>
      </c>
      <c r="G400">
        <v>9165</v>
      </c>
      <c r="H400" t="s">
        <v>69</v>
      </c>
      <c r="I400" t="s">
        <v>197</v>
      </c>
      <c r="J400" s="10" t="str">
        <f>VLOOKUP(I400,Categories!A:B,2,FALSE)</f>
        <v xml:space="preserve">Initial Home loan</v>
      </c>
      <c r="K400" t="s">
        <v>123</v>
      </c>
      <c r="L400" s="10" t="str">
        <f>VLOOKUP(K400,Accounts!A:B,2,FALSE)</f>
        <v>KBank</v>
      </c>
      <c r="M400" t="s">
        <v>124</v>
      </c>
      <c r="N400" s="10"/>
      <c r="O400" t="s">
        <v>125</v>
      </c>
      <c r="Q400" t="s">
        <v>126</v>
      </c>
      <c r="R400" t="s">
        <v>124</v>
      </c>
      <c r="S400" t="b">
        <v>0</v>
      </c>
      <c r="T400" t="s">
        <v>124</v>
      </c>
    </row>
    <row r="401">
      <c r="A401" t="s">
        <v>977</v>
      </c>
      <c r="B401" t="s">
        <v>970</v>
      </c>
      <c r="C401" s="2">
        <v>2025</v>
      </c>
      <c r="D401" s="10">
        <v>4</v>
      </c>
      <c r="E401" s="10">
        <v>25</v>
      </c>
      <c r="F401" t="s">
        <v>121</v>
      </c>
      <c r="G401">
        <v>151260</v>
      </c>
      <c r="H401" t="s">
        <v>206</v>
      </c>
      <c r="I401" t="s">
        <v>207</v>
      </c>
      <c r="J401" s="10" t="str">
        <f>VLOOKUP(I401,Categories!A:B,2,FALSE)</f>
        <v>Salary</v>
      </c>
      <c r="K401" t="s">
        <v>123</v>
      </c>
      <c r="L401" s="10" t="str">
        <f>VLOOKUP(K401,Accounts!A:B,2,FALSE)</f>
        <v>KBank</v>
      </c>
      <c r="M401" t="s">
        <v>124</v>
      </c>
      <c r="N401" s="10"/>
      <c r="O401" t="s">
        <v>125</v>
      </c>
      <c r="Q401" t="s">
        <v>126</v>
      </c>
      <c r="R401" t="s">
        <v>124</v>
      </c>
      <c r="S401" t="b">
        <v>0</v>
      </c>
      <c r="T401" t="s">
        <v>124</v>
      </c>
    </row>
    <row r="402">
      <c r="A402" t="s">
        <v>978</v>
      </c>
      <c r="B402" t="s">
        <v>970</v>
      </c>
      <c r="C402" s="2">
        <v>2025</v>
      </c>
      <c r="D402" s="10">
        <v>4</v>
      </c>
      <c r="E402" s="10">
        <v>25</v>
      </c>
      <c r="F402" t="s">
        <v>979</v>
      </c>
      <c r="G402">
        <v>230</v>
      </c>
      <c r="H402" t="s">
        <v>69</v>
      </c>
      <c r="I402" t="s">
        <v>122</v>
      </c>
      <c r="J402" s="10" t="str">
        <f>VLOOKUP(I402,Categories!A:B,2,FALSE)</f>
        <v>Other</v>
      </c>
      <c r="K402" t="s">
        <v>123</v>
      </c>
      <c r="L402" s="10" t="str">
        <f>VLOOKUP(K402,Accounts!A:B,2,FALSE)</f>
        <v>KBank</v>
      </c>
      <c r="M402" t="s">
        <v>124</v>
      </c>
      <c r="N402" s="10"/>
      <c r="O402" t="s">
        <v>125</v>
      </c>
      <c r="Q402" t="s">
        <v>126</v>
      </c>
      <c r="R402" t="s">
        <v>124</v>
      </c>
      <c r="S402" t="b">
        <v>0</v>
      </c>
      <c r="T402" t="s">
        <v>124</v>
      </c>
    </row>
    <row r="403">
      <c r="A403" t="s">
        <v>980</v>
      </c>
      <c r="B403" t="s">
        <v>981</v>
      </c>
      <c r="C403" s="2">
        <v>2025</v>
      </c>
      <c r="D403" s="10">
        <v>4</v>
      </c>
      <c r="E403" s="10">
        <v>15</v>
      </c>
      <c r="F403" t="s">
        <v>276</v>
      </c>
      <c r="G403">
        <v>3030</v>
      </c>
      <c r="H403" t="s">
        <v>128</v>
      </c>
      <c r="I403" t="s">
        <v>136</v>
      </c>
      <c r="J403" s="10" t="str">
        <f>VLOOKUP(I403,Categories!A:B,2,FALSE)</f>
        <v>อื่นๆ</v>
      </c>
      <c r="K403" t="s">
        <v>123</v>
      </c>
      <c r="L403" s="10" t="str">
        <f>VLOOKUP(K403,Accounts!A:B,2,FALSE)</f>
        <v>KBank</v>
      </c>
      <c r="M403" t="s">
        <v>131</v>
      </c>
      <c r="N403" s="10" t="str">
        <f>VLOOKUP(M403,Accounts!A:B,2,FALSE)</f>
        <v xml:space="preserve">Advance Paid</v>
      </c>
      <c r="O403" t="s">
        <v>125</v>
      </c>
      <c r="Q403" t="s">
        <v>126</v>
      </c>
      <c r="R403" t="s">
        <v>124</v>
      </c>
      <c r="S403" t="b">
        <v>0</v>
      </c>
      <c r="T403" t="s">
        <v>124</v>
      </c>
    </row>
    <row r="404">
      <c r="A404" t="s">
        <v>982</v>
      </c>
      <c r="B404" t="s">
        <v>983</v>
      </c>
      <c r="C404" s="2">
        <v>2025</v>
      </c>
      <c r="D404" s="10">
        <v>4</v>
      </c>
      <c r="E404" s="10">
        <v>12</v>
      </c>
      <c r="F404" t="s">
        <v>984</v>
      </c>
      <c r="G404">
        <v>3005.4299999999998</v>
      </c>
      <c r="H404" t="s">
        <v>128</v>
      </c>
      <c r="I404" t="s">
        <v>136</v>
      </c>
      <c r="J404" s="10" t="str">
        <f>VLOOKUP(I404,Categories!A:B,2,FALSE)</f>
        <v>อื่นๆ</v>
      </c>
      <c r="K404" t="s">
        <v>766</v>
      </c>
      <c r="L404" s="10" t="str">
        <f>VLOOKUP(K404,Accounts!A:B,2,FALSE)</f>
        <v>KRUNGSRI</v>
      </c>
      <c r="M404" t="s">
        <v>743</v>
      </c>
      <c r="N404" s="10" t="str">
        <f>VLOOKUP(M404,Accounts!A:B,2,FALSE)</f>
        <v>HOMEPRO</v>
      </c>
      <c r="O404" t="s">
        <v>125</v>
      </c>
      <c r="Q404" t="s">
        <v>126</v>
      </c>
      <c r="R404" t="s">
        <v>124</v>
      </c>
      <c r="S404" t="b">
        <v>0</v>
      </c>
      <c r="T404" t="s">
        <v>124</v>
      </c>
    </row>
    <row r="405">
      <c r="A405" t="s">
        <v>985</v>
      </c>
      <c r="B405" t="s">
        <v>986</v>
      </c>
      <c r="C405" s="2">
        <v>2025</v>
      </c>
      <c r="D405" s="10">
        <v>4</v>
      </c>
      <c r="E405" s="10">
        <v>10</v>
      </c>
      <c r="F405" t="s">
        <v>234</v>
      </c>
      <c r="G405">
        <v>2890</v>
      </c>
      <c r="H405" t="s">
        <v>69</v>
      </c>
      <c r="I405" t="s">
        <v>141</v>
      </c>
      <c r="J405" s="10" t="str">
        <f>VLOOKUP(I405,Categories!A:B,2,FALSE)</f>
        <v>Other</v>
      </c>
      <c r="K405" t="s">
        <v>743</v>
      </c>
      <c r="L405" s="10" t="str">
        <f>VLOOKUP(K405,Accounts!A:B,2,FALSE)</f>
        <v>HOMEPRO</v>
      </c>
      <c r="M405" t="s">
        <v>124</v>
      </c>
      <c r="N405" s="10"/>
      <c r="O405" t="s">
        <v>987</v>
      </c>
      <c r="Q405" t="s">
        <v>126</v>
      </c>
      <c r="R405" t="s">
        <v>124</v>
      </c>
      <c r="S405" t="b">
        <v>0</v>
      </c>
      <c r="T405" t="s">
        <v>124</v>
      </c>
    </row>
    <row r="406">
      <c r="A406" t="s">
        <v>988</v>
      </c>
      <c r="B406" t="s">
        <v>989</v>
      </c>
      <c r="C406" s="2">
        <v>2025</v>
      </c>
      <c r="D406" s="10">
        <v>4</v>
      </c>
      <c r="E406" s="10">
        <v>6</v>
      </c>
      <c r="F406" t="s">
        <v>276</v>
      </c>
      <c r="G406">
        <v>300</v>
      </c>
      <c r="H406" t="s">
        <v>69</v>
      </c>
      <c r="I406" t="s">
        <v>824</v>
      </c>
      <c r="J406" s="10" t="str">
        <f>VLOOKUP(I406,Categories!A:B,2,FALSE)</f>
        <v>Other</v>
      </c>
      <c r="K406" t="s">
        <v>123</v>
      </c>
      <c r="L406" s="10" t="str">
        <f>VLOOKUP(K406,Accounts!A:B,2,FALSE)</f>
        <v>KBank</v>
      </c>
      <c r="M406" t="s">
        <v>124</v>
      </c>
      <c r="N406" s="10"/>
      <c r="O406" t="s">
        <v>377</v>
      </c>
      <c r="Q406" t="s">
        <v>126</v>
      </c>
      <c r="R406" t="s">
        <v>124</v>
      </c>
      <c r="S406" t="b">
        <v>0</v>
      </c>
      <c r="T406" t="s">
        <v>124</v>
      </c>
    </row>
    <row r="407">
      <c r="A407" t="s">
        <v>990</v>
      </c>
      <c r="B407" t="s">
        <v>991</v>
      </c>
      <c r="C407" s="2">
        <v>2025</v>
      </c>
      <c r="D407" s="10">
        <v>4</v>
      </c>
      <c r="E407" s="10">
        <v>4</v>
      </c>
      <c r="F407" t="s">
        <v>992</v>
      </c>
      <c r="G407">
        <v>970</v>
      </c>
      <c r="H407" t="s">
        <v>128</v>
      </c>
      <c r="I407" t="s">
        <v>136</v>
      </c>
      <c r="J407" s="10" t="str">
        <f>VLOOKUP(I407,Categories!A:B,2,FALSE)</f>
        <v>อื่นๆ</v>
      </c>
      <c r="K407" t="s">
        <v>131</v>
      </c>
      <c r="L407" s="10" t="str">
        <f>VLOOKUP(K407,Accounts!A:B,2,FALSE)</f>
        <v xml:space="preserve">Advance Paid</v>
      </c>
      <c r="M407" t="s">
        <v>123</v>
      </c>
      <c r="N407" s="10" t="str">
        <f>VLOOKUP(M407,Accounts!A:B,2,FALSE)</f>
        <v>KBank</v>
      </c>
      <c r="O407" t="s">
        <v>125</v>
      </c>
      <c r="Q407" t="s">
        <v>126</v>
      </c>
      <c r="R407" t="s">
        <v>124</v>
      </c>
      <c r="S407" t="b">
        <v>0</v>
      </c>
      <c r="T407" t="s">
        <v>124</v>
      </c>
    </row>
    <row r="408">
      <c r="A408" t="s">
        <v>993</v>
      </c>
      <c r="B408" t="s">
        <v>991</v>
      </c>
      <c r="C408" s="2">
        <v>2025</v>
      </c>
      <c r="D408" s="10">
        <v>4</v>
      </c>
      <c r="E408" s="10">
        <v>4</v>
      </c>
      <c r="F408" t="s">
        <v>994</v>
      </c>
      <c r="G408">
        <v>1073</v>
      </c>
      <c r="H408" t="s">
        <v>128</v>
      </c>
      <c r="I408" t="s">
        <v>136</v>
      </c>
      <c r="J408" s="10" t="str">
        <f>VLOOKUP(I408,Categories!A:B,2,FALSE)</f>
        <v>อื่นๆ</v>
      </c>
      <c r="K408" t="s">
        <v>131</v>
      </c>
      <c r="L408" s="10" t="str">
        <f>VLOOKUP(K408,Accounts!A:B,2,FALSE)</f>
        <v xml:space="preserve">Advance Paid</v>
      </c>
      <c r="M408" t="s">
        <v>123</v>
      </c>
      <c r="N408" s="10" t="str">
        <f>VLOOKUP(M408,Accounts!A:B,2,FALSE)</f>
        <v>KBank</v>
      </c>
      <c r="O408" t="s">
        <v>125</v>
      </c>
      <c r="Q408" t="s">
        <v>126</v>
      </c>
      <c r="R408" t="s">
        <v>124</v>
      </c>
      <c r="S408" t="b">
        <v>0</v>
      </c>
      <c r="T408" t="s">
        <v>124</v>
      </c>
    </row>
    <row r="409">
      <c r="A409" t="s">
        <v>995</v>
      </c>
      <c r="B409" t="s">
        <v>996</v>
      </c>
      <c r="C409" s="2">
        <v>2025</v>
      </c>
      <c r="D409" s="10">
        <v>4</v>
      </c>
      <c r="E409" s="10">
        <v>1</v>
      </c>
      <c r="F409" t="s">
        <v>121</v>
      </c>
      <c r="G409">
        <v>19000</v>
      </c>
      <c r="H409" t="s">
        <v>69</v>
      </c>
      <c r="I409" t="s">
        <v>134</v>
      </c>
      <c r="J409" s="10" t="str">
        <f>VLOOKUP(I409,Categories!A:B,2,FALSE)</f>
        <v>Hong</v>
      </c>
      <c r="K409" t="s">
        <v>123</v>
      </c>
      <c r="L409" s="10" t="str">
        <f>VLOOKUP(K409,Accounts!A:B,2,FALSE)</f>
        <v>KBank</v>
      </c>
      <c r="M409" t="s">
        <v>124</v>
      </c>
      <c r="N409" s="10"/>
      <c r="O409" t="s">
        <v>125</v>
      </c>
      <c r="Q409" t="s">
        <v>126</v>
      </c>
      <c r="R409" t="s">
        <v>124</v>
      </c>
      <c r="S409" t="b">
        <v>0</v>
      </c>
      <c r="T409" t="s">
        <v>124</v>
      </c>
    </row>
    <row r="410">
      <c r="A410" t="s">
        <v>997</v>
      </c>
      <c r="B410" t="s">
        <v>998</v>
      </c>
      <c r="C410" s="2">
        <v>2025</v>
      </c>
      <c r="D410" s="10">
        <v>3</v>
      </c>
      <c r="E410" s="10">
        <v>31</v>
      </c>
      <c r="F410" t="s">
        <v>999</v>
      </c>
      <c r="G410">
        <v>3933</v>
      </c>
      <c r="H410" t="s">
        <v>69</v>
      </c>
      <c r="I410" t="s">
        <v>150</v>
      </c>
      <c r="J410" s="10" t="str">
        <f>VLOOKUP(I410,Categories!A:B,2,FALSE)</f>
        <v xml:space="preserve">Food &amp; Coff</v>
      </c>
      <c r="K410" t="s">
        <v>123</v>
      </c>
      <c r="L410" s="10" t="str">
        <f>VLOOKUP(K410,Accounts!A:B,2,FALSE)</f>
        <v>KBank</v>
      </c>
      <c r="M410" t="s">
        <v>124</v>
      </c>
      <c r="N410" s="10"/>
      <c r="O410" t="s">
        <v>125</v>
      </c>
      <c r="Q410" t="s">
        <v>126</v>
      </c>
      <c r="R410" t="s">
        <v>124</v>
      </c>
      <c r="S410" t="b">
        <v>0</v>
      </c>
      <c r="T410" t="s">
        <v>124</v>
      </c>
    </row>
    <row r="411">
      <c r="A411" t="s">
        <v>1000</v>
      </c>
      <c r="B411" t="s">
        <v>1001</v>
      </c>
      <c r="C411" s="2">
        <v>2025</v>
      </c>
      <c r="D411" s="10">
        <v>3</v>
      </c>
      <c r="E411" s="10">
        <v>30</v>
      </c>
      <c r="F411" t="s">
        <v>1002</v>
      </c>
      <c r="G411">
        <v>7481</v>
      </c>
      <c r="H411" t="s">
        <v>69</v>
      </c>
      <c r="I411" t="s">
        <v>139</v>
      </c>
      <c r="J411" s="10" t="str">
        <f>VLOOKUP(I411,Categories!A:B,2,FALSE)</f>
        <v>Condo</v>
      </c>
      <c r="K411" t="s">
        <v>123</v>
      </c>
      <c r="L411" s="10" t="str">
        <f>VLOOKUP(K411,Accounts!A:B,2,FALSE)</f>
        <v>KBank</v>
      </c>
      <c r="M411" t="s">
        <v>124</v>
      </c>
      <c r="N411" s="10"/>
      <c r="O411" t="s">
        <v>125</v>
      </c>
      <c r="Q411" t="s">
        <v>126</v>
      </c>
      <c r="R411" t="s">
        <v>124</v>
      </c>
      <c r="S411" t="b">
        <v>0</v>
      </c>
      <c r="T411" t="s">
        <v>124</v>
      </c>
    </row>
    <row r="412">
      <c r="A412" t="s">
        <v>1003</v>
      </c>
      <c r="B412" t="s">
        <v>1001</v>
      </c>
      <c r="C412" s="2">
        <v>2025</v>
      </c>
      <c r="D412" s="10">
        <v>3</v>
      </c>
      <c r="E412" s="10">
        <v>30</v>
      </c>
      <c r="F412" t="s">
        <v>1004</v>
      </c>
      <c r="G412">
        <v>105</v>
      </c>
      <c r="H412" t="s">
        <v>69</v>
      </c>
      <c r="I412" t="s">
        <v>150</v>
      </c>
      <c r="J412" s="10" t="str">
        <f>VLOOKUP(I412,Categories!A:B,2,FALSE)</f>
        <v xml:space="preserve">Food &amp; Coff</v>
      </c>
      <c r="K412" t="s">
        <v>123</v>
      </c>
      <c r="L412" s="10" t="str">
        <f>VLOOKUP(K412,Accounts!A:B,2,FALSE)</f>
        <v>KBank</v>
      </c>
      <c r="M412" t="s">
        <v>124</v>
      </c>
      <c r="N412" s="10"/>
      <c r="O412" t="s">
        <v>125</v>
      </c>
      <c r="Q412" t="s">
        <v>126</v>
      </c>
      <c r="R412" t="s">
        <v>124</v>
      </c>
      <c r="S412" t="b">
        <v>0</v>
      </c>
      <c r="T412" t="s">
        <v>124</v>
      </c>
    </row>
    <row r="413">
      <c r="A413" t="s">
        <v>1005</v>
      </c>
      <c r="B413" t="s">
        <v>1001</v>
      </c>
      <c r="C413" s="2">
        <v>2025</v>
      </c>
      <c r="D413" s="10">
        <v>3</v>
      </c>
      <c r="E413" s="10">
        <v>30</v>
      </c>
      <c r="F413" t="s">
        <v>994</v>
      </c>
      <c r="G413">
        <v>1073</v>
      </c>
      <c r="H413" t="s">
        <v>128</v>
      </c>
      <c r="I413" t="s">
        <v>136</v>
      </c>
      <c r="J413" s="10" t="str">
        <f>VLOOKUP(I413,Categories!A:B,2,FALSE)</f>
        <v>อื่นๆ</v>
      </c>
      <c r="K413" t="s">
        <v>123</v>
      </c>
      <c r="L413" s="10" t="str">
        <f>VLOOKUP(K413,Accounts!A:B,2,FALSE)</f>
        <v>KBank</v>
      </c>
      <c r="M413" t="s">
        <v>131</v>
      </c>
      <c r="N413" s="10" t="str">
        <f>VLOOKUP(M413,Accounts!A:B,2,FALSE)</f>
        <v xml:space="preserve">Advance Paid</v>
      </c>
      <c r="O413" t="s">
        <v>125</v>
      </c>
      <c r="Q413" t="s">
        <v>126</v>
      </c>
      <c r="R413" t="s">
        <v>124</v>
      </c>
      <c r="S413" t="b">
        <v>0</v>
      </c>
      <c r="T413" t="s">
        <v>124</v>
      </c>
    </row>
    <row r="414">
      <c r="A414" t="s">
        <v>1006</v>
      </c>
      <c r="B414" t="s">
        <v>1001</v>
      </c>
      <c r="C414" s="2">
        <v>2025</v>
      </c>
      <c r="D414" s="10">
        <v>3</v>
      </c>
      <c r="E414" s="10">
        <v>30</v>
      </c>
      <c r="F414" t="s">
        <v>355</v>
      </c>
      <c r="G414">
        <v>1515</v>
      </c>
      <c r="H414" t="s">
        <v>128</v>
      </c>
      <c r="I414" t="s">
        <v>136</v>
      </c>
      <c r="J414" s="10" t="str">
        <f>VLOOKUP(I414,Categories!A:B,2,FALSE)</f>
        <v>อื่นๆ</v>
      </c>
      <c r="K414" t="s">
        <v>123</v>
      </c>
      <c r="L414" s="10" t="str">
        <f>VLOOKUP(K414,Accounts!A:B,2,FALSE)</f>
        <v>KBank</v>
      </c>
      <c r="M414" t="s">
        <v>131</v>
      </c>
      <c r="N414" s="10" t="str">
        <f>VLOOKUP(M414,Accounts!A:B,2,FALSE)</f>
        <v xml:space="preserve">Advance Paid</v>
      </c>
      <c r="O414" t="s">
        <v>125</v>
      </c>
      <c r="Q414" t="s">
        <v>126</v>
      </c>
      <c r="R414" t="s">
        <v>124</v>
      </c>
      <c r="S414" t="b">
        <v>0</v>
      </c>
      <c r="T414" t="s">
        <v>124</v>
      </c>
    </row>
    <row r="415">
      <c r="A415" t="s">
        <v>1007</v>
      </c>
      <c r="B415" t="s">
        <v>1008</v>
      </c>
      <c r="C415" s="2">
        <v>2025</v>
      </c>
      <c r="D415" s="10">
        <v>3</v>
      </c>
      <c r="E415" s="10">
        <v>29</v>
      </c>
      <c r="F415" t="s">
        <v>1009</v>
      </c>
      <c r="G415">
        <v>224</v>
      </c>
      <c r="H415" t="s">
        <v>69</v>
      </c>
      <c r="I415" t="s">
        <v>144</v>
      </c>
      <c r="J415" s="10" t="str">
        <f>VLOOKUP(I415,Categories!A:B,2,FALSE)</f>
        <v xml:space="preserve">Family paid</v>
      </c>
      <c r="K415" t="s">
        <v>123</v>
      </c>
      <c r="L415" s="10" t="str">
        <f>VLOOKUP(K415,Accounts!A:B,2,FALSE)</f>
        <v>KBank</v>
      </c>
      <c r="M415" t="s">
        <v>124</v>
      </c>
      <c r="N415" s="10"/>
      <c r="O415" t="s">
        <v>1010</v>
      </c>
      <c r="Q415" t="s">
        <v>126</v>
      </c>
      <c r="R415" t="s">
        <v>124</v>
      </c>
      <c r="S415" t="b">
        <v>0</v>
      </c>
      <c r="T415" t="s">
        <v>124</v>
      </c>
    </row>
    <row r="416">
      <c r="A416" t="s">
        <v>1011</v>
      </c>
      <c r="B416" t="s">
        <v>1008</v>
      </c>
      <c r="C416" s="2">
        <v>2025</v>
      </c>
      <c r="D416" s="10">
        <v>3</v>
      </c>
      <c r="E416" s="10">
        <v>29</v>
      </c>
      <c r="F416" t="s">
        <v>1012</v>
      </c>
      <c r="G416">
        <v>7000</v>
      </c>
      <c r="H416" t="s">
        <v>69</v>
      </c>
      <c r="I416" t="s">
        <v>144</v>
      </c>
      <c r="J416" s="10" t="str">
        <f>VLOOKUP(I416,Categories!A:B,2,FALSE)</f>
        <v xml:space="preserve">Family paid</v>
      </c>
      <c r="K416" t="s">
        <v>123</v>
      </c>
      <c r="L416" s="10" t="str">
        <f>VLOOKUP(K416,Accounts!A:B,2,FALSE)</f>
        <v>KBank</v>
      </c>
      <c r="M416" t="s">
        <v>124</v>
      </c>
      <c r="N416" s="10"/>
      <c r="O416" t="s">
        <v>125</v>
      </c>
      <c r="Q416" t="s">
        <v>126</v>
      </c>
      <c r="R416" t="s">
        <v>124</v>
      </c>
      <c r="S416" t="b">
        <v>0</v>
      </c>
      <c r="T416" t="s">
        <v>124</v>
      </c>
    </row>
    <row r="417">
      <c r="A417" t="s">
        <v>1013</v>
      </c>
      <c r="B417" t="s">
        <v>1014</v>
      </c>
      <c r="C417" s="2">
        <v>2025</v>
      </c>
      <c r="D417" s="10">
        <v>3</v>
      </c>
      <c r="E417" s="10">
        <v>27</v>
      </c>
      <c r="F417" t="s">
        <v>992</v>
      </c>
      <c r="G417">
        <v>970</v>
      </c>
      <c r="H417" t="s">
        <v>128</v>
      </c>
      <c r="I417" t="s">
        <v>136</v>
      </c>
      <c r="J417" s="10" t="str">
        <f>VLOOKUP(I417,Categories!A:B,2,FALSE)</f>
        <v>อื่นๆ</v>
      </c>
      <c r="K417" t="s">
        <v>123</v>
      </c>
      <c r="L417" s="10" t="str">
        <f>VLOOKUP(K417,Accounts!A:B,2,FALSE)</f>
        <v>KBank</v>
      </c>
      <c r="M417" t="s">
        <v>131</v>
      </c>
      <c r="N417" s="10" t="str">
        <f>VLOOKUP(M417,Accounts!A:B,2,FALSE)</f>
        <v xml:space="preserve">Advance Paid</v>
      </c>
      <c r="O417" t="s">
        <v>125</v>
      </c>
      <c r="Q417" t="s">
        <v>126</v>
      </c>
      <c r="R417" t="s">
        <v>124</v>
      </c>
      <c r="S417" t="b">
        <v>0</v>
      </c>
      <c r="T417" t="s">
        <v>124</v>
      </c>
    </row>
    <row r="418">
      <c r="A418" t="s">
        <v>1015</v>
      </c>
      <c r="B418" t="s">
        <v>1016</v>
      </c>
      <c r="C418" s="2">
        <v>2025</v>
      </c>
      <c r="D418" s="10">
        <v>3</v>
      </c>
      <c r="E418" s="10">
        <v>25</v>
      </c>
      <c r="F418" t="s">
        <v>121</v>
      </c>
      <c r="G418">
        <v>3025</v>
      </c>
      <c r="H418" t="s">
        <v>128</v>
      </c>
      <c r="I418" t="s">
        <v>136</v>
      </c>
      <c r="J418" s="10" t="str">
        <f>VLOOKUP(I418,Categories!A:B,2,FALSE)</f>
        <v>อื่นๆ</v>
      </c>
      <c r="K418" t="s">
        <v>123</v>
      </c>
      <c r="L418" s="10" t="str">
        <f>VLOOKUP(K418,Accounts!A:B,2,FALSE)</f>
        <v>KBank</v>
      </c>
      <c r="M418" t="s">
        <v>203</v>
      </c>
      <c r="N418" s="10" t="str">
        <f>VLOOKUP(M418,Accounts!A:B,2,FALSE)</f>
        <v xml:space="preserve">Provident Fund</v>
      </c>
      <c r="O418" t="s">
        <v>125</v>
      </c>
      <c r="Q418" t="s">
        <v>126</v>
      </c>
      <c r="R418" t="s">
        <v>124</v>
      </c>
      <c r="S418" t="b">
        <v>0</v>
      </c>
      <c r="T418" t="s">
        <v>124</v>
      </c>
    </row>
    <row r="419">
      <c r="A419" t="s">
        <v>1017</v>
      </c>
      <c r="B419" t="s">
        <v>1016</v>
      </c>
      <c r="C419" s="2">
        <v>2025</v>
      </c>
      <c r="D419" s="10">
        <v>3</v>
      </c>
      <c r="E419" s="10">
        <v>25</v>
      </c>
      <c r="F419" t="s">
        <v>121</v>
      </c>
      <c r="G419">
        <v>2945.3800000000001</v>
      </c>
      <c r="H419" t="s">
        <v>69</v>
      </c>
      <c r="I419" t="s">
        <v>199</v>
      </c>
      <c r="J419" s="10" t="str">
        <f>VLOOKUP(I419,Categories!A:B,2,FALSE)</f>
        <v xml:space="preserve">Home Chomthong Interest</v>
      </c>
      <c r="K419" t="s">
        <v>123</v>
      </c>
      <c r="L419" s="10" t="str">
        <f>VLOOKUP(K419,Accounts!A:B,2,FALSE)</f>
        <v>KBank</v>
      </c>
      <c r="M419" t="s">
        <v>124</v>
      </c>
      <c r="N419" s="10"/>
      <c r="O419" t="s">
        <v>125</v>
      </c>
      <c r="Q419" t="s">
        <v>126</v>
      </c>
      <c r="R419" t="s">
        <v>124</v>
      </c>
      <c r="S419" t="b">
        <v>0</v>
      </c>
      <c r="T419" t="s">
        <v>124</v>
      </c>
    </row>
    <row r="420">
      <c r="A420" t="s">
        <v>1018</v>
      </c>
      <c r="B420" t="s">
        <v>1016</v>
      </c>
      <c r="C420" s="2">
        <v>2025</v>
      </c>
      <c r="D420" s="10">
        <v>3</v>
      </c>
      <c r="E420" s="10">
        <v>25</v>
      </c>
      <c r="F420" t="s">
        <v>121</v>
      </c>
      <c r="G420">
        <v>4500.6800000000003</v>
      </c>
      <c r="H420" t="s">
        <v>69</v>
      </c>
      <c r="I420" t="s">
        <v>195</v>
      </c>
      <c r="J420" s="10" t="str">
        <f>VLOOKUP(I420,Categories!A:B,2,FALSE)</f>
        <v>Tax</v>
      </c>
      <c r="K420" t="s">
        <v>123</v>
      </c>
      <c r="L420" s="10" t="str">
        <f>VLOOKUP(K420,Accounts!A:B,2,FALSE)</f>
        <v>KBank</v>
      </c>
      <c r="M420" t="s">
        <v>124</v>
      </c>
      <c r="N420" s="10"/>
      <c r="O420" t="s">
        <v>125</v>
      </c>
      <c r="Q420" t="s">
        <v>126</v>
      </c>
      <c r="R420" t="s">
        <v>124</v>
      </c>
      <c r="S420" t="b">
        <v>0</v>
      </c>
      <c r="T420" t="s">
        <v>124</v>
      </c>
    </row>
    <row r="421">
      <c r="A421" t="s">
        <v>1019</v>
      </c>
      <c r="B421" t="s">
        <v>1016</v>
      </c>
      <c r="C421" s="2">
        <v>2025</v>
      </c>
      <c r="D421" s="10">
        <v>3</v>
      </c>
      <c r="E421" s="10">
        <v>25</v>
      </c>
      <c r="F421" t="s">
        <v>121</v>
      </c>
      <c r="G421">
        <v>161.87</v>
      </c>
      <c r="H421" t="s">
        <v>69</v>
      </c>
      <c r="I421" t="s">
        <v>443</v>
      </c>
      <c r="J421" s="10" t="str">
        <f>VLOOKUP(I421,Categories!A:B,2,FALSE)</f>
        <v xml:space="preserve">City SV Interest</v>
      </c>
      <c r="K421" t="s">
        <v>123</v>
      </c>
      <c r="L421" s="10" t="str">
        <f>VLOOKUP(K421,Accounts!A:B,2,FALSE)</f>
        <v>KBank</v>
      </c>
      <c r="M421" t="s">
        <v>124</v>
      </c>
      <c r="N421" s="10"/>
      <c r="O421" t="s">
        <v>125</v>
      </c>
      <c r="Q421" t="s">
        <v>126</v>
      </c>
      <c r="R421" t="s">
        <v>124</v>
      </c>
      <c r="S421" t="b">
        <v>0</v>
      </c>
      <c r="T421" t="s">
        <v>124</v>
      </c>
    </row>
    <row r="422">
      <c r="A422" t="s">
        <v>1020</v>
      </c>
      <c r="B422" t="s">
        <v>1016</v>
      </c>
      <c r="C422" s="2">
        <v>2025</v>
      </c>
      <c r="D422" s="10">
        <v>3</v>
      </c>
      <c r="E422" s="10">
        <v>25</v>
      </c>
      <c r="F422" t="s">
        <v>121</v>
      </c>
      <c r="G422">
        <v>9165</v>
      </c>
      <c r="H422" t="s">
        <v>69</v>
      </c>
      <c r="I422" t="s">
        <v>197</v>
      </c>
      <c r="J422" s="10" t="str">
        <f>VLOOKUP(I422,Categories!A:B,2,FALSE)</f>
        <v xml:space="preserve">Initial Home loan</v>
      </c>
      <c r="K422" t="s">
        <v>123</v>
      </c>
      <c r="L422" s="10" t="str">
        <f>VLOOKUP(K422,Accounts!A:B,2,FALSE)</f>
        <v>KBank</v>
      </c>
      <c r="M422" t="s">
        <v>124</v>
      </c>
      <c r="N422" s="10"/>
      <c r="O422" t="s">
        <v>125</v>
      </c>
      <c r="Q422" t="s">
        <v>126</v>
      </c>
      <c r="R422" t="s">
        <v>124</v>
      </c>
      <c r="S422" t="b">
        <v>0</v>
      </c>
      <c r="T422" t="s">
        <v>124</v>
      </c>
    </row>
    <row r="423">
      <c r="A423" t="s">
        <v>1021</v>
      </c>
      <c r="B423" t="s">
        <v>1016</v>
      </c>
      <c r="C423" s="2">
        <v>2025</v>
      </c>
      <c r="D423" s="10">
        <v>3</v>
      </c>
      <c r="E423" s="10">
        <v>25</v>
      </c>
      <c r="F423" t="s">
        <v>121</v>
      </c>
      <c r="G423">
        <v>151260</v>
      </c>
      <c r="H423" t="s">
        <v>206</v>
      </c>
      <c r="I423" t="s">
        <v>207</v>
      </c>
      <c r="J423" s="10" t="str">
        <f>VLOOKUP(I423,Categories!A:B,2,FALSE)</f>
        <v>Salary</v>
      </c>
      <c r="K423" t="s">
        <v>123</v>
      </c>
      <c r="L423" s="10" t="str">
        <f>VLOOKUP(K423,Accounts!A:B,2,FALSE)</f>
        <v>KBank</v>
      </c>
      <c r="M423" t="s">
        <v>124</v>
      </c>
      <c r="N423" s="10"/>
      <c r="O423" t="s">
        <v>125</v>
      </c>
      <c r="Q423" t="s">
        <v>126</v>
      </c>
      <c r="R423" t="s">
        <v>124</v>
      </c>
      <c r="S423" t="b">
        <v>0</v>
      </c>
      <c r="T423" t="s">
        <v>124</v>
      </c>
    </row>
    <row r="424">
      <c r="A424" t="s">
        <v>1022</v>
      </c>
      <c r="B424" t="s">
        <v>1016</v>
      </c>
      <c r="C424" s="2">
        <v>2025</v>
      </c>
      <c r="D424" s="10">
        <v>3</v>
      </c>
      <c r="E424" s="10">
        <v>25</v>
      </c>
      <c r="F424" t="s">
        <v>121</v>
      </c>
      <c r="G424">
        <v>500</v>
      </c>
      <c r="H424" t="s">
        <v>128</v>
      </c>
      <c r="I424" t="s">
        <v>136</v>
      </c>
      <c r="J424" s="10" t="str">
        <f>VLOOKUP(I424,Categories!A:B,2,FALSE)</f>
        <v>อื่นๆ</v>
      </c>
      <c r="K424" t="s">
        <v>123</v>
      </c>
      <c r="L424" s="10" t="str">
        <f>VLOOKUP(K424,Accounts!A:B,2,FALSE)</f>
        <v>KBank</v>
      </c>
      <c r="M424" t="s">
        <v>201</v>
      </c>
      <c r="N424" s="10" t="str">
        <f>VLOOKUP(M424,Accounts!A:B,2,FALSE)</f>
        <v>Coop</v>
      </c>
      <c r="O424" t="s">
        <v>125</v>
      </c>
      <c r="Q424" t="s">
        <v>126</v>
      </c>
      <c r="R424" t="s">
        <v>124</v>
      </c>
      <c r="S424" t="b">
        <v>0</v>
      </c>
      <c r="T424" t="s">
        <v>124</v>
      </c>
    </row>
    <row r="425">
      <c r="A425" t="s">
        <v>1023</v>
      </c>
      <c r="B425" t="s">
        <v>1016</v>
      </c>
      <c r="C425" s="2">
        <v>2025</v>
      </c>
      <c r="D425" s="10">
        <v>3</v>
      </c>
      <c r="E425" s="10">
        <v>25</v>
      </c>
      <c r="F425" t="s">
        <v>121</v>
      </c>
      <c r="G425">
        <v>9240</v>
      </c>
      <c r="H425" t="s">
        <v>69</v>
      </c>
      <c r="I425" t="s">
        <v>446</v>
      </c>
      <c r="J425" s="10" t="str">
        <f>VLOOKUP(I425,Categories!A:B,2,FALSE)</f>
        <v xml:space="preserve">Intial city</v>
      </c>
      <c r="K425" t="s">
        <v>123</v>
      </c>
      <c r="L425" s="10" t="str">
        <f>VLOOKUP(K425,Accounts!A:B,2,FALSE)</f>
        <v>KBank</v>
      </c>
      <c r="M425" t="s">
        <v>124</v>
      </c>
      <c r="N425" s="10"/>
      <c r="O425" t="s">
        <v>125</v>
      </c>
      <c r="Q425" t="s">
        <v>126</v>
      </c>
      <c r="R425" t="s">
        <v>124</v>
      </c>
      <c r="S425" t="b">
        <v>0</v>
      </c>
      <c r="T425" t="s">
        <v>124</v>
      </c>
    </row>
    <row r="426">
      <c r="A426" t="s">
        <v>1024</v>
      </c>
      <c r="B426" t="s">
        <v>1025</v>
      </c>
      <c r="C426" s="2">
        <v>2025</v>
      </c>
      <c r="D426" s="10">
        <v>3</v>
      </c>
      <c r="E426" s="10">
        <v>23</v>
      </c>
      <c r="F426" t="s">
        <v>1026</v>
      </c>
      <c r="G426">
        <v>21082</v>
      </c>
      <c r="H426" t="s">
        <v>69</v>
      </c>
      <c r="I426" t="s">
        <v>195</v>
      </c>
      <c r="J426" s="10" t="str">
        <f>VLOOKUP(I426,Categories!A:B,2,FALSE)</f>
        <v>Tax</v>
      </c>
      <c r="K426" t="s">
        <v>123</v>
      </c>
      <c r="L426" s="10" t="str">
        <f>VLOOKUP(K426,Accounts!A:B,2,FALSE)</f>
        <v>KBank</v>
      </c>
      <c r="M426" t="s">
        <v>124</v>
      </c>
      <c r="N426" s="10"/>
      <c r="O426" t="s">
        <v>125</v>
      </c>
      <c r="Q426" t="s">
        <v>126</v>
      </c>
      <c r="R426" t="s">
        <v>124</v>
      </c>
      <c r="S426" t="b">
        <v>0</v>
      </c>
      <c r="T426" t="s">
        <v>124</v>
      </c>
    </row>
    <row r="427">
      <c r="A427" t="s">
        <v>1027</v>
      </c>
      <c r="B427" t="s">
        <v>1025</v>
      </c>
      <c r="C427" s="2">
        <v>2025</v>
      </c>
      <c r="D427" s="10">
        <v>3</v>
      </c>
      <c r="E427" s="10">
        <v>23</v>
      </c>
      <c r="F427" t="s">
        <v>1028</v>
      </c>
      <c r="G427">
        <v>1515</v>
      </c>
      <c r="H427" t="s">
        <v>128</v>
      </c>
      <c r="I427" t="s">
        <v>136</v>
      </c>
      <c r="J427" s="10" t="str">
        <f>VLOOKUP(I427,Categories!A:B,2,FALSE)</f>
        <v>อื่นๆ</v>
      </c>
      <c r="K427" t="s">
        <v>123</v>
      </c>
      <c r="L427" s="10" t="str">
        <f>VLOOKUP(K427,Accounts!A:B,2,FALSE)</f>
        <v>KBank</v>
      </c>
      <c r="M427" t="s">
        <v>747</v>
      </c>
      <c r="N427" s="10" t="str">
        <f>VLOOKUP(M427,Accounts!A:B,2,FALSE)</f>
        <v xml:space="preserve">UOB world</v>
      </c>
      <c r="O427" t="s">
        <v>125</v>
      </c>
      <c r="Q427" t="s">
        <v>126</v>
      </c>
      <c r="R427" t="s">
        <v>124</v>
      </c>
      <c r="S427" t="b">
        <v>0</v>
      </c>
      <c r="T427" t="s">
        <v>124</v>
      </c>
    </row>
    <row r="428">
      <c r="A428" t="s">
        <v>1029</v>
      </c>
      <c r="B428" t="s">
        <v>1025</v>
      </c>
      <c r="C428" s="2">
        <v>2025</v>
      </c>
      <c r="D428" s="10">
        <v>3</v>
      </c>
      <c r="E428" s="10">
        <v>23</v>
      </c>
      <c r="F428" t="s">
        <v>1030</v>
      </c>
      <c r="G428">
        <v>2890</v>
      </c>
      <c r="H428" t="s">
        <v>128</v>
      </c>
      <c r="I428" t="s">
        <v>136</v>
      </c>
      <c r="J428" s="10" t="str">
        <f>VLOOKUP(I428,Categories!A:B,2,FALSE)</f>
        <v>อื่นๆ</v>
      </c>
      <c r="K428" t="s">
        <v>766</v>
      </c>
      <c r="L428" s="10" t="str">
        <f>VLOOKUP(K428,Accounts!A:B,2,FALSE)</f>
        <v>KRUNGSRI</v>
      </c>
      <c r="M428" t="s">
        <v>743</v>
      </c>
      <c r="N428" s="10" t="str">
        <f>VLOOKUP(M428,Accounts!A:B,2,FALSE)</f>
        <v>HOMEPRO</v>
      </c>
      <c r="O428" t="s">
        <v>125</v>
      </c>
      <c r="Q428" t="s">
        <v>126</v>
      </c>
      <c r="R428" t="s">
        <v>124</v>
      </c>
      <c r="S428" t="b">
        <v>0</v>
      </c>
      <c r="T428" t="s">
        <v>124</v>
      </c>
    </row>
    <row r="429">
      <c r="A429" t="s">
        <v>1031</v>
      </c>
      <c r="B429" t="s">
        <v>1025</v>
      </c>
      <c r="C429" s="2">
        <v>2025</v>
      </c>
      <c r="D429" s="10">
        <v>3</v>
      </c>
      <c r="E429" s="10">
        <v>23</v>
      </c>
      <c r="F429" t="s">
        <v>1032</v>
      </c>
      <c r="G429">
        <v>1755</v>
      </c>
      <c r="H429" t="s">
        <v>69</v>
      </c>
      <c r="I429" t="s">
        <v>338</v>
      </c>
      <c r="J429" s="10" t="str">
        <f>VLOOKUP(I429,Categories!A:B,2,FALSE)</f>
        <v>Trips</v>
      </c>
      <c r="K429" t="s">
        <v>123</v>
      </c>
      <c r="L429" s="10" t="str">
        <f>VLOOKUP(K429,Accounts!A:B,2,FALSE)</f>
        <v>KBank</v>
      </c>
      <c r="M429" t="s">
        <v>124</v>
      </c>
      <c r="N429" s="10"/>
      <c r="O429" t="s">
        <v>1033</v>
      </c>
      <c r="Q429" t="s">
        <v>126</v>
      </c>
      <c r="R429" t="s">
        <v>124</v>
      </c>
      <c r="S429" t="b">
        <v>0</v>
      </c>
      <c r="T429" t="s">
        <v>124</v>
      </c>
    </row>
    <row r="430">
      <c r="A430" t="s">
        <v>1034</v>
      </c>
      <c r="B430" t="s">
        <v>1025</v>
      </c>
      <c r="C430" s="2">
        <v>2025</v>
      </c>
      <c r="D430" s="10">
        <v>3</v>
      </c>
      <c r="E430" s="10">
        <v>23</v>
      </c>
      <c r="F430" t="s">
        <v>1035</v>
      </c>
      <c r="G430">
        <v>800</v>
      </c>
      <c r="H430" t="s">
        <v>69</v>
      </c>
      <c r="I430" t="s">
        <v>152</v>
      </c>
      <c r="J430" s="10" t="str">
        <f>VLOOKUP(I430,Categories!A:B,2,FALSE)</f>
        <v xml:space="preserve">Office Suit</v>
      </c>
      <c r="K430" t="s">
        <v>123</v>
      </c>
      <c r="L430" s="10" t="str">
        <f>VLOOKUP(K430,Accounts!A:B,2,FALSE)</f>
        <v>KBank</v>
      </c>
      <c r="M430" t="s">
        <v>124</v>
      </c>
      <c r="N430" s="10"/>
      <c r="O430" t="s">
        <v>1036</v>
      </c>
      <c r="Q430" t="s">
        <v>126</v>
      </c>
      <c r="R430" t="s">
        <v>124</v>
      </c>
      <c r="S430" t="b">
        <v>0</v>
      </c>
      <c r="T430" t="s">
        <v>124</v>
      </c>
    </row>
    <row r="431">
      <c r="A431" t="s">
        <v>1037</v>
      </c>
      <c r="B431" t="s">
        <v>1025</v>
      </c>
      <c r="C431" s="2">
        <v>2025</v>
      </c>
      <c r="D431" s="10">
        <v>3</v>
      </c>
      <c r="E431" s="10">
        <v>23</v>
      </c>
      <c r="F431" t="s">
        <v>1038</v>
      </c>
      <c r="G431">
        <v>9650</v>
      </c>
      <c r="H431" t="s">
        <v>128</v>
      </c>
      <c r="I431" t="s">
        <v>136</v>
      </c>
      <c r="J431" s="10" t="str">
        <f>VLOOKUP(I431,Categories!A:B,2,FALSE)</f>
        <v>อื่นๆ</v>
      </c>
      <c r="K431" t="s">
        <v>123</v>
      </c>
      <c r="L431" s="10" t="str">
        <f>VLOOKUP(K431,Accounts!A:B,2,FALSE)</f>
        <v>KBank</v>
      </c>
      <c r="M431" t="s">
        <v>766</v>
      </c>
      <c r="N431" s="10" t="str">
        <f>VLOOKUP(M431,Accounts!A:B,2,FALSE)</f>
        <v>KRUNGSRI</v>
      </c>
      <c r="O431" t="s">
        <v>125</v>
      </c>
      <c r="Q431" t="s">
        <v>126</v>
      </c>
      <c r="R431" t="s">
        <v>124</v>
      </c>
      <c r="S431" t="b">
        <v>0</v>
      </c>
      <c r="T431" t="s">
        <v>124</v>
      </c>
    </row>
    <row r="432">
      <c r="A432" t="s">
        <v>1039</v>
      </c>
      <c r="B432" t="s">
        <v>1025</v>
      </c>
      <c r="C432" s="2">
        <v>2025</v>
      </c>
      <c r="D432" s="10">
        <v>3</v>
      </c>
      <c r="E432" s="10">
        <v>23</v>
      </c>
      <c r="F432" t="s">
        <v>1038</v>
      </c>
      <c r="G432">
        <v>11872</v>
      </c>
      <c r="H432" t="s">
        <v>69</v>
      </c>
      <c r="I432" t="s">
        <v>1040</v>
      </c>
      <c r="J432" s="10" t="str">
        <f>VLOOKUP(I432,Categories!A:B,2,FALSE)</f>
        <v>Insurance</v>
      </c>
      <c r="K432" t="s">
        <v>123</v>
      </c>
      <c r="L432" s="10" t="str">
        <f>VLOOKUP(K432,Accounts!A:B,2,FALSE)</f>
        <v>KBank</v>
      </c>
      <c r="M432" t="s">
        <v>124</v>
      </c>
      <c r="N432" s="10"/>
      <c r="O432" t="s">
        <v>1041</v>
      </c>
      <c r="Q432" t="s">
        <v>126</v>
      </c>
      <c r="R432" t="s">
        <v>124</v>
      </c>
      <c r="S432" t="b">
        <v>0</v>
      </c>
      <c r="T432" t="s">
        <v>124</v>
      </c>
    </row>
    <row r="433">
      <c r="A433" t="s">
        <v>1042</v>
      </c>
      <c r="B433" t="s">
        <v>1025</v>
      </c>
      <c r="C433" s="2">
        <v>2025</v>
      </c>
      <c r="D433" s="10">
        <v>3</v>
      </c>
      <c r="E433" s="10">
        <v>23</v>
      </c>
      <c r="F433" t="s">
        <v>364</v>
      </c>
      <c r="G433">
        <v>1361.25</v>
      </c>
      <c r="H433" t="s">
        <v>128</v>
      </c>
      <c r="I433" t="s">
        <v>136</v>
      </c>
      <c r="J433" s="10" t="str">
        <f>VLOOKUP(I433,Categories!A:B,2,FALSE)</f>
        <v>อื่นๆ</v>
      </c>
      <c r="K433" t="s">
        <v>747</v>
      </c>
      <c r="L433" s="10" t="str">
        <f>VLOOKUP(K433,Accounts!A:B,2,FALSE)</f>
        <v xml:space="preserve">UOB world</v>
      </c>
      <c r="M433" t="s">
        <v>123</v>
      </c>
      <c r="N433" s="10" t="str">
        <f>VLOOKUP(M433,Accounts!A:B,2,FALSE)</f>
        <v>KBank</v>
      </c>
      <c r="O433" t="s">
        <v>1043</v>
      </c>
      <c r="Q433" t="s">
        <v>126</v>
      </c>
      <c r="R433" t="s">
        <v>124</v>
      </c>
      <c r="S433" t="b">
        <v>0</v>
      </c>
      <c r="T433" t="s">
        <v>124</v>
      </c>
    </row>
    <row r="434">
      <c r="A434" t="s">
        <v>1044</v>
      </c>
      <c r="B434" t="s">
        <v>1025</v>
      </c>
      <c r="C434" s="2">
        <v>2025</v>
      </c>
      <c r="D434" s="10">
        <v>3</v>
      </c>
      <c r="E434" s="10">
        <v>23</v>
      </c>
      <c r="F434" t="s">
        <v>1045</v>
      </c>
      <c r="G434">
        <v>5628</v>
      </c>
      <c r="H434" t="s">
        <v>128</v>
      </c>
      <c r="I434" t="s">
        <v>136</v>
      </c>
      <c r="J434" s="10" t="str">
        <f>VLOOKUP(I434,Categories!A:B,2,FALSE)</f>
        <v>อื่นๆ</v>
      </c>
      <c r="K434" t="s">
        <v>131</v>
      </c>
      <c r="L434" s="10" t="str">
        <f>VLOOKUP(K434,Accounts!A:B,2,FALSE)</f>
        <v xml:space="preserve">Advance Paid</v>
      </c>
      <c r="M434" t="s">
        <v>123</v>
      </c>
      <c r="N434" s="10" t="str">
        <f>VLOOKUP(M434,Accounts!A:B,2,FALSE)</f>
        <v>KBank</v>
      </c>
      <c r="O434" t="s">
        <v>125</v>
      </c>
      <c r="Q434" t="s">
        <v>126</v>
      </c>
      <c r="R434" t="s">
        <v>124</v>
      </c>
      <c r="S434" t="b">
        <v>0</v>
      </c>
      <c r="T434" t="s">
        <v>124</v>
      </c>
    </row>
    <row r="435">
      <c r="A435" t="s">
        <v>1046</v>
      </c>
      <c r="B435" t="s">
        <v>1025</v>
      </c>
      <c r="C435" s="2">
        <v>2025</v>
      </c>
      <c r="D435" s="10">
        <v>3</v>
      </c>
      <c r="E435" s="10">
        <v>23</v>
      </c>
      <c r="F435" t="s">
        <v>1047</v>
      </c>
      <c r="G435">
        <v>2342</v>
      </c>
      <c r="H435" t="s">
        <v>128</v>
      </c>
      <c r="I435" t="s">
        <v>136</v>
      </c>
      <c r="J435" s="10" t="str">
        <f>VLOOKUP(I435,Categories!A:B,2,FALSE)</f>
        <v>อื่นๆ</v>
      </c>
      <c r="K435" t="s">
        <v>131</v>
      </c>
      <c r="L435" s="10" t="str">
        <f>VLOOKUP(K435,Accounts!A:B,2,FALSE)</f>
        <v xml:space="preserve">Advance Paid</v>
      </c>
      <c r="M435" t="s">
        <v>123</v>
      </c>
      <c r="N435" s="10" t="str">
        <f>VLOOKUP(M435,Accounts!A:B,2,FALSE)</f>
        <v>KBank</v>
      </c>
      <c r="O435" t="s">
        <v>125</v>
      </c>
      <c r="Q435" t="s">
        <v>126</v>
      </c>
      <c r="R435" t="s">
        <v>124</v>
      </c>
      <c r="S435" t="b">
        <v>0</v>
      </c>
      <c r="T435" t="s">
        <v>124</v>
      </c>
    </row>
    <row r="436">
      <c r="A436" t="s">
        <v>1048</v>
      </c>
      <c r="B436" t="s">
        <v>1049</v>
      </c>
      <c r="C436" s="2">
        <v>2025</v>
      </c>
      <c r="D436" s="10">
        <v>3</v>
      </c>
      <c r="E436" s="10">
        <v>10</v>
      </c>
      <c r="F436" t="s">
        <v>234</v>
      </c>
      <c r="G436">
        <v>2890</v>
      </c>
      <c r="H436" t="s">
        <v>69</v>
      </c>
      <c r="I436" t="s">
        <v>141</v>
      </c>
      <c r="J436" s="10" t="str">
        <f>VLOOKUP(I436,Categories!A:B,2,FALSE)</f>
        <v>Other</v>
      </c>
      <c r="K436" t="s">
        <v>743</v>
      </c>
      <c r="L436" s="10" t="str">
        <f>VLOOKUP(K436,Accounts!A:B,2,FALSE)</f>
        <v>HOMEPRO</v>
      </c>
      <c r="M436" t="s">
        <v>124</v>
      </c>
      <c r="N436" s="10"/>
      <c r="O436" t="s">
        <v>1050</v>
      </c>
      <c r="Q436" t="s">
        <v>126</v>
      </c>
      <c r="R436" t="s">
        <v>124</v>
      </c>
      <c r="S436" t="b">
        <v>0</v>
      </c>
      <c r="T436" t="s">
        <v>124</v>
      </c>
    </row>
    <row r="437">
      <c r="A437" t="s">
        <v>1051</v>
      </c>
      <c r="B437" t="s">
        <v>61</v>
      </c>
      <c r="C437" s="2">
        <v>2025</v>
      </c>
      <c r="D437" s="10">
        <v>3</v>
      </c>
      <c r="E437" s="10">
        <v>9</v>
      </c>
      <c r="F437" t="s">
        <v>1052</v>
      </c>
      <c r="G437">
        <v>50000</v>
      </c>
      <c r="H437" t="s">
        <v>128</v>
      </c>
      <c r="I437" t="s">
        <v>136</v>
      </c>
      <c r="J437" s="10" t="str">
        <f>VLOOKUP(I437,Categories!A:B,2,FALSE)</f>
        <v>อื่นๆ</v>
      </c>
      <c r="K437" t="s">
        <v>123</v>
      </c>
      <c r="L437" s="10" t="str">
        <f>VLOOKUP(K437,Accounts!A:B,2,FALSE)</f>
        <v>KBank</v>
      </c>
      <c r="M437" t="s">
        <v>215</v>
      </c>
      <c r="N437" s="10" t="str">
        <f>VLOOKUP(M437,Accounts!A:B,2,FALSE)</f>
        <v>Investment</v>
      </c>
      <c r="O437" t="s">
        <v>125</v>
      </c>
      <c r="Q437" t="s">
        <v>126</v>
      </c>
      <c r="R437" t="s">
        <v>124</v>
      </c>
      <c r="S437" t="b">
        <v>0</v>
      </c>
      <c r="T437" t="s">
        <v>124</v>
      </c>
    </row>
    <row r="438">
      <c r="A438" t="s">
        <v>1053</v>
      </c>
      <c r="B438" t="s">
        <v>61</v>
      </c>
      <c r="C438" s="2">
        <v>2025</v>
      </c>
      <c r="D438" s="10">
        <v>3</v>
      </c>
      <c r="E438" s="10">
        <v>9</v>
      </c>
      <c r="F438" t="s">
        <v>1026</v>
      </c>
      <c r="G438">
        <v>1361.25</v>
      </c>
      <c r="H438" t="s">
        <v>128</v>
      </c>
      <c r="I438" t="s">
        <v>136</v>
      </c>
      <c r="J438" s="10" t="str">
        <f>VLOOKUP(I438,Categories!A:B,2,FALSE)</f>
        <v>อื่นๆ</v>
      </c>
      <c r="K438" t="s">
        <v>123</v>
      </c>
      <c r="L438" s="10" t="str">
        <f>VLOOKUP(K438,Accounts!A:B,2,FALSE)</f>
        <v>KBank</v>
      </c>
      <c r="M438" t="s">
        <v>747</v>
      </c>
      <c r="N438" s="10" t="str">
        <f>VLOOKUP(M438,Accounts!A:B,2,FALSE)</f>
        <v xml:space="preserve">UOB world</v>
      </c>
      <c r="O438" t="s">
        <v>125</v>
      </c>
      <c r="Q438" t="s">
        <v>126</v>
      </c>
      <c r="R438" t="s">
        <v>124</v>
      </c>
      <c r="S438" t="b">
        <v>0</v>
      </c>
      <c r="T438" t="s">
        <v>124</v>
      </c>
    </row>
    <row r="439">
      <c r="A439" t="s">
        <v>1054</v>
      </c>
      <c r="B439" t="s">
        <v>1055</v>
      </c>
      <c r="C439" s="2">
        <v>2025</v>
      </c>
      <c r="D439" s="10">
        <v>3</v>
      </c>
      <c r="E439" s="10">
        <v>8</v>
      </c>
      <c r="F439" t="s">
        <v>620</v>
      </c>
      <c r="G439">
        <v>1023.75</v>
      </c>
      <c r="H439" t="s">
        <v>128</v>
      </c>
      <c r="I439" t="s">
        <v>136</v>
      </c>
      <c r="J439" s="10" t="str">
        <f>VLOOKUP(I439,Categories!A:B,2,FALSE)</f>
        <v>อื่นๆ</v>
      </c>
      <c r="K439" t="s">
        <v>123</v>
      </c>
      <c r="L439" s="10" t="str">
        <f>VLOOKUP(K439,Accounts!A:B,2,FALSE)</f>
        <v>KBank</v>
      </c>
      <c r="M439" t="s">
        <v>131</v>
      </c>
      <c r="N439" s="10" t="str">
        <f>VLOOKUP(M439,Accounts!A:B,2,FALSE)</f>
        <v xml:space="preserve">Advance Paid</v>
      </c>
      <c r="O439" t="s">
        <v>125</v>
      </c>
      <c r="Q439" t="s">
        <v>126</v>
      </c>
      <c r="R439" t="s">
        <v>124</v>
      </c>
      <c r="S439" t="b">
        <v>0</v>
      </c>
      <c r="T439" t="s">
        <v>124</v>
      </c>
    </row>
    <row r="440">
      <c r="A440" t="s">
        <v>1056</v>
      </c>
      <c r="B440" t="s">
        <v>60</v>
      </c>
      <c r="C440" s="2">
        <v>2025</v>
      </c>
      <c r="D440" s="10">
        <v>3</v>
      </c>
      <c r="E440" s="10">
        <v>4</v>
      </c>
      <c r="F440" t="s">
        <v>1057</v>
      </c>
      <c r="G440">
        <v>150000</v>
      </c>
      <c r="H440" t="s">
        <v>128</v>
      </c>
      <c r="I440" t="s">
        <v>136</v>
      </c>
      <c r="J440" s="10" t="str">
        <f>VLOOKUP(I440,Categories!A:B,2,FALSE)</f>
        <v>อื่นๆ</v>
      </c>
      <c r="K440" t="s">
        <v>123</v>
      </c>
      <c r="L440" s="10" t="str">
        <f>VLOOKUP(K440,Accounts!A:B,2,FALSE)</f>
        <v>KBank</v>
      </c>
      <c r="M440" t="s">
        <v>215</v>
      </c>
      <c r="N440" s="10" t="str">
        <f>VLOOKUP(M440,Accounts!A:B,2,FALSE)</f>
        <v>Investment</v>
      </c>
      <c r="O440" t="s">
        <v>1058</v>
      </c>
      <c r="Q440" t="s">
        <v>126</v>
      </c>
      <c r="R440" t="s">
        <v>124</v>
      </c>
      <c r="S440" t="b">
        <v>0</v>
      </c>
      <c r="T440" t="s">
        <v>124</v>
      </c>
    </row>
    <row r="441">
      <c r="A441" t="s">
        <v>1059</v>
      </c>
      <c r="B441" t="s">
        <v>60</v>
      </c>
      <c r="C441" s="2">
        <v>2025</v>
      </c>
      <c r="D441" s="10">
        <v>3</v>
      </c>
      <c r="E441" s="10">
        <v>4</v>
      </c>
      <c r="F441" t="s">
        <v>1060</v>
      </c>
      <c r="G441">
        <v>880</v>
      </c>
      <c r="H441" t="s">
        <v>69</v>
      </c>
      <c r="I441" t="s">
        <v>259</v>
      </c>
      <c r="J441" s="10" t="str">
        <f>VLOOKUP(I441,Categories!A:B,2,FALSE)</f>
        <v xml:space="preserve">Team BOT</v>
      </c>
      <c r="K441" t="s">
        <v>123</v>
      </c>
      <c r="L441" s="10" t="str">
        <f>VLOOKUP(K441,Accounts!A:B,2,FALSE)</f>
        <v>KBank</v>
      </c>
      <c r="M441" t="s">
        <v>124</v>
      </c>
      <c r="N441" s="10"/>
      <c r="O441" t="s">
        <v>1061</v>
      </c>
      <c r="Q441" t="s">
        <v>126</v>
      </c>
      <c r="R441" t="s">
        <v>124</v>
      </c>
      <c r="S441" t="b">
        <v>0</v>
      </c>
      <c r="T441" t="s">
        <v>124</v>
      </c>
    </row>
    <row r="442">
      <c r="A442" t="s">
        <v>1062</v>
      </c>
      <c r="B442" t="s">
        <v>1063</v>
      </c>
      <c r="C442" s="2">
        <v>2025</v>
      </c>
      <c r="D442" s="10">
        <v>3</v>
      </c>
      <c r="E442" s="10">
        <v>2</v>
      </c>
      <c r="F442" t="s">
        <v>1064</v>
      </c>
      <c r="G442">
        <v>7000</v>
      </c>
      <c r="H442" t="s">
        <v>69</v>
      </c>
      <c r="I442" t="s">
        <v>144</v>
      </c>
      <c r="J442" s="10" t="str">
        <f>VLOOKUP(I442,Categories!A:B,2,FALSE)</f>
        <v xml:space="preserve">Family paid</v>
      </c>
      <c r="K442" t="s">
        <v>123</v>
      </c>
      <c r="L442" s="10" t="str">
        <f>VLOOKUP(K442,Accounts!A:B,2,FALSE)</f>
        <v>KBank</v>
      </c>
      <c r="M442" t="s">
        <v>124</v>
      </c>
      <c r="N442" s="10"/>
      <c r="O442" t="s">
        <v>125</v>
      </c>
      <c r="Q442" t="s">
        <v>126</v>
      </c>
      <c r="R442" t="s">
        <v>124</v>
      </c>
      <c r="S442" t="b">
        <v>0</v>
      </c>
      <c r="T442" t="s">
        <v>124</v>
      </c>
    </row>
    <row r="443">
      <c r="A443" t="s">
        <v>1065</v>
      </c>
      <c r="B443" t="s">
        <v>1063</v>
      </c>
      <c r="C443" s="2">
        <v>2025</v>
      </c>
      <c r="D443" s="10">
        <v>3</v>
      </c>
      <c r="E443" s="10">
        <v>2</v>
      </c>
      <c r="F443" t="s">
        <v>1066</v>
      </c>
      <c r="G443">
        <v>1361.25</v>
      </c>
      <c r="H443" t="s">
        <v>128</v>
      </c>
      <c r="I443" t="s">
        <v>136</v>
      </c>
      <c r="J443" s="10" t="str">
        <f>VLOOKUP(I443,Categories!A:B,2,FALSE)</f>
        <v>อื่นๆ</v>
      </c>
      <c r="K443" t="s">
        <v>123</v>
      </c>
      <c r="L443" s="10" t="str">
        <f>VLOOKUP(K443,Accounts!A:B,2,FALSE)</f>
        <v>KBank</v>
      </c>
      <c r="M443" t="s">
        <v>131</v>
      </c>
      <c r="N443" s="10" t="str">
        <f>VLOOKUP(M443,Accounts!A:B,2,FALSE)</f>
        <v xml:space="preserve">Advance Paid</v>
      </c>
      <c r="O443" t="s">
        <v>894</v>
      </c>
      <c r="Q443" t="s">
        <v>126</v>
      </c>
      <c r="R443" t="s">
        <v>124</v>
      </c>
      <c r="S443" t="b">
        <v>0</v>
      </c>
      <c r="T443" t="s">
        <v>124</v>
      </c>
    </row>
    <row r="444">
      <c r="A444" t="s">
        <v>1067</v>
      </c>
      <c r="B444" t="s">
        <v>1063</v>
      </c>
      <c r="C444" s="2">
        <v>2025</v>
      </c>
      <c r="D444" s="10">
        <v>3</v>
      </c>
      <c r="E444" s="10">
        <v>2</v>
      </c>
      <c r="F444" t="s">
        <v>1068</v>
      </c>
      <c r="G444">
        <v>1384</v>
      </c>
      <c r="H444" t="s">
        <v>128</v>
      </c>
      <c r="I444" t="s">
        <v>136</v>
      </c>
      <c r="J444" s="10" t="str">
        <f>VLOOKUP(I444,Categories!A:B,2,FALSE)</f>
        <v>อื่นๆ</v>
      </c>
      <c r="K444" t="s">
        <v>131</v>
      </c>
      <c r="L444" s="10" t="str">
        <f>VLOOKUP(K444,Accounts!A:B,2,FALSE)</f>
        <v xml:space="preserve">Advance Paid</v>
      </c>
      <c r="M444" t="s">
        <v>123</v>
      </c>
      <c r="N444" s="10" t="str">
        <f>VLOOKUP(M444,Accounts!A:B,2,FALSE)</f>
        <v>KBank</v>
      </c>
      <c r="O444" t="s">
        <v>1069</v>
      </c>
      <c r="Q444" t="s">
        <v>126</v>
      </c>
      <c r="R444" t="s">
        <v>124</v>
      </c>
      <c r="S444" t="b">
        <v>0</v>
      </c>
      <c r="T444" t="s">
        <v>124</v>
      </c>
    </row>
    <row r="445">
      <c r="A445" t="s">
        <v>1070</v>
      </c>
      <c r="B445" t="s">
        <v>1071</v>
      </c>
      <c r="C445" s="2">
        <v>2025</v>
      </c>
      <c r="D445" s="10">
        <v>3</v>
      </c>
      <c r="E445" s="10">
        <v>1</v>
      </c>
      <c r="F445" t="s">
        <v>121</v>
      </c>
      <c r="G445">
        <v>19000</v>
      </c>
      <c r="H445" t="s">
        <v>69</v>
      </c>
      <c r="I445" t="s">
        <v>134</v>
      </c>
      <c r="J445" s="10" t="str">
        <f>VLOOKUP(I445,Categories!A:B,2,FALSE)</f>
        <v>Hong</v>
      </c>
      <c r="K445" t="s">
        <v>123</v>
      </c>
      <c r="L445" s="10" t="str">
        <f>VLOOKUP(K445,Accounts!A:B,2,FALSE)</f>
        <v>KBank</v>
      </c>
      <c r="M445" t="s">
        <v>124</v>
      </c>
      <c r="N445" s="10"/>
      <c r="O445" t="s">
        <v>125</v>
      </c>
      <c r="Q445" t="s">
        <v>126</v>
      </c>
      <c r="R445" t="s">
        <v>124</v>
      </c>
      <c r="S445" t="b">
        <v>0</v>
      </c>
      <c r="T445" t="s">
        <v>124</v>
      </c>
    </row>
    <row r="446">
      <c r="A446" t="s">
        <v>1072</v>
      </c>
      <c r="B446" t="s">
        <v>1071</v>
      </c>
      <c r="C446" s="2">
        <v>2025</v>
      </c>
      <c r="D446" s="10">
        <v>3</v>
      </c>
      <c r="E446" s="10">
        <v>1</v>
      </c>
      <c r="F446" t="s">
        <v>298</v>
      </c>
      <c r="G446">
        <v>7402</v>
      </c>
      <c r="H446" t="s">
        <v>69</v>
      </c>
      <c r="I446" t="s">
        <v>139</v>
      </c>
      <c r="J446" s="10" t="str">
        <f>VLOOKUP(I446,Categories!A:B,2,FALSE)</f>
        <v>Condo</v>
      </c>
      <c r="K446" t="s">
        <v>123</v>
      </c>
      <c r="L446" s="10" t="str">
        <f>VLOOKUP(K446,Accounts!A:B,2,FALSE)</f>
        <v>KBank</v>
      </c>
      <c r="M446" t="s">
        <v>124</v>
      </c>
      <c r="N446" s="10"/>
      <c r="O446" t="s">
        <v>125</v>
      </c>
      <c r="Q446" t="s">
        <v>126</v>
      </c>
      <c r="R446" t="s">
        <v>124</v>
      </c>
      <c r="S446" t="b">
        <v>0</v>
      </c>
      <c r="T446" t="s">
        <v>124</v>
      </c>
    </row>
    <row r="447">
      <c r="A447" t="s">
        <v>1073</v>
      </c>
      <c r="B447" t="s">
        <v>1074</v>
      </c>
      <c r="C447" s="2">
        <v>2025</v>
      </c>
      <c r="D447" s="10">
        <v>2</v>
      </c>
      <c r="E447" s="10">
        <v>28</v>
      </c>
      <c r="F447" t="s">
        <v>329</v>
      </c>
      <c r="G447">
        <v>2507</v>
      </c>
      <c r="H447" t="s">
        <v>69</v>
      </c>
      <c r="I447" t="s">
        <v>150</v>
      </c>
      <c r="J447" s="10" t="str">
        <f>VLOOKUP(I447,Categories!A:B,2,FALSE)</f>
        <v xml:space="preserve">Food &amp; Coff</v>
      </c>
      <c r="K447" t="s">
        <v>123</v>
      </c>
      <c r="L447" s="10" t="str">
        <f>VLOOKUP(K447,Accounts!A:B,2,FALSE)</f>
        <v>KBank</v>
      </c>
      <c r="M447" t="s">
        <v>124</v>
      </c>
      <c r="N447" s="10"/>
      <c r="O447" t="s">
        <v>125</v>
      </c>
      <c r="Q447" t="s">
        <v>126</v>
      </c>
      <c r="R447" t="s">
        <v>124</v>
      </c>
      <c r="S447" t="b">
        <v>0</v>
      </c>
      <c r="T447" t="s">
        <v>124</v>
      </c>
    </row>
    <row r="448">
      <c r="A448" t="s">
        <v>1075</v>
      </c>
      <c r="B448" t="s">
        <v>59</v>
      </c>
      <c r="C448" s="2">
        <v>2025</v>
      </c>
      <c r="D448" s="10">
        <v>2</v>
      </c>
      <c r="E448" s="10">
        <v>27</v>
      </c>
      <c r="F448" t="s">
        <v>1076</v>
      </c>
      <c r="G448">
        <v>50000</v>
      </c>
      <c r="H448" t="s">
        <v>128</v>
      </c>
      <c r="I448" t="s">
        <v>136</v>
      </c>
      <c r="J448" s="10" t="str">
        <f>VLOOKUP(I448,Categories!A:B,2,FALSE)</f>
        <v>อื่นๆ</v>
      </c>
      <c r="K448" t="s">
        <v>123</v>
      </c>
      <c r="L448" s="10" t="str">
        <f>VLOOKUP(K448,Accounts!A:B,2,FALSE)</f>
        <v>KBank</v>
      </c>
      <c r="M448" t="s">
        <v>215</v>
      </c>
      <c r="N448" s="10" t="str">
        <f>VLOOKUP(M448,Accounts!A:B,2,FALSE)</f>
        <v>Investment</v>
      </c>
      <c r="O448" t="s">
        <v>125</v>
      </c>
      <c r="Q448" t="s">
        <v>126</v>
      </c>
      <c r="R448" t="s">
        <v>124</v>
      </c>
      <c r="S448" t="b">
        <v>0</v>
      </c>
      <c r="T448" t="s">
        <v>124</v>
      </c>
    </row>
    <row r="449">
      <c r="A449" t="s">
        <v>1077</v>
      </c>
      <c r="B449" t="s">
        <v>1078</v>
      </c>
      <c r="C449" s="2">
        <v>2025</v>
      </c>
      <c r="D449" s="10">
        <v>2</v>
      </c>
      <c r="E449" s="10">
        <v>26</v>
      </c>
      <c r="F449" t="s">
        <v>1079</v>
      </c>
      <c r="G449">
        <v>633</v>
      </c>
      <c r="H449" t="s">
        <v>128</v>
      </c>
      <c r="I449" t="s">
        <v>136</v>
      </c>
      <c r="J449" s="10" t="str">
        <f>VLOOKUP(I449,Categories!A:B,2,FALSE)</f>
        <v>อื่นๆ</v>
      </c>
      <c r="K449" t="s">
        <v>123</v>
      </c>
      <c r="L449" s="10" t="str">
        <f>VLOOKUP(K449,Accounts!A:B,2,FALSE)</f>
        <v>KBank</v>
      </c>
      <c r="M449" t="s">
        <v>131</v>
      </c>
      <c r="N449" s="10" t="str">
        <f>VLOOKUP(M449,Accounts!A:B,2,FALSE)</f>
        <v xml:space="preserve">Advance Paid</v>
      </c>
      <c r="O449" t="s">
        <v>1080</v>
      </c>
      <c r="Q449" t="s">
        <v>126</v>
      </c>
      <c r="R449" t="s">
        <v>124</v>
      </c>
      <c r="S449" t="b">
        <v>0</v>
      </c>
      <c r="T449" t="s">
        <v>124</v>
      </c>
    </row>
    <row r="450">
      <c r="A450" t="s">
        <v>1081</v>
      </c>
      <c r="B450" t="s">
        <v>1082</v>
      </c>
      <c r="C450" s="2">
        <v>2025</v>
      </c>
      <c r="D450" s="10">
        <v>2</v>
      </c>
      <c r="E450" s="10">
        <v>25</v>
      </c>
      <c r="F450" t="s">
        <v>121</v>
      </c>
      <c r="G450">
        <v>151260</v>
      </c>
      <c r="H450" t="s">
        <v>206</v>
      </c>
      <c r="I450" t="s">
        <v>207</v>
      </c>
      <c r="J450" s="10" t="str">
        <f>VLOOKUP(I450,Categories!A:B,2,FALSE)</f>
        <v>Salary</v>
      </c>
      <c r="K450" t="s">
        <v>123</v>
      </c>
      <c r="L450" s="10" t="str">
        <f>VLOOKUP(K450,Accounts!A:B,2,FALSE)</f>
        <v>KBank</v>
      </c>
      <c r="M450" t="s">
        <v>124</v>
      </c>
      <c r="N450" s="10"/>
      <c r="O450" t="s">
        <v>125</v>
      </c>
      <c r="Q450" t="s">
        <v>126</v>
      </c>
      <c r="R450" t="s">
        <v>124</v>
      </c>
      <c r="S450" t="b">
        <v>0</v>
      </c>
      <c r="T450" t="s">
        <v>124</v>
      </c>
    </row>
    <row r="451">
      <c r="A451" t="s">
        <v>1083</v>
      </c>
      <c r="B451" t="s">
        <v>1082</v>
      </c>
      <c r="C451" s="2">
        <v>2025</v>
      </c>
      <c r="D451" s="10">
        <v>2</v>
      </c>
      <c r="E451" s="10">
        <v>25</v>
      </c>
      <c r="F451" t="s">
        <v>121</v>
      </c>
      <c r="G451">
        <v>170.53999999999999</v>
      </c>
      <c r="H451" t="s">
        <v>69</v>
      </c>
      <c r="I451" t="s">
        <v>443</v>
      </c>
      <c r="J451" s="10" t="str">
        <f>VLOOKUP(I451,Categories!A:B,2,FALSE)</f>
        <v xml:space="preserve">City SV Interest</v>
      </c>
      <c r="K451" t="s">
        <v>123</v>
      </c>
      <c r="L451" s="10" t="str">
        <f>VLOOKUP(K451,Accounts!A:B,2,FALSE)</f>
        <v>KBank</v>
      </c>
      <c r="M451" t="s">
        <v>124</v>
      </c>
      <c r="N451" s="10"/>
      <c r="O451" t="s">
        <v>125</v>
      </c>
      <c r="Q451" t="s">
        <v>126</v>
      </c>
      <c r="R451" t="s">
        <v>124</v>
      </c>
      <c r="S451" t="b">
        <v>0</v>
      </c>
      <c r="T451" t="s">
        <v>124</v>
      </c>
    </row>
    <row r="452">
      <c r="A452" t="s">
        <v>1084</v>
      </c>
      <c r="B452" t="s">
        <v>1082</v>
      </c>
      <c r="C452" s="2">
        <v>2025</v>
      </c>
      <c r="D452" s="10">
        <v>2</v>
      </c>
      <c r="E452" s="10">
        <v>25</v>
      </c>
      <c r="F452" t="s">
        <v>121</v>
      </c>
      <c r="G452">
        <v>9165</v>
      </c>
      <c r="H452" t="s">
        <v>69</v>
      </c>
      <c r="I452" t="s">
        <v>197</v>
      </c>
      <c r="J452" s="10" t="str">
        <f>VLOOKUP(I452,Categories!A:B,2,FALSE)</f>
        <v xml:space="preserve">Initial Home loan</v>
      </c>
      <c r="K452" t="s">
        <v>123</v>
      </c>
      <c r="L452" s="10" t="str">
        <f>VLOOKUP(K452,Accounts!A:B,2,FALSE)</f>
        <v>KBank</v>
      </c>
      <c r="M452" t="s">
        <v>124</v>
      </c>
      <c r="N452" s="10"/>
      <c r="O452" t="s">
        <v>125</v>
      </c>
      <c r="Q452" t="s">
        <v>126</v>
      </c>
      <c r="R452" t="s">
        <v>124</v>
      </c>
      <c r="S452" t="b">
        <v>0</v>
      </c>
      <c r="T452" t="s">
        <v>124</v>
      </c>
    </row>
    <row r="453">
      <c r="A453" t="s">
        <v>1085</v>
      </c>
      <c r="B453" t="s">
        <v>1082</v>
      </c>
      <c r="C453" s="2">
        <v>2025</v>
      </c>
      <c r="D453" s="10">
        <v>2</v>
      </c>
      <c r="E453" s="10">
        <v>25</v>
      </c>
      <c r="F453" t="s">
        <v>121</v>
      </c>
      <c r="G453">
        <v>2857.9400000000001</v>
      </c>
      <c r="H453" t="s">
        <v>69</v>
      </c>
      <c r="I453" t="s">
        <v>199</v>
      </c>
      <c r="J453" s="10" t="str">
        <f>VLOOKUP(I453,Categories!A:B,2,FALSE)</f>
        <v xml:space="preserve">Home Chomthong Interest</v>
      </c>
      <c r="K453" t="s">
        <v>123</v>
      </c>
      <c r="L453" s="10" t="str">
        <f>VLOOKUP(K453,Accounts!A:B,2,FALSE)</f>
        <v>KBank</v>
      </c>
      <c r="M453" t="s">
        <v>124</v>
      </c>
      <c r="N453" s="10"/>
      <c r="O453" t="s">
        <v>125</v>
      </c>
      <c r="Q453" t="s">
        <v>126</v>
      </c>
      <c r="R453" t="s">
        <v>124</v>
      </c>
      <c r="S453" t="b">
        <v>0</v>
      </c>
      <c r="T453" t="s">
        <v>124</v>
      </c>
    </row>
    <row r="454">
      <c r="A454" t="s">
        <v>1086</v>
      </c>
      <c r="B454" t="s">
        <v>1082</v>
      </c>
      <c r="C454" s="2">
        <v>2025</v>
      </c>
      <c r="D454" s="10">
        <v>2</v>
      </c>
      <c r="E454" s="10">
        <v>25</v>
      </c>
      <c r="F454" t="s">
        <v>121</v>
      </c>
      <c r="G454">
        <v>34589.510000000002</v>
      </c>
      <c r="H454" t="s">
        <v>69</v>
      </c>
      <c r="I454" t="s">
        <v>195</v>
      </c>
      <c r="J454" s="10" t="str">
        <f>VLOOKUP(I454,Categories!A:B,2,FALSE)</f>
        <v>Tax</v>
      </c>
      <c r="K454" t="s">
        <v>123</v>
      </c>
      <c r="L454" s="10" t="str">
        <f>VLOOKUP(K454,Accounts!A:B,2,FALSE)</f>
        <v>KBank</v>
      </c>
      <c r="M454" t="s">
        <v>124</v>
      </c>
      <c r="N454" s="10"/>
      <c r="O454" t="s">
        <v>125</v>
      </c>
      <c r="Q454" t="s">
        <v>126</v>
      </c>
      <c r="R454" t="s">
        <v>124</v>
      </c>
      <c r="S454" t="b">
        <v>0</v>
      </c>
      <c r="T454" t="s">
        <v>124</v>
      </c>
    </row>
    <row r="455">
      <c r="A455" t="s">
        <v>1087</v>
      </c>
      <c r="B455" t="s">
        <v>1082</v>
      </c>
      <c r="C455" s="2">
        <v>2025</v>
      </c>
      <c r="D455" s="10">
        <v>2</v>
      </c>
      <c r="E455" s="10">
        <v>25</v>
      </c>
      <c r="F455" t="s">
        <v>121</v>
      </c>
      <c r="G455">
        <v>3306.4000000000001</v>
      </c>
      <c r="H455" t="s">
        <v>128</v>
      </c>
      <c r="I455" t="s">
        <v>136</v>
      </c>
      <c r="J455" s="10" t="str">
        <f>VLOOKUP(I455,Categories!A:B,2,FALSE)</f>
        <v>อื่นๆ</v>
      </c>
      <c r="K455" t="s">
        <v>123</v>
      </c>
      <c r="L455" s="10" t="str">
        <f>VLOOKUP(K455,Accounts!A:B,2,FALSE)</f>
        <v>KBank</v>
      </c>
      <c r="M455" t="s">
        <v>203</v>
      </c>
      <c r="N455" s="10" t="str">
        <f>VLOOKUP(M455,Accounts!A:B,2,FALSE)</f>
        <v xml:space="preserve">Provident Fund</v>
      </c>
      <c r="O455" t="s">
        <v>125</v>
      </c>
      <c r="Q455" t="s">
        <v>126</v>
      </c>
      <c r="R455" t="s">
        <v>124</v>
      </c>
      <c r="S455" t="b">
        <v>0</v>
      </c>
      <c r="T455" t="s">
        <v>124</v>
      </c>
    </row>
    <row r="456">
      <c r="A456" t="s">
        <v>1088</v>
      </c>
      <c r="B456" t="s">
        <v>1082</v>
      </c>
      <c r="C456" s="2">
        <v>2025</v>
      </c>
      <c r="D456" s="10">
        <v>2</v>
      </c>
      <c r="E456" s="10">
        <v>25</v>
      </c>
      <c r="F456" t="s">
        <v>121</v>
      </c>
      <c r="G456">
        <v>500</v>
      </c>
      <c r="H456" t="s">
        <v>128</v>
      </c>
      <c r="I456" t="s">
        <v>136</v>
      </c>
      <c r="J456" s="10" t="str">
        <f>VLOOKUP(I456,Categories!A:B,2,FALSE)</f>
        <v>อื่นๆ</v>
      </c>
      <c r="K456" t="s">
        <v>123</v>
      </c>
      <c r="L456" s="10" t="str">
        <f>VLOOKUP(K456,Accounts!A:B,2,FALSE)</f>
        <v>KBank</v>
      </c>
      <c r="M456" t="s">
        <v>201</v>
      </c>
      <c r="N456" s="10" t="str">
        <f>VLOOKUP(M456,Accounts!A:B,2,FALSE)</f>
        <v>Coop</v>
      </c>
      <c r="O456" t="s">
        <v>125</v>
      </c>
      <c r="Q456" t="s">
        <v>126</v>
      </c>
      <c r="R456" t="s">
        <v>124</v>
      </c>
      <c r="S456" t="b">
        <v>0</v>
      </c>
      <c r="T456" t="s">
        <v>124</v>
      </c>
    </row>
    <row r="457">
      <c r="A457" t="s">
        <v>1089</v>
      </c>
      <c r="B457" t="s">
        <v>1082</v>
      </c>
      <c r="C457" s="2">
        <v>2025</v>
      </c>
      <c r="D457" s="10">
        <v>2</v>
      </c>
      <c r="E457" s="10">
        <v>25</v>
      </c>
      <c r="F457" t="s">
        <v>121</v>
      </c>
      <c r="G457">
        <v>9240</v>
      </c>
      <c r="H457" t="s">
        <v>69</v>
      </c>
      <c r="I457" t="s">
        <v>446</v>
      </c>
      <c r="J457" s="10" t="str">
        <f>VLOOKUP(I457,Categories!A:B,2,FALSE)</f>
        <v xml:space="preserve">Intial city</v>
      </c>
      <c r="K457" t="s">
        <v>123</v>
      </c>
      <c r="L457" s="10" t="str">
        <f>VLOOKUP(K457,Accounts!A:B,2,FALSE)</f>
        <v>KBank</v>
      </c>
      <c r="M457" t="s">
        <v>124</v>
      </c>
      <c r="N457" s="10"/>
      <c r="O457" t="s">
        <v>125</v>
      </c>
      <c r="Q457" t="s">
        <v>126</v>
      </c>
      <c r="R457" t="s">
        <v>124</v>
      </c>
      <c r="S457" t="b">
        <v>0</v>
      </c>
      <c r="T457" t="s">
        <v>124</v>
      </c>
    </row>
    <row r="458">
      <c r="A458" t="s">
        <v>1090</v>
      </c>
      <c r="B458" t="s">
        <v>1082</v>
      </c>
      <c r="C458" s="2">
        <v>2025</v>
      </c>
      <c r="D458" s="10">
        <v>2</v>
      </c>
      <c r="E458" s="10">
        <v>25</v>
      </c>
      <c r="F458" t="s">
        <v>639</v>
      </c>
      <c r="G458">
        <v>212185</v>
      </c>
      <c r="H458" t="s">
        <v>206</v>
      </c>
      <c r="I458" t="s">
        <v>281</v>
      </c>
      <c r="J458" s="10" t="str">
        <f>VLOOKUP(I458,Categories!A:B,2,FALSE)</f>
        <v>Others</v>
      </c>
      <c r="K458" t="s">
        <v>123</v>
      </c>
      <c r="L458" s="10" t="str">
        <f>VLOOKUP(K458,Accounts!A:B,2,FALSE)</f>
        <v>KBank</v>
      </c>
      <c r="M458" t="s">
        <v>124</v>
      </c>
      <c r="N458" s="10"/>
      <c r="O458" t="s">
        <v>125</v>
      </c>
      <c r="Q458" t="s">
        <v>126</v>
      </c>
      <c r="R458" t="s">
        <v>124</v>
      </c>
      <c r="S458" t="b">
        <v>0</v>
      </c>
      <c r="T458" t="s">
        <v>124</v>
      </c>
    </row>
    <row r="459">
      <c r="A459" t="s">
        <v>1091</v>
      </c>
      <c r="B459" t="s">
        <v>1082</v>
      </c>
      <c r="C459" s="2">
        <v>2025</v>
      </c>
      <c r="D459" s="10">
        <v>2</v>
      </c>
      <c r="E459" s="10">
        <v>25</v>
      </c>
      <c r="F459" t="s">
        <v>639</v>
      </c>
      <c r="G459">
        <v>14060</v>
      </c>
      <c r="H459" t="s">
        <v>206</v>
      </c>
      <c r="I459" t="s">
        <v>207</v>
      </c>
      <c r="J459" s="10" t="str">
        <f>VLOOKUP(I459,Categories!A:B,2,FALSE)</f>
        <v>Salary</v>
      </c>
      <c r="K459" t="s">
        <v>123</v>
      </c>
      <c r="L459" s="10" t="str">
        <f>VLOOKUP(K459,Accounts!A:B,2,FALSE)</f>
        <v>KBank</v>
      </c>
      <c r="M459" t="s">
        <v>124</v>
      </c>
      <c r="N459" s="10"/>
      <c r="O459" t="s">
        <v>125</v>
      </c>
      <c r="Q459" t="s">
        <v>126</v>
      </c>
      <c r="R459" t="s">
        <v>124</v>
      </c>
      <c r="S459" t="b">
        <v>0</v>
      </c>
      <c r="T459" t="s">
        <v>124</v>
      </c>
    </row>
    <row r="460">
      <c r="A460" t="s">
        <v>1092</v>
      </c>
      <c r="B460" t="s">
        <v>1093</v>
      </c>
      <c r="C460" s="2">
        <v>2025</v>
      </c>
      <c r="D460" s="10">
        <v>2</v>
      </c>
      <c r="E460" s="10">
        <v>23</v>
      </c>
      <c r="F460" t="s">
        <v>1094</v>
      </c>
      <c r="G460">
        <v>12450</v>
      </c>
      <c r="H460" t="s">
        <v>69</v>
      </c>
      <c r="I460" t="s">
        <v>169</v>
      </c>
      <c r="J460" s="10" t="str">
        <f>VLOOKUP(I460,Categories!A:B,2,FALSE)</f>
        <v xml:space="preserve">App &amp; Game</v>
      </c>
      <c r="K460" t="s">
        <v>123</v>
      </c>
      <c r="L460" s="10" t="str">
        <f>VLOOKUP(K460,Accounts!A:B,2,FALSE)</f>
        <v>KBank</v>
      </c>
      <c r="M460" t="s">
        <v>124</v>
      </c>
      <c r="N460" s="10"/>
      <c r="O460" t="s">
        <v>1095</v>
      </c>
      <c r="Q460" t="s">
        <v>126</v>
      </c>
      <c r="R460" t="s">
        <v>124</v>
      </c>
      <c r="S460" t="b">
        <v>0</v>
      </c>
      <c r="T460" t="s">
        <v>124</v>
      </c>
    </row>
    <row r="461">
      <c r="A461" t="s">
        <v>1096</v>
      </c>
      <c r="B461" t="s">
        <v>1093</v>
      </c>
      <c r="C461" s="2">
        <v>2025</v>
      </c>
      <c r="D461" s="10">
        <v>2</v>
      </c>
      <c r="E461" s="10">
        <v>23</v>
      </c>
      <c r="F461" t="s">
        <v>1097</v>
      </c>
      <c r="G461">
        <v>2890</v>
      </c>
      <c r="H461" t="s">
        <v>206</v>
      </c>
      <c r="I461" t="s">
        <v>254</v>
      </c>
      <c r="J461" s="10" t="str">
        <f>VLOOKUP(I461,Categories!A:B,2,FALSE)</f>
        <v xml:space="preserve">Modified Bal.</v>
      </c>
      <c r="K461" t="s">
        <v>743</v>
      </c>
      <c r="L461" s="10" t="str">
        <f>VLOOKUP(K461,Accounts!A:B,2,FALSE)</f>
        <v>HOMEPRO</v>
      </c>
      <c r="M461" t="s">
        <v>124</v>
      </c>
      <c r="N461" s="10"/>
      <c r="O461" t="s">
        <v>255</v>
      </c>
      <c r="Q461" t="s">
        <v>126</v>
      </c>
      <c r="R461" t="s">
        <v>124</v>
      </c>
      <c r="S461" t="b">
        <v>0</v>
      </c>
      <c r="T461" t="s">
        <v>124</v>
      </c>
    </row>
    <row r="462">
      <c r="A462" t="s">
        <v>1098</v>
      </c>
      <c r="B462" t="s">
        <v>1093</v>
      </c>
      <c r="C462" s="2">
        <v>2025</v>
      </c>
      <c r="D462" s="10">
        <v>2</v>
      </c>
      <c r="E462" s="10">
        <v>23</v>
      </c>
      <c r="F462" t="s">
        <v>582</v>
      </c>
      <c r="G462">
        <v>19000</v>
      </c>
      <c r="H462" t="s">
        <v>69</v>
      </c>
      <c r="I462" t="s">
        <v>134</v>
      </c>
      <c r="J462" s="10" t="str">
        <f>VLOOKUP(I462,Categories!A:B,2,FALSE)</f>
        <v>Hong</v>
      </c>
      <c r="K462" t="s">
        <v>123</v>
      </c>
      <c r="L462" s="10" t="str">
        <f>VLOOKUP(K462,Accounts!A:B,2,FALSE)</f>
        <v>KBank</v>
      </c>
      <c r="M462" t="s">
        <v>124</v>
      </c>
      <c r="N462" s="10"/>
      <c r="O462" t="s">
        <v>125</v>
      </c>
      <c r="Q462" t="s">
        <v>126</v>
      </c>
      <c r="R462" t="s">
        <v>124</v>
      </c>
      <c r="S462" t="b">
        <v>0</v>
      </c>
      <c r="T462" t="s">
        <v>124</v>
      </c>
    </row>
    <row r="463">
      <c r="A463" t="s">
        <v>1099</v>
      </c>
      <c r="B463" t="s">
        <v>1093</v>
      </c>
      <c r="C463" s="2">
        <v>2025</v>
      </c>
      <c r="D463" s="10">
        <v>2</v>
      </c>
      <c r="E463" s="10">
        <v>23</v>
      </c>
      <c r="F463" t="s">
        <v>1100</v>
      </c>
      <c r="G463">
        <v>19181</v>
      </c>
      <c r="H463" t="s">
        <v>128</v>
      </c>
      <c r="I463" t="s">
        <v>136</v>
      </c>
      <c r="J463" s="10" t="str">
        <f>VLOOKUP(I463,Categories!A:B,2,FALSE)</f>
        <v>อื่นๆ</v>
      </c>
      <c r="K463" t="s">
        <v>123</v>
      </c>
      <c r="L463" s="10" t="str">
        <f>VLOOKUP(K463,Accounts!A:B,2,FALSE)</f>
        <v>KBank</v>
      </c>
      <c r="M463" t="s">
        <v>131</v>
      </c>
      <c r="N463" s="10" t="str">
        <f>VLOOKUP(M463,Accounts!A:B,2,FALSE)</f>
        <v xml:space="preserve">Advance Paid</v>
      </c>
      <c r="O463" t="s">
        <v>125</v>
      </c>
      <c r="Q463" t="s">
        <v>126</v>
      </c>
      <c r="R463" t="s">
        <v>124</v>
      </c>
      <c r="S463" t="b">
        <v>0</v>
      </c>
      <c r="T463" t="s">
        <v>124</v>
      </c>
    </row>
    <row r="464">
      <c r="A464" t="s">
        <v>1101</v>
      </c>
      <c r="B464" t="s">
        <v>1093</v>
      </c>
      <c r="C464" s="2">
        <v>2025</v>
      </c>
      <c r="D464" s="10">
        <v>2</v>
      </c>
      <c r="E464" s="10">
        <v>23</v>
      </c>
      <c r="F464" t="s">
        <v>1102</v>
      </c>
      <c r="G464">
        <v>5759</v>
      </c>
      <c r="H464" t="s">
        <v>69</v>
      </c>
      <c r="I464" t="s">
        <v>338</v>
      </c>
      <c r="J464" s="10" t="str">
        <f>VLOOKUP(I464,Categories!A:B,2,FALSE)</f>
        <v>Trips</v>
      </c>
      <c r="K464" t="s">
        <v>131</v>
      </c>
      <c r="L464" s="10" t="str">
        <f>VLOOKUP(K464,Accounts!A:B,2,FALSE)</f>
        <v xml:space="preserve">Advance Paid</v>
      </c>
      <c r="M464" t="s">
        <v>124</v>
      </c>
      <c r="N464" s="10"/>
      <c r="O464" t="s">
        <v>1103</v>
      </c>
      <c r="Q464" t="s">
        <v>126</v>
      </c>
      <c r="R464" t="s">
        <v>124</v>
      </c>
      <c r="S464" t="b">
        <v>0</v>
      </c>
      <c r="T464" t="s">
        <v>124</v>
      </c>
    </row>
    <row r="465">
      <c r="A465" t="s">
        <v>1104</v>
      </c>
      <c r="B465" t="s">
        <v>1093</v>
      </c>
      <c r="C465" s="2">
        <v>2025</v>
      </c>
      <c r="D465" s="10">
        <v>2</v>
      </c>
      <c r="E465" s="10">
        <v>23</v>
      </c>
      <c r="F465" t="s">
        <v>1105</v>
      </c>
      <c r="G465">
        <v>12538.559999999999</v>
      </c>
      <c r="H465" t="s">
        <v>128</v>
      </c>
      <c r="I465" t="s">
        <v>136</v>
      </c>
      <c r="J465" s="10" t="str">
        <f>VLOOKUP(I465,Categories!A:B,2,FALSE)</f>
        <v>อื่นๆ</v>
      </c>
      <c r="K465" t="s">
        <v>131</v>
      </c>
      <c r="L465" s="10" t="str">
        <f>VLOOKUP(K465,Accounts!A:B,2,FALSE)</f>
        <v xml:space="preserve">Advance Paid</v>
      </c>
      <c r="M465" t="s">
        <v>855</v>
      </c>
      <c r="N465" s="10" t="str">
        <f>VLOOKUP(M465,Accounts!A:B,2,FALSE)</f>
        <v xml:space="preserve">Travelcard JPY</v>
      </c>
      <c r="O465" t="s">
        <v>1106</v>
      </c>
      <c r="Q465" t="s">
        <v>126</v>
      </c>
      <c r="R465" t="s">
        <v>124</v>
      </c>
      <c r="S465" t="b">
        <v>0</v>
      </c>
      <c r="T465" t="s">
        <v>124</v>
      </c>
    </row>
    <row r="466">
      <c r="A466" t="s">
        <v>1107</v>
      </c>
      <c r="B466" t="s">
        <v>1093</v>
      </c>
      <c r="C466" s="2">
        <v>2025</v>
      </c>
      <c r="D466" s="10">
        <v>2</v>
      </c>
      <c r="E466" s="10">
        <v>23</v>
      </c>
      <c r="F466" t="s">
        <v>1108</v>
      </c>
      <c r="G466">
        <v>883</v>
      </c>
      <c r="H466" t="s">
        <v>128</v>
      </c>
      <c r="I466" t="s">
        <v>136</v>
      </c>
      <c r="J466" s="10" t="str">
        <f>VLOOKUP(I466,Categories!A:B,2,FALSE)</f>
        <v>อื่นๆ</v>
      </c>
      <c r="K466" t="s">
        <v>131</v>
      </c>
      <c r="L466" s="10" t="str">
        <f>VLOOKUP(K466,Accounts!A:B,2,FALSE)</f>
        <v xml:space="preserve">Advance Paid</v>
      </c>
      <c r="M466" t="s">
        <v>123</v>
      </c>
      <c r="N466" s="10" t="str">
        <f>VLOOKUP(M466,Accounts!A:B,2,FALSE)</f>
        <v>KBank</v>
      </c>
      <c r="O466" t="s">
        <v>1109</v>
      </c>
      <c r="Q466" t="s">
        <v>126</v>
      </c>
      <c r="R466" t="s">
        <v>124</v>
      </c>
      <c r="S466" t="b">
        <v>0</v>
      </c>
      <c r="T466" t="s">
        <v>124</v>
      </c>
    </row>
    <row r="467">
      <c r="A467" t="s">
        <v>1110</v>
      </c>
      <c r="B467" t="s">
        <v>1093</v>
      </c>
      <c r="C467" s="2">
        <v>2025</v>
      </c>
      <c r="D467" s="10">
        <v>2</v>
      </c>
      <c r="E467" s="10">
        <v>23</v>
      </c>
      <c r="F467" t="s">
        <v>1111</v>
      </c>
      <c r="G467">
        <v>979</v>
      </c>
      <c r="H467" t="s">
        <v>69</v>
      </c>
      <c r="I467" t="s">
        <v>150</v>
      </c>
      <c r="J467" s="10" t="str">
        <f>VLOOKUP(I467,Categories!A:B,2,FALSE)</f>
        <v xml:space="preserve">Food &amp; Coff</v>
      </c>
      <c r="K467" t="s">
        <v>131</v>
      </c>
      <c r="L467" s="10" t="str">
        <f>VLOOKUP(K467,Accounts!A:B,2,FALSE)</f>
        <v xml:space="preserve">Advance Paid</v>
      </c>
      <c r="M467" t="s">
        <v>124</v>
      </c>
      <c r="N467" s="10"/>
      <c r="O467" t="s">
        <v>1112</v>
      </c>
      <c r="Q467" t="s">
        <v>126</v>
      </c>
      <c r="R467" t="s">
        <v>124</v>
      </c>
      <c r="S467" t="b">
        <v>0</v>
      </c>
      <c r="T467" t="s">
        <v>124</v>
      </c>
    </row>
    <row r="468">
      <c r="A468" t="s">
        <v>1113</v>
      </c>
      <c r="B468" t="s">
        <v>1093</v>
      </c>
      <c r="C468" s="2">
        <v>2025</v>
      </c>
      <c r="D468" s="10">
        <v>2</v>
      </c>
      <c r="E468" s="10">
        <v>23</v>
      </c>
      <c r="F468" t="s">
        <v>1114</v>
      </c>
      <c r="G468">
        <v>4649</v>
      </c>
      <c r="H468" t="s">
        <v>69</v>
      </c>
      <c r="I468" t="s">
        <v>169</v>
      </c>
      <c r="J468" s="10" t="str">
        <f>VLOOKUP(I468,Categories!A:B,2,FALSE)</f>
        <v xml:space="preserve">App &amp; Game</v>
      </c>
      <c r="K468" t="s">
        <v>131</v>
      </c>
      <c r="L468" s="10" t="str">
        <f>VLOOKUP(K468,Accounts!A:B,2,FALSE)</f>
        <v xml:space="preserve">Advance Paid</v>
      </c>
      <c r="M468" t="s">
        <v>124</v>
      </c>
      <c r="N468" s="10"/>
      <c r="O468" t="s">
        <v>1115</v>
      </c>
      <c r="Q468" t="s">
        <v>126</v>
      </c>
      <c r="R468" t="s">
        <v>124</v>
      </c>
      <c r="S468" t="b">
        <v>0</v>
      </c>
      <c r="T468" t="s">
        <v>124</v>
      </c>
    </row>
    <row r="469">
      <c r="A469" t="s">
        <v>1116</v>
      </c>
      <c r="B469" t="s">
        <v>1093</v>
      </c>
      <c r="C469" s="2">
        <v>2025</v>
      </c>
      <c r="D469" s="10">
        <v>2</v>
      </c>
      <c r="E469" s="10">
        <v>23</v>
      </c>
      <c r="F469" t="s">
        <v>1114</v>
      </c>
      <c r="G469">
        <v>18000</v>
      </c>
      <c r="H469" t="s">
        <v>69</v>
      </c>
      <c r="I469" t="s">
        <v>338</v>
      </c>
      <c r="J469" s="10" t="str">
        <f>VLOOKUP(I469,Categories!A:B,2,FALSE)</f>
        <v>Trips</v>
      </c>
      <c r="K469" t="s">
        <v>131</v>
      </c>
      <c r="L469" s="10" t="str">
        <f>VLOOKUP(K469,Accounts!A:B,2,FALSE)</f>
        <v xml:space="preserve">Advance Paid</v>
      </c>
      <c r="M469" t="s">
        <v>124</v>
      </c>
      <c r="N469" s="10"/>
      <c r="O469" t="s">
        <v>125</v>
      </c>
      <c r="Q469" t="s">
        <v>126</v>
      </c>
      <c r="R469" t="s">
        <v>124</v>
      </c>
      <c r="S469" t="b">
        <v>0</v>
      </c>
      <c r="T469" t="s">
        <v>124</v>
      </c>
    </row>
    <row r="470">
      <c r="A470" t="s">
        <v>1117</v>
      </c>
      <c r="B470" t="s">
        <v>1093</v>
      </c>
      <c r="C470" s="2">
        <v>2025</v>
      </c>
      <c r="D470" s="10">
        <v>2</v>
      </c>
      <c r="E470" s="10">
        <v>23</v>
      </c>
      <c r="F470" t="s">
        <v>166</v>
      </c>
      <c r="G470">
        <v>4860</v>
      </c>
      <c r="H470" t="s">
        <v>69</v>
      </c>
      <c r="I470" t="s">
        <v>169</v>
      </c>
      <c r="J470" s="10" t="str">
        <f>VLOOKUP(I470,Categories!A:B,2,FALSE)</f>
        <v xml:space="preserve">App &amp; Game</v>
      </c>
      <c r="K470" t="s">
        <v>131</v>
      </c>
      <c r="L470" s="10" t="str">
        <f>VLOOKUP(K470,Accounts!A:B,2,FALSE)</f>
        <v xml:space="preserve">Advance Paid</v>
      </c>
      <c r="M470" t="s">
        <v>124</v>
      </c>
      <c r="N470" s="10"/>
      <c r="O470" t="s">
        <v>1115</v>
      </c>
      <c r="Q470" t="s">
        <v>126</v>
      </c>
      <c r="R470" t="s">
        <v>124</v>
      </c>
      <c r="S470" t="b">
        <v>0</v>
      </c>
      <c r="T470" t="s">
        <v>124</v>
      </c>
    </row>
    <row r="471">
      <c r="A471" t="s">
        <v>1118</v>
      </c>
      <c r="B471" t="s">
        <v>1093</v>
      </c>
      <c r="C471" s="2">
        <v>2025</v>
      </c>
      <c r="D471" s="10">
        <v>2</v>
      </c>
      <c r="E471" s="10">
        <v>23</v>
      </c>
      <c r="F471" t="s">
        <v>1119</v>
      </c>
      <c r="G471">
        <v>13236.67</v>
      </c>
      <c r="H471" t="s">
        <v>69</v>
      </c>
      <c r="I471" t="s">
        <v>338</v>
      </c>
      <c r="J471" s="10" t="str">
        <f>VLOOKUP(I471,Categories!A:B,2,FALSE)</f>
        <v>Trips</v>
      </c>
      <c r="K471" t="s">
        <v>235</v>
      </c>
      <c r="L471" s="10" t="str">
        <f>VLOOKUP(K471,Accounts!A:B,2,FALSE)</f>
        <v xml:space="preserve">JPY cash</v>
      </c>
      <c r="M471" t="s">
        <v>124</v>
      </c>
      <c r="N471" s="10"/>
      <c r="O471" t="s">
        <v>255</v>
      </c>
      <c r="Q471" t="s">
        <v>126</v>
      </c>
      <c r="R471" t="s">
        <v>124</v>
      </c>
      <c r="S471" t="b">
        <v>0</v>
      </c>
      <c r="T471" t="s">
        <v>124</v>
      </c>
    </row>
    <row r="472">
      <c r="A472" t="s">
        <v>1120</v>
      </c>
      <c r="B472" t="s">
        <v>1121</v>
      </c>
      <c r="C472" s="2">
        <v>2025</v>
      </c>
      <c r="D472" s="10">
        <v>2</v>
      </c>
      <c r="E472" s="10">
        <v>22</v>
      </c>
      <c r="F472" t="s">
        <v>1122</v>
      </c>
      <c r="G472">
        <v>4860</v>
      </c>
      <c r="H472" t="s">
        <v>128</v>
      </c>
      <c r="I472" t="s">
        <v>136</v>
      </c>
      <c r="J472" s="10" t="str">
        <f>VLOOKUP(I472,Categories!A:B,2,FALSE)</f>
        <v>อื่นๆ</v>
      </c>
      <c r="K472" t="s">
        <v>123</v>
      </c>
      <c r="L472" s="10" t="str">
        <f>VLOOKUP(K472,Accounts!A:B,2,FALSE)</f>
        <v>KBank</v>
      </c>
      <c r="M472" t="s">
        <v>131</v>
      </c>
      <c r="N472" s="10" t="str">
        <f>VLOOKUP(M472,Accounts!A:B,2,FALSE)</f>
        <v xml:space="preserve">Advance Paid</v>
      </c>
      <c r="O472" t="s">
        <v>1123</v>
      </c>
      <c r="Q472" t="s">
        <v>126</v>
      </c>
      <c r="R472" t="s">
        <v>124</v>
      </c>
      <c r="S472" t="b">
        <v>0</v>
      </c>
      <c r="T472" t="s">
        <v>124</v>
      </c>
    </row>
    <row r="473">
      <c r="A473" t="s">
        <v>1124</v>
      </c>
      <c r="B473" t="s">
        <v>1121</v>
      </c>
      <c r="C473" s="2">
        <v>2025</v>
      </c>
      <c r="D473" s="10">
        <v>2</v>
      </c>
      <c r="E473" s="10">
        <v>22</v>
      </c>
      <c r="F473" t="s">
        <v>1125</v>
      </c>
      <c r="G473">
        <v>2067.3000000000002</v>
      </c>
      <c r="H473" t="s">
        <v>69</v>
      </c>
      <c r="I473" t="s">
        <v>254</v>
      </c>
      <c r="J473" s="10" t="str">
        <f>VLOOKUP(I473,Categories!A:B,2,FALSE)</f>
        <v xml:space="preserve">Modified Bal.</v>
      </c>
      <c r="K473" t="s">
        <v>766</v>
      </c>
      <c r="L473" s="10" t="str">
        <f>VLOOKUP(K473,Accounts!A:B,2,FALSE)</f>
        <v>KRUNGSRI</v>
      </c>
      <c r="M473" t="s">
        <v>124</v>
      </c>
      <c r="N473" s="10"/>
      <c r="O473" t="s">
        <v>255</v>
      </c>
      <c r="Q473" t="s">
        <v>126</v>
      </c>
      <c r="R473" t="s">
        <v>124</v>
      </c>
      <c r="S473" t="b">
        <v>0</v>
      </c>
      <c r="T473" t="s">
        <v>124</v>
      </c>
    </row>
    <row r="474">
      <c r="A474" t="s">
        <v>1126</v>
      </c>
      <c r="B474" t="s">
        <v>1127</v>
      </c>
      <c r="C474" s="2">
        <v>2025</v>
      </c>
      <c r="D474" s="10">
        <v>2</v>
      </c>
      <c r="E474" s="10">
        <v>21</v>
      </c>
      <c r="F474" t="s">
        <v>1119</v>
      </c>
      <c r="G474">
        <v>3421</v>
      </c>
      <c r="H474" t="s">
        <v>206</v>
      </c>
      <c r="I474" t="s">
        <v>531</v>
      </c>
      <c r="J474" s="10" t="str">
        <f>VLOOKUP(I474,Categories!A:B,2,FALSE)</f>
        <v>Dividends</v>
      </c>
      <c r="K474" t="s">
        <v>178</v>
      </c>
      <c r="L474" s="10" t="str">
        <f>VLOOKUP(K474,Accounts!A:B,2,FALSE)</f>
        <v>SCB</v>
      </c>
      <c r="M474" t="s">
        <v>124</v>
      </c>
      <c r="N474" s="10"/>
      <c r="O474" t="s">
        <v>125</v>
      </c>
      <c r="Q474" t="s">
        <v>126</v>
      </c>
      <c r="R474" t="s">
        <v>124</v>
      </c>
      <c r="S474" t="b">
        <v>0</v>
      </c>
      <c r="T474" t="s">
        <v>124</v>
      </c>
    </row>
    <row r="475">
      <c r="A475" t="s">
        <v>1128</v>
      </c>
      <c r="B475" t="s">
        <v>1129</v>
      </c>
      <c r="C475" s="2">
        <v>2025</v>
      </c>
      <c r="D475" s="10">
        <v>2</v>
      </c>
      <c r="E475" s="10">
        <v>19</v>
      </c>
      <c r="F475" t="s">
        <v>1111</v>
      </c>
      <c r="G475">
        <v>100</v>
      </c>
      <c r="H475" t="s">
        <v>128</v>
      </c>
      <c r="I475" t="s">
        <v>136</v>
      </c>
      <c r="J475" s="10" t="str">
        <f>VLOOKUP(I475,Categories!A:B,2,FALSE)</f>
        <v>อื่นๆ</v>
      </c>
      <c r="K475" t="s">
        <v>123</v>
      </c>
      <c r="L475" s="10" t="str">
        <f>VLOOKUP(K475,Accounts!A:B,2,FALSE)</f>
        <v>KBank</v>
      </c>
      <c r="M475" t="s">
        <v>844</v>
      </c>
      <c r="N475" s="10" t="str">
        <f>VLOOKUP(M475,Accounts!A:B,2,FALSE)</f>
        <v>BBL</v>
      </c>
      <c r="O475" t="s">
        <v>125</v>
      </c>
      <c r="Q475" t="s">
        <v>126</v>
      </c>
      <c r="R475" t="s">
        <v>124</v>
      </c>
      <c r="S475" t="b">
        <v>0</v>
      </c>
      <c r="T475" t="s">
        <v>124</v>
      </c>
    </row>
    <row r="476">
      <c r="A476" t="s">
        <v>1130</v>
      </c>
      <c r="B476" t="s">
        <v>1131</v>
      </c>
      <c r="C476" s="2">
        <v>2025</v>
      </c>
      <c r="D476" s="10">
        <v>2</v>
      </c>
      <c r="E476" s="10">
        <v>14</v>
      </c>
      <c r="F476" t="s">
        <v>1132</v>
      </c>
      <c r="G476">
        <v>422</v>
      </c>
      <c r="H476" t="s">
        <v>69</v>
      </c>
      <c r="I476" t="s">
        <v>259</v>
      </c>
      <c r="J476" s="10" t="str">
        <f>VLOOKUP(I476,Categories!A:B,2,FALSE)</f>
        <v xml:space="preserve">Team BOT</v>
      </c>
      <c r="K476" t="s">
        <v>123</v>
      </c>
      <c r="L476" s="10" t="str">
        <f>VLOOKUP(K476,Accounts!A:B,2,FALSE)</f>
        <v>KBank</v>
      </c>
      <c r="M476" t="s">
        <v>124</v>
      </c>
      <c r="N476" s="10"/>
      <c r="O476" t="s">
        <v>1133</v>
      </c>
      <c r="Q476" t="s">
        <v>126</v>
      </c>
      <c r="R476" t="s">
        <v>124</v>
      </c>
      <c r="S476" t="b">
        <v>0</v>
      </c>
      <c r="T476" t="s">
        <v>124</v>
      </c>
    </row>
    <row r="477">
      <c r="A477" t="s">
        <v>1134</v>
      </c>
      <c r="B477" t="s">
        <v>1135</v>
      </c>
      <c r="C477" s="2">
        <v>2025</v>
      </c>
      <c r="D477" s="10">
        <v>2</v>
      </c>
      <c r="E477" s="10">
        <v>13</v>
      </c>
      <c r="F477" t="s">
        <v>1132</v>
      </c>
      <c r="G477">
        <v>7967</v>
      </c>
      <c r="H477" t="s">
        <v>69</v>
      </c>
      <c r="I477" t="s">
        <v>139</v>
      </c>
      <c r="J477" s="10" t="str">
        <f>VLOOKUP(I477,Categories!A:B,2,FALSE)</f>
        <v>Condo</v>
      </c>
      <c r="K477" t="s">
        <v>123</v>
      </c>
      <c r="L477" s="10" t="str">
        <f>VLOOKUP(K477,Accounts!A:B,2,FALSE)</f>
        <v>KBank</v>
      </c>
      <c r="M477" t="s">
        <v>124</v>
      </c>
      <c r="N477" s="10"/>
      <c r="O477" t="s">
        <v>125</v>
      </c>
      <c r="Q477" t="s">
        <v>126</v>
      </c>
      <c r="R477" t="s">
        <v>124</v>
      </c>
      <c r="S477" t="b">
        <v>0</v>
      </c>
      <c r="T477" t="s">
        <v>124</v>
      </c>
    </row>
    <row r="478">
      <c r="A478" t="s">
        <v>1136</v>
      </c>
      <c r="B478" t="s">
        <v>1135</v>
      </c>
      <c r="C478" s="2">
        <v>2025</v>
      </c>
      <c r="D478" s="10">
        <v>2</v>
      </c>
      <c r="E478" s="10">
        <v>13</v>
      </c>
      <c r="F478" t="s">
        <v>1137</v>
      </c>
      <c r="G478">
        <v>1100</v>
      </c>
      <c r="H478" t="s">
        <v>69</v>
      </c>
      <c r="I478" t="s">
        <v>259</v>
      </c>
      <c r="J478" s="10" t="str">
        <f>VLOOKUP(I478,Categories!A:B,2,FALSE)</f>
        <v xml:space="preserve">Team BOT</v>
      </c>
      <c r="K478" t="s">
        <v>123</v>
      </c>
      <c r="L478" s="10" t="str">
        <f>VLOOKUP(K478,Accounts!A:B,2,FALSE)</f>
        <v>KBank</v>
      </c>
      <c r="M478" t="s">
        <v>124</v>
      </c>
      <c r="N478" s="10"/>
      <c r="O478" t="s">
        <v>125</v>
      </c>
      <c r="Q478" t="s">
        <v>126</v>
      </c>
      <c r="R478" t="s">
        <v>124</v>
      </c>
      <c r="S478" t="b">
        <v>0</v>
      </c>
      <c r="T478" t="s">
        <v>124</v>
      </c>
    </row>
    <row r="479">
      <c r="A479" t="s">
        <v>1138</v>
      </c>
      <c r="B479" t="s">
        <v>1139</v>
      </c>
      <c r="C479" s="2">
        <v>2025</v>
      </c>
      <c r="D479" s="10">
        <v>2</v>
      </c>
      <c r="E479" s="10">
        <v>10</v>
      </c>
      <c r="F479" t="s">
        <v>234</v>
      </c>
      <c r="G479">
        <v>2890</v>
      </c>
      <c r="H479" t="s">
        <v>69</v>
      </c>
      <c r="I479" t="s">
        <v>141</v>
      </c>
      <c r="J479" s="10" t="str">
        <f>VLOOKUP(I479,Categories!A:B,2,FALSE)</f>
        <v>Other</v>
      </c>
      <c r="K479" t="s">
        <v>743</v>
      </c>
      <c r="L479" s="10" t="str">
        <f>VLOOKUP(K479,Accounts!A:B,2,FALSE)</f>
        <v>HOMEPRO</v>
      </c>
      <c r="M479" t="s">
        <v>124</v>
      </c>
      <c r="N479" s="10"/>
      <c r="O479" t="s">
        <v>1140</v>
      </c>
      <c r="Q479" t="s">
        <v>126</v>
      </c>
      <c r="R479" t="s">
        <v>124</v>
      </c>
      <c r="S479" t="b">
        <v>0</v>
      </c>
      <c r="T479" t="s">
        <v>124</v>
      </c>
    </row>
    <row r="480">
      <c r="A480" t="s">
        <v>1141</v>
      </c>
      <c r="B480" t="s">
        <v>1142</v>
      </c>
      <c r="C480" s="2">
        <v>2025</v>
      </c>
      <c r="D480" s="10">
        <v>2</v>
      </c>
      <c r="E480" s="10">
        <v>9</v>
      </c>
      <c r="F480" t="s">
        <v>1143</v>
      </c>
      <c r="G480">
        <v>18000</v>
      </c>
      <c r="H480" t="s">
        <v>128</v>
      </c>
      <c r="I480" t="s">
        <v>136</v>
      </c>
      <c r="J480" s="10" t="str">
        <f>VLOOKUP(I480,Categories!A:B,2,FALSE)</f>
        <v>อื่นๆ</v>
      </c>
      <c r="K480" t="s">
        <v>123</v>
      </c>
      <c r="L480" s="10" t="str">
        <f>VLOOKUP(K480,Accounts!A:B,2,FALSE)</f>
        <v>KBank</v>
      </c>
      <c r="M480" t="s">
        <v>131</v>
      </c>
      <c r="N480" s="10" t="str">
        <f>VLOOKUP(M480,Accounts!A:B,2,FALSE)</f>
        <v xml:space="preserve">Advance Paid</v>
      </c>
      <c r="O480" t="s">
        <v>883</v>
      </c>
      <c r="Q480" t="s">
        <v>126</v>
      </c>
      <c r="R480" t="s">
        <v>124</v>
      </c>
      <c r="S480" t="b">
        <v>0</v>
      </c>
      <c r="T480" t="s">
        <v>124</v>
      </c>
    </row>
    <row r="481">
      <c r="A481" t="s">
        <v>1144</v>
      </c>
      <c r="B481" t="s">
        <v>1145</v>
      </c>
      <c r="C481" s="2">
        <v>2025</v>
      </c>
      <c r="D481" s="10">
        <v>2</v>
      </c>
      <c r="E481" s="10">
        <v>4</v>
      </c>
      <c r="F481" t="s">
        <v>1146</v>
      </c>
      <c r="G481">
        <v>1000</v>
      </c>
      <c r="H481" t="s">
        <v>69</v>
      </c>
      <c r="I481" t="s">
        <v>122</v>
      </c>
      <c r="J481" s="10" t="str">
        <f>VLOOKUP(I481,Categories!A:B,2,FALSE)</f>
        <v>Other</v>
      </c>
      <c r="K481" t="s">
        <v>123</v>
      </c>
      <c r="L481" s="10" t="str">
        <f>VLOOKUP(K481,Accounts!A:B,2,FALSE)</f>
        <v>KBank</v>
      </c>
      <c r="M481" t="s">
        <v>124</v>
      </c>
      <c r="N481" s="10"/>
      <c r="O481" t="s">
        <v>125</v>
      </c>
      <c r="Q481" t="s">
        <v>126</v>
      </c>
      <c r="R481" t="s">
        <v>124</v>
      </c>
      <c r="S481" t="b">
        <v>0</v>
      </c>
      <c r="T481" t="s">
        <v>124</v>
      </c>
    </row>
    <row r="482">
      <c r="A482" t="s">
        <v>1147</v>
      </c>
      <c r="B482" t="s">
        <v>1148</v>
      </c>
      <c r="C482" s="2">
        <v>2025</v>
      </c>
      <c r="D482" s="10">
        <v>2</v>
      </c>
      <c r="E482" s="10">
        <v>1</v>
      </c>
      <c r="F482" t="s">
        <v>1143</v>
      </c>
      <c r="G482">
        <v>5628</v>
      </c>
      <c r="H482" t="s">
        <v>128</v>
      </c>
      <c r="I482" t="s">
        <v>136</v>
      </c>
      <c r="J482" s="10" t="str">
        <f>VLOOKUP(I482,Categories!A:B,2,FALSE)</f>
        <v>อื่นๆ</v>
      </c>
      <c r="K482" t="s">
        <v>123</v>
      </c>
      <c r="L482" s="10" t="str">
        <f>VLOOKUP(K482,Accounts!A:B,2,FALSE)</f>
        <v>KBank</v>
      </c>
      <c r="M482" t="s">
        <v>131</v>
      </c>
      <c r="N482" s="10" t="str">
        <f>VLOOKUP(M482,Accounts!A:B,2,FALSE)</f>
        <v xml:space="preserve">Advance Paid</v>
      </c>
      <c r="O482" t="s">
        <v>1149</v>
      </c>
      <c r="Q482" t="s">
        <v>126</v>
      </c>
      <c r="R482" t="s">
        <v>124</v>
      </c>
      <c r="S482" t="b">
        <v>0</v>
      </c>
      <c r="T482" t="s">
        <v>124</v>
      </c>
    </row>
    <row r="483">
      <c r="A483" t="s">
        <v>1150</v>
      </c>
      <c r="B483" t="s">
        <v>1151</v>
      </c>
      <c r="C483" s="2">
        <v>2025</v>
      </c>
      <c r="D483" s="10">
        <v>1</v>
      </c>
      <c r="E483" s="10">
        <v>30</v>
      </c>
      <c r="F483" t="s">
        <v>1152</v>
      </c>
      <c r="G483">
        <v>4505</v>
      </c>
      <c r="H483" t="s">
        <v>69</v>
      </c>
      <c r="I483" t="s">
        <v>150</v>
      </c>
      <c r="J483" s="10" t="str">
        <f>VLOOKUP(I483,Categories!A:B,2,FALSE)</f>
        <v xml:space="preserve">Food &amp; Coff</v>
      </c>
      <c r="K483" t="s">
        <v>123</v>
      </c>
      <c r="L483" s="10" t="str">
        <f>VLOOKUP(K483,Accounts!A:B,2,FALSE)</f>
        <v>KBank</v>
      </c>
      <c r="M483" t="s">
        <v>124</v>
      </c>
      <c r="N483" s="10"/>
      <c r="O483" t="s">
        <v>1153</v>
      </c>
      <c r="Q483" t="s">
        <v>126</v>
      </c>
      <c r="R483" t="s">
        <v>124</v>
      </c>
      <c r="S483" t="b">
        <v>0</v>
      </c>
      <c r="T483" t="s">
        <v>124</v>
      </c>
    </row>
    <row r="484">
      <c r="A484" t="s">
        <v>1154</v>
      </c>
      <c r="B484" t="s">
        <v>1155</v>
      </c>
      <c r="C484" s="2">
        <v>2025</v>
      </c>
      <c r="D484" s="10">
        <v>1</v>
      </c>
      <c r="E484" s="10">
        <v>28</v>
      </c>
      <c r="F484" t="s">
        <v>1108</v>
      </c>
      <c r="G484">
        <v>340</v>
      </c>
      <c r="H484" t="s">
        <v>69</v>
      </c>
      <c r="I484" t="s">
        <v>122</v>
      </c>
      <c r="J484" s="10" t="str">
        <f>VLOOKUP(I484,Categories!A:B,2,FALSE)</f>
        <v>Other</v>
      </c>
      <c r="K484" t="s">
        <v>123</v>
      </c>
      <c r="L484" s="10" t="str">
        <f>VLOOKUP(K484,Accounts!A:B,2,FALSE)</f>
        <v>KBank</v>
      </c>
      <c r="M484" t="s">
        <v>124</v>
      </c>
      <c r="N484" s="10"/>
      <c r="O484" t="s">
        <v>125</v>
      </c>
      <c r="Q484" t="s">
        <v>126</v>
      </c>
      <c r="R484" t="s">
        <v>124</v>
      </c>
      <c r="S484" t="b">
        <v>0</v>
      </c>
      <c r="T484" t="s">
        <v>124</v>
      </c>
    </row>
    <row r="485">
      <c r="A485" t="s">
        <v>1156</v>
      </c>
      <c r="B485" t="s">
        <v>1157</v>
      </c>
      <c r="C485" s="2">
        <v>2025</v>
      </c>
      <c r="D485" s="10">
        <v>1</v>
      </c>
      <c r="E485" s="10">
        <v>26</v>
      </c>
      <c r="F485" t="s">
        <v>1158</v>
      </c>
      <c r="G485">
        <v>5500</v>
      </c>
      <c r="H485" t="s">
        <v>69</v>
      </c>
      <c r="I485" t="s">
        <v>144</v>
      </c>
      <c r="J485" s="10" t="str">
        <f>VLOOKUP(I485,Categories!A:B,2,FALSE)</f>
        <v xml:space="preserve">Family paid</v>
      </c>
      <c r="K485" t="s">
        <v>844</v>
      </c>
      <c r="L485" s="10" t="str">
        <f>VLOOKUP(K485,Accounts!A:B,2,FALSE)</f>
        <v>BBL</v>
      </c>
      <c r="M485" t="s">
        <v>124</v>
      </c>
      <c r="N485" s="10"/>
      <c r="O485" t="s">
        <v>125</v>
      </c>
      <c r="Q485" t="s">
        <v>126</v>
      </c>
      <c r="R485" t="s">
        <v>124</v>
      </c>
      <c r="S485" t="b">
        <v>0</v>
      </c>
      <c r="T485" t="s">
        <v>124</v>
      </c>
    </row>
    <row r="486">
      <c r="A486" t="s">
        <v>1159</v>
      </c>
      <c r="B486" t="s">
        <v>1160</v>
      </c>
      <c r="C486" s="2">
        <v>2025</v>
      </c>
      <c r="D486" s="10">
        <v>1</v>
      </c>
      <c r="E486" s="10">
        <v>25</v>
      </c>
      <c r="F486" t="s">
        <v>121</v>
      </c>
      <c r="G486">
        <v>9240</v>
      </c>
      <c r="H486" t="s">
        <v>69</v>
      </c>
      <c r="I486" t="s">
        <v>446</v>
      </c>
      <c r="J486" s="10" t="str">
        <f>VLOOKUP(I486,Categories!A:B,2,FALSE)</f>
        <v xml:space="preserve">Intial city</v>
      </c>
      <c r="K486" t="s">
        <v>123</v>
      </c>
      <c r="L486" s="10" t="str">
        <f>VLOOKUP(K486,Accounts!A:B,2,FALSE)</f>
        <v>KBank</v>
      </c>
      <c r="M486" t="s">
        <v>124</v>
      </c>
      <c r="N486" s="10"/>
      <c r="O486" t="s">
        <v>125</v>
      </c>
      <c r="Q486" t="s">
        <v>126</v>
      </c>
      <c r="R486" t="s">
        <v>124</v>
      </c>
      <c r="S486" t="b">
        <v>0</v>
      </c>
      <c r="T486" t="s">
        <v>124</v>
      </c>
    </row>
    <row r="487">
      <c r="A487" t="s">
        <v>1161</v>
      </c>
      <c r="B487" t="s">
        <v>1160</v>
      </c>
      <c r="C487" s="2">
        <v>2025</v>
      </c>
      <c r="D487" s="10">
        <v>1</v>
      </c>
      <c r="E487" s="10">
        <v>25</v>
      </c>
      <c r="F487" t="s">
        <v>121</v>
      </c>
      <c r="G487">
        <v>8540</v>
      </c>
      <c r="H487" t="s">
        <v>69</v>
      </c>
      <c r="I487" t="s">
        <v>197</v>
      </c>
      <c r="J487" s="10" t="str">
        <f>VLOOKUP(I487,Categories!A:B,2,FALSE)</f>
        <v xml:space="preserve">Initial Home loan</v>
      </c>
      <c r="K487" t="s">
        <v>123</v>
      </c>
      <c r="L487" s="10" t="str">
        <f>VLOOKUP(K487,Accounts!A:B,2,FALSE)</f>
        <v>KBank</v>
      </c>
      <c r="M487" t="s">
        <v>124</v>
      </c>
      <c r="N487" s="10"/>
      <c r="O487" t="s">
        <v>125</v>
      </c>
      <c r="Q487" t="s">
        <v>126</v>
      </c>
      <c r="R487" t="s">
        <v>124</v>
      </c>
      <c r="S487" t="b">
        <v>0</v>
      </c>
      <c r="T487" t="s">
        <v>124</v>
      </c>
    </row>
    <row r="488">
      <c r="A488" t="s">
        <v>1162</v>
      </c>
      <c r="B488" t="s">
        <v>1160</v>
      </c>
      <c r="C488" s="2">
        <v>2025</v>
      </c>
      <c r="D488" s="10">
        <v>1</v>
      </c>
      <c r="E488" s="10">
        <v>25</v>
      </c>
      <c r="F488" t="s">
        <v>121</v>
      </c>
      <c r="G488">
        <v>500</v>
      </c>
      <c r="H488" t="s">
        <v>128</v>
      </c>
      <c r="I488" t="s">
        <v>136</v>
      </c>
      <c r="J488" s="10" t="str">
        <f>VLOOKUP(I488,Categories!A:B,2,FALSE)</f>
        <v>อื่นๆ</v>
      </c>
      <c r="K488" t="s">
        <v>123</v>
      </c>
      <c r="L488" s="10" t="str">
        <f>VLOOKUP(K488,Accounts!A:B,2,FALSE)</f>
        <v>KBank</v>
      </c>
      <c r="M488" t="s">
        <v>201</v>
      </c>
      <c r="N488" s="10" t="str">
        <f>VLOOKUP(M488,Accounts!A:B,2,FALSE)</f>
        <v>Coop</v>
      </c>
      <c r="O488" t="s">
        <v>125</v>
      </c>
      <c r="Q488" t="s">
        <v>126</v>
      </c>
      <c r="R488" t="s">
        <v>124</v>
      </c>
      <c r="S488" t="b">
        <v>0</v>
      </c>
      <c r="T488" t="s">
        <v>124</v>
      </c>
    </row>
    <row r="489">
      <c r="A489" t="s">
        <v>1163</v>
      </c>
      <c r="B489" t="s">
        <v>1160</v>
      </c>
      <c r="C489" s="2">
        <v>2025</v>
      </c>
      <c r="D489" s="10">
        <v>1</v>
      </c>
      <c r="E489" s="10">
        <v>25</v>
      </c>
      <c r="F489" t="s">
        <v>121</v>
      </c>
      <c r="G489">
        <v>2744</v>
      </c>
      <c r="H489" t="s">
        <v>128</v>
      </c>
      <c r="I489" t="s">
        <v>136</v>
      </c>
      <c r="J489" s="10" t="str">
        <f>VLOOKUP(I489,Categories!A:B,2,FALSE)</f>
        <v>อื่นๆ</v>
      </c>
      <c r="K489" t="s">
        <v>123</v>
      </c>
      <c r="L489" s="10" t="str">
        <f>VLOOKUP(K489,Accounts!A:B,2,FALSE)</f>
        <v>KBank</v>
      </c>
      <c r="M489" t="s">
        <v>203</v>
      </c>
      <c r="N489" s="10" t="str">
        <f>VLOOKUP(M489,Accounts!A:B,2,FALSE)</f>
        <v xml:space="preserve">Provident Fund</v>
      </c>
      <c r="O489" t="s">
        <v>125</v>
      </c>
      <c r="Q489" t="s">
        <v>126</v>
      </c>
      <c r="R489" t="s">
        <v>124</v>
      </c>
      <c r="S489" t="b">
        <v>0</v>
      </c>
      <c r="T489" t="s">
        <v>124</v>
      </c>
    </row>
    <row r="490">
      <c r="A490" t="s">
        <v>1164</v>
      </c>
      <c r="B490" t="s">
        <v>1160</v>
      </c>
      <c r="C490" s="2">
        <v>2025</v>
      </c>
      <c r="D490" s="10">
        <v>1</v>
      </c>
      <c r="E490" s="10">
        <v>25</v>
      </c>
      <c r="F490" t="s">
        <v>121</v>
      </c>
      <c r="G490">
        <v>3123.7399999999998</v>
      </c>
      <c r="H490" t="s">
        <v>69</v>
      </c>
      <c r="I490" t="s">
        <v>195</v>
      </c>
      <c r="J490" s="10" t="str">
        <f>VLOOKUP(I490,Categories!A:B,2,FALSE)</f>
        <v>Tax</v>
      </c>
      <c r="K490" t="s">
        <v>123</v>
      </c>
      <c r="L490" s="10" t="str">
        <f>VLOOKUP(K490,Accounts!A:B,2,FALSE)</f>
        <v>KBank</v>
      </c>
      <c r="M490" t="s">
        <v>124</v>
      </c>
      <c r="N490" s="10"/>
      <c r="O490" t="s">
        <v>125</v>
      </c>
      <c r="Q490" t="s">
        <v>126</v>
      </c>
      <c r="R490" t="s">
        <v>124</v>
      </c>
      <c r="S490" t="b">
        <v>0</v>
      </c>
      <c r="T490" t="s">
        <v>124</v>
      </c>
    </row>
    <row r="491">
      <c r="A491" t="s">
        <v>1165</v>
      </c>
      <c r="B491" t="s">
        <v>1160</v>
      </c>
      <c r="C491" s="2">
        <v>2025</v>
      </c>
      <c r="D491" s="10">
        <v>1</v>
      </c>
      <c r="E491" s="10">
        <v>25</v>
      </c>
      <c r="F491" t="s">
        <v>121</v>
      </c>
      <c r="G491">
        <v>3243</v>
      </c>
      <c r="H491" t="s">
        <v>69</v>
      </c>
      <c r="I491" t="s">
        <v>199</v>
      </c>
      <c r="J491" s="10" t="str">
        <f>VLOOKUP(I491,Categories!A:B,2,FALSE)</f>
        <v xml:space="preserve">Home Chomthong Interest</v>
      </c>
      <c r="K491" t="s">
        <v>123</v>
      </c>
      <c r="L491" s="10" t="str">
        <f>VLOOKUP(K491,Accounts!A:B,2,FALSE)</f>
        <v>KBank</v>
      </c>
      <c r="M491" t="s">
        <v>124</v>
      </c>
      <c r="N491" s="10"/>
      <c r="O491" t="s">
        <v>125</v>
      </c>
      <c r="Q491" t="s">
        <v>126</v>
      </c>
      <c r="R491" t="s">
        <v>124</v>
      </c>
      <c r="S491" t="b">
        <v>0</v>
      </c>
      <c r="T491" t="s">
        <v>124</v>
      </c>
    </row>
    <row r="492">
      <c r="A492" t="s">
        <v>1166</v>
      </c>
      <c r="B492" t="s">
        <v>1160</v>
      </c>
      <c r="C492" s="2">
        <v>2025</v>
      </c>
      <c r="D492" s="10">
        <v>1</v>
      </c>
      <c r="E492" s="10">
        <v>25</v>
      </c>
      <c r="F492" t="s">
        <v>121</v>
      </c>
      <c r="G492">
        <v>267.85000000000002</v>
      </c>
      <c r="H492" t="s">
        <v>69</v>
      </c>
      <c r="I492" t="s">
        <v>443</v>
      </c>
      <c r="J492" s="10" t="str">
        <f>VLOOKUP(I492,Categories!A:B,2,FALSE)</f>
        <v xml:space="preserve">City SV Interest</v>
      </c>
      <c r="K492" t="s">
        <v>123</v>
      </c>
      <c r="L492" s="10" t="str">
        <f>VLOOKUP(K492,Accounts!A:B,2,FALSE)</f>
        <v>KBank</v>
      </c>
      <c r="M492" t="s">
        <v>124</v>
      </c>
      <c r="N492" s="10"/>
      <c r="O492" t="s">
        <v>125</v>
      </c>
      <c r="Q492" t="s">
        <v>126</v>
      </c>
      <c r="R492" t="s">
        <v>124</v>
      </c>
      <c r="S492" t="b">
        <v>0</v>
      </c>
      <c r="T492" t="s">
        <v>124</v>
      </c>
    </row>
    <row r="493">
      <c r="A493" t="s">
        <v>1167</v>
      </c>
      <c r="B493" t="s">
        <v>1160</v>
      </c>
      <c r="C493" s="2">
        <v>2025</v>
      </c>
      <c r="D493" s="10">
        <v>1</v>
      </c>
      <c r="E493" s="10">
        <v>25</v>
      </c>
      <c r="F493" t="s">
        <v>121</v>
      </c>
      <c r="G493">
        <v>137200</v>
      </c>
      <c r="H493" t="s">
        <v>206</v>
      </c>
      <c r="I493" t="s">
        <v>207</v>
      </c>
      <c r="J493" s="10" t="str">
        <f>VLOOKUP(I493,Categories!A:B,2,FALSE)</f>
        <v>Salary</v>
      </c>
      <c r="K493" t="s">
        <v>123</v>
      </c>
      <c r="L493" s="10" t="str">
        <f>VLOOKUP(K493,Accounts!A:B,2,FALSE)</f>
        <v>KBank</v>
      </c>
      <c r="M493" t="s">
        <v>124</v>
      </c>
      <c r="N493" s="10"/>
      <c r="O493" t="s">
        <v>125</v>
      </c>
      <c r="Q493" t="s">
        <v>126</v>
      </c>
      <c r="R493" t="s">
        <v>124</v>
      </c>
      <c r="S493" t="b">
        <v>0</v>
      </c>
      <c r="T493" t="s">
        <v>124</v>
      </c>
    </row>
    <row r="494">
      <c r="A494" t="s">
        <v>1168</v>
      </c>
      <c r="B494" t="s">
        <v>1169</v>
      </c>
      <c r="C494" s="2">
        <v>2025</v>
      </c>
      <c r="D494" s="10">
        <v>1</v>
      </c>
      <c r="E494" s="10">
        <v>24</v>
      </c>
      <c r="F494" t="s">
        <v>1170</v>
      </c>
      <c r="G494">
        <v>7698</v>
      </c>
      <c r="H494" t="s">
        <v>69</v>
      </c>
      <c r="I494" t="s">
        <v>139</v>
      </c>
      <c r="J494" s="10" t="str">
        <f>VLOOKUP(I494,Categories!A:B,2,FALSE)</f>
        <v>Condo</v>
      </c>
      <c r="K494" t="s">
        <v>123</v>
      </c>
      <c r="L494" s="10" t="str">
        <f>VLOOKUP(K494,Accounts!A:B,2,FALSE)</f>
        <v>KBank</v>
      </c>
      <c r="M494" t="s">
        <v>124</v>
      </c>
      <c r="N494" s="10"/>
      <c r="O494" t="s">
        <v>125</v>
      </c>
      <c r="Q494" t="s">
        <v>126</v>
      </c>
      <c r="R494" t="s">
        <v>124</v>
      </c>
      <c r="S494" t="b">
        <v>0</v>
      </c>
      <c r="T494" t="s">
        <v>124</v>
      </c>
    </row>
    <row r="495">
      <c r="A495" t="s">
        <v>1171</v>
      </c>
      <c r="B495" t="s">
        <v>1169</v>
      </c>
      <c r="C495" s="2">
        <v>2025</v>
      </c>
      <c r="D495" s="10">
        <v>1</v>
      </c>
      <c r="E495" s="10">
        <v>24</v>
      </c>
      <c r="F495" t="s">
        <v>1172</v>
      </c>
      <c r="G495">
        <v>7800</v>
      </c>
      <c r="H495" t="s">
        <v>69</v>
      </c>
      <c r="I495" t="s">
        <v>144</v>
      </c>
      <c r="J495" s="10" t="str">
        <f>VLOOKUP(I495,Categories!A:B,2,FALSE)</f>
        <v xml:space="preserve">Family paid</v>
      </c>
      <c r="K495" t="s">
        <v>123</v>
      </c>
      <c r="L495" s="10" t="str">
        <f>VLOOKUP(K495,Accounts!A:B,2,FALSE)</f>
        <v>KBank</v>
      </c>
      <c r="M495" t="s">
        <v>124</v>
      </c>
      <c r="N495" s="10"/>
      <c r="O495" t="s">
        <v>1173</v>
      </c>
      <c r="Q495" t="s">
        <v>126</v>
      </c>
      <c r="R495" t="s">
        <v>124</v>
      </c>
      <c r="S495" t="b">
        <v>0</v>
      </c>
      <c r="T495" t="s">
        <v>124</v>
      </c>
    </row>
    <row r="496">
      <c r="A496" t="s">
        <v>1174</v>
      </c>
      <c r="B496" t="s">
        <v>1169</v>
      </c>
      <c r="C496" s="2">
        <v>2025</v>
      </c>
      <c r="D496" s="10">
        <v>1</v>
      </c>
      <c r="E496" s="10">
        <v>24</v>
      </c>
      <c r="F496" t="s">
        <v>1175</v>
      </c>
      <c r="G496">
        <v>1142</v>
      </c>
      <c r="H496" t="s">
        <v>69</v>
      </c>
      <c r="I496" t="s">
        <v>144</v>
      </c>
      <c r="J496" s="10" t="str">
        <f>VLOOKUP(I496,Categories!A:B,2,FALSE)</f>
        <v xml:space="preserve">Family paid</v>
      </c>
      <c r="K496" t="s">
        <v>123</v>
      </c>
      <c r="L496" s="10" t="str">
        <f>VLOOKUP(K496,Accounts!A:B,2,FALSE)</f>
        <v>KBank</v>
      </c>
      <c r="M496" t="s">
        <v>124</v>
      </c>
      <c r="N496" s="10"/>
      <c r="O496" t="s">
        <v>1176</v>
      </c>
      <c r="Q496" t="s">
        <v>126</v>
      </c>
      <c r="R496" t="s">
        <v>124</v>
      </c>
      <c r="S496" t="b">
        <v>0</v>
      </c>
      <c r="T496" t="s">
        <v>124</v>
      </c>
    </row>
    <row r="497">
      <c r="A497" t="s">
        <v>1177</v>
      </c>
      <c r="B497" t="s">
        <v>1169</v>
      </c>
      <c r="C497" s="2">
        <v>2025</v>
      </c>
      <c r="D497" s="10">
        <v>1</v>
      </c>
      <c r="E497" s="10">
        <v>24</v>
      </c>
      <c r="F497" t="s">
        <v>1178</v>
      </c>
      <c r="G497">
        <v>875</v>
      </c>
      <c r="H497" t="s">
        <v>128</v>
      </c>
      <c r="I497" t="s">
        <v>136</v>
      </c>
      <c r="J497" s="10" t="str">
        <f>VLOOKUP(I497,Categories!A:B,2,FALSE)</f>
        <v>อื่นๆ</v>
      </c>
      <c r="K497" t="s">
        <v>131</v>
      </c>
      <c r="L497" s="10" t="str">
        <f>VLOOKUP(K497,Accounts!A:B,2,FALSE)</f>
        <v xml:space="preserve">Advance Paid</v>
      </c>
      <c r="M497" t="s">
        <v>123</v>
      </c>
      <c r="N497" s="10" t="str">
        <f>VLOOKUP(M497,Accounts!A:B,2,FALSE)</f>
        <v>KBank</v>
      </c>
      <c r="O497" t="s">
        <v>125</v>
      </c>
      <c r="Q497" t="s">
        <v>126</v>
      </c>
      <c r="R497" t="s">
        <v>124</v>
      </c>
      <c r="S497" t="b">
        <v>0</v>
      </c>
      <c r="T497" t="s">
        <v>124</v>
      </c>
    </row>
    <row r="498">
      <c r="A498" t="s">
        <v>1179</v>
      </c>
      <c r="B498" t="s">
        <v>1180</v>
      </c>
      <c r="C498" s="2">
        <v>2025</v>
      </c>
      <c r="D498" s="10">
        <v>1</v>
      </c>
      <c r="E498" s="10">
        <v>23</v>
      </c>
      <c r="F498" t="s">
        <v>1181</v>
      </c>
      <c r="G498">
        <v>100</v>
      </c>
      <c r="H498" t="s">
        <v>69</v>
      </c>
      <c r="I498" t="s">
        <v>122</v>
      </c>
      <c r="J498" s="10" t="str">
        <f>VLOOKUP(I498,Categories!A:B,2,FALSE)</f>
        <v>Other</v>
      </c>
      <c r="K498" t="s">
        <v>123</v>
      </c>
      <c r="L498" s="10" t="str">
        <f>VLOOKUP(K498,Accounts!A:B,2,FALSE)</f>
        <v>KBank</v>
      </c>
      <c r="M498" t="s">
        <v>124</v>
      </c>
      <c r="N498" s="10"/>
      <c r="O498" t="s">
        <v>125</v>
      </c>
      <c r="Q498" t="s">
        <v>126</v>
      </c>
      <c r="R498" t="s">
        <v>124</v>
      </c>
      <c r="S498" t="b">
        <v>0</v>
      </c>
      <c r="T498" t="s">
        <v>124</v>
      </c>
    </row>
    <row r="499">
      <c r="A499" t="s">
        <v>1182</v>
      </c>
      <c r="B499" t="s">
        <v>1183</v>
      </c>
      <c r="C499" s="2">
        <v>2025</v>
      </c>
      <c r="D499" s="10">
        <v>1</v>
      </c>
      <c r="E499" s="10">
        <v>22</v>
      </c>
      <c r="F499" t="s">
        <v>1181</v>
      </c>
      <c r="G499">
        <v>2000</v>
      </c>
      <c r="H499" t="s">
        <v>69</v>
      </c>
      <c r="I499" t="s">
        <v>259</v>
      </c>
      <c r="J499" s="10" t="str">
        <f>VLOOKUP(I499,Categories!A:B,2,FALSE)</f>
        <v xml:space="preserve">Team BOT</v>
      </c>
      <c r="K499" t="s">
        <v>123</v>
      </c>
      <c r="L499" s="10" t="str">
        <f>VLOOKUP(K499,Accounts!A:B,2,FALSE)</f>
        <v>KBank</v>
      </c>
      <c r="M499" t="s">
        <v>124</v>
      </c>
      <c r="N499" s="10"/>
      <c r="O499" t="s">
        <v>1184</v>
      </c>
      <c r="Q499" t="s">
        <v>126</v>
      </c>
      <c r="R499" t="s">
        <v>124</v>
      </c>
      <c r="S499" t="b">
        <v>0</v>
      </c>
      <c r="T499" t="s">
        <v>124</v>
      </c>
    </row>
    <row r="500">
      <c r="A500" t="s">
        <v>1185</v>
      </c>
      <c r="B500" t="s">
        <v>1186</v>
      </c>
      <c r="C500" s="2">
        <v>2025</v>
      </c>
      <c r="D500" s="10">
        <v>1</v>
      </c>
      <c r="E500" s="10">
        <v>20</v>
      </c>
      <c r="F500" t="s">
        <v>1187</v>
      </c>
      <c r="G500">
        <v>134</v>
      </c>
      <c r="H500" t="s">
        <v>69</v>
      </c>
      <c r="I500" t="s">
        <v>150</v>
      </c>
      <c r="J500" s="10" t="str">
        <f>VLOOKUP(I500,Categories!A:B,2,FALSE)</f>
        <v xml:space="preserve">Food &amp; Coff</v>
      </c>
      <c r="K500" t="s">
        <v>123</v>
      </c>
      <c r="L500" s="10" t="str">
        <f>VLOOKUP(K500,Accounts!A:B,2,FALSE)</f>
        <v>KBank</v>
      </c>
      <c r="M500" t="s">
        <v>124</v>
      </c>
      <c r="N500" s="10"/>
      <c r="O500" t="s">
        <v>125</v>
      </c>
      <c r="Q500" t="s">
        <v>126</v>
      </c>
      <c r="R500" t="s">
        <v>124</v>
      </c>
      <c r="S500" t="b">
        <v>0</v>
      </c>
      <c r="T500" t="s">
        <v>124</v>
      </c>
    </row>
    <row r="501">
      <c r="A501" t="s">
        <v>1188</v>
      </c>
      <c r="B501" t="s">
        <v>1189</v>
      </c>
      <c r="C501" s="2">
        <v>2025</v>
      </c>
      <c r="D501" s="10">
        <v>1</v>
      </c>
      <c r="E501" s="10">
        <v>19</v>
      </c>
      <c r="F501" t="s">
        <v>1190</v>
      </c>
      <c r="G501">
        <v>19000</v>
      </c>
      <c r="H501" t="s">
        <v>69</v>
      </c>
      <c r="I501" t="s">
        <v>134</v>
      </c>
      <c r="J501" s="10" t="str">
        <f>VLOOKUP(I501,Categories!A:B,2,FALSE)</f>
        <v>Hong</v>
      </c>
      <c r="K501" t="s">
        <v>123</v>
      </c>
      <c r="L501" s="10" t="str">
        <f>VLOOKUP(K501,Accounts!A:B,2,FALSE)</f>
        <v>KBank</v>
      </c>
      <c r="M501" t="s">
        <v>124</v>
      </c>
      <c r="N501" s="10"/>
      <c r="O501" t="s">
        <v>125</v>
      </c>
      <c r="Q501" t="s">
        <v>126</v>
      </c>
      <c r="R501" t="s">
        <v>124</v>
      </c>
      <c r="S501" t="b">
        <v>0</v>
      </c>
      <c r="T501" t="s">
        <v>124</v>
      </c>
    </row>
    <row r="502">
      <c r="A502" t="s">
        <v>1191</v>
      </c>
      <c r="B502" t="s">
        <v>1189</v>
      </c>
      <c r="C502" s="2">
        <v>2025</v>
      </c>
      <c r="D502" s="10">
        <v>1</v>
      </c>
      <c r="E502" s="10">
        <v>19</v>
      </c>
      <c r="F502" t="s">
        <v>1190</v>
      </c>
      <c r="G502">
        <v>150</v>
      </c>
      <c r="H502" t="s">
        <v>69</v>
      </c>
      <c r="I502" t="s">
        <v>824</v>
      </c>
      <c r="J502" s="10" t="str">
        <f>VLOOKUP(I502,Categories!A:B,2,FALSE)</f>
        <v>Other</v>
      </c>
      <c r="K502" t="s">
        <v>123</v>
      </c>
      <c r="L502" s="10" t="str">
        <f>VLOOKUP(K502,Accounts!A:B,2,FALSE)</f>
        <v>KBank</v>
      </c>
      <c r="M502" t="s">
        <v>124</v>
      </c>
      <c r="N502" s="10"/>
      <c r="O502" t="s">
        <v>377</v>
      </c>
      <c r="Q502" t="s">
        <v>126</v>
      </c>
      <c r="R502" t="s">
        <v>124</v>
      </c>
      <c r="S502" t="b">
        <v>0</v>
      </c>
      <c r="T502" t="s">
        <v>124</v>
      </c>
    </row>
    <row r="503">
      <c r="A503" t="s">
        <v>1192</v>
      </c>
      <c r="B503" t="s">
        <v>1189</v>
      </c>
      <c r="C503" s="2">
        <v>2025</v>
      </c>
      <c r="D503" s="10">
        <v>1</v>
      </c>
      <c r="E503" s="10">
        <v>19</v>
      </c>
      <c r="F503" t="s">
        <v>1193</v>
      </c>
      <c r="G503">
        <v>400</v>
      </c>
      <c r="H503" t="s">
        <v>69</v>
      </c>
      <c r="I503" t="s">
        <v>155</v>
      </c>
      <c r="J503" s="10" t="str">
        <f>VLOOKUP(I503,Categories!A:B,2,FALSE)</f>
        <v>Gashapon</v>
      </c>
      <c r="K503" t="s">
        <v>123</v>
      </c>
      <c r="L503" s="10" t="str">
        <f>VLOOKUP(K503,Accounts!A:B,2,FALSE)</f>
        <v>KBank</v>
      </c>
      <c r="M503" t="s">
        <v>124</v>
      </c>
      <c r="N503" s="10"/>
      <c r="O503" t="s">
        <v>125</v>
      </c>
      <c r="Q503" t="s">
        <v>126</v>
      </c>
      <c r="R503" t="s">
        <v>124</v>
      </c>
      <c r="S503" t="b">
        <v>0</v>
      </c>
      <c r="T503" t="s">
        <v>124</v>
      </c>
    </row>
    <row r="504">
      <c r="A504" t="s">
        <v>1194</v>
      </c>
      <c r="B504" t="s">
        <v>1189</v>
      </c>
      <c r="C504" s="2">
        <v>2025</v>
      </c>
      <c r="D504" s="10">
        <v>1</v>
      </c>
      <c r="E504" s="10">
        <v>19</v>
      </c>
      <c r="F504" t="s">
        <v>746</v>
      </c>
      <c r="G504">
        <v>5016.79</v>
      </c>
      <c r="H504" t="s">
        <v>69</v>
      </c>
      <c r="I504" t="s">
        <v>338</v>
      </c>
      <c r="J504" s="10" t="str">
        <f>VLOOKUP(I504,Categories!A:B,2,FALSE)</f>
        <v>Trips</v>
      </c>
      <c r="K504" t="s">
        <v>123</v>
      </c>
      <c r="L504" s="10" t="str">
        <f>VLOOKUP(K504,Accounts!A:B,2,FALSE)</f>
        <v>KBank</v>
      </c>
      <c r="M504" t="s">
        <v>124</v>
      </c>
      <c r="N504" s="10"/>
      <c r="O504" t="s">
        <v>1195</v>
      </c>
      <c r="Q504" t="s">
        <v>126</v>
      </c>
      <c r="R504" t="s">
        <v>124</v>
      </c>
      <c r="S504" t="b">
        <v>0</v>
      </c>
      <c r="T504" t="s">
        <v>124</v>
      </c>
    </row>
    <row r="505">
      <c r="A505" t="s">
        <v>1196</v>
      </c>
      <c r="B505" t="s">
        <v>1197</v>
      </c>
      <c r="C505" s="2">
        <v>2025</v>
      </c>
      <c r="D505" s="10">
        <v>1</v>
      </c>
      <c r="E505" s="10">
        <v>16</v>
      </c>
      <c r="F505" t="s">
        <v>740</v>
      </c>
      <c r="G505">
        <v>2515</v>
      </c>
      <c r="H505" t="s">
        <v>69</v>
      </c>
      <c r="I505" t="s">
        <v>160</v>
      </c>
      <c r="J505" s="10" t="str">
        <f>VLOOKUP(I505,Categories!A:B,2,FALSE)</f>
        <v>Fashion</v>
      </c>
      <c r="K505" t="s">
        <v>123</v>
      </c>
      <c r="L505" s="10" t="str">
        <f>VLOOKUP(K505,Accounts!A:B,2,FALSE)</f>
        <v>KBank</v>
      </c>
      <c r="M505" t="s">
        <v>124</v>
      </c>
      <c r="N505" s="10"/>
      <c r="O505" t="s">
        <v>1198</v>
      </c>
      <c r="Q505" t="s">
        <v>126</v>
      </c>
      <c r="R505" t="s">
        <v>124</v>
      </c>
      <c r="S505" t="b">
        <v>0</v>
      </c>
      <c r="T505" t="s">
        <v>124</v>
      </c>
    </row>
    <row r="506">
      <c r="A506" t="s">
        <v>1199</v>
      </c>
      <c r="B506" t="s">
        <v>1200</v>
      </c>
      <c r="C506" s="2">
        <v>2025</v>
      </c>
      <c r="D506" s="10">
        <v>1</v>
      </c>
      <c r="E506" s="10">
        <v>12</v>
      </c>
      <c r="F506" t="s">
        <v>737</v>
      </c>
      <c r="G506">
        <v>2100</v>
      </c>
      <c r="H506" t="s">
        <v>69</v>
      </c>
      <c r="I506" t="s">
        <v>259</v>
      </c>
      <c r="J506" s="10" t="str">
        <f>VLOOKUP(I506,Categories!A:B,2,FALSE)</f>
        <v xml:space="preserve">Team BOT</v>
      </c>
      <c r="K506" t="s">
        <v>123</v>
      </c>
      <c r="L506" s="10" t="str">
        <f>VLOOKUP(K506,Accounts!A:B,2,FALSE)</f>
        <v>KBank</v>
      </c>
      <c r="M506" t="s">
        <v>124</v>
      </c>
      <c r="N506" s="10"/>
      <c r="O506" t="s">
        <v>1201</v>
      </c>
      <c r="Q506" t="s">
        <v>126</v>
      </c>
      <c r="R506" t="s">
        <v>124</v>
      </c>
      <c r="S506" t="b">
        <v>0</v>
      </c>
      <c r="T506" t="s">
        <v>124</v>
      </c>
    </row>
    <row r="507">
      <c r="A507" t="s">
        <v>1202</v>
      </c>
      <c r="B507" t="s">
        <v>1203</v>
      </c>
      <c r="C507" s="2">
        <v>2025</v>
      </c>
      <c r="D507" s="10">
        <v>1</v>
      </c>
      <c r="E507" s="10">
        <v>10</v>
      </c>
      <c r="F507" t="s">
        <v>1204</v>
      </c>
      <c r="G507">
        <v>60</v>
      </c>
      <c r="H507" t="s">
        <v>69</v>
      </c>
      <c r="I507" t="s">
        <v>150</v>
      </c>
      <c r="J507" s="10" t="str">
        <f>VLOOKUP(I507,Categories!A:B,2,FALSE)</f>
        <v xml:space="preserve">Food &amp; Coff</v>
      </c>
      <c r="K507" t="s">
        <v>123</v>
      </c>
      <c r="L507" s="10" t="str">
        <f>VLOOKUP(K507,Accounts!A:B,2,FALSE)</f>
        <v>KBank</v>
      </c>
      <c r="M507" t="s">
        <v>124</v>
      </c>
      <c r="N507" s="10"/>
      <c r="O507" t="s">
        <v>125</v>
      </c>
      <c r="Q507" t="s">
        <v>126</v>
      </c>
      <c r="R507" t="s">
        <v>124</v>
      </c>
      <c r="S507" t="b">
        <v>0</v>
      </c>
      <c r="T507" t="s">
        <v>124</v>
      </c>
    </row>
    <row r="508">
      <c r="A508" t="s">
        <v>1205</v>
      </c>
      <c r="B508" t="s">
        <v>1203</v>
      </c>
      <c r="C508" s="2">
        <v>2025</v>
      </c>
      <c r="D508" s="10">
        <v>1</v>
      </c>
      <c r="E508" s="10">
        <v>10</v>
      </c>
      <c r="F508" t="s">
        <v>1206</v>
      </c>
      <c r="G508">
        <v>2890</v>
      </c>
      <c r="H508" t="s">
        <v>128</v>
      </c>
      <c r="I508" t="s">
        <v>136</v>
      </c>
      <c r="J508" s="10" t="str">
        <f>VLOOKUP(I508,Categories!A:B,2,FALSE)</f>
        <v>อื่นๆ</v>
      </c>
      <c r="K508" t="s">
        <v>123</v>
      </c>
      <c r="L508" s="10" t="str">
        <f>VLOOKUP(K508,Accounts!A:B,2,FALSE)</f>
        <v>KBank</v>
      </c>
      <c r="M508" t="s">
        <v>743</v>
      </c>
      <c r="N508" s="10" t="str">
        <f>VLOOKUP(M508,Accounts!A:B,2,FALSE)</f>
        <v>HOMEPRO</v>
      </c>
      <c r="O508" t="s">
        <v>125</v>
      </c>
      <c r="Q508" t="s">
        <v>126</v>
      </c>
      <c r="R508" t="s">
        <v>124</v>
      </c>
      <c r="S508" t="b">
        <v>0</v>
      </c>
      <c r="T508" t="s">
        <v>124</v>
      </c>
    </row>
    <row r="509">
      <c r="A509" t="s">
        <v>1207</v>
      </c>
      <c r="B509" t="s">
        <v>1203</v>
      </c>
      <c r="C509" s="2">
        <v>2025</v>
      </c>
      <c r="D509" s="10">
        <v>1</v>
      </c>
      <c r="E509" s="10">
        <v>10</v>
      </c>
      <c r="F509" t="s">
        <v>234</v>
      </c>
      <c r="G509">
        <v>2890</v>
      </c>
      <c r="H509" t="s">
        <v>69</v>
      </c>
      <c r="I509" t="s">
        <v>141</v>
      </c>
      <c r="J509" s="10" t="str">
        <f>VLOOKUP(I509,Categories!A:B,2,FALSE)</f>
        <v>Other</v>
      </c>
      <c r="K509" t="s">
        <v>743</v>
      </c>
      <c r="L509" s="10" t="str">
        <f>VLOOKUP(K509,Accounts!A:B,2,FALSE)</f>
        <v>HOMEPRO</v>
      </c>
      <c r="M509" t="s">
        <v>124</v>
      </c>
      <c r="N509" s="10"/>
      <c r="O509" t="s">
        <v>1208</v>
      </c>
      <c r="Q509" t="s">
        <v>126</v>
      </c>
      <c r="R509" t="s">
        <v>124</v>
      </c>
      <c r="S509" t="b">
        <v>0</v>
      </c>
      <c r="T509" t="s">
        <v>124</v>
      </c>
    </row>
    <row r="510">
      <c r="A510" t="s">
        <v>1209</v>
      </c>
      <c r="B510" t="s">
        <v>1210</v>
      </c>
      <c r="C510" s="2">
        <v>2025</v>
      </c>
      <c r="D510" s="10">
        <v>1</v>
      </c>
      <c r="E510" s="10">
        <v>6</v>
      </c>
      <c r="F510" t="s">
        <v>1211</v>
      </c>
      <c r="G510">
        <v>500</v>
      </c>
      <c r="H510" t="s">
        <v>69</v>
      </c>
      <c r="I510" t="s">
        <v>122</v>
      </c>
      <c r="J510" s="10" t="str">
        <f>VLOOKUP(I510,Categories!A:B,2,FALSE)</f>
        <v>Other</v>
      </c>
      <c r="K510" t="s">
        <v>178</v>
      </c>
      <c r="L510" s="10" t="str">
        <f>VLOOKUP(K510,Accounts!A:B,2,FALSE)</f>
        <v>SCB</v>
      </c>
      <c r="M510" t="s">
        <v>124</v>
      </c>
      <c r="N510" s="10"/>
      <c r="O510" t="s">
        <v>125</v>
      </c>
      <c r="Q510" t="s">
        <v>126</v>
      </c>
      <c r="R510" t="s">
        <v>124</v>
      </c>
      <c r="S510" t="b">
        <v>0</v>
      </c>
      <c r="T510" t="s">
        <v>124</v>
      </c>
    </row>
    <row r="511">
      <c r="A511" t="s">
        <v>1212</v>
      </c>
      <c r="B511" t="s">
        <v>1213</v>
      </c>
      <c r="C511" s="2">
        <v>2024</v>
      </c>
      <c r="D511" s="10">
        <v>12</v>
      </c>
      <c r="E511" s="10">
        <v>31</v>
      </c>
      <c r="F511" t="s">
        <v>1214</v>
      </c>
      <c r="G511">
        <v>2716</v>
      </c>
      <c r="H511" t="s">
        <v>69</v>
      </c>
      <c r="I511" t="s">
        <v>150</v>
      </c>
      <c r="J511" s="10" t="str">
        <f>VLOOKUP(I511,Categories!A:B,2,FALSE)</f>
        <v xml:space="preserve">Food &amp; Coff</v>
      </c>
      <c r="K511" t="s">
        <v>123</v>
      </c>
      <c r="L511" s="10" t="str">
        <f>VLOOKUP(K511,Accounts!A:B,2,FALSE)</f>
        <v>KBank</v>
      </c>
      <c r="M511" t="s">
        <v>124</v>
      </c>
      <c r="N511" s="10"/>
      <c r="O511" t="s">
        <v>125</v>
      </c>
      <c r="Q511" t="s">
        <v>126</v>
      </c>
      <c r="R511" t="s">
        <v>124</v>
      </c>
      <c r="S511" t="b">
        <v>0</v>
      </c>
      <c r="T511" t="s">
        <v>124</v>
      </c>
    </row>
    <row r="512">
      <c r="A512" t="s">
        <v>1215</v>
      </c>
      <c r="B512" t="s">
        <v>1213</v>
      </c>
      <c r="C512" s="2">
        <v>2024</v>
      </c>
      <c r="D512" s="10">
        <v>12</v>
      </c>
      <c r="E512" s="10">
        <v>31</v>
      </c>
      <c r="F512" t="s">
        <v>1216</v>
      </c>
      <c r="G512">
        <v>766</v>
      </c>
      <c r="H512" t="s">
        <v>69</v>
      </c>
      <c r="I512" t="s">
        <v>614</v>
      </c>
      <c r="J512" s="10" t="str">
        <f>VLOOKUP(I512,Categories!A:B,2,FALSE)</f>
        <v>Books</v>
      </c>
      <c r="K512" t="s">
        <v>123</v>
      </c>
      <c r="L512" s="10" t="str">
        <f>VLOOKUP(K512,Accounts!A:B,2,FALSE)</f>
        <v>KBank</v>
      </c>
      <c r="M512" t="s">
        <v>124</v>
      </c>
      <c r="N512" s="10"/>
      <c r="O512" t="s">
        <v>125</v>
      </c>
      <c r="Q512" t="s">
        <v>126</v>
      </c>
      <c r="R512" t="s">
        <v>124</v>
      </c>
      <c r="S512" t="b">
        <v>0</v>
      </c>
      <c r="T512" t="s">
        <v>124</v>
      </c>
    </row>
    <row r="513">
      <c r="A513" t="s">
        <v>1217</v>
      </c>
      <c r="B513" t="s">
        <v>1213</v>
      </c>
      <c r="C513" s="2">
        <v>2024</v>
      </c>
      <c r="D513" s="10">
        <v>12</v>
      </c>
      <c r="E513" s="10">
        <v>31</v>
      </c>
      <c r="F513" t="s">
        <v>1218</v>
      </c>
      <c r="G513">
        <v>335</v>
      </c>
      <c r="H513" t="s">
        <v>69</v>
      </c>
      <c r="I513" t="s">
        <v>824</v>
      </c>
      <c r="J513" s="10" t="str">
        <f>VLOOKUP(I513,Categories!A:B,2,FALSE)</f>
        <v>Other</v>
      </c>
      <c r="K513" t="s">
        <v>123</v>
      </c>
      <c r="L513" s="10" t="str">
        <f>VLOOKUP(K513,Accounts!A:B,2,FALSE)</f>
        <v>KBank</v>
      </c>
      <c r="M513" t="s">
        <v>124</v>
      </c>
      <c r="N513" s="10"/>
      <c r="O513" t="s">
        <v>1219</v>
      </c>
      <c r="Q513" t="s">
        <v>126</v>
      </c>
      <c r="R513" t="s">
        <v>124</v>
      </c>
      <c r="S513" t="b">
        <v>0</v>
      </c>
      <c r="T513" t="s">
        <v>124</v>
      </c>
    </row>
    <row r="514">
      <c r="A514" t="s">
        <v>1220</v>
      </c>
      <c r="B514" t="s">
        <v>1213</v>
      </c>
      <c r="C514" s="2">
        <v>2024</v>
      </c>
      <c r="D514" s="10">
        <v>12</v>
      </c>
      <c r="E514" s="10">
        <v>31</v>
      </c>
      <c r="F514" t="s">
        <v>1221</v>
      </c>
      <c r="G514">
        <v>352</v>
      </c>
      <c r="H514" t="s">
        <v>69</v>
      </c>
      <c r="I514" t="s">
        <v>160</v>
      </c>
      <c r="J514" s="10" t="str">
        <f>VLOOKUP(I514,Categories!A:B,2,FALSE)</f>
        <v>Fashion</v>
      </c>
      <c r="K514" t="s">
        <v>123</v>
      </c>
      <c r="L514" s="10" t="str">
        <f>VLOOKUP(K514,Accounts!A:B,2,FALSE)</f>
        <v>KBank</v>
      </c>
      <c r="M514" t="s">
        <v>124</v>
      </c>
      <c r="N514" s="10"/>
      <c r="O514" t="s">
        <v>1222</v>
      </c>
      <c r="Q514" t="s">
        <v>126</v>
      </c>
      <c r="R514" t="s">
        <v>124</v>
      </c>
      <c r="S514" t="b">
        <v>0</v>
      </c>
      <c r="T514" t="s">
        <v>124</v>
      </c>
    </row>
    <row r="515">
      <c r="A515" t="s">
        <v>1223</v>
      </c>
      <c r="B515" t="s">
        <v>1224</v>
      </c>
      <c r="C515" s="2">
        <v>2024</v>
      </c>
      <c r="D515" s="10">
        <v>12</v>
      </c>
      <c r="E515" s="10">
        <v>30</v>
      </c>
      <c r="F515" t="s">
        <v>1225</v>
      </c>
      <c r="G515">
        <v>38</v>
      </c>
      <c r="H515" t="s">
        <v>69</v>
      </c>
      <c r="I515" t="s">
        <v>141</v>
      </c>
      <c r="J515" s="10" t="str">
        <f>VLOOKUP(I515,Categories!A:B,2,FALSE)</f>
        <v>Other</v>
      </c>
      <c r="K515" t="s">
        <v>123</v>
      </c>
      <c r="L515" s="10" t="str">
        <f>VLOOKUP(K515,Accounts!A:B,2,FALSE)</f>
        <v>KBank</v>
      </c>
      <c r="M515" t="s">
        <v>124</v>
      </c>
      <c r="N515" s="10"/>
      <c r="O515" t="s">
        <v>125</v>
      </c>
      <c r="Q515" t="s">
        <v>126</v>
      </c>
      <c r="R515" t="s">
        <v>124</v>
      </c>
      <c r="S515" t="b">
        <v>0</v>
      </c>
      <c r="T515" t="s">
        <v>124</v>
      </c>
    </row>
    <row r="516">
      <c r="A516" t="s">
        <v>1226</v>
      </c>
      <c r="B516" t="s">
        <v>1227</v>
      </c>
      <c r="C516" s="2">
        <v>2024</v>
      </c>
      <c r="D516" s="10">
        <v>12</v>
      </c>
      <c r="E516" s="10">
        <v>28</v>
      </c>
      <c r="F516" t="s">
        <v>1228</v>
      </c>
      <c r="G516">
        <v>30</v>
      </c>
      <c r="H516" t="s">
        <v>69</v>
      </c>
      <c r="I516" t="s">
        <v>150</v>
      </c>
      <c r="J516" s="10" t="str">
        <f>VLOOKUP(I516,Categories!A:B,2,FALSE)</f>
        <v xml:space="preserve">Food &amp; Coff</v>
      </c>
      <c r="K516" t="s">
        <v>123</v>
      </c>
      <c r="L516" s="10" t="str">
        <f>VLOOKUP(K516,Accounts!A:B,2,FALSE)</f>
        <v>KBank</v>
      </c>
      <c r="M516" t="s">
        <v>124</v>
      </c>
      <c r="N516" s="10"/>
      <c r="O516" t="s">
        <v>125</v>
      </c>
      <c r="Q516" t="s">
        <v>126</v>
      </c>
      <c r="R516" t="s">
        <v>124</v>
      </c>
      <c r="S516" t="b">
        <v>0</v>
      </c>
      <c r="T516" t="s">
        <v>124</v>
      </c>
    </row>
    <row r="517">
      <c r="A517" t="s">
        <v>1229</v>
      </c>
      <c r="B517" t="s">
        <v>1230</v>
      </c>
      <c r="C517" s="2">
        <v>2024</v>
      </c>
      <c r="D517" s="10">
        <v>12</v>
      </c>
      <c r="E517" s="10">
        <v>27</v>
      </c>
      <c r="F517" t="s">
        <v>1231</v>
      </c>
      <c r="G517">
        <v>11266.620000000001</v>
      </c>
      <c r="H517" t="s">
        <v>206</v>
      </c>
      <c r="I517" t="s">
        <v>531</v>
      </c>
      <c r="J517" s="10" t="str">
        <f>VLOOKUP(I517,Categories!A:B,2,FALSE)</f>
        <v>Dividends</v>
      </c>
      <c r="K517" t="s">
        <v>844</v>
      </c>
      <c r="L517" s="10" t="str">
        <f>VLOOKUP(K517,Accounts!A:B,2,FALSE)</f>
        <v>BBL</v>
      </c>
      <c r="M517" t="s">
        <v>124</v>
      </c>
      <c r="N517" s="10"/>
      <c r="O517" t="s">
        <v>125</v>
      </c>
      <c r="Q517" t="s">
        <v>126</v>
      </c>
      <c r="R517" t="s">
        <v>124</v>
      </c>
      <c r="S517" t="b">
        <v>0</v>
      </c>
      <c r="T517" t="s">
        <v>124</v>
      </c>
    </row>
    <row r="518">
      <c r="A518" t="s">
        <v>1232</v>
      </c>
      <c r="B518" t="s">
        <v>1230</v>
      </c>
      <c r="C518" s="2">
        <v>2024</v>
      </c>
      <c r="D518" s="10">
        <v>12</v>
      </c>
      <c r="E518" s="10">
        <v>27</v>
      </c>
      <c r="F518" t="s">
        <v>1233</v>
      </c>
      <c r="G518">
        <v>601</v>
      </c>
      <c r="H518" t="s">
        <v>128</v>
      </c>
      <c r="I518" t="s">
        <v>136</v>
      </c>
      <c r="J518" s="10" t="str">
        <f>VLOOKUP(I518,Categories!A:B,2,FALSE)</f>
        <v>อื่นๆ</v>
      </c>
      <c r="K518" t="s">
        <v>213</v>
      </c>
      <c r="L518" s="10" t="str">
        <f>VLOOKUP(K518,Accounts!A:B,2,FALSE)</f>
        <v xml:space="preserve">Krungthai Next</v>
      </c>
      <c r="M518" t="s">
        <v>178</v>
      </c>
      <c r="N518" s="10" t="str">
        <f>VLOOKUP(M518,Accounts!A:B,2,FALSE)</f>
        <v>SCB</v>
      </c>
      <c r="O518" t="s">
        <v>125</v>
      </c>
      <c r="Q518" t="s">
        <v>126</v>
      </c>
      <c r="R518" t="s">
        <v>124</v>
      </c>
      <c r="S518" t="b">
        <v>0</v>
      </c>
      <c r="T518" t="s">
        <v>124</v>
      </c>
    </row>
    <row r="519">
      <c r="A519" t="s">
        <v>1234</v>
      </c>
      <c r="B519" t="s">
        <v>1230</v>
      </c>
      <c r="C519" s="2">
        <v>2024</v>
      </c>
      <c r="D519" s="10">
        <v>12</v>
      </c>
      <c r="E519" s="10">
        <v>27</v>
      </c>
      <c r="F519" t="s">
        <v>1235</v>
      </c>
      <c r="G519">
        <v>200</v>
      </c>
      <c r="H519" t="s">
        <v>69</v>
      </c>
      <c r="I519" t="s">
        <v>141</v>
      </c>
      <c r="J519" s="10" t="str">
        <f>VLOOKUP(I519,Categories!A:B,2,FALSE)</f>
        <v>Other</v>
      </c>
      <c r="K519" t="s">
        <v>123</v>
      </c>
      <c r="L519" s="10" t="str">
        <f>VLOOKUP(K519,Accounts!A:B,2,FALSE)</f>
        <v>KBank</v>
      </c>
      <c r="M519" t="s">
        <v>124</v>
      </c>
      <c r="N519" s="10"/>
      <c r="O519" t="s">
        <v>125</v>
      </c>
      <c r="Q519" t="s">
        <v>126</v>
      </c>
      <c r="R519" t="s">
        <v>124</v>
      </c>
      <c r="S519" t="b">
        <v>0</v>
      </c>
      <c r="T519" t="s">
        <v>124</v>
      </c>
    </row>
    <row r="520">
      <c r="A520" t="s">
        <v>1236</v>
      </c>
      <c r="B520" t="s">
        <v>1237</v>
      </c>
      <c r="C520" s="2">
        <v>2024</v>
      </c>
      <c r="D520" s="10">
        <v>12</v>
      </c>
      <c r="E520" s="10">
        <v>26</v>
      </c>
      <c r="F520" t="s">
        <v>1238</v>
      </c>
      <c r="G520">
        <v>10000</v>
      </c>
      <c r="H520" t="s">
        <v>128</v>
      </c>
      <c r="I520" t="s">
        <v>136</v>
      </c>
      <c r="J520" s="10" t="str">
        <f>VLOOKUP(I520,Categories!A:B,2,FALSE)</f>
        <v>อื่นๆ</v>
      </c>
      <c r="K520" t="s">
        <v>123</v>
      </c>
      <c r="L520" s="10" t="str">
        <f>VLOOKUP(K520,Accounts!A:B,2,FALSE)</f>
        <v>KBank</v>
      </c>
      <c r="M520" t="s">
        <v>235</v>
      </c>
      <c r="N520" s="10" t="str">
        <f>VLOOKUP(M520,Accounts!A:B,2,FALSE)</f>
        <v xml:space="preserve">JPY cash</v>
      </c>
      <c r="O520" t="s">
        <v>1239</v>
      </c>
      <c r="Q520" t="s">
        <v>126</v>
      </c>
      <c r="R520" t="s">
        <v>124</v>
      </c>
      <c r="S520" t="b">
        <v>0</v>
      </c>
      <c r="T520" t="s">
        <v>124</v>
      </c>
    </row>
    <row r="521">
      <c r="A521" t="s">
        <v>1240</v>
      </c>
      <c r="B521" t="s">
        <v>1241</v>
      </c>
      <c r="C521" s="2">
        <v>2024</v>
      </c>
      <c r="D521" s="10">
        <v>12</v>
      </c>
      <c r="E521" s="10">
        <v>25</v>
      </c>
      <c r="F521" t="s">
        <v>121</v>
      </c>
      <c r="G521">
        <v>220.5</v>
      </c>
      <c r="H521" t="s">
        <v>69</v>
      </c>
      <c r="I521" t="s">
        <v>443</v>
      </c>
      <c r="J521" s="10" t="str">
        <f>VLOOKUP(I521,Categories!A:B,2,FALSE)</f>
        <v xml:space="preserve">City SV Interest</v>
      </c>
      <c r="K521" t="s">
        <v>123</v>
      </c>
      <c r="L521" s="10" t="str">
        <f>VLOOKUP(K521,Accounts!A:B,2,FALSE)</f>
        <v>KBank</v>
      </c>
      <c r="M521" t="s">
        <v>124</v>
      </c>
      <c r="N521" s="10"/>
      <c r="O521" t="s">
        <v>125</v>
      </c>
      <c r="Q521" t="s">
        <v>126</v>
      </c>
      <c r="R521" t="s">
        <v>124</v>
      </c>
      <c r="S521" t="b">
        <v>0</v>
      </c>
      <c r="T521" t="s">
        <v>124</v>
      </c>
    </row>
    <row r="522">
      <c r="A522" t="s">
        <v>1242</v>
      </c>
      <c r="B522" t="s">
        <v>1241</v>
      </c>
      <c r="C522" s="2">
        <v>2024</v>
      </c>
      <c r="D522" s="10">
        <v>12</v>
      </c>
      <c r="E522" s="10">
        <v>25</v>
      </c>
      <c r="F522" t="s">
        <v>121</v>
      </c>
      <c r="G522">
        <v>3197</v>
      </c>
      <c r="H522" t="s">
        <v>69</v>
      </c>
      <c r="I522" t="s">
        <v>199</v>
      </c>
      <c r="J522" s="10" t="str">
        <f>VLOOKUP(I522,Categories!A:B,2,FALSE)</f>
        <v xml:space="preserve">Home Chomthong Interest</v>
      </c>
      <c r="K522" t="s">
        <v>123</v>
      </c>
      <c r="L522" s="10" t="str">
        <f>VLOOKUP(K522,Accounts!A:B,2,FALSE)</f>
        <v>KBank</v>
      </c>
      <c r="M522" t="s">
        <v>124</v>
      </c>
      <c r="N522" s="10"/>
      <c r="O522" t="s">
        <v>125</v>
      </c>
      <c r="Q522" t="s">
        <v>126</v>
      </c>
      <c r="R522" t="s">
        <v>124</v>
      </c>
      <c r="S522" t="b">
        <v>0</v>
      </c>
      <c r="T522" t="s">
        <v>124</v>
      </c>
    </row>
    <row r="523">
      <c r="A523" t="s">
        <v>1243</v>
      </c>
      <c r="B523" t="s">
        <v>1241</v>
      </c>
      <c r="C523" s="2">
        <v>2024</v>
      </c>
      <c r="D523" s="10">
        <v>12</v>
      </c>
      <c r="E523" s="10">
        <v>25</v>
      </c>
      <c r="F523" t="s">
        <v>121</v>
      </c>
      <c r="G523">
        <v>9165</v>
      </c>
      <c r="H523" t="s">
        <v>128</v>
      </c>
      <c r="I523" t="s">
        <v>136</v>
      </c>
      <c r="J523" s="10" t="str">
        <f>VLOOKUP(I523,Categories!A:B,2,FALSE)</f>
        <v>อื่นๆ</v>
      </c>
      <c r="K523" t="s">
        <v>123</v>
      </c>
      <c r="L523" s="10" t="str">
        <f>VLOOKUP(K523,Accounts!A:B,2,FALSE)</f>
        <v>KBank</v>
      </c>
      <c r="M523" t="s">
        <v>1244</v>
      </c>
      <c r="N523" s="10" t="str">
        <f>VLOOKUP(M523,Accounts!A:B,2,FALSE)</f>
        <v xml:space="preserve">Home chomthong Loan</v>
      </c>
      <c r="O523" t="s">
        <v>125</v>
      </c>
      <c r="Q523" t="s">
        <v>126</v>
      </c>
      <c r="R523" t="s">
        <v>124</v>
      </c>
      <c r="S523" t="b">
        <v>0</v>
      </c>
      <c r="T523" t="s">
        <v>124</v>
      </c>
    </row>
    <row r="524">
      <c r="A524" t="s">
        <v>1245</v>
      </c>
      <c r="B524" t="s">
        <v>1241</v>
      </c>
      <c r="C524" s="2">
        <v>2024</v>
      </c>
      <c r="D524" s="10">
        <v>12</v>
      </c>
      <c r="E524" s="10">
        <v>25</v>
      </c>
      <c r="F524" t="s">
        <v>121</v>
      </c>
      <c r="G524">
        <v>9240</v>
      </c>
      <c r="H524" t="s">
        <v>128</v>
      </c>
      <c r="I524" t="s">
        <v>136</v>
      </c>
      <c r="J524" s="10" t="str">
        <f>VLOOKUP(I524,Categories!A:B,2,FALSE)</f>
        <v>อื่นๆ</v>
      </c>
      <c r="K524" t="s">
        <v>123</v>
      </c>
      <c r="L524" s="10" t="str">
        <f>VLOOKUP(K524,Accounts!A:B,2,FALSE)</f>
        <v>KBank</v>
      </c>
      <c r="M524" t="s">
        <v>1246</v>
      </c>
      <c r="N524" s="10" t="str">
        <f>VLOOKUP(M524,Accounts!A:B,2,FALSE)</f>
        <v xml:space="preserve">Car Loan</v>
      </c>
      <c r="O524" t="s">
        <v>125</v>
      </c>
      <c r="Q524" t="s">
        <v>126</v>
      </c>
      <c r="R524" t="s">
        <v>124</v>
      </c>
      <c r="S524" t="b">
        <v>0</v>
      </c>
      <c r="T524" t="s">
        <v>124</v>
      </c>
    </row>
    <row r="525">
      <c r="A525" t="s">
        <v>1247</v>
      </c>
      <c r="B525" t="s">
        <v>1241</v>
      </c>
      <c r="C525" s="2">
        <v>2024</v>
      </c>
      <c r="D525" s="10">
        <v>12</v>
      </c>
      <c r="E525" s="10">
        <v>25</v>
      </c>
      <c r="F525" t="s">
        <v>121</v>
      </c>
      <c r="G525">
        <v>500</v>
      </c>
      <c r="H525" t="s">
        <v>128</v>
      </c>
      <c r="I525" t="s">
        <v>136</v>
      </c>
      <c r="J525" s="10" t="str">
        <f>VLOOKUP(I525,Categories!A:B,2,FALSE)</f>
        <v>อื่นๆ</v>
      </c>
      <c r="K525" t="s">
        <v>123</v>
      </c>
      <c r="L525" s="10" t="str">
        <f>VLOOKUP(K525,Accounts!A:B,2,FALSE)</f>
        <v>KBank</v>
      </c>
      <c r="M525" t="s">
        <v>201</v>
      </c>
      <c r="N525" s="10" t="str">
        <f>VLOOKUP(M525,Accounts!A:B,2,FALSE)</f>
        <v>Coop</v>
      </c>
      <c r="O525" t="s">
        <v>125</v>
      </c>
      <c r="Q525" t="s">
        <v>126</v>
      </c>
      <c r="R525" t="s">
        <v>124</v>
      </c>
      <c r="S525" t="b">
        <v>0</v>
      </c>
      <c r="T525" t="s">
        <v>124</v>
      </c>
    </row>
    <row r="526">
      <c r="A526" t="s">
        <v>1248</v>
      </c>
      <c r="B526" t="s">
        <v>1241</v>
      </c>
      <c r="C526" s="2">
        <v>2024</v>
      </c>
      <c r="D526" s="10">
        <v>12</v>
      </c>
      <c r="E526" s="10">
        <v>25</v>
      </c>
      <c r="F526" t="s">
        <v>121</v>
      </c>
      <c r="G526">
        <v>2744</v>
      </c>
      <c r="H526" t="s">
        <v>128</v>
      </c>
      <c r="I526" t="s">
        <v>136</v>
      </c>
      <c r="J526" s="10" t="str">
        <f>VLOOKUP(I526,Categories!A:B,2,FALSE)</f>
        <v>อื่นๆ</v>
      </c>
      <c r="K526" t="s">
        <v>123</v>
      </c>
      <c r="L526" s="10" t="str">
        <f>VLOOKUP(K526,Accounts!A:B,2,FALSE)</f>
        <v>KBank</v>
      </c>
      <c r="M526" t="s">
        <v>203</v>
      </c>
      <c r="N526" s="10" t="str">
        <f>VLOOKUP(M526,Accounts!A:B,2,FALSE)</f>
        <v xml:space="preserve">Provident Fund</v>
      </c>
      <c r="O526" t="s">
        <v>125</v>
      </c>
      <c r="Q526" t="s">
        <v>126</v>
      </c>
      <c r="R526" t="s">
        <v>124</v>
      </c>
      <c r="S526" t="b">
        <v>0</v>
      </c>
      <c r="T526" t="s">
        <v>124</v>
      </c>
    </row>
    <row r="527">
      <c r="A527" t="s">
        <v>1249</v>
      </c>
      <c r="B527" t="s">
        <v>1241</v>
      </c>
      <c r="C527" s="2">
        <v>2024</v>
      </c>
      <c r="D527" s="10">
        <v>12</v>
      </c>
      <c r="E527" s="10">
        <v>25</v>
      </c>
      <c r="F527" t="s">
        <v>121</v>
      </c>
      <c r="G527">
        <v>3123.7399999999998</v>
      </c>
      <c r="H527" t="s">
        <v>69</v>
      </c>
      <c r="I527" t="s">
        <v>195</v>
      </c>
      <c r="J527" s="10" t="str">
        <f>VLOOKUP(I527,Categories!A:B,2,FALSE)</f>
        <v>Tax</v>
      </c>
      <c r="K527" t="s">
        <v>123</v>
      </c>
      <c r="L527" s="10" t="str">
        <f>VLOOKUP(K527,Accounts!A:B,2,FALSE)</f>
        <v>KBank</v>
      </c>
      <c r="M527" t="s">
        <v>124</v>
      </c>
      <c r="N527" s="10"/>
      <c r="O527" t="s">
        <v>125</v>
      </c>
      <c r="Q527" t="s">
        <v>126</v>
      </c>
      <c r="R527" t="s">
        <v>124</v>
      </c>
      <c r="S527" t="b">
        <v>0</v>
      </c>
      <c r="T527" t="s">
        <v>124</v>
      </c>
    </row>
    <row r="528">
      <c r="A528" t="s">
        <v>1250</v>
      </c>
      <c r="B528" t="s">
        <v>1241</v>
      </c>
      <c r="C528" s="2">
        <v>2024</v>
      </c>
      <c r="D528" s="10">
        <v>12</v>
      </c>
      <c r="E528" s="10">
        <v>25</v>
      </c>
      <c r="F528" t="s">
        <v>121</v>
      </c>
      <c r="G528">
        <v>137200</v>
      </c>
      <c r="H528" t="s">
        <v>206</v>
      </c>
      <c r="I528" t="s">
        <v>207</v>
      </c>
      <c r="J528" s="10" t="str">
        <f>VLOOKUP(I528,Categories!A:B,2,FALSE)</f>
        <v>Salary</v>
      </c>
      <c r="K528" t="s">
        <v>123</v>
      </c>
      <c r="L528" s="10" t="str">
        <f>VLOOKUP(K528,Accounts!A:B,2,FALSE)</f>
        <v>KBank</v>
      </c>
      <c r="M528" t="s">
        <v>124</v>
      </c>
      <c r="N528" s="10"/>
      <c r="O528" t="s">
        <v>125</v>
      </c>
      <c r="Q528" t="s">
        <v>126</v>
      </c>
      <c r="R528" t="s">
        <v>124</v>
      </c>
      <c r="S528" t="b">
        <v>0</v>
      </c>
      <c r="T528" t="s">
        <v>124</v>
      </c>
    </row>
    <row r="529">
      <c r="A529" t="s">
        <v>1251</v>
      </c>
      <c r="B529" t="s">
        <v>58</v>
      </c>
      <c r="C529" s="2">
        <v>2024</v>
      </c>
      <c r="D529" s="10">
        <v>12</v>
      </c>
      <c r="E529" s="10">
        <v>24</v>
      </c>
      <c r="F529" t="s">
        <v>1252</v>
      </c>
      <c r="G529">
        <v>30000</v>
      </c>
      <c r="H529" t="s">
        <v>128</v>
      </c>
      <c r="I529" t="s">
        <v>136</v>
      </c>
      <c r="J529" s="10" t="str">
        <f>VLOOKUP(I529,Categories!A:B,2,FALSE)</f>
        <v>อื่นๆ</v>
      </c>
      <c r="K529" t="s">
        <v>123</v>
      </c>
      <c r="L529" s="10" t="str">
        <f>VLOOKUP(K529,Accounts!A:B,2,FALSE)</f>
        <v>KBank</v>
      </c>
      <c r="M529" t="s">
        <v>215</v>
      </c>
      <c r="N529" s="10" t="str">
        <f>VLOOKUP(M529,Accounts!A:B,2,FALSE)</f>
        <v>Investment</v>
      </c>
      <c r="O529" t="s">
        <v>125</v>
      </c>
      <c r="Q529" t="s">
        <v>126</v>
      </c>
      <c r="R529" t="s">
        <v>124</v>
      </c>
      <c r="S529" t="b">
        <v>0</v>
      </c>
      <c r="T529" t="s">
        <v>124</v>
      </c>
    </row>
    <row r="530">
      <c r="A530" t="s">
        <v>1253</v>
      </c>
      <c r="B530" t="s">
        <v>58</v>
      </c>
      <c r="C530" s="2">
        <v>2024</v>
      </c>
      <c r="D530" s="10">
        <v>12</v>
      </c>
      <c r="E530" s="10">
        <v>24</v>
      </c>
      <c r="F530" t="s">
        <v>620</v>
      </c>
      <c r="G530">
        <v>461</v>
      </c>
      <c r="H530" t="s">
        <v>69</v>
      </c>
      <c r="I530" t="s">
        <v>169</v>
      </c>
      <c r="J530" s="10" t="str">
        <f>VLOOKUP(I530,Categories!A:B,2,FALSE)</f>
        <v xml:space="preserve">App &amp; Game</v>
      </c>
      <c r="K530" t="s">
        <v>123</v>
      </c>
      <c r="L530" s="10" t="str">
        <f>VLOOKUP(K530,Accounts!A:B,2,FALSE)</f>
        <v>KBank</v>
      </c>
      <c r="M530" t="s">
        <v>124</v>
      </c>
      <c r="N530" s="10"/>
      <c r="O530" t="s">
        <v>1254</v>
      </c>
      <c r="Q530" t="s">
        <v>126</v>
      </c>
      <c r="R530" t="s">
        <v>124</v>
      </c>
      <c r="S530" t="b">
        <v>0</v>
      </c>
      <c r="T530" t="s">
        <v>124</v>
      </c>
    </row>
    <row r="531">
      <c r="A531" t="s">
        <v>1255</v>
      </c>
      <c r="B531" t="s">
        <v>58</v>
      </c>
      <c r="C531" s="2">
        <v>2024</v>
      </c>
      <c r="D531" s="10">
        <v>12</v>
      </c>
      <c r="E531" s="10">
        <v>24</v>
      </c>
      <c r="F531" t="s">
        <v>1064</v>
      </c>
      <c r="G531">
        <v>402</v>
      </c>
      <c r="H531" t="s">
        <v>69</v>
      </c>
      <c r="I531" t="s">
        <v>150</v>
      </c>
      <c r="J531" s="10" t="str">
        <f>VLOOKUP(I531,Categories!A:B,2,FALSE)</f>
        <v xml:space="preserve">Food &amp; Coff</v>
      </c>
      <c r="K531" t="s">
        <v>123</v>
      </c>
      <c r="L531" s="10" t="str">
        <f>VLOOKUP(K531,Accounts!A:B,2,FALSE)</f>
        <v>KBank</v>
      </c>
      <c r="M531" t="s">
        <v>124</v>
      </c>
      <c r="N531" s="10"/>
      <c r="O531" t="s">
        <v>125</v>
      </c>
      <c r="Q531" t="s">
        <v>126</v>
      </c>
      <c r="R531" t="s">
        <v>124</v>
      </c>
      <c r="S531" t="b">
        <v>0</v>
      </c>
      <c r="T531" t="s">
        <v>124</v>
      </c>
    </row>
    <row r="532">
      <c r="A532" t="s">
        <v>1256</v>
      </c>
      <c r="B532" t="s">
        <v>58</v>
      </c>
      <c r="C532" s="2">
        <v>2024</v>
      </c>
      <c r="D532" s="10">
        <v>12</v>
      </c>
      <c r="E532" s="10">
        <v>24</v>
      </c>
      <c r="F532" t="s">
        <v>1064</v>
      </c>
      <c r="G532">
        <v>319</v>
      </c>
      <c r="H532" t="s">
        <v>69</v>
      </c>
      <c r="I532" t="s">
        <v>144</v>
      </c>
      <c r="J532" s="10" t="str">
        <f>VLOOKUP(I532,Categories!A:B,2,FALSE)</f>
        <v xml:space="preserve">Family paid</v>
      </c>
      <c r="K532" t="s">
        <v>123</v>
      </c>
      <c r="L532" s="10" t="str">
        <f>VLOOKUP(K532,Accounts!A:B,2,FALSE)</f>
        <v>KBank</v>
      </c>
      <c r="M532" t="s">
        <v>124</v>
      </c>
      <c r="N532" s="10"/>
      <c r="O532" t="s">
        <v>125</v>
      </c>
      <c r="Q532" t="s">
        <v>126</v>
      </c>
      <c r="R532" t="s">
        <v>124</v>
      </c>
      <c r="S532" t="b">
        <v>0</v>
      </c>
      <c r="T532" t="s">
        <v>124</v>
      </c>
    </row>
    <row r="533">
      <c r="A533" t="s">
        <v>1257</v>
      </c>
      <c r="B533" t="s">
        <v>58</v>
      </c>
      <c r="C533" s="2">
        <v>2024</v>
      </c>
      <c r="D533" s="10">
        <v>12</v>
      </c>
      <c r="E533" s="10">
        <v>24</v>
      </c>
      <c r="F533" t="s">
        <v>1060</v>
      </c>
      <c r="G533">
        <v>1102</v>
      </c>
      <c r="H533" t="s">
        <v>69</v>
      </c>
      <c r="I533" t="s">
        <v>160</v>
      </c>
      <c r="J533" s="10" t="str">
        <f>VLOOKUP(I533,Categories!A:B,2,FALSE)</f>
        <v>Fashion</v>
      </c>
      <c r="K533" t="s">
        <v>123</v>
      </c>
      <c r="L533" s="10" t="str">
        <f>VLOOKUP(K533,Accounts!A:B,2,FALSE)</f>
        <v>KBank</v>
      </c>
      <c r="M533" t="s">
        <v>124</v>
      </c>
      <c r="N533" s="10"/>
      <c r="O533" t="s">
        <v>1036</v>
      </c>
      <c r="Q533" t="s">
        <v>126</v>
      </c>
      <c r="R533" t="s">
        <v>124</v>
      </c>
      <c r="S533" t="b">
        <v>0</v>
      </c>
      <c r="T533" t="s">
        <v>124</v>
      </c>
    </row>
    <row r="534">
      <c r="A534" t="s">
        <v>1258</v>
      </c>
      <c r="B534" t="s">
        <v>58</v>
      </c>
      <c r="C534" s="2">
        <v>2024</v>
      </c>
      <c r="D534" s="10">
        <v>12</v>
      </c>
      <c r="E534" s="10">
        <v>24</v>
      </c>
      <c r="F534" t="s">
        <v>1259</v>
      </c>
      <c r="G534">
        <v>440</v>
      </c>
      <c r="H534" t="s">
        <v>69</v>
      </c>
      <c r="I534" t="s">
        <v>259</v>
      </c>
      <c r="J534" s="10" t="str">
        <f>VLOOKUP(I534,Categories!A:B,2,FALSE)</f>
        <v xml:space="preserve">Team BOT</v>
      </c>
      <c r="K534" t="s">
        <v>123</v>
      </c>
      <c r="L534" s="10" t="str">
        <f>VLOOKUP(K534,Accounts!A:B,2,FALSE)</f>
        <v>KBank</v>
      </c>
      <c r="M534" t="s">
        <v>124</v>
      </c>
      <c r="N534" s="10"/>
      <c r="O534" t="s">
        <v>1260</v>
      </c>
      <c r="Q534" t="s">
        <v>126</v>
      </c>
      <c r="R534" t="s">
        <v>124</v>
      </c>
      <c r="S534" t="b">
        <v>0</v>
      </c>
      <c r="T534" t="s">
        <v>124</v>
      </c>
    </row>
    <row r="535">
      <c r="A535" t="s">
        <v>1261</v>
      </c>
      <c r="B535" t="s">
        <v>1262</v>
      </c>
      <c r="C535" s="2">
        <v>2024</v>
      </c>
      <c r="D535" s="10">
        <v>12</v>
      </c>
      <c r="E535" s="10">
        <v>22</v>
      </c>
      <c r="F535" t="s">
        <v>1064</v>
      </c>
      <c r="G535">
        <v>10000</v>
      </c>
      <c r="H535" t="s">
        <v>69</v>
      </c>
      <c r="I535" t="s">
        <v>144</v>
      </c>
      <c r="J535" s="10" t="str">
        <f>VLOOKUP(I535,Categories!A:B,2,FALSE)</f>
        <v xml:space="preserve">Family paid</v>
      </c>
      <c r="K535" t="s">
        <v>178</v>
      </c>
      <c r="L535" s="10" t="str">
        <f>VLOOKUP(K535,Accounts!A:B,2,FALSE)</f>
        <v>SCB</v>
      </c>
      <c r="M535" t="s">
        <v>124</v>
      </c>
      <c r="N535" s="10"/>
      <c r="O535" t="s">
        <v>1263</v>
      </c>
      <c r="Q535" t="s">
        <v>126</v>
      </c>
      <c r="R535" t="s">
        <v>124</v>
      </c>
      <c r="S535" t="b">
        <v>0</v>
      </c>
      <c r="T535" t="s">
        <v>124</v>
      </c>
    </row>
    <row r="536">
      <c r="A536" t="s">
        <v>1264</v>
      </c>
      <c r="B536" t="s">
        <v>1262</v>
      </c>
      <c r="C536" s="2">
        <v>2024</v>
      </c>
      <c r="D536" s="10">
        <v>12</v>
      </c>
      <c r="E536" s="10">
        <v>22</v>
      </c>
      <c r="F536" t="s">
        <v>1265</v>
      </c>
      <c r="G536">
        <v>5000</v>
      </c>
      <c r="H536" t="s">
        <v>69</v>
      </c>
      <c r="I536" t="s">
        <v>144</v>
      </c>
      <c r="J536" s="10" t="str">
        <f>VLOOKUP(I536,Categories!A:B,2,FALSE)</f>
        <v xml:space="preserve">Family paid</v>
      </c>
      <c r="K536" t="s">
        <v>178</v>
      </c>
      <c r="L536" s="10" t="str">
        <f>VLOOKUP(K536,Accounts!A:B,2,FALSE)</f>
        <v>SCB</v>
      </c>
      <c r="M536" t="s">
        <v>124</v>
      </c>
      <c r="N536" s="10"/>
      <c r="O536" t="s">
        <v>1266</v>
      </c>
      <c r="Q536" t="s">
        <v>126</v>
      </c>
      <c r="R536" t="s">
        <v>124</v>
      </c>
      <c r="S536" t="b">
        <v>0</v>
      </c>
      <c r="T536" t="s">
        <v>124</v>
      </c>
    </row>
    <row r="537">
      <c r="A537" t="s">
        <v>1267</v>
      </c>
      <c r="B537" t="s">
        <v>1268</v>
      </c>
      <c r="C537" s="2">
        <v>2024</v>
      </c>
      <c r="D537" s="10">
        <v>12</v>
      </c>
      <c r="E537" s="10">
        <v>21</v>
      </c>
      <c r="F537" t="s">
        <v>1269</v>
      </c>
      <c r="G537">
        <v>455</v>
      </c>
      <c r="H537" t="s">
        <v>69</v>
      </c>
      <c r="I537" t="s">
        <v>150</v>
      </c>
      <c r="J537" s="10" t="str">
        <f>VLOOKUP(I537,Categories!A:B,2,FALSE)</f>
        <v xml:space="preserve">Food &amp; Coff</v>
      </c>
      <c r="K537" t="s">
        <v>123</v>
      </c>
      <c r="L537" s="10" t="str">
        <f>VLOOKUP(K537,Accounts!A:B,2,FALSE)</f>
        <v>KBank</v>
      </c>
      <c r="M537" t="s">
        <v>124</v>
      </c>
      <c r="N537" s="10"/>
      <c r="O537" t="s">
        <v>125</v>
      </c>
      <c r="Q537" t="s">
        <v>126</v>
      </c>
      <c r="R537" t="s">
        <v>124</v>
      </c>
      <c r="S537" t="b">
        <v>0</v>
      </c>
      <c r="T537" t="s">
        <v>124</v>
      </c>
    </row>
    <row r="538">
      <c r="A538" t="s">
        <v>1270</v>
      </c>
      <c r="B538" t="s">
        <v>1268</v>
      </c>
      <c r="C538" s="2">
        <v>2024</v>
      </c>
      <c r="D538" s="10">
        <v>12</v>
      </c>
      <c r="E538" s="10">
        <v>21</v>
      </c>
      <c r="F538" t="s">
        <v>1271</v>
      </c>
      <c r="G538">
        <v>276.75</v>
      </c>
      <c r="H538" t="s">
        <v>69</v>
      </c>
      <c r="I538" t="s">
        <v>150</v>
      </c>
      <c r="J538" s="10" t="str">
        <f>VLOOKUP(I538,Categories!A:B,2,FALSE)</f>
        <v xml:space="preserve">Food &amp; Coff</v>
      </c>
      <c r="K538" t="s">
        <v>123</v>
      </c>
      <c r="L538" s="10" t="str">
        <f>VLOOKUP(K538,Accounts!A:B,2,FALSE)</f>
        <v>KBank</v>
      </c>
      <c r="M538" t="s">
        <v>124</v>
      </c>
      <c r="N538" s="10"/>
      <c r="O538" t="s">
        <v>1272</v>
      </c>
      <c r="Q538" t="s">
        <v>126</v>
      </c>
      <c r="R538" t="s">
        <v>124</v>
      </c>
      <c r="S538" t="b">
        <v>0</v>
      </c>
      <c r="T538" t="s">
        <v>124</v>
      </c>
    </row>
    <row r="539">
      <c r="A539" t="s">
        <v>1273</v>
      </c>
      <c r="B539" t="s">
        <v>1274</v>
      </c>
      <c r="C539" s="2">
        <v>2024</v>
      </c>
      <c r="D539" s="10">
        <v>12</v>
      </c>
      <c r="E539" s="10">
        <v>20</v>
      </c>
      <c r="F539" t="s">
        <v>1275</v>
      </c>
      <c r="G539">
        <v>376.36000000000001</v>
      </c>
      <c r="H539" t="s">
        <v>206</v>
      </c>
      <c r="I539" t="s">
        <v>531</v>
      </c>
      <c r="J539" s="10" t="str">
        <f>VLOOKUP(I539,Categories!A:B,2,FALSE)</f>
        <v>Dividends</v>
      </c>
      <c r="K539" t="s">
        <v>123</v>
      </c>
      <c r="L539" s="10" t="str">
        <f>VLOOKUP(K539,Accounts!A:B,2,FALSE)</f>
        <v>KBank</v>
      </c>
      <c r="M539" t="s">
        <v>124</v>
      </c>
      <c r="N539" s="10"/>
      <c r="O539" t="s">
        <v>125</v>
      </c>
      <c r="Q539" t="s">
        <v>126</v>
      </c>
      <c r="R539" t="s">
        <v>124</v>
      </c>
      <c r="S539" t="b">
        <v>0</v>
      </c>
      <c r="T539" t="s">
        <v>124</v>
      </c>
    </row>
    <row r="540">
      <c r="A540" t="s">
        <v>1276</v>
      </c>
      <c r="B540" t="s">
        <v>1277</v>
      </c>
      <c r="C540" s="2">
        <v>2024</v>
      </c>
      <c r="D540" s="10">
        <v>12</v>
      </c>
      <c r="E540" s="10">
        <v>19</v>
      </c>
      <c r="F540" t="s">
        <v>1278</v>
      </c>
      <c r="G540">
        <v>2152</v>
      </c>
      <c r="H540" t="s">
        <v>69</v>
      </c>
      <c r="I540" t="s">
        <v>259</v>
      </c>
      <c r="J540" s="10" t="str">
        <f>VLOOKUP(I540,Categories!A:B,2,FALSE)</f>
        <v xml:space="preserve">Team BOT</v>
      </c>
      <c r="K540" t="s">
        <v>123</v>
      </c>
      <c r="L540" s="10" t="str">
        <f>VLOOKUP(K540,Accounts!A:B,2,FALSE)</f>
        <v>KBank</v>
      </c>
      <c r="M540" t="s">
        <v>124</v>
      </c>
      <c r="N540" s="10"/>
      <c r="O540" t="s">
        <v>125</v>
      </c>
      <c r="Q540" t="s">
        <v>126</v>
      </c>
      <c r="R540" t="s">
        <v>124</v>
      </c>
      <c r="S540" t="b">
        <v>0</v>
      </c>
      <c r="T540" t="s">
        <v>124</v>
      </c>
    </row>
    <row r="541">
      <c r="A541" t="s">
        <v>1279</v>
      </c>
      <c r="B541" t="s">
        <v>1280</v>
      </c>
      <c r="C541" s="2">
        <v>2024</v>
      </c>
      <c r="D541" s="10">
        <v>12</v>
      </c>
      <c r="E541" s="10">
        <v>12</v>
      </c>
      <c r="F541" t="s">
        <v>1281</v>
      </c>
      <c r="G541">
        <v>200</v>
      </c>
      <c r="H541" t="s">
        <v>69</v>
      </c>
      <c r="I541" t="s">
        <v>150</v>
      </c>
      <c r="J541" s="10" t="str">
        <f>VLOOKUP(I541,Categories!A:B,2,FALSE)</f>
        <v xml:space="preserve">Food &amp; Coff</v>
      </c>
      <c r="K541" t="s">
        <v>123</v>
      </c>
      <c r="L541" s="10" t="str">
        <f>VLOOKUP(K541,Accounts!A:B,2,FALSE)</f>
        <v>KBank</v>
      </c>
      <c r="M541" t="s">
        <v>124</v>
      </c>
      <c r="N541" s="10"/>
      <c r="O541" t="s">
        <v>125</v>
      </c>
      <c r="Q541" t="s">
        <v>126</v>
      </c>
      <c r="R541" t="s">
        <v>124</v>
      </c>
      <c r="S541" t="b">
        <v>0</v>
      </c>
      <c r="T541" t="s">
        <v>124</v>
      </c>
    </row>
    <row r="542">
      <c r="A542" t="s">
        <v>1282</v>
      </c>
      <c r="B542" t="s">
        <v>1283</v>
      </c>
      <c r="C542" s="2">
        <v>2024</v>
      </c>
      <c r="D542" s="10">
        <v>12</v>
      </c>
      <c r="E542" s="10">
        <v>10</v>
      </c>
      <c r="F542" t="s">
        <v>1278</v>
      </c>
      <c r="G542">
        <v>2890</v>
      </c>
      <c r="H542" t="s">
        <v>128</v>
      </c>
      <c r="I542" t="s">
        <v>136</v>
      </c>
      <c r="J542" s="10" t="str">
        <f>VLOOKUP(I542,Categories!A:B,2,FALSE)</f>
        <v>อื่นๆ</v>
      </c>
      <c r="K542" t="s">
        <v>123</v>
      </c>
      <c r="L542" s="10" t="str">
        <f>VLOOKUP(K542,Accounts!A:B,2,FALSE)</f>
        <v>KBank</v>
      </c>
      <c r="M542" t="s">
        <v>743</v>
      </c>
      <c r="N542" s="10" t="str">
        <f>VLOOKUP(M542,Accounts!A:B,2,FALSE)</f>
        <v>HOMEPRO</v>
      </c>
      <c r="O542" t="s">
        <v>125</v>
      </c>
      <c r="Q542" t="s">
        <v>126</v>
      </c>
      <c r="R542" t="s">
        <v>124</v>
      </c>
      <c r="S542" t="b">
        <v>0</v>
      </c>
      <c r="T542" t="s">
        <v>124</v>
      </c>
    </row>
    <row r="543">
      <c r="A543" t="s">
        <v>1284</v>
      </c>
      <c r="B543" t="s">
        <v>1283</v>
      </c>
      <c r="C543" s="2">
        <v>2024</v>
      </c>
      <c r="D543" s="10">
        <v>12</v>
      </c>
      <c r="E543" s="10">
        <v>10</v>
      </c>
      <c r="F543" t="s">
        <v>234</v>
      </c>
      <c r="G543">
        <v>2890</v>
      </c>
      <c r="H543" t="s">
        <v>69</v>
      </c>
      <c r="I543" t="s">
        <v>141</v>
      </c>
      <c r="J543" s="10" t="str">
        <f>VLOOKUP(I543,Categories!A:B,2,FALSE)</f>
        <v>Other</v>
      </c>
      <c r="K543" t="s">
        <v>743</v>
      </c>
      <c r="L543" s="10" t="str">
        <f>VLOOKUP(K543,Accounts!A:B,2,FALSE)</f>
        <v>HOMEPRO</v>
      </c>
      <c r="M543" t="s">
        <v>124</v>
      </c>
      <c r="N543" s="10"/>
      <c r="O543" t="s">
        <v>1285</v>
      </c>
      <c r="Q543" t="s">
        <v>126</v>
      </c>
      <c r="R543" t="s">
        <v>124</v>
      </c>
      <c r="S543" t="b">
        <v>0</v>
      </c>
      <c r="T543" t="s">
        <v>124</v>
      </c>
    </row>
    <row r="544">
      <c r="A544" t="s">
        <v>1286</v>
      </c>
      <c r="B544" t="s">
        <v>1287</v>
      </c>
      <c r="C544" s="2">
        <v>2024</v>
      </c>
      <c r="D544" s="10">
        <v>12</v>
      </c>
      <c r="E544" s="10">
        <v>7</v>
      </c>
      <c r="F544" t="s">
        <v>1288</v>
      </c>
      <c r="G544">
        <v>1395</v>
      </c>
      <c r="H544" t="s">
        <v>69</v>
      </c>
      <c r="I544" t="s">
        <v>338</v>
      </c>
      <c r="J544" s="10" t="str">
        <f>VLOOKUP(I544,Categories!A:B,2,FALSE)</f>
        <v>Trips</v>
      </c>
      <c r="K544" t="s">
        <v>123</v>
      </c>
      <c r="L544" s="10" t="str">
        <f>VLOOKUP(K544,Accounts!A:B,2,FALSE)</f>
        <v>KBank</v>
      </c>
      <c r="M544" t="s">
        <v>124</v>
      </c>
      <c r="N544" s="10"/>
      <c r="O544" t="s">
        <v>1289</v>
      </c>
      <c r="Q544" t="s">
        <v>126</v>
      </c>
      <c r="R544" t="s">
        <v>124</v>
      </c>
      <c r="S544" t="b">
        <v>0</v>
      </c>
      <c r="T544" t="s">
        <v>124</v>
      </c>
    </row>
    <row r="545">
      <c r="A545" t="s">
        <v>1290</v>
      </c>
      <c r="B545" t="s">
        <v>1291</v>
      </c>
      <c r="C545" s="2">
        <v>2024</v>
      </c>
      <c r="D545" s="10">
        <v>12</v>
      </c>
      <c r="E545" s="10">
        <v>6</v>
      </c>
      <c r="F545" t="s">
        <v>1281</v>
      </c>
      <c r="G545">
        <v>60</v>
      </c>
      <c r="H545" t="s">
        <v>69</v>
      </c>
      <c r="I545" t="s">
        <v>150</v>
      </c>
      <c r="J545" s="10" t="str">
        <f>VLOOKUP(I545,Categories!A:B,2,FALSE)</f>
        <v xml:space="preserve">Food &amp; Coff</v>
      </c>
      <c r="K545" t="s">
        <v>123</v>
      </c>
      <c r="L545" s="10" t="str">
        <f>VLOOKUP(K545,Accounts!A:B,2,FALSE)</f>
        <v>KBank</v>
      </c>
      <c r="M545" t="s">
        <v>124</v>
      </c>
      <c r="N545" s="10"/>
      <c r="O545" t="s">
        <v>125</v>
      </c>
      <c r="Q545" t="s">
        <v>126</v>
      </c>
      <c r="R545" t="s">
        <v>124</v>
      </c>
      <c r="S545" t="b">
        <v>0</v>
      </c>
      <c r="T545" t="s">
        <v>124</v>
      </c>
    </row>
    <row r="546">
      <c r="A546" t="s">
        <v>1292</v>
      </c>
      <c r="B546" t="s">
        <v>1293</v>
      </c>
      <c r="C546" s="2">
        <v>2024</v>
      </c>
      <c r="D546" s="10">
        <v>12</v>
      </c>
      <c r="E546" s="10">
        <v>5</v>
      </c>
      <c r="F546" t="s">
        <v>1294</v>
      </c>
      <c r="G546">
        <v>7209.5</v>
      </c>
      <c r="H546" t="s">
        <v>69</v>
      </c>
      <c r="I546" t="s">
        <v>139</v>
      </c>
      <c r="J546" s="10" t="str">
        <f>VLOOKUP(I546,Categories!A:B,2,FALSE)</f>
        <v>Condo</v>
      </c>
      <c r="K546" t="s">
        <v>123</v>
      </c>
      <c r="L546" s="10" t="str">
        <f>VLOOKUP(K546,Accounts!A:B,2,FALSE)</f>
        <v>KBank</v>
      </c>
      <c r="M546" t="s">
        <v>124</v>
      </c>
      <c r="N546" s="10"/>
      <c r="O546" t="s">
        <v>125</v>
      </c>
      <c r="Q546" t="s">
        <v>126</v>
      </c>
      <c r="R546" t="s">
        <v>124</v>
      </c>
      <c r="S546" t="b">
        <v>0</v>
      </c>
      <c r="T546" t="s">
        <v>124</v>
      </c>
    </row>
    <row r="547">
      <c r="A547" t="s">
        <v>1295</v>
      </c>
      <c r="B547" t="s">
        <v>1293</v>
      </c>
      <c r="C547" s="2">
        <v>2024</v>
      </c>
      <c r="D547" s="10">
        <v>12</v>
      </c>
      <c r="E547" s="10">
        <v>5</v>
      </c>
      <c r="F547" t="s">
        <v>1294</v>
      </c>
      <c r="G547">
        <v>19000</v>
      </c>
      <c r="H547" t="s">
        <v>69</v>
      </c>
      <c r="I547" t="s">
        <v>134</v>
      </c>
      <c r="J547" s="10" t="str">
        <f>VLOOKUP(I547,Categories!A:B,2,FALSE)</f>
        <v>Hong</v>
      </c>
      <c r="K547" t="s">
        <v>123</v>
      </c>
      <c r="L547" s="10" t="str">
        <f>VLOOKUP(K547,Accounts!A:B,2,FALSE)</f>
        <v>KBank</v>
      </c>
      <c r="M547" t="s">
        <v>124</v>
      </c>
      <c r="N547" s="10"/>
      <c r="O547" t="s">
        <v>125</v>
      </c>
      <c r="Q547" t="s">
        <v>126</v>
      </c>
      <c r="R547" t="s">
        <v>124</v>
      </c>
      <c r="S547" t="b">
        <v>0</v>
      </c>
      <c r="T547" t="s">
        <v>124</v>
      </c>
    </row>
    <row r="548">
      <c r="A548" t="s">
        <v>1296</v>
      </c>
      <c r="B548" t="s">
        <v>1293</v>
      </c>
      <c r="C548" s="2">
        <v>2024</v>
      </c>
      <c r="D548" s="10">
        <v>12</v>
      </c>
      <c r="E548" s="10">
        <v>5</v>
      </c>
      <c r="F548" t="s">
        <v>1294</v>
      </c>
      <c r="G548">
        <v>15000</v>
      </c>
      <c r="H548" t="s">
        <v>69</v>
      </c>
      <c r="I548" t="s">
        <v>134</v>
      </c>
      <c r="J548" s="10" t="str">
        <f>VLOOKUP(I548,Categories!A:B,2,FALSE)</f>
        <v>Hong</v>
      </c>
      <c r="K548" t="s">
        <v>123</v>
      </c>
      <c r="L548" s="10" t="str">
        <f>VLOOKUP(K548,Accounts!A:B,2,FALSE)</f>
        <v>KBank</v>
      </c>
      <c r="M548" t="s">
        <v>124</v>
      </c>
      <c r="N548" s="10"/>
      <c r="O548" t="s">
        <v>1297</v>
      </c>
      <c r="Q548" t="s">
        <v>126</v>
      </c>
      <c r="R548" t="s">
        <v>124</v>
      </c>
      <c r="S548" t="b">
        <v>0</v>
      </c>
      <c r="T548" t="s">
        <v>124</v>
      </c>
    </row>
    <row r="549">
      <c r="A549" t="s">
        <v>1298</v>
      </c>
      <c r="B549" t="s">
        <v>1293</v>
      </c>
      <c r="C549" s="2">
        <v>2024</v>
      </c>
      <c r="D549" s="10">
        <v>12</v>
      </c>
      <c r="E549" s="10">
        <v>5</v>
      </c>
      <c r="F549" t="s">
        <v>1299</v>
      </c>
      <c r="G549">
        <v>732</v>
      </c>
      <c r="H549" t="s">
        <v>128</v>
      </c>
      <c r="I549" t="s">
        <v>136</v>
      </c>
      <c r="J549" s="10" t="str">
        <f>VLOOKUP(I549,Categories!A:B,2,FALSE)</f>
        <v>อื่นๆ</v>
      </c>
      <c r="K549" t="s">
        <v>131</v>
      </c>
      <c r="L549" s="10" t="str">
        <f>VLOOKUP(K549,Accounts!A:B,2,FALSE)</f>
        <v xml:space="preserve">Advance Paid</v>
      </c>
      <c r="M549" t="s">
        <v>178</v>
      </c>
      <c r="N549" s="10" t="str">
        <f>VLOOKUP(M549,Accounts!A:B,2,FALSE)</f>
        <v>SCB</v>
      </c>
      <c r="O549" t="s">
        <v>125</v>
      </c>
      <c r="Q549" t="s">
        <v>126</v>
      </c>
      <c r="R549" t="s">
        <v>124</v>
      </c>
      <c r="S549" t="b">
        <v>0</v>
      </c>
      <c r="T549" t="s">
        <v>124</v>
      </c>
    </row>
    <row r="550">
      <c r="A550" t="s">
        <v>1300</v>
      </c>
      <c r="B550" t="s">
        <v>57</v>
      </c>
      <c r="C550" s="2">
        <v>2024</v>
      </c>
      <c r="D550" s="10">
        <v>12</v>
      </c>
      <c r="E550" s="10">
        <v>2</v>
      </c>
      <c r="F550" t="s">
        <v>1301</v>
      </c>
      <c r="G550">
        <v>30000</v>
      </c>
      <c r="H550" t="s">
        <v>128</v>
      </c>
      <c r="I550" t="s">
        <v>136</v>
      </c>
      <c r="J550" s="10" t="str">
        <f>VLOOKUP(I550,Categories!A:B,2,FALSE)</f>
        <v>อื่นๆ</v>
      </c>
      <c r="K550" t="s">
        <v>123</v>
      </c>
      <c r="L550" s="10" t="str">
        <f>VLOOKUP(K550,Accounts!A:B,2,FALSE)</f>
        <v>KBank</v>
      </c>
      <c r="M550" t="s">
        <v>215</v>
      </c>
      <c r="N550" s="10" t="str">
        <f>VLOOKUP(M550,Accounts!A:B,2,FALSE)</f>
        <v>Investment</v>
      </c>
      <c r="O550" t="s">
        <v>125</v>
      </c>
      <c r="Q550" t="s">
        <v>126</v>
      </c>
      <c r="R550" t="s">
        <v>124</v>
      </c>
      <c r="S550" t="b">
        <v>0</v>
      </c>
      <c r="T550" t="s">
        <v>124</v>
      </c>
    </row>
    <row r="551">
      <c r="A551" t="s">
        <v>1302</v>
      </c>
      <c r="B551" t="s">
        <v>1303</v>
      </c>
      <c r="C551" s="2">
        <v>2024</v>
      </c>
      <c r="D551" s="10">
        <v>12</v>
      </c>
      <c r="E551" s="10">
        <v>1</v>
      </c>
      <c r="F551" t="s">
        <v>149</v>
      </c>
      <c r="G551">
        <v>27.010000000000002</v>
      </c>
      <c r="H551" t="s">
        <v>69</v>
      </c>
      <c r="I551" t="s">
        <v>254</v>
      </c>
      <c r="J551" s="10" t="str">
        <f>VLOOKUP(I551,Categories!A:B,2,FALSE)</f>
        <v xml:space="preserve">Modified Bal.</v>
      </c>
      <c r="K551" t="s">
        <v>766</v>
      </c>
      <c r="L551" s="10" t="str">
        <f>VLOOKUP(K551,Accounts!A:B,2,FALSE)</f>
        <v>KRUNGSRI</v>
      </c>
      <c r="M551" t="s">
        <v>124</v>
      </c>
      <c r="N551" s="10"/>
      <c r="O551" t="s">
        <v>255</v>
      </c>
      <c r="Q551" t="s">
        <v>126</v>
      </c>
      <c r="R551" t="s">
        <v>124</v>
      </c>
      <c r="S551" t="b">
        <v>0</v>
      </c>
      <c r="T551" t="s">
        <v>124</v>
      </c>
    </row>
    <row r="552">
      <c r="A552" t="s">
        <v>1304</v>
      </c>
      <c r="B552" t="s">
        <v>1303</v>
      </c>
      <c r="C552" s="2">
        <v>2024</v>
      </c>
      <c r="D552" s="10">
        <v>12</v>
      </c>
      <c r="E552" s="10">
        <v>1</v>
      </c>
      <c r="F552" t="s">
        <v>159</v>
      </c>
      <c r="G552">
        <v>7590</v>
      </c>
      <c r="H552" t="s">
        <v>128</v>
      </c>
      <c r="I552" t="s">
        <v>136</v>
      </c>
      <c r="J552" s="10" t="str">
        <f>VLOOKUP(I552,Categories!A:B,2,FALSE)</f>
        <v>อื่นๆ</v>
      </c>
      <c r="K552" t="s">
        <v>131</v>
      </c>
      <c r="L552" s="10" t="str">
        <f>VLOOKUP(K552,Accounts!A:B,2,FALSE)</f>
        <v xml:space="preserve">Advance Paid</v>
      </c>
      <c r="M552" t="s">
        <v>123</v>
      </c>
      <c r="N552" s="10" t="str">
        <f>VLOOKUP(M552,Accounts!A:B,2,FALSE)</f>
        <v>KBank</v>
      </c>
      <c r="O552" t="s">
        <v>125</v>
      </c>
      <c r="Q552" t="s">
        <v>126</v>
      </c>
      <c r="R552" t="s">
        <v>124</v>
      </c>
      <c r="S552" t="b">
        <v>0</v>
      </c>
      <c r="T552" t="s">
        <v>124</v>
      </c>
    </row>
    <row r="553">
      <c r="A553" t="s">
        <v>1305</v>
      </c>
      <c r="B553" t="s">
        <v>1303</v>
      </c>
      <c r="C553" s="2">
        <v>2024</v>
      </c>
      <c r="D553" s="10">
        <v>12</v>
      </c>
      <c r="E553" s="10">
        <v>1</v>
      </c>
      <c r="F553" t="s">
        <v>1306</v>
      </c>
      <c r="G553">
        <v>138401.53</v>
      </c>
      <c r="H553" t="s">
        <v>69</v>
      </c>
      <c r="I553" t="s">
        <v>254</v>
      </c>
      <c r="J553" s="10" t="str">
        <f>VLOOKUP(I553,Categories!A:B,2,FALSE)</f>
        <v xml:space="preserve">Modified Bal.</v>
      </c>
      <c r="K553" t="s">
        <v>855</v>
      </c>
      <c r="L553" s="10" t="str">
        <f>VLOOKUP(K553,Accounts!A:B,2,FALSE)</f>
        <v xml:space="preserve">Travelcard JPY</v>
      </c>
      <c r="M553" t="s">
        <v>124</v>
      </c>
      <c r="N553" s="10"/>
      <c r="O553" t="s">
        <v>255</v>
      </c>
      <c r="Q553" t="s">
        <v>126</v>
      </c>
      <c r="R553" t="s">
        <v>124</v>
      </c>
      <c r="S553" t="b">
        <v>0</v>
      </c>
      <c r="T553" t="s">
        <v>124</v>
      </c>
    </row>
    <row r="554">
      <c r="A554" t="s">
        <v>1307</v>
      </c>
      <c r="B554" t="s">
        <v>1303</v>
      </c>
      <c r="C554" s="2">
        <v>2024</v>
      </c>
      <c r="D554" s="10">
        <v>12</v>
      </c>
      <c r="E554" s="10">
        <v>1</v>
      </c>
      <c r="F554" t="s">
        <v>869</v>
      </c>
      <c r="G554">
        <v>131</v>
      </c>
      <c r="H554" t="s">
        <v>206</v>
      </c>
      <c r="I554" t="s">
        <v>254</v>
      </c>
      <c r="J554" s="10" t="str">
        <f>VLOOKUP(I554,Categories!A:B,2,FALSE)</f>
        <v xml:space="preserve">Modified Bal.</v>
      </c>
      <c r="K554" t="s">
        <v>1308</v>
      </c>
      <c r="L554" s="10" t="str">
        <f>VLOOKUP(K554,Accounts!A:B,2,FALSE)</f>
        <v xml:space="preserve">UOB Privilages</v>
      </c>
      <c r="M554" t="s">
        <v>124</v>
      </c>
      <c r="N554" s="10"/>
      <c r="O554" t="s">
        <v>255</v>
      </c>
      <c r="Q554" t="s">
        <v>126</v>
      </c>
      <c r="R554" t="s">
        <v>124</v>
      </c>
      <c r="S554" t="b">
        <v>0</v>
      </c>
      <c r="T554" t="s">
        <v>124</v>
      </c>
    </row>
    <row r="555">
      <c r="A555" t="s">
        <v>1309</v>
      </c>
      <c r="B555" t="s">
        <v>1303</v>
      </c>
      <c r="C555" s="2">
        <v>2024</v>
      </c>
      <c r="D555" s="10">
        <v>12</v>
      </c>
      <c r="E555" s="10">
        <v>1</v>
      </c>
      <c r="F555" t="s">
        <v>1310</v>
      </c>
      <c r="G555">
        <v>1430</v>
      </c>
      <c r="H555" t="s">
        <v>206</v>
      </c>
      <c r="I555" t="s">
        <v>254</v>
      </c>
      <c r="J555" s="10" t="str">
        <f>VLOOKUP(I555,Categories!A:B,2,FALSE)</f>
        <v xml:space="preserve">Modified Bal.</v>
      </c>
      <c r="K555" t="s">
        <v>1311</v>
      </c>
      <c r="L555" s="10" t="str">
        <f>VLOOKUP(K555,Accounts!A:B,2,FALSE)</f>
        <v xml:space="preserve">Netflix in Adv</v>
      </c>
      <c r="M555" t="s">
        <v>124</v>
      </c>
      <c r="N555" s="10"/>
      <c r="O555" t="s">
        <v>255</v>
      </c>
      <c r="Q555" t="s">
        <v>126</v>
      </c>
      <c r="R555" t="s">
        <v>124</v>
      </c>
      <c r="S555" t="b">
        <v>0</v>
      </c>
      <c r="T555" t="s">
        <v>124</v>
      </c>
    </row>
    <row r="556">
      <c r="A556" t="s">
        <v>1312</v>
      </c>
      <c r="B556" t="s">
        <v>1303</v>
      </c>
      <c r="C556" s="2">
        <v>2024</v>
      </c>
      <c r="D556" s="10">
        <v>12</v>
      </c>
      <c r="E556" s="10">
        <v>1</v>
      </c>
      <c r="F556" t="s">
        <v>1310</v>
      </c>
      <c r="G556">
        <v>100</v>
      </c>
      <c r="H556" t="s">
        <v>206</v>
      </c>
      <c r="I556" t="s">
        <v>254</v>
      </c>
      <c r="J556" s="10" t="str">
        <f>VLOOKUP(I556,Categories!A:B,2,FALSE)</f>
        <v xml:space="preserve">Modified Bal.</v>
      </c>
      <c r="K556" t="s">
        <v>1313</v>
      </c>
      <c r="L556" s="10" t="str">
        <f>VLOOKUP(K556,Accounts!A:B,2,FALSE)</f>
        <v>Starbucks</v>
      </c>
      <c r="M556" t="s">
        <v>124</v>
      </c>
      <c r="N556" s="10"/>
      <c r="O556" t="s">
        <v>255</v>
      </c>
      <c r="Q556" t="s">
        <v>126</v>
      </c>
      <c r="R556" t="s">
        <v>124</v>
      </c>
      <c r="S556" t="b">
        <v>0</v>
      </c>
      <c r="T556" t="s">
        <v>124</v>
      </c>
    </row>
    <row r="557">
      <c r="A557" t="s">
        <v>1314</v>
      </c>
      <c r="B557" t="s">
        <v>1303</v>
      </c>
      <c r="C557" s="2">
        <v>2024</v>
      </c>
      <c r="D557" s="10">
        <v>12</v>
      </c>
      <c r="E557" s="10">
        <v>1</v>
      </c>
      <c r="F557" t="s">
        <v>1310</v>
      </c>
      <c r="G557">
        <v>1430</v>
      </c>
      <c r="H557" t="s">
        <v>206</v>
      </c>
      <c r="I557" t="s">
        <v>254</v>
      </c>
      <c r="J557" s="10" t="str">
        <f>VLOOKUP(I557,Categories!A:B,2,FALSE)</f>
        <v xml:space="preserve">Modified Bal.</v>
      </c>
      <c r="K557" t="s">
        <v>1315</v>
      </c>
      <c r="L557" s="10" t="str">
        <f>VLOOKUP(K557,Accounts!A:B,2,FALSE)</f>
        <v xml:space="preserve">Netflix in advance</v>
      </c>
      <c r="M557" t="s">
        <v>124</v>
      </c>
      <c r="N557" s="10"/>
      <c r="O557" t="s">
        <v>255</v>
      </c>
      <c r="Q557" t="s">
        <v>126</v>
      </c>
      <c r="R557" t="s">
        <v>124</v>
      </c>
      <c r="S557" t="b">
        <v>0</v>
      </c>
      <c r="T557" t="s">
        <v>124</v>
      </c>
    </row>
    <row r="558">
      <c r="A558" t="s">
        <v>1316</v>
      </c>
      <c r="B558" t="s">
        <v>1317</v>
      </c>
      <c r="C558" s="2">
        <v>2024</v>
      </c>
      <c r="D558" s="10">
        <v>11</v>
      </c>
      <c r="E558" s="10">
        <v>30</v>
      </c>
      <c r="F558" t="s">
        <v>1318</v>
      </c>
      <c r="G558">
        <v>399</v>
      </c>
      <c r="H558" t="s">
        <v>69</v>
      </c>
      <c r="I558" t="s">
        <v>155</v>
      </c>
      <c r="J558" s="10" t="str">
        <f>VLOOKUP(I558,Categories!A:B,2,FALSE)</f>
        <v>Gashapon</v>
      </c>
      <c r="K558" t="s">
        <v>123</v>
      </c>
      <c r="L558" s="10" t="str">
        <f>VLOOKUP(K558,Accounts!A:B,2,FALSE)</f>
        <v>KBank</v>
      </c>
      <c r="M558" t="s">
        <v>124</v>
      </c>
      <c r="N558" s="10"/>
      <c r="O558" t="s">
        <v>125</v>
      </c>
      <c r="Q558" t="s">
        <v>126</v>
      </c>
      <c r="R558" t="s">
        <v>124</v>
      </c>
      <c r="S558" t="b">
        <v>0</v>
      </c>
      <c r="T558" t="s">
        <v>124</v>
      </c>
    </row>
    <row r="559">
      <c r="A559" t="s">
        <v>1319</v>
      </c>
      <c r="B559" t="s">
        <v>1317</v>
      </c>
      <c r="C559" s="2">
        <v>2024</v>
      </c>
      <c r="D559" s="10">
        <v>11</v>
      </c>
      <c r="E559" s="10">
        <v>30</v>
      </c>
      <c r="F559" t="s">
        <v>882</v>
      </c>
      <c r="G559">
        <v>3044</v>
      </c>
      <c r="H559" t="s">
        <v>69</v>
      </c>
      <c r="I559" t="s">
        <v>150</v>
      </c>
      <c r="J559" s="10" t="str">
        <f>VLOOKUP(I559,Categories!A:B,2,FALSE)</f>
        <v xml:space="preserve">Food &amp; Coff</v>
      </c>
      <c r="K559" t="s">
        <v>123</v>
      </c>
      <c r="L559" s="10" t="str">
        <f>VLOOKUP(K559,Accounts!A:B,2,FALSE)</f>
        <v>KBank</v>
      </c>
      <c r="M559" t="s">
        <v>124</v>
      </c>
      <c r="N559" s="10"/>
      <c r="O559" t="s">
        <v>125</v>
      </c>
      <c r="Q559" t="s">
        <v>126</v>
      </c>
      <c r="R559" t="s">
        <v>124</v>
      </c>
      <c r="S559" t="b">
        <v>0</v>
      </c>
      <c r="T559" t="s">
        <v>124</v>
      </c>
    </row>
    <row r="560">
      <c r="A560" t="s">
        <v>1320</v>
      </c>
      <c r="B560" t="s">
        <v>56</v>
      </c>
      <c r="C560" s="2">
        <v>2024</v>
      </c>
      <c r="D560" s="10">
        <v>11</v>
      </c>
      <c r="E560" s="10">
        <v>26</v>
      </c>
      <c r="F560" t="s">
        <v>121</v>
      </c>
      <c r="G560">
        <v>30000</v>
      </c>
      <c r="H560" t="s">
        <v>128</v>
      </c>
      <c r="I560" t="s">
        <v>136</v>
      </c>
      <c r="J560" s="10" t="str">
        <f>VLOOKUP(I560,Categories!A:B,2,FALSE)</f>
        <v>อื่นๆ</v>
      </c>
      <c r="K560" t="s">
        <v>123</v>
      </c>
      <c r="L560" s="10" t="str">
        <f>VLOOKUP(K560,Accounts!A:B,2,FALSE)</f>
        <v>KBank</v>
      </c>
      <c r="M560" t="s">
        <v>215</v>
      </c>
      <c r="N560" s="10" t="str">
        <f>VLOOKUP(M560,Accounts!A:B,2,FALSE)</f>
        <v>Investment</v>
      </c>
      <c r="O560" t="s">
        <v>125</v>
      </c>
      <c r="Q560" t="s">
        <v>126</v>
      </c>
      <c r="R560" t="s">
        <v>124</v>
      </c>
      <c r="S560" t="b">
        <v>0</v>
      </c>
      <c r="T560" t="s">
        <v>124</v>
      </c>
    </row>
    <row r="561">
      <c r="A561" t="s">
        <v>1321</v>
      </c>
      <c r="B561" t="s">
        <v>1322</v>
      </c>
      <c r="C561" s="2">
        <v>2024</v>
      </c>
      <c r="D561" s="10">
        <v>11</v>
      </c>
      <c r="E561" s="10">
        <v>25</v>
      </c>
      <c r="F561" t="s">
        <v>121</v>
      </c>
      <c r="G561">
        <v>236.28</v>
      </c>
      <c r="H561" t="s">
        <v>69</v>
      </c>
      <c r="I561" t="s">
        <v>443</v>
      </c>
      <c r="J561" s="10" t="str">
        <f>VLOOKUP(I561,Categories!A:B,2,FALSE)</f>
        <v xml:space="preserve">City SV Interest</v>
      </c>
      <c r="K561" t="s">
        <v>123</v>
      </c>
      <c r="L561" s="10" t="str">
        <f>VLOOKUP(K561,Accounts!A:B,2,FALSE)</f>
        <v>KBank</v>
      </c>
      <c r="M561" t="s">
        <v>124</v>
      </c>
      <c r="N561" s="10"/>
      <c r="O561" t="s">
        <v>125</v>
      </c>
      <c r="Q561" t="s">
        <v>126</v>
      </c>
      <c r="R561" t="s">
        <v>124</v>
      </c>
      <c r="S561" t="b">
        <v>0</v>
      </c>
      <c r="T561" t="s">
        <v>124</v>
      </c>
    </row>
    <row r="562">
      <c r="A562" t="s">
        <v>1323</v>
      </c>
      <c r="B562" t="s">
        <v>1322</v>
      </c>
      <c r="C562" s="2">
        <v>2024</v>
      </c>
      <c r="D562" s="10">
        <v>11</v>
      </c>
      <c r="E562" s="10">
        <v>25</v>
      </c>
      <c r="F562" t="s">
        <v>121</v>
      </c>
      <c r="G562">
        <v>3213.1500000000001</v>
      </c>
      <c r="H562" t="s">
        <v>69</v>
      </c>
      <c r="I562" t="s">
        <v>199</v>
      </c>
      <c r="J562" s="10" t="str">
        <f>VLOOKUP(I562,Categories!A:B,2,FALSE)</f>
        <v xml:space="preserve">Home Chomthong Interest</v>
      </c>
      <c r="K562" t="s">
        <v>123</v>
      </c>
      <c r="L562" s="10" t="str">
        <f>VLOOKUP(K562,Accounts!A:B,2,FALSE)</f>
        <v>KBank</v>
      </c>
      <c r="M562" t="s">
        <v>124</v>
      </c>
      <c r="N562" s="10"/>
      <c r="O562" t="s">
        <v>125</v>
      </c>
      <c r="Q562" t="s">
        <v>126</v>
      </c>
      <c r="R562" t="s">
        <v>124</v>
      </c>
      <c r="S562" t="b">
        <v>0</v>
      </c>
      <c r="T562" t="s">
        <v>124</v>
      </c>
    </row>
    <row r="563">
      <c r="A563" t="s">
        <v>1324</v>
      </c>
      <c r="B563" t="s">
        <v>1322</v>
      </c>
      <c r="C563" s="2">
        <v>2024</v>
      </c>
      <c r="D563" s="10">
        <v>11</v>
      </c>
      <c r="E563" s="10">
        <v>25</v>
      </c>
      <c r="F563" t="s">
        <v>121</v>
      </c>
      <c r="G563">
        <v>9165</v>
      </c>
      <c r="H563" t="s">
        <v>128</v>
      </c>
      <c r="I563" t="s">
        <v>136</v>
      </c>
      <c r="J563" s="10" t="str">
        <f>VLOOKUP(I563,Categories!A:B,2,FALSE)</f>
        <v>อื่นๆ</v>
      </c>
      <c r="K563" t="s">
        <v>123</v>
      </c>
      <c r="L563" s="10" t="str">
        <f>VLOOKUP(K563,Accounts!A:B,2,FALSE)</f>
        <v>KBank</v>
      </c>
      <c r="M563" t="s">
        <v>1244</v>
      </c>
      <c r="N563" s="10" t="str">
        <f>VLOOKUP(M563,Accounts!A:B,2,FALSE)</f>
        <v xml:space="preserve">Home chomthong Loan</v>
      </c>
      <c r="O563" t="s">
        <v>125</v>
      </c>
      <c r="Q563" t="s">
        <v>126</v>
      </c>
      <c r="R563" t="s">
        <v>124</v>
      </c>
      <c r="S563" t="b">
        <v>0</v>
      </c>
      <c r="T563" t="s">
        <v>124</v>
      </c>
    </row>
    <row r="564">
      <c r="A564" t="s">
        <v>1325</v>
      </c>
      <c r="B564" t="s">
        <v>1322</v>
      </c>
      <c r="C564" s="2">
        <v>2024</v>
      </c>
      <c r="D564" s="10">
        <v>11</v>
      </c>
      <c r="E564" s="10">
        <v>25</v>
      </c>
      <c r="F564" t="s">
        <v>121</v>
      </c>
      <c r="G564">
        <v>9240</v>
      </c>
      <c r="H564" t="s">
        <v>128</v>
      </c>
      <c r="I564" t="s">
        <v>136</v>
      </c>
      <c r="J564" s="10" t="str">
        <f>VLOOKUP(I564,Categories!A:B,2,FALSE)</f>
        <v>อื่นๆ</v>
      </c>
      <c r="K564" t="s">
        <v>123</v>
      </c>
      <c r="L564" s="10" t="str">
        <f>VLOOKUP(K564,Accounts!A:B,2,FALSE)</f>
        <v>KBank</v>
      </c>
      <c r="M564" t="s">
        <v>1246</v>
      </c>
      <c r="N564" s="10" t="str">
        <f>VLOOKUP(M564,Accounts!A:B,2,FALSE)</f>
        <v xml:space="preserve">Car Loan</v>
      </c>
      <c r="O564" t="s">
        <v>125</v>
      </c>
      <c r="Q564" t="s">
        <v>126</v>
      </c>
      <c r="R564" t="s">
        <v>124</v>
      </c>
      <c r="S564" t="b">
        <v>0</v>
      </c>
      <c r="T564" t="s">
        <v>124</v>
      </c>
    </row>
    <row r="565">
      <c r="A565" t="s">
        <v>1326</v>
      </c>
      <c r="B565" t="s">
        <v>1322</v>
      </c>
      <c r="C565" s="2">
        <v>2024</v>
      </c>
      <c r="D565" s="10">
        <v>11</v>
      </c>
      <c r="E565" s="10">
        <v>25</v>
      </c>
      <c r="F565" t="s">
        <v>121</v>
      </c>
      <c r="G565">
        <v>500</v>
      </c>
      <c r="H565" t="s">
        <v>128</v>
      </c>
      <c r="I565" t="s">
        <v>136</v>
      </c>
      <c r="J565" s="10" t="str">
        <f>VLOOKUP(I565,Categories!A:B,2,FALSE)</f>
        <v>อื่นๆ</v>
      </c>
      <c r="K565" t="s">
        <v>123</v>
      </c>
      <c r="L565" s="10" t="str">
        <f>VLOOKUP(K565,Accounts!A:B,2,FALSE)</f>
        <v>KBank</v>
      </c>
      <c r="M565" t="s">
        <v>201</v>
      </c>
      <c r="N565" s="10" t="str">
        <f>VLOOKUP(M565,Accounts!A:B,2,FALSE)</f>
        <v>Coop</v>
      </c>
      <c r="O565" t="s">
        <v>125</v>
      </c>
      <c r="Q565" t="s">
        <v>126</v>
      </c>
      <c r="R565" t="s">
        <v>124</v>
      </c>
      <c r="S565" t="b">
        <v>0</v>
      </c>
      <c r="T565" t="s">
        <v>124</v>
      </c>
    </row>
    <row r="566">
      <c r="A566" t="s">
        <v>1327</v>
      </c>
      <c r="B566" t="s">
        <v>1322</v>
      </c>
      <c r="C566" s="2">
        <v>2024</v>
      </c>
      <c r="D566" s="10">
        <v>11</v>
      </c>
      <c r="E566" s="10">
        <v>25</v>
      </c>
      <c r="F566" t="s">
        <v>121</v>
      </c>
      <c r="G566">
        <v>2744</v>
      </c>
      <c r="H566" t="s">
        <v>128</v>
      </c>
      <c r="I566" t="s">
        <v>136</v>
      </c>
      <c r="J566" s="10" t="str">
        <f>VLOOKUP(I566,Categories!A:B,2,FALSE)</f>
        <v>อื่นๆ</v>
      </c>
      <c r="K566" t="s">
        <v>123</v>
      </c>
      <c r="L566" s="10" t="str">
        <f>VLOOKUP(K566,Accounts!A:B,2,FALSE)</f>
        <v>KBank</v>
      </c>
      <c r="M566" t="s">
        <v>203</v>
      </c>
      <c r="N566" s="10" t="str">
        <f>VLOOKUP(M566,Accounts!A:B,2,FALSE)</f>
        <v xml:space="preserve">Provident Fund</v>
      </c>
      <c r="O566" t="s">
        <v>125</v>
      </c>
      <c r="Q566" t="s">
        <v>126</v>
      </c>
      <c r="R566" t="s">
        <v>124</v>
      </c>
      <c r="S566" t="b">
        <v>0</v>
      </c>
      <c r="T566" t="s">
        <v>124</v>
      </c>
    </row>
    <row r="567">
      <c r="A567" t="s">
        <v>1328</v>
      </c>
      <c r="B567" t="s">
        <v>1322</v>
      </c>
      <c r="C567" s="2">
        <v>2024</v>
      </c>
      <c r="D567" s="10">
        <v>11</v>
      </c>
      <c r="E567" s="10">
        <v>25</v>
      </c>
      <c r="F567" t="s">
        <v>121</v>
      </c>
      <c r="G567">
        <v>3123.7399999999998</v>
      </c>
      <c r="H567" t="s">
        <v>69</v>
      </c>
      <c r="I567" t="s">
        <v>195</v>
      </c>
      <c r="J567" s="10" t="str">
        <f>VLOOKUP(I567,Categories!A:B,2,FALSE)</f>
        <v>Tax</v>
      </c>
      <c r="K567" t="s">
        <v>123</v>
      </c>
      <c r="L567" s="10" t="str">
        <f>VLOOKUP(K567,Accounts!A:B,2,FALSE)</f>
        <v>KBank</v>
      </c>
      <c r="M567" t="s">
        <v>124</v>
      </c>
      <c r="N567" s="10"/>
      <c r="O567" t="s">
        <v>125</v>
      </c>
      <c r="Q567" t="s">
        <v>126</v>
      </c>
      <c r="R567" t="s">
        <v>124</v>
      </c>
      <c r="S567" t="b">
        <v>0</v>
      </c>
      <c r="T567" t="s">
        <v>124</v>
      </c>
    </row>
    <row r="568">
      <c r="A568" t="s">
        <v>1329</v>
      </c>
      <c r="B568" t="s">
        <v>1322</v>
      </c>
      <c r="C568" s="2">
        <v>2024</v>
      </c>
      <c r="D568" s="10">
        <v>11</v>
      </c>
      <c r="E568" s="10">
        <v>25</v>
      </c>
      <c r="F568" t="s">
        <v>121</v>
      </c>
      <c r="G568">
        <v>137200</v>
      </c>
      <c r="H568" t="s">
        <v>206</v>
      </c>
      <c r="I568" t="s">
        <v>207</v>
      </c>
      <c r="J568" s="10" t="str">
        <f>VLOOKUP(I568,Categories!A:B,2,FALSE)</f>
        <v>Salary</v>
      </c>
      <c r="K568" t="s">
        <v>123</v>
      </c>
      <c r="L568" s="10" t="str">
        <f>VLOOKUP(K568,Accounts!A:B,2,FALSE)</f>
        <v>KBank</v>
      </c>
      <c r="M568" t="s">
        <v>124</v>
      </c>
      <c r="N568" s="10"/>
      <c r="O568" t="s">
        <v>125</v>
      </c>
      <c r="Q568" t="s">
        <v>126</v>
      </c>
      <c r="R568" t="s">
        <v>124</v>
      </c>
      <c r="S568" t="b">
        <v>0</v>
      </c>
      <c r="T568" t="s">
        <v>124</v>
      </c>
    </row>
    <row r="569">
      <c r="A569" t="s">
        <v>1330</v>
      </c>
      <c r="B569" t="s">
        <v>1331</v>
      </c>
      <c r="C569" s="2">
        <v>2024</v>
      </c>
      <c r="D569" s="10">
        <v>11</v>
      </c>
      <c r="E569" s="10">
        <v>23</v>
      </c>
      <c r="F569" t="s">
        <v>1332</v>
      </c>
      <c r="G569">
        <v>2320</v>
      </c>
      <c r="H569" t="s">
        <v>128</v>
      </c>
      <c r="I569" t="s">
        <v>136</v>
      </c>
      <c r="J569" s="10" t="str">
        <f>VLOOKUP(I569,Categories!A:B,2,FALSE)</f>
        <v>อื่นๆ</v>
      </c>
      <c r="K569" t="s">
        <v>123</v>
      </c>
      <c r="L569" s="10" t="str">
        <f>VLOOKUP(K569,Accounts!A:B,2,FALSE)</f>
        <v>KBank</v>
      </c>
      <c r="M569" t="s">
        <v>131</v>
      </c>
      <c r="N569" s="10" t="str">
        <f>VLOOKUP(M569,Accounts!A:B,2,FALSE)</f>
        <v xml:space="preserve">Advance Paid</v>
      </c>
      <c r="O569" t="s">
        <v>125</v>
      </c>
      <c r="Q569" t="s">
        <v>126</v>
      </c>
      <c r="R569" t="s">
        <v>124</v>
      </c>
      <c r="S569" t="b">
        <v>0</v>
      </c>
      <c r="T569" t="s">
        <v>124</v>
      </c>
    </row>
    <row r="570">
      <c r="A570" t="s">
        <v>1333</v>
      </c>
      <c r="B570" t="s">
        <v>1331</v>
      </c>
      <c r="C570" s="2">
        <v>2024</v>
      </c>
      <c r="D570" s="10">
        <v>11</v>
      </c>
      <c r="E570" s="10">
        <v>23</v>
      </c>
      <c r="F570" t="s">
        <v>1332</v>
      </c>
      <c r="G570">
        <v>1600</v>
      </c>
      <c r="H570" t="s">
        <v>69</v>
      </c>
      <c r="I570" t="s">
        <v>259</v>
      </c>
      <c r="J570" s="10" t="str">
        <f>VLOOKUP(I570,Categories!A:B,2,FALSE)</f>
        <v xml:space="preserve">Team BOT</v>
      </c>
      <c r="K570" t="s">
        <v>123</v>
      </c>
      <c r="L570" s="10" t="str">
        <f>VLOOKUP(K570,Accounts!A:B,2,FALSE)</f>
        <v>KBank</v>
      </c>
      <c r="M570" t="s">
        <v>124</v>
      </c>
      <c r="N570" s="10"/>
      <c r="O570" t="s">
        <v>125</v>
      </c>
      <c r="Q570" t="s">
        <v>126</v>
      </c>
      <c r="R570" t="s">
        <v>124</v>
      </c>
      <c r="S570" t="b">
        <v>0</v>
      </c>
      <c r="T570" t="s">
        <v>124</v>
      </c>
    </row>
    <row r="571">
      <c r="A571" t="s">
        <v>1334</v>
      </c>
      <c r="B571" t="s">
        <v>1331</v>
      </c>
      <c r="C571" s="2">
        <v>2024</v>
      </c>
      <c r="D571" s="10">
        <v>11</v>
      </c>
      <c r="E571" s="10">
        <v>23</v>
      </c>
      <c r="F571" t="s">
        <v>1335</v>
      </c>
      <c r="G571">
        <v>600</v>
      </c>
      <c r="H571" t="s">
        <v>69</v>
      </c>
      <c r="I571" t="s">
        <v>150</v>
      </c>
      <c r="J571" s="10" t="str">
        <f>VLOOKUP(I571,Categories!A:B,2,FALSE)</f>
        <v xml:space="preserve">Food &amp; Coff</v>
      </c>
      <c r="K571" t="s">
        <v>123</v>
      </c>
      <c r="L571" s="10" t="str">
        <f>VLOOKUP(K571,Accounts!A:B,2,FALSE)</f>
        <v>KBank</v>
      </c>
      <c r="M571" t="s">
        <v>124</v>
      </c>
      <c r="N571" s="10"/>
      <c r="O571" t="s">
        <v>125</v>
      </c>
      <c r="Q571" t="s">
        <v>126</v>
      </c>
      <c r="R571" t="s">
        <v>124</v>
      </c>
      <c r="S571" t="b">
        <v>0</v>
      </c>
      <c r="T571" t="s">
        <v>124</v>
      </c>
    </row>
    <row r="572">
      <c r="A572" t="s">
        <v>1336</v>
      </c>
      <c r="B572" t="s">
        <v>1331</v>
      </c>
      <c r="C572" s="2">
        <v>2024</v>
      </c>
      <c r="D572" s="10">
        <v>11</v>
      </c>
      <c r="E572" s="10">
        <v>23</v>
      </c>
      <c r="F572" t="s">
        <v>1337</v>
      </c>
      <c r="G572">
        <v>956</v>
      </c>
      <c r="H572" t="s">
        <v>69</v>
      </c>
      <c r="I572" t="s">
        <v>150</v>
      </c>
      <c r="J572" s="10" t="str">
        <f>VLOOKUP(I572,Categories!A:B,2,FALSE)</f>
        <v xml:space="preserve">Food &amp; Coff</v>
      </c>
      <c r="K572" t="s">
        <v>123</v>
      </c>
      <c r="L572" s="10" t="str">
        <f>VLOOKUP(K572,Accounts!A:B,2,FALSE)</f>
        <v>KBank</v>
      </c>
      <c r="M572" t="s">
        <v>124</v>
      </c>
      <c r="N572" s="10"/>
      <c r="O572" t="s">
        <v>125</v>
      </c>
      <c r="Q572" t="s">
        <v>126</v>
      </c>
      <c r="R572" t="s">
        <v>124</v>
      </c>
      <c r="S572" t="b">
        <v>0</v>
      </c>
      <c r="T572" t="s">
        <v>124</v>
      </c>
    </row>
    <row r="573">
      <c r="A573" t="s">
        <v>1338</v>
      </c>
      <c r="B573" t="s">
        <v>1331</v>
      </c>
      <c r="C573" s="2">
        <v>2024</v>
      </c>
      <c r="D573" s="10">
        <v>11</v>
      </c>
      <c r="E573" s="10">
        <v>23</v>
      </c>
      <c r="F573" t="s">
        <v>1337</v>
      </c>
      <c r="G573">
        <v>330</v>
      </c>
      <c r="H573" t="s">
        <v>69</v>
      </c>
      <c r="I573" t="s">
        <v>1339</v>
      </c>
      <c r="J573" s="10" t="str">
        <f>VLOOKUP(I573,Categories!A:B,2,FALSE)</f>
        <v>Manga</v>
      </c>
      <c r="K573" t="s">
        <v>123</v>
      </c>
      <c r="L573" s="10" t="str">
        <f>VLOOKUP(K573,Accounts!A:B,2,FALSE)</f>
        <v>KBank</v>
      </c>
      <c r="M573" t="s">
        <v>124</v>
      </c>
      <c r="N573" s="10"/>
      <c r="O573" t="s">
        <v>125</v>
      </c>
      <c r="Q573" t="s">
        <v>126</v>
      </c>
      <c r="R573" t="s">
        <v>124</v>
      </c>
      <c r="S573" t="b">
        <v>0</v>
      </c>
      <c r="T573" t="s">
        <v>124</v>
      </c>
    </row>
    <row r="574">
      <c r="A574" t="s">
        <v>1340</v>
      </c>
      <c r="B574" t="s">
        <v>1331</v>
      </c>
      <c r="C574" s="2">
        <v>2024</v>
      </c>
      <c r="D574" s="10">
        <v>11</v>
      </c>
      <c r="E574" s="10">
        <v>23</v>
      </c>
      <c r="F574" t="s">
        <v>1231</v>
      </c>
      <c r="G574">
        <v>510</v>
      </c>
      <c r="H574" t="s">
        <v>69</v>
      </c>
      <c r="I574" t="s">
        <v>614</v>
      </c>
      <c r="J574" s="10" t="str">
        <f>VLOOKUP(I574,Categories!A:B,2,FALSE)</f>
        <v>Books</v>
      </c>
      <c r="K574" t="s">
        <v>123</v>
      </c>
      <c r="L574" s="10" t="str">
        <f>VLOOKUP(K574,Accounts!A:B,2,FALSE)</f>
        <v>KBank</v>
      </c>
      <c r="M574" t="s">
        <v>124</v>
      </c>
      <c r="N574" s="10"/>
      <c r="O574" t="s">
        <v>125</v>
      </c>
      <c r="Q574" t="s">
        <v>126</v>
      </c>
      <c r="R574" t="s">
        <v>124</v>
      </c>
      <c r="S574" t="b">
        <v>0</v>
      </c>
      <c r="T574" t="s">
        <v>124</v>
      </c>
    </row>
    <row r="575">
      <c r="A575" t="s">
        <v>1341</v>
      </c>
      <c r="B575" t="s">
        <v>1331</v>
      </c>
      <c r="C575" s="2">
        <v>2024</v>
      </c>
      <c r="D575" s="10">
        <v>11</v>
      </c>
      <c r="E575" s="10">
        <v>23</v>
      </c>
      <c r="F575" t="s">
        <v>1342</v>
      </c>
      <c r="G575">
        <v>389</v>
      </c>
      <c r="H575" t="s">
        <v>69</v>
      </c>
      <c r="I575" t="s">
        <v>160</v>
      </c>
      <c r="J575" s="10" t="str">
        <f>VLOOKUP(I575,Categories!A:B,2,FALSE)</f>
        <v>Fashion</v>
      </c>
      <c r="K575" t="s">
        <v>123</v>
      </c>
      <c r="L575" s="10" t="str">
        <f>VLOOKUP(K575,Accounts!A:B,2,FALSE)</f>
        <v>KBank</v>
      </c>
      <c r="M575" t="s">
        <v>124</v>
      </c>
      <c r="N575" s="10"/>
      <c r="O575" t="s">
        <v>125</v>
      </c>
      <c r="Q575" t="s">
        <v>126</v>
      </c>
      <c r="R575" t="s">
        <v>124</v>
      </c>
      <c r="S575" t="b">
        <v>0</v>
      </c>
      <c r="T575" t="s">
        <v>124</v>
      </c>
    </row>
    <row r="576">
      <c r="A576" t="s">
        <v>1343</v>
      </c>
      <c r="B576" t="s">
        <v>1331</v>
      </c>
      <c r="C576" s="2">
        <v>2024</v>
      </c>
      <c r="D576" s="10">
        <v>11</v>
      </c>
      <c r="E576" s="10">
        <v>23</v>
      </c>
      <c r="F576" t="s">
        <v>1342</v>
      </c>
      <c r="G576">
        <v>473</v>
      </c>
      <c r="H576" t="s">
        <v>69</v>
      </c>
      <c r="I576" t="s">
        <v>155</v>
      </c>
      <c r="J576" s="10" t="str">
        <f>VLOOKUP(I576,Categories!A:B,2,FALSE)</f>
        <v>Gashapon</v>
      </c>
      <c r="K576" t="s">
        <v>123</v>
      </c>
      <c r="L576" s="10" t="str">
        <f>VLOOKUP(K576,Accounts!A:B,2,FALSE)</f>
        <v>KBank</v>
      </c>
      <c r="M576" t="s">
        <v>124</v>
      </c>
      <c r="N576" s="10"/>
      <c r="O576" t="s">
        <v>125</v>
      </c>
      <c r="Q576" t="s">
        <v>126</v>
      </c>
      <c r="R576" t="s">
        <v>124</v>
      </c>
      <c r="S576" t="b">
        <v>0</v>
      </c>
      <c r="T576" t="s">
        <v>124</v>
      </c>
    </row>
    <row r="577">
      <c r="A577" t="s">
        <v>1344</v>
      </c>
      <c r="B577" t="s">
        <v>1331</v>
      </c>
      <c r="C577" s="2">
        <v>2024</v>
      </c>
      <c r="D577" s="10">
        <v>11</v>
      </c>
      <c r="E577" s="10">
        <v>23</v>
      </c>
      <c r="F577" t="s">
        <v>689</v>
      </c>
      <c r="G577">
        <v>200</v>
      </c>
      <c r="H577" t="s">
        <v>69</v>
      </c>
      <c r="I577" t="s">
        <v>122</v>
      </c>
      <c r="J577" s="10" t="str">
        <f>VLOOKUP(I577,Categories!A:B,2,FALSE)</f>
        <v>Other</v>
      </c>
      <c r="K577" t="s">
        <v>123</v>
      </c>
      <c r="L577" s="10" t="str">
        <f>VLOOKUP(K577,Accounts!A:B,2,FALSE)</f>
        <v>KBank</v>
      </c>
      <c r="M577" t="s">
        <v>124</v>
      </c>
      <c r="N577" s="10"/>
      <c r="O577" t="s">
        <v>125</v>
      </c>
      <c r="Q577" t="s">
        <v>126</v>
      </c>
      <c r="R577" t="s">
        <v>124</v>
      </c>
      <c r="S577" t="b">
        <v>0</v>
      </c>
      <c r="T577" t="s">
        <v>124</v>
      </c>
    </row>
    <row r="578">
      <c r="A578" t="s">
        <v>1345</v>
      </c>
      <c r="B578" t="s">
        <v>1331</v>
      </c>
      <c r="C578" s="2">
        <v>2024</v>
      </c>
      <c r="D578" s="10">
        <v>11</v>
      </c>
      <c r="E578" s="10">
        <v>23</v>
      </c>
      <c r="F578" t="s">
        <v>1346</v>
      </c>
      <c r="G578">
        <v>110</v>
      </c>
      <c r="H578" t="s">
        <v>128</v>
      </c>
      <c r="I578" t="s">
        <v>136</v>
      </c>
      <c r="J578" s="10" t="str">
        <f>VLOOKUP(I578,Categories!A:B,2,FALSE)</f>
        <v>อื่นๆ</v>
      </c>
      <c r="K578" t="s">
        <v>123</v>
      </c>
      <c r="L578" s="10" t="str">
        <f>VLOOKUP(K578,Accounts!A:B,2,FALSE)</f>
        <v>KBank</v>
      </c>
      <c r="M578" t="s">
        <v>178</v>
      </c>
      <c r="N578" s="10" t="str">
        <f>VLOOKUP(M578,Accounts!A:B,2,FALSE)</f>
        <v>SCB</v>
      </c>
      <c r="O578" t="s">
        <v>125</v>
      </c>
      <c r="Q578" t="s">
        <v>126</v>
      </c>
      <c r="R578" t="s">
        <v>124</v>
      </c>
      <c r="S578" t="b">
        <v>0</v>
      </c>
      <c r="T578" t="s">
        <v>124</v>
      </c>
    </row>
    <row r="579">
      <c r="A579" t="s">
        <v>1347</v>
      </c>
      <c r="B579" t="s">
        <v>1331</v>
      </c>
      <c r="C579" s="2">
        <v>2024</v>
      </c>
      <c r="D579" s="10">
        <v>11</v>
      </c>
      <c r="E579" s="10">
        <v>23</v>
      </c>
      <c r="F579" t="s">
        <v>691</v>
      </c>
      <c r="G579">
        <v>150</v>
      </c>
      <c r="H579" t="s">
        <v>69</v>
      </c>
      <c r="I579" t="s">
        <v>150</v>
      </c>
      <c r="J579" s="10" t="str">
        <f>VLOOKUP(I579,Categories!A:B,2,FALSE)</f>
        <v xml:space="preserve">Food &amp; Coff</v>
      </c>
      <c r="K579" t="s">
        <v>123</v>
      </c>
      <c r="L579" s="10" t="str">
        <f>VLOOKUP(K579,Accounts!A:B,2,FALSE)</f>
        <v>KBank</v>
      </c>
      <c r="M579" t="s">
        <v>124</v>
      </c>
      <c r="N579" s="10"/>
      <c r="O579" t="s">
        <v>125</v>
      </c>
      <c r="Q579" t="s">
        <v>126</v>
      </c>
      <c r="R579" t="s">
        <v>124</v>
      </c>
      <c r="S579" t="b">
        <v>0</v>
      </c>
      <c r="T579" t="s">
        <v>124</v>
      </c>
    </row>
    <row r="580">
      <c r="A580" t="s">
        <v>1348</v>
      </c>
      <c r="B580" t="s">
        <v>1331</v>
      </c>
      <c r="C580" s="2">
        <v>2024</v>
      </c>
      <c r="D580" s="10">
        <v>11</v>
      </c>
      <c r="E580" s="10">
        <v>23</v>
      </c>
      <c r="F580" t="s">
        <v>1349</v>
      </c>
      <c r="G580">
        <v>3.0299999999999998</v>
      </c>
      <c r="H580" t="s">
        <v>69</v>
      </c>
      <c r="I580" t="s">
        <v>254</v>
      </c>
      <c r="J580" s="10" t="str">
        <f>VLOOKUP(I580,Categories!A:B,2,FALSE)</f>
        <v xml:space="preserve">Modified Bal.</v>
      </c>
      <c r="K580" t="s">
        <v>123</v>
      </c>
      <c r="L580" s="10" t="str">
        <f>VLOOKUP(K580,Accounts!A:B,2,FALSE)</f>
        <v>KBank</v>
      </c>
      <c r="M580" t="s">
        <v>124</v>
      </c>
      <c r="N580" s="10"/>
      <c r="O580" t="s">
        <v>255</v>
      </c>
      <c r="Q580" t="s">
        <v>126</v>
      </c>
      <c r="R580" t="s">
        <v>124</v>
      </c>
      <c r="S580" t="b">
        <v>0</v>
      </c>
      <c r="T580" t="s">
        <v>124</v>
      </c>
    </row>
    <row r="581">
      <c r="A581" t="s">
        <v>1350</v>
      </c>
      <c r="B581" t="s">
        <v>1331</v>
      </c>
      <c r="C581" s="2">
        <v>2024</v>
      </c>
      <c r="D581" s="10">
        <v>11</v>
      </c>
      <c r="E581" s="10">
        <v>23</v>
      </c>
      <c r="F581" t="s">
        <v>1349</v>
      </c>
      <c r="G581">
        <v>7100</v>
      </c>
      <c r="H581" t="s">
        <v>128</v>
      </c>
      <c r="I581" t="s">
        <v>136</v>
      </c>
      <c r="J581" s="10" t="str">
        <f>VLOOKUP(I581,Categories!A:B,2,FALSE)</f>
        <v>อื่นๆ</v>
      </c>
      <c r="K581" t="s">
        <v>425</v>
      </c>
      <c r="L581" s="10" t="str">
        <f>VLOOKUP(K581,Accounts!A:B,2,FALSE)</f>
        <v>Cash</v>
      </c>
      <c r="M581" t="s">
        <v>178</v>
      </c>
      <c r="N581" s="10" t="str">
        <f>VLOOKUP(M581,Accounts!A:B,2,FALSE)</f>
        <v>SCB</v>
      </c>
      <c r="O581" t="s">
        <v>125</v>
      </c>
      <c r="Q581" t="s">
        <v>126</v>
      </c>
      <c r="R581" t="s">
        <v>124</v>
      </c>
      <c r="S581" t="b">
        <v>0</v>
      </c>
      <c r="T581" t="s">
        <v>124</v>
      </c>
    </row>
    <row r="582">
      <c r="A582" t="s">
        <v>1351</v>
      </c>
      <c r="B582" t="s">
        <v>1352</v>
      </c>
      <c r="C582" s="2">
        <v>2024</v>
      </c>
      <c r="D582" s="10">
        <v>11</v>
      </c>
      <c r="E582" s="10">
        <v>22</v>
      </c>
      <c r="F582" t="s">
        <v>1353</v>
      </c>
      <c r="G582">
        <v>89</v>
      </c>
      <c r="H582" t="s">
        <v>69</v>
      </c>
      <c r="I582" t="s">
        <v>150</v>
      </c>
      <c r="J582" s="10" t="str">
        <f>VLOOKUP(I582,Categories!A:B,2,FALSE)</f>
        <v xml:space="preserve">Food &amp; Coff</v>
      </c>
      <c r="K582" t="s">
        <v>123</v>
      </c>
      <c r="L582" s="10" t="str">
        <f>VLOOKUP(K582,Accounts!A:B,2,FALSE)</f>
        <v>KBank</v>
      </c>
      <c r="M582" t="s">
        <v>124</v>
      </c>
      <c r="N582" s="10"/>
      <c r="O582" t="s">
        <v>125</v>
      </c>
      <c r="Q582" t="s">
        <v>126</v>
      </c>
      <c r="R582" t="s">
        <v>124</v>
      </c>
      <c r="S582" t="b">
        <v>0</v>
      </c>
      <c r="T582" t="s">
        <v>124</v>
      </c>
    </row>
    <row r="583">
      <c r="A583" t="s">
        <v>1354</v>
      </c>
      <c r="B583" t="s">
        <v>1355</v>
      </c>
      <c r="C583" s="2">
        <v>2024</v>
      </c>
      <c r="D583" s="10">
        <v>11</v>
      </c>
      <c r="E583" s="10">
        <v>20</v>
      </c>
      <c r="F583" t="s">
        <v>1346</v>
      </c>
      <c r="G583">
        <v>150</v>
      </c>
      <c r="H583" t="s">
        <v>69</v>
      </c>
      <c r="I583" t="s">
        <v>259</v>
      </c>
      <c r="J583" s="10" t="str">
        <f>VLOOKUP(I583,Categories!A:B,2,FALSE)</f>
        <v xml:space="preserve">Team BOT</v>
      </c>
      <c r="K583" t="s">
        <v>123</v>
      </c>
      <c r="L583" s="10" t="str">
        <f>VLOOKUP(K583,Accounts!A:B,2,FALSE)</f>
        <v>KBank</v>
      </c>
      <c r="M583" t="s">
        <v>124</v>
      </c>
      <c r="N583" s="10"/>
      <c r="O583" t="s">
        <v>125</v>
      </c>
      <c r="Q583" t="s">
        <v>126</v>
      </c>
      <c r="R583" t="s">
        <v>124</v>
      </c>
      <c r="S583" t="b">
        <v>0</v>
      </c>
      <c r="T583" t="s">
        <v>124</v>
      </c>
    </row>
    <row r="584">
      <c r="A584" t="s">
        <v>1356</v>
      </c>
      <c r="B584" t="s">
        <v>1357</v>
      </c>
      <c r="C584" s="2">
        <v>2024</v>
      </c>
      <c r="D584" s="10">
        <v>11</v>
      </c>
      <c r="E584" s="10">
        <v>17</v>
      </c>
      <c r="F584" t="s">
        <v>1358</v>
      </c>
      <c r="G584">
        <v>110</v>
      </c>
      <c r="H584" t="s">
        <v>69</v>
      </c>
      <c r="I584" t="s">
        <v>259</v>
      </c>
      <c r="J584" s="10" t="str">
        <f>VLOOKUP(I584,Categories!A:B,2,FALSE)</f>
        <v xml:space="preserve">Team BOT</v>
      </c>
      <c r="K584" t="s">
        <v>123</v>
      </c>
      <c r="L584" s="10" t="str">
        <f>VLOOKUP(K584,Accounts!A:B,2,FALSE)</f>
        <v>KBank</v>
      </c>
      <c r="M584" t="s">
        <v>124</v>
      </c>
      <c r="N584" s="10"/>
      <c r="O584" t="s">
        <v>125</v>
      </c>
      <c r="Q584" t="s">
        <v>126</v>
      </c>
      <c r="R584" t="s">
        <v>124</v>
      </c>
      <c r="S584" t="b">
        <v>0</v>
      </c>
      <c r="T584" t="s">
        <v>124</v>
      </c>
    </row>
    <row r="585">
      <c r="A585" t="s">
        <v>1359</v>
      </c>
      <c r="B585" t="s">
        <v>1357</v>
      </c>
      <c r="C585" s="2">
        <v>2024</v>
      </c>
      <c r="D585" s="10">
        <v>11</v>
      </c>
      <c r="E585" s="10">
        <v>17</v>
      </c>
      <c r="F585" t="s">
        <v>1360</v>
      </c>
      <c r="G585">
        <v>2890</v>
      </c>
      <c r="H585" t="s">
        <v>128</v>
      </c>
      <c r="I585" t="s">
        <v>136</v>
      </c>
      <c r="J585" s="10" t="str">
        <f>VLOOKUP(I585,Categories!A:B,2,FALSE)</f>
        <v>อื่นๆ</v>
      </c>
      <c r="K585" t="s">
        <v>123</v>
      </c>
      <c r="L585" s="10" t="str">
        <f>VLOOKUP(K585,Accounts!A:B,2,FALSE)</f>
        <v>KBank</v>
      </c>
      <c r="M585" t="s">
        <v>743</v>
      </c>
      <c r="N585" s="10" t="str">
        <f>VLOOKUP(M585,Accounts!A:B,2,FALSE)</f>
        <v>HOMEPRO</v>
      </c>
      <c r="O585" t="s">
        <v>1361</v>
      </c>
      <c r="Q585" t="s">
        <v>126</v>
      </c>
      <c r="R585" t="s">
        <v>124</v>
      </c>
      <c r="S585" t="b">
        <v>0</v>
      </c>
      <c r="T585" t="s">
        <v>124</v>
      </c>
    </row>
    <row r="586">
      <c r="A586" t="s">
        <v>1362</v>
      </c>
      <c r="B586" t="s">
        <v>1357</v>
      </c>
      <c r="C586" s="2">
        <v>2024</v>
      </c>
      <c r="D586" s="10">
        <v>11</v>
      </c>
      <c r="E586" s="10">
        <v>17</v>
      </c>
      <c r="F586" t="s">
        <v>1363</v>
      </c>
      <c r="G586">
        <v>289</v>
      </c>
      <c r="H586" t="s">
        <v>128</v>
      </c>
      <c r="I586" t="s">
        <v>136</v>
      </c>
      <c r="J586" s="10" t="str">
        <f>VLOOKUP(I586,Categories!A:B,2,FALSE)</f>
        <v>อื่นๆ</v>
      </c>
      <c r="K586" t="s">
        <v>123</v>
      </c>
      <c r="L586" s="10" t="str">
        <f>VLOOKUP(K586,Accounts!A:B,2,FALSE)</f>
        <v>KBank</v>
      </c>
      <c r="M586" t="s">
        <v>131</v>
      </c>
      <c r="N586" s="10" t="str">
        <f>VLOOKUP(M586,Accounts!A:B,2,FALSE)</f>
        <v xml:space="preserve">Advance Paid</v>
      </c>
      <c r="O586" t="s">
        <v>1364</v>
      </c>
      <c r="Q586" t="s">
        <v>126</v>
      </c>
      <c r="R586" t="s">
        <v>124</v>
      </c>
      <c r="S586" t="b">
        <v>0</v>
      </c>
      <c r="T586" t="s">
        <v>124</v>
      </c>
    </row>
    <row r="587">
      <c r="A587" t="s">
        <v>1365</v>
      </c>
      <c r="B587" t="s">
        <v>1366</v>
      </c>
      <c r="C587" s="2">
        <v>2024</v>
      </c>
      <c r="D587" s="10">
        <v>11</v>
      </c>
      <c r="E587" s="10">
        <v>16</v>
      </c>
      <c r="F587" t="s">
        <v>1335</v>
      </c>
      <c r="G587">
        <v>2500</v>
      </c>
      <c r="H587" t="s">
        <v>69</v>
      </c>
      <c r="I587" t="s">
        <v>155</v>
      </c>
      <c r="J587" s="10" t="str">
        <f>VLOOKUP(I587,Categories!A:B,2,FALSE)</f>
        <v>Gashapon</v>
      </c>
      <c r="K587" t="s">
        <v>123</v>
      </c>
      <c r="L587" s="10" t="str">
        <f>VLOOKUP(K587,Accounts!A:B,2,FALSE)</f>
        <v>KBank</v>
      </c>
      <c r="M587" t="s">
        <v>124</v>
      </c>
      <c r="N587" s="10"/>
      <c r="O587" t="s">
        <v>125</v>
      </c>
      <c r="Q587" t="s">
        <v>126</v>
      </c>
      <c r="R587" t="s">
        <v>124</v>
      </c>
      <c r="S587" t="b">
        <v>0</v>
      </c>
      <c r="T587" t="s">
        <v>124</v>
      </c>
    </row>
    <row r="588">
      <c r="A588" t="s">
        <v>1367</v>
      </c>
      <c r="B588" t="s">
        <v>1368</v>
      </c>
      <c r="C588" s="2">
        <v>2024</v>
      </c>
      <c r="D588" s="10">
        <v>11</v>
      </c>
      <c r="E588" s="10">
        <v>11</v>
      </c>
      <c r="F588" t="s">
        <v>1369</v>
      </c>
      <c r="G588">
        <v>745</v>
      </c>
      <c r="H588" t="s">
        <v>69</v>
      </c>
      <c r="I588" t="s">
        <v>338</v>
      </c>
      <c r="J588" s="10" t="str">
        <f>VLOOKUP(I588,Categories!A:B,2,FALSE)</f>
        <v>Trips</v>
      </c>
      <c r="K588" t="s">
        <v>123</v>
      </c>
      <c r="L588" s="10" t="str">
        <f>VLOOKUP(K588,Accounts!A:B,2,FALSE)</f>
        <v>KBank</v>
      </c>
      <c r="M588" t="s">
        <v>124</v>
      </c>
      <c r="N588" s="10"/>
      <c r="O588" t="s">
        <v>125</v>
      </c>
      <c r="Q588" t="s">
        <v>126</v>
      </c>
      <c r="R588" t="s">
        <v>124</v>
      </c>
      <c r="S588" t="b">
        <v>0</v>
      </c>
      <c r="T588" t="s">
        <v>124</v>
      </c>
    </row>
    <row r="589">
      <c r="A589" t="s">
        <v>1370</v>
      </c>
      <c r="B589" t="s">
        <v>1371</v>
      </c>
      <c r="C589" s="2">
        <v>2024</v>
      </c>
      <c r="D589" s="10">
        <v>11</v>
      </c>
      <c r="E589" s="10">
        <v>10</v>
      </c>
      <c r="F589" t="s">
        <v>341</v>
      </c>
      <c r="G589">
        <v>500</v>
      </c>
      <c r="H589" t="s">
        <v>128</v>
      </c>
      <c r="I589" t="s">
        <v>136</v>
      </c>
      <c r="J589" s="10" t="str">
        <f>VLOOKUP(I589,Categories!A:B,2,FALSE)</f>
        <v>อื่นๆ</v>
      </c>
      <c r="K589" t="s">
        <v>425</v>
      </c>
      <c r="L589" s="10" t="str">
        <f>VLOOKUP(K589,Accounts!A:B,2,FALSE)</f>
        <v>Cash</v>
      </c>
      <c r="M589" t="s">
        <v>178</v>
      </c>
      <c r="N589" s="10" t="str">
        <f>VLOOKUP(M589,Accounts!A:B,2,FALSE)</f>
        <v>SCB</v>
      </c>
      <c r="O589" t="s">
        <v>125</v>
      </c>
      <c r="Q589" t="s">
        <v>126</v>
      </c>
      <c r="R589" t="s">
        <v>124</v>
      </c>
      <c r="S589" t="b">
        <v>0</v>
      </c>
      <c r="T589" t="s">
        <v>124</v>
      </c>
    </row>
    <row r="590">
      <c r="A590" t="s">
        <v>1372</v>
      </c>
      <c r="B590" t="s">
        <v>1371</v>
      </c>
      <c r="C590" s="2">
        <v>2024</v>
      </c>
      <c r="D590" s="10">
        <v>11</v>
      </c>
      <c r="E590" s="10">
        <v>10</v>
      </c>
      <c r="F590" t="s">
        <v>234</v>
      </c>
      <c r="G590">
        <v>2890</v>
      </c>
      <c r="H590" t="s">
        <v>69</v>
      </c>
      <c r="I590" t="s">
        <v>141</v>
      </c>
      <c r="J590" s="10" t="str">
        <f>VLOOKUP(I590,Categories!A:B,2,FALSE)</f>
        <v>Other</v>
      </c>
      <c r="K590" t="s">
        <v>743</v>
      </c>
      <c r="L590" s="10" t="str">
        <f>VLOOKUP(K590,Accounts!A:B,2,FALSE)</f>
        <v>HOMEPRO</v>
      </c>
      <c r="M590" t="s">
        <v>124</v>
      </c>
      <c r="N590" s="10"/>
      <c r="O590" t="s">
        <v>1373</v>
      </c>
      <c r="Q590" t="s">
        <v>126</v>
      </c>
      <c r="R590" t="s">
        <v>124</v>
      </c>
      <c r="S590" t="b">
        <v>0</v>
      </c>
      <c r="T590" t="s">
        <v>124</v>
      </c>
    </row>
    <row r="591">
      <c r="A591" t="s">
        <v>1374</v>
      </c>
      <c r="B591" t="s">
        <v>1375</v>
      </c>
      <c r="C591" s="2">
        <v>2024</v>
      </c>
      <c r="D591" s="10">
        <v>11</v>
      </c>
      <c r="E591" s="10">
        <v>7</v>
      </c>
      <c r="F591" t="s">
        <v>1376</v>
      </c>
      <c r="G591">
        <v>14854</v>
      </c>
      <c r="H591" t="s">
        <v>69</v>
      </c>
      <c r="I591" t="s">
        <v>139</v>
      </c>
      <c r="J591" s="10" t="str">
        <f>VLOOKUP(I591,Categories!A:B,2,FALSE)</f>
        <v>Condo</v>
      </c>
      <c r="K591" t="s">
        <v>123</v>
      </c>
      <c r="L591" s="10" t="str">
        <f>VLOOKUP(K591,Accounts!A:B,2,FALSE)</f>
        <v>KBank</v>
      </c>
      <c r="M591" t="s">
        <v>124</v>
      </c>
      <c r="N591" s="10"/>
      <c r="O591" t="s">
        <v>125</v>
      </c>
      <c r="Q591" t="s">
        <v>126</v>
      </c>
      <c r="R591" t="s">
        <v>124</v>
      </c>
      <c r="S591" t="b">
        <v>0</v>
      </c>
      <c r="T591" t="s">
        <v>124</v>
      </c>
    </row>
    <row r="592">
      <c r="A592" t="s">
        <v>1377</v>
      </c>
      <c r="B592" t="s">
        <v>1375</v>
      </c>
      <c r="C592" s="2">
        <v>2024</v>
      </c>
      <c r="D592" s="10">
        <v>11</v>
      </c>
      <c r="E592" s="10">
        <v>7</v>
      </c>
      <c r="F592" t="s">
        <v>1376</v>
      </c>
      <c r="G592">
        <v>19000</v>
      </c>
      <c r="H592" t="s">
        <v>69</v>
      </c>
      <c r="I592" t="s">
        <v>134</v>
      </c>
      <c r="J592" s="10" t="str">
        <f>VLOOKUP(I592,Categories!A:B,2,FALSE)</f>
        <v>Hong</v>
      </c>
      <c r="K592" t="s">
        <v>123</v>
      </c>
      <c r="L592" s="10" t="str">
        <f>VLOOKUP(K592,Accounts!A:B,2,FALSE)</f>
        <v>KBank</v>
      </c>
      <c r="M592" t="s">
        <v>124</v>
      </c>
      <c r="N592" s="10"/>
      <c r="O592" t="s">
        <v>125</v>
      </c>
      <c r="Q592" t="s">
        <v>126</v>
      </c>
      <c r="R592" t="s">
        <v>124</v>
      </c>
      <c r="S592" t="b">
        <v>0</v>
      </c>
      <c r="T592" t="s">
        <v>124</v>
      </c>
    </row>
    <row r="593">
      <c r="A593" t="s">
        <v>1378</v>
      </c>
      <c r="B593" t="s">
        <v>1379</v>
      </c>
      <c r="C593" s="2">
        <v>2024</v>
      </c>
      <c r="D593" s="10">
        <v>11</v>
      </c>
      <c r="E593" s="10">
        <v>5</v>
      </c>
      <c r="F593" t="s">
        <v>370</v>
      </c>
      <c r="G593">
        <v>2320</v>
      </c>
      <c r="H593" t="s">
        <v>128</v>
      </c>
      <c r="I593" t="s">
        <v>136</v>
      </c>
      <c r="J593" s="10" t="str">
        <f>VLOOKUP(I593,Categories!A:B,2,FALSE)</f>
        <v>อื่นๆ</v>
      </c>
      <c r="K593" t="s">
        <v>131</v>
      </c>
      <c r="L593" s="10" t="str">
        <f>VLOOKUP(K593,Accounts!A:B,2,FALSE)</f>
        <v xml:space="preserve">Advance Paid</v>
      </c>
      <c r="M593" t="s">
        <v>178</v>
      </c>
      <c r="N593" s="10" t="str">
        <f>VLOOKUP(M593,Accounts!A:B,2,FALSE)</f>
        <v>SCB</v>
      </c>
      <c r="O593" t="s">
        <v>1380</v>
      </c>
      <c r="Q593" t="s">
        <v>126</v>
      </c>
      <c r="R593" t="s">
        <v>124</v>
      </c>
      <c r="S593" t="b">
        <v>0</v>
      </c>
      <c r="T593" t="s">
        <v>124</v>
      </c>
    </row>
    <row r="594">
      <c r="A594" t="s">
        <v>1381</v>
      </c>
      <c r="B594" t="s">
        <v>1382</v>
      </c>
      <c r="C594" s="2">
        <v>2024</v>
      </c>
      <c r="D594" s="10">
        <v>11</v>
      </c>
      <c r="E594" s="10">
        <v>2</v>
      </c>
      <c r="F594" t="s">
        <v>355</v>
      </c>
      <c r="G594">
        <v>6856.3800000000001</v>
      </c>
      <c r="H594" t="s">
        <v>69</v>
      </c>
      <c r="I594" t="s">
        <v>338</v>
      </c>
      <c r="J594" s="10" t="str">
        <f>VLOOKUP(I594,Categories!A:B,2,FALSE)</f>
        <v>Trips</v>
      </c>
      <c r="K594" t="s">
        <v>123</v>
      </c>
      <c r="L594" s="10" t="str">
        <f>VLOOKUP(K594,Accounts!A:B,2,FALSE)</f>
        <v>KBank</v>
      </c>
      <c r="M594" t="s">
        <v>124</v>
      </c>
      <c r="N594" s="10"/>
      <c r="O594" t="s">
        <v>125</v>
      </c>
      <c r="Q594" t="s">
        <v>126</v>
      </c>
      <c r="R594" t="s">
        <v>124</v>
      </c>
      <c r="S594" t="b">
        <v>0</v>
      </c>
      <c r="T594" t="s">
        <v>124</v>
      </c>
    </row>
    <row r="595">
      <c r="A595" t="s">
        <v>1383</v>
      </c>
      <c r="B595" t="s">
        <v>1382</v>
      </c>
      <c r="C595" s="2">
        <v>2024</v>
      </c>
      <c r="D595" s="10">
        <v>11</v>
      </c>
      <c r="E595" s="10">
        <v>2</v>
      </c>
      <c r="F595" t="s">
        <v>332</v>
      </c>
      <c r="G595">
        <v>1724</v>
      </c>
      <c r="H595" t="s">
        <v>128</v>
      </c>
      <c r="I595" t="s">
        <v>136</v>
      </c>
      <c r="J595" s="10" t="str">
        <f>VLOOKUP(I595,Categories!A:B,2,FALSE)</f>
        <v>อื่นๆ</v>
      </c>
      <c r="K595" t="s">
        <v>131</v>
      </c>
      <c r="L595" s="10" t="str">
        <f>VLOOKUP(K595,Accounts!A:B,2,FALSE)</f>
        <v xml:space="preserve">Advance Paid</v>
      </c>
      <c r="M595" t="s">
        <v>178</v>
      </c>
      <c r="N595" s="10" t="str">
        <f>VLOOKUP(M595,Accounts!A:B,2,FALSE)</f>
        <v>SCB</v>
      </c>
      <c r="O595" t="s">
        <v>1384</v>
      </c>
      <c r="Q595" t="s">
        <v>126</v>
      </c>
      <c r="R595" t="s">
        <v>124</v>
      </c>
      <c r="S595" t="b">
        <v>0</v>
      </c>
      <c r="T595" t="s">
        <v>124</v>
      </c>
    </row>
    <row r="596">
      <c r="A596" t="s">
        <v>1385</v>
      </c>
      <c r="B596" t="s">
        <v>1382</v>
      </c>
      <c r="C596" s="2">
        <v>2024</v>
      </c>
      <c r="D596" s="10">
        <v>11</v>
      </c>
      <c r="E596" s="10">
        <v>2</v>
      </c>
      <c r="F596" t="s">
        <v>326</v>
      </c>
      <c r="G596">
        <v>80</v>
      </c>
      <c r="H596" t="s">
        <v>206</v>
      </c>
      <c r="I596" t="s">
        <v>281</v>
      </c>
      <c r="J596" s="10" t="str">
        <f>VLOOKUP(I596,Categories!A:B,2,FALSE)</f>
        <v>Others</v>
      </c>
      <c r="K596" t="s">
        <v>178</v>
      </c>
      <c r="L596" s="10" t="str">
        <f>VLOOKUP(K596,Accounts!A:B,2,FALSE)</f>
        <v>SCB</v>
      </c>
      <c r="M596" t="s">
        <v>124</v>
      </c>
      <c r="N596" s="10"/>
      <c r="O596" t="s">
        <v>125</v>
      </c>
      <c r="Q596" t="s">
        <v>126</v>
      </c>
      <c r="R596" t="s">
        <v>124</v>
      </c>
      <c r="S596" t="b">
        <v>0</v>
      </c>
      <c r="T596" t="s">
        <v>124</v>
      </c>
    </row>
    <row r="597">
      <c r="A597" t="s">
        <v>1386</v>
      </c>
      <c r="B597" t="s">
        <v>1382</v>
      </c>
      <c r="C597" s="2">
        <v>2024</v>
      </c>
      <c r="D597" s="10">
        <v>11</v>
      </c>
      <c r="E597" s="10">
        <v>2</v>
      </c>
      <c r="F597" t="s">
        <v>1387</v>
      </c>
      <c r="G597">
        <v>1224</v>
      </c>
      <c r="H597" t="s">
        <v>128</v>
      </c>
      <c r="I597" t="s">
        <v>136</v>
      </c>
      <c r="J597" s="10" t="str">
        <f>VLOOKUP(I597,Categories!A:B,2,FALSE)</f>
        <v>อื่นๆ</v>
      </c>
      <c r="K597" t="s">
        <v>123</v>
      </c>
      <c r="L597" s="10" t="str">
        <f>VLOOKUP(K597,Accounts!A:B,2,FALSE)</f>
        <v>KBank</v>
      </c>
      <c r="M597" t="s">
        <v>131</v>
      </c>
      <c r="N597" s="10" t="str">
        <f>VLOOKUP(M597,Accounts!A:B,2,FALSE)</f>
        <v xml:space="preserve">Advance Paid</v>
      </c>
      <c r="O597" t="s">
        <v>1388</v>
      </c>
      <c r="Q597" t="s">
        <v>126</v>
      </c>
      <c r="R597" t="s">
        <v>124</v>
      </c>
      <c r="S597" t="b">
        <v>0</v>
      </c>
      <c r="T597" t="s">
        <v>124</v>
      </c>
    </row>
    <row r="598">
      <c r="A598" t="s">
        <v>1389</v>
      </c>
      <c r="B598" t="s">
        <v>1390</v>
      </c>
      <c r="C598" s="2">
        <v>2024</v>
      </c>
      <c r="D598" s="10">
        <v>10</v>
      </c>
      <c r="E598" s="10">
        <v>31</v>
      </c>
      <c r="F598" t="s">
        <v>345</v>
      </c>
      <c r="G598">
        <v>19000</v>
      </c>
      <c r="H598" t="s">
        <v>69</v>
      </c>
      <c r="I598" t="s">
        <v>134</v>
      </c>
      <c r="J598" s="10" t="str">
        <f>VLOOKUP(I598,Categories!A:B,2,FALSE)</f>
        <v>Hong</v>
      </c>
      <c r="K598" t="s">
        <v>123</v>
      </c>
      <c r="L598" s="10" t="str">
        <f>VLOOKUP(K598,Accounts!A:B,2,FALSE)</f>
        <v>KBank</v>
      </c>
      <c r="M598" t="s">
        <v>124</v>
      </c>
      <c r="N598" s="10"/>
      <c r="O598" t="s">
        <v>125</v>
      </c>
      <c r="Q598" t="s">
        <v>126</v>
      </c>
      <c r="R598" t="s">
        <v>124</v>
      </c>
      <c r="S598" t="b">
        <v>0</v>
      </c>
      <c r="T598" t="s">
        <v>124</v>
      </c>
    </row>
    <row r="599">
      <c r="A599" t="s">
        <v>1391</v>
      </c>
      <c r="B599" t="s">
        <v>1390</v>
      </c>
      <c r="C599" s="2">
        <v>2024</v>
      </c>
      <c r="D599" s="10">
        <v>10</v>
      </c>
      <c r="E599" s="10">
        <v>31</v>
      </c>
      <c r="F599" t="s">
        <v>1392</v>
      </c>
      <c r="G599">
        <v>7590</v>
      </c>
      <c r="H599" t="s">
        <v>128</v>
      </c>
      <c r="I599" t="s">
        <v>136</v>
      </c>
      <c r="J599" s="10" t="str">
        <f>VLOOKUP(I599,Categories!A:B,2,FALSE)</f>
        <v>อื่นๆ</v>
      </c>
      <c r="K599" t="s">
        <v>123</v>
      </c>
      <c r="L599" s="10" t="str">
        <f>VLOOKUP(K599,Accounts!A:B,2,FALSE)</f>
        <v>KBank</v>
      </c>
      <c r="M599" t="s">
        <v>131</v>
      </c>
      <c r="N599" s="10" t="str">
        <f>VLOOKUP(M599,Accounts!A:B,2,FALSE)</f>
        <v xml:space="preserve">Advance Paid</v>
      </c>
      <c r="O599" t="s">
        <v>125</v>
      </c>
      <c r="Q599" t="s">
        <v>126</v>
      </c>
      <c r="R599" t="s">
        <v>124</v>
      </c>
      <c r="S599" t="b">
        <v>0</v>
      </c>
      <c r="T599" t="s">
        <v>124</v>
      </c>
    </row>
    <row r="600">
      <c r="A600" t="s">
        <v>1393</v>
      </c>
      <c r="B600" t="s">
        <v>1390</v>
      </c>
      <c r="C600" s="2">
        <v>2024</v>
      </c>
      <c r="D600" s="10">
        <v>10</v>
      </c>
      <c r="E600" s="10">
        <v>31</v>
      </c>
      <c r="F600" t="s">
        <v>1394</v>
      </c>
      <c r="G600">
        <v>442</v>
      </c>
      <c r="H600" t="s">
        <v>128</v>
      </c>
      <c r="I600" t="s">
        <v>136</v>
      </c>
      <c r="J600" s="10" t="str">
        <f>VLOOKUP(I600,Categories!A:B,2,FALSE)</f>
        <v>อื่นๆ</v>
      </c>
      <c r="K600" t="s">
        <v>215</v>
      </c>
      <c r="L600" s="10" t="str">
        <f>VLOOKUP(K600,Accounts!A:B,2,FALSE)</f>
        <v>Investment</v>
      </c>
      <c r="M600" t="s">
        <v>123</v>
      </c>
      <c r="N600" s="10" t="str">
        <f>VLOOKUP(M600,Accounts!A:B,2,FALSE)</f>
        <v>KBank</v>
      </c>
      <c r="O600" t="s">
        <v>125</v>
      </c>
      <c r="Q600" t="s">
        <v>126</v>
      </c>
      <c r="R600" t="s">
        <v>124</v>
      </c>
      <c r="S600" t="b">
        <v>0</v>
      </c>
      <c r="T600" t="s">
        <v>124</v>
      </c>
    </row>
    <row r="601">
      <c r="A601" t="s">
        <v>1395</v>
      </c>
      <c r="B601" t="s">
        <v>1390</v>
      </c>
      <c r="C601" s="2">
        <v>2024</v>
      </c>
      <c r="D601" s="10">
        <v>10</v>
      </c>
      <c r="E601" s="10">
        <v>31</v>
      </c>
      <c r="F601" t="s">
        <v>1396</v>
      </c>
      <c r="G601">
        <v>4270</v>
      </c>
      <c r="H601" t="s">
        <v>69</v>
      </c>
      <c r="I601" t="s">
        <v>150</v>
      </c>
      <c r="J601" s="10" t="str">
        <f>VLOOKUP(I601,Categories!A:B,2,FALSE)</f>
        <v xml:space="preserve">Food &amp; Coff</v>
      </c>
      <c r="K601" t="s">
        <v>123</v>
      </c>
      <c r="L601" s="10" t="str">
        <f>VLOOKUP(K601,Accounts!A:B,2,FALSE)</f>
        <v>KBank</v>
      </c>
      <c r="M601" t="s">
        <v>124</v>
      </c>
      <c r="N601" s="10"/>
      <c r="O601" t="s">
        <v>125</v>
      </c>
      <c r="Q601" t="s">
        <v>126</v>
      </c>
      <c r="R601" t="s">
        <v>124</v>
      </c>
      <c r="S601" t="b">
        <v>0</v>
      </c>
      <c r="T601" t="s">
        <v>124</v>
      </c>
    </row>
    <row r="602">
      <c r="A602" t="s">
        <v>1397</v>
      </c>
      <c r="B602" t="s">
        <v>1398</v>
      </c>
      <c r="C602" s="2">
        <v>2024</v>
      </c>
      <c r="D602" s="10">
        <v>10</v>
      </c>
      <c r="E602" s="10">
        <v>27</v>
      </c>
      <c r="F602" t="s">
        <v>1399</v>
      </c>
      <c r="G602">
        <v>5000</v>
      </c>
      <c r="H602" t="s">
        <v>69</v>
      </c>
      <c r="I602" t="s">
        <v>144</v>
      </c>
      <c r="J602" s="10" t="str">
        <f>VLOOKUP(I602,Categories!A:B,2,FALSE)</f>
        <v xml:space="preserve">Family paid</v>
      </c>
      <c r="K602" t="s">
        <v>123</v>
      </c>
      <c r="L602" s="10" t="str">
        <f>VLOOKUP(K602,Accounts!A:B,2,FALSE)</f>
        <v>KBank</v>
      </c>
      <c r="M602" t="s">
        <v>124</v>
      </c>
      <c r="N602" s="10"/>
      <c r="O602" t="s">
        <v>125</v>
      </c>
      <c r="Q602" t="s">
        <v>126</v>
      </c>
      <c r="R602" t="s">
        <v>124</v>
      </c>
      <c r="S602" t="b">
        <v>0</v>
      </c>
      <c r="T602" t="s">
        <v>124</v>
      </c>
    </row>
    <row r="603">
      <c r="A603" t="s">
        <v>1400</v>
      </c>
      <c r="B603" t="s">
        <v>1398</v>
      </c>
      <c r="C603" s="2">
        <v>2024</v>
      </c>
      <c r="D603" s="10">
        <v>10</v>
      </c>
      <c r="E603" s="10">
        <v>27</v>
      </c>
      <c r="F603" t="s">
        <v>1399</v>
      </c>
      <c r="G603">
        <v>1078</v>
      </c>
      <c r="H603" t="s">
        <v>69</v>
      </c>
      <c r="I603" t="s">
        <v>144</v>
      </c>
      <c r="J603" s="10" t="str">
        <f>VLOOKUP(I603,Categories!A:B,2,FALSE)</f>
        <v xml:space="preserve">Family paid</v>
      </c>
      <c r="K603" t="s">
        <v>123</v>
      </c>
      <c r="L603" s="10" t="str">
        <f>VLOOKUP(K603,Accounts!A:B,2,FALSE)</f>
        <v>KBank</v>
      </c>
      <c r="M603" t="s">
        <v>124</v>
      </c>
      <c r="N603" s="10"/>
      <c r="O603" t="s">
        <v>1401</v>
      </c>
      <c r="Q603" t="s">
        <v>126</v>
      </c>
      <c r="R603" t="s">
        <v>124</v>
      </c>
      <c r="S603" t="b">
        <v>0</v>
      </c>
      <c r="T603" t="s">
        <v>124</v>
      </c>
    </row>
    <row r="604">
      <c r="A604" t="s">
        <v>1402</v>
      </c>
      <c r="B604" t="s">
        <v>55</v>
      </c>
      <c r="C604" s="2">
        <v>2024</v>
      </c>
      <c r="D604" s="10">
        <v>10</v>
      </c>
      <c r="E604" s="10">
        <v>26</v>
      </c>
      <c r="F604" t="s">
        <v>121</v>
      </c>
      <c r="G604">
        <v>30000</v>
      </c>
      <c r="H604" t="s">
        <v>128</v>
      </c>
      <c r="I604" t="s">
        <v>136</v>
      </c>
      <c r="J604" s="10" t="str">
        <f>VLOOKUP(I604,Categories!A:B,2,FALSE)</f>
        <v>อื่นๆ</v>
      </c>
      <c r="K604" t="s">
        <v>123</v>
      </c>
      <c r="L604" s="10" t="str">
        <f>VLOOKUP(K604,Accounts!A:B,2,FALSE)</f>
        <v>KBank</v>
      </c>
      <c r="M604" t="s">
        <v>215</v>
      </c>
      <c r="N604" s="10" t="str">
        <f>VLOOKUP(M604,Accounts!A:B,2,FALSE)</f>
        <v>Investment</v>
      </c>
      <c r="O604" t="s">
        <v>125</v>
      </c>
      <c r="Q604" t="s">
        <v>126</v>
      </c>
      <c r="R604" t="s">
        <v>124</v>
      </c>
      <c r="S604" t="b">
        <v>0</v>
      </c>
      <c r="T604" t="s">
        <v>124</v>
      </c>
    </row>
    <row r="605">
      <c r="A605" t="s">
        <v>1403</v>
      </c>
      <c r="B605" t="s">
        <v>1404</v>
      </c>
      <c r="C605" s="2">
        <v>2024</v>
      </c>
      <c r="D605" s="10">
        <v>10</v>
      </c>
      <c r="E605" s="10">
        <v>25</v>
      </c>
      <c r="F605" t="s">
        <v>121</v>
      </c>
      <c r="G605">
        <v>3674.1599999999999</v>
      </c>
      <c r="H605" t="s">
        <v>69</v>
      </c>
      <c r="I605" t="s">
        <v>199</v>
      </c>
      <c r="J605" s="10" t="str">
        <f>VLOOKUP(I605,Categories!A:B,2,FALSE)</f>
        <v xml:space="preserve">Home Chomthong Interest</v>
      </c>
      <c r="K605" t="s">
        <v>123</v>
      </c>
      <c r="L605" s="10" t="str">
        <f>VLOOKUP(K605,Accounts!A:B,2,FALSE)</f>
        <v>KBank</v>
      </c>
      <c r="M605" t="s">
        <v>124</v>
      </c>
      <c r="N605" s="10"/>
      <c r="O605" t="s">
        <v>125</v>
      </c>
      <c r="Q605" t="s">
        <v>126</v>
      </c>
      <c r="R605" t="s">
        <v>124</v>
      </c>
      <c r="S605" t="b">
        <v>0</v>
      </c>
      <c r="T605" t="s">
        <v>124</v>
      </c>
    </row>
    <row r="606">
      <c r="A606" t="s">
        <v>1405</v>
      </c>
      <c r="B606" t="s">
        <v>1404</v>
      </c>
      <c r="C606" s="2">
        <v>2024</v>
      </c>
      <c r="D606" s="10">
        <v>10</v>
      </c>
      <c r="E606" s="10">
        <v>25</v>
      </c>
      <c r="F606" t="s">
        <v>121</v>
      </c>
      <c r="G606">
        <v>286.82999999999998</v>
      </c>
      <c r="H606" t="s">
        <v>69</v>
      </c>
      <c r="I606" t="s">
        <v>443</v>
      </c>
      <c r="J606" s="10" t="str">
        <f>VLOOKUP(I606,Categories!A:B,2,FALSE)</f>
        <v xml:space="preserve">City SV Interest</v>
      </c>
      <c r="K606" t="s">
        <v>123</v>
      </c>
      <c r="L606" s="10" t="str">
        <f>VLOOKUP(K606,Accounts!A:B,2,FALSE)</f>
        <v>KBank</v>
      </c>
      <c r="M606" t="s">
        <v>124</v>
      </c>
      <c r="N606" s="10"/>
      <c r="O606" t="s">
        <v>125</v>
      </c>
      <c r="Q606" t="s">
        <v>126</v>
      </c>
      <c r="R606" t="s">
        <v>124</v>
      </c>
      <c r="S606" t="b">
        <v>0</v>
      </c>
      <c r="T606" t="s">
        <v>124</v>
      </c>
    </row>
    <row r="607">
      <c r="A607" t="s">
        <v>1406</v>
      </c>
      <c r="B607" t="s">
        <v>1404</v>
      </c>
      <c r="C607" s="2">
        <v>2024</v>
      </c>
      <c r="D607" s="10">
        <v>10</v>
      </c>
      <c r="E607" s="10">
        <v>25</v>
      </c>
      <c r="F607" t="s">
        <v>121</v>
      </c>
      <c r="G607">
        <v>9165</v>
      </c>
      <c r="H607" t="s">
        <v>128</v>
      </c>
      <c r="I607" t="s">
        <v>136</v>
      </c>
      <c r="J607" s="10" t="str">
        <f>VLOOKUP(I607,Categories!A:B,2,FALSE)</f>
        <v>อื่นๆ</v>
      </c>
      <c r="K607" t="s">
        <v>123</v>
      </c>
      <c r="L607" s="10" t="str">
        <f>VLOOKUP(K607,Accounts!A:B,2,FALSE)</f>
        <v>KBank</v>
      </c>
      <c r="M607" t="s">
        <v>1244</v>
      </c>
      <c r="N607" s="10" t="str">
        <f>VLOOKUP(M607,Accounts!A:B,2,FALSE)</f>
        <v xml:space="preserve">Home chomthong Loan</v>
      </c>
      <c r="O607" t="s">
        <v>125</v>
      </c>
      <c r="Q607" t="s">
        <v>126</v>
      </c>
      <c r="R607" t="s">
        <v>124</v>
      </c>
      <c r="S607" t="b">
        <v>0</v>
      </c>
      <c r="T607" t="s">
        <v>124</v>
      </c>
    </row>
    <row r="608">
      <c r="A608" t="s">
        <v>1407</v>
      </c>
      <c r="B608" t="s">
        <v>1404</v>
      </c>
      <c r="C608" s="2">
        <v>2024</v>
      </c>
      <c r="D608" s="10">
        <v>10</v>
      </c>
      <c r="E608" s="10">
        <v>25</v>
      </c>
      <c r="F608" t="s">
        <v>121</v>
      </c>
      <c r="G608">
        <v>2744</v>
      </c>
      <c r="H608" t="s">
        <v>128</v>
      </c>
      <c r="I608" t="s">
        <v>136</v>
      </c>
      <c r="J608" s="10" t="str">
        <f>VLOOKUP(I608,Categories!A:B,2,FALSE)</f>
        <v>อื่นๆ</v>
      </c>
      <c r="K608" t="s">
        <v>123</v>
      </c>
      <c r="L608" s="10" t="str">
        <f>VLOOKUP(K608,Accounts!A:B,2,FALSE)</f>
        <v>KBank</v>
      </c>
      <c r="M608" t="s">
        <v>203</v>
      </c>
      <c r="N608" s="10" t="str">
        <f>VLOOKUP(M608,Accounts!A:B,2,FALSE)</f>
        <v xml:space="preserve">Provident Fund</v>
      </c>
      <c r="O608" t="s">
        <v>125</v>
      </c>
      <c r="Q608" t="s">
        <v>126</v>
      </c>
      <c r="R608" t="s">
        <v>124</v>
      </c>
      <c r="S608" t="b">
        <v>0</v>
      </c>
      <c r="T608" t="s">
        <v>124</v>
      </c>
    </row>
    <row r="609">
      <c r="A609" t="s">
        <v>1408</v>
      </c>
      <c r="B609" t="s">
        <v>1404</v>
      </c>
      <c r="C609" s="2">
        <v>2024</v>
      </c>
      <c r="D609" s="10">
        <v>10</v>
      </c>
      <c r="E609" s="10">
        <v>25</v>
      </c>
      <c r="F609" t="s">
        <v>121</v>
      </c>
      <c r="G609">
        <v>3123.7399999999998</v>
      </c>
      <c r="H609" t="s">
        <v>69</v>
      </c>
      <c r="I609" t="s">
        <v>195</v>
      </c>
      <c r="J609" s="10" t="str">
        <f>VLOOKUP(I609,Categories!A:B,2,FALSE)</f>
        <v>Tax</v>
      </c>
      <c r="K609" t="s">
        <v>123</v>
      </c>
      <c r="L609" s="10" t="str">
        <f>VLOOKUP(K609,Accounts!A:B,2,FALSE)</f>
        <v>KBank</v>
      </c>
      <c r="M609" t="s">
        <v>124</v>
      </c>
      <c r="N609" s="10"/>
      <c r="O609" t="s">
        <v>125</v>
      </c>
      <c r="Q609" t="s">
        <v>126</v>
      </c>
      <c r="R609" t="s">
        <v>124</v>
      </c>
      <c r="S609" t="b">
        <v>0</v>
      </c>
      <c r="T609" t="s">
        <v>124</v>
      </c>
    </row>
    <row r="610">
      <c r="A610" t="s">
        <v>1409</v>
      </c>
      <c r="B610" t="s">
        <v>1404</v>
      </c>
      <c r="C610" s="2">
        <v>2024</v>
      </c>
      <c r="D610" s="10">
        <v>10</v>
      </c>
      <c r="E610" s="10">
        <v>25</v>
      </c>
      <c r="F610" t="s">
        <v>121</v>
      </c>
      <c r="G610">
        <v>137200</v>
      </c>
      <c r="H610" t="s">
        <v>206</v>
      </c>
      <c r="I610" t="s">
        <v>207</v>
      </c>
      <c r="J610" s="10" t="str">
        <f>VLOOKUP(I610,Categories!A:B,2,FALSE)</f>
        <v>Salary</v>
      </c>
      <c r="K610" t="s">
        <v>123</v>
      </c>
      <c r="L610" s="10" t="str">
        <f>VLOOKUP(K610,Accounts!A:B,2,FALSE)</f>
        <v>KBank</v>
      </c>
      <c r="M610" t="s">
        <v>124</v>
      </c>
      <c r="N610" s="10"/>
      <c r="O610" t="s">
        <v>125</v>
      </c>
      <c r="Q610" t="s">
        <v>126</v>
      </c>
      <c r="R610" t="s">
        <v>124</v>
      </c>
      <c r="S610" t="b">
        <v>0</v>
      </c>
      <c r="T610" t="s">
        <v>124</v>
      </c>
    </row>
    <row r="611">
      <c r="A611" t="s">
        <v>1410</v>
      </c>
      <c r="B611" t="s">
        <v>1404</v>
      </c>
      <c r="C611" s="2">
        <v>2024</v>
      </c>
      <c r="D611" s="10">
        <v>10</v>
      </c>
      <c r="E611" s="10">
        <v>25</v>
      </c>
      <c r="F611" t="s">
        <v>121</v>
      </c>
      <c r="G611">
        <v>9240</v>
      </c>
      <c r="H611" t="s">
        <v>128</v>
      </c>
      <c r="I611" t="s">
        <v>136</v>
      </c>
      <c r="J611" s="10" t="str">
        <f>VLOOKUP(I611,Categories!A:B,2,FALSE)</f>
        <v>อื่นๆ</v>
      </c>
      <c r="K611" t="s">
        <v>123</v>
      </c>
      <c r="L611" s="10" t="str">
        <f>VLOOKUP(K611,Accounts!A:B,2,FALSE)</f>
        <v>KBank</v>
      </c>
      <c r="M611" t="s">
        <v>1246</v>
      </c>
      <c r="N611" s="10" t="str">
        <f>VLOOKUP(M611,Accounts!A:B,2,FALSE)</f>
        <v xml:space="preserve">Car Loan</v>
      </c>
      <c r="O611" t="s">
        <v>125</v>
      </c>
      <c r="Q611" t="s">
        <v>126</v>
      </c>
      <c r="R611" t="s">
        <v>124</v>
      </c>
      <c r="S611" t="b">
        <v>0</v>
      </c>
      <c r="T611" t="s">
        <v>124</v>
      </c>
    </row>
    <row r="612">
      <c r="A612" t="s">
        <v>1411</v>
      </c>
      <c r="B612" t="s">
        <v>1404</v>
      </c>
      <c r="C612" s="2">
        <v>2024</v>
      </c>
      <c r="D612" s="10">
        <v>10</v>
      </c>
      <c r="E612" s="10">
        <v>25</v>
      </c>
      <c r="F612" t="s">
        <v>121</v>
      </c>
      <c r="G612">
        <v>500</v>
      </c>
      <c r="H612" t="s">
        <v>128</v>
      </c>
      <c r="I612" t="s">
        <v>136</v>
      </c>
      <c r="J612" s="10" t="str">
        <f>VLOOKUP(I612,Categories!A:B,2,FALSE)</f>
        <v>อื่นๆ</v>
      </c>
      <c r="K612" t="s">
        <v>123</v>
      </c>
      <c r="L612" s="10" t="str">
        <f>VLOOKUP(K612,Accounts!A:B,2,FALSE)</f>
        <v>KBank</v>
      </c>
      <c r="M612" t="s">
        <v>201</v>
      </c>
      <c r="N612" s="10" t="str">
        <f>VLOOKUP(M612,Accounts!A:B,2,FALSE)</f>
        <v>Coop</v>
      </c>
      <c r="O612" t="s">
        <v>125</v>
      </c>
      <c r="Q612" t="s">
        <v>126</v>
      </c>
      <c r="R612" t="s">
        <v>124</v>
      </c>
      <c r="S612" t="b">
        <v>0</v>
      </c>
      <c r="T612" t="s">
        <v>124</v>
      </c>
    </row>
    <row r="613">
      <c r="A613" t="s">
        <v>1412</v>
      </c>
      <c r="B613" t="s">
        <v>1404</v>
      </c>
      <c r="C613" s="2">
        <v>2024</v>
      </c>
      <c r="D613" s="10">
        <v>10</v>
      </c>
      <c r="E613" s="10">
        <v>25</v>
      </c>
      <c r="F613" t="s">
        <v>859</v>
      </c>
      <c r="G613">
        <v>135</v>
      </c>
      <c r="H613" t="s">
        <v>69</v>
      </c>
      <c r="I613" t="s">
        <v>144</v>
      </c>
      <c r="J613" s="10" t="str">
        <f>VLOOKUP(I613,Categories!A:B,2,FALSE)</f>
        <v xml:space="preserve">Family paid</v>
      </c>
      <c r="K613" t="s">
        <v>123</v>
      </c>
      <c r="L613" s="10" t="str">
        <f>VLOOKUP(K613,Accounts!A:B,2,FALSE)</f>
        <v>KBank</v>
      </c>
      <c r="M613" t="s">
        <v>124</v>
      </c>
      <c r="N613" s="10"/>
      <c r="O613" t="s">
        <v>1413</v>
      </c>
      <c r="Q613" t="s">
        <v>126</v>
      </c>
      <c r="R613" t="s">
        <v>124</v>
      </c>
      <c r="S613" t="b">
        <v>0</v>
      </c>
      <c r="T613" t="s">
        <v>124</v>
      </c>
    </row>
    <row r="614">
      <c r="A614" t="s">
        <v>1414</v>
      </c>
      <c r="B614" t="s">
        <v>1415</v>
      </c>
      <c r="C614" s="2">
        <v>2024</v>
      </c>
      <c r="D614" s="10">
        <v>10</v>
      </c>
      <c r="E614" s="10">
        <v>22</v>
      </c>
      <c r="F614" t="s">
        <v>1416</v>
      </c>
      <c r="G614">
        <v>421</v>
      </c>
      <c r="H614" t="s">
        <v>128</v>
      </c>
      <c r="I614" t="s">
        <v>136</v>
      </c>
      <c r="J614" s="10" t="str">
        <f>VLOOKUP(I614,Categories!A:B,2,FALSE)</f>
        <v>อื่นๆ</v>
      </c>
      <c r="K614" t="s">
        <v>123</v>
      </c>
      <c r="L614" s="10" t="str">
        <f>VLOOKUP(K614,Accounts!A:B,2,FALSE)</f>
        <v>KBank</v>
      </c>
      <c r="M614" t="s">
        <v>131</v>
      </c>
      <c r="N614" s="10" t="str">
        <f>VLOOKUP(M614,Accounts!A:B,2,FALSE)</f>
        <v xml:space="preserve">Advance Paid</v>
      </c>
      <c r="O614" t="s">
        <v>125</v>
      </c>
      <c r="Q614" t="s">
        <v>126</v>
      </c>
      <c r="R614" t="s">
        <v>124</v>
      </c>
      <c r="S614" t="b">
        <v>0</v>
      </c>
      <c r="T614" t="s">
        <v>124</v>
      </c>
    </row>
    <row r="615">
      <c r="A615" t="s">
        <v>1417</v>
      </c>
      <c r="B615" t="s">
        <v>1415</v>
      </c>
      <c r="C615" s="2">
        <v>2024</v>
      </c>
      <c r="D615" s="10">
        <v>10</v>
      </c>
      <c r="E615" s="10">
        <v>22</v>
      </c>
      <c r="F615" t="s">
        <v>1418</v>
      </c>
      <c r="G615">
        <v>2890</v>
      </c>
      <c r="H615" t="s">
        <v>128</v>
      </c>
      <c r="I615" t="s">
        <v>136</v>
      </c>
      <c r="J615" s="10" t="str">
        <f>VLOOKUP(I615,Categories!A:B,2,FALSE)</f>
        <v>อื่นๆ</v>
      </c>
      <c r="K615" t="s">
        <v>123</v>
      </c>
      <c r="L615" s="10" t="str">
        <f>VLOOKUP(K615,Accounts!A:B,2,FALSE)</f>
        <v>KBank</v>
      </c>
      <c r="M615" t="s">
        <v>743</v>
      </c>
      <c r="N615" s="10" t="str">
        <f>VLOOKUP(M615,Accounts!A:B,2,FALSE)</f>
        <v>HOMEPRO</v>
      </c>
      <c r="O615" t="s">
        <v>125</v>
      </c>
      <c r="Q615" t="s">
        <v>126</v>
      </c>
      <c r="R615" t="s">
        <v>124</v>
      </c>
      <c r="S615" t="b">
        <v>0</v>
      </c>
      <c r="T615" t="s">
        <v>124</v>
      </c>
    </row>
    <row r="616">
      <c r="A616" t="s">
        <v>1419</v>
      </c>
      <c r="B616" t="s">
        <v>1415</v>
      </c>
      <c r="C616" s="2">
        <v>2024</v>
      </c>
      <c r="D616" s="10">
        <v>10</v>
      </c>
      <c r="E616" s="10">
        <v>22</v>
      </c>
      <c r="F616" t="s">
        <v>1420</v>
      </c>
      <c r="G616">
        <v>4158</v>
      </c>
      <c r="H616" t="s">
        <v>128</v>
      </c>
      <c r="I616" t="s">
        <v>136</v>
      </c>
      <c r="J616" s="10" t="str">
        <f>VLOOKUP(I616,Categories!A:B,2,FALSE)</f>
        <v>อื่นๆ</v>
      </c>
      <c r="K616" t="s">
        <v>123</v>
      </c>
      <c r="L616" s="10" t="str">
        <f>VLOOKUP(K616,Accounts!A:B,2,FALSE)</f>
        <v>KBank</v>
      </c>
      <c r="M616" t="s">
        <v>1421</v>
      </c>
      <c r="N616" s="10" t="str">
        <f>VLOOKUP(M616,Accounts!A:B,2,FALSE)</f>
        <v>Hong</v>
      </c>
      <c r="O616" t="s">
        <v>125</v>
      </c>
      <c r="Q616" t="s">
        <v>126</v>
      </c>
      <c r="R616" t="s">
        <v>124</v>
      </c>
      <c r="S616" t="b">
        <v>0</v>
      </c>
      <c r="T616" t="s">
        <v>124</v>
      </c>
    </row>
    <row r="617">
      <c r="A617" t="s">
        <v>1422</v>
      </c>
      <c r="B617" t="s">
        <v>1423</v>
      </c>
      <c r="C617" s="2">
        <v>2024</v>
      </c>
      <c r="D617" s="10">
        <v>10</v>
      </c>
      <c r="E617" s="10">
        <v>20</v>
      </c>
      <c r="F617" t="s">
        <v>1424</v>
      </c>
      <c r="G617">
        <v>300</v>
      </c>
      <c r="H617" t="s">
        <v>69</v>
      </c>
      <c r="I617" t="s">
        <v>824</v>
      </c>
      <c r="J617" s="10" t="str">
        <f>VLOOKUP(I617,Categories!A:B,2,FALSE)</f>
        <v>Other</v>
      </c>
      <c r="K617" t="s">
        <v>123</v>
      </c>
      <c r="L617" s="10" t="str">
        <f>VLOOKUP(K617,Accounts!A:B,2,FALSE)</f>
        <v>KBank</v>
      </c>
      <c r="M617" t="s">
        <v>124</v>
      </c>
      <c r="N617" s="10"/>
      <c r="O617" t="s">
        <v>377</v>
      </c>
      <c r="Q617" t="s">
        <v>126</v>
      </c>
      <c r="R617" t="s">
        <v>124</v>
      </c>
      <c r="S617" t="b">
        <v>0</v>
      </c>
      <c r="T617" t="s">
        <v>124</v>
      </c>
    </row>
    <row r="618">
      <c r="A618" t="s">
        <v>1425</v>
      </c>
      <c r="B618" t="s">
        <v>1426</v>
      </c>
      <c r="C618" s="2">
        <v>2024</v>
      </c>
      <c r="D618" s="10">
        <v>10</v>
      </c>
      <c r="E618" s="10">
        <v>10</v>
      </c>
      <c r="F618" t="s">
        <v>234</v>
      </c>
      <c r="G618">
        <v>2890</v>
      </c>
      <c r="H618" t="s">
        <v>69</v>
      </c>
      <c r="I618" t="s">
        <v>141</v>
      </c>
      <c r="J618" s="10" t="str">
        <f>VLOOKUP(I618,Categories!A:B,2,FALSE)</f>
        <v>Other</v>
      </c>
      <c r="K618" t="s">
        <v>743</v>
      </c>
      <c r="L618" s="10" t="str">
        <f>VLOOKUP(K618,Accounts!A:B,2,FALSE)</f>
        <v>HOMEPRO</v>
      </c>
      <c r="M618" t="s">
        <v>124</v>
      </c>
      <c r="N618" s="10"/>
      <c r="O618" t="s">
        <v>1427</v>
      </c>
      <c r="Q618" t="s">
        <v>126</v>
      </c>
      <c r="R618" t="s">
        <v>124</v>
      </c>
      <c r="S618" t="b">
        <v>0</v>
      </c>
      <c r="T618" t="s">
        <v>124</v>
      </c>
    </row>
    <row r="619">
      <c r="A619" t="s">
        <v>1428</v>
      </c>
      <c r="B619" t="s">
        <v>1429</v>
      </c>
      <c r="C619" s="2">
        <v>2024</v>
      </c>
      <c r="D619" s="10">
        <v>10</v>
      </c>
      <c r="E619" s="10">
        <v>5</v>
      </c>
      <c r="F619" t="s">
        <v>533</v>
      </c>
      <c r="G619">
        <v>7382</v>
      </c>
      <c r="H619" t="s">
        <v>69</v>
      </c>
      <c r="I619" t="s">
        <v>141</v>
      </c>
      <c r="J619" s="10" t="str">
        <f>VLOOKUP(I619,Categories!A:B,2,FALSE)</f>
        <v>Other</v>
      </c>
      <c r="K619" t="s">
        <v>123</v>
      </c>
      <c r="L619" s="10" t="str">
        <f>VLOOKUP(K619,Accounts!A:B,2,FALSE)</f>
        <v>KBank</v>
      </c>
      <c r="M619" t="s">
        <v>124</v>
      </c>
      <c r="N619" s="10"/>
      <c r="O619" t="s">
        <v>1430</v>
      </c>
      <c r="Q619" t="s">
        <v>126</v>
      </c>
      <c r="R619" t="s">
        <v>124</v>
      </c>
      <c r="S619" t="b">
        <v>0</v>
      </c>
      <c r="T619" t="s">
        <v>124</v>
      </c>
    </row>
    <row r="620">
      <c r="A620" t="s">
        <v>1431</v>
      </c>
      <c r="B620" t="s">
        <v>1429</v>
      </c>
      <c r="C620" s="2">
        <v>2024</v>
      </c>
      <c r="D620" s="10">
        <v>10</v>
      </c>
      <c r="E620" s="10">
        <v>5</v>
      </c>
      <c r="F620" t="s">
        <v>1432</v>
      </c>
      <c r="G620">
        <v>3992</v>
      </c>
      <c r="H620" t="s">
        <v>69</v>
      </c>
      <c r="I620" t="s">
        <v>150</v>
      </c>
      <c r="J620" s="10" t="str">
        <f>VLOOKUP(I620,Categories!A:B,2,FALSE)</f>
        <v xml:space="preserve">Food &amp; Coff</v>
      </c>
      <c r="K620" t="s">
        <v>123</v>
      </c>
      <c r="L620" s="10" t="str">
        <f>VLOOKUP(K620,Accounts!A:B,2,FALSE)</f>
        <v>KBank</v>
      </c>
      <c r="M620" t="s">
        <v>124</v>
      </c>
      <c r="N620" s="10"/>
      <c r="O620" t="s">
        <v>125</v>
      </c>
      <c r="Q620" t="s">
        <v>126</v>
      </c>
      <c r="R620" t="s">
        <v>124</v>
      </c>
      <c r="S620" t="b">
        <v>0</v>
      </c>
      <c r="T620" t="s">
        <v>124</v>
      </c>
    </row>
    <row r="621">
      <c r="A621" t="s">
        <v>1433</v>
      </c>
      <c r="B621" t="s">
        <v>1429</v>
      </c>
      <c r="C621" s="2">
        <v>2024</v>
      </c>
      <c r="D621" s="10">
        <v>10</v>
      </c>
      <c r="E621" s="10">
        <v>5</v>
      </c>
      <c r="F621" t="s">
        <v>499</v>
      </c>
      <c r="G621">
        <v>1182</v>
      </c>
      <c r="H621" t="s">
        <v>128</v>
      </c>
      <c r="I621" t="s">
        <v>136</v>
      </c>
      <c r="J621" s="10" t="str">
        <f>VLOOKUP(I621,Categories!A:B,2,FALSE)</f>
        <v>อื่นๆ</v>
      </c>
      <c r="K621" t="s">
        <v>213</v>
      </c>
      <c r="L621" s="10" t="str">
        <f>VLOOKUP(K621,Accounts!A:B,2,FALSE)</f>
        <v xml:space="preserve">Krungthai Next</v>
      </c>
      <c r="M621" t="s">
        <v>123</v>
      </c>
      <c r="N621" s="10" t="str">
        <f>VLOOKUP(M621,Accounts!A:B,2,FALSE)</f>
        <v>KBank</v>
      </c>
      <c r="O621" t="s">
        <v>125</v>
      </c>
      <c r="Q621" t="s">
        <v>126</v>
      </c>
      <c r="R621" t="s">
        <v>124</v>
      </c>
      <c r="S621" t="b">
        <v>0</v>
      </c>
      <c r="T621" t="s">
        <v>124</v>
      </c>
    </row>
    <row r="622">
      <c r="A622" t="s">
        <v>1434</v>
      </c>
      <c r="B622" t="s">
        <v>1429</v>
      </c>
      <c r="C622" s="2">
        <v>2024</v>
      </c>
      <c r="D622" s="10">
        <v>10</v>
      </c>
      <c r="E622" s="10">
        <v>5</v>
      </c>
      <c r="F622" t="s">
        <v>482</v>
      </c>
      <c r="G622">
        <v>3119</v>
      </c>
      <c r="H622" t="s">
        <v>206</v>
      </c>
      <c r="I622" t="s">
        <v>254</v>
      </c>
      <c r="J622" s="10" t="str">
        <f>VLOOKUP(I622,Categories!A:B,2,FALSE)</f>
        <v xml:space="preserve">Modified Bal.</v>
      </c>
      <c r="K622" t="s">
        <v>213</v>
      </c>
      <c r="L622" s="10" t="str">
        <f>VLOOKUP(K622,Accounts!A:B,2,FALSE)</f>
        <v xml:space="preserve">Krungthai Next</v>
      </c>
      <c r="M622" t="s">
        <v>124</v>
      </c>
      <c r="N622" s="10"/>
      <c r="O622" t="s">
        <v>255</v>
      </c>
      <c r="Q622" t="s">
        <v>126</v>
      </c>
      <c r="R622" t="s">
        <v>124</v>
      </c>
      <c r="S622" t="b">
        <v>0</v>
      </c>
      <c r="T622" t="s">
        <v>124</v>
      </c>
    </row>
    <row r="623">
      <c r="A623" t="s">
        <v>1435</v>
      </c>
      <c r="B623" t="s">
        <v>1429</v>
      </c>
      <c r="C623" s="2">
        <v>2024</v>
      </c>
      <c r="D623" s="10">
        <v>10</v>
      </c>
      <c r="E623" s="10">
        <v>5</v>
      </c>
      <c r="F623" t="s">
        <v>1436</v>
      </c>
      <c r="G623">
        <v>158.69</v>
      </c>
      <c r="H623" t="s">
        <v>69</v>
      </c>
      <c r="I623" t="s">
        <v>254</v>
      </c>
      <c r="J623" s="10" t="str">
        <f>VLOOKUP(I623,Categories!A:B,2,FALSE)</f>
        <v xml:space="preserve">Modified Bal.</v>
      </c>
      <c r="K623" t="s">
        <v>766</v>
      </c>
      <c r="L623" s="10" t="str">
        <f>VLOOKUP(K623,Accounts!A:B,2,FALSE)</f>
        <v>KRUNGSRI</v>
      </c>
      <c r="M623" t="s">
        <v>124</v>
      </c>
      <c r="N623" s="10"/>
      <c r="O623" t="s">
        <v>255</v>
      </c>
      <c r="Q623" t="s">
        <v>126</v>
      </c>
      <c r="R623" t="s">
        <v>124</v>
      </c>
      <c r="S623" t="b">
        <v>0</v>
      </c>
      <c r="T623" t="s">
        <v>124</v>
      </c>
    </row>
    <row r="624">
      <c r="A624" t="s">
        <v>1437</v>
      </c>
      <c r="B624" t="s">
        <v>1429</v>
      </c>
      <c r="C624" s="2">
        <v>2024</v>
      </c>
      <c r="D624" s="10">
        <v>10</v>
      </c>
      <c r="E624" s="10">
        <v>5</v>
      </c>
      <c r="F624" t="s">
        <v>1438</v>
      </c>
      <c r="G624">
        <v>55177.239999999998</v>
      </c>
      <c r="H624" t="s">
        <v>206</v>
      </c>
      <c r="I624" t="s">
        <v>254</v>
      </c>
      <c r="J624" s="10" t="str">
        <f>VLOOKUP(I624,Categories!A:B,2,FALSE)</f>
        <v xml:space="preserve">Modified Bal.</v>
      </c>
      <c r="K624" t="s">
        <v>844</v>
      </c>
      <c r="L624" s="10" t="str">
        <f>VLOOKUP(K624,Accounts!A:B,2,FALSE)</f>
        <v>BBL</v>
      </c>
      <c r="M624" t="s">
        <v>124</v>
      </c>
      <c r="N624" s="10"/>
      <c r="O624" t="s">
        <v>255</v>
      </c>
      <c r="Q624" t="s">
        <v>126</v>
      </c>
      <c r="R624" t="s">
        <v>124</v>
      </c>
      <c r="S624" t="b">
        <v>0</v>
      </c>
      <c r="T624" t="s">
        <v>124</v>
      </c>
    </row>
    <row r="625">
      <c r="A625" t="s">
        <v>1439</v>
      </c>
      <c r="B625" t="s">
        <v>1429</v>
      </c>
      <c r="C625" s="2">
        <v>2024</v>
      </c>
      <c r="D625" s="10">
        <v>10</v>
      </c>
      <c r="E625" s="10">
        <v>5</v>
      </c>
      <c r="F625" t="s">
        <v>558</v>
      </c>
      <c r="G625">
        <v>1634</v>
      </c>
      <c r="H625" t="s">
        <v>69</v>
      </c>
      <c r="I625" t="s">
        <v>134</v>
      </c>
      <c r="J625" s="10" t="str">
        <f>VLOOKUP(I625,Categories!A:B,2,FALSE)</f>
        <v>Hong</v>
      </c>
      <c r="K625" t="s">
        <v>123</v>
      </c>
      <c r="L625" s="10" t="str">
        <f>VLOOKUP(K625,Accounts!A:B,2,FALSE)</f>
        <v>KBank</v>
      </c>
      <c r="M625" t="s">
        <v>124</v>
      </c>
      <c r="N625" s="10"/>
      <c r="O625" t="s">
        <v>125</v>
      </c>
      <c r="Q625" t="s">
        <v>126</v>
      </c>
      <c r="R625" t="s">
        <v>124</v>
      </c>
      <c r="S625" t="b">
        <v>0</v>
      </c>
      <c r="T625" t="s">
        <v>124</v>
      </c>
    </row>
    <row r="626">
      <c r="A626" t="s">
        <v>1440</v>
      </c>
      <c r="B626" t="s">
        <v>1441</v>
      </c>
      <c r="C626" s="2">
        <v>2024</v>
      </c>
      <c r="D626" s="10">
        <v>9</v>
      </c>
      <c r="E626" s="10">
        <v>29</v>
      </c>
      <c r="F626" t="s">
        <v>804</v>
      </c>
      <c r="G626">
        <v>5000</v>
      </c>
      <c r="H626" t="s">
        <v>69</v>
      </c>
      <c r="I626" t="s">
        <v>144</v>
      </c>
      <c r="J626" s="10" t="str">
        <f>VLOOKUP(I626,Categories!A:B,2,FALSE)</f>
        <v xml:space="preserve">Family paid</v>
      </c>
      <c r="K626" t="s">
        <v>123</v>
      </c>
      <c r="L626" s="10" t="str">
        <f>VLOOKUP(K626,Accounts!A:B,2,FALSE)</f>
        <v>KBank</v>
      </c>
      <c r="M626" t="s">
        <v>124</v>
      </c>
      <c r="N626" s="10"/>
      <c r="O626" t="s">
        <v>125</v>
      </c>
      <c r="Q626" t="s">
        <v>126</v>
      </c>
      <c r="R626" t="s">
        <v>124</v>
      </c>
      <c r="S626" t="b">
        <v>0</v>
      </c>
      <c r="T626" t="s">
        <v>124</v>
      </c>
    </row>
    <row r="627">
      <c r="A627" t="s">
        <v>1442</v>
      </c>
      <c r="B627" t="s">
        <v>1443</v>
      </c>
      <c r="C627" s="2">
        <v>2024</v>
      </c>
      <c r="D627" s="10">
        <v>9</v>
      </c>
      <c r="E627" s="10">
        <v>28</v>
      </c>
      <c r="F627" t="s">
        <v>403</v>
      </c>
      <c r="G627">
        <v>1295</v>
      </c>
      <c r="H627" t="s">
        <v>128</v>
      </c>
      <c r="I627" t="s">
        <v>136</v>
      </c>
      <c r="J627" s="10" t="str">
        <f>VLOOKUP(I627,Categories!A:B,2,FALSE)</f>
        <v>อื่นๆ</v>
      </c>
      <c r="K627" t="s">
        <v>131</v>
      </c>
      <c r="L627" s="10" t="str">
        <f>VLOOKUP(K627,Accounts!A:B,2,FALSE)</f>
        <v xml:space="preserve">Advance Paid</v>
      </c>
      <c r="M627" t="s">
        <v>178</v>
      </c>
      <c r="N627" s="10" t="str">
        <f>VLOOKUP(M627,Accounts!A:B,2,FALSE)</f>
        <v>SCB</v>
      </c>
      <c r="O627" t="s">
        <v>125</v>
      </c>
      <c r="Q627" t="s">
        <v>126</v>
      </c>
      <c r="R627" t="s">
        <v>124</v>
      </c>
      <c r="S627" t="b">
        <v>0</v>
      </c>
      <c r="T627" t="s">
        <v>124</v>
      </c>
    </row>
    <row r="628">
      <c r="A628" t="s">
        <v>1444</v>
      </c>
      <c r="B628" t="s">
        <v>1443</v>
      </c>
      <c r="C628" s="2">
        <v>2024</v>
      </c>
      <c r="D628" s="10">
        <v>9</v>
      </c>
      <c r="E628" s="10">
        <v>28</v>
      </c>
      <c r="F628" t="s">
        <v>871</v>
      </c>
      <c r="G628">
        <v>971</v>
      </c>
      <c r="H628" t="s">
        <v>128</v>
      </c>
      <c r="I628" t="s">
        <v>136</v>
      </c>
      <c r="J628" s="10" t="str">
        <f>VLOOKUP(I628,Categories!A:B,2,FALSE)</f>
        <v>อื่นๆ</v>
      </c>
      <c r="K628" t="s">
        <v>131</v>
      </c>
      <c r="L628" s="10" t="str">
        <f>VLOOKUP(K628,Accounts!A:B,2,FALSE)</f>
        <v xml:space="preserve">Advance Paid</v>
      </c>
      <c r="M628" t="s">
        <v>123</v>
      </c>
      <c r="N628" s="10" t="str">
        <f>VLOOKUP(M628,Accounts!A:B,2,FALSE)</f>
        <v>KBank</v>
      </c>
      <c r="O628" t="s">
        <v>125</v>
      </c>
      <c r="Q628" t="s">
        <v>126</v>
      </c>
      <c r="R628" t="s">
        <v>124</v>
      </c>
      <c r="S628" t="b">
        <v>0</v>
      </c>
      <c r="T628" t="s">
        <v>124</v>
      </c>
    </row>
    <row r="629">
      <c r="A629" t="s">
        <v>1445</v>
      </c>
      <c r="B629" t="s">
        <v>1443</v>
      </c>
      <c r="C629" s="2">
        <v>2024</v>
      </c>
      <c r="D629" s="10">
        <v>9</v>
      </c>
      <c r="E629" s="10">
        <v>28</v>
      </c>
      <c r="F629" t="s">
        <v>1446</v>
      </c>
      <c r="G629">
        <v>6027</v>
      </c>
      <c r="H629" t="s">
        <v>69</v>
      </c>
      <c r="I629" t="s">
        <v>259</v>
      </c>
      <c r="J629" s="10" t="str">
        <f>VLOOKUP(I629,Categories!A:B,2,FALSE)</f>
        <v xml:space="preserve">Team BOT</v>
      </c>
      <c r="K629" t="s">
        <v>123</v>
      </c>
      <c r="L629" s="10" t="str">
        <f>VLOOKUP(K629,Accounts!A:B,2,FALSE)</f>
        <v>KBank</v>
      </c>
      <c r="M629" t="s">
        <v>124</v>
      </c>
      <c r="N629" s="10"/>
      <c r="O629" t="s">
        <v>1447</v>
      </c>
      <c r="Q629" t="s">
        <v>126</v>
      </c>
      <c r="R629" t="s">
        <v>124</v>
      </c>
      <c r="S629" t="b">
        <v>0</v>
      </c>
      <c r="T629" t="s">
        <v>124</v>
      </c>
    </row>
    <row r="630">
      <c r="A630" t="s">
        <v>1448</v>
      </c>
      <c r="B630" t="s">
        <v>1443</v>
      </c>
      <c r="C630" s="2">
        <v>2024</v>
      </c>
      <c r="D630" s="10">
        <v>9</v>
      </c>
      <c r="E630" s="10">
        <v>28</v>
      </c>
      <c r="F630" t="s">
        <v>1449</v>
      </c>
      <c r="G630">
        <v>1206</v>
      </c>
      <c r="H630" t="s">
        <v>69</v>
      </c>
      <c r="I630" t="s">
        <v>134</v>
      </c>
      <c r="J630" s="10" t="str">
        <f>VLOOKUP(I630,Categories!A:B,2,FALSE)</f>
        <v>Hong</v>
      </c>
      <c r="K630" t="s">
        <v>123</v>
      </c>
      <c r="L630" s="10" t="str">
        <f>VLOOKUP(K630,Accounts!A:B,2,FALSE)</f>
        <v>KBank</v>
      </c>
      <c r="M630" t="s">
        <v>124</v>
      </c>
      <c r="N630" s="10"/>
      <c r="O630" t="s">
        <v>1450</v>
      </c>
      <c r="Q630" t="s">
        <v>126</v>
      </c>
      <c r="R630" t="s">
        <v>124</v>
      </c>
      <c r="S630" t="b">
        <v>0</v>
      </c>
      <c r="T630" t="s">
        <v>124</v>
      </c>
    </row>
    <row r="631">
      <c r="A631" t="s">
        <v>1451</v>
      </c>
      <c r="B631" t="s">
        <v>1443</v>
      </c>
      <c r="C631" s="2">
        <v>2024</v>
      </c>
      <c r="D631" s="10">
        <v>9</v>
      </c>
      <c r="E631" s="10">
        <v>28</v>
      </c>
      <c r="F631" t="s">
        <v>1452</v>
      </c>
      <c r="G631">
        <v>396</v>
      </c>
      <c r="H631" t="s">
        <v>69</v>
      </c>
      <c r="I631" t="s">
        <v>144</v>
      </c>
      <c r="J631" s="10" t="str">
        <f>VLOOKUP(I631,Categories!A:B,2,FALSE)</f>
        <v xml:space="preserve">Family paid</v>
      </c>
      <c r="K631" t="s">
        <v>123</v>
      </c>
      <c r="L631" s="10" t="str">
        <f>VLOOKUP(K631,Accounts!A:B,2,FALSE)</f>
        <v>KBank</v>
      </c>
      <c r="M631" t="s">
        <v>124</v>
      </c>
      <c r="N631" s="10"/>
      <c r="O631" t="s">
        <v>1453</v>
      </c>
      <c r="Q631" t="s">
        <v>126</v>
      </c>
      <c r="R631" t="s">
        <v>124</v>
      </c>
      <c r="S631" t="b">
        <v>0</v>
      </c>
      <c r="T631" t="s">
        <v>124</v>
      </c>
    </row>
    <row r="632">
      <c r="A632" t="s">
        <v>1454</v>
      </c>
      <c r="B632" t="s">
        <v>1443</v>
      </c>
      <c r="C632" s="2">
        <v>2024</v>
      </c>
      <c r="D632" s="10">
        <v>9</v>
      </c>
      <c r="E632" s="10">
        <v>28</v>
      </c>
      <c r="F632" t="s">
        <v>1452</v>
      </c>
      <c r="G632">
        <v>1000</v>
      </c>
      <c r="H632" t="s">
        <v>69</v>
      </c>
      <c r="I632" t="s">
        <v>1455</v>
      </c>
      <c r="J632" s="10" t="str">
        <f>VLOOKUP(I632,Categories!A:B,2,FALSE)</f>
        <v xml:space="preserve">Merit and gift</v>
      </c>
      <c r="K632" t="s">
        <v>123</v>
      </c>
      <c r="L632" s="10" t="str">
        <f>VLOOKUP(K632,Accounts!A:B,2,FALSE)</f>
        <v>KBank</v>
      </c>
      <c r="M632" t="s">
        <v>124</v>
      </c>
      <c r="N632" s="10"/>
      <c r="O632" t="s">
        <v>1456</v>
      </c>
      <c r="Q632" t="s">
        <v>126</v>
      </c>
      <c r="R632" t="s">
        <v>124</v>
      </c>
      <c r="S632" t="b">
        <v>0</v>
      </c>
      <c r="T632" t="s">
        <v>124</v>
      </c>
    </row>
    <row r="633">
      <c r="A633" t="s">
        <v>1457</v>
      </c>
      <c r="B633" t="s">
        <v>1443</v>
      </c>
      <c r="C633" s="2">
        <v>2024</v>
      </c>
      <c r="D633" s="10">
        <v>9</v>
      </c>
      <c r="E633" s="10">
        <v>28</v>
      </c>
      <c r="F633" t="s">
        <v>1458</v>
      </c>
      <c r="G633">
        <v>3000</v>
      </c>
      <c r="H633" t="s">
        <v>128</v>
      </c>
      <c r="I633" t="s">
        <v>136</v>
      </c>
      <c r="J633" s="10" t="str">
        <f>VLOOKUP(I633,Categories!A:B,2,FALSE)</f>
        <v>อื่นๆ</v>
      </c>
      <c r="K633" t="s">
        <v>123</v>
      </c>
      <c r="L633" s="10" t="str">
        <f>VLOOKUP(K633,Accounts!A:B,2,FALSE)</f>
        <v>KBank</v>
      </c>
      <c r="M633" t="s">
        <v>747</v>
      </c>
      <c r="N633" s="10" t="str">
        <f>VLOOKUP(M633,Accounts!A:B,2,FALSE)</f>
        <v xml:space="preserve">UOB world</v>
      </c>
      <c r="O633" t="s">
        <v>125</v>
      </c>
      <c r="Q633" t="s">
        <v>126</v>
      </c>
      <c r="R633" t="s">
        <v>124</v>
      </c>
      <c r="S633" t="b">
        <v>0</v>
      </c>
      <c r="T633" t="s">
        <v>124</v>
      </c>
    </row>
    <row r="634">
      <c r="A634" t="s">
        <v>1459</v>
      </c>
      <c r="B634" t="s">
        <v>1460</v>
      </c>
      <c r="C634" s="2">
        <v>2024</v>
      </c>
      <c r="D634" s="10">
        <v>9</v>
      </c>
      <c r="E634" s="10">
        <v>27</v>
      </c>
      <c r="F634" t="s">
        <v>1461</v>
      </c>
      <c r="G634">
        <v>419</v>
      </c>
      <c r="H634" t="s">
        <v>69</v>
      </c>
      <c r="I634" t="s">
        <v>259</v>
      </c>
      <c r="J634" s="10" t="str">
        <f>VLOOKUP(I634,Categories!A:B,2,FALSE)</f>
        <v xml:space="preserve">Team BOT</v>
      </c>
      <c r="K634" t="s">
        <v>123</v>
      </c>
      <c r="L634" s="10" t="str">
        <f>VLOOKUP(K634,Accounts!A:B,2,FALSE)</f>
        <v>KBank</v>
      </c>
      <c r="M634" t="s">
        <v>124</v>
      </c>
      <c r="N634" s="10"/>
      <c r="O634" t="s">
        <v>125</v>
      </c>
      <c r="Q634" t="s">
        <v>126</v>
      </c>
      <c r="R634" t="s">
        <v>124</v>
      </c>
      <c r="S634" t="b">
        <v>0</v>
      </c>
      <c r="T634" t="s">
        <v>124</v>
      </c>
    </row>
    <row r="635">
      <c r="A635" t="s">
        <v>1462</v>
      </c>
      <c r="B635" t="s">
        <v>54</v>
      </c>
      <c r="C635" s="2">
        <v>2024</v>
      </c>
      <c r="D635" s="10">
        <v>9</v>
      </c>
      <c r="E635" s="10">
        <v>26</v>
      </c>
      <c r="F635" t="s">
        <v>121</v>
      </c>
      <c r="G635">
        <v>10000</v>
      </c>
      <c r="H635" t="s">
        <v>128</v>
      </c>
      <c r="I635" t="s">
        <v>136</v>
      </c>
      <c r="J635" s="10" t="str">
        <f>VLOOKUP(I635,Categories!A:B,2,FALSE)</f>
        <v>อื่นๆ</v>
      </c>
      <c r="K635" t="s">
        <v>123</v>
      </c>
      <c r="L635" s="10" t="str">
        <f>VLOOKUP(K635,Accounts!A:B,2,FALSE)</f>
        <v>KBank</v>
      </c>
      <c r="M635" t="s">
        <v>215</v>
      </c>
      <c r="N635" s="10" t="str">
        <f>VLOOKUP(M635,Accounts!A:B,2,FALSE)</f>
        <v>Investment</v>
      </c>
      <c r="O635" t="s">
        <v>125</v>
      </c>
      <c r="Q635" t="s">
        <v>126</v>
      </c>
      <c r="R635" t="s">
        <v>124</v>
      </c>
      <c r="S635" t="b">
        <v>0</v>
      </c>
      <c r="T635" t="s">
        <v>124</v>
      </c>
    </row>
    <row r="636">
      <c r="A636" t="s">
        <v>1463</v>
      </c>
      <c r="B636" t="s">
        <v>54</v>
      </c>
      <c r="C636" s="2">
        <v>2024</v>
      </c>
      <c r="D636" s="10">
        <v>9</v>
      </c>
      <c r="E636" s="10">
        <v>26</v>
      </c>
      <c r="F636" t="s">
        <v>1464</v>
      </c>
      <c r="G636">
        <v>16000</v>
      </c>
      <c r="H636" t="s">
        <v>128</v>
      </c>
      <c r="I636" t="s">
        <v>136</v>
      </c>
      <c r="J636" s="10" t="str">
        <f>VLOOKUP(I636,Categories!A:B,2,FALSE)</f>
        <v>อื่นๆ</v>
      </c>
      <c r="K636" t="s">
        <v>123</v>
      </c>
      <c r="L636" s="10" t="str">
        <f>VLOOKUP(K636,Accounts!A:B,2,FALSE)</f>
        <v>KBank</v>
      </c>
      <c r="M636" t="s">
        <v>215</v>
      </c>
      <c r="N636" s="10" t="str">
        <f>VLOOKUP(M636,Accounts!A:B,2,FALSE)</f>
        <v>Investment</v>
      </c>
      <c r="O636" t="s">
        <v>125</v>
      </c>
      <c r="Q636" t="s">
        <v>126</v>
      </c>
      <c r="R636" t="s">
        <v>124</v>
      </c>
      <c r="S636" t="b">
        <v>0</v>
      </c>
      <c r="T636" t="s">
        <v>124</v>
      </c>
    </row>
    <row r="637">
      <c r="A637" t="s">
        <v>1465</v>
      </c>
      <c r="B637" t="s">
        <v>1466</v>
      </c>
      <c r="C637" s="2">
        <v>2024</v>
      </c>
      <c r="D637" s="10">
        <v>9</v>
      </c>
      <c r="E637" s="10">
        <v>25</v>
      </c>
      <c r="F637" t="s">
        <v>121</v>
      </c>
      <c r="G637">
        <v>267.85000000000002</v>
      </c>
      <c r="H637" t="s">
        <v>69</v>
      </c>
      <c r="I637" t="s">
        <v>443</v>
      </c>
      <c r="J637" s="10" t="str">
        <f>VLOOKUP(I637,Categories!A:B,2,FALSE)</f>
        <v xml:space="preserve">City SV Interest</v>
      </c>
      <c r="K637" t="s">
        <v>123</v>
      </c>
      <c r="L637" s="10" t="str">
        <f>VLOOKUP(K637,Accounts!A:B,2,FALSE)</f>
        <v>KBank</v>
      </c>
      <c r="M637" t="s">
        <v>124</v>
      </c>
      <c r="N637" s="10"/>
      <c r="O637" t="s">
        <v>125</v>
      </c>
      <c r="Q637" t="s">
        <v>126</v>
      </c>
      <c r="R637" t="s">
        <v>124</v>
      </c>
      <c r="S637" t="b">
        <v>0</v>
      </c>
      <c r="T637" t="s">
        <v>124</v>
      </c>
    </row>
    <row r="638">
      <c r="A638" t="s">
        <v>1467</v>
      </c>
      <c r="B638" t="s">
        <v>1466</v>
      </c>
      <c r="C638" s="2">
        <v>2024</v>
      </c>
      <c r="D638" s="10">
        <v>9</v>
      </c>
      <c r="E638" s="10">
        <v>25</v>
      </c>
      <c r="F638" t="s">
        <v>121</v>
      </c>
      <c r="G638">
        <v>3243.4000000000001</v>
      </c>
      <c r="H638" t="s">
        <v>69</v>
      </c>
      <c r="I638" t="s">
        <v>199</v>
      </c>
      <c r="J638" s="10" t="str">
        <f>VLOOKUP(I638,Categories!A:B,2,FALSE)</f>
        <v xml:space="preserve">Home Chomthong Interest</v>
      </c>
      <c r="K638" t="s">
        <v>123</v>
      </c>
      <c r="L638" s="10" t="str">
        <f>VLOOKUP(K638,Accounts!A:B,2,FALSE)</f>
        <v>KBank</v>
      </c>
      <c r="M638" t="s">
        <v>124</v>
      </c>
      <c r="N638" s="10"/>
      <c r="O638" t="s">
        <v>125</v>
      </c>
      <c r="Q638" t="s">
        <v>126</v>
      </c>
      <c r="R638" t="s">
        <v>124</v>
      </c>
      <c r="S638" t="b">
        <v>0</v>
      </c>
      <c r="T638" t="s">
        <v>124</v>
      </c>
    </row>
    <row r="639">
      <c r="A639" t="s">
        <v>1468</v>
      </c>
      <c r="B639" t="s">
        <v>1466</v>
      </c>
      <c r="C639" s="2">
        <v>2024</v>
      </c>
      <c r="D639" s="10">
        <v>9</v>
      </c>
      <c r="E639" s="10">
        <v>25</v>
      </c>
      <c r="F639" t="s">
        <v>121</v>
      </c>
      <c r="G639">
        <v>3123.7399999999998</v>
      </c>
      <c r="H639" t="s">
        <v>69</v>
      </c>
      <c r="I639" t="s">
        <v>195</v>
      </c>
      <c r="J639" s="10" t="str">
        <f>VLOOKUP(I639,Categories!A:B,2,FALSE)</f>
        <v>Tax</v>
      </c>
      <c r="K639" t="s">
        <v>123</v>
      </c>
      <c r="L639" s="10" t="str">
        <f>VLOOKUP(K639,Accounts!A:B,2,FALSE)</f>
        <v>KBank</v>
      </c>
      <c r="M639" t="s">
        <v>124</v>
      </c>
      <c r="N639" s="10"/>
      <c r="O639" t="s">
        <v>125</v>
      </c>
      <c r="Q639" t="s">
        <v>126</v>
      </c>
      <c r="R639" t="s">
        <v>124</v>
      </c>
      <c r="S639" t="b">
        <v>0</v>
      </c>
      <c r="T639" t="s">
        <v>124</v>
      </c>
    </row>
    <row r="640">
      <c r="A640" t="s">
        <v>1469</v>
      </c>
      <c r="B640" t="s">
        <v>1466</v>
      </c>
      <c r="C640" s="2">
        <v>2024</v>
      </c>
      <c r="D640" s="10">
        <v>9</v>
      </c>
      <c r="E640" s="10">
        <v>25</v>
      </c>
      <c r="F640" t="s">
        <v>121</v>
      </c>
      <c r="G640">
        <v>2744</v>
      </c>
      <c r="H640" t="s">
        <v>128</v>
      </c>
      <c r="I640" t="s">
        <v>136</v>
      </c>
      <c r="J640" s="10" t="str">
        <f>VLOOKUP(I640,Categories!A:B,2,FALSE)</f>
        <v>อื่นๆ</v>
      </c>
      <c r="K640" t="s">
        <v>123</v>
      </c>
      <c r="L640" s="10" t="str">
        <f>VLOOKUP(K640,Accounts!A:B,2,FALSE)</f>
        <v>KBank</v>
      </c>
      <c r="M640" t="s">
        <v>203</v>
      </c>
      <c r="N640" s="10" t="str">
        <f>VLOOKUP(M640,Accounts!A:B,2,FALSE)</f>
        <v xml:space="preserve">Provident Fund</v>
      </c>
      <c r="O640" t="s">
        <v>125</v>
      </c>
      <c r="Q640" t="s">
        <v>126</v>
      </c>
      <c r="R640" t="s">
        <v>124</v>
      </c>
      <c r="S640" t="b">
        <v>0</v>
      </c>
      <c r="T640" t="s">
        <v>124</v>
      </c>
    </row>
    <row r="641">
      <c r="A641" t="s">
        <v>1470</v>
      </c>
      <c r="B641" t="s">
        <v>1466</v>
      </c>
      <c r="C641" s="2">
        <v>2024</v>
      </c>
      <c r="D641" s="10">
        <v>9</v>
      </c>
      <c r="E641" s="10">
        <v>25</v>
      </c>
      <c r="F641" t="s">
        <v>121</v>
      </c>
      <c r="G641">
        <v>137200</v>
      </c>
      <c r="H641" t="s">
        <v>206</v>
      </c>
      <c r="I641" t="s">
        <v>207</v>
      </c>
      <c r="J641" s="10" t="str">
        <f>VLOOKUP(I641,Categories!A:B,2,FALSE)</f>
        <v>Salary</v>
      </c>
      <c r="K641" t="s">
        <v>123</v>
      </c>
      <c r="L641" s="10" t="str">
        <f>VLOOKUP(K641,Accounts!A:B,2,FALSE)</f>
        <v>KBank</v>
      </c>
      <c r="M641" t="s">
        <v>124</v>
      </c>
      <c r="N641" s="10"/>
      <c r="O641" t="s">
        <v>125</v>
      </c>
      <c r="Q641" t="s">
        <v>126</v>
      </c>
      <c r="R641" t="s">
        <v>124</v>
      </c>
      <c r="S641" t="b">
        <v>0</v>
      </c>
      <c r="T641" t="s">
        <v>124</v>
      </c>
    </row>
    <row r="642">
      <c r="A642" t="s">
        <v>1471</v>
      </c>
      <c r="B642" t="s">
        <v>1466</v>
      </c>
      <c r="C642" s="2">
        <v>2024</v>
      </c>
      <c r="D642" s="10">
        <v>9</v>
      </c>
      <c r="E642" s="10">
        <v>25</v>
      </c>
      <c r="F642" t="s">
        <v>121</v>
      </c>
      <c r="G642">
        <v>9240</v>
      </c>
      <c r="H642" t="s">
        <v>128</v>
      </c>
      <c r="I642" t="s">
        <v>136</v>
      </c>
      <c r="J642" s="10" t="str">
        <f>VLOOKUP(I642,Categories!A:B,2,FALSE)</f>
        <v>อื่นๆ</v>
      </c>
      <c r="K642" t="s">
        <v>123</v>
      </c>
      <c r="L642" s="10" t="str">
        <f>VLOOKUP(K642,Accounts!A:B,2,FALSE)</f>
        <v>KBank</v>
      </c>
      <c r="M642" t="s">
        <v>1246</v>
      </c>
      <c r="N642" s="10" t="str">
        <f>VLOOKUP(M642,Accounts!A:B,2,FALSE)</f>
        <v xml:space="preserve">Car Loan</v>
      </c>
      <c r="O642" t="s">
        <v>125</v>
      </c>
      <c r="Q642" t="s">
        <v>126</v>
      </c>
      <c r="R642" t="s">
        <v>124</v>
      </c>
      <c r="S642" t="b">
        <v>0</v>
      </c>
      <c r="T642" t="s">
        <v>124</v>
      </c>
    </row>
    <row r="643">
      <c r="A643" t="s">
        <v>1472</v>
      </c>
      <c r="B643" t="s">
        <v>1466</v>
      </c>
      <c r="C643" s="2">
        <v>2024</v>
      </c>
      <c r="D643" s="10">
        <v>9</v>
      </c>
      <c r="E643" s="10">
        <v>25</v>
      </c>
      <c r="F643" t="s">
        <v>121</v>
      </c>
      <c r="G643">
        <v>8540</v>
      </c>
      <c r="H643" t="s">
        <v>128</v>
      </c>
      <c r="I643" t="s">
        <v>136</v>
      </c>
      <c r="J643" s="10" t="str">
        <f>VLOOKUP(I643,Categories!A:B,2,FALSE)</f>
        <v>อื่นๆ</v>
      </c>
      <c r="K643" t="s">
        <v>123</v>
      </c>
      <c r="L643" s="10" t="str">
        <f>VLOOKUP(K643,Accounts!A:B,2,FALSE)</f>
        <v>KBank</v>
      </c>
      <c r="M643" t="s">
        <v>1244</v>
      </c>
      <c r="N643" s="10" t="str">
        <f>VLOOKUP(M643,Accounts!A:B,2,FALSE)</f>
        <v xml:space="preserve">Home chomthong Loan</v>
      </c>
      <c r="O643" t="s">
        <v>125</v>
      </c>
      <c r="Q643" t="s">
        <v>126</v>
      </c>
      <c r="R643" t="s">
        <v>124</v>
      </c>
      <c r="S643" t="b">
        <v>0</v>
      </c>
      <c r="T643" t="s">
        <v>124</v>
      </c>
    </row>
    <row r="644">
      <c r="A644" t="s">
        <v>1473</v>
      </c>
      <c r="B644" t="s">
        <v>1466</v>
      </c>
      <c r="C644" s="2">
        <v>2024</v>
      </c>
      <c r="D644" s="10">
        <v>9</v>
      </c>
      <c r="E644" s="10">
        <v>25</v>
      </c>
      <c r="F644" t="s">
        <v>121</v>
      </c>
      <c r="G644">
        <v>500</v>
      </c>
      <c r="H644" t="s">
        <v>128</v>
      </c>
      <c r="I644" t="s">
        <v>136</v>
      </c>
      <c r="J644" s="10" t="str">
        <f>VLOOKUP(I644,Categories!A:B,2,FALSE)</f>
        <v>อื่นๆ</v>
      </c>
      <c r="K644" t="s">
        <v>123</v>
      </c>
      <c r="L644" s="10" t="str">
        <f>VLOOKUP(K644,Accounts!A:B,2,FALSE)</f>
        <v>KBank</v>
      </c>
      <c r="M644" t="s">
        <v>201</v>
      </c>
      <c r="N644" s="10" t="str">
        <f>VLOOKUP(M644,Accounts!A:B,2,FALSE)</f>
        <v>Coop</v>
      </c>
      <c r="O644" t="s">
        <v>125</v>
      </c>
      <c r="Q644" t="s">
        <v>126</v>
      </c>
      <c r="R644" t="s">
        <v>124</v>
      </c>
      <c r="S644" t="b">
        <v>0</v>
      </c>
      <c r="T644" t="s">
        <v>124</v>
      </c>
    </row>
    <row r="645">
      <c r="A645" t="s">
        <v>1474</v>
      </c>
      <c r="B645" t="s">
        <v>1475</v>
      </c>
      <c r="C645" s="2">
        <v>2024</v>
      </c>
      <c r="D645" s="10">
        <v>9</v>
      </c>
      <c r="E645" s="10">
        <v>21</v>
      </c>
      <c r="F645" t="s">
        <v>1476</v>
      </c>
      <c r="G645">
        <v>971</v>
      </c>
      <c r="H645" t="s">
        <v>128</v>
      </c>
      <c r="I645" t="s">
        <v>136</v>
      </c>
      <c r="J645" s="10" t="str">
        <f>VLOOKUP(I645,Categories!A:B,2,FALSE)</f>
        <v>อื่นๆ</v>
      </c>
      <c r="K645" t="s">
        <v>123</v>
      </c>
      <c r="L645" s="10" t="str">
        <f>VLOOKUP(K645,Accounts!A:B,2,FALSE)</f>
        <v>KBank</v>
      </c>
      <c r="M645" t="s">
        <v>131</v>
      </c>
      <c r="N645" s="10" t="str">
        <f>VLOOKUP(M645,Accounts!A:B,2,FALSE)</f>
        <v xml:space="preserve">Advance Paid</v>
      </c>
      <c r="O645" t="s">
        <v>125</v>
      </c>
      <c r="Q645" t="s">
        <v>126</v>
      </c>
      <c r="R645" t="s">
        <v>124</v>
      </c>
      <c r="S645" t="b">
        <v>0</v>
      </c>
      <c r="T645" t="s">
        <v>124</v>
      </c>
    </row>
    <row r="646">
      <c r="A646" t="s">
        <v>1477</v>
      </c>
      <c r="B646" t="s">
        <v>1475</v>
      </c>
      <c r="C646" s="2">
        <v>2024</v>
      </c>
      <c r="D646" s="10">
        <v>9</v>
      </c>
      <c r="E646" s="10">
        <v>21</v>
      </c>
      <c r="F646" t="s">
        <v>871</v>
      </c>
      <c r="G646">
        <v>347</v>
      </c>
      <c r="H646" t="s">
        <v>206</v>
      </c>
      <c r="I646" t="s">
        <v>281</v>
      </c>
      <c r="J646" s="10" t="str">
        <f>VLOOKUP(I646,Categories!A:B,2,FALSE)</f>
        <v>Others</v>
      </c>
      <c r="K646" t="s">
        <v>123</v>
      </c>
      <c r="L646" s="10" t="str">
        <f>VLOOKUP(K646,Accounts!A:B,2,FALSE)</f>
        <v>KBank</v>
      </c>
      <c r="M646" t="s">
        <v>124</v>
      </c>
      <c r="N646" s="10"/>
      <c r="O646" t="s">
        <v>125</v>
      </c>
      <c r="Q646" t="s">
        <v>126</v>
      </c>
      <c r="R646" t="s">
        <v>124</v>
      </c>
      <c r="S646" t="b">
        <v>0</v>
      </c>
      <c r="T646" t="s">
        <v>124</v>
      </c>
    </row>
    <row r="647">
      <c r="A647" t="s">
        <v>1478</v>
      </c>
      <c r="B647" t="s">
        <v>1479</v>
      </c>
      <c r="C647" s="2">
        <v>2024</v>
      </c>
      <c r="D647" s="10">
        <v>9</v>
      </c>
      <c r="E647" s="10">
        <v>20</v>
      </c>
      <c r="F647" t="s">
        <v>1480</v>
      </c>
      <c r="G647">
        <v>1156</v>
      </c>
      <c r="H647" t="s">
        <v>69</v>
      </c>
      <c r="I647" t="s">
        <v>259</v>
      </c>
      <c r="J647" s="10" t="str">
        <f>VLOOKUP(I647,Categories!A:B,2,FALSE)</f>
        <v xml:space="preserve">Team BOT</v>
      </c>
      <c r="K647" t="s">
        <v>123</v>
      </c>
      <c r="L647" s="10" t="str">
        <f>VLOOKUP(K647,Accounts!A:B,2,FALSE)</f>
        <v>KBank</v>
      </c>
      <c r="M647" t="s">
        <v>124</v>
      </c>
      <c r="N647" s="10"/>
      <c r="O647" t="s">
        <v>1481</v>
      </c>
      <c r="Q647" t="s">
        <v>126</v>
      </c>
      <c r="R647" t="s">
        <v>124</v>
      </c>
      <c r="S647" t="b">
        <v>0</v>
      </c>
      <c r="T647" t="s">
        <v>124</v>
      </c>
    </row>
    <row r="648">
      <c r="A648" t="s">
        <v>1482</v>
      </c>
      <c r="B648" t="s">
        <v>1483</v>
      </c>
      <c r="C648" s="2">
        <v>2024</v>
      </c>
      <c r="D648" s="10">
        <v>9</v>
      </c>
      <c r="E648" s="10">
        <v>19</v>
      </c>
      <c r="F648" t="s">
        <v>1480</v>
      </c>
      <c r="G648">
        <v>855</v>
      </c>
      <c r="H648" t="s">
        <v>69</v>
      </c>
      <c r="I648" t="s">
        <v>259</v>
      </c>
      <c r="J648" s="10" t="str">
        <f>VLOOKUP(I648,Categories!A:B,2,FALSE)</f>
        <v xml:space="preserve">Team BOT</v>
      </c>
      <c r="K648" t="s">
        <v>123</v>
      </c>
      <c r="L648" s="10" t="str">
        <f>VLOOKUP(K648,Accounts!A:B,2,FALSE)</f>
        <v>KBank</v>
      </c>
      <c r="M648" t="s">
        <v>124</v>
      </c>
      <c r="N648" s="10"/>
      <c r="O648" t="s">
        <v>1484</v>
      </c>
      <c r="Q648" t="s">
        <v>126</v>
      </c>
      <c r="R648" t="s">
        <v>124</v>
      </c>
      <c r="S648" t="b">
        <v>0</v>
      </c>
      <c r="T648" t="s">
        <v>124</v>
      </c>
    </row>
    <row r="649">
      <c r="A649" t="s">
        <v>1485</v>
      </c>
      <c r="B649" t="s">
        <v>1486</v>
      </c>
      <c r="C649" s="2">
        <v>2024</v>
      </c>
      <c r="D649" s="10">
        <v>9</v>
      </c>
      <c r="E649" s="10">
        <v>14</v>
      </c>
      <c r="F649" t="s">
        <v>1487</v>
      </c>
      <c r="G649">
        <v>300</v>
      </c>
      <c r="H649" t="s">
        <v>69</v>
      </c>
      <c r="I649" t="s">
        <v>150</v>
      </c>
      <c r="J649" s="10" t="str">
        <f>VLOOKUP(I649,Categories!A:B,2,FALSE)</f>
        <v xml:space="preserve">Food &amp; Coff</v>
      </c>
      <c r="K649" t="s">
        <v>123</v>
      </c>
      <c r="L649" s="10" t="str">
        <f>VLOOKUP(K649,Accounts!A:B,2,FALSE)</f>
        <v>KBank</v>
      </c>
      <c r="M649" t="s">
        <v>124</v>
      </c>
      <c r="N649" s="10"/>
      <c r="O649" t="s">
        <v>1488</v>
      </c>
      <c r="Q649" t="s">
        <v>126</v>
      </c>
      <c r="R649" t="s">
        <v>124</v>
      </c>
      <c r="S649" t="b">
        <v>0</v>
      </c>
      <c r="T649" t="s">
        <v>124</v>
      </c>
    </row>
    <row r="650">
      <c r="A650" t="s">
        <v>1489</v>
      </c>
      <c r="B650" t="s">
        <v>1490</v>
      </c>
      <c r="C650" s="2">
        <v>2024</v>
      </c>
      <c r="D650" s="10">
        <v>9</v>
      </c>
      <c r="E650" s="10">
        <v>11</v>
      </c>
      <c r="F650" t="s">
        <v>1491</v>
      </c>
      <c r="G650">
        <v>2600</v>
      </c>
      <c r="H650" t="s">
        <v>69</v>
      </c>
      <c r="I650" t="s">
        <v>259</v>
      </c>
      <c r="J650" s="10" t="str">
        <f>VLOOKUP(I650,Categories!A:B,2,FALSE)</f>
        <v xml:space="preserve">Team BOT</v>
      </c>
      <c r="K650" t="s">
        <v>123</v>
      </c>
      <c r="L650" s="10" t="str">
        <f>VLOOKUP(K650,Accounts!A:B,2,FALSE)</f>
        <v>KBank</v>
      </c>
      <c r="M650" t="s">
        <v>124</v>
      </c>
      <c r="N650" s="10"/>
      <c r="O650" t="s">
        <v>1492</v>
      </c>
      <c r="Q650" t="s">
        <v>126</v>
      </c>
      <c r="R650" t="s">
        <v>124</v>
      </c>
      <c r="S650" t="b">
        <v>0</v>
      </c>
      <c r="T650" t="s">
        <v>124</v>
      </c>
    </row>
    <row r="651">
      <c r="A651" t="s">
        <v>1493</v>
      </c>
      <c r="B651" t="s">
        <v>1494</v>
      </c>
      <c r="C651" s="2">
        <v>2024</v>
      </c>
      <c r="D651" s="10">
        <v>9</v>
      </c>
      <c r="E651" s="10">
        <v>10</v>
      </c>
      <c r="F651" t="s">
        <v>1495</v>
      </c>
      <c r="G651">
        <v>903.5</v>
      </c>
      <c r="H651" t="s">
        <v>128</v>
      </c>
      <c r="I651" t="s">
        <v>136</v>
      </c>
      <c r="J651" s="10" t="str">
        <f>VLOOKUP(I651,Categories!A:B,2,FALSE)</f>
        <v>อื่นๆ</v>
      </c>
      <c r="K651" t="s">
        <v>123</v>
      </c>
      <c r="L651" s="10" t="str">
        <f>VLOOKUP(K651,Accounts!A:B,2,FALSE)</f>
        <v>KBank</v>
      </c>
      <c r="M651" t="s">
        <v>131</v>
      </c>
      <c r="N651" s="10" t="str">
        <f>VLOOKUP(M651,Accounts!A:B,2,FALSE)</f>
        <v xml:space="preserve">Advance Paid</v>
      </c>
      <c r="O651" t="s">
        <v>621</v>
      </c>
      <c r="Q651" t="s">
        <v>126</v>
      </c>
      <c r="R651" t="s">
        <v>124</v>
      </c>
      <c r="S651" t="b">
        <v>0</v>
      </c>
      <c r="T651" t="s">
        <v>124</v>
      </c>
    </row>
    <row r="652">
      <c r="A652" t="s">
        <v>1496</v>
      </c>
      <c r="B652" t="s">
        <v>1497</v>
      </c>
      <c r="C652" s="2">
        <v>2024</v>
      </c>
      <c r="D652" s="10">
        <v>9</v>
      </c>
      <c r="E652" s="10">
        <v>8</v>
      </c>
      <c r="F652" t="s">
        <v>1498</v>
      </c>
      <c r="G652">
        <v>7646.3000000000002</v>
      </c>
      <c r="H652" t="s">
        <v>69</v>
      </c>
      <c r="I652" t="s">
        <v>139</v>
      </c>
      <c r="J652" s="10" t="str">
        <f>VLOOKUP(I652,Categories!A:B,2,FALSE)</f>
        <v>Condo</v>
      </c>
      <c r="K652" t="s">
        <v>123</v>
      </c>
      <c r="L652" s="10" t="str">
        <f>VLOOKUP(K652,Accounts!A:B,2,FALSE)</f>
        <v>KBank</v>
      </c>
      <c r="M652" t="s">
        <v>124</v>
      </c>
      <c r="N652" s="10"/>
      <c r="O652" t="s">
        <v>125</v>
      </c>
      <c r="Q652" t="s">
        <v>126</v>
      </c>
      <c r="R652" t="s">
        <v>124</v>
      </c>
      <c r="S652" t="b">
        <v>0</v>
      </c>
      <c r="T652" t="s">
        <v>124</v>
      </c>
    </row>
    <row r="653">
      <c r="A653" t="s">
        <v>1499</v>
      </c>
      <c r="B653" t="s">
        <v>1497</v>
      </c>
      <c r="C653" s="2">
        <v>2024</v>
      </c>
      <c r="D653" s="10">
        <v>9</v>
      </c>
      <c r="E653" s="10">
        <v>8</v>
      </c>
      <c r="F653" t="s">
        <v>1500</v>
      </c>
      <c r="G653">
        <v>3000</v>
      </c>
      <c r="H653" t="s">
        <v>128</v>
      </c>
      <c r="I653" t="s">
        <v>136</v>
      </c>
      <c r="J653" s="10" t="str">
        <f>VLOOKUP(I653,Categories!A:B,2,FALSE)</f>
        <v>อื่นๆ</v>
      </c>
      <c r="K653" t="s">
        <v>747</v>
      </c>
      <c r="L653" s="10" t="str">
        <f>VLOOKUP(K653,Accounts!A:B,2,FALSE)</f>
        <v xml:space="preserve">UOB world</v>
      </c>
      <c r="M653" t="s">
        <v>178</v>
      </c>
      <c r="N653" s="10" t="str">
        <f>VLOOKUP(M653,Accounts!A:B,2,FALSE)</f>
        <v>SCB</v>
      </c>
      <c r="O653" t="s">
        <v>125</v>
      </c>
      <c r="Q653" t="s">
        <v>126</v>
      </c>
      <c r="R653" t="s">
        <v>124</v>
      </c>
      <c r="S653" t="b">
        <v>0</v>
      </c>
      <c r="T653" t="s">
        <v>124</v>
      </c>
    </row>
    <row r="654">
      <c r="A654" t="s">
        <v>1501</v>
      </c>
      <c r="B654" t="s">
        <v>1497</v>
      </c>
      <c r="C654" s="2">
        <v>2024</v>
      </c>
      <c r="D654" s="10">
        <v>9</v>
      </c>
      <c r="E654" s="10">
        <v>8</v>
      </c>
      <c r="F654" t="s">
        <v>1502</v>
      </c>
      <c r="G654">
        <v>19000</v>
      </c>
      <c r="H654" t="s">
        <v>69</v>
      </c>
      <c r="I654" t="s">
        <v>134</v>
      </c>
      <c r="J654" s="10" t="str">
        <f>VLOOKUP(I654,Categories!A:B,2,FALSE)</f>
        <v>Hong</v>
      </c>
      <c r="K654" t="s">
        <v>178</v>
      </c>
      <c r="L654" s="10" t="str">
        <f>VLOOKUP(K654,Accounts!A:B,2,FALSE)</f>
        <v>SCB</v>
      </c>
      <c r="M654" t="s">
        <v>124</v>
      </c>
      <c r="N654" s="10"/>
      <c r="O654" t="s">
        <v>125</v>
      </c>
      <c r="Q654" t="s">
        <v>126</v>
      </c>
      <c r="R654" t="s">
        <v>124</v>
      </c>
      <c r="S654" t="b">
        <v>0</v>
      </c>
      <c r="T654" t="s">
        <v>124</v>
      </c>
    </row>
    <row r="655">
      <c r="A655" t="s">
        <v>1503</v>
      </c>
      <c r="B655" t="s">
        <v>1497</v>
      </c>
      <c r="C655" s="2">
        <v>2024</v>
      </c>
      <c r="D655" s="10">
        <v>9</v>
      </c>
      <c r="E655" s="10">
        <v>8</v>
      </c>
      <c r="F655" t="s">
        <v>407</v>
      </c>
      <c r="G655">
        <v>20000</v>
      </c>
      <c r="H655" t="s">
        <v>128</v>
      </c>
      <c r="I655" t="s">
        <v>136</v>
      </c>
      <c r="J655" s="10" t="str">
        <f>VLOOKUP(I655,Categories!A:B,2,FALSE)</f>
        <v>อื่นๆ</v>
      </c>
      <c r="K655" t="s">
        <v>844</v>
      </c>
      <c r="L655" s="10" t="str">
        <f>VLOOKUP(K655,Accounts!A:B,2,FALSE)</f>
        <v>BBL</v>
      </c>
      <c r="M655" t="s">
        <v>178</v>
      </c>
      <c r="N655" s="10" t="str">
        <f>VLOOKUP(M655,Accounts!A:B,2,FALSE)</f>
        <v>SCB</v>
      </c>
      <c r="O655" t="s">
        <v>125</v>
      </c>
      <c r="Q655" t="s">
        <v>126</v>
      </c>
      <c r="R655" t="s">
        <v>124</v>
      </c>
      <c r="S655" t="b">
        <v>0</v>
      </c>
      <c r="T655" t="s">
        <v>124</v>
      </c>
    </row>
    <row r="656">
      <c r="A656" t="s">
        <v>1504</v>
      </c>
      <c r="B656" t="s">
        <v>1505</v>
      </c>
      <c r="C656" s="2">
        <v>2024</v>
      </c>
      <c r="D656" s="10">
        <v>9</v>
      </c>
      <c r="E656" s="10">
        <v>3</v>
      </c>
      <c r="F656" t="s">
        <v>1506</v>
      </c>
      <c r="G656">
        <v>300</v>
      </c>
      <c r="H656" t="s">
        <v>69</v>
      </c>
      <c r="I656" t="s">
        <v>150</v>
      </c>
      <c r="J656" s="10" t="str">
        <f>VLOOKUP(I656,Categories!A:B,2,FALSE)</f>
        <v xml:space="preserve">Food &amp; Coff</v>
      </c>
      <c r="K656" t="s">
        <v>123</v>
      </c>
      <c r="L656" s="10" t="str">
        <f>VLOOKUP(K656,Accounts!A:B,2,FALSE)</f>
        <v>KBank</v>
      </c>
      <c r="M656" t="s">
        <v>124</v>
      </c>
      <c r="N656" s="10"/>
      <c r="O656" t="s">
        <v>125</v>
      </c>
      <c r="Q656" t="s">
        <v>126</v>
      </c>
      <c r="R656" t="s">
        <v>124</v>
      </c>
      <c r="S656" t="b">
        <v>0</v>
      </c>
      <c r="T656" t="s">
        <v>124</v>
      </c>
    </row>
    <row r="657">
      <c r="A657" t="s">
        <v>1507</v>
      </c>
      <c r="B657" t="s">
        <v>1505</v>
      </c>
      <c r="C657" s="2">
        <v>2024</v>
      </c>
      <c r="D657" s="10">
        <v>9</v>
      </c>
      <c r="E657" s="10">
        <v>3</v>
      </c>
      <c r="F657" t="s">
        <v>1506</v>
      </c>
      <c r="G657">
        <v>80</v>
      </c>
      <c r="H657" t="s">
        <v>69</v>
      </c>
      <c r="I657" t="s">
        <v>1508</v>
      </c>
      <c r="J657" s="10" t="str">
        <f>VLOOKUP(I657,Categories!A:B,2,FALSE)</f>
        <v>Other</v>
      </c>
      <c r="K657" t="s">
        <v>425</v>
      </c>
      <c r="L657" s="10" t="str">
        <f>VLOOKUP(K657,Accounts!A:B,2,FALSE)</f>
        <v>Cash</v>
      </c>
      <c r="M657" t="s">
        <v>124</v>
      </c>
      <c r="N657" s="10"/>
      <c r="O657" t="s">
        <v>125</v>
      </c>
      <c r="Q657" t="s">
        <v>126</v>
      </c>
      <c r="R657" t="s">
        <v>124</v>
      </c>
      <c r="S657" t="b">
        <v>0</v>
      </c>
      <c r="T657" t="s">
        <v>124</v>
      </c>
    </row>
    <row r="658">
      <c r="A658" t="s">
        <v>1509</v>
      </c>
      <c r="B658" t="s">
        <v>1505</v>
      </c>
      <c r="C658" s="2">
        <v>2024</v>
      </c>
      <c r="D658" s="10">
        <v>9</v>
      </c>
      <c r="E658" s="10">
        <v>3</v>
      </c>
      <c r="F658" t="s">
        <v>1510</v>
      </c>
      <c r="G658">
        <v>-1232</v>
      </c>
      <c r="H658" t="s">
        <v>69</v>
      </c>
      <c r="I658" t="s">
        <v>254</v>
      </c>
      <c r="J658" s="10" t="str">
        <f>VLOOKUP(I658,Categories!A:B,2,FALSE)</f>
        <v xml:space="preserve">Modified Bal.</v>
      </c>
      <c r="K658" t="s">
        <v>137</v>
      </c>
      <c r="L658" s="10" t="str">
        <f>VLOOKUP(K658,Accounts!A:B,2,FALSE)</f>
        <v xml:space="preserve">Make Kbank</v>
      </c>
      <c r="M658" t="s">
        <v>124</v>
      </c>
      <c r="N658" s="10"/>
      <c r="O658" t="s">
        <v>255</v>
      </c>
      <c r="Q658" t="s">
        <v>126</v>
      </c>
      <c r="R658" t="s">
        <v>124</v>
      </c>
      <c r="S658" t="b">
        <v>0</v>
      </c>
      <c r="T658" t="s">
        <v>124</v>
      </c>
    </row>
    <row r="659">
      <c r="A659" t="s">
        <v>1511</v>
      </c>
      <c r="B659" t="s">
        <v>1512</v>
      </c>
      <c r="C659" s="2">
        <v>2024</v>
      </c>
      <c r="D659" s="10">
        <v>9</v>
      </c>
      <c r="E659" s="10">
        <v>2</v>
      </c>
      <c r="F659" t="s">
        <v>1513</v>
      </c>
      <c r="G659">
        <v>4952.2799999999997</v>
      </c>
      <c r="H659" t="s">
        <v>128</v>
      </c>
      <c r="I659" t="s">
        <v>136</v>
      </c>
      <c r="J659" s="10" t="str">
        <f>VLOOKUP(I659,Categories!A:B,2,FALSE)</f>
        <v>อื่นๆ</v>
      </c>
      <c r="K659" t="s">
        <v>123</v>
      </c>
      <c r="L659" s="10" t="str">
        <f>VLOOKUP(K659,Accounts!A:B,2,FALSE)</f>
        <v>KBank</v>
      </c>
      <c r="M659" t="s">
        <v>137</v>
      </c>
      <c r="N659" s="10" t="str">
        <f>VLOOKUP(M659,Accounts!A:B,2,FALSE)</f>
        <v xml:space="preserve">Make Kbank</v>
      </c>
      <c r="O659" t="s">
        <v>125</v>
      </c>
      <c r="Q659" t="s">
        <v>126</v>
      </c>
      <c r="R659" t="s">
        <v>124</v>
      </c>
      <c r="S659" t="b">
        <v>0</v>
      </c>
      <c r="T659" t="s">
        <v>124</v>
      </c>
    </row>
    <row r="660">
      <c r="A660" t="s">
        <v>1514</v>
      </c>
      <c r="B660" t="s">
        <v>1515</v>
      </c>
      <c r="C660" s="2">
        <v>2024</v>
      </c>
      <c r="D660" s="10">
        <v>9</v>
      </c>
      <c r="E660" s="10">
        <v>1</v>
      </c>
      <c r="F660" t="s">
        <v>1097</v>
      </c>
      <c r="G660">
        <v>5000</v>
      </c>
      <c r="H660" t="s">
        <v>69</v>
      </c>
      <c r="I660" t="s">
        <v>144</v>
      </c>
      <c r="J660" s="10" t="str">
        <f>VLOOKUP(I660,Categories!A:B,2,FALSE)</f>
        <v xml:space="preserve">Family paid</v>
      </c>
      <c r="K660" t="s">
        <v>123</v>
      </c>
      <c r="L660" s="10" t="str">
        <f>VLOOKUP(K660,Accounts!A:B,2,FALSE)</f>
        <v>KBank</v>
      </c>
      <c r="M660" t="s">
        <v>124</v>
      </c>
      <c r="N660" s="10"/>
      <c r="O660" t="s">
        <v>125</v>
      </c>
      <c r="Q660" t="s">
        <v>126</v>
      </c>
      <c r="R660" t="s">
        <v>124</v>
      </c>
      <c r="S660" t="b">
        <v>0</v>
      </c>
      <c r="T660" t="s">
        <v>124</v>
      </c>
    </row>
    <row r="661">
      <c r="A661" t="s">
        <v>1516</v>
      </c>
      <c r="B661" t="s">
        <v>1517</v>
      </c>
      <c r="C661" s="2">
        <v>2024</v>
      </c>
      <c r="D661" s="10">
        <v>8</v>
      </c>
      <c r="E661" s="10">
        <v>31</v>
      </c>
      <c r="F661" t="s">
        <v>1518</v>
      </c>
      <c r="G661">
        <v>5699</v>
      </c>
      <c r="H661" t="s">
        <v>69</v>
      </c>
      <c r="I661" t="s">
        <v>134</v>
      </c>
      <c r="J661" s="10" t="str">
        <f>VLOOKUP(I661,Categories!A:B,2,FALSE)</f>
        <v>Hong</v>
      </c>
      <c r="K661" t="s">
        <v>123</v>
      </c>
      <c r="L661" s="10" t="str">
        <f>VLOOKUP(K661,Accounts!A:B,2,FALSE)</f>
        <v>KBank</v>
      </c>
      <c r="M661" t="s">
        <v>124</v>
      </c>
      <c r="N661" s="10"/>
      <c r="O661" t="s">
        <v>1519</v>
      </c>
      <c r="Q661" t="s">
        <v>126</v>
      </c>
      <c r="R661" t="s">
        <v>124</v>
      </c>
      <c r="S661" t="b">
        <v>0</v>
      </c>
      <c r="T661" t="s">
        <v>124</v>
      </c>
    </row>
    <row r="662">
      <c r="A662" t="s">
        <v>1520</v>
      </c>
      <c r="B662" t="s">
        <v>1517</v>
      </c>
      <c r="C662" s="2">
        <v>2024</v>
      </c>
      <c r="D662" s="10">
        <v>8</v>
      </c>
      <c r="E662" s="10">
        <v>31</v>
      </c>
      <c r="F662" t="s">
        <v>1521</v>
      </c>
      <c r="G662">
        <v>5793</v>
      </c>
      <c r="H662" t="s">
        <v>69</v>
      </c>
      <c r="I662" t="s">
        <v>141</v>
      </c>
      <c r="J662" s="10" t="str">
        <f>VLOOKUP(I662,Categories!A:B,2,FALSE)</f>
        <v>Other</v>
      </c>
      <c r="K662" t="s">
        <v>123</v>
      </c>
      <c r="L662" s="10" t="str">
        <f>VLOOKUP(K662,Accounts!A:B,2,FALSE)</f>
        <v>KBank</v>
      </c>
      <c r="M662" t="s">
        <v>124</v>
      </c>
      <c r="N662" s="10"/>
      <c r="O662" t="s">
        <v>125</v>
      </c>
      <c r="Q662" t="s">
        <v>126</v>
      </c>
      <c r="R662" t="s">
        <v>124</v>
      </c>
      <c r="S662" t="b">
        <v>0</v>
      </c>
      <c r="T662" t="s">
        <v>124</v>
      </c>
    </row>
    <row r="663">
      <c r="A663" t="s">
        <v>1522</v>
      </c>
      <c r="B663" t="s">
        <v>1517</v>
      </c>
      <c r="C663" s="2">
        <v>2024</v>
      </c>
      <c r="D663" s="10">
        <v>8</v>
      </c>
      <c r="E663" s="10">
        <v>31</v>
      </c>
      <c r="F663" t="s">
        <v>1523</v>
      </c>
      <c r="G663">
        <v>887</v>
      </c>
      <c r="H663" t="s">
        <v>69</v>
      </c>
      <c r="I663" t="s">
        <v>141</v>
      </c>
      <c r="J663" s="10" t="str">
        <f>VLOOKUP(I663,Categories!A:B,2,FALSE)</f>
        <v>Other</v>
      </c>
      <c r="K663" t="s">
        <v>123</v>
      </c>
      <c r="L663" s="10" t="str">
        <f>VLOOKUP(K663,Accounts!A:B,2,FALSE)</f>
        <v>KBank</v>
      </c>
      <c r="M663" t="s">
        <v>124</v>
      </c>
      <c r="N663" s="10"/>
      <c r="O663" t="s">
        <v>125</v>
      </c>
      <c r="Q663" t="s">
        <v>126</v>
      </c>
      <c r="R663" t="s">
        <v>124</v>
      </c>
      <c r="S663" t="b">
        <v>0</v>
      </c>
      <c r="T663" t="s">
        <v>124</v>
      </c>
    </row>
    <row r="664">
      <c r="A664" t="s">
        <v>1524</v>
      </c>
      <c r="B664" t="s">
        <v>1517</v>
      </c>
      <c r="C664" s="2">
        <v>2024</v>
      </c>
      <c r="D664" s="10">
        <v>8</v>
      </c>
      <c r="E664" s="10">
        <v>31</v>
      </c>
      <c r="F664" t="s">
        <v>1525</v>
      </c>
      <c r="G664">
        <v>3999</v>
      </c>
      <c r="H664" t="s">
        <v>69</v>
      </c>
      <c r="I664" t="s">
        <v>259</v>
      </c>
      <c r="J664" s="10" t="str">
        <f>VLOOKUP(I664,Categories!A:B,2,FALSE)</f>
        <v xml:space="preserve">Team BOT</v>
      </c>
      <c r="K664" t="s">
        <v>123</v>
      </c>
      <c r="L664" s="10" t="str">
        <f>VLOOKUP(K664,Accounts!A:B,2,FALSE)</f>
        <v>KBank</v>
      </c>
      <c r="M664" t="s">
        <v>124</v>
      </c>
      <c r="N664" s="10"/>
      <c r="O664" t="s">
        <v>1526</v>
      </c>
      <c r="Q664" t="s">
        <v>126</v>
      </c>
      <c r="R664" t="s">
        <v>124</v>
      </c>
      <c r="S664" t="b">
        <v>0</v>
      </c>
      <c r="T664" t="s">
        <v>124</v>
      </c>
    </row>
    <row r="665">
      <c r="A665" t="s">
        <v>1527</v>
      </c>
      <c r="B665" t="s">
        <v>1517</v>
      </c>
      <c r="C665" s="2">
        <v>2024</v>
      </c>
      <c r="D665" s="10">
        <v>8</v>
      </c>
      <c r="E665" s="10">
        <v>31</v>
      </c>
      <c r="F665" t="s">
        <v>1525</v>
      </c>
      <c r="G665">
        <v>3270</v>
      </c>
      <c r="H665" t="s">
        <v>69</v>
      </c>
      <c r="I665" t="s">
        <v>144</v>
      </c>
      <c r="J665" s="10" t="str">
        <f>VLOOKUP(I665,Categories!A:B,2,FALSE)</f>
        <v xml:space="preserve">Family paid</v>
      </c>
      <c r="K665" t="s">
        <v>123</v>
      </c>
      <c r="L665" s="10" t="str">
        <f>VLOOKUP(K665,Accounts!A:B,2,FALSE)</f>
        <v>KBank</v>
      </c>
      <c r="M665" t="s">
        <v>124</v>
      </c>
      <c r="N665" s="10"/>
      <c r="O665" t="s">
        <v>1528</v>
      </c>
      <c r="Q665" t="s">
        <v>126</v>
      </c>
      <c r="R665" t="s">
        <v>124</v>
      </c>
      <c r="S665" t="b">
        <v>0</v>
      </c>
      <c r="T665" t="s">
        <v>124</v>
      </c>
    </row>
    <row r="666">
      <c r="A666" t="s">
        <v>1529</v>
      </c>
      <c r="B666" t="s">
        <v>1517</v>
      </c>
      <c r="C666" s="2">
        <v>2024</v>
      </c>
      <c r="D666" s="10">
        <v>8</v>
      </c>
      <c r="E666" s="10">
        <v>31</v>
      </c>
      <c r="F666" t="s">
        <v>1530</v>
      </c>
      <c r="G666">
        <v>319.67000000000002</v>
      </c>
      <c r="H666" t="s">
        <v>69</v>
      </c>
      <c r="I666" t="s">
        <v>144</v>
      </c>
      <c r="J666" s="10" t="str">
        <f>VLOOKUP(I666,Categories!A:B,2,FALSE)</f>
        <v xml:space="preserve">Family paid</v>
      </c>
      <c r="K666" t="s">
        <v>123</v>
      </c>
      <c r="L666" s="10" t="str">
        <f>VLOOKUP(K666,Accounts!A:B,2,FALSE)</f>
        <v>KBank</v>
      </c>
      <c r="M666" t="s">
        <v>124</v>
      </c>
      <c r="N666" s="10"/>
      <c r="O666" t="s">
        <v>125</v>
      </c>
      <c r="Q666" t="s">
        <v>126</v>
      </c>
      <c r="R666" t="s">
        <v>124</v>
      </c>
      <c r="S666" t="b">
        <v>0</v>
      </c>
      <c r="T666" t="s">
        <v>124</v>
      </c>
    </row>
    <row r="667">
      <c r="A667" t="s">
        <v>1531</v>
      </c>
      <c r="B667" t="s">
        <v>1517</v>
      </c>
      <c r="C667" s="2">
        <v>2024</v>
      </c>
      <c r="D667" s="10">
        <v>8</v>
      </c>
      <c r="E667" s="10">
        <v>31</v>
      </c>
      <c r="F667" t="s">
        <v>1532</v>
      </c>
      <c r="G667">
        <v>4952</v>
      </c>
      <c r="H667" t="s">
        <v>69</v>
      </c>
      <c r="I667" t="s">
        <v>150</v>
      </c>
      <c r="J667" s="10" t="str">
        <f>VLOOKUP(I667,Categories!A:B,2,FALSE)</f>
        <v xml:space="preserve">Food &amp; Coff</v>
      </c>
      <c r="K667" t="s">
        <v>137</v>
      </c>
      <c r="L667" s="10" t="str">
        <f>VLOOKUP(K667,Accounts!A:B,2,FALSE)</f>
        <v xml:space="preserve">Make Kbank</v>
      </c>
      <c r="M667" t="s">
        <v>124</v>
      </c>
      <c r="N667" s="10"/>
      <c r="O667" t="s">
        <v>125</v>
      </c>
      <c r="Q667" t="s">
        <v>126</v>
      </c>
      <c r="R667" t="s">
        <v>124</v>
      </c>
      <c r="S667" t="b">
        <v>0</v>
      </c>
      <c r="T667" t="s">
        <v>124</v>
      </c>
    </row>
    <row r="668">
      <c r="A668" t="s">
        <v>1533</v>
      </c>
      <c r="B668" t="s">
        <v>1517</v>
      </c>
      <c r="C668" s="2">
        <v>2024</v>
      </c>
      <c r="D668" s="10">
        <v>8</v>
      </c>
      <c r="E668" s="10">
        <v>31</v>
      </c>
      <c r="F668" t="s">
        <v>1534</v>
      </c>
      <c r="G668">
        <v>435</v>
      </c>
      <c r="H668" t="s">
        <v>69</v>
      </c>
      <c r="I668" t="s">
        <v>144</v>
      </c>
      <c r="J668" s="10" t="str">
        <f>VLOOKUP(I668,Categories!A:B,2,FALSE)</f>
        <v xml:space="preserve">Family paid</v>
      </c>
      <c r="K668" t="s">
        <v>123</v>
      </c>
      <c r="L668" s="10" t="str">
        <f>VLOOKUP(K668,Accounts!A:B,2,FALSE)</f>
        <v>KBank</v>
      </c>
      <c r="M668" t="s">
        <v>124</v>
      </c>
      <c r="N668" s="10"/>
      <c r="O668" t="s">
        <v>1535</v>
      </c>
      <c r="Q668" t="s">
        <v>126</v>
      </c>
      <c r="R668" t="s">
        <v>124</v>
      </c>
      <c r="S668" t="b">
        <v>0</v>
      </c>
      <c r="T668" t="s">
        <v>124</v>
      </c>
    </row>
    <row r="669">
      <c r="A669" t="s">
        <v>1536</v>
      </c>
      <c r="B669" t="s">
        <v>1517</v>
      </c>
      <c r="C669" s="2">
        <v>2024</v>
      </c>
      <c r="D669" s="10">
        <v>8</v>
      </c>
      <c r="E669" s="10">
        <v>31</v>
      </c>
      <c r="F669" t="s">
        <v>1537</v>
      </c>
      <c r="G669">
        <v>1500</v>
      </c>
      <c r="H669" t="s">
        <v>69</v>
      </c>
      <c r="I669" t="s">
        <v>150</v>
      </c>
      <c r="J669" s="10" t="str">
        <f>VLOOKUP(I669,Categories!A:B,2,FALSE)</f>
        <v xml:space="preserve">Food &amp; Coff</v>
      </c>
      <c r="K669" t="s">
        <v>123</v>
      </c>
      <c r="L669" s="10" t="str">
        <f>VLOOKUP(K669,Accounts!A:B,2,FALSE)</f>
        <v>KBank</v>
      </c>
      <c r="M669" t="s">
        <v>124</v>
      </c>
      <c r="N669" s="10"/>
      <c r="O669" t="s">
        <v>125</v>
      </c>
      <c r="Q669" t="s">
        <v>126</v>
      </c>
      <c r="R669" t="s">
        <v>124</v>
      </c>
      <c r="S669" t="b">
        <v>0</v>
      </c>
      <c r="T669" t="s">
        <v>124</v>
      </c>
    </row>
    <row r="670">
      <c r="A670" t="s">
        <v>1538</v>
      </c>
      <c r="B670" t="s">
        <v>1517</v>
      </c>
      <c r="C670" s="2">
        <v>2024</v>
      </c>
      <c r="D670" s="10">
        <v>8</v>
      </c>
      <c r="E670" s="10">
        <v>31</v>
      </c>
      <c r="F670" t="s">
        <v>1537</v>
      </c>
      <c r="G670">
        <v>300</v>
      </c>
      <c r="H670" t="s">
        <v>69</v>
      </c>
      <c r="I670" t="s">
        <v>1339</v>
      </c>
      <c r="J670" s="10" t="str">
        <f>VLOOKUP(I670,Categories!A:B,2,FALSE)</f>
        <v>Manga</v>
      </c>
      <c r="K670" t="s">
        <v>123</v>
      </c>
      <c r="L670" s="10" t="str">
        <f>VLOOKUP(K670,Accounts!A:B,2,FALSE)</f>
        <v>KBank</v>
      </c>
      <c r="M670" t="s">
        <v>124</v>
      </c>
      <c r="N670" s="10"/>
      <c r="O670" t="s">
        <v>125</v>
      </c>
      <c r="Q670" t="s">
        <v>126</v>
      </c>
      <c r="R670" t="s">
        <v>124</v>
      </c>
      <c r="S670" t="b">
        <v>0</v>
      </c>
      <c r="T670" t="s">
        <v>124</v>
      </c>
    </row>
    <row r="671">
      <c r="A671" t="s">
        <v>1539</v>
      </c>
      <c r="B671" t="s">
        <v>1517</v>
      </c>
      <c r="C671" s="2">
        <v>2024</v>
      </c>
      <c r="D671" s="10">
        <v>8</v>
      </c>
      <c r="E671" s="10">
        <v>31</v>
      </c>
      <c r="F671" t="s">
        <v>1540</v>
      </c>
      <c r="G671">
        <v>693</v>
      </c>
      <c r="H671" t="s">
        <v>69</v>
      </c>
      <c r="I671" t="s">
        <v>150</v>
      </c>
      <c r="J671" s="10" t="str">
        <f>VLOOKUP(I671,Categories!A:B,2,FALSE)</f>
        <v xml:space="preserve">Food &amp; Coff</v>
      </c>
      <c r="K671" t="s">
        <v>123</v>
      </c>
      <c r="L671" s="10" t="str">
        <f>VLOOKUP(K671,Accounts!A:B,2,FALSE)</f>
        <v>KBank</v>
      </c>
      <c r="M671" t="s">
        <v>124</v>
      </c>
      <c r="N671" s="10"/>
      <c r="O671" t="s">
        <v>125</v>
      </c>
      <c r="Q671" t="s">
        <v>126</v>
      </c>
      <c r="R671" t="s">
        <v>124</v>
      </c>
      <c r="S671" t="b">
        <v>0</v>
      </c>
      <c r="T671" t="s">
        <v>124</v>
      </c>
    </row>
    <row r="672">
      <c r="A672" t="s">
        <v>1541</v>
      </c>
      <c r="B672" t="s">
        <v>1517</v>
      </c>
      <c r="C672" s="2">
        <v>2024</v>
      </c>
      <c r="D672" s="10">
        <v>8</v>
      </c>
      <c r="E672" s="10">
        <v>31</v>
      </c>
      <c r="F672" t="s">
        <v>437</v>
      </c>
      <c r="G672">
        <v>270</v>
      </c>
      <c r="H672" t="s">
        <v>69</v>
      </c>
      <c r="I672" t="s">
        <v>150</v>
      </c>
      <c r="J672" s="10" t="str">
        <f>VLOOKUP(I672,Categories!A:B,2,FALSE)</f>
        <v xml:space="preserve">Food &amp; Coff</v>
      </c>
      <c r="K672" t="s">
        <v>123</v>
      </c>
      <c r="L672" s="10" t="str">
        <f>VLOOKUP(K672,Accounts!A:B,2,FALSE)</f>
        <v>KBank</v>
      </c>
      <c r="M672" t="s">
        <v>124</v>
      </c>
      <c r="N672" s="10"/>
      <c r="O672" t="s">
        <v>125</v>
      </c>
      <c r="Q672" t="s">
        <v>126</v>
      </c>
      <c r="R672" t="s">
        <v>124</v>
      </c>
      <c r="S672" t="b">
        <v>0</v>
      </c>
      <c r="T672" t="s">
        <v>124</v>
      </c>
    </row>
    <row r="673">
      <c r="A673" t="s">
        <v>1542</v>
      </c>
      <c r="B673" t="s">
        <v>1517</v>
      </c>
      <c r="C673" s="2">
        <v>2024</v>
      </c>
      <c r="D673" s="10">
        <v>8</v>
      </c>
      <c r="E673" s="10">
        <v>31</v>
      </c>
      <c r="F673" t="s">
        <v>1299</v>
      </c>
      <c r="G673">
        <v>1270</v>
      </c>
      <c r="H673" t="s">
        <v>69</v>
      </c>
      <c r="I673" t="s">
        <v>150</v>
      </c>
      <c r="J673" s="10" t="str">
        <f>VLOOKUP(I673,Categories!A:B,2,FALSE)</f>
        <v xml:space="preserve">Food &amp; Coff</v>
      </c>
      <c r="K673" t="s">
        <v>123</v>
      </c>
      <c r="L673" s="10" t="str">
        <f>VLOOKUP(K673,Accounts!A:B,2,FALSE)</f>
        <v>KBank</v>
      </c>
      <c r="M673" t="s">
        <v>124</v>
      </c>
      <c r="N673" s="10"/>
      <c r="O673" t="s">
        <v>125</v>
      </c>
      <c r="Q673" t="s">
        <v>126</v>
      </c>
      <c r="R673" t="s">
        <v>124</v>
      </c>
      <c r="S673" t="b">
        <v>0</v>
      </c>
      <c r="T673" t="s">
        <v>124</v>
      </c>
    </row>
    <row r="674">
      <c r="A674" t="s">
        <v>1543</v>
      </c>
      <c r="B674" t="s">
        <v>1544</v>
      </c>
      <c r="C674" s="2">
        <v>2024</v>
      </c>
      <c r="D674" s="10">
        <v>8</v>
      </c>
      <c r="E674" s="10">
        <v>30</v>
      </c>
      <c r="F674" t="s">
        <v>1190</v>
      </c>
      <c r="G674">
        <v>270</v>
      </c>
      <c r="H674" t="s">
        <v>69</v>
      </c>
      <c r="I674" t="s">
        <v>134</v>
      </c>
      <c r="J674" s="10" t="str">
        <f>VLOOKUP(I674,Categories!A:B,2,FALSE)</f>
        <v>Hong</v>
      </c>
      <c r="K674" t="s">
        <v>123</v>
      </c>
      <c r="L674" s="10" t="str">
        <f>VLOOKUP(K674,Accounts!A:B,2,FALSE)</f>
        <v>KBank</v>
      </c>
      <c r="M674" t="s">
        <v>124</v>
      </c>
      <c r="N674" s="10"/>
      <c r="O674" t="s">
        <v>1545</v>
      </c>
      <c r="Q674" t="s">
        <v>126</v>
      </c>
      <c r="R674" t="s">
        <v>124</v>
      </c>
      <c r="S674" t="b">
        <v>0</v>
      </c>
      <c r="T674" t="s">
        <v>124</v>
      </c>
    </row>
    <row r="675">
      <c r="A675" t="s">
        <v>1546</v>
      </c>
      <c r="B675" t="s">
        <v>1547</v>
      </c>
      <c r="C675" s="2">
        <v>2024</v>
      </c>
      <c r="D675" s="10">
        <v>8</v>
      </c>
      <c r="E675" s="10">
        <v>29</v>
      </c>
      <c r="F675" t="s">
        <v>468</v>
      </c>
      <c r="G675">
        <v>1000</v>
      </c>
      <c r="H675" t="s">
        <v>69</v>
      </c>
      <c r="I675" t="s">
        <v>259</v>
      </c>
      <c r="J675" s="10" t="str">
        <f>VLOOKUP(I675,Categories!A:B,2,FALSE)</f>
        <v xml:space="preserve">Team BOT</v>
      </c>
      <c r="K675" t="s">
        <v>123</v>
      </c>
      <c r="L675" s="10" t="str">
        <f>VLOOKUP(K675,Accounts!A:B,2,FALSE)</f>
        <v>KBank</v>
      </c>
      <c r="M675" t="s">
        <v>124</v>
      </c>
      <c r="N675" s="10"/>
      <c r="O675" t="s">
        <v>1548</v>
      </c>
      <c r="Q675" t="s">
        <v>126</v>
      </c>
      <c r="R675" t="s">
        <v>124</v>
      </c>
      <c r="S675" t="b">
        <v>0</v>
      </c>
      <c r="T675" t="s">
        <v>124</v>
      </c>
    </row>
    <row r="676">
      <c r="A676" t="s">
        <v>1549</v>
      </c>
      <c r="B676" t="s">
        <v>1550</v>
      </c>
      <c r="C676" s="2">
        <v>2024</v>
      </c>
      <c r="D676" s="10">
        <v>8</v>
      </c>
      <c r="E676" s="10">
        <v>28</v>
      </c>
      <c r="F676" t="s">
        <v>247</v>
      </c>
      <c r="G676">
        <v>3280</v>
      </c>
      <c r="H676" t="s">
        <v>69</v>
      </c>
      <c r="I676" t="s">
        <v>259</v>
      </c>
      <c r="J676" s="10" t="str">
        <f>VLOOKUP(I676,Categories!A:B,2,FALSE)</f>
        <v xml:space="preserve">Team BOT</v>
      </c>
      <c r="K676" t="s">
        <v>123</v>
      </c>
      <c r="L676" s="10" t="str">
        <f>VLOOKUP(K676,Accounts!A:B,2,FALSE)</f>
        <v>KBank</v>
      </c>
      <c r="M676" t="s">
        <v>124</v>
      </c>
      <c r="N676" s="10"/>
      <c r="O676" t="s">
        <v>125</v>
      </c>
      <c r="Q676" t="s">
        <v>126</v>
      </c>
      <c r="R676" t="s">
        <v>124</v>
      </c>
      <c r="S676" t="b">
        <v>0</v>
      </c>
      <c r="T676" t="s">
        <v>124</v>
      </c>
    </row>
    <row r="677">
      <c r="A677" t="s">
        <v>1551</v>
      </c>
      <c r="B677" t="s">
        <v>53</v>
      </c>
      <c r="C677" s="2">
        <v>2024</v>
      </c>
      <c r="D677" s="10">
        <v>8</v>
      </c>
      <c r="E677" s="10">
        <v>27</v>
      </c>
      <c r="F677" t="s">
        <v>1552</v>
      </c>
      <c r="G677">
        <v>50000</v>
      </c>
      <c r="H677" t="s">
        <v>128</v>
      </c>
      <c r="I677" t="s">
        <v>136</v>
      </c>
      <c r="J677" s="10" t="str">
        <f>VLOOKUP(I677,Categories!A:B,2,FALSE)</f>
        <v>อื่นๆ</v>
      </c>
      <c r="K677" t="s">
        <v>123</v>
      </c>
      <c r="L677" s="10" t="str">
        <f>VLOOKUP(K677,Accounts!A:B,2,FALSE)</f>
        <v>KBank</v>
      </c>
      <c r="M677" t="s">
        <v>215</v>
      </c>
      <c r="N677" s="10" t="str">
        <f>VLOOKUP(M677,Accounts!A:B,2,FALSE)</f>
        <v>Investment</v>
      </c>
      <c r="O677" t="s">
        <v>125</v>
      </c>
      <c r="Q677" t="s">
        <v>126</v>
      </c>
      <c r="R677" t="s">
        <v>124</v>
      </c>
      <c r="S677" t="b">
        <v>0</v>
      </c>
      <c r="T677" t="s">
        <v>124</v>
      </c>
    </row>
    <row r="678">
      <c r="A678" t="s">
        <v>1553</v>
      </c>
      <c r="B678" t="s">
        <v>52</v>
      </c>
      <c r="C678" s="2">
        <v>2024</v>
      </c>
      <c r="D678" s="10">
        <v>8</v>
      </c>
      <c r="E678" s="10">
        <v>26</v>
      </c>
      <c r="F678" t="s">
        <v>121</v>
      </c>
      <c r="G678">
        <v>16000</v>
      </c>
      <c r="H678" t="s">
        <v>128</v>
      </c>
      <c r="I678" t="s">
        <v>136</v>
      </c>
      <c r="J678" s="10" t="str">
        <f>VLOOKUP(I678,Categories!A:B,2,FALSE)</f>
        <v>อื่นๆ</v>
      </c>
      <c r="K678" t="s">
        <v>123</v>
      </c>
      <c r="L678" s="10" t="str">
        <f>VLOOKUP(K678,Accounts!A:B,2,FALSE)</f>
        <v>KBank</v>
      </c>
      <c r="M678" t="s">
        <v>215</v>
      </c>
      <c r="N678" s="10" t="str">
        <f>VLOOKUP(M678,Accounts!A:B,2,FALSE)</f>
        <v>Investment</v>
      </c>
      <c r="O678" t="s">
        <v>125</v>
      </c>
      <c r="Q678" t="s">
        <v>126</v>
      </c>
      <c r="R678" t="s">
        <v>124</v>
      </c>
      <c r="S678" t="b">
        <v>0</v>
      </c>
      <c r="T678" t="s">
        <v>124</v>
      </c>
    </row>
    <row r="679">
      <c r="A679" t="s">
        <v>1554</v>
      </c>
      <c r="B679" t="s">
        <v>52</v>
      </c>
      <c r="C679" s="2">
        <v>2024</v>
      </c>
      <c r="D679" s="10">
        <v>8</v>
      </c>
      <c r="E679" s="10">
        <v>26</v>
      </c>
      <c r="F679" t="s">
        <v>595</v>
      </c>
      <c r="G679">
        <v>378</v>
      </c>
      <c r="H679" t="s">
        <v>69</v>
      </c>
      <c r="I679" t="s">
        <v>259</v>
      </c>
      <c r="J679" s="10" t="str">
        <f>VLOOKUP(I679,Categories!A:B,2,FALSE)</f>
        <v xml:space="preserve">Team BOT</v>
      </c>
      <c r="K679" t="s">
        <v>123</v>
      </c>
      <c r="L679" s="10" t="str">
        <f>VLOOKUP(K679,Accounts!A:B,2,FALSE)</f>
        <v>KBank</v>
      </c>
      <c r="M679" t="s">
        <v>124</v>
      </c>
      <c r="N679" s="10"/>
      <c r="O679" t="s">
        <v>1555</v>
      </c>
      <c r="Q679" t="s">
        <v>126</v>
      </c>
      <c r="R679" t="s">
        <v>124</v>
      </c>
      <c r="S679" t="b">
        <v>0</v>
      </c>
      <c r="T679" t="s">
        <v>124</v>
      </c>
    </row>
    <row r="680">
      <c r="A680" t="s">
        <v>1556</v>
      </c>
      <c r="B680" t="s">
        <v>1557</v>
      </c>
      <c r="C680" s="2">
        <v>2024</v>
      </c>
      <c r="D680" s="10">
        <v>8</v>
      </c>
      <c r="E680" s="10">
        <v>25</v>
      </c>
      <c r="F680" t="s">
        <v>121</v>
      </c>
      <c r="G680">
        <v>3123.7399999999998</v>
      </c>
      <c r="H680" t="s">
        <v>69</v>
      </c>
      <c r="I680" t="s">
        <v>195</v>
      </c>
      <c r="J680" s="10" t="str">
        <f>VLOOKUP(I680,Categories!A:B,2,FALSE)</f>
        <v>Tax</v>
      </c>
      <c r="K680" t="s">
        <v>123</v>
      </c>
      <c r="L680" s="10" t="str">
        <f>VLOOKUP(K680,Accounts!A:B,2,FALSE)</f>
        <v>KBank</v>
      </c>
      <c r="M680" t="s">
        <v>124</v>
      </c>
      <c r="N680" s="10"/>
      <c r="O680" t="s">
        <v>125</v>
      </c>
      <c r="Q680" t="s">
        <v>126</v>
      </c>
      <c r="R680" t="s">
        <v>124</v>
      </c>
      <c r="S680" t="b">
        <v>0</v>
      </c>
      <c r="T680" t="s">
        <v>124</v>
      </c>
    </row>
    <row r="681">
      <c r="A681" t="s">
        <v>1558</v>
      </c>
      <c r="B681" t="s">
        <v>1557</v>
      </c>
      <c r="C681" s="2">
        <v>2024</v>
      </c>
      <c r="D681" s="10">
        <v>8</v>
      </c>
      <c r="E681" s="10">
        <v>25</v>
      </c>
      <c r="F681" t="s">
        <v>121</v>
      </c>
      <c r="G681">
        <v>3707.3600000000001</v>
      </c>
      <c r="H681" t="s">
        <v>69</v>
      </c>
      <c r="I681" t="s">
        <v>199</v>
      </c>
      <c r="J681" s="10" t="str">
        <f>VLOOKUP(I681,Categories!A:B,2,FALSE)</f>
        <v xml:space="preserve">Home Chomthong Interest</v>
      </c>
      <c r="K681" t="s">
        <v>123</v>
      </c>
      <c r="L681" s="10" t="str">
        <f>VLOOKUP(K681,Accounts!A:B,2,FALSE)</f>
        <v>KBank</v>
      </c>
      <c r="M681" t="s">
        <v>124</v>
      </c>
      <c r="N681" s="10"/>
      <c r="O681" t="s">
        <v>125</v>
      </c>
      <c r="Q681" t="s">
        <v>126</v>
      </c>
      <c r="R681" t="s">
        <v>124</v>
      </c>
      <c r="S681" t="b">
        <v>0</v>
      </c>
      <c r="T681" t="s">
        <v>124</v>
      </c>
    </row>
    <row r="682">
      <c r="A682" t="s">
        <v>1559</v>
      </c>
      <c r="B682" t="s">
        <v>1557</v>
      </c>
      <c r="C682" s="2">
        <v>2024</v>
      </c>
      <c r="D682" s="10">
        <v>8</v>
      </c>
      <c r="E682" s="10">
        <v>25</v>
      </c>
      <c r="F682" t="s">
        <v>121</v>
      </c>
      <c r="G682">
        <v>2744</v>
      </c>
      <c r="H682" t="s">
        <v>128</v>
      </c>
      <c r="I682" t="s">
        <v>136</v>
      </c>
      <c r="J682" s="10" t="str">
        <f>VLOOKUP(I682,Categories!A:B,2,FALSE)</f>
        <v>อื่นๆ</v>
      </c>
      <c r="K682" t="s">
        <v>123</v>
      </c>
      <c r="L682" s="10" t="str">
        <f>VLOOKUP(K682,Accounts!A:B,2,FALSE)</f>
        <v>KBank</v>
      </c>
      <c r="M682" t="s">
        <v>203</v>
      </c>
      <c r="N682" s="10" t="str">
        <f>VLOOKUP(M682,Accounts!A:B,2,FALSE)</f>
        <v xml:space="preserve">Provident Fund</v>
      </c>
      <c r="O682" t="s">
        <v>125</v>
      </c>
      <c r="Q682" t="s">
        <v>126</v>
      </c>
      <c r="R682" t="s">
        <v>124</v>
      </c>
      <c r="S682" t="b">
        <v>0</v>
      </c>
      <c r="T682" t="s">
        <v>124</v>
      </c>
    </row>
    <row r="683">
      <c r="A683" t="s">
        <v>1560</v>
      </c>
      <c r="B683" t="s">
        <v>1557</v>
      </c>
      <c r="C683" s="2">
        <v>2024</v>
      </c>
      <c r="D683" s="10">
        <v>8</v>
      </c>
      <c r="E683" s="10">
        <v>25</v>
      </c>
      <c r="F683" t="s">
        <v>121</v>
      </c>
      <c r="G683">
        <v>137200</v>
      </c>
      <c r="H683" t="s">
        <v>206</v>
      </c>
      <c r="I683" t="s">
        <v>207</v>
      </c>
      <c r="J683" s="10" t="str">
        <f>VLOOKUP(I683,Categories!A:B,2,FALSE)</f>
        <v>Salary</v>
      </c>
      <c r="K683" t="s">
        <v>123</v>
      </c>
      <c r="L683" s="10" t="str">
        <f>VLOOKUP(K683,Accounts!A:B,2,FALSE)</f>
        <v>KBank</v>
      </c>
      <c r="M683" t="s">
        <v>124</v>
      </c>
      <c r="N683" s="10"/>
      <c r="O683" t="s">
        <v>125</v>
      </c>
      <c r="Q683" t="s">
        <v>126</v>
      </c>
      <c r="R683" t="s">
        <v>124</v>
      </c>
      <c r="S683" t="b">
        <v>0</v>
      </c>
      <c r="T683" t="s">
        <v>124</v>
      </c>
    </row>
    <row r="684">
      <c r="A684" t="s">
        <v>1561</v>
      </c>
      <c r="B684" t="s">
        <v>1557</v>
      </c>
      <c r="C684" s="2">
        <v>2024</v>
      </c>
      <c r="D684" s="10">
        <v>8</v>
      </c>
      <c r="E684" s="10">
        <v>25</v>
      </c>
      <c r="F684" t="s">
        <v>121</v>
      </c>
      <c r="G684">
        <v>322.75</v>
      </c>
      <c r="H684" t="s">
        <v>69</v>
      </c>
      <c r="I684" t="s">
        <v>443</v>
      </c>
      <c r="J684" s="10" t="str">
        <f>VLOOKUP(I684,Categories!A:B,2,FALSE)</f>
        <v xml:space="preserve">City SV Interest</v>
      </c>
      <c r="K684" t="s">
        <v>123</v>
      </c>
      <c r="L684" s="10" t="str">
        <f>VLOOKUP(K684,Accounts!A:B,2,FALSE)</f>
        <v>KBank</v>
      </c>
      <c r="M684" t="s">
        <v>124</v>
      </c>
      <c r="N684" s="10"/>
      <c r="O684" t="s">
        <v>125</v>
      </c>
      <c r="Q684" t="s">
        <v>126</v>
      </c>
      <c r="R684" t="s">
        <v>124</v>
      </c>
      <c r="S684" t="b">
        <v>0</v>
      </c>
      <c r="T684" t="s">
        <v>124</v>
      </c>
    </row>
    <row r="685">
      <c r="A685" t="s">
        <v>1562</v>
      </c>
      <c r="B685" t="s">
        <v>1557</v>
      </c>
      <c r="C685" s="2">
        <v>2024</v>
      </c>
      <c r="D685" s="10">
        <v>8</v>
      </c>
      <c r="E685" s="10">
        <v>25</v>
      </c>
      <c r="F685" t="s">
        <v>121</v>
      </c>
      <c r="G685">
        <v>4158</v>
      </c>
      <c r="H685" t="s">
        <v>128</v>
      </c>
      <c r="I685" t="s">
        <v>136</v>
      </c>
      <c r="J685" s="10" t="str">
        <f>VLOOKUP(I685,Categories!A:B,2,FALSE)</f>
        <v>อื่นๆ</v>
      </c>
      <c r="K685" t="s">
        <v>123</v>
      </c>
      <c r="L685" s="10" t="str">
        <f>VLOOKUP(K685,Accounts!A:B,2,FALSE)</f>
        <v>KBank</v>
      </c>
      <c r="M685" t="s">
        <v>1421</v>
      </c>
      <c r="N685" s="10" t="str">
        <f>VLOOKUP(M685,Accounts!A:B,2,FALSE)</f>
        <v>Hong</v>
      </c>
      <c r="O685" t="s">
        <v>125</v>
      </c>
      <c r="Q685" t="s">
        <v>126</v>
      </c>
      <c r="R685" t="s">
        <v>124</v>
      </c>
      <c r="S685" t="b">
        <v>0</v>
      </c>
      <c r="T685" t="s">
        <v>124</v>
      </c>
    </row>
    <row r="686">
      <c r="A686" t="s">
        <v>1563</v>
      </c>
      <c r="B686" t="s">
        <v>1557</v>
      </c>
      <c r="C686" s="2">
        <v>2024</v>
      </c>
      <c r="D686" s="10">
        <v>8</v>
      </c>
      <c r="E686" s="10">
        <v>25</v>
      </c>
      <c r="F686" t="s">
        <v>121</v>
      </c>
      <c r="G686">
        <v>8540</v>
      </c>
      <c r="H686" t="s">
        <v>128</v>
      </c>
      <c r="I686" t="s">
        <v>136</v>
      </c>
      <c r="J686" s="10" t="str">
        <f>VLOOKUP(I686,Categories!A:B,2,FALSE)</f>
        <v>อื่นๆ</v>
      </c>
      <c r="K686" t="s">
        <v>123</v>
      </c>
      <c r="L686" s="10" t="str">
        <f>VLOOKUP(K686,Accounts!A:B,2,FALSE)</f>
        <v>KBank</v>
      </c>
      <c r="M686" t="s">
        <v>1244</v>
      </c>
      <c r="N686" s="10" t="str">
        <f>VLOOKUP(M686,Accounts!A:B,2,FALSE)</f>
        <v xml:space="preserve">Home chomthong Loan</v>
      </c>
      <c r="O686" t="s">
        <v>125</v>
      </c>
      <c r="Q686" t="s">
        <v>126</v>
      </c>
      <c r="R686" t="s">
        <v>124</v>
      </c>
      <c r="S686" t="b">
        <v>0</v>
      </c>
      <c r="T686" t="s">
        <v>124</v>
      </c>
    </row>
    <row r="687">
      <c r="A687" t="s">
        <v>1564</v>
      </c>
      <c r="B687" t="s">
        <v>1557</v>
      </c>
      <c r="C687" s="2">
        <v>2024</v>
      </c>
      <c r="D687" s="10">
        <v>8</v>
      </c>
      <c r="E687" s="10">
        <v>25</v>
      </c>
      <c r="F687" t="s">
        <v>121</v>
      </c>
      <c r="G687">
        <v>9240</v>
      </c>
      <c r="H687" t="s">
        <v>128</v>
      </c>
      <c r="I687" t="s">
        <v>136</v>
      </c>
      <c r="J687" s="10" t="str">
        <f>VLOOKUP(I687,Categories!A:B,2,FALSE)</f>
        <v>อื่นๆ</v>
      </c>
      <c r="K687" t="s">
        <v>123</v>
      </c>
      <c r="L687" s="10" t="str">
        <f>VLOOKUP(K687,Accounts!A:B,2,FALSE)</f>
        <v>KBank</v>
      </c>
      <c r="M687" t="s">
        <v>1246</v>
      </c>
      <c r="N687" s="10" t="str">
        <f>VLOOKUP(M687,Accounts!A:B,2,FALSE)</f>
        <v xml:space="preserve">Car Loan</v>
      </c>
      <c r="O687" t="s">
        <v>125</v>
      </c>
      <c r="Q687" t="s">
        <v>126</v>
      </c>
      <c r="R687" t="s">
        <v>124</v>
      </c>
      <c r="S687" t="b">
        <v>0</v>
      </c>
      <c r="T687" t="s">
        <v>124</v>
      </c>
    </row>
    <row r="688">
      <c r="A688" t="s">
        <v>1565</v>
      </c>
      <c r="B688" t="s">
        <v>1557</v>
      </c>
      <c r="C688" s="2">
        <v>2024</v>
      </c>
      <c r="D688" s="10">
        <v>8</v>
      </c>
      <c r="E688" s="10">
        <v>25</v>
      </c>
      <c r="F688" t="s">
        <v>121</v>
      </c>
      <c r="G688">
        <v>500</v>
      </c>
      <c r="H688" t="s">
        <v>128</v>
      </c>
      <c r="I688" t="s">
        <v>136</v>
      </c>
      <c r="J688" s="10" t="str">
        <f>VLOOKUP(I688,Categories!A:B,2,FALSE)</f>
        <v>อื่นๆ</v>
      </c>
      <c r="K688" t="s">
        <v>123</v>
      </c>
      <c r="L688" s="10" t="str">
        <f>VLOOKUP(K688,Accounts!A:B,2,FALSE)</f>
        <v>KBank</v>
      </c>
      <c r="M688" t="s">
        <v>201</v>
      </c>
      <c r="N688" s="10" t="str">
        <f>VLOOKUP(M688,Accounts!A:B,2,FALSE)</f>
        <v>Coop</v>
      </c>
      <c r="O688" t="s">
        <v>125</v>
      </c>
      <c r="Q688" t="s">
        <v>126</v>
      </c>
      <c r="R688" t="s">
        <v>124</v>
      </c>
      <c r="S688" t="b">
        <v>0</v>
      </c>
      <c r="T688" t="s">
        <v>124</v>
      </c>
    </row>
    <row r="689">
      <c r="A689" t="s">
        <v>1566</v>
      </c>
      <c r="B689" t="s">
        <v>1557</v>
      </c>
      <c r="C689" s="2">
        <v>2024</v>
      </c>
      <c r="D689" s="10">
        <v>8</v>
      </c>
      <c r="E689" s="10">
        <v>25</v>
      </c>
      <c r="F689" t="s">
        <v>121</v>
      </c>
      <c r="G689">
        <v>806</v>
      </c>
      <c r="H689" t="s">
        <v>69</v>
      </c>
      <c r="I689" t="s">
        <v>144</v>
      </c>
      <c r="J689" s="10" t="str">
        <f>VLOOKUP(I689,Categories!A:B,2,FALSE)</f>
        <v xml:space="preserve">Family paid</v>
      </c>
      <c r="K689" t="s">
        <v>123</v>
      </c>
      <c r="L689" s="10" t="str">
        <f>VLOOKUP(K689,Accounts!A:B,2,FALSE)</f>
        <v>KBank</v>
      </c>
      <c r="M689" t="s">
        <v>124</v>
      </c>
      <c r="N689" s="10"/>
      <c r="O689" t="s">
        <v>125</v>
      </c>
      <c r="Q689" t="s">
        <v>126</v>
      </c>
      <c r="R689" t="s">
        <v>124</v>
      </c>
      <c r="S689" t="b">
        <v>0</v>
      </c>
      <c r="T689" t="s">
        <v>124</v>
      </c>
    </row>
    <row r="690">
      <c r="A690" t="s">
        <v>1567</v>
      </c>
      <c r="B690" t="s">
        <v>1568</v>
      </c>
      <c r="C690" s="2">
        <v>2024</v>
      </c>
      <c r="D690" s="10">
        <v>8</v>
      </c>
      <c r="E690" s="10">
        <v>24</v>
      </c>
      <c r="F690" t="s">
        <v>1569</v>
      </c>
      <c r="G690">
        <v>10000</v>
      </c>
      <c r="H690" t="s">
        <v>128</v>
      </c>
      <c r="I690" t="s">
        <v>136</v>
      </c>
      <c r="J690" s="10" t="str">
        <f>VLOOKUP(I690,Categories!A:B,2,FALSE)</f>
        <v>อื่นๆ</v>
      </c>
      <c r="K690" t="s">
        <v>178</v>
      </c>
      <c r="L690" s="10" t="str">
        <f>VLOOKUP(K690,Accounts!A:B,2,FALSE)</f>
        <v>SCB</v>
      </c>
      <c r="M690" t="s">
        <v>123</v>
      </c>
      <c r="N690" s="10" t="str">
        <f>VLOOKUP(M690,Accounts!A:B,2,FALSE)</f>
        <v>KBank</v>
      </c>
      <c r="O690" t="s">
        <v>125</v>
      </c>
      <c r="Q690" t="s">
        <v>126</v>
      </c>
      <c r="R690" t="s">
        <v>124</v>
      </c>
      <c r="S690" t="b">
        <v>0</v>
      </c>
      <c r="T690" t="s">
        <v>124</v>
      </c>
    </row>
    <row r="691">
      <c r="A691" t="s">
        <v>1570</v>
      </c>
      <c r="B691" t="s">
        <v>51</v>
      </c>
      <c r="C691" s="2">
        <v>2024</v>
      </c>
      <c r="D691" s="10">
        <v>8</v>
      </c>
      <c r="E691" s="10">
        <v>23</v>
      </c>
      <c r="F691" t="s">
        <v>1552</v>
      </c>
      <c r="G691">
        <v>60000</v>
      </c>
      <c r="H691" t="s">
        <v>128</v>
      </c>
      <c r="I691" t="s">
        <v>136</v>
      </c>
      <c r="J691" s="10" t="str">
        <f>VLOOKUP(I691,Categories!A:B,2,FALSE)</f>
        <v>อื่นๆ</v>
      </c>
      <c r="K691" t="s">
        <v>178</v>
      </c>
      <c r="L691" s="10" t="str">
        <f>VLOOKUP(K691,Accounts!A:B,2,FALSE)</f>
        <v>SCB</v>
      </c>
      <c r="M691" t="s">
        <v>123</v>
      </c>
      <c r="N691" s="10" t="str">
        <f>VLOOKUP(M691,Accounts!A:B,2,FALSE)</f>
        <v>KBank</v>
      </c>
      <c r="O691" t="s">
        <v>125</v>
      </c>
      <c r="Q691" t="s">
        <v>126</v>
      </c>
      <c r="R691" t="s">
        <v>124</v>
      </c>
      <c r="S691" t="b">
        <v>0</v>
      </c>
      <c r="T691" t="s">
        <v>124</v>
      </c>
    </row>
    <row r="692">
      <c r="A692" t="s">
        <v>1571</v>
      </c>
      <c r="B692" t="s">
        <v>51</v>
      </c>
      <c r="C692" s="2">
        <v>2024</v>
      </c>
      <c r="D692" s="10">
        <v>8</v>
      </c>
      <c r="E692" s="10">
        <v>23</v>
      </c>
      <c r="F692" t="s">
        <v>1552</v>
      </c>
      <c r="G692">
        <v>100000</v>
      </c>
      <c r="H692" t="s">
        <v>128</v>
      </c>
      <c r="I692" t="s">
        <v>136</v>
      </c>
      <c r="J692" s="10" t="str">
        <f>VLOOKUP(I692,Categories!A:B,2,FALSE)</f>
        <v>อื่นๆ</v>
      </c>
      <c r="K692" t="s">
        <v>123</v>
      </c>
      <c r="L692" s="10" t="str">
        <f>VLOOKUP(K692,Accounts!A:B,2,FALSE)</f>
        <v>KBank</v>
      </c>
      <c r="M692" t="s">
        <v>215</v>
      </c>
      <c r="N692" s="10" t="str">
        <f>VLOOKUP(M692,Accounts!A:B,2,FALSE)</f>
        <v>Investment</v>
      </c>
      <c r="O692" t="s">
        <v>125</v>
      </c>
      <c r="Q692" t="s">
        <v>126</v>
      </c>
      <c r="R692" t="s">
        <v>124</v>
      </c>
      <c r="S692" t="b">
        <v>0</v>
      </c>
      <c r="T692" t="s">
        <v>124</v>
      </c>
    </row>
    <row r="693">
      <c r="A693" t="s">
        <v>1572</v>
      </c>
      <c r="B693" t="s">
        <v>1573</v>
      </c>
      <c r="C693" s="2">
        <v>2024</v>
      </c>
      <c r="D693" s="10">
        <v>8</v>
      </c>
      <c r="E693" s="10">
        <v>21</v>
      </c>
      <c r="F693" t="s">
        <v>1574</v>
      </c>
      <c r="G693">
        <v>2000</v>
      </c>
      <c r="H693" t="s">
        <v>69</v>
      </c>
      <c r="I693" t="s">
        <v>259</v>
      </c>
      <c r="J693" s="10" t="str">
        <f>VLOOKUP(I693,Categories!A:B,2,FALSE)</f>
        <v xml:space="preserve">Team BOT</v>
      </c>
      <c r="K693" t="s">
        <v>123</v>
      </c>
      <c r="L693" s="10" t="str">
        <f>VLOOKUP(K693,Accounts!A:B,2,FALSE)</f>
        <v>KBank</v>
      </c>
      <c r="M693" t="s">
        <v>124</v>
      </c>
      <c r="N693" s="10"/>
      <c r="O693" t="s">
        <v>1575</v>
      </c>
      <c r="Q693" t="s">
        <v>126</v>
      </c>
      <c r="R693" t="s">
        <v>124</v>
      </c>
      <c r="S693" t="b">
        <v>0</v>
      </c>
      <c r="T693" t="s">
        <v>124</v>
      </c>
    </row>
    <row r="694">
      <c r="A694" t="s">
        <v>1576</v>
      </c>
      <c r="B694" t="s">
        <v>1573</v>
      </c>
      <c r="C694" s="2">
        <v>2024</v>
      </c>
      <c r="D694" s="10">
        <v>8</v>
      </c>
      <c r="E694" s="10">
        <v>21</v>
      </c>
      <c r="F694" t="s">
        <v>933</v>
      </c>
      <c r="G694">
        <v>720</v>
      </c>
      <c r="H694" t="s">
        <v>69</v>
      </c>
      <c r="I694" t="s">
        <v>155</v>
      </c>
      <c r="J694" s="10" t="str">
        <f>VLOOKUP(I694,Categories!A:B,2,FALSE)</f>
        <v>Gashapon</v>
      </c>
      <c r="K694" t="s">
        <v>123</v>
      </c>
      <c r="L694" s="10" t="str">
        <f>VLOOKUP(K694,Accounts!A:B,2,FALSE)</f>
        <v>KBank</v>
      </c>
      <c r="M694" t="s">
        <v>124</v>
      </c>
      <c r="N694" s="10"/>
      <c r="O694" t="s">
        <v>125</v>
      </c>
      <c r="Q694" t="s">
        <v>126</v>
      </c>
      <c r="R694" t="s">
        <v>124</v>
      </c>
      <c r="S694" t="b">
        <v>0</v>
      </c>
      <c r="T694" t="s">
        <v>124</v>
      </c>
    </row>
    <row r="695">
      <c r="A695" t="s">
        <v>1577</v>
      </c>
      <c r="B695" t="s">
        <v>1578</v>
      </c>
      <c r="C695" s="2">
        <v>2024</v>
      </c>
      <c r="D695" s="10">
        <v>8</v>
      </c>
      <c r="E695" s="10">
        <v>20</v>
      </c>
      <c r="F695" t="s">
        <v>1579</v>
      </c>
      <c r="G695">
        <v>150</v>
      </c>
      <c r="H695" t="s">
        <v>69</v>
      </c>
      <c r="I695" t="s">
        <v>155</v>
      </c>
      <c r="J695" s="10" t="str">
        <f>VLOOKUP(I695,Categories!A:B,2,FALSE)</f>
        <v>Gashapon</v>
      </c>
      <c r="K695" t="s">
        <v>123</v>
      </c>
      <c r="L695" s="10" t="str">
        <f>VLOOKUP(K695,Accounts!A:B,2,FALSE)</f>
        <v>KBank</v>
      </c>
      <c r="M695" t="s">
        <v>124</v>
      </c>
      <c r="N695" s="10"/>
      <c r="O695" t="s">
        <v>1580</v>
      </c>
      <c r="Q695" t="s">
        <v>126</v>
      </c>
      <c r="R695" t="s">
        <v>124</v>
      </c>
      <c r="S695" t="b">
        <v>0</v>
      </c>
      <c r="T695" t="s">
        <v>124</v>
      </c>
    </row>
    <row r="696">
      <c r="A696" t="s">
        <v>1581</v>
      </c>
      <c r="B696" t="s">
        <v>1582</v>
      </c>
      <c r="C696" s="2">
        <v>2024</v>
      </c>
      <c r="D696" s="10">
        <v>8</v>
      </c>
      <c r="E696" s="10">
        <v>17</v>
      </c>
      <c r="F696" t="s">
        <v>1583</v>
      </c>
      <c r="G696">
        <v>320</v>
      </c>
      <c r="H696" t="s">
        <v>69</v>
      </c>
      <c r="I696" t="s">
        <v>144</v>
      </c>
      <c r="J696" s="10" t="str">
        <f>VLOOKUP(I696,Categories!A:B,2,FALSE)</f>
        <v xml:space="preserve">Family paid</v>
      </c>
      <c r="K696" t="s">
        <v>123</v>
      </c>
      <c r="L696" s="10" t="str">
        <f>VLOOKUP(K696,Accounts!A:B,2,FALSE)</f>
        <v>KBank</v>
      </c>
      <c r="M696" t="s">
        <v>124</v>
      </c>
      <c r="N696" s="10"/>
      <c r="O696" t="s">
        <v>125</v>
      </c>
      <c r="Q696" t="s">
        <v>126</v>
      </c>
      <c r="R696" t="s">
        <v>124</v>
      </c>
      <c r="S696" t="b">
        <v>0</v>
      </c>
      <c r="T696" t="s">
        <v>124</v>
      </c>
    </row>
    <row r="697">
      <c r="A697" t="s">
        <v>1584</v>
      </c>
      <c r="B697" t="s">
        <v>1582</v>
      </c>
      <c r="C697" s="2">
        <v>2024</v>
      </c>
      <c r="D697" s="10">
        <v>8</v>
      </c>
      <c r="E697" s="10">
        <v>17</v>
      </c>
      <c r="F697" t="s">
        <v>1585</v>
      </c>
      <c r="G697">
        <v>7900</v>
      </c>
      <c r="H697" t="s">
        <v>69</v>
      </c>
      <c r="I697" t="s">
        <v>144</v>
      </c>
      <c r="J697" s="10" t="str">
        <f>VLOOKUP(I697,Categories!A:B,2,FALSE)</f>
        <v xml:space="preserve">Family paid</v>
      </c>
      <c r="K697" t="s">
        <v>131</v>
      </c>
      <c r="L697" s="10" t="str">
        <f>VLOOKUP(K697,Accounts!A:B,2,FALSE)</f>
        <v xml:space="preserve">Advance Paid</v>
      </c>
      <c r="M697" t="s">
        <v>124</v>
      </c>
      <c r="N697" s="10"/>
      <c r="O697" t="s">
        <v>1586</v>
      </c>
      <c r="Q697" t="s">
        <v>126</v>
      </c>
      <c r="R697" t="s">
        <v>124</v>
      </c>
      <c r="S697" t="b">
        <v>0</v>
      </c>
      <c r="T697" t="s">
        <v>124</v>
      </c>
    </row>
    <row r="698">
      <c r="A698" t="s">
        <v>1587</v>
      </c>
      <c r="B698" t="s">
        <v>1582</v>
      </c>
      <c r="C698" s="2">
        <v>2024</v>
      </c>
      <c r="D698" s="10">
        <v>8</v>
      </c>
      <c r="E698" s="10">
        <v>17</v>
      </c>
      <c r="F698" t="s">
        <v>1588</v>
      </c>
      <c r="G698">
        <v>1291.6600000000001</v>
      </c>
      <c r="H698" t="s">
        <v>128</v>
      </c>
      <c r="I698" t="s">
        <v>136</v>
      </c>
      <c r="J698" s="10" t="str">
        <f>VLOOKUP(I698,Categories!A:B,2,FALSE)</f>
        <v>อื่นๆ</v>
      </c>
      <c r="K698" t="s">
        <v>131</v>
      </c>
      <c r="L698" s="10" t="str">
        <f>VLOOKUP(K698,Accounts!A:B,2,FALSE)</f>
        <v xml:space="preserve">Advance Paid</v>
      </c>
      <c r="M698" t="s">
        <v>123</v>
      </c>
      <c r="N698" s="10" t="str">
        <f>VLOOKUP(M698,Accounts!A:B,2,FALSE)</f>
        <v>KBank</v>
      </c>
      <c r="O698" t="s">
        <v>1589</v>
      </c>
      <c r="Q698" t="s">
        <v>126</v>
      </c>
      <c r="R698" t="s">
        <v>124</v>
      </c>
      <c r="S698" t="b">
        <v>0</v>
      </c>
      <c r="T698" t="s">
        <v>124</v>
      </c>
    </row>
    <row r="699">
      <c r="A699" t="s">
        <v>1590</v>
      </c>
      <c r="B699" t="s">
        <v>1582</v>
      </c>
      <c r="C699" s="2">
        <v>2024</v>
      </c>
      <c r="D699" s="10">
        <v>8</v>
      </c>
      <c r="E699" s="10">
        <v>17</v>
      </c>
      <c r="F699" t="s">
        <v>1591</v>
      </c>
      <c r="G699">
        <v>10000</v>
      </c>
      <c r="H699" t="s">
        <v>69</v>
      </c>
      <c r="I699" t="s">
        <v>144</v>
      </c>
      <c r="J699" s="10" t="str">
        <f>VLOOKUP(I699,Categories!A:B,2,FALSE)</f>
        <v xml:space="preserve">Family paid</v>
      </c>
      <c r="K699" t="s">
        <v>131</v>
      </c>
      <c r="L699" s="10" t="str">
        <f>VLOOKUP(K699,Accounts!A:B,2,FALSE)</f>
        <v xml:space="preserve">Advance Paid</v>
      </c>
      <c r="M699" t="s">
        <v>124</v>
      </c>
      <c r="N699" s="10"/>
      <c r="O699" t="s">
        <v>1592</v>
      </c>
      <c r="Q699" t="s">
        <v>126</v>
      </c>
      <c r="R699" t="s">
        <v>124</v>
      </c>
      <c r="S699" t="b">
        <v>0</v>
      </c>
      <c r="T699" t="s">
        <v>124</v>
      </c>
    </row>
    <row r="700">
      <c r="A700" t="s">
        <v>1593</v>
      </c>
      <c r="B700" t="s">
        <v>1582</v>
      </c>
      <c r="C700" s="2">
        <v>2024</v>
      </c>
      <c r="D700" s="10">
        <v>8</v>
      </c>
      <c r="E700" s="10">
        <v>17</v>
      </c>
      <c r="F700" t="s">
        <v>1594</v>
      </c>
      <c r="G700">
        <v>895</v>
      </c>
      <c r="H700" t="s">
        <v>128</v>
      </c>
      <c r="I700" t="s">
        <v>136</v>
      </c>
      <c r="J700" s="10" t="str">
        <f>VLOOKUP(I700,Categories!A:B,2,FALSE)</f>
        <v>อื่นๆ</v>
      </c>
      <c r="K700" t="s">
        <v>131</v>
      </c>
      <c r="L700" s="10" t="str">
        <f>VLOOKUP(K700,Accounts!A:B,2,FALSE)</f>
        <v xml:space="preserve">Advance Paid</v>
      </c>
      <c r="M700" t="s">
        <v>123</v>
      </c>
      <c r="N700" s="10" t="str">
        <f>VLOOKUP(M700,Accounts!A:B,2,FALSE)</f>
        <v>KBank</v>
      </c>
      <c r="O700" t="s">
        <v>125</v>
      </c>
      <c r="Q700" t="s">
        <v>126</v>
      </c>
      <c r="R700" t="s">
        <v>124</v>
      </c>
      <c r="S700" t="b">
        <v>0</v>
      </c>
      <c r="T700" t="s">
        <v>124</v>
      </c>
    </row>
    <row r="701">
      <c r="A701" t="s">
        <v>1595</v>
      </c>
      <c r="B701" t="s">
        <v>1582</v>
      </c>
      <c r="C701" s="2">
        <v>2024</v>
      </c>
      <c r="D701" s="10">
        <v>8</v>
      </c>
      <c r="E701" s="10">
        <v>17</v>
      </c>
      <c r="F701" t="s">
        <v>1596</v>
      </c>
      <c r="G701">
        <v>1000</v>
      </c>
      <c r="H701" t="s">
        <v>69</v>
      </c>
      <c r="I701" t="s">
        <v>1455</v>
      </c>
      <c r="J701" s="10" t="str">
        <f>VLOOKUP(I701,Categories!A:B,2,FALSE)</f>
        <v xml:space="preserve">Merit and gift</v>
      </c>
      <c r="K701" t="s">
        <v>123</v>
      </c>
      <c r="L701" s="10" t="str">
        <f>VLOOKUP(K701,Accounts!A:B,2,FALSE)</f>
        <v>KBank</v>
      </c>
      <c r="M701" t="s">
        <v>124</v>
      </c>
      <c r="N701" s="10"/>
      <c r="O701" t="s">
        <v>125</v>
      </c>
      <c r="Q701" t="s">
        <v>126</v>
      </c>
      <c r="R701" t="s">
        <v>124</v>
      </c>
      <c r="S701" t="b">
        <v>0</v>
      </c>
      <c r="T701" t="s">
        <v>124</v>
      </c>
    </row>
    <row r="702">
      <c r="A702" t="s">
        <v>1597</v>
      </c>
      <c r="B702" t="s">
        <v>1598</v>
      </c>
      <c r="C702" s="2">
        <v>2024</v>
      </c>
      <c r="D702" s="10">
        <v>8</v>
      </c>
      <c r="E702" s="10">
        <v>12</v>
      </c>
      <c r="F702" t="s">
        <v>1275</v>
      </c>
      <c r="G702">
        <v>1343</v>
      </c>
      <c r="H702" t="s">
        <v>128</v>
      </c>
      <c r="I702" t="s">
        <v>136</v>
      </c>
      <c r="J702" s="10" t="str">
        <f>VLOOKUP(I702,Categories!A:B,2,FALSE)</f>
        <v>อื่นๆ</v>
      </c>
      <c r="K702" t="s">
        <v>123</v>
      </c>
      <c r="L702" s="10" t="str">
        <f>VLOOKUP(K702,Accounts!A:B,2,FALSE)</f>
        <v>KBank</v>
      </c>
      <c r="M702" t="s">
        <v>131</v>
      </c>
      <c r="N702" s="10" t="str">
        <f>VLOOKUP(M702,Accounts!A:B,2,FALSE)</f>
        <v xml:space="preserve">Advance Paid</v>
      </c>
      <c r="O702" t="s">
        <v>125</v>
      </c>
      <c r="Q702" t="s">
        <v>126</v>
      </c>
      <c r="R702" t="s">
        <v>124</v>
      </c>
      <c r="S702" t="b">
        <v>0</v>
      </c>
      <c r="T702" t="s">
        <v>124</v>
      </c>
    </row>
    <row r="703">
      <c r="A703" t="s">
        <v>1599</v>
      </c>
      <c r="B703" t="s">
        <v>1600</v>
      </c>
      <c r="C703" s="2">
        <v>2024</v>
      </c>
      <c r="D703" s="10">
        <v>8</v>
      </c>
      <c r="E703" s="10">
        <v>11</v>
      </c>
      <c r="F703" t="s">
        <v>1601</v>
      </c>
      <c r="G703">
        <v>4000</v>
      </c>
      <c r="H703" t="s">
        <v>128</v>
      </c>
      <c r="I703" t="s">
        <v>136</v>
      </c>
      <c r="J703" s="10" t="str">
        <f>VLOOKUP(I703,Categories!A:B,2,FALSE)</f>
        <v>อื่นๆ</v>
      </c>
      <c r="K703" t="s">
        <v>425</v>
      </c>
      <c r="L703" s="10" t="str">
        <f>VLOOKUP(K703,Accounts!A:B,2,FALSE)</f>
        <v>Cash</v>
      </c>
      <c r="M703" t="s">
        <v>178</v>
      </c>
      <c r="N703" s="10" t="str">
        <f>VLOOKUP(M703,Accounts!A:B,2,FALSE)</f>
        <v>SCB</v>
      </c>
      <c r="O703" t="s">
        <v>125</v>
      </c>
      <c r="Q703" t="s">
        <v>126</v>
      </c>
      <c r="R703" t="s">
        <v>124</v>
      </c>
      <c r="S703" t="b">
        <v>0</v>
      </c>
      <c r="T703" t="s">
        <v>124</v>
      </c>
    </row>
    <row r="704">
      <c r="A704" t="s">
        <v>1602</v>
      </c>
      <c r="B704" t="s">
        <v>1603</v>
      </c>
      <c r="C704" s="2">
        <v>2024</v>
      </c>
      <c r="D704" s="10">
        <v>8</v>
      </c>
      <c r="E704" s="10">
        <v>3</v>
      </c>
      <c r="F704" t="s">
        <v>1604</v>
      </c>
      <c r="G704">
        <v>19000</v>
      </c>
      <c r="H704" t="s">
        <v>69</v>
      </c>
      <c r="I704" t="s">
        <v>134</v>
      </c>
      <c r="J704" s="10" t="str">
        <f>VLOOKUP(I704,Categories!A:B,2,FALSE)</f>
        <v>Hong</v>
      </c>
      <c r="K704" t="s">
        <v>123</v>
      </c>
      <c r="L704" s="10" t="str">
        <f>VLOOKUP(K704,Accounts!A:B,2,FALSE)</f>
        <v>KBank</v>
      </c>
      <c r="M704" t="s">
        <v>124</v>
      </c>
      <c r="N704" s="10"/>
      <c r="O704" t="s">
        <v>125</v>
      </c>
      <c r="Q704" t="s">
        <v>126</v>
      </c>
      <c r="R704" t="s">
        <v>124</v>
      </c>
      <c r="S704" t="b">
        <v>0</v>
      </c>
      <c r="T704" t="s">
        <v>124</v>
      </c>
    </row>
    <row r="705">
      <c r="A705" t="s">
        <v>1605</v>
      </c>
      <c r="B705" t="s">
        <v>1606</v>
      </c>
      <c r="C705" s="2">
        <v>2024</v>
      </c>
      <c r="D705" s="10">
        <v>7</v>
      </c>
      <c r="E705" s="10">
        <v>31</v>
      </c>
      <c r="F705" t="s">
        <v>1607</v>
      </c>
      <c r="G705">
        <v>1100</v>
      </c>
      <c r="H705" t="s">
        <v>128</v>
      </c>
      <c r="I705" t="s">
        <v>136</v>
      </c>
      <c r="J705" s="10" t="str">
        <f>VLOOKUP(I705,Categories!A:B,2,FALSE)</f>
        <v>อื่นๆ</v>
      </c>
      <c r="K705" t="s">
        <v>131</v>
      </c>
      <c r="L705" s="10" t="str">
        <f>VLOOKUP(K705,Accounts!A:B,2,FALSE)</f>
        <v xml:space="preserve">Advance Paid</v>
      </c>
      <c r="M705" t="s">
        <v>178</v>
      </c>
      <c r="N705" s="10" t="str">
        <f>VLOOKUP(M705,Accounts!A:B,2,FALSE)</f>
        <v>SCB</v>
      </c>
      <c r="O705" t="s">
        <v>125</v>
      </c>
      <c r="Q705" t="s">
        <v>126</v>
      </c>
      <c r="R705" t="s">
        <v>124</v>
      </c>
      <c r="S705" t="b">
        <v>0</v>
      </c>
      <c r="T705" t="s">
        <v>124</v>
      </c>
    </row>
    <row r="706">
      <c r="A706" t="s">
        <v>1608</v>
      </c>
      <c r="B706" t="s">
        <v>1606</v>
      </c>
      <c r="C706" s="2">
        <v>2024</v>
      </c>
      <c r="D706" s="10">
        <v>7</v>
      </c>
      <c r="E706" s="10">
        <v>31</v>
      </c>
      <c r="F706" t="s">
        <v>1604</v>
      </c>
      <c r="G706">
        <v>1291.6600000000001</v>
      </c>
      <c r="H706" t="s">
        <v>128</v>
      </c>
      <c r="I706" t="s">
        <v>136</v>
      </c>
      <c r="J706" s="10" t="str">
        <f>VLOOKUP(I706,Categories!A:B,2,FALSE)</f>
        <v>อื่นๆ</v>
      </c>
      <c r="K706" t="s">
        <v>123</v>
      </c>
      <c r="L706" s="10" t="str">
        <f>VLOOKUP(K706,Accounts!A:B,2,FALSE)</f>
        <v>KBank</v>
      </c>
      <c r="M706" t="s">
        <v>131</v>
      </c>
      <c r="N706" s="10" t="str">
        <f>VLOOKUP(M706,Accounts!A:B,2,FALSE)</f>
        <v xml:space="preserve">Advance Paid</v>
      </c>
      <c r="O706" t="s">
        <v>125</v>
      </c>
      <c r="Q706" t="s">
        <v>126</v>
      </c>
      <c r="R706" t="s">
        <v>124</v>
      </c>
      <c r="S706" t="b">
        <v>0</v>
      </c>
      <c r="T706" t="s">
        <v>124</v>
      </c>
    </row>
    <row r="707">
      <c r="A707" t="s">
        <v>1609</v>
      </c>
      <c r="B707" t="s">
        <v>1606</v>
      </c>
      <c r="C707" s="2">
        <v>2024</v>
      </c>
      <c r="D707" s="10">
        <v>7</v>
      </c>
      <c r="E707" s="10">
        <v>31</v>
      </c>
      <c r="F707" t="s">
        <v>1259</v>
      </c>
      <c r="G707">
        <v>7357.1300000000001</v>
      </c>
      <c r="H707" t="s">
        <v>69</v>
      </c>
      <c r="I707" t="s">
        <v>139</v>
      </c>
      <c r="J707" s="10" t="str">
        <f>VLOOKUP(I707,Categories!A:B,2,FALSE)</f>
        <v>Condo</v>
      </c>
      <c r="K707" t="s">
        <v>123</v>
      </c>
      <c r="L707" s="10" t="str">
        <f>VLOOKUP(K707,Accounts!A:B,2,FALSE)</f>
        <v>KBank</v>
      </c>
      <c r="M707" t="s">
        <v>124</v>
      </c>
      <c r="N707" s="10"/>
      <c r="O707" t="s">
        <v>125</v>
      </c>
      <c r="Q707" t="s">
        <v>126</v>
      </c>
      <c r="R707" t="s">
        <v>124</v>
      </c>
      <c r="S707" t="b">
        <v>0</v>
      </c>
      <c r="T707" t="s">
        <v>124</v>
      </c>
    </row>
    <row r="708">
      <c r="A708" t="s">
        <v>1610</v>
      </c>
      <c r="B708" t="s">
        <v>1606</v>
      </c>
      <c r="C708" s="2">
        <v>2024</v>
      </c>
      <c r="D708" s="10">
        <v>7</v>
      </c>
      <c r="E708" s="10">
        <v>31</v>
      </c>
      <c r="F708" t="s">
        <v>1611</v>
      </c>
      <c r="G708">
        <v>4747</v>
      </c>
      <c r="H708" t="s">
        <v>69</v>
      </c>
      <c r="I708" t="s">
        <v>150</v>
      </c>
      <c r="J708" s="10" t="str">
        <f>VLOOKUP(I708,Categories!A:B,2,FALSE)</f>
        <v xml:space="preserve">Food &amp; Coff</v>
      </c>
      <c r="K708" t="s">
        <v>137</v>
      </c>
      <c r="L708" s="10" t="str">
        <f>VLOOKUP(K708,Accounts!A:B,2,FALSE)</f>
        <v xml:space="preserve">Make Kbank</v>
      </c>
      <c r="M708" t="s">
        <v>124</v>
      </c>
      <c r="N708" s="10"/>
      <c r="O708" t="s">
        <v>125</v>
      </c>
      <c r="Q708" t="s">
        <v>126</v>
      </c>
      <c r="R708" t="s">
        <v>124</v>
      </c>
      <c r="S708" t="b">
        <v>0</v>
      </c>
      <c r="T708" t="s">
        <v>124</v>
      </c>
    </row>
    <row r="709">
      <c r="A709" t="s">
        <v>1612</v>
      </c>
      <c r="B709" t="s">
        <v>1606</v>
      </c>
      <c r="C709" s="2">
        <v>2024</v>
      </c>
      <c r="D709" s="10">
        <v>7</v>
      </c>
      <c r="E709" s="10">
        <v>31</v>
      </c>
      <c r="F709" t="s">
        <v>1613</v>
      </c>
      <c r="G709">
        <v>6302.9899999999998</v>
      </c>
      <c r="H709" t="s">
        <v>69</v>
      </c>
      <c r="I709" t="s">
        <v>254</v>
      </c>
      <c r="J709" s="10" t="str">
        <f>VLOOKUP(I709,Categories!A:B,2,FALSE)</f>
        <v xml:space="preserve">Modified Bal.</v>
      </c>
      <c r="K709" t="s">
        <v>137</v>
      </c>
      <c r="L709" s="10" t="str">
        <f>VLOOKUP(K709,Accounts!A:B,2,FALSE)</f>
        <v xml:space="preserve">Make Kbank</v>
      </c>
      <c r="M709" t="s">
        <v>124</v>
      </c>
      <c r="N709" s="10"/>
      <c r="O709" t="s">
        <v>255</v>
      </c>
      <c r="Q709" t="s">
        <v>126</v>
      </c>
      <c r="R709" t="s">
        <v>124</v>
      </c>
      <c r="S709" t="b">
        <v>0</v>
      </c>
      <c r="T709" t="s">
        <v>124</v>
      </c>
    </row>
    <row r="710">
      <c r="A710" t="s">
        <v>1614</v>
      </c>
      <c r="B710" t="s">
        <v>1615</v>
      </c>
      <c r="C710" s="2">
        <v>2024</v>
      </c>
      <c r="D710" s="10">
        <v>7</v>
      </c>
      <c r="E710" s="10">
        <v>30</v>
      </c>
      <c r="F710" t="s">
        <v>1616</v>
      </c>
      <c r="G710">
        <v>4900</v>
      </c>
      <c r="H710" t="s">
        <v>128</v>
      </c>
      <c r="I710" t="s">
        <v>136</v>
      </c>
      <c r="J710" s="10" t="str">
        <f>VLOOKUP(I710,Categories!A:B,2,FALSE)</f>
        <v>อื่นๆ</v>
      </c>
      <c r="K710" t="s">
        <v>131</v>
      </c>
      <c r="L710" s="10" t="str">
        <f>VLOOKUP(K710,Accounts!A:B,2,FALSE)</f>
        <v xml:space="preserve">Advance Paid</v>
      </c>
      <c r="M710" t="s">
        <v>178</v>
      </c>
      <c r="N710" s="10" t="str">
        <f>VLOOKUP(M710,Accounts!A:B,2,FALSE)</f>
        <v>SCB</v>
      </c>
      <c r="O710" t="s">
        <v>125</v>
      </c>
      <c r="Q710" t="s">
        <v>126</v>
      </c>
      <c r="R710" t="s">
        <v>124</v>
      </c>
      <c r="S710" t="b">
        <v>0</v>
      </c>
      <c r="T710" t="s">
        <v>124</v>
      </c>
    </row>
    <row r="711">
      <c r="A711" t="s">
        <v>1617</v>
      </c>
      <c r="B711" t="s">
        <v>1618</v>
      </c>
      <c r="C711" s="2">
        <v>2024</v>
      </c>
      <c r="D711" s="10">
        <v>7</v>
      </c>
      <c r="E711" s="10">
        <v>28</v>
      </c>
      <c r="F711" t="s">
        <v>461</v>
      </c>
      <c r="G711">
        <v>2250</v>
      </c>
      <c r="H711" t="s">
        <v>69</v>
      </c>
      <c r="I711" t="s">
        <v>155</v>
      </c>
      <c r="J711" s="10" t="str">
        <f>VLOOKUP(I711,Categories!A:B,2,FALSE)</f>
        <v>Gashapon</v>
      </c>
      <c r="K711" t="s">
        <v>123</v>
      </c>
      <c r="L711" s="10" t="str">
        <f>VLOOKUP(K711,Accounts!A:B,2,FALSE)</f>
        <v>KBank</v>
      </c>
      <c r="M711" t="s">
        <v>124</v>
      </c>
      <c r="N711" s="10"/>
      <c r="O711" t="s">
        <v>125</v>
      </c>
      <c r="Q711" t="s">
        <v>126</v>
      </c>
      <c r="R711" t="s">
        <v>124</v>
      </c>
      <c r="S711" t="b">
        <v>0</v>
      </c>
      <c r="T711" t="s">
        <v>124</v>
      </c>
    </row>
    <row r="712">
      <c r="A712" t="s">
        <v>1619</v>
      </c>
      <c r="B712" t="s">
        <v>1618</v>
      </c>
      <c r="C712" s="2">
        <v>2024</v>
      </c>
      <c r="D712" s="10">
        <v>7</v>
      </c>
      <c r="E712" s="10">
        <v>28</v>
      </c>
      <c r="F712" t="s">
        <v>461</v>
      </c>
      <c r="G712">
        <v>819</v>
      </c>
      <c r="H712" t="s">
        <v>69</v>
      </c>
      <c r="I712" t="s">
        <v>150</v>
      </c>
      <c r="J712" s="10" t="str">
        <f>VLOOKUP(I712,Categories!A:B,2,FALSE)</f>
        <v xml:space="preserve">Food &amp; Coff</v>
      </c>
      <c r="K712" t="s">
        <v>123</v>
      </c>
      <c r="L712" s="10" t="str">
        <f>VLOOKUP(K712,Accounts!A:B,2,FALSE)</f>
        <v>KBank</v>
      </c>
      <c r="M712" t="s">
        <v>124</v>
      </c>
      <c r="N712" s="10"/>
      <c r="O712" t="s">
        <v>125</v>
      </c>
      <c r="Q712" t="s">
        <v>126</v>
      </c>
      <c r="R712" t="s">
        <v>124</v>
      </c>
      <c r="S712" t="b">
        <v>0</v>
      </c>
      <c r="T712" t="s">
        <v>124</v>
      </c>
    </row>
    <row r="713">
      <c r="A713" t="s">
        <v>1620</v>
      </c>
      <c r="B713" t="s">
        <v>1618</v>
      </c>
      <c r="C713" s="2">
        <v>2024</v>
      </c>
      <c r="D713" s="10">
        <v>7</v>
      </c>
      <c r="E713" s="10">
        <v>28</v>
      </c>
      <c r="F713" t="s">
        <v>1621</v>
      </c>
      <c r="G713">
        <v>1200</v>
      </c>
      <c r="H713" t="s">
        <v>128</v>
      </c>
      <c r="I713" t="s">
        <v>136</v>
      </c>
      <c r="J713" s="10" t="str">
        <f>VLOOKUP(I713,Categories!A:B,2,FALSE)</f>
        <v>อื่นๆ</v>
      </c>
      <c r="K713" t="s">
        <v>131</v>
      </c>
      <c r="L713" s="10" t="str">
        <f>VLOOKUP(K713,Accounts!A:B,2,FALSE)</f>
        <v xml:space="preserve">Advance Paid</v>
      </c>
      <c r="M713" t="s">
        <v>178</v>
      </c>
      <c r="N713" s="10" t="str">
        <f>VLOOKUP(M713,Accounts!A:B,2,FALSE)</f>
        <v>SCB</v>
      </c>
      <c r="O713" t="s">
        <v>1622</v>
      </c>
      <c r="Q713" t="s">
        <v>126</v>
      </c>
      <c r="R713" t="s">
        <v>124</v>
      </c>
      <c r="S713" t="b">
        <v>0</v>
      </c>
      <c r="T713" t="s">
        <v>124</v>
      </c>
    </row>
    <row r="714">
      <c r="A714" t="s">
        <v>1623</v>
      </c>
      <c r="B714" t="s">
        <v>1618</v>
      </c>
      <c r="C714" s="2">
        <v>2024</v>
      </c>
      <c r="D714" s="10">
        <v>7</v>
      </c>
      <c r="E714" s="10">
        <v>28</v>
      </c>
      <c r="F714" t="s">
        <v>1624</v>
      </c>
      <c r="G714">
        <v>1100</v>
      </c>
      <c r="H714" t="s">
        <v>128</v>
      </c>
      <c r="I714" t="s">
        <v>136</v>
      </c>
      <c r="J714" s="10" t="str">
        <f>VLOOKUP(I714,Categories!A:B,2,FALSE)</f>
        <v>อื่นๆ</v>
      </c>
      <c r="K714" t="s">
        <v>131</v>
      </c>
      <c r="L714" s="10" t="str">
        <f>VLOOKUP(K714,Accounts!A:B,2,FALSE)</f>
        <v xml:space="preserve">Advance Paid</v>
      </c>
      <c r="M714" t="s">
        <v>178</v>
      </c>
      <c r="N714" s="10" t="str">
        <f>VLOOKUP(M714,Accounts!A:B,2,FALSE)</f>
        <v>SCB</v>
      </c>
      <c r="O714" t="s">
        <v>125</v>
      </c>
      <c r="Q714" t="s">
        <v>126</v>
      </c>
      <c r="R714" t="s">
        <v>124</v>
      </c>
      <c r="S714" t="b">
        <v>0</v>
      </c>
      <c r="T714" t="s">
        <v>124</v>
      </c>
    </row>
    <row r="715">
      <c r="A715" t="s">
        <v>1625</v>
      </c>
      <c r="B715" t="s">
        <v>1618</v>
      </c>
      <c r="C715" s="2">
        <v>2024</v>
      </c>
      <c r="D715" s="10">
        <v>7</v>
      </c>
      <c r="E715" s="10">
        <v>28</v>
      </c>
      <c r="F715" t="s">
        <v>1624</v>
      </c>
      <c r="G715">
        <v>1650</v>
      </c>
      <c r="H715" t="s">
        <v>128</v>
      </c>
      <c r="I715" t="s">
        <v>136</v>
      </c>
      <c r="J715" s="10" t="str">
        <f>VLOOKUP(I715,Categories!A:B,2,FALSE)</f>
        <v>อื่นๆ</v>
      </c>
      <c r="K715" t="s">
        <v>131</v>
      </c>
      <c r="L715" s="10" t="str">
        <f>VLOOKUP(K715,Accounts!A:B,2,FALSE)</f>
        <v xml:space="preserve">Advance Paid</v>
      </c>
      <c r="M715" t="s">
        <v>178</v>
      </c>
      <c r="N715" s="10" t="str">
        <f>VLOOKUP(M715,Accounts!A:B,2,FALSE)</f>
        <v>SCB</v>
      </c>
      <c r="O715" t="s">
        <v>125</v>
      </c>
      <c r="Q715" t="s">
        <v>126</v>
      </c>
      <c r="R715" t="s">
        <v>124</v>
      </c>
      <c r="S715" t="b">
        <v>0</v>
      </c>
      <c r="T715" t="s">
        <v>124</v>
      </c>
    </row>
    <row r="716">
      <c r="A716" t="s">
        <v>1626</v>
      </c>
      <c r="B716" t="s">
        <v>1618</v>
      </c>
      <c r="C716" s="2">
        <v>2024</v>
      </c>
      <c r="D716" s="10">
        <v>7</v>
      </c>
      <c r="E716" s="10">
        <v>28</v>
      </c>
      <c r="F716" t="s">
        <v>979</v>
      </c>
      <c r="G716">
        <v>70</v>
      </c>
      <c r="H716" t="s">
        <v>69</v>
      </c>
      <c r="I716" t="s">
        <v>150</v>
      </c>
      <c r="J716" s="10" t="str">
        <f>VLOOKUP(I716,Categories!A:B,2,FALSE)</f>
        <v xml:space="preserve">Food &amp; Coff</v>
      </c>
      <c r="K716" t="s">
        <v>178</v>
      </c>
      <c r="L716" s="10" t="str">
        <f>VLOOKUP(K716,Accounts!A:B,2,FALSE)</f>
        <v>SCB</v>
      </c>
      <c r="M716" t="s">
        <v>124</v>
      </c>
      <c r="N716" s="10"/>
      <c r="O716" t="s">
        <v>125</v>
      </c>
      <c r="Q716" t="s">
        <v>126</v>
      </c>
      <c r="R716" t="s">
        <v>124</v>
      </c>
      <c r="S716" t="b">
        <v>0</v>
      </c>
      <c r="T716" t="s">
        <v>124</v>
      </c>
    </row>
    <row r="717">
      <c r="A717" t="s">
        <v>1627</v>
      </c>
      <c r="B717" t="s">
        <v>1618</v>
      </c>
      <c r="C717" s="2">
        <v>2024</v>
      </c>
      <c r="D717" s="10">
        <v>7</v>
      </c>
      <c r="E717" s="10">
        <v>28</v>
      </c>
      <c r="F717" t="s">
        <v>979</v>
      </c>
      <c r="G717">
        <v>2.2599999999999998</v>
      </c>
      <c r="H717" t="s">
        <v>69</v>
      </c>
      <c r="I717" t="s">
        <v>254</v>
      </c>
      <c r="J717" s="10" t="str">
        <f>VLOOKUP(I717,Categories!A:B,2,FALSE)</f>
        <v xml:space="preserve">Modified Bal.</v>
      </c>
      <c r="K717" t="s">
        <v>178</v>
      </c>
      <c r="L717" s="10" t="str">
        <f>VLOOKUP(K717,Accounts!A:B,2,FALSE)</f>
        <v>SCB</v>
      </c>
      <c r="M717" t="s">
        <v>124</v>
      </c>
      <c r="N717" s="10"/>
      <c r="O717" t="s">
        <v>255</v>
      </c>
      <c r="Q717" t="s">
        <v>126</v>
      </c>
      <c r="R717" t="s">
        <v>124</v>
      </c>
      <c r="S717" t="b">
        <v>0</v>
      </c>
      <c r="T717" t="s">
        <v>124</v>
      </c>
    </row>
    <row r="718">
      <c r="A718" t="s">
        <v>1628</v>
      </c>
      <c r="B718" t="s">
        <v>1629</v>
      </c>
      <c r="C718" s="2">
        <v>2024</v>
      </c>
      <c r="D718" s="10">
        <v>7</v>
      </c>
      <c r="E718" s="10">
        <v>27</v>
      </c>
      <c r="F718" t="s">
        <v>476</v>
      </c>
      <c r="G718">
        <v>5000</v>
      </c>
      <c r="H718" t="s">
        <v>69</v>
      </c>
      <c r="I718" t="s">
        <v>144</v>
      </c>
      <c r="J718" s="10" t="str">
        <f>VLOOKUP(I718,Categories!A:B,2,FALSE)</f>
        <v xml:space="preserve">Family paid</v>
      </c>
      <c r="K718" t="s">
        <v>123</v>
      </c>
      <c r="L718" s="10" t="str">
        <f>VLOOKUP(K718,Accounts!A:B,2,FALSE)</f>
        <v>KBank</v>
      </c>
      <c r="M718" t="s">
        <v>124</v>
      </c>
      <c r="N718" s="10"/>
      <c r="O718" t="s">
        <v>125</v>
      </c>
      <c r="Q718" t="s">
        <v>126</v>
      </c>
      <c r="R718" t="s">
        <v>124</v>
      </c>
      <c r="S718" t="b">
        <v>0</v>
      </c>
      <c r="T718" t="s">
        <v>124</v>
      </c>
    </row>
    <row r="719">
      <c r="A719" t="s">
        <v>1630</v>
      </c>
      <c r="B719" t="s">
        <v>50</v>
      </c>
      <c r="C719" s="2">
        <v>2024</v>
      </c>
      <c r="D719" s="10">
        <v>7</v>
      </c>
      <c r="E719" s="10">
        <v>26</v>
      </c>
      <c r="F719" t="s">
        <v>476</v>
      </c>
      <c r="G719">
        <v>16000</v>
      </c>
      <c r="H719" t="s">
        <v>128</v>
      </c>
      <c r="I719" t="s">
        <v>136</v>
      </c>
      <c r="J719" s="10" t="str">
        <f>VLOOKUP(I719,Categories!A:B,2,FALSE)</f>
        <v>อื่นๆ</v>
      </c>
      <c r="K719" t="s">
        <v>123</v>
      </c>
      <c r="L719" s="10" t="str">
        <f>VLOOKUP(K719,Accounts!A:B,2,FALSE)</f>
        <v>KBank</v>
      </c>
      <c r="M719" t="s">
        <v>215</v>
      </c>
      <c r="N719" s="10" t="str">
        <f>VLOOKUP(M719,Accounts!A:B,2,FALSE)</f>
        <v>Investment</v>
      </c>
      <c r="O719" t="s">
        <v>125</v>
      </c>
      <c r="Q719" t="s">
        <v>126</v>
      </c>
      <c r="R719" t="s">
        <v>124</v>
      </c>
      <c r="S719" t="b">
        <v>0</v>
      </c>
      <c r="T719" t="s">
        <v>124</v>
      </c>
    </row>
    <row r="720">
      <c r="A720" t="s">
        <v>1631</v>
      </c>
      <c r="B720" t="s">
        <v>1632</v>
      </c>
      <c r="C720" s="2">
        <v>2024</v>
      </c>
      <c r="D720" s="10">
        <v>7</v>
      </c>
      <c r="E720" s="10">
        <v>25</v>
      </c>
      <c r="F720" t="s">
        <v>121</v>
      </c>
      <c r="G720">
        <v>4158</v>
      </c>
      <c r="H720" t="s">
        <v>128</v>
      </c>
      <c r="I720" t="s">
        <v>136</v>
      </c>
      <c r="J720" s="10" t="str">
        <f>VLOOKUP(I720,Categories!A:B,2,FALSE)</f>
        <v>อื่นๆ</v>
      </c>
      <c r="K720" t="s">
        <v>123</v>
      </c>
      <c r="L720" s="10" t="str">
        <f>VLOOKUP(K720,Accounts!A:B,2,FALSE)</f>
        <v>KBank</v>
      </c>
      <c r="M720" t="s">
        <v>1421</v>
      </c>
      <c r="N720" s="10" t="str">
        <f>VLOOKUP(M720,Accounts!A:B,2,FALSE)</f>
        <v>Hong</v>
      </c>
      <c r="O720" t="s">
        <v>125</v>
      </c>
      <c r="Q720" t="s">
        <v>126</v>
      </c>
      <c r="R720" t="s">
        <v>124</v>
      </c>
      <c r="S720" t="b">
        <v>0</v>
      </c>
      <c r="T720" t="s">
        <v>124</v>
      </c>
    </row>
    <row r="721">
      <c r="A721" t="s">
        <v>1633</v>
      </c>
      <c r="B721" t="s">
        <v>1632</v>
      </c>
      <c r="C721" s="2">
        <v>2024</v>
      </c>
      <c r="D721" s="10">
        <v>7</v>
      </c>
      <c r="E721" s="10">
        <v>25</v>
      </c>
      <c r="F721" t="s">
        <v>121</v>
      </c>
      <c r="G721">
        <v>1976.78</v>
      </c>
      <c r="H721" t="s">
        <v>69</v>
      </c>
      <c r="I721" t="s">
        <v>195</v>
      </c>
      <c r="J721" s="10" t="str">
        <f>VLOOKUP(I721,Categories!A:B,2,FALSE)</f>
        <v>Tax</v>
      </c>
      <c r="K721" t="s">
        <v>123</v>
      </c>
      <c r="L721" s="10" t="str">
        <f>VLOOKUP(K721,Accounts!A:B,2,FALSE)</f>
        <v>KBank</v>
      </c>
      <c r="M721" t="s">
        <v>124</v>
      </c>
      <c r="N721" s="10"/>
      <c r="O721" t="s">
        <v>125</v>
      </c>
      <c r="Q721" t="s">
        <v>126</v>
      </c>
      <c r="R721" t="s">
        <v>124</v>
      </c>
      <c r="S721" t="b">
        <v>0</v>
      </c>
      <c r="T721" t="s">
        <v>124</v>
      </c>
    </row>
    <row r="722">
      <c r="A722" t="s">
        <v>1634</v>
      </c>
      <c r="B722" t="s">
        <v>1632</v>
      </c>
      <c r="C722" s="2">
        <v>2024</v>
      </c>
      <c r="D722" s="10">
        <v>7</v>
      </c>
      <c r="E722" s="10">
        <v>25</v>
      </c>
      <c r="F722" t="s">
        <v>121</v>
      </c>
      <c r="G722">
        <v>2555.1999999999998</v>
      </c>
      <c r="H722" t="s">
        <v>128</v>
      </c>
      <c r="I722" t="s">
        <v>136</v>
      </c>
      <c r="J722" s="10" t="str">
        <f>VLOOKUP(I722,Categories!A:B,2,FALSE)</f>
        <v>อื่นๆ</v>
      </c>
      <c r="K722" t="s">
        <v>123</v>
      </c>
      <c r="L722" s="10" t="str">
        <f>VLOOKUP(K722,Accounts!A:B,2,FALSE)</f>
        <v>KBank</v>
      </c>
      <c r="M722" t="s">
        <v>203</v>
      </c>
      <c r="N722" s="10" t="str">
        <f>VLOOKUP(M722,Accounts!A:B,2,FALSE)</f>
        <v xml:space="preserve">Provident Fund</v>
      </c>
      <c r="O722" t="s">
        <v>125</v>
      </c>
      <c r="Q722" t="s">
        <v>126</v>
      </c>
      <c r="R722" t="s">
        <v>124</v>
      </c>
      <c r="S722" t="b">
        <v>0</v>
      </c>
      <c r="T722" t="s">
        <v>124</v>
      </c>
    </row>
    <row r="723">
      <c r="A723" t="s">
        <v>1635</v>
      </c>
      <c r="B723" t="s">
        <v>1632</v>
      </c>
      <c r="C723" s="2">
        <v>2024</v>
      </c>
      <c r="D723" s="10">
        <v>7</v>
      </c>
      <c r="E723" s="10">
        <v>25</v>
      </c>
      <c r="F723" t="s">
        <v>121</v>
      </c>
      <c r="G723">
        <v>309.74000000000001</v>
      </c>
      <c r="H723" t="s">
        <v>69</v>
      </c>
      <c r="I723" t="s">
        <v>443</v>
      </c>
      <c r="J723" s="10" t="str">
        <f>VLOOKUP(I723,Categories!A:B,2,FALSE)</f>
        <v xml:space="preserve">City SV Interest</v>
      </c>
      <c r="K723" t="s">
        <v>123</v>
      </c>
      <c r="L723" s="10" t="str">
        <f>VLOOKUP(K723,Accounts!A:B,2,FALSE)</f>
        <v>KBank</v>
      </c>
      <c r="M723" t="s">
        <v>124</v>
      </c>
      <c r="N723" s="10"/>
      <c r="O723" t="s">
        <v>125</v>
      </c>
      <c r="Q723" t="s">
        <v>126</v>
      </c>
      <c r="R723" t="s">
        <v>124</v>
      </c>
      <c r="S723" t="b">
        <v>0</v>
      </c>
      <c r="T723" t="s">
        <v>124</v>
      </c>
    </row>
    <row r="724">
      <c r="A724" t="s">
        <v>1636</v>
      </c>
      <c r="B724" t="s">
        <v>1632</v>
      </c>
      <c r="C724" s="2">
        <v>2024</v>
      </c>
      <c r="D724" s="10">
        <v>7</v>
      </c>
      <c r="E724" s="10">
        <v>25</v>
      </c>
      <c r="F724" t="s">
        <v>121</v>
      </c>
      <c r="G724">
        <v>3385.4200000000001</v>
      </c>
      <c r="H724" t="s">
        <v>69</v>
      </c>
      <c r="I724" t="s">
        <v>199</v>
      </c>
      <c r="J724" s="10" t="str">
        <f>VLOOKUP(I724,Categories!A:B,2,FALSE)</f>
        <v xml:space="preserve">Home Chomthong Interest</v>
      </c>
      <c r="K724" t="s">
        <v>123</v>
      </c>
      <c r="L724" s="10" t="str">
        <f>VLOOKUP(K724,Accounts!A:B,2,FALSE)</f>
        <v>KBank</v>
      </c>
      <c r="M724" t="s">
        <v>124</v>
      </c>
      <c r="N724" s="10"/>
      <c r="O724" t="s">
        <v>125</v>
      </c>
      <c r="Q724" t="s">
        <v>126</v>
      </c>
      <c r="R724" t="s">
        <v>124</v>
      </c>
      <c r="S724" t="b">
        <v>0</v>
      </c>
      <c r="T724" t="s">
        <v>124</v>
      </c>
    </row>
    <row r="725">
      <c r="A725" t="s">
        <v>1637</v>
      </c>
      <c r="B725" t="s">
        <v>1632</v>
      </c>
      <c r="C725" s="2">
        <v>2024</v>
      </c>
      <c r="D725" s="10">
        <v>7</v>
      </c>
      <c r="E725" s="10">
        <v>25</v>
      </c>
      <c r="F725" t="s">
        <v>121</v>
      </c>
      <c r="G725">
        <v>127760</v>
      </c>
      <c r="H725" t="s">
        <v>206</v>
      </c>
      <c r="I725" t="s">
        <v>207</v>
      </c>
      <c r="J725" s="10" t="str">
        <f>VLOOKUP(I725,Categories!A:B,2,FALSE)</f>
        <v>Salary</v>
      </c>
      <c r="K725" t="s">
        <v>123</v>
      </c>
      <c r="L725" s="10" t="str">
        <f>VLOOKUP(K725,Accounts!A:B,2,FALSE)</f>
        <v>KBank</v>
      </c>
      <c r="M725" t="s">
        <v>124</v>
      </c>
      <c r="N725" s="10"/>
      <c r="O725" t="s">
        <v>125</v>
      </c>
      <c r="Q725" t="s">
        <v>126</v>
      </c>
      <c r="R725" t="s">
        <v>124</v>
      </c>
      <c r="S725" t="b">
        <v>0</v>
      </c>
      <c r="T725" t="s">
        <v>124</v>
      </c>
    </row>
    <row r="726">
      <c r="A726" t="s">
        <v>1638</v>
      </c>
      <c r="B726" t="s">
        <v>1632</v>
      </c>
      <c r="C726" s="2">
        <v>2024</v>
      </c>
      <c r="D726" s="10">
        <v>7</v>
      </c>
      <c r="E726" s="10">
        <v>25</v>
      </c>
      <c r="F726" t="s">
        <v>121</v>
      </c>
      <c r="G726">
        <v>8540</v>
      </c>
      <c r="H726" t="s">
        <v>128</v>
      </c>
      <c r="I726" t="s">
        <v>136</v>
      </c>
      <c r="J726" s="10" t="str">
        <f>VLOOKUP(I726,Categories!A:B,2,FALSE)</f>
        <v>อื่นๆ</v>
      </c>
      <c r="K726" t="s">
        <v>123</v>
      </c>
      <c r="L726" s="10" t="str">
        <f>VLOOKUP(K726,Accounts!A:B,2,FALSE)</f>
        <v>KBank</v>
      </c>
      <c r="M726" t="s">
        <v>1244</v>
      </c>
      <c r="N726" s="10" t="str">
        <f>VLOOKUP(M726,Accounts!A:B,2,FALSE)</f>
        <v xml:space="preserve">Home chomthong Loan</v>
      </c>
      <c r="O726" t="s">
        <v>125</v>
      </c>
      <c r="Q726" t="s">
        <v>126</v>
      </c>
      <c r="R726" t="s">
        <v>124</v>
      </c>
      <c r="S726" t="b">
        <v>0</v>
      </c>
      <c r="T726" t="s">
        <v>124</v>
      </c>
    </row>
    <row r="727">
      <c r="A727" t="s">
        <v>1639</v>
      </c>
      <c r="B727" t="s">
        <v>1632</v>
      </c>
      <c r="C727" s="2">
        <v>2024</v>
      </c>
      <c r="D727" s="10">
        <v>7</v>
      </c>
      <c r="E727" s="10">
        <v>25</v>
      </c>
      <c r="F727" t="s">
        <v>121</v>
      </c>
      <c r="G727">
        <v>500</v>
      </c>
      <c r="H727" t="s">
        <v>128</v>
      </c>
      <c r="I727" t="s">
        <v>136</v>
      </c>
      <c r="J727" s="10" t="str">
        <f>VLOOKUP(I727,Categories!A:B,2,FALSE)</f>
        <v>อื่นๆ</v>
      </c>
      <c r="K727" t="s">
        <v>123</v>
      </c>
      <c r="L727" s="10" t="str">
        <f>VLOOKUP(K727,Accounts!A:B,2,FALSE)</f>
        <v>KBank</v>
      </c>
      <c r="M727" t="s">
        <v>201</v>
      </c>
      <c r="N727" s="10" t="str">
        <f>VLOOKUP(M727,Accounts!A:B,2,FALSE)</f>
        <v>Coop</v>
      </c>
      <c r="O727" t="s">
        <v>125</v>
      </c>
      <c r="Q727" t="s">
        <v>126</v>
      </c>
      <c r="R727" t="s">
        <v>124</v>
      </c>
      <c r="S727" t="b">
        <v>0</v>
      </c>
      <c r="T727" t="s">
        <v>124</v>
      </c>
    </row>
    <row r="728">
      <c r="A728" t="s">
        <v>1640</v>
      </c>
      <c r="B728" t="s">
        <v>1632</v>
      </c>
      <c r="C728" s="2">
        <v>2024</v>
      </c>
      <c r="D728" s="10">
        <v>7</v>
      </c>
      <c r="E728" s="10">
        <v>25</v>
      </c>
      <c r="F728" t="s">
        <v>121</v>
      </c>
      <c r="G728">
        <v>9240</v>
      </c>
      <c r="H728" t="s">
        <v>128</v>
      </c>
      <c r="I728" t="s">
        <v>136</v>
      </c>
      <c r="J728" s="10" t="str">
        <f>VLOOKUP(I728,Categories!A:B,2,FALSE)</f>
        <v>อื่นๆ</v>
      </c>
      <c r="K728" t="s">
        <v>123</v>
      </c>
      <c r="L728" s="10" t="str">
        <f>VLOOKUP(K728,Accounts!A:B,2,FALSE)</f>
        <v>KBank</v>
      </c>
      <c r="M728" t="s">
        <v>1246</v>
      </c>
      <c r="N728" s="10" t="str">
        <f>VLOOKUP(M728,Accounts!A:B,2,FALSE)</f>
        <v xml:space="preserve">Car Loan</v>
      </c>
      <c r="O728" t="s">
        <v>125</v>
      </c>
      <c r="Q728" t="s">
        <v>126</v>
      </c>
      <c r="R728" t="s">
        <v>124</v>
      </c>
      <c r="S728" t="b">
        <v>0</v>
      </c>
      <c r="T728" t="s">
        <v>124</v>
      </c>
    </row>
    <row r="729">
      <c r="A729" t="s">
        <v>1641</v>
      </c>
      <c r="B729" t="s">
        <v>1642</v>
      </c>
      <c r="C729" s="2">
        <v>2024</v>
      </c>
      <c r="D729" s="10">
        <v>7</v>
      </c>
      <c r="E729" s="10">
        <v>21</v>
      </c>
      <c r="F729" t="s">
        <v>537</v>
      </c>
      <c r="G729">
        <v>345</v>
      </c>
      <c r="H729" t="s">
        <v>69</v>
      </c>
      <c r="I729" t="s">
        <v>144</v>
      </c>
      <c r="J729" s="10" t="str">
        <f>VLOOKUP(I729,Categories!A:B,2,FALSE)</f>
        <v xml:space="preserve">Family paid</v>
      </c>
      <c r="K729" t="s">
        <v>123</v>
      </c>
      <c r="L729" s="10" t="str">
        <f>VLOOKUP(K729,Accounts!A:B,2,FALSE)</f>
        <v>KBank</v>
      </c>
      <c r="M729" t="s">
        <v>124</v>
      </c>
      <c r="N729" s="10"/>
      <c r="O729" t="s">
        <v>125</v>
      </c>
      <c r="Q729" t="s">
        <v>126</v>
      </c>
      <c r="R729" t="s">
        <v>124</v>
      </c>
      <c r="S729" t="b">
        <v>0</v>
      </c>
      <c r="T729" t="s">
        <v>124</v>
      </c>
    </row>
    <row r="730">
      <c r="A730" t="s">
        <v>1643</v>
      </c>
      <c r="B730" t="s">
        <v>1644</v>
      </c>
      <c r="C730" s="2">
        <v>2024</v>
      </c>
      <c r="D730" s="10">
        <v>7</v>
      </c>
      <c r="E730" s="10">
        <v>20</v>
      </c>
      <c r="F730" t="s">
        <v>1645</v>
      </c>
      <c r="G730">
        <v>260</v>
      </c>
      <c r="H730" t="s">
        <v>128</v>
      </c>
      <c r="I730" t="s">
        <v>136</v>
      </c>
      <c r="J730" s="10" t="str">
        <f>VLOOKUP(I730,Categories!A:B,2,FALSE)</f>
        <v>อื่นๆ</v>
      </c>
      <c r="K730" t="s">
        <v>131</v>
      </c>
      <c r="L730" s="10" t="str">
        <f>VLOOKUP(K730,Accounts!A:B,2,FALSE)</f>
        <v xml:space="preserve">Advance Paid</v>
      </c>
      <c r="M730" t="s">
        <v>123</v>
      </c>
      <c r="N730" s="10" t="str">
        <f>VLOOKUP(M730,Accounts!A:B,2,FALSE)</f>
        <v>KBank</v>
      </c>
      <c r="O730" t="s">
        <v>125</v>
      </c>
      <c r="Q730" t="s">
        <v>126</v>
      </c>
      <c r="R730" t="s">
        <v>124</v>
      </c>
      <c r="S730" t="b">
        <v>0</v>
      </c>
      <c r="T730" t="s">
        <v>124</v>
      </c>
    </row>
    <row r="731">
      <c r="A731" t="s">
        <v>1646</v>
      </c>
      <c r="B731" t="s">
        <v>1644</v>
      </c>
      <c r="C731" s="2">
        <v>2024</v>
      </c>
      <c r="D731" s="10">
        <v>7</v>
      </c>
      <c r="E731" s="10">
        <v>20</v>
      </c>
      <c r="F731" t="s">
        <v>1647</v>
      </c>
      <c r="G731">
        <v>93.739999999999995</v>
      </c>
      <c r="H731" t="s">
        <v>69</v>
      </c>
      <c r="I731" t="s">
        <v>254</v>
      </c>
      <c r="J731" s="10" t="str">
        <f>VLOOKUP(I731,Categories!A:B,2,FALSE)</f>
        <v xml:space="preserve">Modified Bal.</v>
      </c>
      <c r="K731" t="s">
        <v>123</v>
      </c>
      <c r="L731" s="10" t="str">
        <f>VLOOKUP(K731,Accounts!A:B,2,FALSE)</f>
        <v>KBank</v>
      </c>
      <c r="M731" t="s">
        <v>124</v>
      </c>
      <c r="N731" s="10"/>
      <c r="O731" t="s">
        <v>255</v>
      </c>
      <c r="Q731" t="s">
        <v>126</v>
      </c>
      <c r="R731" t="s">
        <v>124</v>
      </c>
      <c r="S731" t="b">
        <v>0</v>
      </c>
      <c r="T731" t="s">
        <v>124</v>
      </c>
    </row>
    <row r="732">
      <c r="A732" t="s">
        <v>1648</v>
      </c>
      <c r="B732" t="s">
        <v>1644</v>
      </c>
      <c r="C732" s="2">
        <v>2024</v>
      </c>
      <c r="D732" s="10">
        <v>7</v>
      </c>
      <c r="E732" s="10">
        <v>20</v>
      </c>
      <c r="F732" t="s">
        <v>479</v>
      </c>
      <c r="G732">
        <v>1750</v>
      </c>
      <c r="H732" t="s">
        <v>69</v>
      </c>
      <c r="I732" t="s">
        <v>141</v>
      </c>
      <c r="J732" s="10" t="str">
        <f>VLOOKUP(I732,Categories!A:B,2,FALSE)</f>
        <v>Other</v>
      </c>
      <c r="K732" t="s">
        <v>123</v>
      </c>
      <c r="L732" s="10" t="str">
        <f>VLOOKUP(K732,Accounts!A:B,2,FALSE)</f>
        <v>KBank</v>
      </c>
      <c r="M732" t="s">
        <v>124</v>
      </c>
      <c r="N732" s="10"/>
      <c r="O732" t="s">
        <v>125</v>
      </c>
      <c r="Q732" t="s">
        <v>126</v>
      </c>
      <c r="R732" t="s">
        <v>124</v>
      </c>
      <c r="S732" t="b">
        <v>0</v>
      </c>
      <c r="T732" t="s">
        <v>124</v>
      </c>
    </row>
    <row r="733">
      <c r="A733" t="s">
        <v>1649</v>
      </c>
      <c r="B733" t="s">
        <v>1650</v>
      </c>
      <c r="C733" s="2">
        <v>2024</v>
      </c>
      <c r="D733" s="10">
        <v>7</v>
      </c>
      <c r="E733" s="10">
        <v>19</v>
      </c>
      <c r="F733" t="s">
        <v>1651</v>
      </c>
      <c r="G733">
        <v>99</v>
      </c>
      <c r="H733" t="s">
        <v>69</v>
      </c>
      <c r="I733" t="s">
        <v>150</v>
      </c>
      <c r="J733" s="10" t="str">
        <f>VLOOKUP(I733,Categories!A:B,2,FALSE)</f>
        <v xml:space="preserve">Food &amp; Coff</v>
      </c>
      <c r="K733" t="s">
        <v>123</v>
      </c>
      <c r="L733" s="10" t="str">
        <f>VLOOKUP(K733,Accounts!A:B,2,FALSE)</f>
        <v>KBank</v>
      </c>
      <c r="M733" t="s">
        <v>124</v>
      </c>
      <c r="N733" s="10"/>
      <c r="O733" t="s">
        <v>125</v>
      </c>
      <c r="Q733" t="s">
        <v>126</v>
      </c>
      <c r="R733" t="s">
        <v>124</v>
      </c>
      <c r="S733" t="b">
        <v>0</v>
      </c>
      <c r="T733" t="s">
        <v>124</v>
      </c>
    </row>
    <row r="734">
      <c r="A734" t="s">
        <v>1652</v>
      </c>
      <c r="B734" t="s">
        <v>1653</v>
      </c>
      <c r="C734" s="2">
        <v>2024</v>
      </c>
      <c r="D734" s="10">
        <v>7</v>
      </c>
      <c r="E734" s="10">
        <v>13</v>
      </c>
      <c r="F734" t="s">
        <v>1654</v>
      </c>
      <c r="G734">
        <v>300</v>
      </c>
      <c r="H734" t="s">
        <v>69</v>
      </c>
      <c r="I734" t="s">
        <v>152</v>
      </c>
      <c r="J734" s="10" t="str">
        <f>VLOOKUP(I734,Categories!A:B,2,FALSE)</f>
        <v xml:space="preserve">Office Suit</v>
      </c>
      <c r="K734" t="s">
        <v>123</v>
      </c>
      <c r="L734" s="10" t="str">
        <f>VLOOKUP(K734,Accounts!A:B,2,FALSE)</f>
        <v>KBank</v>
      </c>
      <c r="M734" t="s">
        <v>124</v>
      </c>
      <c r="N734" s="10"/>
      <c r="O734" t="s">
        <v>377</v>
      </c>
      <c r="Q734" t="s">
        <v>126</v>
      </c>
      <c r="R734" t="s">
        <v>124</v>
      </c>
      <c r="S734" t="b">
        <v>0</v>
      </c>
      <c r="T734" t="s">
        <v>124</v>
      </c>
    </row>
    <row r="735">
      <c r="A735" t="s">
        <v>1655</v>
      </c>
      <c r="B735" t="s">
        <v>1653</v>
      </c>
      <c r="C735" s="2">
        <v>2024</v>
      </c>
      <c r="D735" s="10">
        <v>7</v>
      </c>
      <c r="E735" s="10">
        <v>13</v>
      </c>
      <c r="F735" t="s">
        <v>1656</v>
      </c>
      <c r="G735">
        <v>400</v>
      </c>
      <c r="H735" t="s">
        <v>128</v>
      </c>
      <c r="I735" t="s">
        <v>136</v>
      </c>
      <c r="J735" s="10" t="str">
        <f>VLOOKUP(I735,Categories!A:B,2,FALSE)</f>
        <v>อื่นๆ</v>
      </c>
      <c r="K735" t="s">
        <v>766</v>
      </c>
      <c r="L735" s="10" t="str">
        <f>VLOOKUP(K735,Accounts!A:B,2,FALSE)</f>
        <v>KRUNGSRI</v>
      </c>
      <c r="M735" t="s">
        <v>425</v>
      </c>
      <c r="N735" s="10" t="str">
        <f>VLOOKUP(M735,Accounts!A:B,2,FALSE)</f>
        <v>Cash</v>
      </c>
      <c r="O735" t="s">
        <v>125</v>
      </c>
      <c r="Q735" t="s">
        <v>126</v>
      </c>
      <c r="R735" t="s">
        <v>124</v>
      </c>
      <c r="S735" t="b">
        <v>0</v>
      </c>
      <c r="T735" t="s">
        <v>124</v>
      </c>
    </row>
    <row r="736">
      <c r="A736" t="s">
        <v>1657</v>
      </c>
      <c r="B736" t="s">
        <v>1658</v>
      </c>
      <c r="C736" s="2">
        <v>2024</v>
      </c>
      <c r="D736" s="10">
        <v>7</v>
      </c>
      <c r="E736" s="10">
        <v>12</v>
      </c>
      <c r="F736" t="s">
        <v>1659</v>
      </c>
      <c r="G736">
        <v>300</v>
      </c>
      <c r="H736" t="s">
        <v>69</v>
      </c>
      <c r="I736" t="s">
        <v>155</v>
      </c>
      <c r="J736" s="10" t="str">
        <f>VLOOKUP(I736,Categories!A:B,2,FALSE)</f>
        <v>Gashapon</v>
      </c>
      <c r="K736" t="s">
        <v>123</v>
      </c>
      <c r="L736" s="10" t="str">
        <f>VLOOKUP(K736,Accounts!A:B,2,FALSE)</f>
        <v>KBank</v>
      </c>
      <c r="M736" t="s">
        <v>124</v>
      </c>
      <c r="N736" s="10"/>
      <c r="O736" t="s">
        <v>125</v>
      </c>
      <c r="Q736" t="s">
        <v>126</v>
      </c>
      <c r="R736" t="s">
        <v>124</v>
      </c>
      <c r="S736" t="b">
        <v>0</v>
      </c>
      <c r="T736" t="s">
        <v>124</v>
      </c>
    </row>
    <row r="737">
      <c r="A737" t="s">
        <v>1660</v>
      </c>
      <c r="B737" t="s">
        <v>1661</v>
      </c>
      <c r="C737" s="2">
        <v>2024</v>
      </c>
      <c r="D737" s="10">
        <v>7</v>
      </c>
      <c r="E737" s="10">
        <v>11</v>
      </c>
      <c r="F737" t="s">
        <v>1662</v>
      </c>
      <c r="G737">
        <v>400</v>
      </c>
      <c r="H737" t="s">
        <v>69</v>
      </c>
      <c r="I737" t="s">
        <v>150</v>
      </c>
      <c r="J737" s="10" t="str">
        <f>VLOOKUP(I737,Categories!A:B,2,FALSE)</f>
        <v xml:space="preserve">Food &amp; Coff</v>
      </c>
      <c r="K737" t="s">
        <v>178</v>
      </c>
      <c r="L737" s="10" t="str">
        <f>VLOOKUP(K737,Accounts!A:B,2,FALSE)</f>
        <v>SCB</v>
      </c>
      <c r="M737" t="s">
        <v>124</v>
      </c>
      <c r="N737" s="10"/>
      <c r="O737" t="s">
        <v>125</v>
      </c>
      <c r="Q737" t="s">
        <v>126</v>
      </c>
      <c r="R737" t="s">
        <v>124</v>
      </c>
      <c r="S737" t="b">
        <v>0</v>
      </c>
      <c r="T737" t="s">
        <v>124</v>
      </c>
    </row>
    <row r="738">
      <c r="A738" t="s">
        <v>1663</v>
      </c>
      <c r="B738" t="s">
        <v>1664</v>
      </c>
      <c r="C738" s="2">
        <v>2024</v>
      </c>
      <c r="D738" s="10">
        <v>7</v>
      </c>
      <c r="E738" s="10">
        <v>10</v>
      </c>
      <c r="F738" t="s">
        <v>1659</v>
      </c>
      <c r="G738">
        <v>5000</v>
      </c>
      <c r="H738" t="s">
        <v>69</v>
      </c>
      <c r="I738" t="s">
        <v>144</v>
      </c>
      <c r="J738" s="10" t="str">
        <f>VLOOKUP(I738,Categories!A:B,2,FALSE)</f>
        <v xml:space="preserve">Family paid</v>
      </c>
      <c r="K738" t="s">
        <v>123</v>
      </c>
      <c r="L738" s="10" t="str">
        <f>VLOOKUP(K738,Accounts!A:B,2,FALSE)</f>
        <v>KBank</v>
      </c>
      <c r="M738" t="s">
        <v>124</v>
      </c>
      <c r="N738" s="10"/>
      <c r="O738" t="s">
        <v>125</v>
      </c>
      <c r="Q738" t="s">
        <v>126</v>
      </c>
      <c r="R738" t="s">
        <v>124</v>
      </c>
      <c r="S738" t="b">
        <v>0</v>
      </c>
      <c r="T738" t="s">
        <v>124</v>
      </c>
    </row>
    <row r="739">
      <c r="A739" t="s">
        <v>1665</v>
      </c>
      <c r="B739" t="s">
        <v>1666</v>
      </c>
      <c r="C739" s="2">
        <v>2024</v>
      </c>
      <c r="D739" s="10">
        <v>7</v>
      </c>
      <c r="E739" s="10">
        <v>9</v>
      </c>
      <c r="F739" t="s">
        <v>1667</v>
      </c>
      <c r="G739">
        <v>218</v>
      </c>
      <c r="H739" t="s">
        <v>69</v>
      </c>
      <c r="I739" t="s">
        <v>150</v>
      </c>
      <c r="J739" s="10" t="str">
        <f>VLOOKUP(I739,Categories!A:B,2,FALSE)</f>
        <v xml:space="preserve">Food &amp; Coff</v>
      </c>
      <c r="K739" t="s">
        <v>123</v>
      </c>
      <c r="L739" s="10" t="str">
        <f>VLOOKUP(K739,Accounts!A:B,2,FALSE)</f>
        <v>KBank</v>
      </c>
      <c r="M739" t="s">
        <v>124</v>
      </c>
      <c r="N739" s="10"/>
      <c r="O739" t="s">
        <v>125</v>
      </c>
      <c r="Q739" t="s">
        <v>126</v>
      </c>
      <c r="R739" t="s">
        <v>124</v>
      </c>
      <c r="S739" t="b">
        <v>0</v>
      </c>
      <c r="T739" t="s">
        <v>124</v>
      </c>
    </row>
    <row r="740">
      <c r="A740" t="s">
        <v>1668</v>
      </c>
      <c r="B740" t="s">
        <v>1669</v>
      </c>
      <c r="C740" s="2">
        <v>2024</v>
      </c>
      <c r="D740" s="10">
        <v>7</v>
      </c>
      <c r="E740" s="10">
        <v>4</v>
      </c>
      <c r="F740" t="s">
        <v>1670</v>
      </c>
      <c r="G740">
        <v>650</v>
      </c>
      <c r="H740" t="s">
        <v>128</v>
      </c>
      <c r="I740" t="s">
        <v>136</v>
      </c>
      <c r="J740" s="10" t="str">
        <f>VLOOKUP(I740,Categories!A:B,2,FALSE)</f>
        <v>อื่นๆ</v>
      </c>
      <c r="K740" t="s">
        <v>131</v>
      </c>
      <c r="L740" s="10" t="str">
        <f>VLOOKUP(K740,Accounts!A:B,2,FALSE)</f>
        <v xml:space="preserve">Advance Paid</v>
      </c>
      <c r="M740" t="s">
        <v>178</v>
      </c>
      <c r="N740" s="10" t="str">
        <f>VLOOKUP(M740,Accounts!A:B,2,FALSE)</f>
        <v>SCB</v>
      </c>
      <c r="O740" t="s">
        <v>125</v>
      </c>
      <c r="Q740" t="s">
        <v>126</v>
      </c>
      <c r="R740" t="s">
        <v>124</v>
      </c>
      <c r="S740" t="b">
        <v>0</v>
      </c>
      <c r="T740" t="s">
        <v>124</v>
      </c>
    </row>
    <row r="741">
      <c r="A741" t="s">
        <v>1671</v>
      </c>
      <c r="B741" t="s">
        <v>1672</v>
      </c>
      <c r="C741" s="2">
        <v>2024</v>
      </c>
      <c r="D741" s="10">
        <v>7</v>
      </c>
      <c r="E741" s="10">
        <v>1</v>
      </c>
      <c r="F741" t="s">
        <v>1673</v>
      </c>
      <c r="G741">
        <v>5000</v>
      </c>
      <c r="H741" t="s">
        <v>128</v>
      </c>
      <c r="I741" t="s">
        <v>136</v>
      </c>
      <c r="J741" s="10" t="str">
        <f>VLOOKUP(I741,Categories!A:B,2,FALSE)</f>
        <v>อื่นๆ</v>
      </c>
      <c r="K741" t="s">
        <v>123</v>
      </c>
      <c r="L741" s="10" t="str">
        <f>VLOOKUP(K741,Accounts!A:B,2,FALSE)</f>
        <v>KBank</v>
      </c>
      <c r="M741" t="s">
        <v>137</v>
      </c>
      <c r="N741" s="10" t="str">
        <f>VLOOKUP(M741,Accounts!A:B,2,FALSE)</f>
        <v xml:space="preserve">Make Kbank</v>
      </c>
      <c r="O741" t="s">
        <v>125</v>
      </c>
      <c r="Q741" t="s">
        <v>126</v>
      </c>
      <c r="R741" t="s">
        <v>124</v>
      </c>
      <c r="S741" t="b">
        <v>0</v>
      </c>
      <c r="T741" t="s">
        <v>124</v>
      </c>
    </row>
    <row r="742">
      <c r="A742" t="s">
        <v>1674</v>
      </c>
      <c r="B742" t="s">
        <v>1672</v>
      </c>
      <c r="C742" s="2">
        <v>2024</v>
      </c>
      <c r="D742" s="10">
        <v>7</v>
      </c>
      <c r="E742" s="10">
        <v>1</v>
      </c>
      <c r="F742" t="s">
        <v>1667</v>
      </c>
      <c r="G742">
        <v>7166</v>
      </c>
      <c r="H742" t="s">
        <v>69</v>
      </c>
      <c r="I742" t="s">
        <v>139</v>
      </c>
      <c r="J742" s="10" t="str">
        <f>VLOOKUP(I742,Categories!A:B,2,FALSE)</f>
        <v>Condo</v>
      </c>
      <c r="K742" t="s">
        <v>123</v>
      </c>
      <c r="L742" s="10" t="str">
        <f>VLOOKUP(K742,Accounts!A:B,2,FALSE)</f>
        <v>KBank</v>
      </c>
      <c r="M742" t="s">
        <v>124</v>
      </c>
      <c r="N742" s="10"/>
      <c r="O742" t="s">
        <v>125</v>
      </c>
      <c r="Q742" t="s">
        <v>126</v>
      </c>
      <c r="R742" t="s">
        <v>124</v>
      </c>
      <c r="S742" t="b">
        <v>0</v>
      </c>
      <c r="T742" t="s">
        <v>124</v>
      </c>
    </row>
    <row r="743">
      <c r="A743" t="s">
        <v>1675</v>
      </c>
      <c r="B743" t="s">
        <v>1672</v>
      </c>
      <c r="C743" s="2">
        <v>2024</v>
      </c>
      <c r="D743" s="10">
        <v>7</v>
      </c>
      <c r="E743" s="10">
        <v>1</v>
      </c>
      <c r="F743" t="s">
        <v>1026</v>
      </c>
      <c r="G743">
        <v>17500</v>
      </c>
      <c r="H743" t="s">
        <v>69</v>
      </c>
      <c r="I743" t="s">
        <v>134</v>
      </c>
      <c r="J743" s="10" t="str">
        <f>VLOOKUP(I743,Categories!A:B,2,FALSE)</f>
        <v>Hong</v>
      </c>
      <c r="K743" t="s">
        <v>178</v>
      </c>
      <c r="L743" s="10" t="str">
        <f>VLOOKUP(K743,Accounts!A:B,2,FALSE)</f>
        <v>SCB</v>
      </c>
      <c r="M743" t="s">
        <v>124</v>
      </c>
      <c r="N743" s="10"/>
      <c r="O743" t="s">
        <v>125</v>
      </c>
      <c r="Q743" t="s">
        <v>126</v>
      </c>
      <c r="R743" t="s">
        <v>124</v>
      </c>
      <c r="S743" t="b">
        <v>0</v>
      </c>
      <c r="T743" t="s">
        <v>124</v>
      </c>
    </row>
    <row r="744">
      <c r="A744" t="s">
        <v>1676</v>
      </c>
      <c r="B744" t="s">
        <v>1677</v>
      </c>
      <c r="C744" s="2">
        <v>2024</v>
      </c>
      <c r="D744" s="10">
        <v>6</v>
      </c>
      <c r="E744" s="10">
        <v>30</v>
      </c>
      <c r="F744" t="s">
        <v>1332</v>
      </c>
      <c r="G744">
        <v>1079</v>
      </c>
      <c r="H744" t="s">
        <v>69</v>
      </c>
      <c r="I744" t="s">
        <v>150</v>
      </c>
      <c r="J744" s="10" t="str">
        <f>VLOOKUP(I744,Categories!A:B,2,FALSE)</f>
        <v xml:space="preserve">Food &amp; Coff</v>
      </c>
      <c r="K744" t="s">
        <v>123</v>
      </c>
      <c r="L744" s="10" t="str">
        <f>VLOOKUP(K744,Accounts!A:B,2,FALSE)</f>
        <v>KBank</v>
      </c>
      <c r="M744" t="s">
        <v>124</v>
      </c>
      <c r="N744" s="10"/>
      <c r="O744" t="s">
        <v>125</v>
      </c>
      <c r="Q744" t="s">
        <v>126</v>
      </c>
      <c r="R744" t="s">
        <v>124</v>
      </c>
      <c r="S744" t="b">
        <v>0</v>
      </c>
      <c r="T744" t="s">
        <v>124</v>
      </c>
    </row>
    <row r="745">
      <c r="A745" t="s">
        <v>1678</v>
      </c>
      <c r="B745" t="s">
        <v>1677</v>
      </c>
      <c r="C745" s="2">
        <v>2024</v>
      </c>
      <c r="D745" s="10">
        <v>6</v>
      </c>
      <c r="E745" s="10">
        <v>30</v>
      </c>
      <c r="F745" t="s">
        <v>1332</v>
      </c>
      <c r="G745">
        <v>2031</v>
      </c>
      <c r="H745" t="s">
        <v>69</v>
      </c>
      <c r="I745" t="s">
        <v>1679</v>
      </c>
      <c r="J745" s="10" t="str">
        <f>VLOOKUP(I745,Categories!A:B,2,FALSE)</f>
        <v xml:space="preserve">Condo stuff</v>
      </c>
      <c r="K745" t="s">
        <v>123</v>
      </c>
      <c r="L745" s="10" t="str">
        <f>VLOOKUP(K745,Accounts!A:B,2,FALSE)</f>
        <v>KBank</v>
      </c>
      <c r="M745" t="s">
        <v>124</v>
      </c>
      <c r="N745" s="10"/>
      <c r="O745" t="s">
        <v>1680</v>
      </c>
      <c r="Q745" t="s">
        <v>126</v>
      </c>
      <c r="R745" t="s">
        <v>124</v>
      </c>
      <c r="S745" t="b">
        <v>0</v>
      </c>
      <c r="T745" t="s">
        <v>124</v>
      </c>
    </row>
    <row r="746">
      <c r="A746" t="s">
        <v>1681</v>
      </c>
      <c r="B746" t="s">
        <v>1677</v>
      </c>
      <c r="C746" s="2">
        <v>2024</v>
      </c>
      <c r="D746" s="10">
        <v>6</v>
      </c>
      <c r="E746" s="10">
        <v>30</v>
      </c>
      <c r="F746" t="s">
        <v>1332</v>
      </c>
      <c r="G746">
        <v>3522</v>
      </c>
      <c r="H746" t="s">
        <v>69</v>
      </c>
      <c r="I746" t="s">
        <v>155</v>
      </c>
      <c r="J746" s="10" t="str">
        <f>VLOOKUP(I746,Categories!A:B,2,FALSE)</f>
        <v>Gashapon</v>
      </c>
      <c r="K746" t="s">
        <v>123</v>
      </c>
      <c r="L746" s="10" t="str">
        <f>VLOOKUP(K746,Accounts!A:B,2,FALSE)</f>
        <v>KBank</v>
      </c>
      <c r="M746" t="s">
        <v>124</v>
      </c>
      <c r="N746" s="10"/>
      <c r="O746" t="s">
        <v>125</v>
      </c>
      <c r="Q746" t="s">
        <v>126</v>
      </c>
      <c r="R746" t="s">
        <v>124</v>
      </c>
      <c r="S746" t="b">
        <v>0</v>
      </c>
      <c r="T746" t="s">
        <v>124</v>
      </c>
    </row>
    <row r="747">
      <c r="A747" t="s">
        <v>1682</v>
      </c>
      <c r="B747" t="s">
        <v>1677</v>
      </c>
      <c r="C747" s="2">
        <v>2024</v>
      </c>
      <c r="D747" s="10">
        <v>6</v>
      </c>
      <c r="E747" s="10">
        <v>30</v>
      </c>
      <c r="F747" t="s">
        <v>1683</v>
      </c>
      <c r="G747">
        <v>320</v>
      </c>
      <c r="H747" t="s">
        <v>69</v>
      </c>
      <c r="I747" t="s">
        <v>144</v>
      </c>
      <c r="J747" s="10" t="str">
        <f>VLOOKUP(I747,Categories!A:B,2,FALSE)</f>
        <v xml:space="preserve">Family paid</v>
      </c>
      <c r="K747" t="s">
        <v>123</v>
      </c>
      <c r="L747" s="10" t="str">
        <f>VLOOKUP(K747,Accounts!A:B,2,FALSE)</f>
        <v>KBank</v>
      </c>
      <c r="M747" t="s">
        <v>124</v>
      </c>
      <c r="N747" s="10"/>
      <c r="O747" t="s">
        <v>125</v>
      </c>
      <c r="Q747" t="s">
        <v>126</v>
      </c>
      <c r="R747" t="s">
        <v>124</v>
      </c>
      <c r="S747" t="b">
        <v>0</v>
      </c>
      <c r="T747" t="s">
        <v>124</v>
      </c>
    </row>
    <row r="748">
      <c r="A748" t="s">
        <v>1684</v>
      </c>
      <c r="B748" t="s">
        <v>1677</v>
      </c>
      <c r="C748" s="2">
        <v>2024</v>
      </c>
      <c r="D748" s="10">
        <v>6</v>
      </c>
      <c r="E748" s="10">
        <v>30</v>
      </c>
      <c r="F748" t="s">
        <v>1685</v>
      </c>
      <c r="G748">
        <v>1079</v>
      </c>
      <c r="H748" t="s">
        <v>128</v>
      </c>
      <c r="I748" t="s">
        <v>136</v>
      </c>
      <c r="J748" s="10" t="str">
        <f>VLOOKUP(I748,Categories!A:B,2,FALSE)</f>
        <v>อื่นๆ</v>
      </c>
      <c r="K748" t="s">
        <v>137</v>
      </c>
      <c r="L748" s="10" t="str">
        <f>VLOOKUP(K748,Accounts!A:B,2,FALSE)</f>
        <v xml:space="preserve">Make Kbank</v>
      </c>
      <c r="M748" t="s">
        <v>123</v>
      </c>
      <c r="N748" s="10" t="str">
        <f>VLOOKUP(M748,Accounts!A:B,2,FALSE)</f>
        <v>KBank</v>
      </c>
      <c r="O748" t="s">
        <v>125</v>
      </c>
      <c r="Q748" t="s">
        <v>126</v>
      </c>
      <c r="R748" t="s">
        <v>124</v>
      </c>
      <c r="S748" t="b">
        <v>0</v>
      </c>
      <c r="T748" t="s">
        <v>124</v>
      </c>
    </row>
    <row r="749">
      <c r="A749" t="s">
        <v>1686</v>
      </c>
      <c r="B749" t="s">
        <v>1677</v>
      </c>
      <c r="C749" s="2">
        <v>2024</v>
      </c>
      <c r="D749" s="10">
        <v>6</v>
      </c>
      <c r="E749" s="10">
        <v>30</v>
      </c>
      <c r="F749" t="s">
        <v>1687</v>
      </c>
      <c r="G749">
        <v>675</v>
      </c>
      <c r="H749" t="s">
        <v>128</v>
      </c>
      <c r="I749" t="s">
        <v>136</v>
      </c>
      <c r="J749" s="10" t="str">
        <f>VLOOKUP(I749,Categories!A:B,2,FALSE)</f>
        <v>อื่นๆ</v>
      </c>
      <c r="K749" t="s">
        <v>123</v>
      </c>
      <c r="L749" s="10" t="str">
        <f>VLOOKUP(K749,Accounts!A:B,2,FALSE)</f>
        <v>KBank</v>
      </c>
      <c r="M749" t="s">
        <v>131</v>
      </c>
      <c r="N749" s="10" t="str">
        <f>VLOOKUP(M749,Accounts!A:B,2,FALSE)</f>
        <v xml:space="preserve">Advance Paid</v>
      </c>
      <c r="O749" t="s">
        <v>125</v>
      </c>
      <c r="Q749" t="s">
        <v>126</v>
      </c>
      <c r="R749" t="s">
        <v>124</v>
      </c>
      <c r="S749" t="b">
        <v>0</v>
      </c>
      <c r="T749" t="s">
        <v>124</v>
      </c>
    </row>
    <row r="750">
      <c r="A750" t="s">
        <v>1688</v>
      </c>
      <c r="B750" t="s">
        <v>1677</v>
      </c>
      <c r="C750" s="2">
        <v>2024</v>
      </c>
      <c r="D750" s="10">
        <v>6</v>
      </c>
      <c r="E750" s="10">
        <v>30</v>
      </c>
      <c r="F750" t="s">
        <v>1689</v>
      </c>
      <c r="G750">
        <v>1580</v>
      </c>
      <c r="H750" t="s">
        <v>128</v>
      </c>
      <c r="I750" t="s">
        <v>136</v>
      </c>
      <c r="J750" s="10" t="str">
        <f>VLOOKUP(I750,Categories!A:B,2,FALSE)</f>
        <v>อื่นๆ</v>
      </c>
      <c r="K750" t="s">
        <v>123</v>
      </c>
      <c r="L750" s="10" t="str">
        <f>VLOOKUP(K750,Accounts!A:B,2,FALSE)</f>
        <v>KBank</v>
      </c>
      <c r="M750" t="s">
        <v>131</v>
      </c>
      <c r="N750" s="10" t="str">
        <f>VLOOKUP(M750,Accounts!A:B,2,FALSE)</f>
        <v xml:space="preserve">Advance Paid</v>
      </c>
      <c r="O750" t="s">
        <v>125</v>
      </c>
      <c r="Q750" t="s">
        <v>126</v>
      </c>
      <c r="R750" t="s">
        <v>124</v>
      </c>
      <c r="S750" t="b">
        <v>0</v>
      </c>
      <c r="T750" t="s">
        <v>124</v>
      </c>
    </row>
    <row r="751">
      <c r="A751" t="s">
        <v>1690</v>
      </c>
      <c r="B751" t="s">
        <v>1677</v>
      </c>
      <c r="C751" s="2">
        <v>2024</v>
      </c>
      <c r="D751" s="10">
        <v>6</v>
      </c>
      <c r="E751" s="10">
        <v>30</v>
      </c>
      <c r="F751" t="s">
        <v>1094</v>
      </c>
      <c r="G751">
        <v>548</v>
      </c>
      <c r="H751" t="s">
        <v>128</v>
      </c>
      <c r="I751" t="s">
        <v>136</v>
      </c>
      <c r="J751" s="10" t="str">
        <f>VLOOKUP(I751,Categories!A:B,2,FALSE)</f>
        <v>อื่นๆ</v>
      </c>
      <c r="K751" t="s">
        <v>131</v>
      </c>
      <c r="L751" s="10" t="str">
        <f>VLOOKUP(K751,Accounts!A:B,2,FALSE)</f>
        <v xml:space="preserve">Advance Paid</v>
      </c>
      <c r="M751" t="s">
        <v>178</v>
      </c>
      <c r="N751" s="10" t="str">
        <f>VLOOKUP(M751,Accounts!A:B,2,FALSE)</f>
        <v>SCB</v>
      </c>
      <c r="O751" t="s">
        <v>125</v>
      </c>
      <c r="Q751" t="s">
        <v>126</v>
      </c>
      <c r="R751" t="s">
        <v>124</v>
      </c>
      <c r="S751" t="b">
        <v>0</v>
      </c>
      <c r="T751" t="s">
        <v>124</v>
      </c>
    </row>
    <row r="752">
      <c r="A752" t="s">
        <v>1691</v>
      </c>
      <c r="B752" t="s">
        <v>1677</v>
      </c>
      <c r="C752" s="2">
        <v>2024</v>
      </c>
      <c r="D752" s="10">
        <v>6</v>
      </c>
      <c r="E752" s="10">
        <v>30</v>
      </c>
      <c r="F752" t="s">
        <v>1026</v>
      </c>
      <c r="G752">
        <v>131</v>
      </c>
      <c r="H752" t="s">
        <v>128</v>
      </c>
      <c r="I752" t="s">
        <v>136</v>
      </c>
      <c r="J752" s="10" t="str">
        <f>VLOOKUP(I752,Categories!A:B,2,FALSE)</f>
        <v>อื่นๆ</v>
      </c>
      <c r="K752" t="s">
        <v>1308</v>
      </c>
      <c r="L752" s="10" t="str">
        <f>VLOOKUP(K752,Accounts!A:B,2,FALSE)</f>
        <v xml:space="preserve">UOB Privilages</v>
      </c>
      <c r="M752" t="s">
        <v>131</v>
      </c>
      <c r="N752" s="10" t="str">
        <f>VLOOKUP(M752,Accounts!A:B,2,FALSE)</f>
        <v xml:space="preserve">Advance Paid</v>
      </c>
      <c r="O752" t="s">
        <v>125</v>
      </c>
      <c r="Q752" t="s">
        <v>126</v>
      </c>
      <c r="R752" t="s">
        <v>124</v>
      </c>
      <c r="S752" t="b">
        <v>0</v>
      </c>
      <c r="T752" t="s">
        <v>124</v>
      </c>
    </row>
    <row r="753">
      <c r="A753" t="s">
        <v>1692</v>
      </c>
      <c r="B753" t="s">
        <v>1693</v>
      </c>
      <c r="C753" s="2">
        <v>2024</v>
      </c>
      <c r="D753" s="10">
        <v>6</v>
      </c>
      <c r="E753" s="10">
        <v>29</v>
      </c>
      <c r="F753" t="s">
        <v>1694</v>
      </c>
      <c r="G753">
        <v>49</v>
      </c>
      <c r="H753" t="s">
        <v>69</v>
      </c>
      <c r="I753" t="s">
        <v>150</v>
      </c>
      <c r="J753" s="10" t="str">
        <f>VLOOKUP(I753,Categories!A:B,2,FALSE)</f>
        <v xml:space="preserve">Food &amp; Coff</v>
      </c>
      <c r="K753" t="s">
        <v>123</v>
      </c>
      <c r="L753" s="10" t="str">
        <f>VLOOKUP(K753,Accounts!A:B,2,FALSE)</f>
        <v>KBank</v>
      </c>
      <c r="M753" t="s">
        <v>124</v>
      </c>
      <c r="N753" s="10"/>
      <c r="O753" t="s">
        <v>125</v>
      </c>
      <c r="Q753" t="s">
        <v>126</v>
      </c>
      <c r="R753" t="s">
        <v>124</v>
      </c>
      <c r="S753" t="b">
        <v>0</v>
      </c>
      <c r="T753" t="s">
        <v>124</v>
      </c>
    </row>
    <row r="754">
      <c r="A754" t="s">
        <v>1695</v>
      </c>
      <c r="B754" t="s">
        <v>1696</v>
      </c>
      <c r="C754" s="2">
        <v>2024</v>
      </c>
      <c r="D754" s="10">
        <v>6</v>
      </c>
      <c r="E754" s="10">
        <v>28</v>
      </c>
      <c r="F754" t="s">
        <v>1601</v>
      </c>
      <c r="G754">
        <v>30680</v>
      </c>
      <c r="H754" t="s">
        <v>128</v>
      </c>
      <c r="I754" t="s">
        <v>136</v>
      </c>
      <c r="J754" s="10" t="str">
        <f>VLOOKUP(I754,Categories!A:B,2,FALSE)</f>
        <v>อื่นๆ</v>
      </c>
      <c r="K754" t="s">
        <v>178</v>
      </c>
      <c r="L754" s="10" t="str">
        <f>VLOOKUP(K754,Accounts!A:B,2,FALSE)</f>
        <v>SCB</v>
      </c>
      <c r="M754" t="s">
        <v>131</v>
      </c>
      <c r="N754" s="10" t="str">
        <f>VLOOKUP(M754,Accounts!A:B,2,FALSE)</f>
        <v xml:space="preserve">Advance Paid</v>
      </c>
      <c r="O754" t="s">
        <v>1697</v>
      </c>
      <c r="Q754" t="s">
        <v>126</v>
      </c>
      <c r="R754" t="s">
        <v>124</v>
      </c>
      <c r="S754" t="b">
        <v>0</v>
      </c>
      <c r="T754" t="s">
        <v>124</v>
      </c>
    </row>
    <row r="755">
      <c r="A755" t="s">
        <v>1698</v>
      </c>
      <c r="B755" t="s">
        <v>1696</v>
      </c>
      <c r="C755" s="2">
        <v>2024</v>
      </c>
      <c r="D755" s="10">
        <v>6</v>
      </c>
      <c r="E755" s="10">
        <v>28</v>
      </c>
      <c r="F755" t="s">
        <v>1699</v>
      </c>
      <c r="G755">
        <v>645</v>
      </c>
      <c r="H755" t="s">
        <v>69</v>
      </c>
      <c r="I755" t="s">
        <v>259</v>
      </c>
      <c r="J755" s="10" t="str">
        <f>VLOOKUP(I755,Categories!A:B,2,FALSE)</f>
        <v xml:space="preserve">Team BOT</v>
      </c>
      <c r="K755" t="s">
        <v>178</v>
      </c>
      <c r="L755" s="10" t="str">
        <f>VLOOKUP(K755,Accounts!A:B,2,FALSE)</f>
        <v>SCB</v>
      </c>
      <c r="M755" t="s">
        <v>124</v>
      </c>
      <c r="N755" s="10"/>
      <c r="O755" t="s">
        <v>125</v>
      </c>
      <c r="Q755" t="s">
        <v>126</v>
      </c>
      <c r="R755" t="s">
        <v>124</v>
      </c>
      <c r="S755" t="b">
        <v>0</v>
      </c>
      <c r="T755" t="s">
        <v>124</v>
      </c>
    </row>
    <row r="756">
      <c r="A756" t="s">
        <v>1700</v>
      </c>
      <c r="B756" t="s">
        <v>49</v>
      </c>
      <c r="C756" s="2">
        <v>2024</v>
      </c>
      <c r="D756" s="10">
        <v>6</v>
      </c>
      <c r="E756" s="10">
        <v>26</v>
      </c>
      <c r="F756" t="s">
        <v>1701</v>
      </c>
      <c r="G756">
        <v>16000</v>
      </c>
      <c r="H756" t="s">
        <v>128</v>
      </c>
      <c r="I756" t="s">
        <v>136</v>
      </c>
      <c r="J756" s="10" t="str">
        <f>VLOOKUP(I756,Categories!A:B,2,FALSE)</f>
        <v>อื่นๆ</v>
      </c>
      <c r="K756" t="s">
        <v>123</v>
      </c>
      <c r="L756" s="10" t="str">
        <f>VLOOKUP(K756,Accounts!A:B,2,FALSE)</f>
        <v>KBank</v>
      </c>
      <c r="M756" t="s">
        <v>215</v>
      </c>
      <c r="N756" s="10" t="str">
        <f>VLOOKUP(M756,Accounts!A:B,2,FALSE)</f>
        <v>Investment</v>
      </c>
      <c r="O756" t="s">
        <v>125</v>
      </c>
      <c r="Q756" t="s">
        <v>126</v>
      </c>
      <c r="R756" t="s">
        <v>124</v>
      </c>
      <c r="S756" t="b">
        <v>0</v>
      </c>
      <c r="T756" t="s">
        <v>124</v>
      </c>
    </row>
    <row r="757">
      <c r="A757" t="s">
        <v>1702</v>
      </c>
      <c r="B757" t="s">
        <v>49</v>
      </c>
      <c r="C757" s="2">
        <v>2024</v>
      </c>
      <c r="D757" s="10">
        <v>6</v>
      </c>
      <c r="E757" s="10">
        <v>26</v>
      </c>
      <c r="F757" t="s">
        <v>1703</v>
      </c>
      <c r="G757">
        <v>710</v>
      </c>
      <c r="H757" t="s">
        <v>69</v>
      </c>
      <c r="I757" t="s">
        <v>150</v>
      </c>
      <c r="J757" s="10" t="str">
        <f>VLOOKUP(I757,Categories!A:B,2,FALSE)</f>
        <v xml:space="preserve">Food &amp; Coff</v>
      </c>
      <c r="K757" t="s">
        <v>178</v>
      </c>
      <c r="L757" s="10" t="str">
        <f>VLOOKUP(K757,Accounts!A:B,2,FALSE)</f>
        <v>SCB</v>
      </c>
      <c r="M757" t="s">
        <v>124</v>
      </c>
      <c r="N757" s="10"/>
      <c r="O757" t="s">
        <v>125</v>
      </c>
      <c r="Q757" t="s">
        <v>126</v>
      </c>
      <c r="R757" t="s">
        <v>124</v>
      </c>
      <c r="S757" t="b">
        <v>0</v>
      </c>
      <c r="T757" t="s">
        <v>124</v>
      </c>
    </row>
    <row r="758">
      <c r="A758" t="s">
        <v>1704</v>
      </c>
      <c r="B758" t="s">
        <v>48</v>
      </c>
      <c r="C758" s="2">
        <v>2024</v>
      </c>
      <c r="D758" s="10">
        <v>6</v>
      </c>
      <c r="E758" s="10">
        <v>25</v>
      </c>
      <c r="F758" t="s">
        <v>121</v>
      </c>
      <c r="G758">
        <v>4158</v>
      </c>
      <c r="H758" t="s">
        <v>128</v>
      </c>
      <c r="I758" t="s">
        <v>136</v>
      </c>
      <c r="J758" s="10" t="str">
        <f>VLOOKUP(I758,Categories!A:B,2,FALSE)</f>
        <v>อื่นๆ</v>
      </c>
      <c r="K758" t="s">
        <v>123</v>
      </c>
      <c r="L758" s="10" t="str">
        <f>VLOOKUP(K758,Accounts!A:B,2,FALSE)</f>
        <v>KBank</v>
      </c>
      <c r="M758" t="s">
        <v>1421</v>
      </c>
      <c r="N758" s="10" t="str">
        <f>VLOOKUP(M758,Accounts!A:B,2,FALSE)</f>
        <v>Hong</v>
      </c>
      <c r="O758" t="s">
        <v>125</v>
      </c>
      <c r="Q758" t="s">
        <v>126</v>
      </c>
      <c r="R758" t="s">
        <v>124</v>
      </c>
      <c r="S758" t="b">
        <v>0</v>
      </c>
      <c r="T758" t="s">
        <v>124</v>
      </c>
    </row>
    <row r="759">
      <c r="A759" t="s">
        <v>1705</v>
      </c>
      <c r="B759" t="s">
        <v>48</v>
      </c>
      <c r="C759" s="2">
        <v>2024</v>
      </c>
      <c r="D759" s="10">
        <v>6</v>
      </c>
      <c r="E759" s="10">
        <v>25</v>
      </c>
      <c r="F759" t="s">
        <v>121</v>
      </c>
      <c r="G759">
        <v>3173</v>
      </c>
      <c r="H759" t="s">
        <v>69</v>
      </c>
      <c r="I759" t="s">
        <v>199</v>
      </c>
      <c r="J759" s="10" t="str">
        <f>VLOOKUP(I759,Categories!A:B,2,FALSE)</f>
        <v xml:space="preserve">Home Chomthong Interest</v>
      </c>
      <c r="K759" t="s">
        <v>178</v>
      </c>
      <c r="L759" s="10" t="str">
        <f>VLOOKUP(K759,Accounts!A:B,2,FALSE)</f>
        <v>SCB</v>
      </c>
      <c r="M759" t="s">
        <v>124</v>
      </c>
      <c r="N759" s="10"/>
      <c r="O759" t="s">
        <v>125</v>
      </c>
      <c r="Q759" t="s">
        <v>126</v>
      </c>
      <c r="R759" t="s">
        <v>124</v>
      </c>
      <c r="S759" t="b">
        <v>0</v>
      </c>
      <c r="T759" t="s">
        <v>124</v>
      </c>
    </row>
    <row r="760">
      <c r="A760" t="s">
        <v>1706</v>
      </c>
      <c r="B760" t="s">
        <v>48</v>
      </c>
      <c r="C760" s="2">
        <v>2024</v>
      </c>
      <c r="D760" s="10">
        <v>6</v>
      </c>
      <c r="E760" s="10">
        <v>25</v>
      </c>
      <c r="F760" t="s">
        <v>121</v>
      </c>
      <c r="G760">
        <v>304.32999999999998</v>
      </c>
      <c r="H760" t="s">
        <v>69</v>
      </c>
      <c r="I760" t="s">
        <v>443</v>
      </c>
      <c r="J760" s="10" t="str">
        <f>VLOOKUP(I760,Categories!A:B,2,FALSE)</f>
        <v xml:space="preserve">City SV Interest</v>
      </c>
      <c r="K760" t="s">
        <v>178</v>
      </c>
      <c r="L760" s="10" t="str">
        <f>VLOOKUP(K760,Accounts!A:B,2,FALSE)</f>
        <v>SCB</v>
      </c>
      <c r="M760" t="s">
        <v>124</v>
      </c>
      <c r="N760" s="10"/>
      <c r="O760" t="s">
        <v>125</v>
      </c>
      <c r="Q760" t="s">
        <v>126</v>
      </c>
      <c r="R760" t="s">
        <v>124</v>
      </c>
      <c r="S760" t="b">
        <v>0</v>
      </c>
      <c r="T760" t="s">
        <v>124</v>
      </c>
    </row>
    <row r="761">
      <c r="A761" t="s">
        <v>1707</v>
      </c>
      <c r="B761" t="s">
        <v>48</v>
      </c>
      <c r="C761" s="2">
        <v>2024</v>
      </c>
      <c r="D761" s="10">
        <v>6</v>
      </c>
      <c r="E761" s="10">
        <v>25</v>
      </c>
      <c r="F761" t="s">
        <v>121</v>
      </c>
      <c r="G761">
        <v>9131</v>
      </c>
      <c r="H761" t="s">
        <v>69</v>
      </c>
      <c r="I761" t="s">
        <v>195</v>
      </c>
      <c r="J761" s="10" t="str">
        <f>VLOOKUP(I761,Categories!A:B,2,FALSE)</f>
        <v>Tax</v>
      </c>
      <c r="K761" t="s">
        <v>178</v>
      </c>
      <c r="L761" s="10" t="str">
        <f>VLOOKUP(K761,Accounts!A:B,2,FALSE)</f>
        <v>SCB</v>
      </c>
      <c r="M761" t="s">
        <v>124</v>
      </c>
      <c r="N761" s="10"/>
      <c r="O761" t="s">
        <v>125</v>
      </c>
      <c r="Q761" t="s">
        <v>126</v>
      </c>
      <c r="R761" t="s">
        <v>124</v>
      </c>
      <c r="S761" t="b">
        <v>0</v>
      </c>
      <c r="T761" t="s">
        <v>124</v>
      </c>
    </row>
    <row r="762">
      <c r="A762" t="s">
        <v>1708</v>
      </c>
      <c r="B762" t="s">
        <v>48</v>
      </c>
      <c r="C762" s="2">
        <v>2024</v>
      </c>
      <c r="D762" s="10">
        <v>6</v>
      </c>
      <c r="E762" s="10">
        <v>25</v>
      </c>
      <c r="F762" t="s">
        <v>121</v>
      </c>
      <c r="G762">
        <v>2488.5999999999999</v>
      </c>
      <c r="H762" t="s">
        <v>128</v>
      </c>
      <c r="I762" t="s">
        <v>136</v>
      </c>
      <c r="J762" s="10" t="str">
        <f>VLOOKUP(I762,Categories!A:B,2,FALSE)</f>
        <v>อื่นๆ</v>
      </c>
      <c r="K762" t="s">
        <v>178</v>
      </c>
      <c r="L762" s="10" t="str">
        <f>VLOOKUP(K762,Accounts!A:B,2,FALSE)</f>
        <v>SCB</v>
      </c>
      <c r="M762" t="s">
        <v>203</v>
      </c>
      <c r="N762" s="10" t="str">
        <f>VLOOKUP(M762,Accounts!A:B,2,FALSE)</f>
        <v xml:space="preserve">Provident Fund</v>
      </c>
      <c r="O762" t="s">
        <v>125</v>
      </c>
      <c r="Q762" t="s">
        <v>126</v>
      </c>
      <c r="R762" t="s">
        <v>124</v>
      </c>
      <c r="S762" t="b">
        <v>0</v>
      </c>
      <c r="T762" t="s">
        <v>124</v>
      </c>
    </row>
    <row r="763">
      <c r="A763" t="s">
        <v>1709</v>
      </c>
      <c r="B763" t="s">
        <v>48</v>
      </c>
      <c r="C763" s="2">
        <v>2024</v>
      </c>
      <c r="D763" s="10">
        <v>6</v>
      </c>
      <c r="E763" s="10">
        <v>25</v>
      </c>
      <c r="F763" t="s">
        <v>121</v>
      </c>
      <c r="G763">
        <v>9240</v>
      </c>
      <c r="H763" t="s">
        <v>128</v>
      </c>
      <c r="I763" t="s">
        <v>136</v>
      </c>
      <c r="J763" s="10" t="str">
        <f>VLOOKUP(I763,Categories!A:B,2,FALSE)</f>
        <v>อื่นๆ</v>
      </c>
      <c r="K763" t="s">
        <v>178</v>
      </c>
      <c r="L763" s="10" t="str">
        <f>VLOOKUP(K763,Accounts!A:B,2,FALSE)</f>
        <v>SCB</v>
      </c>
      <c r="M763" t="s">
        <v>1246</v>
      </c>
      <c r="N763" s="10" t="str">
        <f>VLOOKUP(M763,Accounts!A:B,2,FALSE)</f>
        <v xml:space="preserve">Car Loan</v>
      </c>
      <c r="O763" t="s">
        <v>125</v>
      </c>
      <c r="Q763" t="s">
        <v>126</v>
      </c>
      <c r="R763" t="s">
        <v>124</v>
      </c>
      <c r="S763" t="b">
        <v>0</v>
      </c>
      <c r="T763" t="s">
        <v>124</v>
      </c>
    </row>
    <row r="764">
      <c r="A764" t="s">
        <v>1710</v>
      </c>
      <c r="B764" t="s">
        <v>48</v>
      </c>
      <c r="C764" s="2">
        <v>2024</v>
      </c>
      <c r="D764" s="10">
        <v>6</v>
      </c>
      <c r="E764" s="10">
        <v>25</v>
      </c>
      <c r="F764" t="s">
        <v>121</v>
      </c>
      <c r="G764">
        <v>500</v>
      </c>
      <c r="H764" t="s">
        <v>128</v>
      </c>
      <c r="I764" t="s">
        <v>136</v>
      </c>
      <c r="J764" s="10" t="str">
        <f>VLOOKUP(I764,Categories!A:B,2,FALSE)</f>
        <v>อื่นๆ</v>
      </c>
      <c r="K764" t="s">
        <v>178</v>
      </c>
      <c r="L764" s="10" t="str">
        <f>VLOOKUP(K764,Accounts!A:B,2,FALSE)</f>
        <v>SCB</v>
      </c>
      <c r="M764" t="s">
        <v>201</v>
      </c>
      <c r="N764" s="10" t="str">
        <f>VLOOKUP(M764,Accounts!A:B,2,FALSE)</f>
        <v>Coop</v>
      </c>
      <c r="O764" t="s">
        <v>125</v>
      </c>
      <c r="Q764" t="s">
        <v>126</v>
      </c>
      <c r="R764" t="s">
        <v>124</v>
      </c>
      <c r="S764" t="b">
        <v>0</v>
      </c>
      <c r="T764" t="s">
        <v>124</v>
      </c>
    </row>
    <row r="765">
      <c r="A765" t="s">
        <v>1711</v>
      </c>
      <c r="B765" t="s">
        <v>48</v>
      </c>
      <c r="C765" s="2">
        <v>2024</v>
      </c>
      <c r="D765" s="10">
        <v>6</v>
      </c>
      <c r="E765" s="10">
        <v>25</v>
      </c>
      <c r="F765" t="s">
        <v>121</v>
      </c>
      <c r="G765">
        <v>8540</v>
      </c>
      <c r="H765" t="s">
        <v>128</v>
      </c>
      <c r="I765" t="s">
        <v>136</v>
      </c>
      <c r="J765" s="10" t="str">
        <f>VLOOKUP(I765,Categories!A:B,2,FALSE)</f>
        <v>อื่นๆ</v>
      </c>
      <c r="K765" t="s">
        <v>178</v>
      </c>
      <c r="L765" s="10" t="str">
        <f>VLOOKUP(K765,Accounts!A:B,2,FALSE)</f>
        <v>SCB</v>
      </c>
      <c r="M765" t="s">
        <v>1244</v>
      </c>
      <c r="N765" s="10" t="str">
        <f>VLOOKUP(M765,Accounts!A:B,2,FALSE)</f>
        <v xml:space="preserve">Home chomthong Loan</v>
      </c>
      <c r="O765" t="s">
        <v>125</v>
      </c>
      <c r="Q765" t="s">
        <v>126</v>
      </c>
      <c r="R765" t="s">
        <v>124</v>
      </c>
      <c r="S765" t="b">
        <v>0</v>
      </c>
      <c r="T765" t="s">
        <v>124</v>
      </c>
    </row>
    <row r="766">
      <c r="A766" t="s">
        <v>1712</v>
      </c>
      <c r="B766" t="s">
        <v>48</v>
      </c>
      <c r="C766" s="2">
        <v>2024</v>
      </c>
      <c r="D766" s="10">
        <v>6</v>
      </c>
      <c r="E766" s="10">
        <v>25</v>
      </c>
      <c r="F766" t="s">
        <v>121</v>
      </c>
      <c r="G766">
        <v>124430</v>
      </c>
      <c r="H766" t="s">
        <v>206</v>
      </c>
      <c r="I766" t="s">
        <v>207</v>
      </c>
      <c r="J766" s="10" t="str">
        <f>VLOOKUP(I766,Categories!A:B,2,FALSE)</f>
        <v>Salary</v>
      </c>
      <c r="K766" t="s">
        <v>178</v>
      </c>
      <c r="L766" s="10" t="str">
        <f>VLOOKUP(K766,Accounts!A:B,2,FALSE)</f>
        <v>SCB</v>
      </c>
      <c r="M766" t="s">
        <v>124</v>
      </c>
      <c r="N766" s="10"/>
      <c r="O766" t="s">
        <v>125</v>
      </c>
      <c r="Q766" t="s">
        <v>126</v>
      </c>
      <c r="R766" t="s">
        <v>124</v>
      </c>
      <c r="S766" t="b">
        <v>0</v>
      </c>
      <c r="T766" t="s">
        <v>124</v>
      </c>
    </row>
    <row r="767">
      <c r="A767" t="s">
        <v>1713</v>
      </c>
      <c r="B767" t="s">
        <v>48</v>
      </c>
      <c r="C767" s="2">
        <v>2024</v>
      </c>
      <c r="D767" s="10">
        <v>6</v>
      </c>
      <c r="E767" s="10">
        <v>25</v>
      </c>
      <c r="F767" t="s">
        <v>1714</v>
      </c>
      <c r="G767">
        <v>101000</v>
      </c>
      <c r="H767" t="s">
        <v>128</v>
      </c>
      <c r="I767" t="s">
        <v>136</v>
      </c>
      <c r="J767" s="10" t="str">
        <f>VLOOKUP(I767,Categories!A:B,2,FALSE)</f>
        <v>อื่นๆ</v>
      </c>
      <c r="K767" t="s">
        <v>123</v>
      </c>
      <c r="L767" s="10" t="str">
        <f>VLOOKUP(K767,Accounts!A:B,2,FALSE)</f>
        <v>KBank</v>
      </c>
      <c r="M767" t="s">
        <v>215</v>
      </c>
      <c r="N767" s="10" t="str">
        <f>VLOOKUP(M767,Accounts!A:B,2,FALSE)</f>
        <v>Investment</v>
      </c>
      <c r="O767" t="s">
        <v>125</v>
      </c>
      <c r="Q767" t="s">
        <v>126</v>
      </c>
      <c r="R767" t="s">
        <v>124</v>
      </c>
      <c r="S767" t="b">
        <v>0</v>
      </c>
      <c r="T767" t="s">
        <v>124</v>
      </c>
    </row>
    <row r="768">
      <c r="A768" t="s">
        <v>1715</v>
      </c>
      <c r="B768" t="s">
        <v>48</v>
      </c>
      <c r="C768" s="2">
        <v>2024</v>
      </c>
      <c r="D768" s="10">
        <v>6</v>
      </c>
      <c r="E768" s="10">
        <v>25</v>
      </c>
      <c r="F768" t="s">
        <v>1607</v>
      </c>
      <c r="G768">
        <v>100000</v>
      </c>
      <c r="H768" t="s">
        <v>128</v>
      </c>
      <c r="I768" t="s">
        <v>136</v>
      </c>
      <c r="J768" s="10" t="str">
        <f>VLOOKUP(I768,Categories!A:B,2,FALSE)</f>
        <v>อื่นๆ</v>
      </c>
      <c r="K768" t="s">
        <v>178</v>
      </c>
      <c r="L768" s="10" t="str">
        <f>VLOOKUP(K768,Accounts!A:B,2,FALSE)</f>
        <v>SCB</v>
      </c>
      <c r="M768" t="s">
        <v>123</v>
      </c>
      <c r="N768" s="10" t="str">
        <f>VLOOKUP(M768,Accounts!A:B,2,FALSE)</f>
        <v>KBank</v>
      </c>
      <c r="O768" t="s">
        <v>125</v>
      </c>
      <c r="Q768" t="s">
        <v>126</v>
      </c>
      <c r="R768" t="s">
        <v>124</v>
      </c>
      <c r="S768" t="b">
        <v>0</v>
      </c>
      <c r="T768" t="s">
        <v>124</v>
      </c>
    </row>
    <row r="769">
      <c r="A769" t="s">
        <v>1716</v>
      </c>
      <c r="B769" t="s">
        <v>48</v>
      </c>
      <c r="C769" s="2">
        <v>2024</v>
      </c>
      <c r="D769" s="10">
        <v>6</v>
      </c>
      <c r="E769" s="10">
        <v>25</v>
      </c>
      <c r="F769" t="s">
        <v>1699</v>
      </c>
      <c r="G769">
        <v>270.86000000000001</v>
      </c>
      <c r="H769" t="s">
        <v>206</v>
      </c>
      <c r="I769" t="s">
        <v>531</v>
      </c>
      <c r="J769" s="10" t="str">
        <f>VLOOKUP(I769,Categories!A:B,2,FALSE)</f>
        <v>Dividends</v>
      </c>
      <c r="K769" t="s">
        <v>178</v>
      </c>
      <c r="L769" s="10" t="str">
        <f>VLOOKUP(K769,Accounts!A:B,2,FALSE)</f>
        <v>SCB</v>
      </c>
      <c r="M769" t="s">
        <v>124</v>
      </c>
      <c r="N769" s="10"/>
      <c r="O769" t="s">
        <v>125</v>
      </c>
      <c r="Q769" t="s">
        <v>126</v>
      </c>
      <c r="R769" t="s">
        <v>124</v>
      </c>
      <c r="S769" t="b">
        <v>0</v>
      </c>
      <c r="T769" t="s">
        <v>124</v>
      </c>
    </row>
    <row r="770">
      <c r="A770" t="s">
        <v>1717</v>
      </c>
      <c r="B770" t="s">
        <v>48</v>
      </c>
      <c r="C770" s="2">
        <v>2024</v>
      </c>
      <c r="D770" s="10">
        <v>6</v>
      </c>
      <c r="E770" s="10">
        <v>25</v>
      </c>
      <c r="F770" t="s">
        <v>1718</v>
      </c>
      <c r="G770">
        <v>62215</v>
      </c>
      <c r="H770" t="s">
        <v>206</v>
      </c>
      <c r="I770" t="s">
        <v>281</v>
      </c>
      <c r="J770" s="10" t="str">
        <f>VLOOKUP(I770,Categories!A:B,2,FALSE)</f>
        <v>Others</v>
      </c>
      <c r="K770" t="s">
        <v>178</v>
      </c>
      <c r="L770" s="10" t="str">
        <f>VLOOKUP(K770,Accounts!A:B,2,FALSE)</f>
        <v>SCB</v>
      </c>
      <c r="M770" t="s">
        <v>124</v>
      </c>
      <c r="N770" s="10"/>
      <c r="O770" t="s">
        <v>1719</v>
      </c>
      <c r="Q770" t="s">
        <v>126</v>
      </c>
      <c r="R770" t="s">
        <v>124</v>
      </c>
      <c r="S770" t="b">
        <v>0</v>
      </c>
      <c r="T770" t="s">
        <v>124</v>
      </c>
    </row>
    <row r="771">
      <c r="A771" t="s">
        <v>1720</v>
      </c>
      <c r="B771" t="s">
        <v>1721</v>
      </c>
      <c r="C771" s="2">
        <v>2024</v>
      </c>
      <c r="D771" s="10">
        <v>6</v>
      </c>
      <c r="E771" s="10">
        <v>21</v>
      </c>
      <c r="F771" t="s">
        <v>496</v>
      </c>
      <c r="G771">
        <v>385.43000000000001</v>
      </c>
      <c r="H771" t="s">
        <v>206</v>
      </c>
      <c r="I771" t="s">
        <v>531</v>
      </c>
      <c r="J771" s="10" t="str">
        <f>VLOOKUP(I771,Categories!A:B,2,FALSE)</f>
        <v>Dividends</v>
      </c>
      <c r="K771" t="s">
        <v>123</v>
      </c>
      <c r="L771" s="10" t="str">
        <f>VLOOKUP(K771,Accounts!A:B,2,FALSE)</f>
        <v>KBank</v>
      </c>
      <c r="M771" t="s">
        <v>124</v>
      </c>
      <c r="N771" s="10"/>
      <c r="O771" t="s">
        <v>125</v>
      </c>
      <c r="Q771" t="s">
        <v>126</v>
      </c>
      <c r="R771" t="s">
        <v>124</v>
      </c>
      <c r="S771" t="b">
        <v>0</v>
      </c>
      <c r="T771" t="s">
        <v>124</v>
      </c>
    </row>
    <row r="772">
      <c r="A772" t="s">
        <v>1722</v>
      </c>
      <c r="B772" t="s">
        <v>1723</v>
      </c>
      <c r="C772" s="2">
        <v>2024</v>
      </c>
      <c r="D772" s="10">
        <v>6</v>
      </c>
      <c r="E772" s="10">
        <v>19</v>
      </c>
      <c r="F772" t="s">
        <v>228</v>
      </c>
      <c r="G772">
        <v>102</v>
      </c>
      <c r="H772" t="s">
        <v>206</v>
      </c>
      <c r="I772" t="s">
        <v>122</v>
      </c>
      <c r="J772" s="10" t="str">
        <f>VLOOKUP(I772,Categories!A:B,2,FALSE)</f>
        <v>Other</v>
      </c>
      <c r="K772" t="s">
        <v>123</v>
      </c>
      <c r="L772" s="10" t="str">
        <f>VLOOKUP(K772,Accounts!A:B,2,FALSE)</f>
        <v>KBank</v>
      </c>
      <c r="M772" t="s">
        <v>124</v>
      </c>
      <c r="N772" s="10"/>
      <c r="O772" t="s">
        <v>125</v>
      </c>
      <c r="Q772" t="s">
        <v>126</v>
      </c>
      <c r="R772" t="s">
        <v>124</v>
      </c>
      <c r="S772" t="b">
        <v>0</v>
      </c>
      <c r="T772" t="s">
        <v>124</v>
      </c>
    </row>
    <row r="773">
      <c r="A773" t="s">
        <v>1724</v>
      </c>
      <c r="B773" t="s">
        <v>1725</v>
      </c>
      <c r="C773" s="2">
        <v>2024</v>
      </c>
      <c r="D773" s="10">
        <v>6</v>
      </c>
      <c r="E773" s="10">
        <v>18</v>
      </c>
      <c r="F773" t="s">
        <v>284</v>
      </c>
      <c r="G773">
        <v>50000</v>
      </c>
      <c r="H773" t="s">
        <v>128</v>
      </c>
      <c r="I773" t="s">
        <v>136</v>
      </c>
      <c r="J773" s="10" t="str">
        <f>VLOOKUP(I773,Categories!A:B,2,FALSE)</f>
        <v>อื่นๆ</v>
      </c>
      <c r="K773" t="s">
        <v>178</v>
      </c>
      <c r="L773" s="10" t="str">
        <f>VLOOKUP(K773,Accounts!A:B,2,FALSE)</f>
        <v>SCB</v>
      </c>
      <c r="M773" t="s">
        <v>425</v>
      </c>
      <c r="N773" s="10" t="str">
        <f>VLOOKUP(M773,Accounts!A:B,2,FALSE)</f>
        <v>Cash</v>
      </c>
      <c r="O773" t="s">
        <v>125</v>
      </c>
      <c r="Q773" t="s">
        <v>126</v>
      </c>
      <c r="R773" t="s">
        <v>124</v>
      </c>
      <c r="S773" t="b">
        <v>0</v>
      </c>
      <c r="T773" t="s">
        <v>124</v>
      </c>
    </row>
    <row r="774">
      <c r="A774" t="s">
        <v>1726</v>
      </c>
      <c r="B774" t="s">
        <v>1725</v>
      </c>
      <c r="C774" s="2">
        <v>2024</v>
      </c>
      <c r="D774" s="10">
        <v>6</v>
      </c>
      <c r="E774" s="10">
        <v>18</v>
      </c>
      <c r="F774" t="s">
        <v>284</v>
      </c>
      <c r="G774">
        <v>20000</v>
      </c>
      <c r="H774" t="s">
        <v>128</v>
      </c>
      <c r="I774" t="s">
        <v>136</v>
      </c>
      <c r="J774" s="10" t="str">
        <f>VLOOKUP(I774,Categories!A:B,2,FALSE)</f>
        <v>อื่นๆ</v>
      </c>
      <c r="K774" t="s">
        <v>178</v>
      </c>
      <c r="L774" s="10" t="str">
        <f>VLOOKUP(K774,Accounts!A:B,2,FALSE)</f>
        <v>SCB</v>
      </c>
      <c r="M774" t="s">
        <v>766</v>
      </c>
      <c r="N774" s="10" t="str">
        <f>VLOOKUP(M774,Accounts!A:B,2,FALSE)</f>
        <v>KRUNGSRI</v>
      </c>
      <c r="O774" t="s">
        <v>125</v>
      </c>
      <c r="Q774" t="s">
        <v>126</v>
      </c>
      <c r="R774" t="s">
        <v>124</v>
      </c>
      <c r="S774" t="b">
        <v>0</v>
      </c>
      <c r="T774" t="s">
        <v>124</v>
      </c>
    </row>
    <row r="775">
      <c r="A775" t="s">
        <v>1727</v>
      </c>
      <c r="B775" t="s">
        <v>1725</v>
      </c>
      <c r="C775" s="2">
        <v>2024</v>
      </c>
      <c r="D775" s="10">
        <v>6</v>
      </c>
      <c r="E775" s="10">
        <v>18</v>
      </c>
      <c r="F775" t="s">
        <v>270</v>
      </c>
      <c r="G775">
        <v>13700</v>
      </c>
      <c r="H775" t="s">
        <v>128</v>
      </c>
      <c r="I775" t="s">
        <v>136</v>
      </c>
      <c r="J775" s="10" t="str">
        <f>VLOOKUP(I775,Categories!A:B,2,FALSE)</f>
        <v>อื่นๆ</v>
      </c>
      <c r="K775" t="s">
        <v>766</v>
      </c>
      <c r="L775" s="10" t="str">
        <f>VLOOKUP(K775,Accounts!A:B,2,FALSE)</f>
        <v>KRUNGSRI</v>
      </c>
      <c r="M775" t="s">
        <v>425</v>
      </c>
      <c r="N775" s="10" t="str">
        <f>VLOOKUP(M775,Accounts!A:B,2,FALSE)</f>
        <v>Cash</v>
      </c>
      <c r="O775" t="s">
        <v>125</v>
      </c>
      <c r="Q775" t="s">
        <v>126</v>
      </c>
      <c r="R775" t="s">
        <v>124</v>
      </c>
      <c r="S775" t="b">
        <v>0</v>
      </c>
      <c r="T775" t="s">
        <v>124</v>
      </c>
    </row>
    <row r="776">
      <c r="A776" t="s">
        <v>1728</v>
      </c>
      <c r="B776" t="s">
        <v>1725</v>
      </c>
      <c r="C776" s="2">
        <v>2024</v>
      </c>
      <c r="D776" s="10">
        <v>6</v>
      </c>
      <c r="E776" s="10">
        <v>18</v>
      </c>
      <c r="F776" t="s">
        <v>228</v>
      </c>
      <c r="G776">
        <v>1054</v>
      </c>
      <c r="H776" t="s">
        <v>69</v>
      </c>
      <c r="I776" t="s">
        <v>155</v>
      </c>
      <c r="J776" s="10" t="str">
        <f>VLOOKUP(I776,Categories!A:B,2,FALSE)</f>
        <v>Gashapon</v>
      </c>
      <c r="K776" t="s">
        <v>123</v>
      </c>
      <c r="L776" s="10" t="str">
        <f>VLOOKUP(K776,Accounts!A:B,2,FALSE)</f>
        <v>KBank</v>
      </c>
      <c r="M776" t="s">
        <v>124</v>
      </c>
      <c r="N776" s="10"/>
      <c r="O776" t="s">
        <v>125</v>
      </c>
      <c r="Q776" t="s">
        <v>126</v>
      </c>
      <c r="R776" t="s">
        <v>124</v>
      </c>
      <c r="S776" t="b">
        <v>0</v>
      </c>
      <c r="T776" t="s">
        <v>124</v>
      </c>
    </row>
    <row r="777">
      <c r="A777" t="s">
        <v>1729</v>
      </c>
      <c r="B777" t="s">
        <v>1725</v>
      </c>
      <c r="C777" s="2">
        <v>2024</v>
      </c>
      <c r="D777" s="10">
        <v>6</v>
      </c>
      <c r="E777" s="10">
        <v>18</v>
      </c>
      <c r="F777" t="s">
        <v>1730</v>
      </c>
      <c r="G777">
        <v>62637</v>
      </c>
      <c r="H777" t="s">
        <v>69</v>
      </c>
      <c r="I777" t="s">
        <v>195</v>
      </c>
      <c r="J777" s="10" t="str">
        <f>VLOOKUP(I777,Categories!A:B,2,FALSE)</f>
        <v>Tax</v>
      </c>
      <c r="K777" t="s">
        <v>425</v>
      </c>
      <c r="L777" s="10" t="str">
        <f>VLOOKUP(K777,Accounts!A:B,2,FALSE)</f>
        <v>Cash</v>
      </c>
      <c r="M777" t="s">
        <v>124</v>
      </c>
      <c r="N777" s="10"/>
      <c r="O777" t="s">
        <v>125</v>
      </c>
      <c r="Q777" t="s">
        <v>126</v>
      </c>
      <c r="R777" t="s">
        <v>124</v>
      </c>
      <c r="S777" t="b">
        <v>0</v>
      </c>
      <c r="T777" t="s">
        <v>124</v>
      </c>
    </row>
    <row r="778">
      <c r="A778" t="s">
        <v>1731</v>
      </c>
      <c r="B778" t="s">
        <v>47</v>
      </c>
      <c r="C778" s="2">
        <v>2024</v>
      </c>
      <c r="D778" s="10">
        <v>6</v>
      </c>
      <c r="E778" s="10">
        <v>17</v>
      </c>
      <c r="F778" t="s">
        <v>226</v>
      </c>
      <c r="G778">
        <v>5000</v>
      </c>
      <c r="H778" t="s">
        <v>128</v>
      </c>
      <c r="I778" t="s">
        <v>136</v>
      </c>
      <c r="J778" s="10" t="str">
        <f>VLOOKUP(I778,Categories!A:B,2,FALSE)</f>
        <v>อื่นๆ</v>
      </c>
      <c r="K778" t="s">
        <v>123</v>
      </c>
      <c r="L778" s="10" t="str">
        <f>VLOOKUP(K778,Accounts!A:B,2,FALSE)</f>
        <v>KBank</v>
      </c>
      <c r="M778" t="s">
        <v>215</v>
      </c>
      <c r="N778" s="10" t="str">
        <f>VLOOKUP(M778,Accounts!A:B,2,FALSE)</f>
        <v>Investment</v>
      </c>
      <c r="O778" t="s">
        <v>125</v>
      </c>
      <c r="Q778" t="s">
        <v>126</v>
      </c>
      <c r="R778" t="s">
        <v>124</v>
      </c>
      <c r="S778" t="b">
        <v>0</v>
      </c>
      <c r="T778" t="s">
        <v>124</v>
      </c>
    </row>
    <row r="779">
      <c r="A779" t="s">
        <v>1732</v>
      </c>
      <c r="B779" t="s">
        <v>1733</v>
      </c>
      <c r="C779" s="2">
        <v>2024</v>
      </c>
      <c r="D779" s="10">
        <v>6</v>
      </c>
      <c r="E779" s="10">
        <v>16</v>
      </c>
      <c r="F779" t="s">
        <v>226</v>
      </c>
      <c r="G779">
        <v>300</v>
      </c>
      <c r="H779" t="s">
        <v>69</v>
      </c>
      <c r="I779" t="s">
        <v>155</v>
      </c>
      <c r="J779" s="10" t="str">
        <f>VLOOKUP(I779,Categories!A:B,2,FALSE)</f>
        <v>Gashapon</v>
      </c>
      <c r="K779" t="s">
        <v>123</v>
      </c>
      <c r="L779" s="10" t="str">
        <f>VLOOKUP(K779,Accounts!A:B,2,FALSE)</f>
        <v>KBank</v>
      </c>
      <c r="M779" t="s">
        <v>124</v>
      </c>
      <c r="N779" s="10"/>
      <c r="O779" t="s">
        <v>125</v>
      </c>
      <c r="Q779" t="s">
        <v>126</v>
      </c>
      <c r="R779" t="s">
        <v>124</v>
      </c>
      <c r="S779" t="b">
        <v>0</v>
      </c>
      <c r="T779" t="s">
        <v>124</v>
      </c>
    </row>
    <row r="780">
      <c r="A780" t="s">
        <v>1734</v>
      </c>
      <c r="B780" t="s">
        <v>1735</v>
      </c>
      <c r="C780" s="2">
        <v>2024</v>
      </c>
      <c r="D780" s="10">
        <v>6</v>
      </c>
      <c r="E780" s="10">
        <v>14</v>
      </c>
      <c r="F780" t="s">
        <v>224</v>
      </c>
      <c r="G780">
        <v>67000</v>
      </c>
      <c r="H780" t="s">
        <v>128</v>
      </c>
      <c r="I780" t="s">
        <v>136</v>
      </c>
      <c r="J780" s="10" t="str">
        <f>VLOOKUP(I780,Categories!A:B,2,FALSE)</f>
        <v>อื่นๆ</v>
      </c>
      <c r="K780" t="s">
        <v>844</v>
      </c>
      <c r="L780" s="10" t="str">
        <f>VLOOKUP(K780,Accounts!A:B,2,FALSE)</f>
        <v>BBL</v>
      </c>
      <c r="M780" t="s">
        <v>123</v>
      </c>
      <c r="N780" s="10" t="str">
        <f>VLOOKUP(M780,Accounts!A:B,2,FALSE)</f>
        <v>KBank</v>
      </c>
      <c r="O780" t="s">
        <v>125</v>
      </c>
      <c r="Q780" t="s">
        <v>126</v>
      </c>
      <c r="R780" t="s">
        <v>124</v>
      </c>
      <c r="S780" t="b">
        <v>0</v>
      </c>
      <c r="T780" t="s">
        <v>124</v>
      </c>
    </row>
    <row r="781">
      <c r="A781" t="s">
        <v>1736</v>
      </c>
      <c r="B781" t="s">
        <v>1735</v>
      </c>
      <c r="C781" s="2">
        <v>2024</v>
      </c>
      <c r="D781" s="10">
        <v>6</v>
      </c>
      <c r="E781" s="10">
        <v>14</v>
      </c>
      <c r="F781" t="s">
        <v>773</v>
      </c>
      <c r="G781">
        <v>7686</v>
      </c>
      <c r="H781" t="s">
        <v>69</v>
      </c>
      <c r="I781" t="s">
        <v>139</v>
      </c>
      <c r="J781" s="10" t="str">
        <f>VLOOKUP(I781,Categories!A:B,2,FALSE)</f>
        <v>Condo</v>
      </c>
      <c r="K781" t="s">
        <v>178</v>
      </c>
      <c r="L781" s="10" t="str">
        <f>VLOOKUP(K781,Accounts!A:B,2,FALSE)</f>
        <v>SCB</v>
      </c>
      <c r="M781" t="s">
        <v>124</v>
      </c>
      <c r="N781" s="10"/>
      <c r="O781" t="s">
        <v>125</v>
      </c>
      <c r="Q781" t="s">
        <v>126</v>
      </c>
      <c r="R781" t="s">
        <v>124</v>
      </c>
      <c r="S781" t="b">
        <v>0</v>
      </c>
      <c r="T781" t="s">
        <v>124</v>
      </c>
    </row>
    <row r="782">
      <c r="A782" t="s">
        <v>1737</v>
      </c>
      <c r="B782" t="s">
        <v>1735</v>
      </c>
      <c r="C782" s="2">
        <v>2024</v>
      </c>
      <c r="D782" s="10">
        <v>6</v>
      </c>
      <c r="E782" s="10">
        <v>14</v>
      </c>
      <c r="F782" t="s">
        <v>773</v>
      </c>
      <c r="G782">
        <v>17500</v>
      </c>
      <c r="H782" t="s">
        <v>69</v>
      </c>
      <c r="I782" t="s">
        <v>134</v>
      </c>
      <c r="J782" s="10" t="str">
        <f>VLOOKUP(I782,Categories!A:B,2,FALSE)</f>
        <v>Hong</v>
      </c>
      <c r="K782" t="s">
        <v>178</v>
      </c>
      <c r="L782" s="10" t="str">
        <f>VLOOKUP(K782,Accounts!A:B,2,FALSE)</f>
        <v>SCB</v>
      </c>
      <c r="M782" t="s">
        <v>124</v>
      </c>
      <c r="N782" s="10"/>
      <c r="O782" t="s">
        <v>125</v>
      </c>
      <c r="Q782" t="s">
        <v>126</v>
      </c>
      <c r="R782" t="s">
        <v>124</v>
      </c>
      <c r="S782" t="b">
        <v>0</v>
      </c>
      <c r="T782" t="s">
        <v>124</v>
      </c>
    </row>
    <row r="783">
      <c r="A783" t="s">
        <v>1738</v>
      </c>
      <c r="B783" t="s">
        <v>1739</v>
      </c>
      <c r="C783" s="2">
        <v>2024</v>
      </c>
      <c r="D783" s="10">
        <v>6</v>
      </c>
      <c r="E783" s="10">
        <v>11</v>
      </c>
      <c r="F783" t="s">
        <v>1392</v>
      </c>
      <c r="G783">
        <v>806</v>
      </c>
      <c r="H783" t="s">
        <v>206</v>
      </c>
      <c r="I783" t="s">
        <v>531</v>
      </c>
      <c r="J783" s="10" t="str">
        <f>VLOOKUP(I783,Categories!A:B,2,FALSE)</f>
        <v>Dividends</v>
      </c>
      <c r="K783" t="s">
        <v>123</v>
      </c>
      <c r="L783" s="10" t="str">
        <f>VLOOKUP(K783,Accounts!A:B,2,FALSE)</f>
        <v>KBank</v>
      </c>
      <c r="M783" t="s">
        <v>124</v>
      </c>
      <c r="N783" s="10"/>
      <c r="O783" t="s">
        <v>125</v>
      </c>
      <c r="Q783" t="s">
        <v>126</v>
      </c>
      <c r="R783" t="s">
        <v>124</v>
      </c>
      <c r="S783" t="b">
        <v>0</v>
      </c>
      <c r="T783" t="s">
        <v>124</v>
      </c>
    </row>
    <row r="784">
      <c r="A784" t="s">
        <v>1740</v>
      </c>
      <c r="B784" t="s">
        <v>1739</v>
      </c>
      <c r="C784" s="2">
        <v>2024</v>
      </c>
      <c r="D784" s="10">
        <v>6</v>
      </c>
      <c r="E784" s="10">
        <v>11</v>
      </c>
      <c r="F784" t="s">
        <v>1741</v>
      </c>
      <c r="G784">
        <v>220</v>
      </c>
      <c r="H784" t="s">
        <v>69</v>
      </c>
      <c r="I784" t="s">
        <v>155</v>
      </c>
      <c r="J784" s="10" t="str">
        <f>VLOOKUP(I784,Categories!A:B,2,FALSE)</f>
        <v>Gashapon</v>
      </c>
      <c r="K784" t="s">
        <v>123</v>
      </c>
      <c r="L784" s="10" t="str">
        <f>VLOOKUP(K784,Accounts!A:B,2,FALSE)</f>
        <v>KBank</v>
      </c>
      <c r="M784" t="s">
        <v>124</v>
      </c>
      <c r="N784" s="10"/>
      <c r="O784" t="s">
        <v>125</v>
      </c>
      <c r="Q784" t="s">
        <v>126</v>
      </c>
      <c r="R784" t="s">
        <v>124</v>
      </c>
      <c r="S784" t="b">
        <v>0</v>
      </c>
      <c r="T784" t="s">
        <v>124</v>
      </c>
    </row>
    <row r="785">
      <c r="A785" t="s">
        <v>1742</v>
      </c>
      <c r="B785" t="s">
        <v>1743</v>
      </c>
      <c r="C785" s="2">
        <v>2024</v>
      </c>
      <c r="D785" s="10">
        <v>6</v>
      </c>
      <c r="E785" s="10">
        <v>9</v>
      </c>
      <c r="F785" t="s">
        <v>1369</v>
      </c>
      <c r="G785">
        <v>650</v>
      </c>
      <c r="H785" t="s">
        <v>69</v>
      </c>
      <c r="I785" t="s">
        <v>155</v>
      </c>
      <c r="J785" s="10" t="str">
        <f>VLOOKUP(I785,Categories!A:B,2,FALSE)</f>
        <v>Gashapon</v>
      </c>
      <c r="K785" t="s">
        <v>123</v>
      </c>
      <c r="L785" s="10" t="str">
        <f>VLOOKUP(K785,Accounts!A:B,2,FALSE)</f>
        <v>KBank</v>
      </c>
      <c r="M785" t="s">
        <v>124</v>
      </c>
      <c r="N785" s="10"/>
      <c r="O785" t="s">
        <v>125</v>
      </c>
      <c r="Q785" t="s">
        <v>126</v>
      </c>
      <c r="R785" t="s">
        <v>124</v>
      </c>
      <c r="S785" t="b">
        <v>0</v>
      </c>
      <c r="T785" t="s">
        <v>124</v>
      </c>
    </row>
    <row r="786">
      <c r="A786" t="s">
        <v>1744</v>
      </c>
      <c r="B786" t="s">
        <v>1745</v>
      </c>
      <c r="C786" s="2">
        <v>2024</v>
      </c>
      <c r="D786" s="10">
        <v>6</v>
      </c>
      <c r="E786" s="10">
        <v>5</v>
      </c>
      <c r="F786" t="s">
        <v>1392</v>
      </c>
      <c r="G786">
        <v>16</v>
      </c>
      <c r="H786" t="s">
        <v>69</v>
      </c>
      <c r="I786" t="s">
        <v>259</v>
      </c>
      <c r="J786" s="10" t="str">
        <f>VLOOKUP(I786,Categories!A:B,2,FALSE)</f>
        <v xml:space="preserve">Team BOT</v>
      </c>
      <c r="K786" t="s">
        <v>123</v>
      </c>
      <c r="L786" s="10" t="str">
        <f>VLOOKUP(K786,Accounts!A:B,2,FALSE)</f>
        <v>KBank</v>
      </c>
      <c r="M786" t="s">
        <v>124</v>
      </c>
      <c r="N786" s="10"/>
      <c r="O786" t="s">
        <v>1746</v>
      </c>
      <c r="Q786" t="s">
        <v>126</v>
      </c>
      <c r="R786" t="s">
        <v>124</v>
      </c>
      <c r="S786" t="b">
        <v>0</v>
      </c>
      <c r="T786" t="s">
        <v>124</v>
      </c>
    </row>
    <row r="787">
      <c r="A787" t="s">
        <v>1747</v>
      </c>
      <c r="B787" t="s">
        <v>1745</v>
      </c>
      <c r="C787" s="2">
        <v>2024</v>
      </c>
      <c r="D787" s="10">
        <v>6</v>
      </c>
      <c r="E787" s="10">
        <v>5</v>
      </c>
      <c r="F787" t="s">
        <v>1394</v>
      </c>
      <c r="G787">
        <v>400</v>
      </c>
      <c r="H787" t="s">
        <v>128</v>
      </c>
      <c r="I787" t="s">
        <v>136</v>
      </c>
      <c r="J787" s="10" t="str">
        <f>VLOOKUP(I787,Categories!A:B,2,FALSE)</f>
        <v>อื่นๆ</v>
      </c>
      <c r="K787" t="s">
        <v>123</v>
      </c>
      <c r="L787" s="10" t="str">
        <f>VLOOKUP(K787,Accounts!A:B,2,FALSE)</f>
        <v>KBank</v>
      </c>
      <c r="M787" t="s">
        <v>178</v>
      </c>
      <c r="N787" s="10" t="str">
        <f>VLOOKUP(M787,Accounts!A:B,2,FALSE)</f>
        <v>SCB</v>
      </c>
      <c r="O787" t="s">
        <v>125</v>
      </c>
      <c r="Q787" t="s">
        <v>126</v>
      </c>
      <c r="R787" t="s">
        <v>124</v>
      </c>
      <c r="S787" t="b">
        <v>0</v>
      </c>
      <c r="T787" t="s">
        <v>124</v>
      </c>
    </row>
    <row r="788">
      <c r="A788" t="s">
        <v>1748</v>
      </c>
      <c r="B788" t="s">
        <v>1749</v>
      </c>
      <c r="C788" s="2">
        <v>2024</v>
      </c>
      <c r="D788" s="10">
        <v>6</v>
      </c>
      <c r="E788" s="10">
        <v>3</v>
      </c>
      <c r="F788" t="s">
        <v>253</v>
      </c>
      <c r="G788">
        <v>1966</v>
      </c>
      <c r="H788" t="s">
        <v>69</v>
      </c>
      <c r="I788" t="s">
        <v>150</v>
      </c>
      <c r="J788" s="10" t="str">
        <f>VLOOKUP(I788,Categories!A:B,2,FALSE)</f>
        <v xml:space="preserve">Food &amp; Coff</v>
      </c>
      <c r="K788" t="s">
        <v>123</v>
      </c>
      <c r="L788" s="10" t="str">
        <f>VLOOKUP(K788,Accounts!A:B,2,FALSE)</f>
        <v>KBank</v>
      </c>
      <c r="M788" t="s">
        <v>124</v>
      </c>
      <c r="N788" s="10"/>
      <c r="O788" t="s">
        <v>125</v>
      </c>
      <c r="Q788" t="s">
        <v>126</v>
      </c>
      <c r="R788" t="s">
        <v>124</v>
      </c>
      <c r="S788" t="b">
        <v>0</v>
      </c>
      <c r="T788" t="s">
        <v>124</v>
      </c>
    </row>
    <row r="789">
      <c r="A789" t="s">
        <v>1750</v>
      </c>
      <c r="B789" t="s">
        <v>1751</v>
      </c>
      <c r="C789" s="2">
        <v>2024</v>
      </c>
      <c r="D789" s="10">
        <v>6</v>
      </c>
      <c r="E789" s="10">
        <v>2</v>
      </c>
      <c r="F789" t="s">
        <v>1752</v>
      </c>
      <c r="G789">
        <v>3460</v>
      </c>
      <c r="H789" t="s">
        <v>128</v>
      </c>
      <c r="I789" t="s">
        <v>136</v>
      </c>
      <c r="J789" s="10" t="str">
        <f>VLOOKUP(I789,Categories!A:B,2,FALSE)</f>
        <v>อื่นๆ</v>
      </c>
      <c r="K789" t="s">
        <v>1311</v>
      </c>
      <c r="L789" s="10" t="str">
        <f>VLOOKUP(K789,Accounts!A:B,2,FALSE)</f>
        <v xml:space="preserve">Netflix in Adv</v>
      </c>
      <c r="M789" t="s">
        <v>178</v>
      </c>
      <c r="N789" s="10" t="str">
        <f>VLOOKUP(M789,Accounts!A:B,2,FALSE)</f>
        <v>SCB</v>
      </c>
      <c r="O789" t="s">
        <v>125</v>
      </c>
      <c r="Q789" t="s">
        <v>126</v>
      </c>
      <c r="R789" t="s">
        <v>124</v>
      </c>
      <c r="S789" t="b">
        <v>0</v>
      </c>
      <c r="T789" t="s">
        <v>124</v>
      </c>
    </row>
    <row r="790">
      <c r="A790" t="s">
        <v>1753</v>
      </c>
      <c r="B790" t="s">
        <v>1751</v>
      </c>
      <c r="C790" s="2">
        <v>2024</v>
      </c>
      <c r="D790" s="10">
        <v>6</v>
      </c>
      <c r="E790" s="10">
        <v>2</v>
      </c>
      <c r="F790" t="s">
        <v>1064</v>
      </c>
      <c r="G790">
        <v>3186</v>
      </c>
      <c r="H790" t="s">
        <v>206</v>
      </c>
      <c r="I790" t="s">
        <v>254</v>
      </c>
      <c r="J790" s="10" t="str">
        <f>VLOOKUP(I790,Categories!A:B,2,FALSE)</f>
        <v xml:space="preserve">Modified Bal.</v>
      </c>
      <c r="K790" t="s">
        <v>1311</v>
      </c>
      <c r="L790" s="10" t="str">
        <f>VLOOKUP(K790,Accounts!A:B,2,FALSE)</f>
        <v xml:space="preserve">Netflix in Adv</v>
      </c>
      <c r="M790" t="s">
        <v>124</v>
      </c>
      <c r="N790" s="10"/>
      <c r="O790" t="s">
        <v>255</v>
      </c>
      <c r="Q790" t="s">
        <v>126</v>
      </c>
      <c r="R790" t="s">
        <v>124</v>
      </c>
      <c r="S790" t="b">
        <v>0</v>
      </c>
      <c r="T790" t="s">
        <v>124</v>
      </c>
    </row>
    <row r="791">
      <c r="A791" t="s">
        <v>1754</v>
      </c>
      <c r="B791" t="s">
        <v>1751</v>
      </c>
      <c r="C791" s="2">
        <v>2024</v>
      </c>
      <c r="D791" s="10">
        <v>6</v>
      </c>
      <c r="E791" s="10">
        <v>2</v>
      </c>
      <c r="F791" t="s">
        <v>1265</v>
      </c>
      <c r="G791">
        <v>2350</v>
      </c>
      <c r="H791" t="s">
        <v>206</v>
      </c>
      <c r="I791" t="s">
        <v>254</v>
      </c>
      <c r="J791" s="10" t="str">
        <f>VLOOKUP(I791,Categories!A:B,2,FALSE)</f>
        <v xml:space="preserve">Modified Bal.</v>
      </c>
      <c r="K791" t="s">
        <v>1315</v>
      </c>
      <c r="L791" s="10" t="str">
        <f>VLOOKUP(K791,Accounts!A:B,2,FALSE)</f>
        <v xml:space="preserve">Netflix in advance</v>
      </c>
      <c r="M791" t="s">
        <v>124</v>
      </c>
      <c r="N791" s="10"/>
      <c r="O791" t="s">
        <v>255</v>
      </c>
      <c r="Q791" t="s">
        <v>126</v>
      </c>
      <c r="R791" t="s">
        <v>124</v>
      </c>
      <c r="S791" t="b">
        <v>0</v>
      </c>
      <c r="T791" t="s">
        <v>124</v>
      </c>
    </row>
    <row r="792">
      <c r="A792" t="s">
        <v>1755</v>
      </c>
      <c r="B792" t="s">
        <v>1751</v>
      </c>
      <c r="C792" s="2">
        <v>2024</v>
      </c>
      <c r="D792" s="10">
        <v>6</v>
      </c>
      <c r="E792" s="10">
        <v>2</v>
      </c>
      <c r="F792" t="s">
        <v>1299</v>
      </c>
      <c r="G792">
        <v>240</v>
      </c>
      <c r="H792" t="s">
        <v>69</v>
      </c>
      <c r="I792" t="s">
        <v>155</v>
      </c>
      <c r="J792" s="10" t="str">
        <f>VLOOKUP(I792,Categories!A:B,2,FALSE)</f>
        <v>Gashapon</v>
      </c>
      <c r="K792" t="s">
        <v>123</v>
      </c>
      <c r="L792" s="10" t="str">
        <f>VLOOKUP(K792,Accounts!A:B,2,FALSE)</f>
        <v>KBank</v>
      </c>
      <c r="M792" t="s">
        <v>124</v>
      </c>
      <c r="N792" s="10"/>
      <c r="O792" t="s">
        <v>125</v>
      </c>
      <c r="Q792" t="s">
        <v>126</v>
      </c>
      <c r="R792" t="s">
        <v>124</v>
      </c>
      <c r="S792" t="b">
        <v>0</v>
      </c>
      <c r="T792" t="s">
        <v>124</v>
      </c>
    </row>
    <row r="793">
      <c r="A793" t="s">
        <v>1756</v>
      </c>
      <c r="B793" t="s">
        <v>1757</v>
      </c>
      <c r="C793" s="2">
        <v>2024</v>
      </c>
      <c r="D793" s="10">
        <v>6</v>
      </c>
      <c r="E793" s="10">
        <v>1</v>
      </c>
      <c r="F793" t="s">
        <v>643</v>
      </c>
      <c r="G793">
        <v>2198</v>
      </c>
      <c r="H793" t="s">
        <v>206</v>
      </c>
      <c r="I793" t="s">
        <v>254</v>
      </c>
      <c r="J793" s="10" t="str">
        <f>VLOOKUP(I793,Categories!A:B,2,FALSE)</f>
        <v xml:space="preserve">Modified Bal.</v>
      </c>
      <c r="K793" t="s">
        <v>747</v>
      </c>
      <c r="L793" s="10" t="str">
        <f>VLOOKUP(K793,Accounts!A:B,2,FALSE)</f>
        <v xml:space="preserve">UOB world</v>
      </c>
      <c r="M793" t="s">
        <v>124</v>
      </c>
      <c r="N793" s="10"/>
      <c r="O793" t="s">
        <v>255</v>
      </c>
      <c r="Q793" t="s">
        <v>126</v>
      </c>
      <c r="R793" t="s">
        <v>124</v>
      </c>
      <c r="S793" t="b">
        <v>0</v>
      </c>
      <c r="T793" t="s">
        <v>124</v>
      </c>
    </row>
    <row r="794">
      <c r="A794" t="s">
        <v>1758</v>
      </c>
      <c r="B794" t="s">
        <v>1757</v>
      </c>
      <c r="C794" s="2">
        <v>2024</v>
      </c>
      <c r="D794" s="10">
        <v>6</v>
      </c>
      <c r="E794" s="10">
        <v>1</v>
      </c>
      <c r="F794" t="s">
        <v>1759</v>
      </c>
      <c r="G794">
        <v>4258</v>
      </c>
      <c r="H794" t="s">
        <v>206</v>
      </c>
      <c r="I794" t="s">
        <v>254</v>
      </c>
      <c r="J794" s="10" t="str">
        <f>VLOOKUP(I794,Categories!A:B,2,FALSE)</f>
        <v xml:space="preserve">Modified Bal.</v>
      </c>
      <c r="K794" t="s">
        <v>1760</v>
      </c>
      <c r="L794" s="10" t="str">
        <f>VLOOKUP(K794,Accounts!A:B,2,FALSE)</f>
        <v xml:space="preserve">Kbank shopee</v>
      </c>
      <c r="M794" t="s">
        <v>124</v>
      </c>
      <c r="N794" s="10"/>
      <c r="O794" t="s">
        <v>255</v>
      </c>
      <c r="Q794" t="s">
        <v>126</v>
      </c>
      <c r="R794" t="s">
        <v>124</v>
      </c>
      <c r="S794" t="b">
        <v>0</v>
      </c>
      <c r="T794" t="s">
        <v>124</v>
      </c>
    </row>
    <row r="795">
      <c r="A795" t="s">
        <v>1761</v>
      </c>
      <c r="B795" t="s">
        <v>1757</v>
      </c>
      <c r="C795" s="2">
        <v>2024</v>
      </c>
      <c r="D795" s="10">
        <v>6</v>
      </c>
      <c r="E795" s="10">
        <v>1</v>
      </c>
      <c r="F795" t="s">
        <v>1759</v>
      </c>
      <c r="G795">
        <v>419</v>
      </c>
      <c r="H795" t="s">
        <v>206</v>
      </c>
      <c r="I795" t="s">
        <v>254</v>
      </c>
      <c r="J795" s="10" t="str">
        <f>VLOOKUP(I795,Categories!A:B,2,FALSE)</f>
        <v xml:space="preserve">Modified Bal.</v>
      </c>
      <c r="K795" t="s">
        <v>1308</v>
      </c>
      <c r="L795" s="10" t="str">
        <f>VLOOKUP(K795,Accounts!A:B,2,FALSE)</f>
        <v xml:space="preserve">UOB Privilages</v>
      </c>
      <c r="M795" t="s">
        <v>124</v>
      </c>
      <c r="N795" s="10"/>
      <c r="O795" t="s">
        <v>255</v>
      </c>
      <c r="Q795" t="s">
        <v>126</v>
      </c>
      <c r="R795" t="s">
        <v>124</v>
      </c>
      <c r="S795" t="b">
        <v>0</v>
      </c>
      <c r="T795" t="s">
        <v>124</v>
      </c>
    </row>
    <row r="796">
      <c r="A796" t="s">
        <v>1762</v>
      </c>
      <c r="B796" t="s">
        <v>1763</v>
      </c>
      <c r="C796" s="2">
        <v>2024</v>
      </c>
      <c r="D796" s="10">
        <v>5</v>
      </c>
      <c r="E796" s="10">
        <v>31</v>
      </c>
      <c r="F796" t="s">
        <v>1764</v>
      </c>
      <c r="G796">
        <v>5000</v>
      </c>
      <c r="H796" t="s">
        <v>69</v>
      </c>
      <c r="I796" t="s">
        <v>144</v>
      </c>
      <c r="J796" s="10" t="str">
        <f>VLOOKUP(I796,Categories!A:B,2,FALSE)</f>
        <v xml:space="preserve">Family paid</v>
      </c>
      <c r="K796" t="s">
        <v>178</v>
      </c>
      <c r="L796" s="10" t="str">
        <f>VLOOKUP(K796,Accounts!A:B,2,FALSE)</f>
        <v>SCB</v>
      </c>
      <c r="M796" t="s">
        <v>124</v>
      </c>
      <c r="N796" s="10"/>
      <c r="O796" t="s">
        <v>125</v>
      </c>
      <c r="Q796" t="s">
        <v>126</v>
      </c>
      <c r="R796" t="s">
        <v>124</v>
      </c>
      <c r="S796" t="b">
        <v>0</v>
      </c>
      <c r="T796" t="s">
        <v>124</v>
      </c>
    </row>
    <row r="797">
      <c r="A797" t="s">
        <v>1765</v>
      </c>
      <c r="B797" t="s">
        <v>1763</v>
      </c>
      <c r="C797" s="2">
        <v>2024</v>
      </c>
      <c r="D797" s="10">
        <v>5</v>
      </c>
      <c r="E797" s="10">
        <v>31</v>
      </c>
      <c r="F797" t="s">
        <v>1766</v>
      </c>
      <c r="G797">
        <v>1209.5</v>
      </c>
      <c r="H797" t="s">
        <v>69</v>
      </c>
      <c r="I797" t="s">
        <v>150</v>
      </c>
      <c r="J797" s="10" t="str">
        <f>VLOOKUP(I797,Categories!A:B,2,FALSE)</f>
        <v xml:space="preserve">Food &amp; Coff</v>
      </c>
      <c r="K797" t="s">
        <v>123</v>
      </c>
      <c r="L797" s="10" t="str">
        <f>VLOOKUP(K797,Accounts!A:B,2,FALSE)</f>
        <v>KBank</v>
      </c>
      <c r="M797" t="s">
        <v>124</v>
      </c>
      <c r="N797" s="10"/>
      <c r="O797" t="s">
        <v>125</v>
      </c>
      <c r="Q797" t="s">
        <v>126</v>
      </c>
      <c r="R797" t="s">
        <v>124</v>
      </c>
      <c r="S797" t="b">
        <v>0</v>
      </c>
      <c r="T797" t="s">
        <v>124</v>
      </c>
    </row>
    <row r="798">
      <c r="A798" t="s">
        <v>1767</v>
      </c>
      <c r="B798" t="s">
        <v>1763</v>
      </c>
      <c r="C798" s="2">
        <v>2024</v>
      </c>
      <c r="D798" s="10">
        <v>5</v>
      </c>
      <c r="E798" s="10">
        <v>31</v>
      </c>
      <c r="F798" t="s">
        <v>1768</v>
      </c>
      <c r="G798">
        <v>2752</v>
      </c>
      <c r="H798" t="s">
        <v>69</v>
      </c>
      <c r="I798" t="s">
        <v>150</v>
      </c>
      <c r="J798" s="10" t="str">
        <f>VLOOKUP(I798,Categories!A:B,2,FALSE)</f>
        <v xml:space="preserve">Food &amp; Coff</v>
      </c>
      <c r="K798" t="s">
        <v>123</v>
      </c>
      <c r="L798" s="10" t="str">
        <f>VLOOKUP(K798,Accounts!A:B,2,FALSE)</f>
        <v>KBank</v>
      </c>
      <c r="M798" t="s">
        <v>124</v>
      </c>
      <c r="N798" s="10"/>
      <c r="O798" t="s">
        <v>125</v>
      </c>
      <c r="Q798" t="s">
        <v>126</v>
      </c>
      <c r="R798" t="s">
        <v>124</v>
      </c>
      <c r="S798" t="b">
        <v>0</v>
      </c>
      <c r="T798" t="s">
        <v>124</v>
      </c>
    </row>
    <row r="799">
      <c r="A799" t="s">
        <v>1769</v>
      </c>
      <c r="B799" t="s">
        <v>1763</v>
      </c>
      <c r="C799" s="2">
        <v>2024</v>
      </c>
      <c r="D799" s="10">
        <v>5</v>
      </c>
      <c r="E799" s="10">
        <v>31</v>
      </c>
      <c r="F799" t="s">
        <v>1768</v>
      </c>
      <c r="G799">
        <v>323</v>
      </c>
      <c r="H799" t="s">
        <v>69</v>
      </c>
      <c r="I799" t="s">
        <v>134</v>
      </c>
      <c r="J799" s="10" t="str">
        <f>VLOOKUP(I799,Categories!A:B,2,FALSE)</f>
        <v>Hong</v>
      </c>
      <c r="K799" t="s">
        <v>123</v>
      </c>
      <c r="L799" s="10" t="str">
        <f>VLOOKUP(K799,Accounts!A:B,2,FALSE)</f>
        <v>KBank</v>
      </c>
      <c r="M799" t="s">
        <v>124</v>
      </c>
      <c r="N799" s="10"/>
      <c r="O799" t="s">
        <v>125</v>
      </c>
      <c r="Q799" t="s">
        <v>126</v>
      </c>
      <c r="R799" t="s">
        <v>124</v>
      </c>
      <c r="S799" t="b">
        <v>0</v>
      </c>
      <c r="T799" t="s">
        <v>124</v>
      </c>
    </row>
    <row r="800">
      <c r="A800" t="s">
        <v>1770</v>
      </c>
      <c r="B800" t="s">
        <v>1763</v>
      </c>
      <c r="C800" s="2">
        <v>2024</v>
      </c>
      <c r="D800" s="10">
        <v>5</v>
      </c>
      <c r="E800" s="10">
        <v>31</v>
      </c>
      <c r="F800" t="s">
        <v>1771</v>
      </c>
      <c r="G800">
        <v>8997.8099999999995</v>
      </c>
      <c r="H800" t="s">
        <v>69</v>
      </c>
      <c r="I800" t="s">
        <v>338</v>
      </c>
      <c r="J800" s="10" t="str">
        <f>VLOOKUP(I800,Categories!A:B,2,FALSE)</f>
        <v>Trips</v>
      </c>
      <c r="K800" t="s">
        <v>855</v>
      </c>
      <c r="L800" s="10" t="str">
        <f>VLOOKUP(K800,Accounts!A:B,2,FALSE)</f>
        <v xml:space="preserve">Travelcard JPY</v>
      </c>
      <c r="M800" t="s">
        <v>124</v>
      </c>
      <c r="N800" s="10"/>
      <c r="O800" t="s">
        <v>125</v>
      </c>
      <c r="Q800" t="s">
        <v>126</v>
      </c>
      <c r="R800" t="s">
        <v>124</v>
      </c>
      <c r="S800" t="b">
        <v>0</v>
      </c>
      <c r="T800" t="s">
        <v>124</v>
      </c>
    </row>
    <row r="801">
      <c r="A801" t="s">
        <v>1772</v>
      </c>
      <c r="B801" t="s">
        <v>1763</v>
      </c>
      <c r="C801" s="2">
        <v>2024</v>
      </c>
      <c r="D801" s="10">
        <v>5</v>
      </c>
      <c r="E801" s="10">
        <v>31</v>
      </c>
      <c r="F801" t="s">
        <v>1773</v>
      </c>
      <c r="G801">
        <v>12582.66</v>
      </c>
      <c r="H801" t="s">
        <v>128</v>
      </c>
      <c r="I801" t="s">
        <v>136</v>
      </c>
      <c r="J801" s="10" t="str">
        <f>VLOOKUP(I801,Categories!A:B,2,FALSE)</f>
        <v>อื่นๆ</v>
      </c>
      <c r="K801" t="s">
        <v>855</v>
      </c>
      <c r="L801" s="10" t="str">
        <f>VLOOKUP(K801,Accounts!A:B,2,FALSE)</f>
        <v xml:space="preserve">Travelcard JPY</v>
      </c>
      <c r="M801" t="s">
        <v>1421</v>
      </c>
      <c r="N801" s="10" t="str">
        <f>VLOOKUP(M801,Accounts!A:B,2,FALSE)</f>
        <v>Hong</v>
      </c>
      <c r="O801" t="s">
        <v>1774</v>
      </c>
      <c r="Q801" t="s">
        <v>126</v>
      </c>
      <c r="R801" t="s">
        <v>124</v>
      </c>
      <c r="S801" t="b">
        <v>0</v>
      </c>
      <c r="T801" t="s">
        <v>124</v>
      </c>
    </row>
    <row r="802">
      <c r="A802" t="s">
        <v>1775</v>
      </c>
      <c r="B802" t="s">
        <v>1776</v>
      </c>
      <c r="C802" s="2">
        <v>2024</v>
      </c>
      <c r="D802" s="10">
        <v>5</v>
      </c>
      <c r="E802" s="10">
        <v>30</v>
      </c>
      <c r="F802" t="s">
        <v>1766</v>
      </c>
      <c r="G802">
        <v>345</v>
      </c>
      <c r="H802" t="s">
        <v>69</v>
      </c>
      <c r="I802" t="s">
        <v>150</v>
      </c>
      <c r="J802" s="10" t="str">
        <f>VLOOKUP(I802,Categories!A:B,2,FALSE)</f>
        <v xml:space="preserve">Food &amp; Coff</v>
      </c>
      <c r="K802" t="s">
        <v>123</v>
      </c>
      <c r="L802" s="10" t="str">
        <f>VLOOKUP(K802,Accounts!A:B,2,FALSE)</f>
        <v>KBank</v>
      </c>
      <c r="M802" t="s">
        <v>124</v>
      </c>
      <c r="N802" s="10"/>
      <c r="O802" t="s">
        <v>125</v>
      </c>
      <c r="Q802" t="s">
        <v>126</v>
      </c>
      <c r="R802" t="s">
        <v>124</v>
      </c>
      <c r="S802" t="b">
        <v>0</v>
      </c>
      <c r="T802" t="s">
        <v>124</v>
      </c>
    </row>
    <row r="803">
      <c r="A803" t="s">
        <v>1777</v>
      </c>
      <c r="B803" t="s">
        <v>1776</v>
      </c>
      <c r="C803" s="2">
        <v>2024</v>
      </c>
      <c r="D803" s="10">
        <v>5</v>
      </c>
      <c r="E803" s="10">
        <v>30</v>
      </c>
      <c r="F803" t="s">
        <v>1778</v>
      </c>
      <c r="G803">
        <v>345</v>
      </c>
      <c r="H803" t="s">
        <v>128</v>
      </c>
      <c r="I803" t="s">
        <v>136</v>
      </c>
      <c r="J803" s="10" t="str">
        <f>VLOOKUP(I803,Categories!A:B,2,FALSE)</f>
        <v>อื่นๆ</v>
      </c>
      <c r="K803" t="s">
        <v>123</v>
      </c>
      <c r="L803" s="10" t="str">
        <f>VLOOKUP(K803,Accounts!A:B,2,FALSE)</f>
        <v>KBank</v>
      </c>
      <c r="M803" t="s">
        <v>178</v>
      </c>
      <c r="N803" s="10" t="str">
        <f>VLOOKUP(M803,Accounts!A:B,2,FALSE)</f>
        <v>SCB</v>
      </c>
      <c r="O803" t="s">
        <v>125</v>
      </c>
      <c r="Q803" t="s">
        <v>126</v>
      </c>
      <c r="R803" t="s">
        <v>124</v>
      </c>
      <c r="S803" t="b">
        <v>0</v>
      </c>
      <c r="T803" t="s">
        <v>124</v>
      </c>
    </row>
    <row r="804">
      <c r="A804" t="s">
        <v>1779</v>
      </c>
      <c r="B804" t="s">
        <v>1780</v>
      </c>
      <c r="C804" s="2">
        <v>2024</v>
      </c>
      <c r="D804" s="10">
        <v>5</v>
      </c>
      <c r="E804" s="10">
        <v>28</v>
      </c>
      <c r="F804" t="s">
        <v>1781</v>
      </c>
      <c r="G804">
        <v>336</v>
      </c>
      <c r="H804" t="s">
        <v>69</v>
      </c>
      <c r="I804" t="s">
        <v>338</v>
      </c>
      <c r="J804" s="10" t="str">
        <f>VLOOKUP(I804,Categories!A:B,2,FALSE)</f>
        <v>Trips</v>
      </c>
      <c r="K804" t="s">
        <v>235</v>
      </c>
      <c r="L804" s="10" t="str">
        <f>VLOOKUP(K804,Accounts!A:B,2,FALSE)</f>
        <v xml:space="preserve">JPY cash</v>
      </c>
      <c r="M804" t="s">
        <v>124</v>
      </c>
      <c r="N804" s="10"/>
      <c r="O804" t="s">
        <v>125</v>
      </c>
      <c r="Q804" t="s">
        <v>126</v>
      </c>
      <c r="R804" t="s">
        <v>124</v>
      </c>
      <c r="S804" t="b">
        <v>0</v>
      </c>
      <c r="T804" t="s">
        <v>124</v>
      </c>
    </row>
    <row r="805">
      <c r="A805" t="s">
        <v>1782</v>
      </c>
      <c r="B805" t="s">
        <v>1783</v>
      </c>
      <c r="C805" s="2">
        <v>2024</v>
      </c>
      <c r="D805" s="10">
        <v>5</v>
      </c>
      <c r="E805" s="10">
        <v>26</v>
      </c>
      <c r="F805" t="s">
        <v>1784</v>
      </c>
      <c r="G805">
        <v>478.31999999999999</v>
      </c>
      <c r="H805" t="s">
        <v>69</v>
      </c>
      <c r="I805" t="s">
        <v>338</v>
      </c>
      <c r="J805" s="10" t="str">
        <f>VLOOKUP(I805,Categories!A:B,2,FALSE)</f>
        <v>Trips</v>
      </c>
      <c r="K805" t="s">
        <v>235</v>
      </c>
      <c r="L805" s="10" t="str">
        <f>VLOOKUP(K805,Accounts!A:B,2,FALSE)</f>
        <v xml:space="preserve">JPY cash</v>
      </c>
      <c r="M805" t="s">
        <v>124</v>
      </c>
      <c r="N805" s="10"/>
      <c r="O805" t="s">
        <v>1785</v>
      </c>
      <c r="Q805" t="s">
        <v>126</v>
      </c>
      <c r="R805" t="s">
        <v>124</v>
      </c>
      <c r="S805" t="b">
        <v>0</v>
      </c>
      <c r="T805" t="s">
        <v>124</v>
      </c>
    </row>
    <row r="806">
      <c r="A806" t="s">
        <v>1786</v>
      </c>
      <c r="B806" t="s">
        <v>1783</v>
      </c>
      <c r="C806" s="2">
        <v>2024</v>
      </c>
      <c r="D806" s="10">
        <v>5</v>
      </c>
      <c r="E806" s="10">
        <v>26</v>
      </c>
      <c r="F806" t="s">
        <v>1436</v>
      </c>
      <c r="G806">
        <v>233.33000000000001</v>
      </c>
      <c r="H806" t="s">
        <v>69</v>
      </c>
      <c r="I806" t="s">
        <v>338</v>
      </c>
      <c r="J806" s="10" t="str">
        <f>VLOOKUP(I806,Categories!A:B,2,FALSE)</f>
        <v>Trips</v>
      </c>
      <c r="K806" t="s">
        <v>235</v>
      </c>
      <c r="L806" s="10" t="str">
        <f>VLOOKUP(K806,Accounts!A:B,2,FALSE)</f>
        <v xml:space="preserve">JPY cash</v>
      </c>
      <c r="M806" t="s">
        <v>124</v>
      </c>
      <c r="N806" s="10"/>
      <c r="O806" t="s">
        <v>1787</v>
      </c>
      <c r="Q806" t="s">
        <v>126</v>
      </c>
      <c r="R806" t="s">
        <v>124</v>
      </c>
      <c r="S806" t="b">
        <v>0</v>
      </c>
      <c r="T806" t="s">
        <v>124</v>
      </c>
    </row>
    <row r="807">
      <c r="A807" t="s">
        <v>1788</v>
      </c>
      <c r="B807" t="s">
        <v>1789</v>
      </c>
      <c r="C807" s="2">
        <v>2024</v>
      </c>
      <c r="D807" s="10">
        <v>5</v>
      </c>
      <c r="E807" s="10">
        <v>25</v>
      </c>
      <c r="F807" t="s">
        <v>1790</v>
      </c>
      <c r="G807">
        <v>39.890000000000001</v>
      </c>
      <c r="H807" t="s">
        <v>69</v>
      </c>
      <c r="I807" t="s">
        <v>150</v>
      </c>
      <c r="J807" s="10" t="str">
        <f>VLOOKUP(I807,Categories!A:B,2,FALSE)</f>
        <v xml:space="preserve">Food &amp; Coff</v>
      </c>
      <c r="K807" t="s">
        <v>235</v>
      </c>
      <c r="L807" s="10" t="str">
        <f>VLOOKUP(K807,Accounts!A:B,2,FALSE)</f>
        <v xml:space="preserve">JPY cash</v>
      </c>
      <c r="M807" t="s">
        <v>124</v>
      </c>
      <c r="N807" s="10"/>
      <c r="O807" t="s">
        <v>1791</v>
      </c>
      <c r="Q807" t="s">
        <v>126</v>
      </c>
      <c r="R807" t="s">
        <v>124</v>
      </c>
      <c r="S807" t="b">
        <v>0</v>
      </c>
      <c r="T807" t="s">
        <v>124</v>
      </c>
    </row>
    <row r="808">
      <c r="A808" t="s">
        <v>1792</v>
      </c>
      <c r="B808" t="s">
        <v>1789</v>
      </c>
      <c r="C808" s="2">
        <v>2024</v>
      </c>
      <c r="D808" s="10">
        <v>5</v>
      </c>
      <c r="E808" s="10">
        <v>25</v>
      </c>
      <c r="F808" t="s">
        <v>1790</v>
      </c>
      <c r="G808">
        <v>492.79000000000002</v>
      </c>
      <c r="H808" t="s">
        <v>69</v>
      </c>
      <c r="I808" t="s">
        <v>338</v>
      </c>
      <c r="J808" s="10" t="str">
        <f>VLOOKUP(I808,Categories!A:B,2,FALSE)</f>
        <v>Trips</v>
      </c>
      <c r="K808" t="s">
        <v>855</v>
      </c>
      <c r="L808" s="10" t="str">
        <f>VLOOKUP(K808,Accounts!A:B,2,FALSE)</f>
        <v xml:space="preserve">Travelcard JPY</v>
      </c>
      <c r="M808" t="s">
        <v>124</v>
      </c>
      <c r="N808" s="10"/>
      <c r="O808" t="s">
        <v>1793</v>
      </c>
      <c r="Q808" t="s">
        <v>126</v>
      </c>
      <c r="R808" t="s">
        <v>124</v>
      </c>
      <c r="S808" t="b">
        <v>0</v>
      </c>
      <c r="T808" t="s">
        <v>124</v>
      </c>
    </row>
    <row r="809">
      <c r="A809" t="s">
        <v>1794</v>
      </c>
      <c r="B809" t="s">
        <v>1789</v>
      </c>
      <c r="C809" s="2">
        <v>2024</v>
      </c>
      <c r="D809" s="10">
        <v>5</v>
      </c>
      <c r="E809" s="10">
        <v>25</v>
      </c>
      <c r="F809" t="s">
        <v>603</v>
      </c>
      <c r="G809">
        <v>74.859999999999999</v>
      </c>
      <c r="H809" t="s">
        <v>69</v>
      </c>
      <c r="I809" t="s">
        <v>150</v>
      </c>
      <c r="J809" s="10" t="str">
        <f>VLOOKUP(I809,Categories!A:B,2,FALSE)</f>
        <v xml:space="preserve">Food &amp; Coff</v>
      </c>
      <c r="K809" t="s">
        <v>855</v>
      </c>
      <c r="L809" s="10" t="str">
        <f>VLOOKUP(K809,Accounts!A:B,2,FALSE)</f>
        <v xml:space="preserve">Travelcard JPY</v>
      </c>
      <c r="M809" t="s">
        <v>124</v>
      </c>
      <c r="N809" s="10"/>
      <c r="O809" t="s">
        <v>1795</v>
      </c>
      <c r="Q809" t="s">
        <v>126</v>
      </c>
      <c r="R809" t="s">
        <v>124</v>
      </c>
      <c r="S809" t="b">
        <v>0</v>
      </c>
      <c r="T809" t="s">
        <v>124</v>
      </c>
    </row>
    <row r="810">
      <c r="A810" t="s">
        <v>1796</v>
      </c>
      <c r="B810" t="s">
        <v>1789</v>
      </c>
      <c r="C810" s="2">
        <v>2024</v>
      </c>
      <c r="D810" s="10">
        <v>5</v>
      </c>
      <c r="E810" s="10">
        <v>25</v>
      </c>
      <c r="F810" t="s">
        <v>1797</v>
      </c>
      <c r="G810">
        <v>1994.6400000000001</v>
      </c>
      <c r="H810" t="s">
        <v>69</v>
      </c>
      <c r="I810" t="s">
        <v>150</v>
      </c>
      <c r="J810" s="10" t="str">
        <f>VLOOKUP(I810,Categories!A:B,2,FALSE)</f>
        <v xml:space="preserve">Food &amp; Coff</v>
      </c>
      <c r="K810" t="s">
        <v>855</v>
      </c>
      <c r="L810" s="10" t="str">
        <f>VLOOKUP(K810,Accounts!A:B,2,FALSE)</f>
        <v xml:space="preserve">Travelcard JPY</v>
      </c>
      <c r="M810" t="s">
        <v>124</v>
      </c>
      <c r="N810" s="10"/>
      <c r="O810" t="s">
        <v>1798</v>
      </c>
      <c r="Q810" t="s">
        <v>126</v>
      </c>
      <c r="R810" t="s">
        <v>124</v>
      </c>
      <c r="S810" t="b">
        <v>0</v>
      </c>
      <c r="T810" t="s">
        <v>124</v>
      </c>
    </row>
    <row r="811">
      <c r="A811" t="s">
        <v>1799</v>
      </c>
      <c r="B811" t="s">
        <v>1789</v>
      </c>
      <c r="C811" s="2">
        <v>2024</v>
      </c>
      <c r="D811" s="10">
        <v>5</v>
      </c>
      <c r="E811" s="10">
        <v>25</v>
      </c>
      <c r="F811" t="s">
        <v>1800</v>
      </c>
      <c r="G811">
        <v>149.47999999999999</v>
      </c>
      <c r="H811" t="s">
        <v>69</v>
      </c>
      <c r="I811" t="s">
        <v>150</v>
      </c>
      <c r="J811" s="10" t="str">
        <f>VLOOKUP(I811,Categories!A:B,2,FALSE)</f>
        <v xml:space="preserve">Food &amp; Coff</v>
      </c>
      <c r="K811" t="s">
        <v>855</v>
      </c>
      <c r="L811" s="10" t="str">
        <f>VLOOKUP(K811,Accounts!A:B,2,FALSE)</f>
        <v xml:space="preserve">Travelcard JPY</v>
      </c>
      <c r="M811" t="s">
        <v>124</v>
      </c>
      <c r="N811" s="10"/>
      <c r="O811" t="s">
        <v>1801</v>
      </c>
      <c r="Q811" t="s">
        <v>126</v>
      </c>
      <c r="R811" t="s">
        <v>124</v>
      </c>
      <c r="S811" t="b">
        <v>0</v>
      </c>
      <c r="T811" t="s">
        <v>124</v>
      </c>
    </row>
    <row r="812">
      <c r="A812" t="s">
        <v>1802</v>
      </c>
      <c r="B812" t="s">
        <v>1789</v>
      </c>
      <c r="C812" s="2">
        <v>2024</v>
      </c>
      <c r="D812" s="10">
        <v>5</v>
      </c>
      <c r="E812" s="10">
        <v>25</v>
      </c>
      <c r="F812" t="s">
        <v>1803</v>
      </c>
      <c r="G812">
        <v>84.709999999999994</v>
      </c>
      <c r="H812" t="s">
        <v>69</v>
      </c>
      <c r="I812" t="s">
        <v>150</v>
      </c>
      <c r="J812" s="10" t="str">
        <f>VLOOKUP(I812,Categories!A:B,2,FALSE)</f>
        <v xml:space="preserve">Food &amp; Coff</v>
      </c>
      <c r="K812" t="s">
        <v>855</v>
      </c>
      <c r="L812" s="10" t="str">
        <f>VLOOKUP(K812,Accounts!A:B,2,FALSE)</f>
        <v xml:space="preserve">Travelcard JPY</v>
      </c>
      <c r="M812" t="s">
        <v>124</v>
      </c>
      <c r="N812" s="10"/>
      <c r="O812" t="s">
        <v>1804</v>
      </c>
      <c r="Q812" t="s">
        <v>126</v>
      </c>
      <c r="R812" t="s">
        <v>124</v>
      </c>
      <c r="S812" t="b">
        <v>0</v>
      </c>
      <c r="T812" t="s">
        <v>124</v>
      </c>
    </row>
    <row r="813">
      <c r="A813" t="s">
        <v>1805</v>
      </c>
      <c r="B813" t="s">
        <v>1789</v>
      </c>
      <c r="C813" s="2">
        <v>2024</v>
      </c>
      <c r="D813" s="10">
        <v>5</v>
      </c>
      <c r="E813" s="10">
        <v>25</v>
      </c>
      <c r="F813" t="s">
        <v>1806</v>
      </c>
      <c r="G813">
        <v>4158</v>
      </c>
      <c r="H813" t="s">
        <v>128</v>
      </c>
      <c r="I813" t="s">
        <v>136</v>
      </c>
      <c r="J813" s="10" t="str">
        <f>VLOOKUP(I813,Categories!A:B,2,FALSE)</f>
        <v>อื่นๆ</v>
      </c>
      <c r="K813" t="s">
        <v>123</v>
      </c>
      <c r="L813" s="10" t="str">
        <f>VLOOKUP(K813,Accounts!A:B,2,FALSE)</f>
        <v>KBank</v>
      </c>
      <c r="M813" t="s">
        <v>1421</v>
      </c>
      <c r="N813" s="10" t="str">
        <f>VLOOKUP(M813,Accounts!A:B,2,FALSE)</f>
        <v>Hong</v>
      </c>
      <c r="O813" t="s">
        <v>125</v>
      </c>
      <c r="Q813" t="s">
        <v>126</v>
      </c>
      <c r="R813" t="s">
        <v>124</v>
      </c>
      <c r="S813" t="b">
        <v>0</v>
      </c>
      <c r="T813" t="s">
        <v>124</v>
      </c>
    </row>
    <row r="814">
      <c r="A814" t="s">
        <v>1807</v>
      </c>
      <c r="B814" t="s">
        <v>1789</v>
      </c>
      <c r="C814" s="2">
        <v>2024</v>
      </c>
      <c r="D814" s="10">
        <v>5</v>
      </c>
      <c r="E814" s="10">
        <v>25</v>
      </c>
      <c r="F814" t="s">
        <v>1806</v>
      </c>
      <c r="G814">
        <v>2488.5999999999999</v>
      </c>
      <c r="H814" t="s">
        <v>128</v>
      </c>
      <c r="I814" t="s">
        <v>136</v>
      </c>
      <c r="J814" s="10" t="str">
        <f>VLOOKUP(I814,Categories!A:B,2,FALSE)</f>
        <v>อื่นๆ</v>
      </c>
      <c r="K814" t="s">
        <v>178</v>
      </c>
      <c r="L814" s="10" t="str">
        <f>VLOOKUP(K814,Accounts!A:B,2,FALSE)</f>
        <v>SCB</v>
      </c>
      <c r="M814" t="s">
        <v>203</v>
      </c>
      <c r="N814" s="10" t="str">
        <f>VLOOKUP(M814,Accounts!A:B,2,FALSE)</f>
        <v xml:space="preserve">Provident Fund</v>
      </c>
      <c r="O814" t="s">
        <v>125</v>
      </c>
      <c r="Q814" t="s">
        <v>126</v>
      </c>
      <c r="R814" t="s">
        <v>124</v>
      </c>
      <c r="S814" t="b">
        <v>0</v>
      </c>
      <c r="T814" t="s">
        <v>124</v>
      </c>
    </row>
    <row r="815">
      <c r="A815" t="s">
        <v>1808</v>
      </c>
      <c r="B815" t="s">
        <v>1789</v>
      </c>
      <c r="C815" s="2">
        <v>2024</v>
      </c>
      <c r="D815" s="10">
        <v>5</v>
      </c>
      <c r="E815" s="10">
        <v>25</v>
      </c>
      <c r="F815" t="s">
        <v>1806</v>
      </c>
      <c r="G815">
        <v>1572.1900000000001</v>
      </c>
      <c r="H815" t="s">
        <v>69</v>
      </c>
      <c r="I815" t="s">
        <v>195</v>
      </c>
      <c r="J815" s="10" t="str">
        <f>VLOOKUP(I815,Categories!A:B,2,FALSE)</f>
        <v>Tax</v>
      </c>
      <c r="K815" t="s">
        <v>178</v>
      </c>
      <c r="L815" s="10" t="str">
        <f>VLOOKUP(K815,Accounts!A:B,2,FALSE)</f>
        <v>SCB</v>
      </c>
      <c r="M815" t="s">
        <v>124</v>
      </c>
      <c r="N815" s="10"/>
      <c r="O815" t="s">
        <v>125</v>
      </c>
      <c r="Q815" t="s">
        <v>126</v>
      </c>
      <c r="R815" t="s">
        <v>124</v>
      </c>
      <c r="S815" t="b">
        <v>0</v>
      </c>
      <c r="T815" t="s">
        <v>124</v>
      </c>
    </row>
    <row r="816">
      <c r="A816" t="s">
        <v>1809</v>
      </c>
      <c r="B816" t="s">
        <v>1789</v>
      </c>
      <c r="C816" s="2">
        <v>2024</v>
      </c>
      <c r="D816" s="10">
        <v>5</v>
      </c>
      <c r="E816" s="10">
        <v>25</v>
      </c>
      <c r="F816" t="s">
        <v>1806</v>
      </c>
      <c r="G816">
        <v>376.63999999999999</v>
      </c>
      <c r="H816" t="s">
        <v>69</v>
      </c>
      <c r="I816" t="s">
        <v>443</v>
      </c>
      <c r="J816" s="10" t="str">
        <f>VLOOKUP(I816,Categories!A:B,2,FALSE)</f>
        <v xml:space="preserve">City SV Interest</v>
      </c>
      <c r="K816" t="s">
        <v>178</v>
      </c>
      <c r="L816" s="10" t="str">
        <f>VLOOKUP(K816,Accounts!A:B,2,FALSE)</f>
        <v>SCB</v>
      </c>
      <c r="M816" t="s">
        <v>124</v>
      </c>
      <c r="N816" s="10"/>
      <c r="O816" t="s">
        <v>125</v>
      </c>
      <c r="Q816" t="s">
        <v>126</v>
      </c>
      <c r="R816" t="s">
        <v>124</v>
      </c>
      <c r="S816" t="b">
        <v>0</v>
      </c>
      <c r="T816" t="s">
        <v>124</v>
      </c>
    </row>
    <row r="817">
      <c r="A817" t="s">
        <v>1810</v>
      </c>
      <c r="B817" t="s">
        <v>1789</v>
      </c>
      <c r="C817" s="2">
        <v>2024</v>
      </c>
      <c r="D817" s="10">
        <v>5</v>
      </c>
      <c r="E817" s="10">
        <v>25</v>
      </c>
      <c r="F817" t="s">
        <v>1806</v>
      </c>
      <c r="G817">
        <v>3757.1599999999999</v>
      </c>
      <c r="H817" t="s">
        <v>69</v>
      </c>
      <c r="I817" t="s">
        <v>199</v>
      </c>
      <c r="J817" s="10" t="str">
        <f>VLOOKUP(I817,Categories!A:B,2,FALSE)</f>
        <v xml:space="preserve">Home Chomthong Interest</v>
      </c>
      <c r="K817" t="s">
        <v>178</v>
      </c>
      <c r="L817" s="10" t="str">
        <f>VLOOKUP(K817,Accounts!A:B,2,FALSE)</f>
        <v>SCB</v>
      </c>
      <c r="M817" t="s">
        <v>124</v>
      </c>
      <c r="N817" s="10"/>
      <c r="O817" t="s">
        <v>125</v>
      </c>
      <c r="Q817" t="s">
        <v>126</v>
      </c>
      <c r="R817" t="s">
        <v>124</v>
      </c>
      <c r="S817" t="b">
        <v>0</v>
      </c>
      <c r="T817" t="s">
        <v>124</v>
      </c>
    </row>
    <row r="818">
      <c r="A818" t="s">
        <v>1811</v>
      </c>
      <c r="B818" t="s">
        <v>1812</v>
      </c>
      <c r="C818" s="2">
        <v>2024</v>
      </c>
      <c r="D818" s="10">
        <v>5</v>
      </c>
      <c r="E818" s="10">
        <v>24</v>
      </c>
      <c r="F818" t="s">
        <v>1002</v>
      </c>
      <c r="G818">
        <v>129.06</v>
      </c>
      <c r="H818" t="s">
        <v>69</v>
      </c>
      <c r="I818" t="s">
        <v>150</v>
      </c>
      <c r="J818" s="10" t="str">
        <f>VLOOKUP(I818,Categories!A:B,2,FALSE)</f>
        <v xml:space="preserve">Food &amp; Coff</v>
      </c>
      <c r="K818" t="s">
        <v>235</v>
      </c>
      <c r="L818" s="10" t="str">
        <f>VLOOKUP(K818,Accounts!A:B,2,FALSE)</f>
        <v xml:space="preserve">JPY cash</v>
      </c>
      <c r="M818" t="s">
        <v>124</v>
      </c>
      <c r="N818" s="10"/>
      <c r="O818" t="s">
        <v>1813</v>
      </c>
      <c r="Q818" t="s">
        <v>126</v>
      </c>
      <c r="R818" t="s">
        <v>124</v>
      </c>
      <c r="S818" t="b">
        <v>0</v>
      </c>
      <c r="T818" t="s">
        <v>124</v>
      </c>
    </row>
    <row r="819">
      <c r="A819" t="s">
        <v>1814</v>
      </c>
      <c r="B819" t="s">
        <v>1812</v>
      </c>
      <c r="C819" s="2">
        <v>2024</v>
      </c>
      <c r="D819" s="10">
        <v>5</v>
      </c>
      <c r="E819" s="10">
        <v>24</v>
      </c>
      <c r="F819" t="s">
        <v>1815</v>
      </c>
      <c r="G819">
        <v>941</v>
      </c>
      <c r="H819" t="s">
        <v>69</v>
      </c>
      <c r="I819" t="s">
        <v>150</v>
      </c>
      <c r="J819" s="10" t="str">
        <f>VLOOKUP(I819,Categories!A:B,2,FALSE)</f>
        <v xml:space="preserve">Food &amp; Coff</v>
      </c>
      <c r="K819" t="s">
        <v>855</v>
      </c>
      <c r="L819" s="10" t="str">
        <f>VLOOKUP(K819,Accounts!A:B,2,FALSE)</f>
        <v xml:space="preserve">Travelcard JPY</v>
      </c>
      <c r="M819" t="s">
        <v>124</v>
      </c>
      <c r="N819" s="10"/>
      <c r="O819" t="s">
        <v>1816</v>
      </c>
      <c r="Q819" t="s">
        <v>126</v>
      </c>
      <c r="R819" t="s">
        <v>124</v>
      </c>
      <c r="S819" t="b">
        <v>0</v>
      </c>
      <c r="T819" t="s">
        <v>124</v>
      </c>
    </row>
    <row r="820">
      <c r="A820" t="s">
        <v>1817</v>
      </c>
      <c r="B820" t="s">
        <v>1812</v>
      </c>
      <c r="C820" s="2">
        <v>2024</v>
      </c>
      <c r="D820" s="10">
        <v>5</v>
      </c>
      <c r="E820" s="10">
        <v>24</v>
      </c>
      <c r="F820" t="s">
        <v>1585</v>
      </c>
      <c r="G820">
        <v>234.66</v>
      </c>
      <c r="H820" t="s">
        <v>69</v>
      </c>
      <c r="I820" t="s">
        <v>141</v>
      </c>
      <c r="J820" s="10" t="str">
        <f>VLOOKUP(I820,Categories!A:B,2,FALSE)</f>
        <v>Other</v>
      </c>
      <c r="K820" t="s">
        <v>235</v>
      </c>
      <c r="L820" s="10" t="str">
        <f>VLOOKUP(K820,Accounts!A:B,2,FALSE)</f>
        <v xml:space="preserve">JPY cash</v>
      </c>
      <c r="M820" t="s">
        <v>124</v>
      </c>
      <c r="N820" s="10"/>
      <c r="O820" t="s">
        <v>1818</v>
      </c>
      <c r="Q820" t="s">
        <v>126</v>
      </c>
      <c r="R820" t="s">
        <v>124</v>
      </c>
      <c r="S820" t="b">
        <v>0</v>
      </c>
      <c r="T820" t="s">
        <v>124</v>
      </c>
    </row>
    <row r="821">
      <c r="A821" t="s">
        <v>1819</v>
      </c>
      <c r="B821" t="s">
        <v>1812</v>
      </c>
      <c r="C821" s="2">
        <v>2024</v>
      </c>
      <c r="D821" s="10">
        <v>5</v>
      </c>
      <c r="E821" s="10">
        <v>24</v>
      </c>
      <c r="F821" t="s">
        <v>1585</v>
      </c>
      <c r="G821">
        <v>82.129999999999995</v>
      </c>
      <c r="H821" t="s">
        <v>69</v>
      </c>
      <c r="I821" t="s">
        <v>150</v>
      </c>
      <c r="J821" s="10" t="str">
        <f>VLOOKUP(I821,Categories!A:B,2,FALSE)</f>
        <v xml:space="preserve">Food &amp; Coff</v>
      </c>
      <c r="K821" t="s">
        <v>235</v>
      </c>
      <c r="L821" s="10" t="str">
        <f>VLOOKUP(K821,Accounts!A:B,2,FALSE)</f>
        <v xml:space="preserve">JPY cash</v>
      </c>
      <c r="M821" t="s">
        <v>124</v>
      </c>
      <c r="N821" s="10"/>
      <c r="O821" t="s">
        <v>1820</v>
      </c>
      <c r="Q821" t="s">
        <v>126</v>
      </c>
      <c r="R821" t="s">
        <v>124</v>
      </c>
      <c r="S821" t="b">
        <v>0</v>
      </c>
      <c r="T821" t="s">
        <v>124</v>
      </c>
    </row>
    <row r="822">
      <c r="A822" t="s">
        <v>1821</v>
      </c>
      <c r="B822" t="s">
        <v>1812</v>
      </c>
      <c r="C822" s="2">
        <v>2024</v>
      </c>
      <c r="D822" s="10">
        <v>5</v>
      </c>
      <c r="E822" s="10">
        <v>24</v>
      </c>
      <c r="F822" t="s">
        <v>1822</v>
      </c>
      <c r="G822">
        <v>140.56</v>
      </c>
      <c r="H822" t="s">
        <v>69</v>
      </c>
      <c r="I822" t="s">
        <v>150</v>
      </c>
      <c r="J822" s="10" t="str">
        <f>VLOOKUP(I822,Categories!A:B,2,FALSE)</f>
        <v xml:space="preserve">Food &amp; Coff</v>
      </c>
      <c r="K822" t="s">
        <v>855</v>
      </c>
      <c r="L822" s="10" t="str">
        <f>VLOOKUP(K822,Accounts!A:B,2,FALSE)</f>
        <v xml:space="preserve">Travelcard JPY</v>
      </c>
      <c r="M822" t="s">
        <v>124</v>
      </c>
      <c r="N822" s="10"/>
      <c r="O822" t="s">
        <v>1488</v>
      </c>
      <c r="Q822" t="s">
        <v>126</v>
      </c>
      <c r="R822" t="s">
        <v>124</v>
      </c>
      <c r="S822" t="b">
        <v>0</v>
      </c>
      <c r="T822" t="s">
        <v>124</v>
      </c>
    </row>
    <row r="823">
      <c r="A823" t="s">
        <v>1823</v>
      </c>
      <c r="B823" t="s">
        <v>1812</v>
      </c>
      <c r="C823" s="2">
        <v>2024</v>
      </c>
      <c r="D823" s="10">
        <v>5</v>
      </c>
      <c r="E823" s="10">
        <v>24</v>
      </c>
      <c r="F823" t="s">
        <v>149</v>
      </c>
      <c r="G823">
        <v>938.63999999999999</v>
      </c>
      <c r="H823" t="s">
        <v>128</v>
      </c>
      <c r="I823" t="s">
        <v>136</v>
      </c>
      <c r="J823" s="10" t="str">
        <f>VLOOKUP(I823,Categories!A:B,2,FALSE)</f>
        <v>อื่นๆ</v>
      </c>
      <c r="K823" t="s">
        <v>235</v>
      </c>
      <c r="L823" s="10" t="str">
        <f>VLOOKUP(K823,Accounts!A:B,2,FALSE)</f>
        <v xml:space="preserve">JPY cash</v>
      </c>
      <c r="M823" t="s">
        <v>1824</v>
      </c>
      <c r="N823" s="10" t="str">
        <f>VLOOKUP(M823,Accounts!A:B,2,FALSE)</f>
        <v xml:space="preserve">suica card</v>
      </c>
      <c r="O823" t="s">
        <v>125</v>
      </c>
      <c r="Q823" t="s">
        <v>126</v>
      </c>
      <c r="R823" t="s">
        <v>124</v>
      </c>
      <c r="S823" t="b">
        <v>0</v>
      </c>
      <c r="T823" t="s">
        <v>124</v>
      </c>
    </row>
    <row r="824">
      <c r="A824" t="s">
        <v>1825</v>
      </c>
      <c r="B824" t="s">
        <v>1812</v>
      </c>
      <c r="C824" s="2">
        <v>2024</v>
      </c>
      <c r="D824" s="10">
        <v>5</v>
      </c>
      <c r="E824" s="10">
        <v>24</v>
      </c>
      <c r="F824" t="s">
        <v>773</v>
      </c>
      <c r="G824">
        <v>93.870000000000005</v>
      </c>
      <c r="H824" t="s">
        <v>69</v>
      </c>
      <c r="I824" t="s">
        <v>155</v>
      </c>
      <c r="J824" s="10" t="str">
        <f>VLOOKUP(I824,Categories!A:B,2,FALSE)</f>
        <v>Gashapon</v>
      </c>
      <c r="K824" t="s">
        <v>235</v>
      </c>
      <c r="L824" s="10" t="str">
        <f>VLOOKUP(K824,Accounts!A:B,2,FALSE)</f>
        <v xml:space="preserve">JPY cash</v>
      </c>
      <c r="M824" t="s">
        <v>124</v>
      </c>
      <c r="N824" s="10"/>
      <c r="O824" t="s">
        <v>1826</v>
      </c>
      <c r="Q824" t="s">
        <v>126</v>
      </c>
      <c r="R824" t="s">
        <v>124</v>
      </c>
      <c r="S824" t="b">
        <v>0</v>
      </c>
      <c r="T824" t="s">
        <v>124</v>
      </c>
    </row>
    <row r="825">
      <c r="A825" t="s">
        <v>1827</v>
      </c>
      <c r="B825" t="s">
        <v>1812</v>
      </c>
      <c r="C825" s="2">
        <v>2024</v>
      </c>
      <c r="D825" s="10">
        <v>5</v>
      </c>
      <c r="E825" s="10">
        <v>24</v>
      </c>
      <c r="F825" t="s">
        <v>761</v>
      </c>
      <c r="G825">
        <v>539.72000000000003</v>
      </c>
      <c r="H825" t="s">
        <v>69</v>
      </c>
      <c r="I825" t="s">
        <v>155</v>
      </c>
      <c r="J825" s="10" t="str">
        <f>VLOOKUP(I825,Categories!A:B,2,FALSE)</f>
        <v>Gashapon</v>
      </c>
      <c r="K825" t="s">
        <v>235</v>
      </c>
      <c r="L825" s="10" t="str">
        <f>VLOOKUP(K825,Accounts!A:B,2,FALSE)</f>
        <v xml:space="preserve">JPY cash</v>
      </c>
      <c r="M825" t="s">
        <v>124</v>
      </c>
      <c r="N825" s="10"/>
      <c r="O825" t="s">
        <v>1828</v>
      </c>
      <c r="Q825" t="s">
        <v>126</v>
      </c>
      <c r="R825" t="s">
        <v>124</v>
      </c>
      <c r="S825" t="b">
        <v>0</v>
      </c>
      <c r="T825" t="s">
        <v>124</v>
      </c>
    </row>
    <row r="826">
      <c r="A826" t="s">
        <v>1829</v>
      </c>
      <c r="B826" t="s">
        <v>1812</v>
      </c>
      <c r="C826" s="2">
        <v>2024</v>
      </c>
      <c r="D826" s="10">
        <v>5</v>
      </c>
      <c r="E826" s="10">
        <v>24</v>
      </c>
      <c r="F826" t="s">
        <v>761</v>
      </c>
      <c r="G826">
        <v>234.66</v>
      </c>
      <c r="H826" t="s">
        <v>69</v>
      </c>
      <c r="I826" t="s">
        <v>150</v>
      </c>
      <c r="J826" s="10" t="str">
        <f>VLOOKUP(I826,Categories!A:B,2,FALSE)</f>
        <v xml:space="preserve">Food &amp; Coff</v>
      </c>
      <c r="K826" t="s">
        <v>235</v>
      </c>
      <c r="L826" s="10" t="str">
        <f>VLOOKUP(K826,Accounts!A:B,2,FALSE)</f>
        <v xml:space="preserve">JPY cash</v>
      </c>
      <c r="M826" t="s">
        <v>124</v>
      </c>
      <c r="N826" s="10"/>
      <c r="O826" t="s">
        <v>1830</v>
      </c>
      <c r="Q826" t="s">
        <v>126</v>
      </c>
      <c r="R826" t="s">
        <v>124</v>
      </c>
      <c r="S826" t="b">
        <v>0</v>
      </c>
      <c r="T826" t="s">
        <v>124</v>
      </c>
    </row>
    <row r="827">
      <c r="A827" t="s">
        <v>1831</v>
      </c>
      <c r="B827" t="s">
        <v>1812</v>
      </c>
      <c r="C827" s="2">
        <v>2024</v>
      </c>
      <c r="D827" s="10">
        <v>5</v>
      </c>
      <c r="E827" s="10">
        <v>24</v>
      </c>
      <c r="F827" t="s">
        <v>1832</v>
      </c>
      <c r="G827">
        <v>1626.6300000000001</v>
      </c>
      <c r="H827" t="s">
        <v>206</v>
      </c>
      <c r="I827" t="s">
        <v>531</v>
      </c>
      <c r="J827" s="10" t="str">
        <f>VLOOKUP(I827,Categories!A:B,2,FALSE)</f>
        <v>Dividends</v>
      </c>
      <c r="K827" t="s">
        <v>123</v>
      </c>
      <c r="L827" s="10" t="str">
        <f>VLOOKUP(K827,Accounts!A:B,2,FALSE)</f>
        <v>KBank</v>
      </c>
      <c r="M827" t="s">
        <v>124</v>
      </c>
      <c r="N827" s="10"/>
      <c r="O827" t="s">
        <v>125</v>
      </c>
      <c r="Q827" t="s">
        <v>126</v>
      </c>
      <c r="R827" t="s">
        <v>124</v>
      </c>
      <c r="S827" t="b">
        <v>0</v>
      </c>
      <c r="T827" t="s">
        <v>124</v>
      </c>
    </row>
    <row r="828">
      <c r="A828" t="s">
        <v>1833</v>
      </c>
      <c r="B828" t="s">
        <v>1812</v>
      </c>
      <c r="C828" s="2">
        <v>2024</v>
      </c>
      <c r="D828" s="10">
        <v>5</v>
      </c>
      <c r="E828" s="10">
        <v>24</v>
      </c>
      <c r="F828" t="s">
        <v>1834</v>
      </c>
      <c r="G828">
        <v>116.66</v>
      </c>
      <c r="H828" t="s">
        <v>69</v>
      </c>
      <c r="I828" t="s">
        <v>338</v>
      </c>
      <c r="J828" s="10" t="str">
        <f>VLOOKUP(I828,Categories!A:B,2,FALSE)</f>
        <v>Trips</v>
      </c>
      <c r="K828" t="s">
        <v>235</v>
      </c>
      <c r="L828" s="10" t="str">
        <f>VLOOKUP(K828,Accounts!A:B,2,FALSE)</f>
        <v xml:space="preserve">JPY cash</v>
      </c>
      <c r="M828" t="s">
        <v>124</v>
      </c>
      <c r="N828" s="10"/>
      <c r="O828" t="s">
        <v>1835</v>
      </c>
      <c r="Q828" t="s">
        <v>126</v>
      </c>
      <c r="R828" t="s">
        <v>124</v>
      </c>
      <c r="S828" t="b">
        <v>0</v>
      </c>
      <c r="T828" t="s">
        <v>124</v>
      </c>
    </row>
    <row r="829">
      <c r="A829" t="s">
        <v>1836</v>
      </c>
      <c r="B829" t="s">
        <v>1812</v>
      </c>
      <c r="C829" s="2">
        <v>2024</v>
      </c>
      <c r="D829" s="10">
        <v>5</v>
      </c>
      <c r="E829" s="10">
        <v>24</v>
      </c>
      <c r="F829" t="s">
        <v>1837</v>
      </c>
      <c r="G829">
        <v>93.329999999999998</v>
      </c>
      <c r="H829" t="s">
        <v>69</v>
      </c>
      <c r="I829" t="s">
        <v>338</v>
      </c>
      <c r="J829" s="10" t="str">
        <f>VLOOKUP(I829,Categories!A:B,2,FALSE)</f>
        <v>Trips</v>
      </c>
      <c r="K829" t="s">
        <v>235</v>
      </c>
      <c r="L829" s="10" t="str">
        <f>VLOOKUP(K829,Accounts!A:B,2,FALSE)</f>
        <v xml:space="preserve">JPY cash</v>
      </c>
      <c r="M829" t="s">
        <v>124</v>
      </c>
      <c r="N829" s="10"/>
      <c r="O829" t="s">
        <v>1838</v>
      </c>
      <c r="Q829" t="s">
        <v>126</v>
      </c>
      <c r="R829" t="s">
        <v>124</v>
      </c>
      <c r="S829" t="b">
        <v>0</v>
      </c>
      <c r="T829" t="s">
        <v>124</v>
      </c>
    </row>
    <row r="830">
      <c r="A830" t="s">
        <v>1839</v>
      </c>
      <c r="B830" t="s">
        <v>1812</v>
      </c>
      <c r="C830" s="2">
        <v>2024</v>
      </c>
      <c r="D830" s="10">
        <v>5</v>
      </c>
      <c r="E830" s="10">
        <v>24</v>
      </c>
      <c r="F830" t="s">
        <v>1840</v>
      </c>
      <c r="G830">
        <v>1290.6500000000001</v>
      </c>
      <c r="H830" t="s">
        <v>69</v>
      </c>
      <c r="I830" t="s">
        <v>155</v>
      </c>
      <c r="J830" s="10" t="str">
        <f>VLOOKUP(I830,Categories!A:B,2,FALSE)</f>
        <v>Gashapon</v>
      </c>
      <c r="K830" t="s">
        <v>235</v>
      </c>
      <c r="L830" s="10" t="str">
        <f>VLOOKUP(K830,Accounts!A:B,2,FALSE)</f>
        <v xml:space="preserve">JPY cash</v>
      </c>
      <c r="M830" t="s">
        <v>124</v>
      </c>
      <c r="N830" s="10"/>
      <c r="O830" t="s">
        <v>1841</v>
      </c>
      <c r="Q830" t="s">
        <v>126</v>
      </c>
      <c r="R830" t="s">
        <v>124</v>
      </c>
      <c r="S830" t="b">
        <v>0</v>
      </c>
      <c r="T830" t="s">
        <v>124</v>
      </c>
    </row>
    <row r="831">
      <c r="A831" t="s">
        <v>1842</v>
      </c>
      <c r="B831" t="s">
        <v>1812</v>
      </c>
      <c r="C831" s="2">
        <v>2024</v>
      </c>
      <c r="D831" s="10">
        <v>5</v>
      </c>
      <c r="E831" s="10">
        <v>24</v>
      </c>
      <c r="F831" t="s">
        <v>1843</v>
      </c>
      <c r="G831">
        <v>542.07000000000005</v>
      </c>
      <c r="H831" t="s">
        <v>69</v>
      </c>
      <c r="I831" t="s">
        <v>155</v>
      </c>
      <c r="J831" s="10" t="str">
        <f>VLOOKUP(I831,Categories!A:B,2,FALSE)</f>
        <v>Gashapon</v>
      </c>
      <c r="K831" t="s">
        <v>855</v>
      </c>
      <c r="L831" s="10" t="str">
        <f>VLOOKUP(K831,Accounts!A:B,2,FALSE)</f>
        <v xml:space="preserve">Travelcard JPY</v>
      </c>
      <c r="M831" t="s">
        <v>124</v>
      </c>
      <c r="N831" s="10"/>
      <c r="O831" t="s">
        <v>1844</v>
      </c>
      <c r="Q831" t="s">
        <v>126</v>
      </c>
      <c r="R831" t="s">
        <v>124</v>
      </c>
      <c r="S831" t="b">
        <v>0</v>
      </c>
      <c r="T831" t="s">
        <v>124</v>
      </c>
    </row>
    <row r="832">
      <c r="A832" t="s">
        <v>1845</v>
      </c>
      <c r="B832" t="s">
        <v>1812</v>
      </c>
      <c r="C832" s="2">
        <v>2024</v>
      </c>
      <c r="D832" s="10">
        <v>5</v>
      </c>
      <c r="E832" s="10">
        <v>24</v>
      </c>
      <c r="F832" t="s">
        <v>1846</v>
      </c>
      <c r="G832">
        <v>8181.5299999999997</v>
      </c>
      <c r="H832" t="s">
        <v>69</v>
      </c>
      <c r="I832" t="s">
        <v>338</v>
      </c>
      <c r="J832" s="10" t="str">
        <f>VLOOKUP(I832,Categories!A:B,2,FALSE)</f>
        <v>Trips</v>
      </c>
      <c r="K832" t="s">
        <v>855</v>
      </c>
      <c r="L832" s="10" t="str">
        <f>VLOOKUP(K832,Accounts!A:B,2,FALSE)</f>
        <v xml:space="preserve">Travelcard JPY</v>
      </c>
      <c r="M832" t="s">
        <v>124</v>
      </c>
      <c r="N832" s="10"/>
      <c r="O832" t="s">
        <v>1847</v>
      </c>
      <c r="Q832" t="s">
        <v>126</v>
      </c>
      <c r="R832" t="s">
        <v>124</v>
      </c>
      <c r="S832" t="b">
        <v>0</v>
      </c>
      <c r="T832" t="s">
        <v>124</v>
      </c>
    </row>
    <row r="833">
      <c r="A833" t="s">
        <v>1848</v>
      </c>
      <c r="B833" t="s">
        <v>1812</v>
      </c>
      <c r="C833" s="2">
        <v>2024</v>
      </c>
      <c r="D833" s="10">
        <v>5</v>
      </c>
      <c r="E833" s="10">
        <v>24</v>
      </c>
      <c r="F833" t="s">
        <v>1806</v>
      </c>
      <c r="G833">
        <v>9240</v>
      </c>
      <c r="H833" t="s">
        <v>128</v>
      </c>
      <c r="I833" t="s">
        <v>136</v>
      </c>
      <c r="J833" s="10" t="str">
        <f>VLOOKUP(I833,Categories!A:B,2,FALSE)</f>
        <v>อื่นๆ</v>
      </c>
      <c r="K833" t="s">
        <v>178</v>
      </c>
      <c r="L833" s="10" t="str">
        <f>VLOOKUP(K833,Accounts!A:B,2,FALSE)</f>
        <v>SCB</v>
      </c>
      <c r="M833" t="s">
        <v>1246</v>
      </c>
      <c r="N833" s="10" t="str">
        <f>VLOOKUP(M833,Accounts!A:B,2,FALSE)</f>
        <v xml:space="preserve">Car Loan</v>
      </c>
      <c r="O833" t="s">
        <v>125</v>
      </c>
      <c r="Q833" t="s">
        <v>126</v>
      </c>
      <c r="R833" t="s">
        <v>124</v>
      </c>
      <c r="S833" t="b">
        <v>0</v>
      </c>
      <c r="T833" t="s">
        <v>124</v>
      </c>
    </row>
    <row r="834">
      <c r="A834" t="s">
        <v>1849</v>
      </c>
      <c r="B834" t="s">
        <v>1812</v>
      </c>
      <c r="C834" s="2">
        <v>2024</v>
      </c>
      <c r="D834" s="10">
        <v>5</v>
      </c>
      <c r="E834" s="10">
        <v>24</v>
      </c>
      <c r="F834" t="s">
        <v>1806</v>
      </c>
      <c r="G834">
        <v>500</v>
      </c>
      <c r="H834" t="s">
        <v>128</v>
      </c>
      <c r="I834" t="s">
        <v>136</v>
      </c>
      <c r="J834" s="10" t="str">
        <f>VLOOKUP(I834,Categories!A:B,2,FALSE)</f>
        <v>อื่นๆ</v>
      </c>
      <c r="K834" t="s">
        <v>178</v>
      </c>
      <c r="L834" s="10" t="str">
        <f>VLOOKUP(K834,Accounts!A:B,2,FALSE)</f>
        <v>SCB</v>
      </c>
      <c r="M834" t="s">
        <v>201</v>
      </c>
      <c r="N834" s="10" t="str">
        <f>VLOOKUP(M834,Accounts!A:B,2,FALSE)</f>
        <v>Coop</v>
      </c>
      <c r="O834" t="s">
        <v>125</v>
      </c>
      <c r="Q834" t="s">
        <v>126</v>
      </c>
      <c r="R834" t="s">
        <v>124</v>
      </c>
      <c r="S834" t="b">
        <v>0</v>
      </c>
      <c r="T834" t="s">
        <v>124</v>
      </c>
    </row>
    <row r="835">
      <c r="A835" t="s">
        <v>1850</v>
      </c>
      <c r="B835" t="s">
        <v>1812</v>
      </c>
      <c r="C835" s="2">
        <v>2024</v>
      </c>
      <c r="D835" s="10">
        <v>5</v>
      </c>
      <c r="E835" s="10">
        <v>24</v>
      </c>
      <c r="F835" t="s">
        <v>1806</v>
      </c>
      <c r="G835">
        <v>8540</v>
      </c>
      <c r="H835" t="s">
        <v>128</v>
      </c>
      <c r="I835" t="s">
        <v>136</v>
      </c>
      <c r="J835" s="10" t="str">
        <f>VLOOKUP(I835,Categories!A:B,2,FALSE)</f>
        <v>อื่นๆ</v>
      </c>
      <c r="K835" t="s">
        <v>178</v>
      </c>
      <c r="L835" s="10" t="str">
        <f>VLOOKUP(K835,Accounts!A:B,2,FALSE)</f>
        <v>SCB</v>
      </c>
      <c r="M835" t="s">
        <v>1244</v>
      </c>
      <c r="N835" s="10" t="str">
        <f>VLOOKUP(M835,Accounts!A:B,2,FALSE)</f>
        <v xml:space="preserve">Home chomthong Loan</v>
      </c>
      <c r="O835" t="s">
        <v>125</v>
      </c>
      <c r="Q835" t="s">
        <v>126</v>
      </c>
      <c r="R835" t="s">
        <v>124</v>
      </c>
      <c r="S835" t="b">
        <v>0</v>
      </c>
      <c r="T835" t="s">
        <v>124</v>
      </c>
    </row>
    <row r="836">
      <c r="A836" t="s">
        <v>1851</v>
      </c>
      <c r="B836" t="s">
        <v>1812</v>
      </c>
      <c r="C836" s="2">
        <v>2024</v>
      </c>
      <c r="D836" s="10">
        <v>5</v>
      </c>
      <c r="E836" s="10">
        <v>24</v>
      </c>
      <c r="F836" t="s">
        <v>1806</v>
      </c>
      <c r="G836">
        <v>124430</v>
      </c>
      <c r="H836" t="s">
        <v>206</v>
      </c>
      <c r="I836" t="s">
        <v>207</v>
      </c>
      <c r="J836" s="10" t="str">
        <f>VLOOKUP(I836,Categories!A:B,2,FALSE)</f>
        <v>Salary</v>
      </c>
      <c r="K836" t="s">
        <v>178</v>
      </c>
      <c r="L836" s="10" t="str">
        <f>VLOOKUP(K836,Accounts!A:B,2,FALSE)</f>
        <v>SCB</v>
      </c>
      <c r="M836" t="s">
        <v>124</v>
      </c>
      <c r="N836" s="10"/>
      <c r="O836" t="s">
        <v>125</v>
      </c>
      <c r="Q836" t="s">
        <v>126</v>
      </c>
      <c r="R836" t="s">
        <v>124</v>
      </c>
      <c r="S836" t="b">
        <v>0</v>
      </c>
      <c r="T836" t="s">
        <v>124</v>
      </c>
    </row>
    <row r="837">
      <c r="A837" t="s">
        <v>1852</v>
      </c>
      <c r="B837" t="s">
        <v>1853</v>
      </c>
      <c r="C837" s="2">
        <v>2024</v>
      </c>
      <c r="D837" s="10">
        <v>5</v>
      </c>
      <c r="E837" s="10">
        <v>23</v>
      </c>
      <c r="F837" t="s">
        <v>984</v>
      </c>
      <c r="G837">
        <v>285</v>
      </c>
      <c r="H837" t="s">
        <v>128</v>
      </c>
      <c r="I837" t="s">
        <v>136</v>
      </c>
      <c r="J837" s="10" t="str">
        <f>VLOOKUP(I837,Categories!A:B,2,FALSE)</f>
        <v>อื่นๆ</v>
      </c>
      <c r="K837" t="s">
        <v>123</v>
      </c>
      <c r="L837" s="10" t="str">
        <f>VLOOKUP(K837,Accounts!A:B,2,FALSE)</f>
        <v>KBank</v>
      </c>
      <c r="M837" t="s">
        <v>178</v>
      </c>
      <c r="N837" s="10" t="str">
        <f>VLOOKUP(M837,Accounts!A:B,2,FALSE)</f>
        <v>SCB</v>
      </c>
      <c r="O837" t="s">
        <v>125</v>
      </c>
      <c r="Q837" t="s">
        <v>126</v>
      </c>
      <c r="R837" t="s">
        <v>124</v>
      </c>
      <c r="S837" t="b">
        <v>0</v>
      </c>
      <c r="T837" t="s">
        <v>124</v>
      </c>
    </row>
    <row r="838">
      <c r="A838" t="s">
        <v>1854</v>
      </c>
      <c r="B838" t="s">
        <v>1853</v>
      </c>
      <c r="C838" s="2">
        <v>2024</v>
      </c>
      <c r="D838" s="10">
        <v>5</v>
      </c>
      <c r="E838" s="10">
        <v>23</v>
      </c>
      <c r="F838" t="s">
        <v>984</v>
      </c>
      <c r="G838">
        <v>220</v>
      </c>
      <c r="H838" t="s">
        <v>69</v>
      </c>
      <c r="I838" t="s">
        <v>150</v>
      </c>
      <c r="J838" s="10" t="str">
        <f>VLOOKUP(I838,Categories!A:B,2,FALSE)</f>
        <v xml:space="preserve">Food &amp; Coff</v>
      </c>
      <c r="K838" t="s">
        <v>123</v>
      </c>
      <c r="L838" s="10" t="str">
        <f>VLOOKUP(K838,Accounts!A:B,2,FALSE)</f>
        <v>KBank</v>
      </c>
      <c r="M838" t="s">
        <v>124</v>
      </c>
      <c r="N838" s="10"/>
      <c r="O838" t="s">
        <v>125</v>
      </c>
      <c r="Q838" t="s">
        <v>126</v>
      </c>
      <c r="R838" t="s">
        <v>124</v>
      </c>
      <c r="S838" t="b">
        <v>0</v>
      </c>
      <c r="T838" t="s">
        <v>124</v>
      </c>
    </row>
    <row r="839">
      <c r="A839" t="s">
        <v>1855</v>
      </c>
      <c r="B839" t="s">
        <v>1853</v>
      </c>
      <c r="C839" s="2">
        <v>2024</v>
      </c>
      <c r="D839" s="10">
        <v>5</v>
      </c>
      <c r="E839" s="10">
        <v>23</v>
      </c>
      <c r="F839" t="s">
        <v>1856</v>
      </c>
      <c r="G839">
        <v>193</v>
      </c>
      <c r="H839" t="s">
        <v>206</v>
      </c>
      <c r="I839" t="s">
        <v>281</v>
      </c>
      <c r="J839" s="10" t="str">
        <f>VLOOKUP(I839,Categories!A:B,2,FALSE)</f>
        <v>Others</v>
      </c>
      <c r="K839" t="s">
        <v>178</v>
      </c>
      <c r="L839" s="10" t="str">
        <f>VLOOKUP(K839,Accounts!A:B,2,FALSE)</f>
        <v>SCB</v>
      </c>
      <c r="M839" t="s">
        <v>124</v>
      </c>
      <c r="N839" s="10"/>
      <c r="O839" t="s">
        <v>125</v>
      </c>
      <c r="Q839" t="s">
        <v>126</v>
      </c>
      <c r="R839" t="s">
        <v>124</v>
      </c>
      <c r="S839" t="b">
        <v>0</v>
      </c>
      <c r="T839" t="s">
        <v>124</v>
      </c>
    </row>
    <row r="840">
      <c r="A840" t="s">
        <v>1857</v>
      </c>
      <c r="B840" t="s">
        <v>1858</v>
      </c>
      <c r="C840" s="2">
        <v>2024</v>
      </c>
      <c r="D840" s="10">
        <v>5</v>
      </c>
      <c r="E840" s="10">
        <v>19</v>
      </c>
      <c r="F840" t="s">
        <v>1859</v>
      </c>
      <c r="G840">
        <v>620</v>
      </c>
      <c r="H840" t="s">
        <v>69</v>
      </c>
      <c r="I840" t="s">
        <v>144</v>
      </c>
      <c r="J840" s="10" t="str">
        <f>VLOOKUP(I840,Categories!A:B,2,FALSE)</f>
        <v xml:space="preserve">Family paid</v>
      </c>
      <c r="K840" t="s">
        <v>123</v>
      </c>
      <c r="L840" s="10" t="str">
        <f>VLOOKUP(K840,Accounts!A:B,2,FALSE)</f>
        <v>KBank</v>
      </c>
      <c r="M840" t="s">
        <v>124</v>
      </c>
      <c r="N840" s="10"/>
      <c r="O840" t="s">
        <v>1860</v>
      </c>
      <c r="Q840" t="s">
        <v>126</v>
      </c>
      <c r="R840" t="s">
        <v>124</v>
      </c>
      <c r="S840" t="b">
        <v>0</v>
      </c>
      <c r="T840" t="s">
        <v>124</v>
      </c>
    </row>
    <row r="841">
      <c r="A841" t="s">
        <v>1861</v>
      </c>
      <c r="B841" t="s">
        <v>1858</v>
      </c>
      <c r="C841" s="2">
        <v>2024</v>
      </c>
      <c r="D841" s="10">
        <v>5</v>
      </c>
      <c r="E841" s="10">
        <v>19</v>
      </c>
      <c r="F841" t="s">
        <v>1862</v>
      </c>
      <c r="G841">
        <v>9280</v>
      </c>
      <c r="H841" t="s">
        <v>128</v>
      </c>
      <c r="I841" t="s">
        <v>136</v>
      </c>
      <c r="J841" s="10" t="str">
        <f>VLOOKUP(I841,Categories!A:B,2,FALSE)</f>
        <v>อื่นๆ</v>
      </c>
      <c r="K841" t="s">
        <v>1421</v>
      </c>
      <c r="L841" s="10" t="str">
        <f>VLOOKUP(K841,Accounts!A:B,2,FALSE)</f>
        <v>Hong</v>
      </c>
      <c r="M841" t="s">
        <v>178</v>
      </c>
      <c r="N841" s="10" t="str">
        <f>VLOOKUP(M841,Accounts!A:B,2,FALSE)</f>
        <v>SCB</v>
      </c>
      <c r="O841" t="s">
        <v>125</v>
      </c>
      <c r="Q841" t="s">
        <v>126</v>
      </c>
      <c r="R841" t="s">
        <v>124</v>
      </c>
      <c r="S841" t="b">
        <v>0</v>
      </c>
      <c r="T841" t="s">
        <v>124</v>
      </c>
    </row>
    <row r="842">
      <c r="A842" t="s">
        <v>1863</v>
      </c>
      <c r="B842" t="s">
        <v>1864</v>
      </c>
      <c r="C842" s="2">
        <v>2024</v>
      </c>
      <c r="D842" s="10">
        <v>5</v>
      </c>
      <c r="E842" s="10">
        <v>18</v>
      </c>
      <c r="F842" t="s">
        <v>1865</v>
      </c>
      <c r="G842">
        <v>688</v>
      </c>
      <c r="H842" t="s">
        <v>206</v>
      </c>
      <c r="I842" t="s">
        <v>254</v>
      </c>
      <c r="J842" s="10" t="str">
        <f>VLOOKUP(I842,Categories!A:B,2,FALSE)</f>
        <v xml:space="preserve">Modified Bal.</v>
      </c>
      <c r="K842" t="s">
        <v>123</v>
      </c>
      <c r="L842" s="10" t="str">
        <f>VLOOKUP(K842,Accounts!A:B,2,FALSE)</f>
        <v>KBank</v>
      </c>
      <c r="M842" t="s">
        <v>124</v>
      </c>
      <c r="N842" s="10"/>
      <c r="O842" t="s">
        <v>255</v>
      </c>
      <c r="Q842" t="s">
        <v>126</v>
      </c>
      <c r="R842" t="s">
        <v>124</v>
      </c>
      <c r="S842" t="b">
        <v>0</v>
      </c>
      <c r="T842" t="s">
        <v>124</v>
      </c>
    </row>
    <row r="843">
      <c r="A843" t="s">
        <v>1866</v>
      </c>
      <c r="B843" t="s">
        <v>1864</v>
      </c>
      <c r="C843" s="2">
        <v>2024</v>
      </c>
      <c r="D843" s="10">
        <v>5</v>
      </c>
      <c r="E843" s="10">
        <v>18</v>
      </c>
      <c r="F843" t="s">
        <v>1867</v>
      </c>
      <c r="G843">
        <v>2881</v>
      </c>
      <c r="H843" t="s">
        <v>128</v>
      </c>
      <c r="I843" t="s">
        <v>136</v>
      </c>
      <c r="J843" s="10" t="str">
        <f>VLOOKUP(I843,Categories!A:B,2,FALSE)</f>
        <v>อื่นๆ</v>
      </c>
      <c r="K843" t="s">
        <v>123</v>
      </c>
      <c r="L843" s="10" t="str">
        <f>VLOOKUP(K843,Accounts!A:B,2,FALSE)</f>
        <v>KBank</v>
      </c>
      <c r="M843" t="s">
        <v>1421</v>
      </c>
      <c r="N843" s="10" t="str">
        <f>VLOOKUP(M843,Accounts!A:B,2,FALSE)</f>
        <v>Hong</v>
      </c>
      <c r="O843" t="s">
        <v>125</v>
      </c>
      <c r="Q843" t="s">
        <v>126</v>
      </c>
      <c r="R843" t="s">
        <v>124</v>
      </c>
      <c r="S843" t="b">
        <v>0</v>
      </c>
      <c r="T843" t="s">
        <v>124</v>
      </c>
    </row>
    <row r="844">
      <c r="A844" t="s">
        <v>1868</v>
      </c>
      <c r="B844" t="s">
        <v>1864</v>
      </c>
      <c r="C844" s="2">
        <v>2024</v>
      </c>
      <c r="D844" s="10">
        <v>5</v>
      </c>
      <c r="E844" s="10">
        <v>18</v>
      </c>
      <c r="F844" t="s">
        <v>1360</v>
      </c>
      <c r="G844">
        <v>744.58569899999998</v>
      </c>
      <c r="H844" t="s">
        <v>206</v>
      </c>
      <c r="I844" t="s">
        <v>254</v>
      </c>
      <c r="J844" s="10" t="str">
        <f>VLOOKUP(I844,Categories!A:B,2,FALSE)</f>
        <v xml:space="preserve">Modified Bal.</v>
      </c>
      <c r="K844" t="s">
        <v>235</v>
      </c>
      <c r="L844" s="10" t="str">
        <f>VLOOKUP(K844,Accounts!A:B,2,FALSE)</f>
        <v xml:space="preserve">JPY cash</v>
      </c>
      <c r="M844" t="s">
        <v>124</v>
      </c>
      <c r="N844" s="10"/>
      <c r="O844" t="s">
        <v>255</v>
      </c>
      <c r="Q844" t="s">
        <v>126</v>
      </c>
      <c r="R844" t="s">
        <v>124</v>
      </c>
      <c r="S844" t="b">
        <v>0</v>
      </c>
      <c r="T844" t="s">
        <v>124</v>
      </c>
    </row>
    <row r="845">
      <c r="A845" t="s">
        <v>1869</v>
      </c>
      <c r="B845" t="s">
        <v>1864</v>
      </c>
      <c r="C845" s="2">
        <v>2024</v>
      </c>
      <c r="D845" s="10">
        <v>5</v>
      </c>
      <c r="E845" s="10">
        <v>18</v>
      </c>
      <c r="F845" t="s">
        <v>1870</v>
      </c>
      <c r="G845">
        <v>45000</v>
      </c>
      <c r="H845" t="s">
        <v>128</v>
      </c>
      <c r="I845" t="s">
        <v>136</v>
      </c>
      <c r="J845" s="10" t="str">
        <f>VLOOKUP(I845,Categories!A:B,2,FALSE)</f>
        <v>อื่นๆ</v>
      </c>
      <c r="K845" t="s">
        <v>178</v>
      </c>
      <c r="L845" s="10" t="str">
        <f>VLOOKUP(K845,Accounts!A:B,2,FALSE)</f>
        <v>SCB</v>
      </c>
      <c r="M845" t="s">
        <v>213</v>
      </c>
      <c r="N845" s="10" t="str">
        <f>VLOOKUP(M845,Accounts!A:B,2,FALSE)</f>
        <v xml:space="preserve">Krungthai Next</v>
      </c>
      <c r="O845" t="s">
        <v>125</v>
      </c>
      <c r="Q845" t="s">
        <v>126</v>
      </c>
      <c r="R845" t="s">
        <v>124</v>
      </c>
      <c r="S845" t="b">
        <v>0</v>
      </c>
      <c r="T845" t="s">
        <v>124</v>
      </c>
    </row>
    <row r="846">
      <c r="A846" t="s">
        <v>1871</v>
      </c>
      <c r="B846" t="s">
        <v>1872</v>
      </c>
      <c r="C846" s="2">
        <v>2024</v>
      </c>
      <c r="D846" s="10">
        <v>5</v>
      </c>
      <c r="E846" s="10">
        <v>15</v>
      </c>
      <c r="F846" t="s">
        <v>334</v>
      </c>
      <c r="G846">
        <v>9280</v>
      </c>
      <c r="H846" t="s">
        <v>128</v>
      </c>
      <c r="I846" t="s">
        <v>136</v>
      </c>
      <c r="J846" s="10" t="str">
        <f>VLOOKUP(I846,Categories!A:B,2,FALSE)</f>
        <v>อื่นๆ</v>
      </c>
      <c r="K846" t="s">
        <v>213</v>
      </c>
      <c r="L846" s="10" t="str">
        <f>VLOOKUP(K846,Accounts!A:B,2,FALSE)</f>
        <v xml:space="preserve">Krungthai Next</v>
      </c>
      <c r="M846" t="s">
        <v>855</v>
      </c>
      <c r="N846" s="10" t="str">
        <f>VLOOKUP(M846,Accounts!A:B,2,FALSE)</f>
        <v xml:space="preserve">Travelcard JPY</v>
      </c>
      <c r="O846" t="s">
        <v>1873</v>
      </c>
      <c r="Q846" t="s">
        <v>126</v>
      </c>
      <c r="R846" t="s">
        <v>124</v>
      </c>
      <c r="S846" t="b">
        <v>0</v>
      </c>
      <c r="T846" t="s">
        <v>124</v>
      </c>
    </row>
    <row r="847">
      <c r="A847" t="s">
        <v>1874</v>
      </c>
      <c r="B847" t="s">
        <v>1872</v>
      </c>
      <c r="C847" s="2">
        <v>2024</v>
      </c>
      <c r="D847" s="10">
        <v>5</v>
      </c>
      <c r="E847" s="10">
        <v>15</v>
      </c>
      <c r="F847" t="s">
        <v>1875</v>
      </c>
      <c r="G847">
        <v>37056</v>
      </c>
      <c r="H847" t="s">
        <v>128</v>
      </c>
      <c r="I847" t="s">
        <v>136</v>
      </c>
      <c r="J847" s="10" t="str">
        <f>VLOOKUP(I847,Categories!A:B,2,FALSE)</f>
        <v>อื่นๆ</v>
      </c>
      <c r="K847" t="s">
        <v>213</v>
      </c>
      <c r="L847" s="10" t="str">
        <f>VLOOKUP(K847,Accounts!A:B,2,FALSE)</f>
        <v xml:space="preserve">Krungthai Next</v>
      </c>
      <c r="M847" t="s">
        <v>855</v>
      </c>
      <c r="N847" s="10" t="str">
        <f>VLOOKUP(M847,Accounts!A:B,2,FALSE)</f>
        <v xml:space="preserve">Travelcard JPY</v>
      </c>
      <c r="O847" t="s">
        <v>125</v>
      </c>
      <c r="Q847" t="s">
        <v>126</v>
      </c>
      <c r="R847" t="s">
        <v>124</v>
      </c>
      <c r="S847" t="b">
        <v>0</v>
      </c>
      <c r="T847" t="s">
        <v>124</v>
      </c>
    </row>
    <row r="848">
      <c r="A848" t="s">
        <v>1876</v>
      </c>
      <c r="B848" t="s">
        <v>1877</v>
      </c>
      <c r="C848" s="2">
        <v>2024</v>
      </c>
      <c r="D848" s="10">
        <v>5</v>
      </c>
      <c r="E848" s="10">
        <v>12</v>
      </c>
      <c r="F848" t="s">
        <v>147</v>
      </c>
      <c r="G848">
        <v>10212.5</v>
      </c>
      <c r="H848" t="s">
        <v>128</v>
      </c>
      <c r="I848" t="s">
        <v>136</v>
      </c>
      <c r="J848" s="10" t="str">
        <f>VLOOKUP(I848,Categories!A:B,2,FALSE)</f>
        <v>อื่นๆ</v>
      </c>
      <c r="K848" t="s">
        <v>178</v>
      </c>
      <c r="L848" s="10" t="str">
        <f>VLOOKUP(K848,Accounts!A:B,2,FALSE)</f>
        <v>SCB</v>
      </c>
      <c r="M848" t="s">
        <v>235</v>
      </c>
      <c r="N848" s="10" t="str">
        <f>VLOOKUP(M848,Accounts!A:B,2,FALSE)</f>
        <v xml:space="preserve">JPY cash</v>
      </c>
      <c r="O848" t="s">
        <v>125</v>
      </c>
      <c r="Q848" t="s">
        <v>126</v>
      </c>
      <c r="R848" t="s">
        <v>124</v>
      </c>
      <c r="S848" t="b">
        <v>0</v>
      </c>
      <c r="T848" t="s">
        <v>124</v>
      </c>
    </row>
    <row r="849">
      <c r="A849" t="s">
        <v>1878</v>
      </c>
      <c r="B849" t="s">
        <v>1877</v>
      </c>
      <c r="C849" s="2">
        <v>2024</v>
      </c>
      <c r="D849" s="10">
        <v>5</v>
      </c>
      <c r="E849" s="10">
        <v>12</v>
      </c>
      <c r="F849" t="s">
        <v>1879</v>
      </c>
      <c r="G849">
        <v>287.5</v>
      </c>
      <c r="H849" t="s">
        <v>128</v>
      </c>
      <c r="I849" t="s">
        <v>136</v>
      </c>
      <c r="J849" s="10" t="str">
        <f>VLOOKUP(I849,Categories!A:B,2,FALSE)</f>
        <v>อื่นๆ</v>
      </c>
      <c r="K849" t="s">
        <v>178</v>
      </c>
      <c r="L849" s="10" t="str">
        <f>VLOOKUP(K849,Accounts!A:B,2,FALSE)</f>
        <v>SCB</v>
      </c>
      <c r="M849" t="s">
        <v>425</v>
      </c>
      <c r="N849" s="10" t="str">
        <f>VLOOKUP(M849,Accounts!A:B,2,FALSE)</f>
        <v>Cash</v>
      </c>
      <c r="O849" t="s">
        <v>125</v>
      </c>
      <c r="Q849" t="s">
        <v>126</v>
      </c>
      <c r="R849" t="s">
        <v>124</v>
      </c>
      <c r="S849" t="b">
        <v>0</v>
      </c>
      <c r="T849" t="s">
        <v>124</v>
      </c>
    </row>
    <row r="850">
      <c r="A850" t="s">
        <v>1880</v>
      </c>
      <c r="B850" t="s">
        <v>1877</v>
      </c>
      <c r="C850" s="2">
        <v>2024</v>
      </c>
      <c r="D850" s="10">
        <v>5</v>
      </c>
      <c r="E850" s="10">
        <v>12</v>
      </c>
      <c r="F850" t="s">
        <v>1881</v>
      </c>
      <c r="G850">
        <v>2410.4000000000001</v>
      </c>
      <c r="H850" t="s">
        <v>69</v>
      </c>
      <c r="I850" t="s">
        <v>1882</v>
      </c>
      <c r="J850" s="10" t="str">
        <f>VLOOKUP(I850,Categories!A:B,2,FALSE)</f>
        <v>utility</v>
      </c>
      <c r="K850" t="s">
        <v>123</v>
      </c>
      <c r="L850" s="10" t="str">
        <f>VLOOKUP(K850,Accounts!A:B,2,FALSE)</f>
        <v>KBank</v>
      </c>
      <c r="M850" t="s">
        <v>124</v>
      </c>
      <c r="N850" s="10"/>
      <c r="O850" t="s">
        <v>125</v>
      </c>
      <c r="Q850" t="s">
        <v>126</v>
      </c>
      <c r="R850" t="s">
        <v>124</v>
      </c>
      <c r="S850" t="b">
        <v>0</v>
      </c>
      <c r="T850" t="s">
        <v>124</v>
      </c>
    </row>
    <row r="851">
      <c r="A851" t="s">
        <v>1883</v>
      </c>
      <c r="B851" t="s">
        <v>1884</v>
      </c>
      <c r="C851" s="2">
        <v>2024</v>
      </c>
      <c r="D851" s="10">
        <v>5</v>
      </c>
      <c r="E851" s="10">
        <v>6</v>
      </c>
      <c r="F851" t="s">
        <v>1885</v>
      </c>
      <c r="G851">
        <v>200</v>
      </c>
      <c r="H851" t="s">
        <v>69</v>
      </c>
      <c r="I851" t="s">
        <v>134</v>
      </c>
      <c r="J851" s="10" t="str">
        <f>VLOOKUP(I851,Categories!A:B,2,FALSE)</f>
        <v>Hong</v>
      </c>
      <c r="K851" t="s">
        <v>123</v>
      </c>
      <c r="L851" s="10" t="str">
        <f>VLOOKUP(K851,Accounts!A:B,2,FALSE)</f>
        <v>KBank</v>
      </c>
      <c r="M851" t="s">
        <v>124</v>
      </c>
      <c r="N851" s="10"/>
      <c r="O851" t="s">
        <v>1886</v>
      </c>
      <c r="Q851" t="s">
        <v>126</v>
      </c>
      <c r="R851" t="s">
        <v>124</v>
      </c>
      <c r="S851" t="b">
        <v>0</v>
      </c>
      <c r="T851" t="s">
        <v>124</v>
      </c>
    </row>
    <row r="852">
      <c r="A852" t="s">
        <v>1887</v>
      </c>
      <c r="B852" t="s">
        <v>1888</v>
      </c>
      <c r="C852" s="2">
        <v>2024</v>
      </c>
      <c r="D852" s="10">
        <v>5</v>
      </c>
      <c r="E852" s="10">
        <v>5</v>
      </c>
      <c r="F852" t="s">
        <v>1889</v>
      </c>
      <c r="G852">
        <v>317</v>
      </c>
      <c r="H852" t="s">
        <v>128</v>
      </c>
      <c r="I852" t="s">
        <v>136</v>
      </c>
      <c r="J852" s="10" t="str">
        <f>VLOOKUP(I852,Categories!A:B,2,FALSE)</f>
        <v>อื่นๆ</v>
      </c>
      <c r="K852" t="s">
        <v>123</v>
      </c>
      <c r="L852" s="10" t="str">
        <f>VLOOKUP(K852,Accounts!A:B,2,FALSE)</f>
        <v>KBank</v>
      </c>
      <c r="M852" t="s">
        <v>893</v>
      </c>
      <c r="N852" s="10" t="str">
        <f>VLOOKUP(M852,Accounts!A:B,2,FALSE)</f>
        <v>Shopee</v>
      </c>
      <c r="O852" t="s">
        <v>125</v>
      </c>
      <c r="Q852" t="s">
        <v>126</v>
      </c>
      <c r="R852" t="s">
        <v>124</v>
      </c>
      <c r="S852" t="b">
        <v>0</v>
      </c>
      <c r="T852" t="s">
        <v>124</v>
      </c>
    </row>
    <row r="853">
      <c r="A853" t="s">
        <v>1890</v>
      </c>
      <c r="B853" t="s">
        <v>1891</v>
      </c>
      <c r="C853" s="2">
        <v>2024</v>
      </c>
      <c r="D853" s="10">
        <v>5</v>
      </c>
      <c r="E853" s="10">
        <v>3</v>
      </c>
      <c r="F853" t="s">
        <v>1892</v>
      </c>
      <c r="G853">
        <v>17500</v>
      </c>
      <c r="H853" t="s">
        <v>69</v>
      </c>
      <c r="I853" t="s">
        <v>134</v>
      </c>
      <c r="J853" s="10" t="str">
        <f>VLOOKUP(I853,Categories!A:B,2,FALSE)</f>
        <v>Hong</v>
      </c>
      <c r="K853" t="s">
        <v>178</v>
      </c>
      <c r="L853" s="10" t="str">
        <f>VLOOKUP(K853,Accounts!A:B,2,FALSE)</f>
        <v>SCB</v>
      </c>
      <c r="M853" t="s">
        <v>124</v>
      </c>
      <c r="N853" s="10"/>
      <c r="O853" t="s">
        <v>125</v>
      </c>
      <c r="Q853" t="s">
        <v>126</v>
      </c>
      <c r="R853" t="s">
        <v>124</v>
      </c>
      <c r="S853" t="b">
        <v>0</v>
      </c>
      <c r="T853" t="s">
        <v>124</v>
      </c>
    </row>
    <row r="854">
      <c r="A854" t="s">
        <v>1893</v>
      </c>
      <c r="B854" t="s">
        <v>1894</v>
      </c>
      <c r="C854" s="2">
        <v>2024</v>
      </c>
      <c r="D854" s="10">
        <v>5</v>
      </c>
      <c r="E854" s="10">
        <v>2</v>
      </c>
      <c r="F854" t="s">
        <v>1895</v>
      </c>
      <c r="G854">
        <v>48600</v>
      </c>
      <c r="H854" t="s">
        <v>69</v>
      </c>
      <c r="I854" t="s">
        <v>144</v>
      </c>
      <c r="J854" s="10" t="str">
        <f>VLOOKUP(I854,Categories!A:B,2,FALSE)</f>
        <v xml:space="preserve">Family paid</v>
      </c>
      <c r="K854" t="s">
        <v>178</v>
      </c>
      <c r="L854" s="10" t="str">
        <f>VLOOKUP(K854,Accounts!A:B,2,FALSE)</f>
        <v>SCB</v>
      </c>
      <c r="M854" t="s">
        <v>124</v>
      </c>
      <c r="N854" s="10"/>
      <c r="O854" t="s">
        <v>125</v>
      </c>
      <c r="Q854" t="s">
        <v>126</v>
      </c>
      <c r="R854" t="s">
        <v>124</v>
      </c>
      <c r="S854" t="b">
        <v>0</v>
      </c>
      <c r="T854" t="s">
        <v>124</v>
      </c>
    </row>
    <row r="855">
      <c r="A855" t="s">
        <v>1896</v>
      </c>
      <c r="B855" t="s">
        <v>1897</v>
      </c>
      <c r="C855" s="2">
        <v>2024</v>
      </c>
      <c r="D855" s="10">
        <v>5</v>
      </c>
      <c r="E855" s="10">
        <v>1</v>
      </c>
      <c r="F855" t="s">
        <v>1898</v>
      </c>
      <c r="G855">
        <v>6000</v>
      </c>
      <c r="H855" t="s">
        <v>128</v>
      </c>
      <c r="I855" t="s">
        <v>136</v>
      </c>
      <c r="J855" s="10" t="str">
        <f>VLOOKUP(I855,Categories!A:B,2,FALSE)</f>
        <v>อื่นๆ</v>
      </c>
      <c r="K855" t="s">
        <v>123</v>
      </c>
      <c r="L855" s="10" t="str">
        <f>VLOOKUP(K855,Accounts!A:B,2,FALSE)</f>
        <v>KBank</v>
      </c>
      <c r="M855" t="s">
        <v>137</v>
      </c>
      <c r="N855" s="10" t="str">
        <f>VLOOKUP(M855,Accounts!A:B,2,FALSE)</f>
        <v xml:space="preserve">Make Kbank</v>
      </c>
      <c r="O855" t="s">
        <v>125</v>
      </c>
      <c r="Q855" t="s">
        <v>126</v>
      </c>
      <c r="R855" t="s">
        <v>124</v>
      </c>
      <c r="S855" t="b">
        <v>0</v>
      </c>
      <c r="T855" t="s">
        <v>124</v>
      </c>
    </row>
    <row r="856">
      <c r="A856" t="s">
        <v>1899</v>
      </c>
      <c r="B856" t="s">
        <v>1897</v>
      </c>
      <c r="C856" s="2">
        <v>2024</v>
      </c>
      <c r="D856" s="10">
        <v>5</v>
      </c>
      <c r="E856" s="10">
        <v>1</v>
      </c>
      <c r="F856" t="s">
        <v>1235</v>
      </c>
      <c r="G856">
        <v>1090</v>
      </c>
      <c r="H856" t="s">
        <v>128</v>
      </c>
      <c r="I856" t="s">
        <v>136</v>
      </c>
      <c r="J856" s="10" t="str">
        <f>VLOOKUP(I856,Categories!A:B,2,FALSE)</f>
        <v>อื่นๆ</v>
      </c>
      <c r="K856" t="s">
        <v>131</v>
      </c>
      <c r="L856" s="10" t="str">
        <f>VLOOKUP(K856,Accounts!A:B,2,FALSE)</f>
        <v xml:space="preserve">Advance Paid</v>
      </c>
      <c r="M856" t="s">
        <v>123</v>
      </c>
      <c r="N856" s="10" t="str">
        <f>VLOOKUP(M856,Accounts!A:B,2,FALSE)</f>
        <v>KBank</v>
      </c>
      <c r="O856" t="s">
        <v>125</v>
      </c>
      <c r="Q856" t="s">
        <v>126</v>
      </c>
      <c r="R856" t="s">
        <v>124</v>
      </c>
      <c r="S856" t="b">
        <v>0</v>
      </c>
      <c r="T856" t="s">
        <v>124</v>
      </c>
    </row>
    <row r="857">
      <c r="A857" t="s">
        <v>1900</v>
      </c>
      <c r="B857" t="s">
        <v>1901</v>
      </c>
      <c r="C857" s="2">
        <v>2024</v>
      </c>
      <c r="D857" s="10">
        <v>4</v>
      </c>
      <c r="E857" s="10">
        <v>30</v>
      </c>
      <c r="F857" t="s">
        <v>1902</v>
      </c>
      <c r="G857">
        <v>617</v>
      </c>
      <c r="H857" t="s">
        <v>69</v>
      </c>
      <c r="I857" t="s">
        <v>1903</v>
      </c>
      <c r="J857" s="10" t="str">
        <f>VLOOKUP(I857,Categories!A:B,2,FALSE)</f>
        <v xml:space="preserve">Monthly subscription</v>
      </c>
      <c r="K857" t="s">
        <v>178</v>
      </c>
      <c r="L857" s="10" t="str">
        <f>VLOOKUP(K857,Accounts!A:B,2,FALSE)</f>
        <v>SCB</v>
      </c>
      <c r="M857" t="s">
        <v>124</v>
      </c>
      <c r="N857" s="10"/>
      <c r="O857" t="s">
        <v>125</v>
      </c>
      <c r="Q857" t="s">
        <v>126</v>
      </c>
      <c r="R857" t="s">
        <v>124</v>
      </c>
      <c r="S857" t="b">
        <v>0</v>
      </c>
      <c r="T857" t="s">
        <v>124</v>
      </c>
    </row>
    <row r="858">
      <c r="A858" t="s">
        <v>1904</v>
      </c>
      <c r="B858" t="s">
        <v>1901</v>
      </c>
      <c r="C858" s="2">
        <v>2024</v>
      </c>
      <c r="D858" s="10">
        <v>4</v>
      </c>
      <c r="E858" s="10">
        <v>30</v>
      </c>
      <c r="F858" t="s">
        <v>737</v>
      </c>
      <c r="G858">
        <v>452</v>
      </c>
      <c r="H858" t="s">
        <v>128</v>
      </c>
      <c r="I858" t="s">
        <v>136</v>
      </c>
      <c r="J858" s="10" t="str">
        <f>VLOOKUP(I858,Categories!A:B,2,FALSE)</f>
        <v>อื่นๆ</v>
      </c>
      <c r="K858" t="s">
        <v>178</v>
      </c>
      <c r="L858" s="10" t="str">
        <f>VLOOKUP(K858,Accounts!A:B,2,FALSE)</f>
        <v>SCB</v>
      </c>
      <c r="M858" t="s">
        <v>131</v>
      </c>
      <c r="N858" s="10" t="str">
        <f>VLOOKUP(M858,Accounts!A:B,2,FALSE)</f>
        <v xml:space="preserve">Advance Paid</v>
      </c>
      <c r="O858" t="s">
        <v>125</v>
      </c>
      <c r="Q858" t="s">
        <v>126</v>
      </c>
      <c r="R858" t="s">
        <v>124</v>
      </c>
      <c r="S858" t="b">
        <v>0</v>
      </c>
      <c r="T858" t="s">
        <v>124</v>
      </c>
    </row>
    <row r="859">
      <c r="A859" t="s">
        <v>1905</v>
      </c>
      <c r="B859" t="s">
        <v>1901</v>
      </c>
      <c r="C859" s="2">
        <v>2024</v>
      </c>
      <c r="D859" s="10">
        <v>4</v>
      </c>
      <c r="E859" s="10">
        <v>30</v>
      </c>
      <c r="F859" t="s">
        <v>740</v>
      </c>
      <c r="G859">
        <v>338</v>
      </c>
      <c r="H859" t="s">
        <v>69</v>
      </c>
      <c r="I859" t="s">
        <v>169</v>
      </c>
      <c r="J859" s="10" t="str">
        <f>VLOOKUP(I859,Categories!A:B,2,FALSE)</f>
        <v xml:space="preserve">App &amp; Game</v>
      </c>
      <c r="K859" t="s">
        <v>178</v>
      </c>
      <c r="L859" s="10" t="str">
        <f>VLOOKUP(K859,Accounts!A:B,2,FALSE)</f>
        <v>SCB</v>
      </c>
      <c r="M859" t="s">
        <v>124</v>
      </c>
      <c r="N859" s="10"/>
      <c r="O859" t="s">
        <v>125</v>
      </c>
      <c r="Q859" t="s">
        <v>126</v>
      </c>
      <c r="R859" t="s">
        <v>124</v>
      </c>
      <c r="S859" t="b">
        <v>0</v>
      </c>
      <c r="T859" t="s">
        <v>124</v>
      </c>
    </row>
    <row r="860">
      <c r="A860" t="s">
        <v>1906</v>
      </c>
      <c r="B860" t="s">
        <v>1901</v>
      </c>
      <c r="C860" s="2">
        <v>2024</v>
      </c>
      <c r="D860" s="10">
        <v>4</v>
      </c>
      <c r="E860" s="10">
        <v>30</v>
      </c>
      <c r="F860" t="s">
        <v>746</v>
      </c>
      <c r="G860">
        <v>300</v>
      </c>
      <c r="H860" t="s">
        <v>69</v>
      </c>
      <c r="I860" t="s">
        <v>1903</v>
      </c>
      <c r="J860" s="10" t="str">
        <f>VLOOKUP(I860,Categories!A:B,2,FALSE)</f>
        <v xml:space="preserve">Monthly subscription</v>
      </c>
      <c r="K860" t="s">
        <v>178</v>
      </c>
      <c r="L860" s="10" t="str">
        <f>VLOOKUP(K860,Accounts!A:B,2,FALSE)</f>
        <v>SCB</v>
      </c>
      <c r="M860" t="s">
        <v>124</v>
      </c>
      <c r="N860" s="10"/>
      <c r="O860" t="s">
        <v>125</v>
      </c>
      <c r="Q860" t="s">
        <v>126</v>
      </c>
      <c r="R860" t="s">
        <v>124</v>
      </c>
      <c r="S860" t="b">
        <v>0</v>
      </c>
      <c r="T860" t="s">
        <v>124</v>
      </c>
    </row>
    <row r="861">
      <c r="A861" t="s">
        <v>1907</v>
      </c>
      <c r="B861" t="s">
        <v>1901</v>
      </c>
      <c r="C861" s="2">
        <v>2024</v>
      </c>
      <c r="D861" s="10">
        <v>4</v>
      </c>
      <c r="E861" s="10">
        <v>30</v>
      </c>
      <c r="F861" t="s">
        <v>231</v>
      </c>
      <c r="G861">
        <v>526</v>
      </c>
      <c r="H861" t="s">
        <v>69</v>
      </c>
      <c r="I861" t="s">
        <v>150</v>
      </c>
      <c r="J861" s="10" t="str">
        <f>VLOOKUP(I861,Categories!A:B,2,FALSE)</f>
        <v xml:space="preserve">Food &amp; Coff</v>
      </c>
      <c r="K861" t="s">
        <v>178</v>
      </c>
      <c r="L861" s="10" t="str">
        <f>VLOOKUP(K861,Accounts!A:B,2,FALSE)</f>
        <v>SCB</v>
      </c>
      <c r="M861" t="s">
        <v>124</v>
      </c>
      <c r="N861" s="10"/>
      <c r="O861" t="s">
        <v>125</v>
      </c>
      <c r="Q861" t="s">
        <v>126</v>
      </c>
      <c r="R861" t="s">
        <v>124</v>
      </c>
      <c r="S861" t="b">
        <v>0</v>
      </c>
      <c r="T861" t="s">
        <v>124</v>
      </c>
    </row>
    <row r="862">
      <c r="A862" t="s">
        <v>1908</v>
      </c>
      <c r="B862" t="s">
        <v>1901</v>
      </c>
      <c r="C862" s="2">
        <v>2024</v>
      </c>
      <c r="D862" s="10">
        <v>4</v>
      </c>
      <c r="E862" s="10">
        <v>30</v>
      </c>
      <c r="F862" t="s">
        <v>231</v>
      </c>
      <c r="G862">
        <v>7.5899999999999999</v>
      </c>
      <c r="H862" t="s">
        <v>206</v>
      </c>
      <c r="I862" t="s">
        <v>254</v>
      </c>
      <c r="J862" s="10" t="str">
        <f>VLOOKUP(I862,Categories!A:B,2,FALSE)</f>
        <v xml:space="preserve">Modified Bal.</v>
      </c>
      <c r="K862" t="s">
        <v>123</v>
      </c>
      <c r="L862" s="10" t="str">
        <f>VLOOKUP(K862,Accounts!A:B,2,FALSE)</f>
        <v>KBank</v>
      </c>
      <c r="M862" t="s">
        <v>124</v>
      </c>
      <c r="N862" s="10"/>
      <c r="O862" t="s">
        <v>255</v>
      </c>
      <c r="Q862" t="s">
        <v>126</v>
      </c>
      <c r="R862" t="s">
        <v>124</v>
      </c>
      <c r="S862" t="b">
        <v>0</v>
      </c>
      <c r="T862" t="s">
        <v>124</v>
      </c>
    </row>
    <row r="863">
      <c r="A863" t="s">
        <v>1909</v>
      </c>
      <c r="B863" t="s">
        <v>1901</v>
      </c>
      <c r="C863" s="2">
        <v>2024</v>
      </c>
      <c r="D863" s="10">
        <v>4</v>
      </c>
      <c r="E863" s="10">
        <v>30</v>
      </c>
      <c r="F863" t="s">
        <v>1910</v>
      </c>
      <c r="G863">
        <v>669</v>
      </c>
      <c r="H863" t="s">
        <v>69</v>
      </c>
      <c r="I863" t="s">
        <v>141</v>
      </c>
      <c r="J863" s="10" t="str">
        <f>VLOOKUP(I863,Categories!A:B,2,FALSE)</f>
        <v>Other</v>
      </c>
      <c r="K863" t="s">
        <v>1760</v>
      </c>
      <c r="L863" s="10" t="str">
        <f>VLOOKUP(K863,Accounts!A:B,2,FALSE)</f>
        <v xml:space="preserve">Kbank shopee</v>
      </c>
      <c r="M863" t="s">
        <v>124</v>
      </c>
      <c r="N863" s="10"/>
      <c r="O863" t="s">
        <v>1911</v>
      </c>
      <c r="Q863" t="s">
        <v>126</v>
      </c>
      <c r="R863" t="s">
        <v>124</v>
      </c>
      <c r="S863" t="b">
        <v>0</v>
      </c>
      <c r="T863" t="s">
        <v>124</v>
      </c>
    </row>
    <row r="864">
      <c r="A864" t="s">
        <v>1912</v>
      </c>
      <c r="B864" t="s">
        <v>1901</v>
      </c>
      <c r="C864" s="2">
        <v>2024</v>
      </c>
      <c r="D864" s="10">
        <v>4</v>
      </c>
      <c r="E864" s="10">
        <v>30</v>
      </c>
      <c r="F864" t="s">
        <v>1913</v>
      </c>
      <c r="G864">
        <v>661</v>
      </c>
      <c r="H864" t="s">
        <v>69</v>
      </c>
      <c r="I864" t="s">
        <v>160</v>
      </c>
      <c r="J864" s="10" t="str">
        <f>VLOOKUP(I864,Categories!A:B,2,FALSE)</f>
        <v>Fashion</v>
      </c>
      <c r="K864" t="s">
        <v>1760</v>
      </c>
      <c r="L864" s="10" t="str">
        <f>VLOOKUP(K864,Accounts!A:B,2,FALSE)</f>
        <v xml:space="preserve">Kbank shopee</v>
      </c>
      <c r="M864" t="s">
        <v>124</v>
      </c>
      <c r="N864" s="10"/>
      <c r="O864" t="s">
        <v>125</v>
      </c>
      <c r="Q864" t="s">
        <v>126</v>
      </c>
      <c r="R864" t="s">
        <v>124</v>
      </c>
      <c r="S864" t="b">
        <v>0</v>
      </c>
      <c r="T864" t="s">
        <v>124</v>
      </c>
    </row>
    <row r="865">
      <c r="A865" t="s">
        <v>1914</v>
      </c>
      <c r="B865" t="s">
        <v>1901</v>
      </c>
      <c r="C865" s="2">
        <v>2024</v>
      </c>
      <c r="D865" s="10">
        <v>4</v>
      </c>
      <c r="E865" s="10">
        <v>30</v>
      </c>
      <c r="F865" t="s">
        <v>1294</v>
      </c>
      <c r="G865">
        <v>1069</v>
      </c>
      <c r="H865" t="s">
        <v>69</v>
      </c>
      <c r="I865" t="s">
        <v>614</v>
      </c>
      <c r="J865" s="10" t="str">
        <f>VLOOKUP(I865,Categories!A:B,2,FALSE)</f>
        <v>Books</v>
      </c>
      <c r="K865" t="s">
        <v>1760</v>
      </c>
      <c r="L865" s="10" t="str">
        <f>VLOOKUP(K865,Accounts!A:B,2,FALSE)</f>
        <v xml:space="preserve">Kbank shopee</v>
      </c>
      <c r="M865" t="s">
        <v>124</v>
      </c>
      <c r="N865" s="10"/>
      <c r="O865" t="s">
        <v>125</v>
      </c>
      <c r="Q865" t="s">
        <v>126</v>
      </c>
      <c r="R865" t="s">
        <v>124</v>
      </c>
      <c r="S865" t="b">
        <v>0</v>
      </c>
      <c r="T865" t="s">
        <v>124</v>
      </c>
    </row>
    <row r="866">
      <c r="A866" t="s">
        <v>1915</v>
      </c>
      <c r="B866" t="s">
        <v>1901</v>
      </c>
      <c r="C866" s="2">
        <v>2024</v>
      </c>
      <c r="D866" s="10">
        <v>4</v>
      </c>
      <c r="E866" s="10">
        <v>30</v>
      </c>
      <c r="F866" t="s">
        <v>1299</v>
      </c>
      <c r="G866">
        <v>540</v>
      </c>
      <c r="H866" t="s">
        <v>69</v>
      </c>
      <c r="I866" t="s">
        <v>152</v>
      </c>
      <c r="J866" s="10" t="str">
        <f>VLOOKUP(I866,Categories!A:B,2,FALSE)</f>
        <v xml:space="preserve">Office Suit</v>
      </c>
      <c r="K866" t="s">
        <v>1760</v>
      </c>
      <c r="L866" s="10" t="str">
        <f>VLOOKUP(K866,Accounts!A:B,2,FALSE)</f>
        <v xml:space="preserve">Kbank shopee</v>
      </c>
      <c r="M866" t="s">
        <v>124</v>
      </c>
      <c r="N866" s="10"/>
      <c r="O866" t="s">
        <v>1916</v>
      </c>
      <c r="Q866" t="s">
        <v>126</v>
      </c>
      <c r="R866" t="s">
        <v>124</v>
      </c>
      <c r="S866" t="b">
        <v>0</v>
      </c>
      <c r="T866" t="s">
        <v>124</v>
      </c>
    </row>
    <row r="867">
      <c r="A867" t="s">
        <v>1917</v>
      </c>
      <c r="B867" t="s">
        <v>1901</v>
      </c>
      <c r="C867" s="2">
        <v>2024</v>
      </c>
      <c r="D867" s="10">
        <v>4</v>
      </c>
      <c r="E867" s="10">
        <v>30</v>
      </c>
      <c r="F867" t="s">
        <v>1420</v>
      </c>
      <c r="G867">
        <v>1319</v>
      </c>
      <c r="H867" t="s">
        <v>69</v>
      </c>
      <c r="I867" t="s">
        <v>150</v>
      </c>
      <c r="J867" s="10" t="str">
        <f>VLOOKUP(I867,Categories!A:B,2,FALSE)</f>
        <v xml:space="preserve">Food &amp; Coff</v>
      </c>
      <c r="K867" t="s">
        <v>1760</v>
      </c>
      <c r="L867" s="10" t="str">
        <f>VLOOKUP(K867,Accounts!A:B,2,FALSE)</f>
        <v xml:space="preserve">Kbank shopee</v>
      </c>
      <c r="M867" t="s">
        <v>124</v>
      </c>
      <c r="N867" s="10"/>
      <c r="O867" t="s">
        <v>125</v>
      </c>
      <c r="Q867" t="s">
        <v>126</v>
      </c>
      <c r="R867" t="s">
        <v>124</v>
      </c>
      <c r="S867" t="b">
        <v>0</v>
      </c>
      <c r="T867" t="s">
        <v>124</v>
      </c>
    </row>
    <row r="868">
      <c r="A868" t="s">
        <v>1918</v>
      </c>
      <c r="B868" t="s">
        <v>1901</v>
      </c>
      <c r="C868" s="2">
        <v>2024</v>
      </c>
      <c r="D868" s="10">
        <v>4</v>
      </c>
      <c r="E868" s="10">
        <v>30</v>
      </c>
      <c r="F868" t="s">
        <v>234</v>
      </c>
      <c r="G868">
        <v>20000</v>
      </c>
      <c r="H868" t="s">
        <v>128</v>
      </c>
      <c r="I868" t="s">
        <v>136</v>
      </c>
      <c r="J868" s="10" t="str">
        <f>VLOOKUP(I868,Categories!A:B,2,FALSE)</f>
        <v>อื่นๆ</v>
      </c>
      <c r="K868" t="s">
        <v>178</v>
      </c>
      <c r="L868" s="10" t="str">
        <f>VLOOKUP(K868,Accounts!A:B,2,FALSE)</f>
        <v>SCB</v>
      </c>
      <c r="M868" t="s">
        <v>123</v>
      </c>
      <c r="N868" s="10" t="str">
        <f>VLOOKUP(M868,Accounts!A:B,2,FALSE)</f>
        <v>KBank</v>
      </c>
      <c r="O868" t="s">
        <v>125</v>
      </c>
      <c r="Q868" t="s">
        <v>126</v>
      </c>
      <c r="R868" t="s">
        <v>124</v>
      </c>
      <c r="S868" t="b">
        <v>0</v>
      </c>
      <c r="T868" t="s">
        <v>124</v>
      </c>
    </row>
    <row r="869">
      <c r="A869" t="s">
        <v>1919</v>
      </c>
      <c r="B869" t="s">
        <v>1901</v>
      </c>
      <c r="C869" s="2">
        <v>2024</v>
      </c>
      <c r="D869" s="10">
        <v>4</v>
      </c>
      <c r="E869" s="10">
        <v>30</v>
      </c>
      <c r="F869" t="s">
        <v>1920</v>
      </c>
      <c r="G869">
        <v>3928</v>
      </c>
      <c r="H869" t="s">
        <v>69</v>
      </c>
      <c r="I869" t="s">
        <v>150</v>
      </c>
      <c r="J869" s="10" t="str">
        <f>VLOOKUP(I869,Categories!A:B,2,FALSE)</f>
        <v xml:space="preserve">Food &amp; Coff</v>
      </c>
      <c r="K869" t="s">
        <v>137</v>
      </c>
      <c r="L869" s="10" t="str">
        <f>VLOOKUP(K869,Accounts!A:B,2,FALSE)</f>
        <v xml:space="preserve">Make Kbank</v>
      </c>
      <c r="M869" t="s">
        <v>124</v>
      </c>
      <c r="N869" s="10"/>
      <c r="O869" t="s">
        <v>125</v>
      </c>
      <c r="Q869" t="s">
        <v>126</v>
      </c>
      <c r="R869" t="s">
        <v>124</v>
      </c>
      <c r="S869" t="b">
        <v>0</v>
      </c>
      <c r="T869" t="s">
        <v>124</v>
      </c>
    </row>
    <row r="870">
      <c r="A870" t="s">
        <v>1921</v>
      </c>
      <c r="B870" t="s">
        <v>1901</v>
      </c>
      <c r="C870" s="2">
        <v>2024</v>
      </c>
      <c r="D870" s="10">
        <v>4</v>
      </c>
      <c r="E870" s="10">
        <v>30</v>
      </c>
      <c r="F870" t="s">
        <v>1922</v>
      </c>
      <c r="G870">
        <v>1046.01</v>
      </c>
      <c r="H870" t="s">
        <v>206</v>
      </c>
      <c r="I870" t="s">
        <v>254</v>
      </c>
      <c r="J870" s="10" t="str">
        <f>VLOOKUP(I870,Categories!A:B,2,FALSE)</f>
        <v xml:space="preserve">Modified Bal.</v>
      </c>
      <c r="K870" t="s">
        <v>137</v>
      </c>
      <c r="L870" s="10" t="str">
        <f>VLOOKUP(K870,Accounts!A:B,2,FALSE)</f>
        <v xml:space="preserve">Make Kbank</v>
      </c>
      <c r="M870" t="s">
        <v>124</v>
      </c>
      <c r="N870" s="10"/>
      <c r="O870" t="s">
        <v>255</v>
      </c>
      <c r="Q870" t="s">
        <v>126</v>
      </c>
      <c r="R870" t="s">
        <v>124</v>
      </c>
      <c r="S870" t="b">
        <v>0</v>
      </c>
      <c r="T870" t="s">
        <v>124</v>
      </c>
    </row>
    <row r="871">
      <c r="A871" t="s">
        <v>1923</v>
      </c>
      <c r="B871" t="s">
        <v>1924</v>
      </c>
      <c r="C871" s="2">
        <v>2024</v>
      </c>
      <c r="D871" s="10">
        <v>4</v>
      </c>
      <c r="E871" s="10">
        <v>29</v>
      </c>
      <c r="F871" t="s">
        <v>1925</v>
      </c>
      <c r="G871">
        <v>7291.4200000000001</v>
      </c>
      <c r="H871" t="s">
        <v>69</v>
      </c>
      <c r="I871" t="s">
        <v>139</v>
      </c>
      <c r="J871" s="10" t="str">
        <f>VLOOKUP(I871,Categories!A:B,2,FALSE)</f>
        <v>Condo</v>
      </c>
      <c r="K871" t="s">
        <v>123</v>
      </c>
      <c r="L871" s="10" t="str">
        <f>VLOOKUP(K871,Accounts!A:B,2,FALSE)</f>
        <v>KBank</v>
      </c>
      <c r="M871" t="s">
        <v>124</v>
      </c>
      <c r="N871" s="10"/>
      <c r="O871" t="s">
        <v>125</v>
      </c>
      <c r="Q871" t="s">
        <v>126</v>
      </c>
      <c r="R871" t="s">
        <v>124</v>
      </c>
      <c r="S871" t="b">
        <v>0</v>
      </c>
      <c r="T871" t="s">
        <v>124</v>
      </c>
    </row>
    <row r="872">
      <c r="A872" t="s">
        <v>1926</v>
      </c>
      <c r="B872" t="s">
        <v>1924</v>
      </c>
      <c r="C872" s="2">
        <v>2024</v>
      </c>
      <c r="D872" s="10">
        <v>4</v>
      </c>
      <c r="E872" s="10">
        <v>29</v>
      </c>
      <c r="F872" t="s">
        <v>253</v>
      </c>
      <c r="G872">
        <v>300</v>
      </c>
      <c r="H872" t="s">
        <v>69</v>
      </c>
      <c r="I872" t="s">
        <v>160</v>
      </c>
      <c r="J872" s="10" t="str">
        <f>VLOOKUP(I872,Categories!A:B,2,FALSE)</f>
        <v>Fashion</v>
      </c>
      <c r="K872" t="s">
        <v>123</v>
      </c>
      <c r="L872" s="10" t="str">
        <f>VLOOKUP(K872,Accounts!A:B,2,FALSE)</f>
        <v>KBank</v>
      </c>
      <c r="M872" t="s">
        <v>124</v>
      </c>
      <c r="N872" s="10"/>
      <c r="O872" t="s">
        <v>125</v>
      </c>
      <c r="Q872" t="s">
        <v>126</v>
      </c>
      <c r="R872" t="s">
        <v>124</v>
      </c>
      <c r="S872" t="b">
        <v>0</v>
      </c>
      <c r="T872" t="s">
        <v>124</v>
      </c>
    </row>
    <row r="873">
      <c r="A873" t="s">
        <v>1927</v>
      </c>
      <c r="B873" t="s">
        <v>1928</v>
      </c>
      <c r="C873" s="2">
        <v>2024</v>
      </c>
      <c r="D873" s="10">
        <v>4</v>
      </c>
      <c r="E873" s="10">
        <v>28</v>
      </c>
      <c r="F873" t="s">
        <v>1929</v>
      </c>
      <c r="G873">
        <v>37</v>
      </c>
      <c r="H873" t="s">
        <v>128</v>
      </c>
      <c r="I873" t="s">
        <v>136</v>
      </c>
      <c r="J873" s="10" t="str">
        <f>VLOOKUP(I873,Categories!A:B,2,FALSE)</f>
        <v>อื่นๆ</v>
      </c>
      <c r="K873" t="s">
        <v>425</v>
      </c>
      <c r="L873" s="10" t="str">
        <f>VLOOKUP(K873,Accounts!A:B,2,FALSE)</f>
        <v>Cash</v>
      </c>
      <c r="M873" t="s">
        <v>178</v>
      </c>
      <c r="N873" s="10" t="str">
        <f>VLOOKUP(M873,Accounts!A:B,2,FALSE)</f>
        <v>SCB</v>
      </c>
      <c r="O873" t="s">
        <v>125</v>
      </c>
      <c r="Q873" t="s">
        <v>126</v>
      </c>
      <c r="R873" t="s">
        <v>124</v>
      </c>
      <c r="S873" t="b">
        <v>0</v>
      </c>
      <c r="T873" t="s">
        <v>124</v>
      </c>
    </row>
    <row r="874">
      <c r="A874" t="s">
        <v>1930</v>
      </c>
      <c r="B874" t="s">
        <v>1928</v>
      </c>
      <c r="C874" s="2">
        <v>2024</v>
      </c>
      <c r="D874" s="10">
        <v>4</v>
      </c>
      <c r="E874" s="10">
        <v>28</v>
      </c>
      <c r="F874" t="s">
        <v>1931</v>
      </c>
      <c r="G874">
        <v>1090</v>
      </c>
      <c r="H874" t="s">
        <v>128</v>
      </c>
      <c r="I874" t="s">
        <v>136</v>
      </c>
      <c r="J874" s="10" t="str">
        <f>VLOOKUP(I874,Categories!A:B,2,FALSE)</f>
        <v>อื่นๆ</v>
      </c>
      <c r="K874" t="s">
        <v>123</v>
      </c>
      <c r="L874" s="10" t="str">
        <f>VLOOKUP(K874,Accounts!A:B,2,FALSE)</f>
        <v>KBank</v>
      </c>
      <c r="M874" t="s">
        <v>131</v>
      </c>
      <c r="N874" s="10" t="str">
        <f>VLOOKUP(M874,Accounts!A:B,2,FALSE)</f>
        <v xml:space="preserve">Advance Paid</v>
      </c>
      <c r="O874" t="s">
        <v>1932</v>
      </c>
      <c r="Q874" t="s">
        <v>126</v>
      </c>
      <c r="R874" t="s">
        <v>124</v>
      </c>
      <c r="S874" t="b">
        <v>0</v>
      </c>
      <c r="T874" t="s">
        <v>124</v>
      </c>
    </row>
    <row r="875">
      <c r="A875" t="s">
        <v>1933</v>
      </c>
      <c r="B875" t="s">
        <v>1934</v>
      </c>
      <c r="C875" s="2">
        <v>2024</v>
      </c>
      <c r="D875" s="10">
        <v>4</v>
      </c>
      <c r="E875" s="10">
        <v>26</v>
      </c>
      <c r="F875" t="s">
        <v>1935</v>
      </c>
      <c r="G875">
        <v>335</v>
      </c>
      <c r="H875" t="s">
        <v>69</v>
      </c>
      <c r="I875" t="s">
        <v>259</v>
      </c>
      <c r="J875" s="10" t="str">
        <f>VLOOKUP(I875,Categories!A:B,2,FALSE)</f>
        <v xml:space="preserve">Team BOT</v>
      </c>
      <c r="K875" t="s">
        <v>123</v>
      </c>
      <c r="L875" s="10" t="str">
        <f>VLOOKUP(K875,Accounts!A:B,2,FALSE)</f>
        <v>KBank</v>
      </c>
      <c r="M875" t="s">
        <v>124</v>
      </c>
      <c r="N875" s="10"/>
      <c r="O875" t="s">
        <v>125</v>
      </c>
      <c r="Q875" t="s">
        <v>126</v>
      </c>
      <c r="R875" t="s">
        <v>124</v>
      </c>
      <c r="S875" t="b">
        <v>0</v>
      </c>
      <c r="T875" t="s">
        <v>124</v>
      </c>
    </row>
    <row r="876">
      <c r="A876" t="s">
        <v>1936</v>
      </c>
      <c r="B876" t="s">
        <v>1937</v>
      </c>
      <c r="C876" s="2">
        <v>2024</v>
      </c>
      <c r="D876" s="10">
        <v>4</v>
      </c>
      <c r="E876" s="10">
        <v>25</v>
      </c>
      <c r="F876" t="s">
        <v>121</v>
      </c>
      <c r="G876">
        <v>358.73000000000002</v>
      </c>
      <c r="H876" t="s">
        <v>69</v>
      </c>
      <c r="I876" t="s">
        <v>443</v>
      </c>
      <c r="J876" s="10" t="str">
        <f>VLOOKUP(I876,Categories!A:B,2,FALSE)</f>
        <v xml:space="preserve">City SV Interest</v>
      </c>
      <c r="K876" t="s">
        <v>178</v>
      </c>
      <c r="L876" s="10" t="str">
        <f>VLOOKUP(K876,Accounts!A:B,2,FALSE)</f>
        <v>SCB</v>
      </c>
      <c r="M876" t="s">
        <v>124</v>
      </c>
      <c r="N876" s="10"/>
      <c r="O876" t="s">
        <v>125</v>
      </c>
      <c r="Q876" t="s">
        <v>126</v>
      </c>
      <c r="R876" t="s">
        <v>124</v>
      </c>
      <c r="S876" t="b">
        <v>0</v>
      </c>
      <c r="T876" t="s">
        <v>124</v>
      </c>
    </row>
    <row r="877">
      <c r="A877" t="s">
        <v>1938</v>
      </c>
      <c r="B877" t="s">
        <v>1937</v>
      </c>
      <c r="C877" s="2">
        <v>2024</v>
      </c>
      <c r="D877" s="10">
        <v>4</v>
      </c>
      <c r="E877" s="10">
        <v>25</v>
      </c>
      <c r="F877" t="s">
        <v>121</v>
      </c>
      <c r="G877">
        <v>3430.6900000000001</v>
      </c>
      <c r="H877" t="s">
        <v>69</v>
      </c>
      <c r="I877" t="s">
        <v>199</v>
      </c>
      <c r="J877" s="10" t="str">
        <f>VLOOKUP(I877,Categories!A:B,2,FALSE)</f>
        <v xml:space="preserve">Home Chomthong Interest</v>
      </c>
      <c r="K877" t="s">
        <v>178</v>
      </c>
      <c r="L877" s="10" t="str">
        <f>VLOOKUP(K877,Accounts!A:B,2,FALSE)</f>
        <v>SCB</v>
      </c>
      <c r="M877" t="s">
        <v>124</v>
      </c>
      <c r="N877" s="10"/>
      <c r="O877" t="s">
        <v>125</v>
      </c>
      <c r="Q877" t="s">
        <v>126</v>
      </c>
      <c r="R877" t="s">
        <v>124</v>
      </c>
      <c r="S877" t="b">
        <v>0</v>
      </c>
      <c r="T877" t="s">
        <v>124</v>
      </c>
    </row>
    <row r="878">
      <c r="A878" t="s">
        <v>1939</v>
      </c>
      <c r="B878" t="s">
        <v>1937</v>
      </c>
      <c r="C878" s="2">
        <v>2024</v>
      </c>
      <c r="D878" s="10">
        <v>4</v>
      </c>
      <c r="E878" s="10">
        <v>25</v>
      </c>
      <c r="F878" t="s">
        <v>121</v>
      </c>
      <c r="G878">
        <v>1572.1800000000001</v>
      </c>
      <c r="H878" t="s">
        <v>69</v>
      </c>
      <c r="I878" t="s">
        <v>195</v>
      </c>
      <c r="J878" s="10" t="str">
        <f>VLOOKUP(I878,Categories!A:B,2,FALSE)</f>
        <v>Tax</v>
      </c>
      <c r="K878" t="s">
        <v>178</v>
      </c>
      <c r="L878" s="10" t="str">
        <f>VLOOKUP(K878,Accounts!A:B,2,FALSE)</f>
        <v>SCB</v>
      </c>
      <c r="M878" t="s">
        <v>124</v>
      </c>
      <c r="N878" s="10"/>
      <c r="O878" t="s">
        <v>125</v>
      </c>
      <c r="Q878" t="s">
        <v>126</v>
      </c>
      <c r="R878" t="s">
        <v>124</v>
      </c>
      <c r="S878" t="b">
        <v>0</v>
      </c>
      <c r="T878" t="s">
        <v>124</v>
      </c>
    </row>
    <row r="879">
      <c r="A879" t="s">
        <v>1940</v>
      </c>
      <c r="B879" t="s">
        <v>1937</v>
      </c>
      <c r="C879" s="2">
        <v>2024</v>
      </c>
      <c r="D879" s="10">
        <v>4</v>
      </c>
      <c r="E879" s="10">
        <v>25</v>
      </c>
      <c r="F879" t="s">
        <v>121</v>
      </c>
      <c r="G879">
        <v>2488.5999999999999</v>
      </c>
      <c r="H879" t="s">
        <v>128</v>
      </c>
      <c r="I879" t="s">
        <v>136</v>
      </c>
      <c r="J879" s="10" t="str">
        <f>VLOOKUP(I879,Categories!A:B,2,FALSE)</f>
        <v>อื่นๆ</v>
      </c>
      <c r="K879" t="s">
        <v>178</v>
      </c>
      <c r="L879" s="10" t="str">
        <f>VLOOKUP(K879,Accounts!A:B,2,FALSE)</f>
        <v>SCB</v>
      </c>
      <c r="M879" t="s">
        <v>203</v>
      </c>
      <c r="N879" s="10" t="str">
        <f>VLOOKUP(M879,Accounts!A:B,2,FALSE)</f>
        <v xml:space="preserve">Provident Fund</v>
      </c>
      <c r="O879" t="s">
        <v>125</v>
      </c>
      <c r="Q879" t="s">
        <v>126</v>
      </c>
      <c r="R879" t="s">
        <v>124</v>
      </c>
      <c r="S879" t="b">
        <v>0</v>
      </c>
      <c r="T879" t="s">
        <v>124</v>
      </c>
    </row>
    <row r="880">
      <c r="A880" t="s">
        <v>1941</v>
      </c>
      <c r="B880" t="s">
        <v>1937</v>
      </c>
      <c r="C880" s="2">
        <v>2024</v>
      </c>
      <c r="D880" s="10">
        <v>4</v>
      </c>
      <c r="E880" s="10">
        <v>25</v>
      </c>
      <c r="F880" t="s">
        <v>121</v>
      </c>
      <c r="G880">
        <v>9240</v>
      </c>
      <c r="H880" t="s">
        <v>128</v>
      </c>
      <c r="I880" t="s">
        <v>136</v>
      </c>
      <c r="J880" s="10" t="str">
        <f>VLOOKUP(I880,Categories!A:B,2,FALSE)</f>
        <v>อื่นๆ</v>
      </c>
      <c r="K880" t="s">
        <v>178</v>
      </c>
      <c r="L880" s="10" t="str">
        <f>VLOOKUP(K880,Accounts!A:B,2,FALSE)</f>
        <v>SCB</v>
      </c>
      <c r="M880" t="s">
        <v>1246</v>
      </c>
      <c r="N880" s="10" t="str">
        <f>VLOOKUP(M880,Accounts!A:B,2,FALSE)</f>
        <v xml:space="preserve">Car Loan</v>
      </c>
      <c r="O880" t="s">
        <v>125</v>
      </c>
      <c r="Q880" t="s">
        <v>126</v>
      </c>
      <c r="R880" t="s">
        <v>124</v>
      </c>
      <c r="S880" t="b">
        <v>0</v>
      </c>
      <c r="T880" t="s">
        <v>124</v>
      </c>
    </row>
    <row r="881">
      <c r="A881" t="s">
        <v>1942</v>
      </c>
      <c r="B881" t="s">
        <v>1937</v>
      </c>
      <c r="C881" s="2">
        <v>2024</v>
      </c>
      <c r="D881" s="10">
        <v>4</v>
      </c>
      <c r="E881" s="10">
        <v>25</v>
      </c>
      <c r="F881" t="s">
        <v>121</v>
      </c>
      <c r="G881">
        <v>500</v>
      </c>
      <c r="H881" t="s">
        <v>128</v>
      </c>
      <c r="I881" t="s">
        <v>136</v>
      </c>
      <c r="J881" s="10" t="str">
        <f>VLOOKUP(I881,Categories!A:B,2,FALSE)</f>
        <v>อื่นๆ</v>
      </c>
      <c r="K881" t="s">
        <v>178</v>
      </c>
      <c r="L881" s="10" t="str">
        <f>VLOOKUP(K881,Accounts!A:B,2,FALSE)</f>
        <v>SCB</v>
      </c>
      <c r="M881" t="s">
        <v>201</v>
      </c>
      <c r="N881" s="10" t="str">
        <f>VLOOKUP(M881,Accounts!A:B,2,FALSE)</f>
        <v>Coop</v>
      </c>
      <c r="O881" t="s">
        <v>125</v>
      </c>
      <c r="Q881" t="s">
        <v>126</v>
      </c>
      <c r="R881" t="s">
        <v>124</v>
      </c>
      <c r="S881" t="b">
        <v>0</v>
      </c>
      <c r="T881" t="s">
        <v>124</v>
      </c>
    </row>
    <row r="882">
      <c r="A882" t="s">
        <v>1943</v>
      </c>
      <c r="B882" t="s">
        <v>1937</v>
      </c>
      <c r="C882" s="2">
        <v>2024</v>
      </c>
      <c r="D882" s="10">
        <v>4</v>
      </c>
      <c r="E882" s="10">
        <v>25</v>
      </c>
      <c r="F882" t="s">
        <v>121</v>
      </c>
      <c r="G882">
        <v>8540</v>
      </c>
      <c r="H882" t="s">
        <v>128</v>
      </c>
      <c r="I882" t="s">
        <v>136</v>
      </c>
      <c r="J882" s="10" t="str">
        <f>VLOOKUP(I882,Categories!A:B,2,FALSE)</f>
        <v>อื่นๆ</v>
      </c>
      <c r="K882" t="s">
        <v>178</v>
      </c>
      <c r="L882" s="10" t="str">
        <f>VLOOKUP(K882,Accounts!A:B,2,FALSE)</f>
        <v>SCB</v>
      </c>
      <c r="M882" t="s">
        <v>1244</v>
      </c>
      <c r="N882" s="10" t="str">
        <f>VLOOKUP(M882,Accounts!A:B,2,FALSE)</f>
        <v xml:space="preserve">Home chomthong Loan</v>
      </c>
      <c r="O882" t="s">
        <v>125</v>
      </c>
      <c r="Q882" t="s">
        <v>126</v>
      </c>
      <c r="R882" t="s">
        <v>124</v>
      </c>
      <c r="S882" t="b">
        <v>0</v>
      </c>
      <c r="T882" t="s">
        <v>124</v>
      </c>
    </row>
    <row r="883">
      <c r="A883" t="s">
        <v>1944</v>
      </c>
      <c r="B883" t="s">
        <v>1937</v>
      </c>
      <c r="C883" s="2">
        <v>2024</v>
      </c>
      <c r="D883" s="10">
        <v>4</v>
      </c>
      <c r="E883" s="10">
        <v>25</v>
      </c>
      <c r="F883" t="s">
        <v>121</v>
      </c>
      <c r="G883">
        <v>124430</v>
      </c>
      <c r="H883" t="s">
        <v>206</v>
      </c>
      <c r="I883" t="s">
        <v>207</v>
      </c>
      <c r="J883" s="10" t="str">
        <f>VLOOKUP(I883,Categories!A:B,2,FALSE)</f>
        <v>Salary</v>
      </c>
      <c r="K883" t="s">
        <v>178</v>
      </c>
      <c r="L883" s="10" t="str">
        <f>VLOOKUP(K883,Accounts!A:B,2,FALSE)</f>
        <v>SCB</v>
      </c>
      <c r="M883" t="s">
        <v>124</v>
      </c>
      <c r="N883" s="10"/>
      <c r="O883" t="s">
        <v>125</v>
      </c>
      <c r="Q883" t="s">
        <v>126</v>
      </c>
      <c r="R883" t="s">
        <v>124</v>
      </c>
      <c r="S883" t="b">
        <v>0</v>
      </c>
      <c r="T883" t="s">
        <v>124</v>
      </c>
    </row>
    <row r="884">
      <c r="A884" t="s">
        <v>1945</v>
      </c>
      <c r="B884" t="s">
        <v>1937</v>
      </c>
      <c r="C884" s="2">
        <v>2024</v>
      </c>
      <c r="D884" s="10">
        <v>4</v>
      </c>
      <c r="E884" s="10">
        <v>25</v>
      </c>
      <c r="F884" t="s">
        <v>888</v>
      </c>
      <c r="G884">
        <v>12133</v>
      </c>
      <c r="H884" t="s">
        <v>69</v>
      </c>
      <c r="I884" t="s">
        <v>144</v>
      </c>
      <c r="J884" s="10" t="str">
        <f>VLOOKUP(I884,Categories!A:B,2,FALSE)</f>
        <v xml:space="preserve">Family paid</v>
      </c>
      <c r="K884" t="s">
        <v>178</v>
      </c>
      <c r="L884" s="10" t="str">
        <f>VLOOKUP(K884,Accounts!A:B,2,FALSE)</f>
        <v>SCB</v>
      </c>
      <c r="M884" t="s">
        <v>124</v>
      </c>
      <c r="N884" s="10"/>
      <c r="O884" t="s">
        <v>125</v>
      </c>
      <c r="Q884" t="s">
        <v>126</v>
      </c>
      <c r="R884" t="s">
        <v>124</v>
      </c>
      <c r="S884" t="b">
        <v>0</v>
      </c>
      <c r="T884" t="s">
        <v>124</v>
      </c>
    </row>
    <row r="885">
      <c r="A885" t="s">
        <v>1946</v>
      </c>
      <c r="B885" t="s">
        <v>1937</v>
      </c>
      <c r="C885" s="2">
        <v>2024</v>
      </c>
      <c r="D885" s="10">
        <v>4</v>
      </c>
      <c r="E885" s="10">
        <v>25</v>
      </c>
      <c r="F885" t="s">
        <v>1947</v>
      </c>
      <c r="G885">
        <v>4158</v>
      </c>
      <c r="H885" t="s">
        <v>128</v>
      </c>
      <c r="I885" t="s">
        <v>136</v>
      </c>
      <c r="J885" s="10" t="str">
        <f>VLOOKUP(I885,Categories!A:B,2,FALSE)</f>
        <v>อื่นๆ</v>
      </c>
      <c r="K885" t="s">
        <v>123</v>
      </c>
      <c r="L885" s="10" t="str">
        <f>VLOOKUP(K885,Accounts!A:B,2,FALSE)</f>
        <v>KBank</v>
      </c>
      <c r="M885" t="s">
        <v>1421</v>
      </c>
      <c r="N885" s="10" t="str">
        <f>VLOOKUP(M885,Accounts!A:B,2,FALSE)</f>
        <v>Hong</v>
      </c>
      <c r="O885" t="s">
        <v>125</v>
      </c>
      <c r="Q885" t="s">
        <v>126</v>
      </c>
      <c r="R885" t="s">
        <v>124</v>
      </c>
      <c r="S885" t="b">
        <v>0</v>
      </c>
      <c r="T885" t="s">
        <v>124</v>
      </c>
    </row>
    <row r="886">
      <c r="A886" t="s">
        <v>1948</v>
      </c>
      <c r="B886" t="s">
        <v>1937</v>
      </c>
      <c r="C886" s="2">
        <v>2024</v>
      </c>
      <c r="D886" s="10">
        <v>4</v>
      </c>
      <c r="E886" s="10">
        <v>25</v>
      </c>
      <c r="F886" t="s">
        <v>1929</v>
      </c>
      <c r="G886">
        <v>269</v>
      </c>
      <c r="H886" t="s">
        <v>69</v>
      </c>
      <c r="I886" t="s">
        <v>150</v>
      </c>
      <c r="J886" s="10" t="str">
        <f>VLOOKUP(I886,Categories!A:B,2,FALSE)</f>
        <v xml:space="preserve">Food &amp; Coff</v>
      </c>
      <c r="K886" t="s">
        <v>178</v>
      </c>
      <c r="L886" s="10" t="str">
        <f>VLOOKUP(K886,Accounts!A:B,2,FALSE)</f>
        <v>SCB</v>
      </c>
      <c r="M886" t="s">
        <v>124</v>
      </c>
      <c r="N886" s="10"/>
      <c r="O886" t="s">
        <v>125</v>
      </c>
      <c r="Q886" t="s">
        <v>126</v>
      </c>
      <c r="R886" t="s">
        <v>124</v>
      </c>
      <c r="S886" t="b">
        <v>0</v>
      </c>
      <c r="T886" t="s">
        <v>124</v>
      </c>
    </row>
    <row r="887">
      <c r="A887" t="s">
        <v>1949</v>
      </c>
      <c r="B887" t="s">
        <v>1950</v>
      </c>
      <c r="C887" s="2">
        <v>2024</v>
      </c>
      <c r="D887" s="10">
        <v>4</v>
      </c>
      <c r="E887" s="10">
        <v>24</v>
      </c>
      <c r="F887" t="s">
        <v>304</v>
      </c>
      <c r="G887">
        <v>250</v>
      </c>
      <c r="H887" t="s">
        <v>69</v>
      </c>
      <c r="I887" t="s">
        <v>150</v>
      </c>
      <c r="J887" s="10" t="str">
        <f>VLOOKUP(I887,Categories!A:B,2,FALSE)</f>
        <v xml:space="preserve">Food &amp; Coff</v>
      </c>
      <c r="K887" t="s">
        <v>123</v>
      </c>
      <c r="L887" s="10" t="str">
        <f>VLOOKUP(K887,Accounts!A:B,2,FALSE)</f>
        <v>KBank</v>
      </c>
      <c r="M887" t="s">
        <v>124</v>
      </c>
      <c r="N887" s="10"/>
      <c r="O887" t="s">
        <v>125</v>
      </c>
      <c r="Q887" t="s">
        <v>126</v>
      </c>
      <c r="R887" t="s">
        <v>124</v>
      </c>
      <c r="S887" t="b">
        <v>0</v>
      </c>
      <c r="T887" t="s">
        <v>124</v>
      </c>
    </row>
    <row r="888">
      <c r="A888" t="s">
        <v>1951</v>
      </c>
      <c r="B888" t="s">
        <v>1952</v>
      </c>
      <c r="C888" s="2">
        <v>2024</v>
      </c>
      <c r="D888" s="10">
        <v>4</v>
      </c>
      <c r="E888" s="10">
        <v>21</v>
      </c>
      <c r="F888" t="s">
        <v>461</v>
      </c>
      <c r="G888">
        <v>247</v>
      </c>
      <c r="H888" t="s">
        <v>128</v>
      </c>
      <c r="I888" t="s">
        <v>136</v>
      </c>
      <c r="J888" s="10" t="str">
        <f>VLOOKUP(I888,Categories!A:B,2,FALSE)</f>
        <v>อื่นๆ</v>
      </c>
      <c r="K888" t="s">
        <v>131</v>
      </c>
      <c r="L888" s="10" t="str">
        <f>VLOOKUP(K888,Accounts!A:B,2,FALSE)</f>
        <v xml:space="preserve">Advance Paid</v>
      </c>
      <c r="M888" t="s">
        <v>178</v>
      </c>
      <c r="N888" s="10" t="str">
        <f>VLOOKUP(M888,Accounts!A:B,2,FALSE)</f>
        <v>SCB</v>
      </c>
      <c r="O888" t="s">
        <v>125</v>
      </c>
      <c r="Q888" t="s">
        <v>126</v>
      </c>
      <c r="R888" t="s">
        <v>124</v>
      </c>
      <c r="S888" t="b">
        <v>0</v>
      </c>
      <c r="T888" t="s">
        <v>124</v>
      </c>
    </row>
    <row r="889">
      <c r="A889" t="s">
        <v>1953</v>
      </c>
      <c r="B889" t="s">
        <v>1952</v>
      </c>
      <c r="C889" s="2">
        <v>2024</v>
      </c>
      <c r="D889" s="10">
        <v>4</v>
      </c>
      <c r="E889" s="10">
        <v>21</v>
      </c>
      <c r="F889" t="s">
        <v>461</v>
      </c>
      <c r="G889">
        <v>409</v>
      </c>
      <c r="H889" t="s">
        <v>69</v>
      </c>
      <c r="I889" t="s">
        <v>169</v>
      </c>
      <c r="J889" s="10" t="str">
        <f>VLOOKUP(I889,Categories!A:B,2,FALSE)</f>
        <v xml:space="preserve">App &amp; Game</v>
      </c>
      <c r="K889" t="s">
        <v>131</v>
      </c>
      <c r="L889" s="10" t="str">
        <f>VLOOKUP(K889,Accounts!A:B,2,FALSE)</f>
        <v xml:space="preserve">Advance Paid</v>
      </c>
      <c r="M889" t="s">
        <v>124</v>
      </c>
      <c r="N889" s="10"/>
      <c r="O889" t="s">
        <v>125</v>
      </c>
      <c r="Q889" t="s">
        <v>126</v>
      </c>
      <c r="R889" t="s">
        <v>124</v>
      </c>
      <c r="S889" t="b">
        <v>0</v>
      </c>
      <c r="T889" t="s">
        <v>124</v>
      </c>
    </row>
    <row r="890">
      <c r="A890" t="s">
        <v>1954</v>
      </c>
      <c r="B890" t="s">
        <v>1952</v>
      </c>
      <c r="C890" s="2">
        <v>2024</v>
      </c>
      <c r="D890" s="10">
        <v>4</v>
      </c>
      <c r="E890" s="10">
        <v>21</v>
      </c>
      <c r="F890" t="s">
        <v>1955</v>
      </c>
      <c r="G890">
        <v>4158</v>
      </c>
      <c r="H890" t="s">
        <v>128</v>
      </c>
      <c r="I890" t="s">
        <v>136</v>
      </c>
      <c r="J890" s="10" t="str">
        <f>VLOOKUP(I890,Categories!A:B,2,FALSE)</f>
        <v>อื่นๆ</v>
      </c>
      <c r="K890" t="s">
        <v>178</v>
      </c>
      <c r="L890" s="10" t="str">
        <f>VLOOKUP(K890,Accounts!A:B,2,FALSE)</f>
        <v>SCB</v>
      </c>
      <c r="M890" t="s">
        <v>1421</v>
      </c>
      <c r="N890" s="10" t="str">
        <f>VLOOKUP(M890,Accounts!A:B,2,FALSE)</f>
        <v>Hong</v>
      </c>
      <c r="O890" t="s">
        <v>125</v>
      </c>
      <c r="Q890" t="s">
        <v>126</v>
      </c>
      <c r="R890" t="s">
        <v>124</v>
      </c>
      <c r="S890" t="b">
        <v>0</v>
      </c>
      <c r="T890" t="s">
        <v>124</v>
      </c>
    </row>
    <row r="891">
      <c r="A891" t="s">
        <v>1956</v>
      </c>
      <c r="B891" t="s">
        <v>1952</v>
      </c>
      <c r="C891" s="2">
        <v>2024</v>
      </c>
      <c r="D891" s="10">
        <v>4</v>
      </c>
      <c r="E891" s="10">
        <v>21</v>
      </c>
      <c r="F891" t="s">
        <v>1957</v>
      </c>
      <c r="G891">
        <v>558</v>
      </c>
      <c r="H891" t="s">
        <v>69</v>
      </c>
      <c r="I891" t="s">
        <v>169</v>
      </c>
      <c r="J891" s="10" t="str">
        <f>VLOOKUP(I891,Categories!A:B,2,FALSE)</f>
        <v xml:space="preserve">App &amp; Game</v>
      </c>
      <c r="K891" t="s">
        <v>178</v>
      </c>
      <c r="L891" s="10" t="str">
        <f>VLOOKUP(K891,Accounts!A:B,2,FALSE)</f>
        <v>SCB</v>
      </c>
      <c r="M891" t="s">
        <v>124</v>
      </c>
      <c r="N891" s="10"/>
      <c r="O891" t="s">
        <v>125</v>
      </c>
      <c r="Q891" t="s">
        <v>126</v>
      </c>
      <c r="R891" t="s">
        <v>124</v>
      </c>
      <c r="S891" t="b">
        <v>0</v>
      </c>
      <c r="T891" t="s">
        <v>124</v>
      </c>
    </row>
    <row r="892">
      <c r="A892" t="s">
        <v>1958</v>
      </c>
      <c r="B892" t="s">
        <v>1959</v>
      </c>
      <c r="C892" s="2">
        <v>2024</v>
      </c>
      <c r="D892" s="10">
        <v>4</v>
      </c>
      <c r="E892" s="10">
        <v>17</v>
      </c>
      <c r="F892" t="s">
        <v>1221</v>
      </c>
      <c r="G892">
        <v>2101</v>
      </c>
      <c r="H892" t="s">
        <v>69</v>
      </c>
      <c r="I892" t="s">
        <v>144</v>
      </c>
      <c r="J892" s="10" t="str">
        <f>VLOOKUP(I892,Categories!A:B,2,FALSE)</f>
        <v xml:space="preserve">Family paid</v>
      </c>
      <c r="K892" t="s">
        <v>178</v>
      </c>
      <c r="L892" s="10" t="str">
        <f>VLOOKUP(K892,Accounts!A:B,2,FALSE)</f>
        <v>SCB</v>
      </c>
      <c r="M892" t="s">
        <v>124</v>
      </c>
      <c r="N892" s="10"/>
      <c r="O892" t="s">
        <v>1960</v>
      </c>
      <c r="Q892" t="s">
        <v>126</v>
      </c>
      <c r="R892" t="s">
        <v>124</v>
      </c>
      <c r="S892" t="b">
        <v>0</v>
      </c>
      <c r="T892" t="s">
        <v>124</v>
      </c>
    </row>
    <row r="893">
      <c r="A893" t="s">
        <v>1961</v>
      </c>
      <c r="B893" t="s">
        <v>1962</v>
      </c>
      <c r="C893" s="2">
        <v>2024</v>
      </c>
      <c r="D893" s="10">
        <v>4</v>
      </c>
      <c r="E893" s="10">
        <v>16</v>
      </c>
      <c r="F893" t="s">
        <v>1963</v>
      </c>
      <c r="G893">
        <v>600</v>
      </c>
      <c r="H893" t="s">
        <v>128</v>
      </c>
      <c r="I893" t="s">
        <v>136</v>
      </c>
      <c r="J893" s="10" t="str">
        <f>VLOOKUP(I893,Categories!A:B,2,FALSE)</f>
        <v>อื่นๆ</v>
      </c>
      <c r="K893" t="s">
        <v>178</v>
      </c>
      <c r="L893" s="10" t="str">
        <f>VLOOKUP(K893,Accounts!A:B,2,FALSE)</f>
        <v>SCB</v>
      </c>
      <c r="M893" t="s">
        <v>131</v>
      </c>
      <c r="N893" s="10" t="str">
        <f>VLOOKUP(M893,Accounts!A:B,2,FALSE)</f>
        <v xml:space="preserve">Advance Paid</v>
      </c>
      <c r="O893" t="s">
        <v>1964</v>
      </c>
      <c r="Q893" t="s">
        <v>126</v>
      </c>
      <c r="R893" t="s">
        <v>124</v>
      </c>
      <c r="S893" t="b">
        <v>0</v>
      </c>
      <c r="T893" t="s">
        <v>124</v>
      </c>
    </row>
    <row r="894">
      <c r="A894" t="s">
        <v>1965</v>
      </c>
      <c r="B894" t="s">
        <v>1962</v>
      </c>
      <c r="C894" s="2">
        <v>2024</v>
      </c>
      <c r="D894" s="10">
        <v>4</v>
      </c>
      <c r="E894" s="10">
        <v>16</v>
      </c>
      <c r="F894" t="s">
        <v>1358</v>
      </c>
      <c r="G894">
        <v>1728</v>
      </c>
      <c r="H894" t="s">
        <v>128</v>
      </c>
      <c r="I894" t="s">
        <v>136</v>
      </c>
      <c r="J894" s="10" t="str">
        <f>VLOOKUP(I894,Categories!A:B,2,FALSE)</f>
        <v>อื่นๆ</v>
      </c>
      <c r="K894" t="s">
        <v>123</v>
      </c>
      <c r="L894" s="10" t="str">
        <f>VLOOKUP(K894,Accounts!A:B,2,FALSE)</f>
        <v>KBank</v>
      </c>
      <c r="M894" t="s">
        <v>178</v>
      </c>
      <c r="N894" s="10" t="str">
        <f>VLOOKUP(M894,Accounts!A:B,2,FALSE)</f>
        <v>SCB</v>
      </c>
      <c r="O894" t="s">
        <v>125</v>
      </c>
      <c r="Q894" t="s">
        <v>126</v>
      </c>
      <c r="R894" t="s">
        <v>124</v>
      </c>
      <c r="S894" t="b">
        <v>0</v>
      </c>
      <c r="T894" t="s">
        <v>124</v>
      </c>
    </row>
    <row r="895">
      <c r="A895" t="s">
        <v>1966</v>
      </c>
      <c r="B895" t="s">
        <v>1962</v>
      </c>
      <c r="C895" s="2">
        <v>2024</v>
      </c>
      <c r="D895" s="10">
        <v>4</v>
      </c>
      <c r="E895" s="10">
        <v>16</v>
      </c>
      <c r="F895" t="s">
        <v>533</v>
      </c>
      <c r="G895">
        <v>576</v>
      </c>
      <c r="H895" t="s">
        <v>69</v>
      </c>
      <c r="I895" t="s">
        <v>150</v>
      </c>
      <c r="J895" s="10" t="str">
        <f>VLOOKUP(I895,Categories!A:B,2,FALSE)</f>
        <v xml:space="preserve">Food &amp; Coff</v>
      </c>
      <c r="K895" t="s">
        <v>123</v>
      </c>
      <c r="L895" s="10" t="str">
        <f>VLOOKUP(K895,Accounts!A:B,2,FALSE)</f>
        <v>KBank</v>
      </c>
      <c r="M895" t="s">
        <v>124</v>
      </c>
      <c r="N895" s="10"/>
      <c r="O895" t="s">
        <v>125</v>
      </c>
      <c r="Q895" t="s">
        <v>126</v>
      </c>
      <c r="R895" t="s">
        <v>124</v>
      </c>
      <c r="S895" t="b">
        <v>0</v>
      </c>
      <c r="T895" t="s">
        <v>124</v>
      </c>
    </row>
    <row r="896">
      <c r="A896" t="s">
        <v>1967</v>
      </c>
      <c r="B896" t="s">
        <v>1962</v>
      </c>
      <c r="C896" s="2">
        <v>2024</v>
      </c>
      <c r="D896" s="10">
        <v>4</v>
      </c>
      <c r="E896" s="10">
        <v>16</v>
      </c>
      <c r="F896" t="s">
        <v>1968</v>
      </c>
      <c r="G896">
        <v>226</v>
      </c>
      <c r="H896" t="s">
        <v>128</v>
      </c>
      <c r="I896" t="s">
        <v>136</v>
      </c>
      <c r="J896" s="10" t="str">
        <f>VLOOKUP(I896,Categories!A:B,2,FALSE)</f>
        <v>อื่นๆ</v>
      </c>
      <c r="K896" t="s">
        <v>131</v>
      </c>
      <c r="L896" s="10" t="str">
        <f>VLOOKUP(K896,Accounts!A:B,2,FALSE)</f>
        <v xml:space="preserve">Advance Paid</v>
      </c>
      <c r="M896" t="s">
        <v>178</v>
      </c>
      <c r="N896" s="10" t="str">
        <f>VLOOKUP(M896,Accounts!A:B,2,FALSE)</f>
        <v>SCB</v>
      </c>
      <c r="O896" t="s">
        <v>1969</v>
      </c>
      <c r="Q896" t="s">
        <v>126</v>
      </c>
      <c r="R896" t="s">
        <v>124</v>
      </c>
      <c r="S896" t="b">
        <v>0</v>
      </c>
      <c r="T896" t="s">
        <v>124</v>
      </c>
    </row>
    <row r="897">
      <c r="A897" t="s">
        <v>1970</v>
      </c>
      <c r="B897" t="s">
        <v>1971</v>
      </c>
      <c r="C897" s="2">
        <v>2024</v>
      </c>
      <c r="D897" s="10">
        <v>4</v>
      </c>
      <c r="E897" s="10">
        <v>15</v>
      </c>
      <c r="F897" t="s">
        <v>1972</v>
      </c>
      <c r="G897">
        <v>319.93000000000001</v>
      </c>
      <c r="H897" t="s">
        <v>69</v>
      </c>
      <c r="I897" t="s">
        <v>134</v>
      </c>
      <c r="J897" s="10" t="str">
        <f>VLOOKUP(I897,Categories!A:B,2,FALSE)</f>
        <v>Hong</v>
      </c>
      <c r="K897" t="s">
        <v>123</v>
      </c>
      <c r="L897" s="10" t="str">
        <f>VLOOKUP(K897,Accounts!A:B,2,FALSE)</f>
        <v>KBank</v>
      </c>
      <c r="M897" t="s">
        <v>124</v>
      </c>
      <c r="N897" s="10"/>
      <c r="O897" t="s">
        <v>125</v>
      </c>
      <c r="Q897" t="s">
        <v>126</v>
      </c>
      <c r="R897" t="s">
        <v>124</v>
      </c>
      <c r="S897" t="b">
        <v>0</v>
      </c>
      <c r="T897" t="s">
        <v>124</v>
      </c>
    </row>
    <row r="898">
      <c r="A898" t="s">
        <v>1973</v>
      </c>
      <c r="B898" t="s">
        <v>1971</v>
      </c>
      <c r="C898" s="2">
        <v>2024</v>
      </c>
      <c r="D898" s="10">
        <v>4</v>
      </c>
      <c r="E898" s="10">
        <v>15</v>
      </c>
      <c r="F898" t="s">
        <v>1974</v>
      </c>
      <c r="G898">
        <v>45</v>
      </c>
      <c r="H898" t="s">
        <v>69</v>
      </c>
      <c r="I898" t="s">
        <v>150</v>
      </c>
      <c r="J898" s="10" t="str">
        <f>VLOOKUP(I898,Categories!A:B,2,FALSE)</f>
        <v xml:space="preserve">Food &amp; Coff</v>
      </c>
      <c r="K898" t="s">
        <v>123</v>
      </c>
      <c r="L898" s="10" t="str">
        <f>VLOOKUP(K898,Accounts!A:B,2,FALSE)</f>
        <v>KBank</v>
      </c>
      <c r="M898" t="s">
        <v>124</v>
      </c>
      <c r="N898" s="10"/>
      <c r="O898" t="s">
        <v>125</v>
      </c>
      <c r="Q898" t="s">
        <v>126</v>
      </c>
      <c r="R898" t="s">
        <v>124</v>
      </c>
      <c r="S898" t="b">
        <v>0</v>
      </c>
      <c r="T898" t="s">
        <v>124</v>
      </c>
    </row>
    <row r="899">
      <c r="A899" t="s">
        <v>1975</v>
      </c>
      <c r="B899" t="s">
        <v>1976</v>
      </c>
      <c r="C899" s="2">
        <v>2024</v>
      </c>
      <c r="D899" s="10">
        <v>4</v>
      </c>
      <c r="E899" s="10">
        <v>12</v>
      </c>
      <c r="F899" t="s">
        <v>951</v>
      </c>
      <c r="G899">
        <v>250</v>
      </c>
      <c r="H899" t="s">
        <v>69</v>
      </c>
      <c r="I899" t="s">
        <v>141</v>
      </c>
      <c r="J899" s="10" t="str">
        <f>VLOOKUP(I899,Categories!A:B,2,FALSE)</f>
        <v>Other</v>
      </c>
      <c r="K899" t="s">
        <v>123</v>
      </c>
      <c r="L899" s="10" t="str">
        <f>VLOOKUP(K899,Accounts!A:B,2,FALSE)</f>
        <v>KBank</v>
      </c>
      <c r="M899" t="s">
        <v>124</v>
      </c>
      <c r="N899" s="10"/>
      <c r="O899" t="s">
        <v>1977</v>
      </c>
      <c r="Q899" t="s">
        <v>126</v>
      </c>
      <c r="R899" t="s">
        <v>124</v>
      </c>
      <c r="S899" t="b">
        <v>0</v>
      </c>
      <c r="T899" t="s">
        <v>124</v>
      </c>
    </row>
    <row r="900">
      <c r="A900" t="s">
        <v>1978</v>
      </c>
      <c r="B900" t="s">
        <v>1979</v>
      </c>
      <c r="C900" s="2">
        <v>2024</v>
      </c>
      <c r="D900" s="10">
        <v>4</v>
      </c>
      <c r="E900" s="10">
        <v>11</v>
      </c>
      <c r="F900" t="s">
        <v>1963</v>
      </c>
      <c r="G900">
        <v>20</v>
      </c>
      <c r="H900" t="s">
        <v>206</v>
      </c>
      <c r="I900" t="s">
        <v>281</v>
      </c>
      <c r="J900" s="10" t="str">
        <f>VLOOKUP(I900,Categories!A:B,2,FALSE)</f>
        <v>Others</v>
      </c>
      <c r="K900" t="s">
        <v>178</v>
      </c>
      <c r="L900" s="10" t="str">
        <f>VLOOKUP(K900,Accounts!A:B,2,FALSE)</f>
        <v>SCB</v>
      </c>
      <c r="M900" t="s">
        <v>124</v>
      </c>
      <c r="N900" s="10"/>
      <c r="O900" t="s">
        <v>125</v>
      </c>
      <c r="Q900" t="s">
        <v>126</v>
      </c>
      <c r="R900" t="s">
        <v>124</v>
      </c>
      <c r="S900" t="b">
        <v>0</v>
      </c>
      <c r="T900" t="s">
        <v>124</v>
      </c>
    </row>
    <row r="901">
      <c r="A901" t="s">
        <v>1980</v>
      </c>
      <c r="B901" t="s">
        <v>1981</v>
      </c>
      <c r="C901" s="2">
        <v>2024</v>
      </c>
      <c r="D901" s="10">
        <v>4</v>
      </c>
      <c r="E901" s="10">
        <v>10</v>
      </c>
      <c r="F901" t="s">
        <v>1982</v>
      </c>
      <c r="G901">
        <v>55</v>
      </c>
      <c r="H901" t="s">
        <v>206</v>
      </c>
      <c r="I901" t="s">
        <v>281</v>
      </c>
      <c r="J901" s="10" t="str">
        <f>VLOOKUP(I901,Categories!A:B,2,FALSE)</f>
        <v>Others</v>
      </c>
      <c r="K901" t="s">
        <v>123</v>
      </c>
      <c r="L901" s="10" t="str">
        <f>VLOOKUP(K901,Accounts!A:B,2,FALSE)</f>
        <v>KBank</v>
      </c>
      <c r="M901" t="s">
        <v>124</v>
      </c>
      <c r="N901" s="10"/>
      <c r="O901" t="s">
        <v>125</v>
      </c>
      <c r="Q901" t="s">
        <v>126</v>
      </c>
      <c r="R901" t="s">
        <v>124</v>
      </c>
      <c r="S901" t="b">
        <v>0</v>
      </c>
      <c r="T901" t="s">
        <v>124</v>
      </c>
    </row>
    <row r="902">
      <c r="A902" t="s">
        <v>1983</v>
      </c>
      <c r="B902" t="s">
        <v>1984</v>
      </c>
      <c r="C902" s="2">
        <v>2024</v>
      </c>
      <c r="D902" s="10">
        <v>4</v>
      </c>
      <c r="E902" s="10">
        <v>8</v>
      </c>
      <c r="F902" t="s">
        <v>1985</v>
      </c>
      <c r="G902">
        <v>70</v>
      </c>
      <c r="H902" t="s">
        <v>69</v>
      </c>
      <c r="I902" t="s">
        <v>259</v>
      </c>
      <c r="J902" s="10" t="str">
        <f>VLOOKUP(I902,Categories!A:B,2,FALSE)</f>
        <v xml:space="preserve">Team BOT</v>
      </c>
      <c r="K902" t="s">
        <v>123</v>
      </c>
      <c r="L902" s="10" t="str">
        <f>VLOOKUP(K902,Accounts!A:B,2,FALSE)</f>
        <v>KBank</v>
      </c>
      <c r="M902" t="s">
        <v>124</v>
      </c>
      <c r="N902" s="10"/>
      <c r="O902" t="s">
        <v>125</v>
      </c>
      <c r="Q902" t="s">
        <v>126</v>
      </c>
      <c r="R902" t="s">
        <v>124</v>
      </c>
      <c r="S902" t="b">
        <v>0</v>
      </c>
      <c r="T902" t="s">
        <v>124</v>
      </c>
    </row>
    <row r="903">
      <c r="A903" t="s">
        <v>1986</v>
      </c>
      <c r="B903" t="s">
        <v>1987</v>
      </c>
      <c r="C903" s="2">
        <v>2024</v>
      </c>
      <c r="D903" s="10">
        <v>4</v>
      </c>
      <c r="E903" s="10">
        <v>7</v>
      </c>
      <c r="F903" t="s">
        <v>1988</v>
      </c>
      <c r="G903">
        <v>17500</v>
      </c>
      <c r="H903" t="s">
        <v>69</v>
      </c>
      <c r="I903" t="s">
        <v>134</v>
      </c>
      <c r="J903" s="10" t="str">
        <f>VLOOKUP(I903,Categories!A:B,2,FALSE)</f>
        <v>Hong</v>
      </c>
      <c r="K903" t="s">
        <v>178</v>
      </c>
      <c r="L903" s="10" t="str">
        <f>VLOOKUP(K903,Accounts!A:B,2,FALSE)</f>
        <v>SCB</v>
      </c>
      <c r="M903" t="s">
        <v>124</v>
      </c>
      <c r="N903" s="10"/>
      <c r="O903" t="s">
        <v>125</v>
      </c>
      <c r="Q903" t="s">
        <v>126</v>
      </c>
      <c r="R903" t="s">
        <v>124</v>
      </c>
      <c r="S903" t="b">
        <v>0</v>
      </c>
      <c r="T903" t="s">
        <v>124</v>
      </c>
    </row>
    <row r="904">
      <c r="A904" t="s">
        <v>1989</v>
      </c>
      <c r="B904" t="s">
        <v>1987</v>
      </c>
      <c r="C904" s="2">
        <v>2024</v>
      </c>
      <c r="D904" s="10">
        <v>4</v>
      </c>
      <c r="E904" s="10">
        <v>7</v>
      </c>
      <c r="F904" t="s">
        <v>696</v>
      </c>
      <c r="G904">
        <v>8206.2999999999993</v>
      </c>
      <c r="H904" t="s">
        <v>69</v>
      </c>
      <c r="I904" t="s">
        <v>139</v>
      </c>
      <c r="J904" s="10" t="str">
        <f>VLOOKUP(I904,Categories!A:B,2,FALSE)</f>
        <v>Condo</v>
      </c>
      <c r="K904" t="s">
        <v>123</v>
      </c>
      <c r="L904" s="10" t="str">
        <f>VLOOKUP(K904,Accounts!A:B,2,FALSE)</f>
        <v>KBank</v>
      </c>
      <c r="M904" t="s">
        <v>124</v>
      </c>
      <c r="N904" s="10"/>
      <c r="O904" t="s">
        <v>125</v>
      </c>
      <c r="Q904" t="s">
        <v>126</v>
      </c>
      <c r="R904" t="s">
        <v>124</v>
      </c>
      <c r="S904" t="b">
        <v>0</v>
      </c>
      <c r="T904" t="s">
        <v>124</v>
      </c>
    </row>
    <row r="905">
      <c r="A905" t="s">
        <v>1990</v>
      </c>
      <c r="B905" t="s">
        <v>1991</v>
      </c>
      <c r="C905" s="2">
        <v>2024</v>
      </c>
      <c r="D905" s="10">
        <v>4</v>
      </c>
      <c r="E905" s="10">
        <v>2</v>
      </c>
      <c r="F905" t="s">
        <v>1992</v>
      </c>
      <c r="G905">
        <v>400</v>
      </c>
      <c r="H905" t="s">
        <v>128</v>
      </c>
      <c r="I905" t="s">
        <v>136</v>
      </c>
      <c r="J905" s="10" t="str">
        <f>VLOOKUP(I905,Categories!A:B,2,FALSE)</f>
        <v>อื่นๆ</v>
      </c>
      <c r="K905" t="s">
        <v>123</v>
      </c>
      <c r="L905" s="10" t="str">
        <f>VLOOKUP(K905,Accounts!A:B,2,FALSE)</f>
        <v>KBank</v>
      </c>
      <c r="M905" t="s">
        <v>425</v>
      </c>
      <c r="N905" s="10" t="str">
        <f>VLOOKUP(M905,Accounts!A:B,2,FALSE)</f>
        <v>Cash</v>
      </c>
      <c r="O905" t="s">
        <v>125</v>
      </c>
      <c r="Q905" t="s">
        <v>126</v>
      </c>
      <c r="R905" t="s">
        <v>124</v>
      </c>
      <c r="S905" t="b">
        <v>0</v>
      </c>
      <c r="T905" t="s">
        <v>124</v>
      </c>
    </row>
    <row r="906">
      <c r="A906" t="s">
        <v>1993</v>
      </c>
      <c r="B906" t="s">
        <v>1991</v>
      </c>
      <c r="C906" s="2">
        <v>2024</v>
      </c>
      <c r="D906" s="10">
        <v>4</v>
      </c>
      <c r="E906" s="10">
        <v>2</v>
      </c>
      <c r="F906" t="s">
        <v>1992</v>
      </c>
      <c r="G906">
        <v>149</v>
      </c>
      <c r="H906" t="s">
        <v>69</v>
      </c>
      <c r="I906" t="s">
        <v>259</v>
      </c>
      <c r="J906" s="10" t="str">
        <f>VLOOKUP(I906,Categories!A:B,2,FALSE)</f>
        <v xml:space="preserve">Team BOT</v>
      </c>
      <c r="K906" t="s">
        <v>123</v>
      </c>
      <c r="L906" s="10" t="str">
        <f>VLOOKUP(K906,Accounts!A:B,2,FALSE)</f>
        <v>KBank</v>
      </c>
      <c r="M906" t="s">
        <v>124</v>
      </c>
      <c r="N906" s="10"/>
      <c r="O906" t="s">
        <v>125</v>
      </c>
      <c r="Q906" t="s">
        <v>126</v>
      </c>
      <c r="R906" t="s">
        <v>124</v>
      </c>
      <c r="S906" t="b">
        <v>0</v>
      </c>
      <c r="T906" t="s">
        <v>124</v>
      </c>
    </row>
    <row r="907">
      <c r="A907" t="s">
        <v>1994</v>
      </c>
      <c r="B907" t="s">
        <v>1995</v>
      </c>
      <c r="C907" s="2">
        <v>2024</v>
      </c>
      <c r="D907" s="10">
        <v>4</v>
      </c>
      <c r="E907" s="10">
        <v>1</v>
      </c>
      <c r="F907" t="s">
        <v>1992</v>
      </c>
      <c r="G907">
        <v>5000</v>
      </c>
      <c r="H907" t="s">
        <v>69</v>
      </c>
      <c r="I907" t="s">
        <v>144</v>
      </c>
      <c r="J907" s="10" t="str">
        <f>VLOOKUP(I907,Categories!A:B,2,FALSE)</f>
        <v xml:space="preserve">Family paid</v>
      </c>
      <c r="K907" t="s">
        <v>123</v>
      </c>
      <c r="L907" s="10" t="str">
        <f>VLOOKUP(K907,Accounts!A:B,2,FALSE)</f>
        <v>KBank</v>
      </c>
      <c r="M907" t="s">
        <v>124</v>
      </c>
      <c r="N907" s="10"/>
      <c r="O907" t="s">
        <v>125</v>
      </c>
      <c r="Q907" t="s">
        <v>126</v>
      </c>
      <c r="R907" t="s">
        <v>124</v>
      </c>
      <c r="S907" t="b">
        <v>0</v>
      </c>
      <c r="T907" t="s">
        <v>124</v>
      </c>
    </row>
    <row r="908">
      <c r="A908" t="s">
        <v>1996</v>
      </c>
      <c r="B908" t="s">
        <v>1997</v>
      </c>
      <c r="C908" s="2">
        <v>2024</v>
      </c>
      <c r="D908" s="10">
        <v>3</v>
      </c>
      <c r="E908" s="10">
        <v>31</v>
      </c>
      <c r="F908" t="s">
        <v>1998</v>
      </c>
      <c r="G908">
        <v>560</v>
      </c>
      <c r="H908" t="s">
        <v>69</v>
      </c>
      <c r="I908" t="s">
        <v>144</v>
      </c>
      <c r="J908" s="10" t="str">
        <f>VLOOKUP(I908,Categories!A:B,2,FALSE)</f>
        <v xml:space="preserve">Family paid</v>
      </c>
      <c r="K908" t="s">
        <v>123</v>
      </c>
      <c r="L908" s="10" t="str">
        <f>VLOOKUP(K908,Accounts!A:B,2,FALSE)</f>
        <v>KBank</v>
      </c>
      <c r="M908" t="s">
        <v>124</v>
      </c>
      <c r="N908" s="10"/>
      <c r="O908" t="s">
        <v>1999</v>
      </c>
      <c r="Q908" t="s">
        <v>126</v>
      </c>
      <c r="R908" t="s">
        <v>124</v>
      </c>
      <c r="S908" t="b">
        <v>0</v>
      </c>
      <c r="T908" t="s">
        <v>124</v>
      </c>
    </row>
    <row r="909">
      <c r="A909" t="s">
        <v>2000</v>
      </c>
      <c r="B909" t="s">
        <v>1997</v>
      </c>
      <c r="C909" s="2">
        <v>2024</v>
      </c>
      <c r="D909" s="10">
        <v>3</v>
      </c>
      <c r="E909" s="10">
        <v>31</v>
      </c>
      <c r="F909" t="s">
        <v>1673</v>
      </c>
      <c r="G909">
        <v>500</v>
      </c>
      <c r="H909" t="s">
        <v>69</v>
      </c>
      <c r="I909" t="s">
        <v>134</v>
      </c>
      <c r="J909" s="10" t="str">
        <f>VLOOKUP(I909,Categories!A:B,2,FALSE)</f>
        <v>Hong</v>
      </c>
      <c r="K909" t="s">
        <v>123</v>
      </c>
      <c r="L909" s="10" t="str">
        <f>VLOOKUP(K909,Accounts!A:B,2,FALSE)</f>
        <v>KBank</v>
      </c>
      <c r="M909" t="s">
        <v>124</v>
      </c>
      <c r="N909" s="10"/>
      <c r="O909" t="s">
        <v>125</v>
      </c>
      <c r="Q909" t="s">
        <v>126</v>
      </c>
      <c r="R909" t="s">
        <v>124</v>
      </c>
      <c r="S909" t="b">
        <v>0</v>
      </c>
      <c r="T909" t="s">
        <v>124</v>
      </c>
    </row>
    <row r="910">
      <c r="A910" t="s">
        <v>2001</v>
      </c>
      <c r="B910" t="s">
        <v>1997</v>
      </c>
      <c r="C910" s="2">
        <v>2024</v>
      </c>
      <c r="D910" s="10">
        <v>3</v>
      </c>
      <c r="E910" s="10">
        <v>31</v>
      </c>
      <c r="F910" t="s">
        <v>1438</v>
      </c>
      <c r="G910">
        <v>5000</v>
      </c>
      <c r="H910" t="s">
        <v>69</v>
      </c>
      <c r="I910" t="s">
        <v>144</v>
      </c>
      <c r="J910" s="10" t="str">
        <f>VLOOKUP(I910,Categories!A:B,2,FALSE)</f>
        <v xml:space="preserve">Family paid</v>
      </c>
      <c r="K910" t="s">
        <v>178</v>
      </c>
      <c r="L910" s="10" t="str">
        <f>VLOOKUP(K910,Accounts!A:B,2,FALSE)</f>
        <v>SCB</v>
      </c>
      <c r="M910" t="s">
        <v>124</v>
      </c>
      <c r="N910" s="10"/>
      <c r="O910" t="s">
        <v>125</v>
      </c>
      <c r="Q910" t="s">
        <v>126</v>
      </c>
      <c r="R910" t="s">
        <v>124</v>
      </c>
      <c r="S910" t="b">
        <v>0</v>
      </c>
      <c r="T910" t="s">
        <v>124</v>
      </c>
    </row>
    <row r="911">
      <c r="A911" t="s">
        <v>2002</v>
      </c>
      <c r="B911" t="s">
        <v>1997</v>
      </c>
      <c r="C911" s="2">
        <v>2024</v>
      </c>
      <c r="D911" s="10">
        <v>3</v>
      </c>
      <c r="E911" s="10">
        <v>31</v>
      </c>
      <c r="F911" t="s">
        <v>671</v>
      </c>
      <c r="G911">
        <v>617</v>
      </c>
      <c r="H911" t="s">
        <v>69</v>
      </c>
      <c r="I911" t="s">
        <v>1903</v>
      </c>
      <c r="J911" s="10" t="str">
        <f>VLOOKUP(I911,Categories!A:B,2,FALSE)</f>
        <v xml:space="preserve">Monthly subscription</v>
      </c>
      <c r="K911" t="s">
        <v>178</v>
      </c>
      <c r="L911" s="10" t="str">
        <f>VLOOKUP(K911,Accounts!A:B,2,FALSE)</f>
        <v>SCB</v>
      </c>
      <c r="M911" t="s">
        <v>124</v>
      </c>
      <c r="N911" s="10"/>
      <c r="O911" t="s">
        <v>125</v>
      </c>
      <c r="Q911" t="s">
        <v>126</v>
      </c>
      <c r="R911" t="s">
        <v>124</v>
      </c>
      <c r="S911" t="b">
        <v>0</v>
      </c>
      <c r="T911" t="s">
        <v>124</v>
      </c>
    </row>
    <row r="912">
      <c r="A912" t="s">
        <v>2003</v>
      </c>
      <c r="B912" t="s">
        <v>1997</v>
      </c>
      <c r="C912" s="2">
        <v>2024</v>
      </c>
      <c r="D912" s="10">
        <v>3</v>
      </c>
      <c r="E912" s="10">
        <v>31</v>
      </c>
      <c r="F912" t="s">
        <v>2004</v>
      </c>
      <c r="G912">
        <v>160</v>
      </c>
      <c r="H912" t="s">
        <v>128</v>
      </c>
      <c r="I912" t="s">
        <v>136</v>
      </c>
      <c r="J912" s="10" t="str">
        <f>VLOOKUP(I912,Categories!A:B,2,FALSE)</f>
        <v>อื่นๆ</v>
      </c>
      <c r="K912" t="s">
        <v>131</v>
      </c>
      <c r="L912" s="10" t="str">
        <f>VLOOKUP(K912,Accounts!A:B,2,FALSE)</f>
        <v xml:space="preserve">Advance Paid</v>
      </c>
      <c r="M912" t="s">
        <v>123</v>
      </c>
      <c r="N912" s="10" t="str">
        <f>VLOOKUP(M912,Accounts!A:B,2,FALSE)</f>
        <v>KBank</v>
      </c>
      <c r="O912" t="s">
        <v>125</v>
      </c>
      <c r="Q912" t="s">
        <v>126</v>
      </c>
      <c r="R912" t="s">
        <v>124</v>
      </c>
      <c r="S912" t="b">
        <v>0</v>
      </c>
      <c r="T912" t="s">
        <v>124</v>
      </c>
    </row>
    <row r="913">
      <c r="A913" t="s">
        <v>2005</v>
      </c>
      <c r="B913" t="s">
        <v>1997</v>
      </c>
      <c r="C913" s="2">
        <v>2024</v>
      </c>
      <c r="D913" s="10">
        <v>3</v>
      </c>
      <c r="E913" s="10">
        <v>31</v>
      </c>
      <c r="F913" t="s">
        <v>1193</v>
      </c>
      <c r="G913">
        <v>4928</v>
      </c>
      <c r="H913" t="s">
        <v>69</v>
      </c>
      <c r="I913" t="s">
        <v>150</v>
      </c>
      <c r="J913" s="10" t="str">
        <f>VLOOKUP(I913,Categories!A:B,2,FALSE)</f>
        <v xml:space="preserve">Food &amp; Coff</v>
      </c>
      <c r="K913" t="s">
        <v>137</v>
      </c>
      <c r="L913" s="10" t="str">
        <f>VLOOKUP(K913,Accounts!A:B,2,FALSE)</f>
        <v xml:space="preserve">Make Kbank</v>
      </c>
      <c r="M913" t="s">
        <v>124</v>
      </c>
      <c r="N913" s="10"/>
      <c r="O913" t="s">
        <v>125</v>
      </c>
      <c r="Q913" t="s">
        <v>126</v>
      </c>
      <c r="R913" t="s">
        <v>124</v>
      </c>
      <c r="S913" t="b">
        <v>0</v>
      </c>
      <c r="T913" t="s">
        <v>124</v>
      </c>
    </row>
    <row r="914">
      <c r="A914" t="s">
        <v>2006</v>
      </c>
      <c r="B914" t="s">
        <v>2007</v>
      </c>
      <c r="C914" s="2">
        <v>2024</v>
      </c>
      <c r="D914" s="10">
        <v>3</v>
      </c>
      <c r="E914" s="10">
        <v>30</v>
      </c>
      <c r="F914" t="s">
        <v>671</v>
      </c>
      <c r="G914">
        <v>649</v>
      </c>
      <c r="H914" t="s">
        <v>69</v>
      </c>
      <c r="I914" t="s">
        <v>150</v>
      </c>
      <c r="J914" s="10" t="str">
        <f>VLOOKUP(I914,Categories!A:B,2,FALSE)</f>
        <v xml:space="preserve">Food &amp; Coff</v>
      </c>
      <c r="K914" t="s">
        <v>178</v>
      </c>
      <c r="L914" s="10" t="str">
        <f>VLOOKUP(K914,Accounts!A:B,2,FALSE)</f>
        <v>SCB</v>
      </c>
      <c r="M914" t="s">
        <v>124</v>
      </c>
      <c r="N914" s="10"/>
      <c r="O914" t="s">
        <v>125</v>
      </c>
      <c r="Q914" t="s">
        <v>126</v>
      </c>
      <c r="R914" t="s">
        <v>124</v>
      </c>
      <c r="S914" t="b">
        <v>0</v>
      </c>
      <c r="T914" t="s">
        <v>124</v>
      </c>
    </row>
    <row r="915">
      <c r="A915" t="s">
        <v>2008</v>
      </c>
      <c r="B915" t="s">
        <v>2007</v>
      </c>
      <c r="C915" s="2">
        <v>2024</v>
      </c>
      <c r="D915" s="10">
        <v>3</v>
      </c>
      <c r="E915" s="10">
        <v>30</v>
      </c>
      <c r="F915" t="s">
        <v>1885</v>
      </c>
      <c r="G915">
        <v>1928</v>
      </c>
      <c r="H915" t="s">
        <v>69</v>
      </c>
      <c r="I915" t="s">
        <v>152</v>
      </c>
      <c r="J915" s="10" t="str">
        <f>VLOOKUP(I915,Categories!A:B,2,FALSE)</f>
        <v xml:space="preserve">Office Suit</v>
      </c>
      <c r="K915" t="s">
        <v>123</v>
      </c>
      <c r="L915" s="10" t="str">
        <f>VLOOKUP(K915,Accounts!A:B,2,FALSE)</f>
        <v>KBank</v>
      </c>
      <c r="M915" t="s">
        <v>124</v>
      </c>
      <c r="N915" s="10"/>
      <c r="O915" t="s">
        <v>125</v>
      </c>
      <c r="Q915" t="s">
        <v>126</v>
      </c>
      <c r="R915" t="s">
        <v>124</v>
      </c>
      <c r="S915" t="b">
        <v>0</v>
      </c>
      <c r="T915" t="s">
        <v>124</v>
      </c>
    </row>
    <row r="916">
      <c r="A916" t="s">
        <v>2009</v>
      </c>
      <c r="B916" t="s">
        <v>2007</v>
      </c>
      <c r="C916" s="2">
        <v>2024</v>
      </c>
      <c r="D916" s="10">
        <v>3</v>
      </c>
      <c r="E916" s="10">
        <v>30</v>
      </c>
      <c r="F916" t="s">
        <v>253</v>
      </c>
      <c r="G916">
        <v>220</v>
      </c>
      <c r="H916" t="s">
        <v>69</v>
      </c>
      <c r="I916" t="s">
        <v>169</v>
      </c>
      <c r="J916" s="10" t="str">
        <f>VLOOKUP(I916,Categories!A:B,2,FALSE)</f>
        <v xml:space="preserve">App &amp; Game</v>
      </c>
      <c r="K916" t="s">
        <v>123</v>
      </c>
      <c r="L916" s="10" t="str">
        <f>VLOOKUP(K916,Accounts!A:B,2,FALSE)</f>
        <v>KBank</v>
      </c>
      <c r="M916" t="s">
        <v>124</v>
      </c>
      <c r="N916" s="10"/>
      <c r="O916" t="s">
        <v>125</v>
      </c>
      <c r="Q916" t="s">
        <v>126</v>
      </c>
      <c r="R916" t="s">
        <v>124</v>
      </c>
      <c r="S916" t="b">
        <v>0</v>
      </c>
      <c r="T916" t="s">
        <v>124</v>
      </c>
    </row>
    <row r="917">
      <c r="A917" t="s">
        <v>2010</v>
      </c>
      <c r="B917" t="s">
        <v>2007</v>
      </c>
      <c r="C917" s="2">
        <v>2024</v>
      </c>
      <c r="D917" s="10">
        <v>3</v>
      </c>
      <c r="E917" s="10">
        <v>30</v>
      </c>
      <c r="F917" t="s">
        <v>253</v>
      </c>
      <c r="G917">
        <v>1723</v>
      </c>
      <c r="H917" t="s">
        <v>69</v>
      </c>
      <c r="I917" t="s">
        <v>150</v>
      </c>
      <c r="J917" s="10" t="str">
        <f>VLOOKUP(I917,Categories!A:B,2,FALSE)</f>
        <v xml:space="preserve">Food &amp; Coff</v>
      </c>
      <c r="K917" t="s">
        <v>123</v>
      </c>
      <c r="L917" s="10" t="str">
        <f>VLOOKUP(K917,Accounts!A:B,2,FALSE)</f>
        <v>KBank</v>
      </c>
      <c r="M917" t="s">
        <v>124</v>
      </c>
      <c r="N917" s="10"/>
      <c r="O917" t="s">
        <v>125</v>
      </c>
      <c r="Q917" t="s">
        <v>126</v>
      </c>
      <c r="R917" t="s">
        <v>124</v>
      </c>
      <c r="S917" t="b">
        <v>0</v>
      </c>
      <c r="T917" t="s">
        <v>124</v>
      </c>
    </row>
    <row r="918">
      <c r="A918" t="s">
        <v>2011</v>
      </c>
      <c r="B918" t="s">
        <v>2007</v>
      </c>
      <c r="C918" s="2">
        <v>2024</v>
      </c>
      <c r="D918" s="10">
        <v>3</v>
      </c>
      <c r="E918" s="10">
        <v>30</v>
      </c>
      <c r="F918" t="s">
        <v>253</v>
      </c>
      <c r="G918">
        <v>5000</v>
      </c>
      <c r="H918" t="s">
        <v>128</v>
      </c>
      <c r="I918" t="s">
        <v>136</v>
      </c>
      <c r="J918" s="10" t="str">
        <f>VLOOKUP(I918,Categories!A:B,2,FALSE)</f>
        <v>อื่นๆ</v>
      </c>
      <c r="K918" t="s">
        <v>123</v>
      </c>
      <c r="L918" s="10" t="str">
        <f>VLOOKUP(K918,Accounts!A:B,2,FALSE)</f>
        <v>KBank</v>
      </c>
      <c r="M918" t="s">
        <v>425</v>
      </c>
      <c r="N918" s="10" t="str">
        <f>VLOOKUP(M918,Accounts!A:B,2,FALSE)</f>
        <v>Cash</v>
      </c>
      <c r="O918" t="s">
        <v>125</v>
      </c>
      <c r="Q918" t="s">
        <v>126</v>
      </c>
      <c r="R918" t="s">
        <v>124</v>
      </c>
      <c r="S918" t="b">
        <v>0</v>
      </c>
      <c r="T918" t="s">
        <v>124</v>
      </c>
    </row>
    <row r="919">
      <c r="A919" t="s">
        <v>2012</v>
      </c>
      <c r="B919" t="s">
        <v>2013</v>
      </c>
      <c r="C919" s="2">
        <v>2024</v>
      </c>
      <c r="D919" s="10">
        <v>3</v>
      </c>
      <c r="E919" s="10">
        <v>28</v>
      </c>
      <c r="F919" t="s">
        <v>2014</v>
      </c>
      <c r="G919">
        <v>125</v>
      </c>
      <c r="H919" t="s">
        <v>128</v>
      </c>
      <c r="I919" t="s">
        <v>136</v>
      </c>
      <c r="J919" s="10" t="str">
        <f>VLOOKUP(I919,Categories!A:B,2,FALSE)</f>
        <v>อื่นๆ</v>
      </c>
      <c r="K919" t="s">
        <v>123</v>
      </c>
      <c r="L919" s="10" t="str">
        <f>VLOOKUP(K919,Accounts!A:B,2,FALSE)</f>
        <v>KBank</v>
      </c>
      <c r="M919" t="s">
        <v>178</v>
      </c>
      <c r="N919" s="10" t="str">
        <f>VLOOKUP(M919,Accounts!A:B,2,FALSE)</f>
        <v>SCB</v>
      </c>
      <c r="O919" t="s">
        <v>125</v>
      </c>
      <c r="Q919" t="s">
        <v>126</v>
      </c>
      <c r="R919" t="s">
        <v>124</v>
      </c>
      <c r="S919" t="b">
        <v>0</v>
      </c>
      <c r="T919" t="s">
        <v>124</v>
      </c>
    </row>
    <row r="920">
      <c r="A920" t="s">
        <v>2015</v>
      </c>
      <c r="B920" t="s">
        <v>2013</v>
      </c>
      <c r="C920" s="2">
        <v>2024</v>
      </c>
      <c r="D920" s="10">
        <v>3</v>
      </c>
      <c r="E920" s="10">
        <v>28</v>
      </c>
      <c r="F920" t="s">
        <v>1885</v>
      </c>
      <c r="G920">
        <v>415</v>
      </c>
      <c r="H920" t="s">
        <v>69</v>
      </c>
      <c r="I920" t="s">
        <v>259</v>
      </c>
      <c r="J920" s="10" t="str">
        <f>VLOOKUP(I920,Categories!A:B,2,FALSE)</f>
        <v xml:space="preserve">Team BOT</v>
      </c>
      <c r="K920" t="s">
        <v>123</v>
      </c>
      <c r="L920" s="10" t="str">
        <f>VLOOKUP(K920,Accounts!A:B,2,FALSE)</f>
        <v>KBank</v>
      </c>
      <c r="M920" t="s">
        <v>124</v>
      </c>
      <c r="N920" s="10"/>
      <c r="O920" t="s">
        <v>125</v>
      </c>
      <c r="Q920" t="s">
        <v>126</v>
      </c>
      <c r="R920" t="s">
        <v>124</v>
      </c>
      <c r="S920" t="b">
        <v>0</v>
      </c>
      <c r="T920" t="s">
        <v>124</v>
      </c>
    </row>
    <row r="921">
      <c r="A921" t="s">
        <v>2016</v>
      </c>
      <c r="B921" t="s">
        <v>2017</v>
      </c>
      <c r="C921" s="2">
        <v>2024</v>
      </c>
      <c r="D921" s="10">
        <v>3</v>
      </c>
      <c r="E921" s="10">
        <v>27</v>
      </c>
      <c r="F921" t="s">
        <v>1935</v>
      </c>
      <c r="G921">
        <v>1016.5</v>
      </c>
      <c r="H921" t="s">
        <v>69</v>
      </c>
      <c r="I921" t="s">
        <v>1882</v>
      </c>
      <c r="J921" s="10" t="str">
        <f>VLOOKUP(I921,Categories!A:B,2,FALSE)</f>
        <v>utility</v>
      </c>
      <c r="K921" t="s">
        <v>123</v>
      </c>
      <c r="L921" s="10" t="str">
        <f>VLOOKUP(K921,Accounts!A:B,2,FALSE)</f>
        <v>KBank</v>
      </c>
      <c r="M921" t="s">
        <v>124</v>
      </c>
      <c r="N921" s="10"/>
      <c r="O921" t="s">
        <v>125</v>
      </c>
      <c r="Q921" t="s">
        <v>126</v>
      </c>
      <c r="R921" t="s">
        <v>124</v>
      </c>
      <c r="S921" t="b">
        <v>0</v>
      </c>
      <c r="T921" t="s">
        <v>124</v>
      </c>
    </row>
    <row r="922">
      <c r="A922" t="s">
        <v>2018</v>
      </c>
      <c r="B922" t="s">
        <v>2019</v>
      </c>
      <c r="C922" s="2">
        <v>2024</v>
      </c>
      <c r="D922" s="10">
        <v>3</v>
      </c>
      <c r="E922" s="10">
        <v>25</v>
      </c>
      <c r="F922" t="s">
        <v>121</v>
      </c>
      <c r="G922">
        <v>3675.5</v>
      </c>
      <c r="H922" t="s">
        <v>69</v>
      </c>
      <c r="I922" t="s">
        <v>199</v>
      </c>
      <c r="J922" s="10" t="str">
        <f>VLOOKUP(I922,Categories!A:B,2,FALSE)</f>
        <v xml:space="preserve">Home Chomthong Interest</v>
      </c>
      <c r="K922" t="s">
        <v>178</v>
      </c>
      <c r="L922" s="10" t="str">
        <f>VLOOKUP(K922,Accounts!A:B,2,FALSE)</f>
        <v>SCB</v>
      </c>
      <c r="M922" t="s">
        <v>124</v>
      </c>
      <c r="N922" s="10"/>
      <c r="O922" t="s">
        <v>125</v>
      </c>
      <c r="Q922" t="s">
        <v>126</v>
      </c>
      <c r="R922" t="s">
        <v>124</v>
      </c>
      <c r="S922" t="b">
        <v>0</v>
      </c>
      <c r="T922" t="s">
        <v>124</v>
      </c>
    </row>
    <row r="923">
      <c r="A923" t="s">
        <v>2020</v>
      </c>
      <c r="B923" t="s">
        <v>2019</v>
      </c>
      <c r="C923" s="2">
        <v>2024</v>
      </c>
      <c r="D923" s="10">
        <v>3</v>
      </c>
      <c r="E923" s="10">
        <v>25</v>
      </c>
      <c r="F923" t="s">
        <v>121</v>
      </c>
      <c r="G923">
        <v>1572.1900000000001</v>
      </c>
      <c r="H923" t="s">
        <v>69</v>
      </c>
      <c r="I923" t="s">
        <v>195</v>
      </c>
      <c r="J923" s="10" t="str">
        <f>VLOOKUP(I923,Categories!A:B,2,FALSE)</f>
        <v>Tax</v>
      </c>
      <c r="K923" t="s">
        <v>178</v>
      </c>
      <c r="L923" s="10" t="str">
        <f>VLOOKUP(K923,Accounts!A:B,2,FALSE)</f>
        <v>SCB</v>
      </c>
      <c r="M923" t="s">
        <v>124</v>
      </c>
      <c r="N923" s="10"/>
      <c r="O923" t="s">
        <v>125</v>
      </c>
      <c r="Q923" t="s">
        <v>126</v>
      </c>
      <c r="R923" t="s">
        <v>124</v>
      </c>
      <c r="S923" t="b">
        <v>0</v>
      </c>
      <c r="T923" t="s">
        <v>124</v>
      </c>
    </row>
    <row r="924">
      <c r="A924" t="s">
        <v>2021</v>
      </c>
      <c r="B924" t="s">
        <v>2019</v>
      </c>
      <c r="C924" s="2">
        <v>2024</v>
      </c>
      <c r="D924" s="10">
        <v>3</v>
      </c>
      <c r="E924" s="10">
        <v>25</v>
      </c>
      <c r="F924" t="s">
        <v>121</v>
      </c>
      <c r="G924">
        <v>2488.5999999999999</v>
      </c>
      <c r="H924" t="s">
        <v>128</v>
      </c>
      <c r="I924" t="s">
        <v>136</v>
      </c>
      <c r="J924" s="10" t="str">
        <f>VLOOKUP(I924,Categories!A:B,2,FALSE)</f>
        <v>อื่นๆ</v>
      </c>
      <c r="K924" t="s">
        <v>178</v>
      </c>
      <c r="L924" s="10" t="str">
        <f>VLOOKUP(K924,Accounts!A:B,2,FALSE)</f>
        <v>SCB</v>
      </c>
      <c r="M924" t="s">
        <v>203</v>
      </c>
      <c r="N924" s="10" t="str">
        <f>VLOOKUP(M924,Accounts!A:B,2,FALSE)</f>
        <v xml:space="preserve">Provident Fund</v>
      </c>
      <c r="O924" t="s">
        <v>125</v>
      </c>
      <c r="Q924" t="s">
        <v>126</v>
      </c>
      <c r="R924" t="s">
        <v>124</v>
      </c>
      <c r="S924" t="b">
        <v>0</v>
      </c>
      <c r="T924" t="s">
        <v>124</v>
      </c>
    </row>
    <row r="925">
      <c r="A925" t="s">
        <v>2022</v>
      </c>
      <c r="B925" t="s">
        <v>2019</v>
      </c>
      <c r="C925" s="2">
        <v>2024</v>
      </c>
      <c r="D925" s="10">
        <v>3</v>
      </c>
      <c r="E925" s="10">
        <v>25</v>
      </c>
      <c r="F925" t="s">
        <v>121</v>
      </c>
      <c r="G925">
        <v>400.06</v>
      </c>
      <c r="H925" t="s">
        <v>69</v>
      </c>
      <c r="I925" t="s">
        <v>443</v>
      </c>
      <c r="J925" s="10" t="str">
        <f>VLOOKUP(I925,Categories!A:B,2,FALSE)</f>
        <v xml:space="preserve">City SV Interest</v>
      </c>
      <c r="K925" t="s">
        <v>178</v>
      </c>
      <c r="L925" s="10" t="str">
        <f>VLOOKUP(K925,Accounts!A:B,2,FALSE)</f>
        <v>SCB</v>
      </c>
      <c r="M925" t="s">
        <v>124</v>
      </c>
      <c r="N925" s="10"/>
      <c r="O925" t="s">
        <v>125</v>
      </c>
      <c r="Q925" t="s">
        <v>126</v>
      </c>
      <c r="R925" t="s">
        <v>124</v>
      </c>
      <c r="S925" t="b">
        <v>0</v>
      </c>
      <c r="T925" t="s">
        <v>124</v>
      </c>
    </row>
    <row r="926">
      <c r="A926" t="s">
        <v>2023</v>
      </c>
      <c r="B926" t="s">
        <v>2019</v>
      </c>
      <c r="C926" s="2">
        <v>2024</v>
      </c>
      <c r="D926" s="10">
        <v>3</v>
      </c>
      <c r="E926" s="10">
        <v>25</v>
      </c>
      <c r="F926" t="s">
        <v>121</v>
      </c>
      <c r="G926">
        <v>4158</v>
      </c>
      <c r="H926" t="s">
        <v>128</v>
      </c>
      <c r="I926" t="s">
        <v>136</v>
      </c>
      <c r="J926" s="10" t="str">
        <f>VLOOKUP(I926,Categories!A:B,2,FALSE)</f>
        <v>อื่นๆ</v>
      </c>
      <c r="K926" t="s">
        <v>123</v>
      </c>
      <c r="L926" s="10" t="str">
        <f>VLOOKUP(K926,Accounts!A:B,2,FALSE)</f>
        <v>KBank</v>
      </c>
      <c r="M926" t="s">
        <v>1421</v>
      </c>
      <c r="N926" s="10" t="str">
        <f>VLOOKUP(M926,Accounts!A:B,2,FALSE)</f>
        <v>Hong</v>
      </c>
      <c r="O926" t="s">
        <v>125</v>
      </c>
      <c r="Q926" t="s">
        <v>126</v>
      </c>
      <c r="R926" t="s">
        <v>124</v>
      </c>
      <c r="S926" t="b">
        <v>0</v>
      </c>
      <c r="T926" t="s">
        <v>124</v>
      </c>
    </row>
    <row r="927">
      <c r="A927" t="s">
        <v>2024</v>
      </c>
      <c r="B927" t="s">
        <v>2019</v>
      </c>
      <c r="C927" s="2">
        <v>2024</v>
      </c>
      <c r="D927" s="10">
        <v>3</v>
      </c>
      <c r="E927" s="10">
        <v>25</v>
      </c>
      <c r="F927" t="s">
        <v>121</v>
      </c>
      <c r="G927">
        <v>8540</v>
      </c>
      <c r="H927" t="s">
        <v>128</v>
      </c>
      <c r="I927" t="s">
        <v>136</v>
      </c>
      <c r="J927" s="10" t="str">
        <f>VLOOKUP(I927,Categories!A:B,2,FALSE)</f>
        <v>อื่นๆ</v>
      </c>
      <c r="K927" t="s">
        <v>178</v>
      </c>
      <c r="L927" s="10" t="str">
        <f>VLOOKUP(K927,Accounts!A:B,2,FALSE)</f>
        <v>SCB</v>
      </c>
      <c r="M927" t="s">
        <v>1244</v>
      </c>
      <c r="N927" s="10" t="str">
        <f>VLOOKUP(M927,Accounts!A:B,2,FALSE)</f>
        <v xml:space="preserve">Home chomthong Loan</v>
      </c>
      <c r="O927" t="s">
        <v>125</v>
      </c>
      <c r="Q927" t="s">
        <v>126</v>
      </c>
      <c r="R927" t="s">
        <v>124</v>
      </c>
      <c r="S927" t="b">
        <v>0</v>
      </c>
      <c r="T927" t="s">
        <v>124</v>
      </c>
    </row>
    <row r="928">
      <c r="A928" t="s">
        <v>2025</v>
      </c>
      <c r="B928" t="s">
        <v>2019</v>
      </c>
      <c r="C928" s="2">
        <v>2024</v>
      </c>
      <c r="D928" s="10">
        <v>3</v>
      </c>
      <c r="E928" s="10">
        <v>25</v>
      </c>
      <c r="F928" t="s">
        <v>121</v>
      </c>
      <c r="G928">
        <v>124430</v>
      </c>
      <c r="H928" t="s">
        <v>206</v>
      </c>
      <c r="I928" t="s">
        <v>207</v>
      </c>
      <c r="J928" s="10" t="str">
        <f>VLOOKUP(I928,Categories!A:B,2,FALSE)</f>
        <v>Salary</v>
      </c>
      <c r="K928" t="s">
        <v>178</v>
      </c>
      <c r="L928" s="10" t="str">
        <f>VLOOKUP(K928,Accounts!A:B,2,FALSE)</f>
        <v>SCB</v>
      </c>
      <c r="M928" t="s">
        <v>124</v>
      </c>
      <c r="N928" s="10"/>
      <c r="O928" t="s">
        <v>125</v>
      </c>
      <c r="Q928" t="s">
        <v>126</v>
      </c>
      <c r="R928" t="s">
        <v>124</v>
      </c>
      <c r="S928" t="b">
        <v>0</v>
      </c>
      <c r="T928" t="s">
        <v>124</v>
      </c>
    </row>
    <row r="929">
      <c r="A929" t="s">
        <v>2026</v>
      </c>
      <c r="B929" t="s">
        <v>2019</v>
      </c>
      <c r="C929" s="2">
        <v>2024</v>
      </c>
      <c r="D929" s="10">
        <v>3</v>
      </c>
      <c r="E929" s="10">
        <v>25</v>
      </c>
      <c r="F929" t="s">
        <v>121</v>
      </c>
      <c r="G929">
        <v>9240</v>
      </c>
      <c r="H929" t="s">
        <v>128</v>
      </c>
      <c r="I929" t="s">
        <v>136</v>
      </c>
      <c r="J929" s="10" t="str">
        <f>VLOOKUP(I929,Categories!A:B,2,FALSE)</f>
        <v>อื่นๆ</v>
      </c>
      <c r="K929" t="s">
        <v>178</v>
      </c>
      <c r="L929" s="10" t="str">
        <f>VLOOKUP(K929,Accounts!A:B,2,FALSE)</f>
        <v>SCB</v>
      </c>
      <c r="M929" t="s">
        <v>1246</v>
      </c>
      <c r="N929" s="10" t="str">
        <f>VLOOKUP(M929,Accounts!A:B,2,FALSE)</f>
        <v xml:space="preserve">Car Loan</v>
      </c>
      <c r="O929" t="s">
        <v>125</v>
      </c>
      <c r="Q929" t="s">
        <v>126</v>
      </c>
      <c r="R929" t="s">
        <v>124</v>
      </c>
      <c r="S929" t="b">
        <v>0</v>
      </c>
      <c r="T929" t="s">
        <v>124</v>
      </c>
    </row>
    <row r="930">
      <c r="A930" t="s">
        <v>2027</v>
      </c>
      <c r="B930" t="s">
        <v>2019</v>
      </c>
      <c r="C930" s="2">
        <v>2024</v>
      </c>
      <c r="D930" s="10">
        <v>3</v>
      </c>
      <c r="E930" s="10">
        <v>25</v>
      </c>
      <c r="F930" t="s">
        <v>121</v>
      </c>
      <c r="G930">
        <v>500</v>
      </c>
      <c r="H930" t="s">
        <v>128</v>
      </c>
      <c r="I930" t="s">
        <v>136</v>
      </c>
      <c r="J930" s="10" t="str">
        <f>VLOOKUP(I930,Categories!A:B,2,FALSE)</f>
        <v>อื่นๆ</v>
      </c>
      <c r="K930" t="s">
        <v>178</v>
      </c>
      <c r="L930" s="10" t="str">
        <f>VLOOKUP(K930,Accounts!A:B,2,FALSE)</f>
        <v>SCB</v>
      </c>
      <c r="M930" t="s">
        <v>201</v>
      </c>
      <c r="N930" s="10" t="str">
        <f>VLOOKUP(M930,Accounts!A:B,2,FALSE)</f>
        <v>Coop</v>
      </c>
      <c r="O930" t="s">
        <v>125</v>
      </c>
      <c r="Q930" t="s">
        <v>126</v>
      </c>
      <c r="R930" t="s">
        <v>124</v>
      </c>
      <c r="S930" t="b">
        <v>0</v>
      </c>
      <c r="T930" t="s">
        <v>124</v>
      </c>
    </row>
    <row r="931">
      <c r="A931" t="s">
        <v>2028</v>
      </c>
      <c r="B931" t="s">
        <v>2029</v>
      </c>
      <c r="C931" s="2">
        <v>2024</v>
      </c>
      <c r="D931" s="10">
        <v>3</v>
      </c>
      <c r="E931" s="10">
        <v>24</v>
      </c>
      <c r="F931" t="s">
        <v>373</v>
      </c>
      <c r="G931">
        <v>1124</v>
      </c>
      <c r="H931" t="s">
        <v>128</v>
      </c>
      <c r="I931" t="s">
        <v>136</v>
      </c>
      <c r="J931" s="10" t="str">
        <f>VLOOKUP(I931,Categories!A:B,2,FALSE)</f>
        <v>อื่นๆ</v>
      </c>
      <c r="K931" t="s">
        <v>123</v>
      </c>
      <c r="L931" s="10" t="str">
        <f>VLOOKUP(K931,Accounts!A:B,2,FALSE)</f>
        <v>KBank</v>
      </c>
      <c r="M931" t="s">
        <v>131</v>
      </c>
      <c r="N931" s="10" t="str">
        <f>VLOOKUP(M931,Accounts!A:B,2,FALSE)</f>
        <v xml:space="preserve">Advance Paid</v>
      </c>
      <c r="O931" t="s">
        <v>125</v>
      </c>
      <c r="Q931" t="s">
        <v>126</v>
      </c>
      <c r="R931" t="s">
        <v>124</v>
      </c>
      <c r="S931" t="b">
        <v>0</v>
      </c>
      <c r="T931" t="s">
        <v>124</v>
      </c>
    </row>
    <row r="932">
      <c r="A932" t="s">
        <v>2030</v>
      </c>
      <c r="B932" t="s">
        <v>2029</v>
      </c>
      <c r="C932" s="2">
        <v>2024</v>
      </c>
      <c r="D932" s="10">
        <v>3</v>
      </c>
      <c r="E932" s="10">
        <v>24</v>
      </c>
      <c r="F932" t="s">
        <v>2031</v>
      </c>
      <c r="G932">
        <v>170</v>
      </c>
      <c r="H932" t="s">
        <v>69</v>
      </c>
      <c r="I932" t="s">
        <v>150</v>
      </c>
      <c r="J932" s="10" t="str">
        <f>VLOOKUP(I932,Categories!A:B,2,FALSE)</f>
        <v xml:space="preserve">Food &amp; Coff</v>
      </c>
      <c r="K932" t="s">
        <v>123</v>
      </c>
      <c r="L932" s="10" t="str">
        <f>VLOOKUP(K932,Accounts!A:B,2,FALSE)</f>
        <v>KBank</v>
      </c>
      <c r="M932" t="s">
        <v>124</v>
      </c>
      <c r="N932" s="10"/>
      <c r="O932" t="s">
        <v>125</v>
      </c>
      <c r="Q932" t="s">
        <v>126</v>
      </c>
      <c r="R932" t="s">
        <v>124</v>
      </c>
      <c r="S932" t="b">
        <v>0</v>
      </c>
      <c r="T932" t="s">
        <v>124</v>
      </c>
    </row>
    <row r="933">
      <c r="A933" t="s">
        <v>2032</v>
      </c>
      <c r="B933" t="s">
        <v>2029</v>
      </c>
      <c r="C933" s="2">
        <v>2024</v>
      </c>
      <c r="D933" s="10">
        <v>3</v>
      </c>
      <c r="E933" s="10">
        <v>24</v>
      </c>
      <c r="F933" t="s">
        <v>791</v>
      </c>
      <c r="G933">
        <v>14282</v>
      </c>
      <c r="H933" t="s">
        <v>128</v>
      </c>
      <c r="I933" t="s">
        <v>136</v>
      </c>
      <c r="J933" s="10" t="str">
        <f>VLOOKUP(I933,Categories!A:B,2,FALSE)</f>
        <v>อื่นๆ</v>
      </c>
      <c r="K933" t="s">
        <v>131</v>
      </c>
      <c r="L933" s="10" t="str">
        <f>VLOOKUP(K933,Accounts!A:B,2,FALSE)</f>
        <v xml:space="preserve">Advance Paid</v>
      </c>
      <c r="M933" t="s">
        <v>123</v>
      </c>
      <c r="N933" s="10" t="str">
        <f>VLOOKUP(M933,Accounts!A:B,2,FALSE)</f>
        <v>KBank</v>
      </c>
      <c r="O933" t="s">
        <v>2033</v>
      </c>
      <c r="Q933" t="s">
        <v>126</v>
      </c>
      <c r="R933" t="s">
        <v>124</v>
      </c>
      <c r="S933" t="b">
        <v>0</v>
      </c>
      <c r="T933" t="s">
        <v>124</v>
      </c>
    </row>
    <row r="934">
      <c r="A934" t="s">
        <v>2034</v>
      </c>
      <c r="B934" t="s">
        <v>2029</v>
      </c>
      <c r="C934" s="2">
        <v>2024</v>
      </c>
      <c r="D934" s="10">
        <v>3</v>
      </c>
      <c r="E934" s="10">
        <v>24</v>
      </c>
      <c r="F934" t="s">
        <v>658</v>
      </c>
      <c r="G934">
        <v>1568</v>
      </c>
      <c r="H934" t="s">
        <v>128</v>
      </c>
      <c r="I934" t="s">
        <v>136</v>
      </c>
      <c r="J934" s="10" t="str">
        <f>VLOOKUP(I934,Categories!A:B,2,FALSE)</f>
        <v>อื่นๆ</v>
      </c>
      <c r="K934" t="s">
        <v>131</v>
      </c>
      <c r="L934" s="10" t="str">
        <f>VLOOKUP(K934,Accounts!A:B,2,FALSE)</f>
        <v xml:space="preserve">Advance Paid</v>
      </c>
      <c r="M934" t="s">
        <v>123</v>
      </c>
      <c r="N934" s="10" t="str">
        <f>VLOOKUP(M934,Accounts!A:B,2,FALSE)</f>
        <v>KBank</v>
      </c>
      <c r="O934" t="s">
        <v>2035</v>
      </c>
      <c r="Q934" t="s">
        <v>126</v>
      </c>
      <c r="R934" t="s">
        <v>124</v>
      </c>
      <c r="S934" t="b">
        <v>0</v>
      </c>
      <c r="T934" t="s">
        <v>124</v>
      </c>
    </row>
    <row r="935">
      <c r="A935" t="s">
        <v>2036</v>
      </c>
      <c r="B935" t="s">
        <v>2029</v>
      </c>
      <c r="C935" s="2">
        <v>2024</v>
      </c>
      <c r="D935" s="10">
        <v>3</v>
      </c>
      <c r="E935" s="10">
        <v>24</v>
      </c>
      <c r="F935" t="s">
        <v>1190</v>
      </c>
      <c r="G935">
        <v>5965</v>
      </c>
      <c r="H935" t="s">
        <v>69</v>
      </c>
      <c r="I935" t="s">
        <v>338</v>
      </c>
      <c r="J935" s="10" t="str">
        <f>VLOOKUP(I935,Categories!A:B,2,FALSE)</f>
        <v>Trips</v>
      </c>
      <c r="K935" t="s">
        <v>131</v>
      </c>
      <c r="L935" s="10" t="str">
        <f>VLOOKUP(K935,Accounts!A:B,2,FALSE)</f>
        <v xml:space="preserve">Advance Paid</v>
      </c>
      <c r="M935" t="s">
        <v>124</v>
      </c>
      <c r="N935" s="10"/>
      <c r="O935" t="s">
        <v>125</v>
      </c>
      <c r="Q935" t="s">
        <v>126</v>
      </c>
      <c r="R935" t="s">
        <v>124</v>
      </c>
      <c r="S935" t="b">
        <v>0</v>
      </c>
      <c r="T935" t="s">
        <v>124</v>
      </c>
    </row>
    <row r="936">
      <c r="A936" t="s">
        <v>2037</v>
      </c>
      <c r="B936" t="s">
        <v>2029</v>
      </c>
      <c r="C936" s="2">
        <v>2024</v>
      </c>
      <c r="D936" s="10">
        <v>3</v>
      </c>
      <c r="E936" s="10">
        <v>24</v>
      </c>
      <c r="F936" t="s">
        <v>2038</v>
      </c>
      <c r="G936">
        <v>660</v>
      </c>
      <c r="H936" t="s">
        <v>128</v>
      </c>
      <c r="I936" t="s">
        <v>136</v>
      </c>
      <c r="J936" s="10" t="str">
        <f>VLOOKUP(I936,Categories!A:B,2,FALSE)</f>
        <v>อื่นๆ</v>
      </c>
      <c r="K936" t="s">
        <v>131</v>
      </c>
      <c r="L936" s="10" t="str">
        <f>VLOOKUP(K936,Accounts!A:B,2,FALSE)</f>
        <v xml:space="preserve">Advance Paid</v>
      </c>
      <c r="M936" t="s">
        <v>123</v>
      </c>
      <c r="N936" s="10" t="str">
        <f>VLOOKUP(M936,Accounts!A:B,2,FALSE)</f>
        <v>KBank</v>
      </c>
      <c r="O936" t="s">
        <v>125</v>
      </c>
      <c r="Q936" t="s">
        <v>126</v>
      </c>
      <c r="R936" t="s">
        <v>124</v>
      </c>
      <c r="S936" t="b">
        <v>0</v>
      </c>
      <c r="T936" t="s">
        <v>124</v>
      </c>
    </row>
    <row r="937">
      <c r="A937" t="s">
        <v>2039</v>
      </c>
      <c r="B937" t="s">
        <v>2029</v>
      </c>
      <c r="C937" s="2">
        <v>2024</v>
      </c>
      <c r="D937" s="10">
        <v>3</v>
      </c>
      <c r="E937" s="10">
        <v>24</v>
      </c>
      <c r="F937" t="s">
        <v>2040</v>
      </c>
      <c r="G937">
        <v>2090</v>
      </c>
      <c r="H937" t="s">
        <v>128</v>
      </c>
      <c r="I937" t="s">
        <v>136</v>
      </c>
      <c r="J937" s="10" t="str">
        <f>VLOOKUP(I937,Categories!A:B,2,FALSE)</f>
        <v>อื่นๆ</v>
      </c>
      <c r="K937" t="s">
        <v>123</v>
      </c>
      <c r="L937" s="10" t="str">
        <f>VLOOKUP(K937,Accounts!A:B,2,FALSE)</f>
        <v>KBank</v>
      </c>
      <c r="M937" t="s">
        <v>131</v>
      </c>
      <c r="N937" s="10" t="str">
        <f>VLOOKUP(M937,Accounts!A:B,2,FALSE)</f>
        <v xml:space="preserve">Advance Paid</v>
      </c>
      <c r="O937" t="s">
        <v>125</v>
      </c>
      <c r="Q937" t="s">
        <v>126</v>
      </c>
      <c r="R937" t="s">
        <v>124</v>
      </c>
      <c r="S937" t="b">
        <v>0</v>
      </c>
      <c r="T937" t="s">
        <v>124</v>
      </c>
    </row>
    <row r="938">
      <c r="A938" t="s">
        <v>2041</v>
      </c>
      <c r="B938" t="s">
        <v>2029</v>
      </c>
      <c r="C938" s="2">
        <v>2024</v>
      </c>
      <c r="D938" s="10">
        <v>3</v>
      </c>
      <c r="E938" s="10">
        <v>24</v>
      </c>
      <c r="F938" t="s">
        <v>2042</v>
      </c>
      <c r="G938">
        <v>80</v>
      </c>
      <c r="H938" t="s">
        <v>128</v>
      </c>
      <c r="I938" t="s">
        <v>136</v>
      </c>
      <c r="J938" s="10" t="str">
        <f>VLOOKUP(I938,Categories!A:B,2,FALSE)</f>
        <v>อื่นๆ</v>
      </c>
      <c r="K938" t="s">
        <v>131</v>
      </c>
      <c r="L938" s="10" t="str">
        <f>VLOOKUP(K938,Accounts!A:B,2,FALSE)</f>
        <v xml:space="preserve">Advance Paid</v>
      </c>
      <c r="M938" t="s">
        <v>123</v>
      </c>
      <c r="N938" s="10" t="str">
        <f>VLOOKUP(M938,Accounts!A:B,2,FALSE)</f>
        <v>KBank</v>
      </c>
      <c r="O938" t="s">
        <v>125</v>
      </c>
      <c r="Q938" t="s">
        <v>126</v>
      </c>
      <c r="R938" t="s">
        <v>124</v>
      </c>
      <c r="S938" t="b">
        <v>0</v>
      </c>
      <c r="T938" t="s">
        <v>124</v>
      </c>
    </row>
    <row r="939">
      <c r="A939" t="s">
        <v>2043</v>
      </c>
      <c r="B939" t="s">
        <v>2029</v>
      </c>
      <c r="C939" s="2">
        <v>2024</v>
      </c>
      <c r="D939" s="10">
        <v>3</v>
      </c>
      <c r="E939" s="10">
        <v>24</v>
      </c>
      <c r="F939" t="s">
        <v>2042</v>
      </c>
      <c r="G939">
        <v>347</v>
      </c>
      <c r="H939" t="s">
        <v>206</v>
      </c>
      <c r="I939" t="s">
        <v>122</v>
      </c>
      <c r="J939" s="10" t="str">
        <f>VLOOKUP(I939,Categories!A:B,2,FALSE)</f>
        <v>Other</v>
      </c>
      <c r="K939" t="s">
        <v>123</v>
      </c>
      <c r="L939" s="10" t="str">
        <f>VLOOKUP(K939,Accounts!A:B,2,FALSE)</f>
        <v>KBank</v>
      </c>
      <c r="M939" t="s">
        <v>124</v>
      </c>
      <c r="N939" s="10"/>
      <c r="O939" t="s">
        <v>125</v>
      </c>
      <c r="Q939" t="s">
        <v>126</v>
      </c>
      <c r="R939" t="s">
        <v>124</v>
      </c>
      <c r="S939" t="b">
        <v>0</v>
      </c>
      <c r="T939" t="s">
        <v>124</v>
      </c>
    </row>
    <row r="940">
      <c r="A940" t="s">
        <v>2044</v>
      </c>
      <c r="B940" t="s">
        <v>2029</v>
      </c>
      <c r="C940" s="2">
        <v>2024</v>
      </c>
      <c r="D940" s="10">
        <v>3</v>
      </c>
      <c r="E940" s="10">
        <v>24</v>
      </c>
      <c r="F940" t="s">
        <v>2045</v>
      </c>
      <c r="G940">
        <v>9235</v>
      </c>
      <c r="H940" t="s">
        <v>69</v>
      </c>
      <c r="I940" t="s">
        <v>338</v>
      </c>
      <c r="J940" s="10" t="str">
        <f>VLOOKUP(I940,Categories!A:B,2,FALSE)</f>
        <v>Trips</v>
      </c>
      <c r="K940" t="s">
        <v>123</v>
      </c>
      <c r="L940" s="10" t="str">
        <f>VLOOKUP(K940,Accounts!A:B,2,FALSE)</f>
        <v>KBank</v>
      </c>
      <c r="M940" t="s">
        <v>124</v>
      </c>
      <c r="N940" s="10"/>
      <c r="O940" t="s">
        <v>2046</v>
      </c>
      <c r="Q940" t="s">
        <v>126</v>
      </c>
      <c r="R940" t="s">
        <v>124</v>
      </c>
      <c r="S940" t="b">
        <v>0</v>
      </c>
      <c r="T940" t="s">
        <v>124</v>
      </c>
    </row>
    <row r="941">
      <c r="A941" t="s">
        <v>2047</v>
      </c>
      <c r="B941" t="s">
        <v>2048</v>
      </c>
      <c r="C941" s="2">
        <v>2024</v>
      </c>
      <c r="D941" s="10">
        <v>3</v>
      </c>
      <c r="E941" s="10">
        <v>23</v>
      </c>
      <c r="F941" t="s">
        <v>1265</v>
      </c>
      <c r="G941">
        <v>160</v>
      </c>
      <c r="H941" t="s">
        <v>128</v>
      </c>
      <c r="I941" t="s">
        <v>136</v>
      </c>
      <c r="J941" s="10" t="str">
        <f>VLOOKUP(I941,Categories!A:B,2,FALSE)</f>
        <v>อื่นๆ</v>
      </c>
      <c r="K941" t="s">
        <v>123</v>
      </c>
      <c r="L941" s="10" t="str">
        <f>VLOOKUP(K941,Accounts!A:B,2,FALSE)</f>
        <v>KBank</v>
      </c>
      <c r="M941" t="s">
        <v>131</v>
      </c>
      <c r="N941" s="10" t="str">
        <f>VLOOKUP(M941,Accounts!A:B,2,FALSE)</f>
        <v xml:space="preserve">Advance Paid</v>
      </c>
      <c r="O941" t="s">
        <v>125</v>
      </c>
      <c r="Q941" t="s">
        <v>126</v>
      </c>
      <c r="R941" t="s">
        <v>124</v>
      </c>
      <c r="S941" t="b">
        <v>0</v>
      </c>
      <c r="T941" t="s">
        <v>124</v>
      </c>
    </row>
    <row r="942">
      <c r="A942" t="s">
        <v>2049</v>
      </c>
      <c r="B942" t="s">
        <v>2048</v>
      </c>
      <c r="C942" s="2">
        <v>2024</v>
      </c>
      <c r="D942" s="10">
        <v>3</v>
      </c>
      <c r="E942" s="10">
        <v>23</v>
      </c>
      <c r="F942" t="s">
        <v>2004</v>
      </c>
      <c r="G942">
        <v>310</v>
      </c>
      <c r="H942" t="s">
        <v>128</v>
      </c>
      <c r="I942" t="s">
        <v>136</v>
      </c>
      <c r="J942" s="10" t="str">
        <f>VLOOKUP(I942,Categories!A:B,2,FALSE)</f>
        <v>อื่นๆ</v>
      </c>
      <c r="K942" t="s">
        <v>123</v>
      </c>
      <c r="L942" s="10" t="str">
        <f>VLOOKUP(K942,Accounts!A:B,2,FALSE)</f>
        <v>KBank</v>
      </c>
      <c r="M942" t="s">
        <v>131</v>
      </c>
      <c r="N942" s="10" t="str">
        <f>VLOOKUP(M942,Accounts!A:B,2,FALSE)</f>
        <v xml:space="preserve">Advance Paid</v>
      </c>
      <c r="O942" t="s">
        <v>125</v>
      </c>
      <c r="Q942" t="s">
        <v>126</v>
      </c>
      <c r="R942" t="s">
        <v>124</v>
      </c>
      <c r="S942" t="b">
        <v>0</v>
      </c>
      <c r="T942" t="s">
        <v>124</v>
      </c>
    </row>
    <row r="943">
      <c r="A943" t="s">
        <v>2050</v>
      </c>
      <c r="B943" t="s">
        <v>2051</v>
      </c>
      <c r="C943" s="2">
        <v>2024</v>
      </c>
      <c r="D943" s="10">
        <v>3</v>
      </c>
      <c r="E943" s="10">
        <v>22</v>
      </c>
      <c r="F943" t="s">
        <v>2052</v>
      </c>
      <c r="G943">
        <v>660</v>
      </c>
      <c r="H943" t="s">
        <v>128</v>
      </c>
      <c r="I943" t="s">
        <v>136</v>
      </c>
      <c r="J943" s="10" t="str">
        <f>VLOOKUP(I943,Categories!A:B,2,FALSE)</f>
        <v>อื่นๆ</v>
      </c>
      <c r="K943" t="s">
        <v>123</v>
      </c>
      <c r="L943" s="10" t="str">
        <f>VLOOKUP(K943,Accounts!A:B,2,FALSE)</f>
        <v>KBank</v>
      </c>
      <c r="M943" t="s">
        <v>131</v>
      </c>
      <c r="N943" s="10" t="str">
        <f>VLOOKUP(M943,Accounts!A:B,2,FALSE)</f>
        <v xml:space="preserve">Advance Paid</v>
      </c>
      <c r="O943" t="s">
        <v>125</v>
      </c>
      <c r="Q943" t="s">
        <v>126</v>
      </c>
      <c r="R943" t="s">
        <v>124</v>
      </c>
      <c r="S943" t="b">
        <v>0</v>
      </c>
      <c r="T943" t="s">
        <v>124</v>
      </c>
    </row>
    <row r="944">
      <c r="A944" t="s">
        <v>2053</v>
      </c>
      <c r="B944" t="s">
        <v>2051</v>
      </c>
      <c r="C944" s="2">
        <v>2024</v>
      </c>
      <c r="D944" s="10">
        <v>3</v>
      </c>
      <c r="E944" s="10">
        <v>22</v>
      </c>
      <c r="F944" t="s">
        <v>2054</v>
      </c>
      <c r="G944">
        <v>3500</v>
      </c>
      <c r="H944" t="s">
        <v>128</v>
      </c>
      <c r="I944" t="s">
        <v>136</v>
      </c>
      <c r="J944" s="10" t="str">
        <f>VLOOKUP(I944,Categories!A:B,2,FALSE)</f>
        <v>อื่นๆ</v>
      </c>
      <c r="K944" t="s">
        <v>123</v>
      </c>
      <c r="L944" s="10" t="str">
        <f>VLOOKUP(K944,Accounts!A:B,2,FALSE)</f>
        <v>KBank</v>
      </c>
      <c r="M944" t="s">
        <v>131</v>
      </c>
      <c r="N944" s="10" t="str">
        <f>VLOOKUP(M944,Accounts!A:B,2,FALSE)</f>
        <v xml:space="preserve">Advance Paid</v>
      </c>
      <c r="O944" t="s">
        <v>125</v>
      </c>
      <c r="Q944" t="s">
        <v>126</v>
      </c>
      <c r="R944" t="s">
        <v>124</v>
      </c>
      <c r="S944" t="b">
        <v>0</v>
      </c>
      <c r="T944" t="s">
        <v>124</v>
      </c>
    </row>
    <row r="945">
      <c r="A945" t="s">
        <v>2055</v>
      </c>
      <c r="B945" t="s">
        <v>2056</v>
      </c>
      <c r="C945" s="2">
        <v>2024</v>
      </c>
      <c r="D945" s="10">
        <v>3</v>
      </c>
      <c r="E945" s="10">
        <v>20</v>
      </c>
      <c r="F945" t="s">
        <v>686</v>
      </c>
      <c r="G945">
        <v>967</v>
      </c>
      <c r="H945" t="s">
        <v>69</v>
      </c>
      <c r="I945" t="s">
        <v>259</v>
      </c>
      <c r="J945" s="10" t="str">
        <f>VLOOKUP(I945,Categories!A:B,2,FALSE)</f>
        <v xml:space="preserve">Team BOT</v>
      </c>
      <c r="K945" t="s">
        <v>178</v>
      </c>
      <c r="L945" s="10" t="str">
        <f>VLOOKUP(K945,Accounts!A:B,2,FALSE)</f>
        <v>SCB</v>
      </c>
      <c r="M945" t="s">
        <v>124</v>
      </c>
      <c r="N945" s="10"/>
      <c r="O945" t="s">
        <v>125</v>
      </c>
      <c r="Q945" t="s">
        <v>126</v>
      </c>
      <c r="R945" t="s">
        <v>124</v>
      </c>
      <c r="S945" t="b">
        <v>0</v>
      </c>
      <c r="T945" t="s">
        <v>124</v>
      </c>
    </row>
    <row r="946">
      <c r="A946" t="s">
        <v>2057</v>
      </c>
      <c r="B946" t="s">
        <v>46</v>
      </c>
      <c r="C946" s="2">
        <v>2024</v>
      </c>
      <c r="D946" s="10">
        <v>3</v>
      </c>
      <c r="E946" s="10">
        <v>17</v>
      </c>
      <c r="F946" t="s">
        <v>696</v>
      </c>
      <c r="G946">
        <v>50000</v>
      </c>
      <c r="H946" t="s">
        <v>128</v>
      </c>
      <c r="I946" t="s">
        <v>136</v>
      </c>
      <c r="J946" s="10" t="str">
        <f>VLOOKUP(I946,Categories!A:B,2,FALSE)</f>
        <v>อื่นๆ</v>
      </c>
      <c r="K946" t="s">
        <v>123</v>
      </c>
      <c r="L946" s="10" t="str">
        <f>VLOOKUP(K946,Accounts!A:B,2,FALSE)</f>
        <v>KBank</v>
      </c>
      <c r="M946" t="s">
        <v>215</v>
      </c>
      <c r="N946" s="10" t="str">
        <f>VLOOKUP(M946,Accounts!A:B,2,FALSE)</f>
        <v>Investment</v>
      </c>
      <c r="O946" t="s">
        <v>2058</v>
      </c>
      <c r="Q946" t="s">
        <v>126</v>
      </c>
      <c r="R946" t="s">
        <v>124</v>
      </c>
      <c r="S946" t="b">
        <v>0</v>
      </c>
      <c r="T946" t="s">
        <v>124</v>
      </c>
    </row>
    <row r="947">
      <c r="A947" t="s">
        <v>2059</v>
      </c>
      <c r="B947" t="s">
        <v>46</v>
      </c>
      <c r="C947" s="2">
        <v>2024</v>
      </c>
      <c r="D947" s="10">
        <v>3</v>
      </c>
      <c r="E947" s="10">
        <v>17</v>
      </c>
      <c r="F947" t="s">
        <v>1992</v>
      </c>
      <c r="G947">
        <v>29755</v>
      </c>
      <c r="H947" t="s">
        <v>69</v>
      </c>
      <c r="I947" t="s">
        <v>338</v>
      </c>
      <c r="J947" s="10" t="str">
        <f>VLOOKUP(I947,Categories!A:B,2,FALSE)</f>
        <v>Trips</v>
      </c>
      <c r="K947" t="s">
        <v>178</v>
      </c>
      <c r="L947" s="10" t="str">
        <f>VLOOKUP(K947,Accounts!A:B,2,FALSE)</f>
        <v>SCB</v>
      </c>
      <c r="M947" t="s">
        <v>124</v>
      </c>
      <c r="N947" s="10"/>
      <c r="O947" t="s">
        <v>2060</v>
      </c>
      <c r="Q947" t="s">
        <v>126</v>
      </c>
      <c r="R947" t="s">
        <v>124</v>
      </c>
      <c r="S947" t="b">
        <v>0</v>
      </c>
      <c r="T947" t="s">
        <v>124</v>
      </c>
    </row>
    <row r="948">
      <c r="A948" t="s">
        <v>2061</v>
      </c>
      <c r="B948" t="s">
        <v>2062</v>
      </c>
      <c r="C948" s="2">
        <v>2024</v>
      </c>
      <c r="D948" s="10">
        <v>3</v>
      </c>
      <c r="E948" s="10">
        <v>16</v>
      </c>
      <c r="F948" t="s">
        <v>2063</v>
      </c>
      <c r="G948">
        <v>430</v>
      </c>
      <c r="H948" t="s">
        <v>69</v>
      </c>
      <c r="I948" t="s">
        <v>150</v>
      </c>
      <c r="J948" s="10" t="str">
        <f>VLOOKUP(I948,Categories!A:B,2,FALSE)</f>
        <v xml:space="preserve">Food &amp; Coff</v>
      </c>
      <c r="K948" t="s">
        <v>123</v>
      </c>
      <c r="L948" s="10" t="str">
        <f>VLOOKUP(K948,Accounts!A:B,2,FALSE)</f>
        <v>KBank</v>
      </c>
      <c r="M948" t="s">
        <v>124</v>
      </c>
      <c r="N948" s="10"/>
      <c r="O948" t="s">
        <v>2064</v>
      </c>
      <c r="Q948" t="s">
        <v>126</v>
      </c>
      <c r="R948" t="s">
        <v>124</v>
      </c>
      <c r="S948" t="b">
        <v>0</v>
      </c>
      <c r="T948" t="s">
        <v>124</v>
      </c>
    </row>
    <row r="949">
      <c r="A949" t="s">
        <v>2065</v>
      </c>
      <c r="B949" t="s">
        <v>2066</v>
      </c>
      <c r="C949" s="2">
        <v>2024</v>
      </c>
      <c r="D949" s="10">
        <v>3</v>
      </c>
      <c r="E949" s="10">
        <v>14</v>
      </c>
      <c r="F949" t="s">
        <v>1667</v>
      </c>
      <c r="G949">
        <v>202</v>
      </c>
      <c r="H949" t="s">
        <v>69</v>
      </c>
      <c r="I949" t="s">
        <v>150</v>
      </c>
      <c r="J949" s="10" t="str">
        <f>VLOOKUP(I949,Categories!A:B,2,FALSE)</f>
        <v xml:space="preserve">Food &amp; Coff</v>
      </c>
      <c r="K949" t="s">
        <v>178</v>
      </c>
      <c r="L949" s="10" t="str">
        <f>VLOOKUP(K949,Accounts!A:B,2,FALSE)</f>
        <v>SCB</v>
      </c>
      <c r="M949" t="s">
        <v>124</v>
      </c>
      <c r="N949" s="10"/>
      <c r="O949" t="s">
        <v>125</v>
      </c>
      <c r="Q949" t="s">
        <v>126</v>
      </c>
      <c r="R949" t="s">
        <v>124</v>
      </c>
      <c r="S949" t="b">
        <v>0</v>
      </c>
      <c r="T949" t="s">
        <v>124</v>
      </c>
    </row>
    <row r="950">
      <c r="A950" t="s">
        <v>2067</v>
      </c>
      <c r="B950" t="s">
        <v>2068</v>
      </c>
      <c r="C950" s="2">
        <v>2024</v>
      </c>
      <c r="D950" s="10">
        <v>3</v>
      </c>
      <c r="E950" s="10">
        <v>11</v>
      </c>
      <c r="F950" t="s">
        <v>1673</v>
      </c>
      <c r="G950">
        <v>192800</v>
      </c>
      <c r="H950" t="s">
        <v>128</v>
      </c>
      <c r="I950" t="s">
        <v>136</v>
      </c>
      <c r="J950" s="10" t="str">
        <f>VLOOKUP(I950,Categories!A:B,2,FALSE)</f>
        <v>อื่นๆ</v>
      </c>
      <c r="K950" t="s">
        <v>178</v>
      </c>
      <c r="L950" s="10" t="str">
        <f>VLOOKUP(K950,Accounts!A:B,2,FALSE)</f>
        <v>SCB</v>
      </c>
      <c r="M950" t="s">
        <v>855</v>
      </c>
      <c r="N950" s="10" t="str">
        <f>VLOOKUP(M950,Accounts!A:B,2,FALSE)</f>
        <v xml:space="preserve">Travelcard JPY</v>
      </c>
      <c r="O950" t="s">
        <v>125</v>
      </c>
      <c r="Q950" t="s">
        <v>126</v>
      </c>
      <c r="R950" t="s">
        <v>124</v>
      </c>
      <c r="S950" t="b">
        <v>0</v>
      </c>
      <c r="T950" t="s">
        <v>124</v>
      </c>
    </row>
    <row r="951">
      <c r="A951" t="s">
        <v>2069</v>
      </c>
      <c r="B951" t="s">
        <v>2068</v>
      </c>
      <c r="C951" s="2">
        <v>2024</v>
      </c>
      <c r="D951" s="10">
        <v>3</v>
      </c>
      <c r="E951" s="10">
        <v>11</v>
      </c>
      <c r="F951" t="s">
        <v>686</v>
      </c>
      <c r="G951">
        <v>30000</v>
      </c>
      <c r="H951" t="s">
        <v>128</v>
      </c>
      <c r="I951" t="s">
        <v>136</v>
      </c>
      <c r="J951" s="10" t="str">
        <f>VLOOKUP(I951,Categories!A:B,2,FALSE)</f>
        <v>อื่นๆ</v>
      </c>
      <c r="K951" t="s">
        <v>1421</v>
      </c>
      <c r="L951" s="10" t="str">
        <f>VLOOKUP(K951,Accounts!A:B,2,FALSE)</f>
        <v>Hong</v>
      </c>
      <c r="M951" t="s">
        <v>855</v>
      </c>
      <c r="N951" s="10" t="str">
        <f>VLOOKUP(M951,Accounts!A:B,2,FALSE)</f>
        <v xml:space="preserve">Travelcard JPY</v>
      </c>
      <c r="O951" t="s">
        <v>2070</v>
      </c>
      <c r="Q951" t="s">
        <v>126</v>
      </c>
      <c r="R951" t="s">
        <v>124</v>
      </c>
      <c r="S951" t="b">
        <v>0</v>
      </c>
      <c r="T951" t="s">
        <v>124</v>
      </c>
    </row>
    <row r="952">
      <c r="A952" t="s">
        <v>2071</v>
      </c>
      <c r="B952" t="s">
        <v>2072</v>
      </c>
      <c r="C952" s="2">
        <v>2024</v>
      </c>
      <c r="D952" s="10">
        <v>3</v>
      </c>
      <c r="E952" s="10">
        <v>10</v>
      </c>
      <c r="F952" t="s">
        <v>696</v>
      </c>
      <c r="G952">
        <v>59</v>
      </c>
      <c r="H952" t="s">
        <v>69</v>
      </c>
      <c r="I952" t="s">
        <v>150</v>
      </c>
      <c r="J952" s="10" t="str">
        <f>VLOOKUP(I952,Categories!A:B,2,FALSE)</f>
        <v xml:space="preserve">Food &amp; Coff</v>
      </c>
      <c r="K952" t="s">
        <v>123</v>
      </c>
      <c r="L952" s="10" t="str">
        <f>VLOOKUP(K952,Accounts!A:B,2,FALSE)</f>
        <v>KBank</v>
      </c>
      <c r="M952" t="s">
        <v>124</v>
      </c>
      <c r="N952" s="10"/>
      <c r="O952" t="s">
        <v>125</v>
      </c>
      <c r="Q952" t="s">
        <v>126</v>
      </c>
      <c r="R952" t="s">
        <v>124</v>
      </c>
      <c r="S952" t="b">
        <v>0</v>
      </c>
      <c r="T952" t="s">
        <v>124</v>
      </c>
    </row>
    <row r="953">
      <c r="A953" t="s">
        <v>2073</v>
      </c>
      <c r="B953" t="s">
        <v>2074</v>
      </c>
      <c r="C953" s="2">
        <v>2024</v>
      </c>
      <c r="D953" s="10">
        <v>3</v>
      </c>
      <c r="E953" s="10">
        <v>9</v>
      </c>
      <c r="F953" t="s">
        <v>2075</v>
      </c>
      <c r="G953">
        <v>200000</v>
      </c>
      <c r="H953" t="s">
        <v>69</v>
      </c>
      <c r="I953" t="s">
        <v>139</v>
      </c>
      <c r="J953" s="10" t="str">
        <f>VLOOKUP(I953,Categories!A:B,2,FALSE)</f>
        <v>Condo</v>
      </c>
      <c r="K953" t="s">
        <v>178</v>
      </c>
      <c r="L953" s="10" t="str">
        <f>VLOOKUP(K953,Accounts!A:B,2,FALSE)</f>
        <v>SCB</v>
      </c>
      <c r="M953" t="s">
        <v>124</v>
      </c>
      <c r="N953" s="10"/>
      <c r="O953" t="s">
        <v>125</v>
      </c>
      <c r="Q953" t="s">
        <v>126</v>
      </c>
      <c r="R953" t="s">
        <v>124</v>
      </c>
      <c r="S953" t="b">
        <v>0</v>
      </c>
      <c r="T953" t="s">
        <v>124</v>
      </c>
    </row>
    <row r="954">
      <c r="A954" t="s">
        <v>2076</v>
      </c>
      <c r="B954" t="s">
        <v>2074</v>
      </c>
      <c r="C954" s="2">
        <v>2024</v>
      </c>
      <c r="D954" s="10">
        <v>3</v>
      </c>
      <c r="E954" s="10">
        <v>9</v>
      </c>
      <c r="F954" t="s">
        <v>1667</v>
      </c>
      <c r="G954">
        <v>5000</v>
      </c>
      <c r="H954" t="s">
        <v>69</v>
      </c>
      <c r="I954" t="s">
        <v>144</v>
      </c>
      <c r="J954" s="10" t="str">
        <f>VLOOKUP(I954,Categories!A:B,2,FALSE)</f>
        <v xml:space="preserve">Family paid</v>
      </c>
      <c r="K954" t="s">
        <v>178</v>
      </c>
      <c r="L954" s="10" t="str">
        <f>VLOOKUP(K954,Accounts!A:B,2,FALSE)</f>
        <v>SCB</v>
      </c>
      <c r="M954" t="s">
        <v>124</v>
      </c>
      <c r="N954" s="10"/>
      <c r="O954" t="s">
        <v>125</v>
      </c>
      <c r="Q954" t="s">
        <v>126</v>
      </c>
      <c r="R954" t="s">
        <v>124</v>
      </c>
      <c r="S954" t="b">
        <v>0</v>
      </c>
      <c r="T954" t="s">
        <v>124</v>
      </c>
    </row>
    <row r="955">
      <c r="A955" t="s">
        <v>2077</v>
      </c>
      <c r="B955" t="s">
        <v>2078</v>
      </c>
      <c r="C955" s="2">
        <v>2024</v>
      </c>
      <c r="D955" s="10">
        <v>3</v>
      </c>
      <c r="E955" s="10">
        <v>6</v>
      </c>
      <c r="F955" t="s">
        <v>1988</v>
      </c>
      <c r="G955">
        <v>500</v>
      </c>
      <c r="H955" t="s">
        <v>69</v>
      </c>
      <c r="I955" t="s">
        <v>259</v>
      </c>
      <c r="J955" s="10" t="str">
        <f>VLOOKUP(I955,Categories!A:B,2,FALSE)</f>
        <v xml:space="preserve">Team BOT</v>
      </c>
      <c r="K955" t="s">
        <v>123</v>
      </c>
      <c r="L955" s="10" t="str">
        <f>VLOOKUP(K955,Accounts!A:B,2,FALSE)</f>
        <v>KBank</v>
      </c>
      <c r="M955" t="s">
        <v>124</v>
      </c>
      <c r="N955" s="10"/>
      <c r="O955" t="s">
        <v>2079</v>
      </c>
      <c r="Q955" t="s">
        <v>126</v>
      </c>
      <c r="R955" t="s">
        <v>124</v>
      </c>
      <c r="S955" t="b">
        <v>0</v>
      </c>
      <c r="T955" t="s">
        <v>124</v>
      </c>
    </row>
    <row r="956">
      <c r="A956" t="s">
        <v>2080</v>
      </c>
      <c r="B956" t="s">
        <v>2081</v>
      </c>
      <c r="C956" s="2">
        <v>2024</v>
      </c>
      <c r="D956" s="10">
        <v>3</v>
      </c>
      <c r="E956" s="10">
        <v>5</v>
      </c>
      <c r="F956" t="s">
        <v>2082</v>
      </c>
      <c r="G956">
        <v>29461</v>
      </c>
      <c r="H956" t="s">
        <v>69</v>
      </c>
      <c r="I956" t="s">
        <v>195</v>
      </c>
      <c r="J956" s="10" t="str">
        <f>VLOOKUP(I956,Categories!A:B,2,FALSE)</f>
        <v>Tax</v>
      </c>
      <c r="K956" t="s">
        <v>123</v>
      </c>
      <c r="L956" s="10" t="str">
        <f>VLOOKUP(K956,Accounts!A:B,2,FALSE)</f>
        <v>KBank</v>
      </c>
      <c r="M956" t="s">
        <v>124</v>
      </c>
      <c r="N956" s="10"/>
      <c r="O956" t="s">
        <v>125</v>
      </c>
      <c r="Q956" t="s">
        <v>126</v>
      </c>
      <c r="R956" t="s">
        <v>124</v>
      </c>
      <c r="S956" t="b">
        <v>0</v>
      </c>
      <c r="T956" t="s">
        <v>124</v>
      </c>
    </row>
    <row r="957">
      <c r="A957" t="s">
        <v>2083</v>
      </c>
      <c r="B957" t="s">
        <v>2084</v>
      </c>
      <c r="C957" s="2">
        <v>2024</v>
      </c>
      <c r="D957" s="10">
        <v>3</v>
      </c>
      <c r="E957" s="10">
        <v>4</v>
      </c>
      <c r="F957" t="s">
        <v>1259</v>
      </c>
      <c r="G957">
        <v>7735</v>
      </c>
      <c r="H957" t="s">
        <v>69</v>
      </c>
      <c r="I957" t="s">
        <v>139</v>
      </c>
      <c r="J957" s="10" t="str">
        <f>VLOOKUP(I957,Categories!A:B,2,FALSE)</f>
        <v>Condo</v>
      </c>
      <c r="K957" t="s">
        <v>123</v>
      </c>
      <c r="L957" s="10" t="str">
        <f>VLOOKUP(K957,Accounts!A:B,2,FALSE)</f>
        <v>KBank</v>
      </c>
      <c r="M957" t="s">
        <v>124</v>
      </c>
      <c r="N957" s="10"/>
      <c r="O957" t="s">
        <v>125</v>
      </c>
      <c r="Q957" t="s">
        <v>126</v>
      </c>
      <c r="R957" t="s">
        <v>124</v>
      </c>
      <c r="S957" t="b">
        <v>0</v>
      </c>
      <c r="T957" t="s">
        <v>124</v>
      </c>
    </row>
    <row r="958">
      <c r="A958" t="s">
        <v>2085</v>
      </c>
      <c r="B958" t="s">
        <v>2086</v>
      </c>
      <c r="C958" s="2">
        <v>2024</v>
      </c>
      <c r="D958" s="10">
        <v>3</v>
      </c>
      <c r="E958" s="10">
        <v>2</v>
      </c>
      <c r="F958" t="s">
        <v>2087</v>
      </c>
      <c r="G958">
        <v>5000</v>
      </c>
      <c r="H958" t="s">
        <v>128</v>
      </c>
      <c r="I958" t="s">
        <v>136</v>
      </c>
      <c r="J958" s="10" t="str">
        <f>VLOOKUP(I958,Categories!A:B,2,FALSE)</f>
        <v>อื่นๆ</v>
      </c>
      <c r="K958" t="s">
        <v>123</v>
      </c>
      <c r="L958" s="10" t="str">
        <f>VLOOKUP(K958,Accounts!A:B,2,FALSE)</f>
        <v>KBank</v>
      </c>
      <c r="M958" t="s">
        <v>137</v>
      </c>
      <c r="N958" s="10" t="str">
        <f>VLOOKUP(M958,Accounts!A:B,2,FALSE)</f>
        <v xml:space="preserve">Make Kbank</v>
      </c>
      <c r="O958" t="s">
        <v>125</v>
      </c>
      <c r="Q958" t="s">
        <v>126</v>
      </c>
      <c r="R958" t="s">
        <v>124</v>
      </c>
      <c r="S958" t="b">
        <v>0</v>
      </c>
      <c r="T958" t="s">
        <v>124</v>
      </c>
    </row>
    <row r="959">
      <c r="A959" t="s">
        <v>2088</v>
      </c>
      <c r="B959" t="s">
        <v>2086</v>
      </c>
      <c r="C959" s="2">
        <v>2024</v>
      </c>
      <c r="D959" s="10">
        <v>3</v>
      </c>
      <c r="E959" s="10">
        <v>2</v>
      </c>
      <c r="F959" t="s">
        <v>1193</v>
      </c>
      <c r="G959">
        <v>1779.5899999999999</v>
      </c>
      <c r="H959" t="s">
        <v>206</v>
      </c>
      <c r="I959" t="s">
        <v>254</v>
      </c>
      <c r="J959" s="10" t="str">
        <f>VLOOKUP(I959,Categories!A:B,2,FALSE)</f>
        <v xml:space="preserve">Modified Bal.</v>
      </c>
      <c r="K959" t="s">
        <v>123</v>
      </c>
      <c r="L959" s="10" t="str">
        <f>VLOOKUP(K959,Accounts!A:B,2,FALSE)</f>
        <v>KBank</v>
      </c>
      <c r="M959" t="s">
        <v>124</v>
      </c>
      <c r="N959" s="10"/>
      <c r="O959" t="s">
        <v>255</v>
      </c>
      <c r="Q959" t="s">
        <v>126</v>
      </c>
      <c r="R959" t="s">
        <v>124</v>
      </c>
      <c r="S959" t="b">
        <v>0</v>
      </c>
      <c r="T959" t="s">
        <v>124</v>
      </c>
    </row>
    <row r="960">
      <c r="A960" t="s">
        <v>2089</v>
      </c>
      <c r="B960" t="s">
        <v>2086</v>
      </c>
      <c r="C960" s="2">
        <v>2024</v>
      </c>
      <c r="D960" s="10">
        <v>3</v>
      </c>
      <c r="E960" s="10">
        <v>2</v>
      </c>
      <c r="F960" t="s">
        <v>1420</v>
      </c>
      <c r="G960">
        <v>17500</v>
      </c>
      <c r="H960" t="s">
        <v>69</v>
      </c>
      <c r="I960" t="s">
        <v>134</v>
      </c>
      <c r="J960" s="10" t="str">
        <f>VLOOKUP(I960,Categories!A:B,2,FALSE)</f>
        <v>Hong</v>
      </c>
      <c r="K960" t="s">
        <v>123</v>
      </c>
      <c r="L960" s="10" t="str">
        <f>VLOOKUP(K960,Accounts!A:B,2,FALSE)</f>
        <v>KBank</v>
      </c>
      <c r="M960" t="s">
        <v>124</v>
      </c>
      <c r="N960" s="10"/>
      <c r="O960" t="s">
        <v>125</v>
      </c>
      <c r="Q960" t="s">
        <v>126</v>
      </c>
      <c r="R960" t="s">
        <v>124</v>
      </c>
      <c r="S960" t="b">
        <v>0</v>
      </c>
      <c r="T960" t="s">
        <v>124</v>
      </c>
    </row>
    <row r="961">
      <c r="A961" t="s">
        <v>2090</v>
      </c>
      <c r="B961" t="s">
        <v>2086</v>
      </c>
      <c r="C961" s="2">
        <v>2024</v>
      </c>
      <c r="D961" s="10">
        <v>3</v>
      </c>
      <c r="E961" s="10">
        <v>2</v>
      </c>
      <c r="F961" t="s">
        <v>2091</v>
      </c>
      <c r="G961">
        <v>2793</v>
      </c>
      <c r="H961" t="s">
        <v>69</v>
      </c>
      <c r="I961" t="s">
        <v>152</v>
      </c>
      <c r="J961" s="10" t="str">
        <f>VLOOKUP(I961,Categories!A:B,2,FALSE)</f>
        <v xml:space="preserve">Office Suit</v>
      </c>
      <c r="K961" t="s">
        <v>123</v>
      </c>
      <c r="L961" s="10" t="str">
        <f>VLOOKUP(K961,Accounts!A:B,2,FALSE)</f>
        <v>KBank</v>
      </c>
      <c r="M961" t="s">
        <v>124</v>
      </c>
      <c r="N961" s="10"/>
      <c r="O961" t="s">
        <v>125</v>
      </c>
      <c r="Q961" t="s">
        <v>126</v>
      </c>
      <c r="R961" t="s">
        <v>124</v>
      </c>
      <c r="S961" t="b">
        <v>0</v>
      </c>
      <c r="T961" t="s">
        <v>124</v>
      </c>
    </row>
    <row r="962">
      <c r="A962" t="s">
        <v>2092</v>
      </c>
      <c r="B962" t="s">
        <v>2086</v>
      </c>
      <c r="C962" s="2">
        <v>2024</v>
      </c>
      <c r="D962" s="10">
        <v>3</v>
      </c>
      <c r="E962" s="10">
        <v>2</v>
      </c>
      <c r="F962" t="s">
        <v>2093</v>
      </c>
      <c r="G962">
        <v>688.86000000000001</v>
      </c>
      <c r="H962" t="s">
        <v>69</v>
      </c>
      <c r="I962" t="s">
        <v>144</v>
      </c>
      <c r="J962" s="10" t="str">
        <f>VLOOKUP(I962,Categories!A:B,2,FALSE)</f>
        <v xml:space="preserve">Family paid</v>
      </c>
      <c r="K962" t="s">
        <v>123</v>
      </c>
      <c r="L962" s="10" t="str">
        <f>VLOOKUP(K962,Accounts!A:B,2,FALSE)</f>
        <v>KBank</v>
      </c>
      <c r="M962" t="s">
        <v>124</v>
      </c>
      <c r="N962" s="10"/>
      <c r="O962" t="s">
        <v>125</v>
      </c>
      <c r="Q962" t="s">
        <v>126</v>
      </c>
      <c r="R962" t="s">
        <v>124</v>
      </c>
      <c r="S962" t="b">
        <v>0</v>
      </c>
      <c r="T962" t="s">
        <v>124</v>
      </c>
    </row>
    <row r="963">
      <c r="A963" t="s">
        <v>2094</v>
      </c>
      <c r="B963" t="s">
        <v>2086</v>
      </c>
      <c r="C963" s="2">
        <v>2024</v>
      </c>
      <c r="D963" s="10">
        <v>3</v>
      </c>
      <c r="E963" s="10">
        <v>2</v>
      </c>
      <c r="F963" t="s">
        <v>2040</v>
      </c>
      <c r="G963">
        <v>987</v>
      </c>
      <c r="H963" t="s">
        <v>128</v>
      </c>
      <c r="I963" t="s">
        <v>136</v>
      </c>
      <c r="J963" s="10" t="str">
        <f>VLOOKUP(I963,Categories!A:B,2,FALSE)</f>
        <v>อื่นๆ</v>
      </c>
      <c r="K963" t="s">
        <v>178</v>
      </c>
      <c r="L963" s="10" t="str">
        <f>VLOOKUP(K963,Accounts!A:B,2,FALSE)</f>
        <v>SCB</v>
      </c>
      <c r="M963" t="s">
        <v>131</v>
      </c>
      <c r="N963" s="10" t="str">
        <f>VLOOKUP(M963,Accounts!A:B,2,FALSE)</f>
        <v xml:space="preserve">Advance Paid</v>
      </c>
      <c r="O963" t="s">
        <v>2095</v>
      </c>
      <c r="Q963" t="s">
        <v>126</v>
      </c>
      <c r="R963" t="s">
        <v>124</v>
      </c>
      <c r="S963" t="b">
        <v>0</v>
      </c>
      <c r="T963" t="s">
        <v>124</v>
      </c>
    </row>
    <row r="964">
      <c r="A964" t="s">
        <v>2096</v>
      </c>
      <c r="B964" t="s">
        <v>2086</v>
      </c>
      <c r="C964" s="2">
        <v>2024</v>
      </c>
      <c r="D964" s="10">
        <v>3</v>
      </c>
      <c r="E964" s="10">
        <v>2</v>
      </c>
      <c r="F964" t="s">
        <v>2097</v>
      </c>
      <c r="G964">
        <v>419</v>
      </c>
      <c r="H964" t="s">
        <v>69</v>
      </c>
      <c r="I964" t="s">
        <v>1903</v>
      </c>
      <c r="J964" s="10" t="str">
        <f>VLOOKUP(I964,Categories!A:B,2,FALSE)</f>
        <v xml:space="preserve">Monthly subscription</v>
      </c>
      <c r="K964" t="s">
        <v>178</v>
      </c>
      <c r="L964" s="10" t="str">
        <f>VLOOKUP(K964,Accounts!A:B,2,FALSE)</f>
        <v>SCB</v>
      </c>
      <c r="M964" t="s">
        <v>124</v>
      </c>
      <c r="N964" s="10"/>
      <c r="O964" t="s">
        <v>125</v>
      </c>
      <c r="Q964" t="s">
        <v>126</v>
      </c>
      <c r="R964" t="s">
        <v>124</v>
      </c>
      <c r="S964" t="b">
        <v>0</v>
      </c>
      <c r="T964" t="s">
        <v>124</v>
      </c>
    </row>
    <row r="965">
      <c r="A965" t="s">
        <v>2098</v>
      </c>
      <c r="B965" t="s">
        <v>2086</v>
      </c>
      <c r="C965" s="2">
        <v>2024</v>
      </c>
      <c r="D965" s="10">
        <v>3</v>
      </c>
      <c r="E965" s="10">
        <v>2</v>
      </c>
      <c r="F965" t="s">
        <v>2097</v>
      </c>
      <c r="G965">
        <v>354.32999999999998</v>
      </c>
      <c r="H965" t="s">
        <v>69</v>
      </c>
      <c r="I965" t="s">
        <v>1903</v>
      </c>
      <c r="J965" s="10" t="str">
        <f>VLOOKUP(I965,Categories!A:B,2,FALSE)</f>
        <v xml:space="preserve">Monthly subscription</v>
      </c>
      <c r="K965" t="s">
        <v>178</v>
      </c>
      <c r="L965" s="10" t="str">
        <f>VLOOKUP(K965,Accounts!A:B,2,FALSE)</f>
        <v>SCB</v>
      </c>
      <c r="M965" t="s">
        <v>124</v>
      </c>
      <c r="N965" s="10"/>
      <c r="O965" t="s">
        <v>125</v>
      </c>
      <c r="Q965" t="s">
        <v>126</v>
      </c>
      <c r="R965" t="s">
        <v>124</v>
      </c>
      <c r="S965" t="b">
        <v>0</v>
      </c>
      <c r="T965" t="s">
        <v>124</v>
      </c>
    </row>
    <row r="966">
      <c r="A966" t="s">
        <v>2099</v>
      </c>
      <c r="B966" t="s">
        <v>2086</v>
      </c>
      <c r="C966" s="2">
        <v>2024</v>
      </c>
      <c r="D966" s="10">
        <v>3</v>
      </c>
      <c r="E966" s="10">
        <v>2</v>
      </c>
      <c r="F966" t="s">
        <v>2100</v>
      </c>
      <c r="G966">
        <v>517</v>
      </c>
      <c r="H966" t="s">
        <v>69</v>
      </c>
      <c r="I966" t="s">
        <v>150</v>
      </c>
      <c r="J966" s="10" t="str">
        <f>VLOOKUP(I966,Categories!A:B,2,FALSE)</f>
        <v xml:space="preserve">Food &amp; Coff</v>
      </c>
      <c r="K966" t="s">
        <v>178</v>
      </c>
      <c r="L966" s="10" t="str">
        <f>VLOOKUP(K966,Accounts!A:B,2,FALSE)</f>
        <v>SCB</v>
      </c>
      <c r="M966" t="s">
        <v>124</v>
      </c>
      <c r="N966" s="10"/>
      <c r="O966" t="s">
        <v>125</v>
      </c>
      <c r="Q966" t="s">
        <v>126</v>
      </c>
      <c r="R966" t="s">
        <v>124</v>
      </c>
      <c r="S966" t="b">
        <v>0</v>
      </c>
      <c r="T966" t="s">
        <v>124</v>
      </c>
    </row>
    <row r="967">
      <c r="A967" t="s">
        <v>2101</v>
      </c>
      <c r="B967" t="s">
        <v>2086</v>
      </c>
      <c r="C967" s="2">
        <v>2024</v>
      </c>
      <c r="D967" s="10">
        <v>3</v>
      </c>
      <c r="E967" s="10">
        <v>2</v>
      </c>
      <c r="F967" t="s">
        <v>2100</v>
      </c>
      <c r="G967">
        <v>500</v>
      </c>
      <c r="H967" t="s">
        <v>69</v>
      </c>
      <c r="I967" t="s">
        <v>144</v>
      </c>
      <c r="J967" s="10" t="str">
        <f>VLOOKUP(I967,Categories!A:B,2,FALSE)</f>
        <v xml:space="preserve">Family paid</v>
      </c>
      <c r="K967" t="s">
        <v>178</v>
      </c>
      <c r="L967" s="10" t="str">
        <f>VLOOKUP(K967,Accounts!A:B,2,FALSE)</f>
        <v>SCB</v>
      </c>
      <c r="M967" t="s">
        <v>124</v>
      </c>
      <c r="N967" s="10"/>
      <c r="O967" t="s">
        <v>125</v>
      </c>
      <c r="Q967" t="s">
        <v>126</v>
      </c>
      <c r="R967" t="s">
        <v>124</v>
      </c>
      <c r="S967" t="b">
        <v>0</v>
      </c>
      <c r="T967" t="s">
        <v>124</v>
      </c>
    </row>
    <row r="968">
      <c r="A968" t="s">
        <v>2102</v>
      </c>
      <c r="B968" t="s">
        <v>2103</v>
      </c>
      <c r="C968" s="2">
        <v>2024</v>
      </c>
      <c r="D968" s="10">
        <v>2</v>
      </c>
      <c r="E968" s="10">
        <v>29</v>
      </c>
      <c r="F968" t="s">
        <v>2045</v>
      </c>
      <c r="G968">
        <v>4543</v>
      </c>
      <c r="H968" t="s">
        <v>69</v>
      </c>
      <c r="I968" t="s">
        <v>150</v>
      </c>
      <c r="J968" s="10" t="str">
        <f>VLOOKUP(I968,Categories!A:B,2,FALSE)</f>
        <v xml:space="preserve">Food &amp; Coff</v>
      </c>
      <c r="K968" t="s">
        <v>137</v>
      </c>
      <c r="L968" s="10" t="str">
        <f>VLOOKUP(K968,Accounts!A:B,2,FALSE)</f>
        <v xml:space="preserve">Make Kbank</v>
      </c>
      <c r="M968" t="s">
        <v>124</v>
      </c>
      <c r="N968" s="10"/>
      <c r="O968" t="s">
        <v>125</v>
      </c>
      <c r="Q968" t="s">
        <v>126</v>
      </c>
      <c r="R968" t="s">
        <v>124</v>
      </c>
      <c r="S968" t="b">
        <v>0</v>
      </c>
      <c r="T968" t="s">
        <v>124</v>
      </c>
    </row>
    <row r="969">
      <c r="A969" t="s">
        <v>2104</v>
      </c>
      <c r="B969" t="s">
        <v>2105</v>
      </c>
      <c r="C969" s="2">
        <v>2024</v>
      </c>
      <c r="D969" s="10">
        <v>2</v>
      </c>
      <c r="E969" s="10">
        <v>26</v>
      </c>
      <c r="F969" t="s">
        <v>1392</v>
      </c>
      <c r="G969">
        <v>69</v>
      </c>
      <c r="H969" t="s">
        <v>69</v>
      </c>
      <c r="I969" t="s">
        <v>141</v>
      </c>
      <c r="J969" s="10" t="str">
        <f>VLOOKUP(I969,Categories!A:B,2,FALSE)</f>
        <v>Other</v>
      </c>
      <c r="K969" t="s">
        <v>123</v>
      </c>
      <c r="L969" s="10" t="str">
        <f>VLOOKUP(K969,Accounts!A:B,2,FALSE)</f>
        <v>KBank</v>
      </c>
      <c r="M969" t="s">
        <v>124</v>
      </c>
      <c r="N969" s="10"/>
      <c r="O969" t="s">
        <v>125</v>
      </c>
      <c r="Q969" t="s">
        <v>126</v>
      </c>
      <c r="R969" t="s">
        <v>124</v>
      </c>
      <c r="S969" t="b">
        <v>0</v>
      </c>
      <c r="T969" t="s">
        <v>124</v>
      </c>
    </row>
    <row r="970">
      <c r="A970" t="s">
        <v>2106</v>
      </c>
      <c r="B970" t="s">
        <v>2105</v>
      </c>
      <c r="C970" s="2">
        <v>2024</v>
      </c>
      <c r="D970" s="10">
        <v>2</v>
      </c>
      <c r="E970" s="10">
        <v>26</v>
      </c>
      <c r="F970" t="s">
        <v>2107</v>
      </c>
      <c r="G970">
        <v>500</v>
      </c>
      <c r="H970" t="s">
        <v>69</v>
      </c>
      <c r="I970" t="s">
        <v>141</v>
      </c>
      <c r="J970" s="10" t="str">
        <f>VLOOKUP(I970,Categories!A:B,2,FALSE)</f>
        <v>Other</v>
      </c>
      <c r="K970" t="s">
        <v>123</v>
      </c>
      <c r="L970" s="10" t="str">
        <f>VLOOKUP(K970,Accounts!A:B,2,FALSE)</f>
        <v>KBank</v>
      </c>
      <c r="M970" t="s">
        <v>124</v>
      </c>
      <c r="N970" s="10"/>
      <c r="O970" t="s">
        <v>2108</v>
      </c>
      <c r="Q970" t="s">
        <v>126</v>
      </c>
      <c r="R970" t="s">
        <v>124</v>
      </c>
      <c r="S970" t="b">
        <v>0</v>
      </c>
      <c r="T970" t="s">
        <v>124</v>
      </c>
    </row>
    <row r="971">
      <c r="A971" t="s">
        <v>2109</v>
      </c>
      <c r="B971" t="s">
        <v>2105</v>
      </c>
      <c r="C971" s="2">
        <v>2024</v>
      </c>
      <c r="D971" s="10">
        <v>2</v>
      </c>
      <c r="E971" s="10">
        <v>26</v>
      </c>
      <c r="F971" t="s">
        <v>2107</v>
      </c>
      <c r="G971">
        <v>1027</v>
      </c>
      <c r="H971" t="s">
        <v>69</v>
      </c>
      <c r="I971" t="s">
        <v>614</v>
      </c>
      <c r="J971" s="10" t="str">
        <f>VLOOKUP(I971,Categories!A:B,2,FALSE)</f>
        <v>Books</v>
      </c>
      <c r="K971" t="s">
        <v>123</v>
      </c>
      <c r="L971" s="10" t="str">
        <f>VLOOKUP(K971,Accounts!A:B,2,FALSE)</f>
        <v>KBank</v>
      </c>
      <c r="M971" t="s">
        <v>124</v>
      </c>
      <c r="N971" s="10"/>
      <c r="O971" t="s">
        <v>125</v>
      </c>
      <c r="Q971" t="s">
        <v>126</v>
      </c>
      <c r="R971" t="s">
        <v>124</v>
      </c>
      <c r="S971" t="b">
        <v>0</v>
      </c>
      <c r="T971" t="s">
        <v>124</v>
      </c>
    </row>
    <row r="972">
      <c r="A972" t="s">
        <v>2110</v>
      </c>
      <c r="B972" t="s">
        <v>2105</v>
      </c>
      <c r="C972" s="2">
        <v>2024</v>
      </c>
      <c r="D972" s="10">
        <v>2</v>
      </c>
      <c r="E972" s="10">
        <v>26</v>
      </c>
      <c r="F972" t="s">
        <v>1935</v>
      </c>
      <c r="G972">
        <v>1420</v>
      </c>
      <c r="H972" t="s">
        <v>69</v>
      </c>
      <c r="I972" t="s">
        <v>614</v>
      </c>
      <c r="J972" s="10" t="str">
        <f>VLOOKUP(I972,Categories!A:B,2,FALSE)</f>
        <v>Books</v>
      </c>
      <c r="K972" t="s">
        <v>123</v>
      </c>
      <c r="L972" s="10" t="str">
        <f>VLOOKUP(K972,Accounts!A:B,2,FALSE)</f>
        <v>KBank</v>
      </c>
      <c r="M972" t="s">
        <v>124</v>
      </c>
      <c r="N972" s="10"/>
      <c r="O972" t="s">
        <v>125</v>
      </c>
      <c r="Q972" t="s">
        <v>126</v>
      </c>
      <c r="R972" t="s">
        <v>124</v>
      </c>
      <c r="S972" t="b">
        <v>0</v>
      </c>
      <c r="T972" t="s">
        <v>124</v>
      </c>
    </row>
    <row r="973">
      <c r="A973" t="s">
        <v>2111</v>
      </c>
      <c r="B973" t="s">
        <v>2105</v>
      </c>
      <c r="C973" s="2">
        <v>2024</v>
      </c>
      <c r="D973" s="10">
        <v>2</v>
      </c>
      <c r="E973" s="10">
        <v>26</v>
      </c>
      <c r="F973" t="s">
        <v>1935</v>
      </c>
      <c r="G973">
        <v>2333</v>
      </c>
      <c r="H973" t="s">
        <v>69</v>
      </c>
      <c r="I973" t="s">
        <v>157</v>
      </c>
      <c r="J973" s="10" t="str">
        <f>VLOOKUP(I973,Categories!A:B,2,FALSE)</f>
        <v>Boardgame</v>
      </c>
      <c r="K973" t="s">
        <v>123</v>
      </c>
      <c r="L973" s="10" t="str">
        <f>VLOOKUP(K973,Accounts!A:B,2,FALSE)</f>
        <v>KBank</v>
      </c>
      <c r="M973" t="s">
        <v>124</v>
      </c>
      <c r="N973" s="10"/>
      <c r="O973" t="s">
        <v>125</v>
      </c>
      <c r="Q973" t="s">
        <v>126</v>
      </c>
      <c r="R973" t="s">
        <v>124</v>
      </c>
      <c r="S973" t="b">
        <v>0</v>
      </c>
      <c r="T973" t="s">
        <v>124</v>
      </c>
    </row>
    <row r="974">
      <c r="A974" t="s">
        <v>2112</v>
      </c>
      <c r="B974" t="s">
        <v>2105</v>
      </c>
      <c r="C974" s="2">
        <v>2024</v>
      </c>
      <c r="D974" s="10">
        <v>2</v>
      </c>
      <c r="E974" s="10">
        <v>26</v>
      </c>
      <c r="F974" t="s">
        <v>1885</v>
      </c>
      <c r="G974">
        <v>1322</v>
      </c>
      <c r="H974" t="s">
        <v>69</v>
      </c>
      <c r="I974" t="s">
        <v>152</v>
      </c>
      <c r="J974" s="10" t="str">
        <f>VLOOKUP(I974,Categories!A:B,2,FALSE)</f>
        <v xml:space="preserve">Office Suit</v>
      </c>
      <c r="K974" t="s">
        <v>123</v>
      </c>
      <c r="L974" s="10" t="str">
        <f>VLOOKUP(K974,Accounts!A:B,2,FALSE)</f>
        <v>KBank</v>
      </c>
      <c r="M974" t="s">
        <v>124</v>
      </c>
      <c r="N974" s="10"/>
      <c r="O974" t="s">
        <v>125</v>
      </c>
      <c r="Q974" t="s">
        <v>126</v>
      </c>
      <c r="R974" t="s">
        <v>124</v>
      </c>
      <c r="S974" t="b">
        <v>0</v>
      </c>
      <c r="T974" t="s">
        <v>124</v>
      </c>
    </row>
    <row r="975">
      <c r="A975" t="s">
        <v>2113</v>
      </c>
      <c r="B975" t="s">
        <v>2114</v>
      </c>
      <c r="C975" s="2">
        <v>2024</v>
      </c>
      <c r="D975" s="10">
        <v>2</v>
      </c>
      <c r="E975" s="10">
        <v>25</v>
      </c>
      <c r="F975" t="s">
        <v>121</v>
      </c>
      <c r="G975">
        <v>4158</v>
      </c>
      <c r="H975" t="s">
        <v>128</v>
      </c>
      <c r="I975" t="s">
        <v>136</v>
      </c>
      <c r="J975" s="10" t="str">
        <f>VLOOKUP(I975,Categories!A:B,2,FALSE)</f>
        <v>อื่นๆ</v>
      </c>
      <c r="K975" t="s">
        <v>123</v>
      </c>
      <c r="L975" s="10" t="str">
        <f>VLOOKUP(K975,Accounts!A:B,2,FALSE)</f>
        <v>KBank</v>
      </c>
      <c r="M975" t="s">
        <v>1421</v>
      </c>
      <c r="N975" s="10" t="str">
        <f>VLOOKUP(M975,Accounts!A:B,2,FALSE)</f>
        <v>Hong</v>
      </c>
      <c r="O975" t="s">
        <v>125</v>
      </c>
      <c r="Q975" t="s">
        <v>126</v>
      </c>
      <c r="R975" t="s">
        <v>124</v>
      </c>
      <c r="S975" t="b">
        <v>0</v>
      </c>
      <c r="T975" t="s">
        <v>124</v>
      </c>
    </row>
    <row r="976">
      <c r="A976" t="s">
        <v>2115</v>
      </c>
      <c r="B976" t="s">
        <v>2114</v>
      </c>
      <c r="C976" s="2">
        <v>2024</v>
      </c>
      <c r="D976" s="10">
        <v>2</v>
      </c>
      <c r="E976" s="10">
        <v>25</v>
      </c>
      <c r="F976" t="s">
        <v>121</v>
      </c>
      <c r="G976">
        <v>21944.939999999999</v>
      </c>
      <c r="H976" t="s">
        <v>69</v>
      </c>
      <c r="I976" t="s">
        <v>195</v>
      </c>
      <c r="J976" s="10" t="str">
        <f>VLOOKUP(I976,Categories!A:B,2,FALSE)</f>
        <v>Tax</v>
      </c>
      <c r="K976" t="s">
        <v>178</v>
      </c>
      <c r="L976" s="10" t="str">
        <f>VLOOKUP(K976,Accounts!A:B,2,FALSE)</f>
        <v>SCB</v>
      </c>
      <c r="M976" t="s">
        <v>124</v>
      </c>
      <c r="N976" s="10"/>
      <c r="O976" t="s">
        <v>125</v>
      </c>
      <c r="Q976" t="s">
        <v>126</v>
      </c>
      <c r="R976" t="s">
        <v>124</v>
      </c>
      <c r="S976" t="b">
        <v>0</v>
      </c>
      <c r="T976" t="s">
        <v>124</v>
      </c>
    </row>
    <row r="977">
      <c r="A977" t="s">
        <v>2116</v>
      </c>
      <c r="B977" t="s">
        <v>2114</v>
      </c>
      <c r="C977" s="2">
        <v>2024</v>
      </c>
      <c r="D977" s="10">
        <v>2</v>
      </c>
      <c r="E977" s="10">
        <v>25</v>
      </c>
      <c r="F977" t="s">
        <v>121</v>
      </c>
      <c r="G977">
        <v>3230.1500000000001</v>
      </c>
      <c r="H977" t="s">
        <v>69</v>
      </c>
      <c r="I977" t="s">
        <v>199</v>
      </c>
      <c r="J977" s="10" t="str">
        <f>VLOOKUP(I977,Categories!A:B,2,FALSE)</f>
        <v xml:space="preserve">Home Chomthong Interest</v>
      </c>
      <c r="K977" t="s">
        <v>178</v>
      </c>
      <c r="L977" s="10" t="str">
        <f>VLOOKUP(K977,Accounts!A:B,2,FALSE)</f>
        <v>SCB</v>
      </c>
      <c r="M977" t="s">
        <v>124</v>
      </c>
      <c r="N977" s="10"/>
      <c r="O977" t="s">
        <v>125</v>
      </c>
      <c r="Q977" t="s">
        <v>126</v>
      </c>
      <c r="R977" t="s">
        <v>124</v>
      </c>
      <c r="S977" t="b">
        <v>0</v>
      </c>
      <c r="T977" t="s">
        <v>124</v>
      </c>
    </row>
    <row r="978">
      <c r="A978" t="s">
        <v>2117</v>
      </c>
      <c r="B978" t="s">
        <v>2114</v>
      </c>
      <c r="C978" s="2">
        <v>2024</v>
      </c>
      <c r="D978" s="10">
        <v>2</v>
      </c>
      <c r="E978" s="10">
        <v>25</v>
      </c>
      <c r="F978" t="s">
        <v>121</v>
      </c>
      <c r="G978">
        <v>365.29000000000002</v>
      </c>
      <c r="H978" t="s">
        <v>69</v>
      </c>
      <c r="I978" t="s">
        <v>443</v>
      </c>
      <c r="J978" s="10" t="str">
        <f>VLOOKUP(I978,Categories!A:B,2,FALSE)</f>
        <v xml:space="preserve">City SV Interest</v>
      </c>
      <c r="K978" t="s">
        <v>178</v>
      </c>
      <c r="L978" s="10" t="str">
        <f>VLOOKUP(K978,Accounts!A:B,2,FALSE)</f>
        <v>SCB</v>
      </c>
      <c r="M978" t="s">
        <v>124</v>
      </c>
      <c r="N978" s="10"/>
      <c r="O978" t="s">
        <v>125</v>
      </c>
      <c r="Q978" t="s">
        <v>126</v>
      </c>
      <c r="R978" t="s">
        <v>124</v>
      </c>
      <c r="S978" t="b">
        <v>0</v>
      </c>
      <c r="T978" t="s">
        <v>124</v>
      </c>
    </row>
    <row r="979">
      <c r="A979" t="s">
        <v>2118</v>
      </c>
      <c r="B979" t="s">
        <v>2114</v>
      </c>
      <c r="C979" s="2">
        <v>2024</v>
      </c>
      <c r="D979" s="10">
        <v>2</v>
      </c>
      <c r="E979" s="10">
        <v>25</v>
      </c>
      <c r="F979" t="s">
        <v>121</v>
      </c>
      <c r="G979">
        <v>2735</v>
      </c>
      <c r="H979" t="s">
        <v>128</v>
      </c>
      <c r="I979" t="s">
        <v>136</v>
      </c>
      <c r="J979" s="10" t="str">
        <f>VLOOKUP(I979,Categories!A:B,2,FALSE)</f>
        <v>อื่นๆ</v>
      </c>
      <c r="K979" t="s">
        <v>178</v>
      </c>
      <c r="L979" s="10" t="str">
        <f>VLOOKUP(K979,Accounts!A:B,2,FALSE)</f>
        <v>SCB</v>
      </c>
      <c r="M979" t="s">
        <v>203</v>
      </c>
      <c r="N979" s="10" t="str">
        <f>VLOOKUP(M979,Accounts!A:B,2,FALSE)</f>
        <v xml:space="preserve">Provident Fund</v>
      </c>
      <c r="O979" t="s">
        <v>125</v>
      </c>
      <c r="Q979" t="s">
        <v>126</v>
      </c>
      <c r="R979" t="s">
        <v>124</v>
      </c>
      <c r="S979" t="b">
        <v>0</v>
      </c>
      <c r="T979" t="s">
        <v>124</v>
      </c>
    </row>
    <row r="980">
      <c r="A980" t="s">
        <v>2119</v>
      </c>
      <c r="B980" t="s">
        <v>2114</v>
      </c>
      <c r="C980" s="2">
        <v>2024</v>
      </c>
      <c r="D980" s="10">
        <v>2</v>
      </c>
      <c r="E980" s="10">
        <v>25</v>
      </c>
      <c r="F980" t="s">
        <v>121</v>
      </c>
      <c r="G980">
        <v>8540</v>
      </c>
      <c r="H980" t="s">
        <v>128</v>
      </c>
      <c r="I980" t="s">
        <v>136</v>
      </c>
      <c r="J980" s="10" t="str">
        <f>VLOOKUP(I980,Categories!A:B,2,FALSE)</f>
        <v>อื่นๆ</v>
      </c>
      <c r="K980" t="s">
        <v>178</v>
      </c>
      <c r="L980" s="10" t="str">
        <f>VLOOKUP(K980,Accounts!A:B,2,FALSE)</f>
        <v>SCB</v>
      </c>
      <c r="M980" t="s">
        <v>1244</v>
      </c>
      <c r="N980" s="10" t="str">
        <f>VLOOKUP(M980,Accounts!A:B,2,FALSE)</f>
        <v xml:space="preserve">Home chomthong Loan</v>
      </c>
      <c r="O980" t="s">
        <v>125</v>
      </c>
      <c r="Q980" t="s">
        <v>126</v>
      </c>
      <c r="R980" t="s">
        <v>124</v>
      </c>
      <c r="S980" t="b">
        <v>0</v>
      </c>
      <c r="T980" t="s">
        <v>124</v>
      </c>
    </row>
    <row r="981">
      <c r="A981" t="s">
        <v>2120</v>
      </c>
      <c r="B981" t="s">
        <v>2114</v>
      </c>
      <c r="C981" s="2">
        <v>2024</v>
      </c>
      <c r="D981" s="10">
        <v>2</v>
      </c>
      <c r="E981" s="10">
        <v>25</v>
      </c>
      <c r="F981" t="s">
        <v>121</v>
      </c>
      <c r="G981">
        <v>124430</v>
      </c>
      <c r="H981" t="s">
        <v>206</v>
      </c>
      <c r="I981" t="s">
        <v>207</v>
      </c>
      <c r="J981" s="10" t="str">
        <f>VLOOKUP(I981,Categories!A:B,2,FALSE)</f>
        <v>Salary</v>
      </c>
      <c r="K981" t="s">
        <v>178</v>
      </c>
      <c r="L981" s="10" t="str">
        <f>VLOOKUP(K981,Accounts!A:B,2,FALSE)</f>
        <v>SCB</v>
      </c>
      <c r="M981" t="s">
        <v>124</v>
      </c>
      <c r="N981" s="10"/>
      <c r="O981" t="s">
        <v>125</v>
      </c>
      <c r="Q981" t="s">
        <v>126</v>
      </c>
      <c r="R981" t="s">
        <v>124</v>
      </c>
      <c r="S981" t="b">
        <v>0</v>
      </c>
      <c r="T981" t="s">
        <v>124</v>
      </c>
    </row>
    <row r="982">
      <c r="A982" t="s">
        <v>2121</v>
      </c>
      <c r="B982" t="s">
        <v>2114</v>
      </c>
      <c r="C982" s="2">
        <v>2024</v>
      </c>
      <c r="D982" s="10">
        <v>2</v>
      </c>
      <c r="E982" s="10">
        <v>25</v>
      </c>
      <c r="F982" t="s">
        <v>121</v>
      </c>
      <c r="G982">
        <v>9240</v>
      </c>
      <c r="H982" t="s">
        <v>128</v>
      </c>
      <c r="I982" t="s">
        <v>136</v>
      </c>
      <c r="J982" s="10" t="str">
        <f>VLOOKUP(I982,Categories!A:B,2,FALSE)</f>
        <v>อื่นๆ</v>
      </c>
      <c r="K982" t="s">
        <v>178</v>
      </c>
      <c r="L982" s="10" t="str">
        <f>VLOOKUP(K982,Accounts!A:B,2,FALSE)</f>
        <v>SCB</v>
      </c>
      <c r="M982" t="s">
        <v>1246</v>
      </c>
      <c r="N982" s="10" t="str">
        <f>VLOOKUP(M982,Accounts!A:B,2,FALSE)</f>
        <v xml:space="preserve">Car Loan</v>
      </c>
      <c r="O982" t="s">
        <v>125</v>
      </c>
      <c r="Q982" t="s">
        <v>126</v>
      </c>
      <c r="R982" t="s">
        <v>124</v>
      </c>
      <c r="S982" t="b">
        <v>0</v>
      </c>
      <c r="T982" t="s">
        <v>124</v>
      </c>
    </row>
    <row r="983">
      <c r="A983" t="s">
        <v>2122</v>
      </c>
      <c r="B983" t="s">
        <v>2114</v>
      </c>
      <c r="C983" s="2">
        <v>2024</v>
      </c>
      <c r="D983" s="10">
        <v>2</v>
      </c>
      <c r="E983" s="10">
        <v>25</v>
      </c>
      <c r="F983" t="s">
        <v>121</v>
      </c>
      <c r="G983">
        <v>500</v>
      </c>
      <c r="H983" t="s">
        <v>128</v>
      </c>
      <c r="I983" t="s">
        <v>136</v>
      </c>
      <c r="J983" s="10" t="str">
        <f>VLOOKUP(I983,Categories!A:B,2,FALSE)</f>
        <v>อื่นๆ</v>
      </c>
      <c r="K983" t="s">
        <v>178</v>
      </c>
      <c r="L983" s="10" t="str">
        <f>VLOOKUP(K983,Accounts!A:B,2,FALSE)</f>
        <v>SCB</v>
      </c>
      <c r="M983" t="s">
        <v>201</v>
      </c>
      <c r="N983" s="10" t="str">
        <f>VLOOKUP(M983,Accounts!A:B,2,FALSE)</f>
        <v>Coop</v>
      </c>
      <c r="O983" t="s">
        <v>125</v>
      </c>
      <c r="Q983" t="s">
        <v>126</v>
      </c>
      <c r="R983" t="s">
        <v>124</v>
      </c>
      <c r="S983" t="b">
        <v>0</v>
      </c>
      <c r="T983" t="s">
        <v>124</v>
      </c>
    </row>
    <row r="984">
      <c r="A984" t="s">
        <v>2123</v>
      </c>
      <c r="B984" t="s">
        <v>2114</v>
      </c>
      <c r="C984" s="2">
        <v>2024</v>
      </c>
      <c r="D984" s="10">
        <v>2</v>
      </c>
      <c r="E984" s="10">
        <v>25</v>
      </c>
      <c r="F984" t="s">
        <v>121</v>
      </c>
      <c r="G984">
        <v>219715</v>
      </c>
      <c r="H984" t="s">
        <v>206</v>
      </c>
      <c r="I984" t="s">
        <v>281</v>
      </c>
      <c r="J984" s="10" t="str">
        <f>VLOOKUP(I984,Categories!A:B,2,FALSE)</f>
        <v>Others</v>
      </c>
      <c r="K984" t="s">
        <v>178</v>
      </c>
      <c r="L984" s="10" t="str">
        <f>VLOOKUP(K984,Accounts!A:B,2,FALSE)</f>
        <v>SCB</v>
      </c>
      <c r="M984" t="s">
        <v>124</v>
      </c>
      <c r="N984" s="10"/>
      <c r="O984" t="s">
        <v>125</v>
      </c>
      <c r="Q984" t="s">
        <v>126</v>
      </c>
      <c r="R984" t="s">
        <v>124</v>
      </c>
      <c r="S984" t="b">
        <v>0</v>
      </c>
      <c r="T984" t="s">
        <v>124</v>
      </c>
    </row>
    <row r="985">
      <c r="A985" t="s">
        <v>2124</v>
      </c>
      <c r="B985" t="s">
        <v>2114</v>
      </c>
      <c r="C985" s="2">
        <v>2024</v>
      </c>
      <c r="D985" s="10">
        <v>2</v>
      </c>
      <c r="E985" s="10">
        <v>25</v>
      </c>
      <c r="F985" t="s">
        <v>121</v>
      </c>
      <c r="G985">
        <v>1487</v>
      </c>
      <c r="H985" t="s">
        <v>69</v>
      </c>
      <c r="I985" t="s">
        <v>144</v>
      </c>
      <c r="J985" s="10" t="str">
        <f>VLOOKUP(I985,Categories!A:B,2,FALSE)</f>
        <v xml:space="preserve">Family paid</v>
      </c>
      <c r="K985" t="s">
        <v>178</v>
      </c>
      <c r="L985" s="10" t="str">
        <f>VLOOKUP(K985,Accounts!A:B,2,FALSE)</f>
        <v>SCB</v>
      </c>
      <c r="M985" t="s">
        <v>124</v>
      </c>
      <c r="N985" s="10"/>
      <c r="O985" t="s">
        <v>125</v>
      </c>
      <c r="Q985" t="s">
        <v>126</v>
      </c>
      <c r="R985" t="s">
        <v>124</v>
      </c>
      <c r="S985" t="b">
        <v>0</v>
      </c>
      <c r="T985" t="s">
        <v>124</v>
      </c>
    </row>
    <row r="986">
      <c r="A986" t="s">
        <v>2125</v>
      </c>
      <c r="B986" t="s">
        <v>2126</v>
      </c>
      <c r="C986" s="2">
        <v>2024</v>
      </c>
      <c r="D986" s="10">
        <v>2</v>
      </c>
      <c r="E986" s="10">
        <v>23</v>
      </c>
      <c r="F986" t="s">
        <v>1867</v>
      </c>
      <c r="G986">
        <v>-2710.98</v>
      </c>
      <c r="H986" t="s">
        <v>69</v>
      </c>
      <c r="I986" t="s">
        <v>144</v>
      </c>
      <c r="J986" s="10" t="str">
        <f>VLOOKUP(I986,Categories!A:B,2,FALSE)</f>
        <v xml:space="preserve">Family paid</v>
      </c>
      <c r="K986" t="s">
        <v>178</v>
      </c>
      <c r="L986" s="10" t="str">
        <f>VLOOKUP(K986,Accounts!A:B,2,FALSE)</f>
        <v>SCB</v>
      </c>
      <c r="M986" t="s">
        <v>124</v>
      </c>
      <c r="N986" s="10"/>
      <c r="O986" t="s">
        <v>125</v>
      </c>
      <c r="Q986" t="s">
        <v>126</v>
      </c>
      <c r="R986" t="s">
        <v>124</v>
      </c>
      <c r="S986" t="b">
        <v>0</v>
      </c>
      <c r="T986" t="s">
        <v>124</v>
      </c>
    </row>
    <row r="987">
      <c r="A987" t="s">
        <v>2127</v>
      </c>
      <c r="B987" t="s">
        <v>2128</v>
      </c>
      <c r="C987" s="2">
        <v>2024</v>
      </c>
      <c r="D987" s="10">
        <v>2</v>
      </c>
      <c r="E987" s="10">
        <v>21</v>
      </c>
      <c r="F987" t="s">
        <v>1591</v>
      </c>
      <c r="G987">
        <v>1200</v>
      </c>
      <c r="H987" t="s">
        <v>69</v>
      </c>
      <c r="I987" t="s">
        <v>144</v>
      </c>
      <c r="J987" s="10" t="str">
        <f>VLOOKUP(I987,Categories!A:B,2,FALSE)</f>
        <v xml:space="preserve">Family paid</v>
      </c>
      <c r="K987" t="s">
        <v>123</v>
      </c>
      <c r="L987" s="10" t="str">
        <f>VLOOKUP(K987,Accounts!A:B,2,FALSE)</f>
        <v>KBank</v>
      </c>
      <c r="M987" t="s">
        <v>124</v>
      </c>
      <c r="N987" s="10"/>
      <c r="O987" t="s">
        <v>125</v>
      </c>
      <c r="Q987" t="s">
        <v>126</v>
      </c>
      <c r="R987" t="s">
        <v>124</v>
      </c>
      <c r="S987" t="b">
        <v>0</v>
      </c>
      <c r="T987" t="s">
        <v>124</v>
      </c>
    </row>
    <row r="988">
      <c r="A988" t="s">
        <v>2129</v>
      </c>
      <c r="B988" t="s">
        <v>2130</v>
      </c>
      <c r="C988" s="2">
        <v>2024</v>
      </c>
      <c r="D988" s="10">
        <v>2</v>
      </c>
      <c r="E988" s="10">
        <v>16</v>
      </c>
      <c r="F988" t="s">
        <v>2131</v>
      </c>
      <c r="G988">
        <v>50</v>
      </c>
      <c r="H988" t="s">
        <v>69</v>
      </c>
      <c r="I988" t="s">
        <v>150</v>
      </c>
      <c r="J988" s="10" t="str">
        <f>VLOOKUP(I988,Categories!A:B,2,FALSE)</f>
        <v xml:space="preserve">Food &amp; Coff</v>
      </c>
      <c r="K988" t="s">
        <v>123</v>
      </c>
      <c r="L988" s="10" t="str">
        <f>VLOOKUP(K988,Accounts!A:B,2,FALSE)</f>
        <v>KBank</v>
      </c>
      <c r="M988" t="s">
        <v>124</v>
      </c>
      <c r="N988" s="10"/>
      <c r="O988" t="s">
        <v>125</v>
      </c>
      <c r="Q988" t="s">
        <v>126</v>
      </c>
      <c r="R988" t="s">
        <v>124</v>
      </c>
      <c r="S988" t="b">
        <v>0</v>
      </c>
      <c r="T988" t="s">
        <v>124</v>
      </c>
    </row>
    <row r="989">
      <c r="A989" t="s">
        <v>2132</v>
      </c>
      <c r="B989" t="s">
        <v>2133</v>
      </c>
      <c r="C989" s="2">
        <v>2024</v>
      </c>
      <c r="D989" s="10">
        <v>2</v>
      </c>
      <c r="E989" s="10">
        <v>15</v>
      </c>
      <c r="F989" t="s">
        <v>2134</v>
      </c>
      <c r="G989">
        <v>500</v>
      </c>
      <c r="H989" t="s">
        <v>69</v>
      </c>
      <c r="I989" t="s">
        <v>259</v>
      </c>
      <c r="J989" s="10" t="str">
        <f>VLOOKUP(I989,Categories!A:B,2,FALSE)</f>
        <v xml:space="preserve">Team BOT</v>
      </c>
      <c r="K989" t="s">
        <v>178</v>
      </c>
      <c r="L989" s="10" t="str">
        <f>VLOOKUP(K989,Accounts!A:B,2,FALSE)</f>
        <v>SCB</v>
      </c>
      <c r="M989" t="s">
        <v>124</v>
      </c>
      <c r="N989" s="10"/>
      <c r="O989" t="s">
        <v>125</v>
      </c>
      <c r="Q989" t="s">
        <v>126</v>
      </c>
      <c r="R989" t="s">
        <v>124</v>
      </c>
      <c r="S989" t="b">
        <v>0</v>
      </c>
      <c r="T989" t="s">
        <v>124</v>
      </c>
    </row>
    <row r="990">
      <c r="A990" t="s">
        <v>2135</v>
      </c>
      <c r="B990" t="s">
        <v>2136</v>
      </c>
      <c r="C990" s="2">
        <v>2024</v>
      </c>
      <c r="D990" s="10">
        <v>2</v>
      </c>
      <c r="E990" s="10">
        <v>14</v>
      </c>
      <c r="F990" t="s">
        <v>121</v>
      </c>
      <c r="G990">
        <v>419</v>
      </c>
      <c r="H990" t="s">
        <v>69</v>
      </c>
      <c r="I990" t="s">
        <v>1903</v>
      </c>
      <c r="J990" s="10" t="str">
        <f>VLOOKUP(I990,Categories!A:B,2,FALSE)</f>
        <v xml:space="preserve">Monthly subscription</v>
      </c>
      <c r="K990" t="s">
        <v>747</v>
      </c>
      <c r="L990" s="10" t="str">
        <f>VLOOKUP(K990,Accounts!A:B,2,FALSE)</f>
        <v xml:space="preserve">UOB world</v>
      </c>
      <c r="M990" t="s">
        <v>124</v>
      </c>
      <c r="N990" s="10"/>
      <c r="O990" t="s">
        <v>125</v>
      </c>
      <c r="Q990" t="s">
        <v>126</v>
      </c>
      <c r="R990" t="s">
        <v>124</v>
      </c>
      <c r="S990" t="b">
        <v>0</v>
      </c>
      <c r="T990" t="s">
        <v>124</v>
      </c>
    </row>
    <row r="991">
      <c r="A991" t="s">
        <v>2137</v>
      </c>
      <c r="B991" t="s">
        <v>2138</v>
      </c>
      <c r="C991" s="2">
        <v>2024</v>
      </c>
      <c r="D991" s="10">
        <v>2</v>
      </c>
      <c r="E991" s="10">
        <v>11</v>
      </c>
      <c r="F991" t="s">
        <v>2139</v>
      </c>
      <c r="G991">
        <v>300</v>
      </c>
      <c r="H991" t="s">
        <v>69</v>
      </c>
      <c r="I991" t="s">
        <v>122</v>
      </c>
      <c r="J991" s="10" t="str">
        <f>VLOOKUP(I991,Categories!A:B,2,FALSE)</f>
        <v>Other</v>
      </c>
      <c r="K991" t="s">
        <v>123</v>
      </c>
      <c r="L991" s="10" t="str">
        <f>VLOOKUP(K991,Accounts!A:B,2,FALSE)</f>
        <v>KBank</v>
      </c>
      <c r="M991" t="s">
        <v>124</v>
      </c>
      <c r="N991" s="10"/>
      <c r="O991" t="s">
        <v>377</v>
      </c>
      <c r="Q991" t="s">
        <v>126</v>
      </c>
      <c r="R991" t="s">
        <v>124</v>
      </c>
      <c r="S991" t="b">
        <v>0</v>
      </c>
      <c r="T991" t="s">
        <v>124</v>
      </c>
    </row>
    <row r="992">
      <c r="A992" t="s">
        <v>2140</v>
      </c>
      <c r="B992" t="s">
        <v>2141</v>
      </c>
      <c r="C992" s="2">
        <v>2024</v>
      </c>
      <c r="D992" s="10">
        <v>2</v>
      </c>
      <c r="E992" s="10">
        <v>9</v>
      </c>
      <c r="F992" t="s">
        <v>2134</v>
      </c>
      <c r="G992">
        <v>154</v>
      </c>
      <c r="H992" t="s">
        <v>206</v>
      </c>
      <c r="I992" t="s">
        <v>281</v>
      </c>
      <c r="J992" s="10" t="str">
        <f>VLOOKUP(I992,Categories!A:B,2,FALSE)</f>
        <v>Others</v>
      </c>
      <c r="K992" t="s">
        <v>178</v>
      </c>
      <c r="L992" s="10" t="str">
        <f>VLOOKUP(K992,Accounts!A:B,2,FALSE)</f>
        <v>SCB</v>
      </c>
      <c r="M992" t="s">
        <v>124</v>
      </c>
      <c r="N992" s="10"/>
      <c r="O992" t="s">
        <v>125</v>
      </c>
      <c r="Q992" t="s">
        <v>126</v>
      </c>
      <c r="R992" t="s">
        <v>124</v>
      </c>
      <c r="S992" t="b">
        <v>0</v>
      </c>
      <c r="T992" t="s">
        <v>124</v>
      </c>
    </row>
    <row r="993">
      <c r="A993" t="s">
        <v>2142</v>
      </c>
      <c r="B993" t="s">
        <v>2141</v>
      </c>
      <c r="C993" s="2">
        <v>2024</v>
      </c>
      <c r="D993" s="10">
        <v>2</v>
      </c>
      <c r="E993" s="10">
        <v>9</v>
      </c>
      <c r="F993" t="s">
        <v>2143</v>
      </c>
      <c r="G993">
        <v>1800</v>
      </c>
      <c r="H993" t="s">
        <v>69</v>
      </c>
      <c r="I993" t="s">
        <v>259</v>
      </c>
      <c r="J993" s="10" t="str">
        <f>VLOOKUP(I993,Categories!A:B,2,FALSE)</f>
        <v xml:space="preserve">Team BOT</v>
      </c>
      <c r="K993" t="s">
        <v>178</v>
      </c>
      <c r="L993" s="10" t="str">
        <f>VLOOKUP(K993,Accounts!A:B,2,FALSE)</f>
        <v>SCB</v>
      </c>
      <c r="M993" t="s">
        <v>124</v>
      </c>
      <c r="N993" s="10"/>
      <c r="O993" t="s">
        <v>125</v>
      </c>
      <c r="Q993" t="s">
        <v>126</v>
      </c>
      <c r="R993" t="s">
        <v>124</v>
      </c>
      <c r="S993" t="b">
        <v>0</v>
      </c>
      <c r="T993" t="s">
        <v>124</v>
      </c>
    </row>
    <row r="994">
      <c r="A994" t="s">
        <v>2144</v>
      </c>
      <c r="B994" t="s">
        <v>2145</v>
      </c>
      <c r="C994" s="2">
        <v>2024</v>
      </c>
      <c r="D994" s="10">
        <v>2</v>
      </c>
      <c r="E994" s="10">
        <v>5</v>
      </c>
      <c r="F994" t="s">
        <v>224</v>
      </c>
      <c r="G994">
        <v>987</v>
      </c>
      <c r="H994" t="s">
        <v>128</v>
      </c>
      <c r="I994" t="s">
        <v>136</v>
      </c>
      <c r="J994" s="10" t="str">
        <f>VLOOKUP(I994,Categories!A:B,2,FALSE)</f>
        <v>อื่นๆ</v>
      </c>
      <c r="K994" t="s">
        <v>131</v>
      </c>
      <c r="L994" s="10" t="str">
        <f>VLOOKUP(K994,Accounts!A:B,2,FALSE)</f>
        <v xml:space="preserve">Advance Paid</v>
      </c>
      <c r="M994" t="s">
        <v>178</v>
      </c>
      <c r="N994" s="10" t="str">
        <f>VLOOKUP(M994,Accounts!A:B,2,FALSE)</f>
        <v>SCB</v>
      </c>
      <c r="O994" t="s">
        <v>2095</v>
      </c>
      <c r="Q994" t="s">
        <v>126</v>
      </c>
      <c r="R994" t="s">
        <v>124</v>
      </c>
      <c r="S994" t="b">
        <v>0</v>
      </c>
      <c r="T994" t="s">
        <v>124</v>
      </c>
    </row>
    <row r="995">
      <c r="A995" t="s">
        <v>2146</v>
      </c>
      <c r="B995" t="s">
        <v>2147</v>
      </c>
      <c r="C995" s="2">
        <v>2024</v>
      </c>
      <c r="D995" s="10">
        <v>2</v>
      </c>
      <c r="E995" s="10">
        <v>4</v>
      </c>
      <c r="F995" t="s">
        <v>2148</v>
      </c>
      <c r="G995">
        <v>379</v>
      </c>
      <c r="H995" t="s">
        <v>69</v>
      </c>
      <c r="I995" t="s">
        <v>144</v>
      </c>
      <c r="J995" s="10" t="str">
        <f>VLOOKUP(I995,Categories!A:B,2,FALSE)</f>
        <v xml:space="preserve">Family paid</v>
      </c>
      <c r="K995" t="s">
        <v>123</v>
      </c>
      <c r="L995" s="10" t="str">
        <f>VLOOKUP(K995,Accounts!A:B,2,FALSE)</f>
        <v>KBank</v>
      </c>
      <c r="M995" t="s">
        <v>124</v>
      </c>
      <c r="N995" s="10"/>
      <c r="O995" t="s">
        <v>125</v>
      </c>
      <c r="Q995" t="s">
        <v>126</v>
      </c>
      <c r="R995" t="s">
        <v>124</v>
      </c>
      <c r="S995" t="b">
        <v>0</v>
      </c>
      <c r="T995" t="s">
        <v>124</v>
      </c>
    </row>
    <row r="996">
      <c r="A996" t="s">
        <v>2149</v>
      </c>
      <c r="B996" t="s">
        <v>2147</v>
      </c>
      <c r="C996" s="2">
        <v>2024</v>
      </c>
      <c r="D996" s="10">
        <v>2</v>
      </c>
      <c r="E996" s="10">
        <v>4</v>
      </c>
      <c r="F996" t="s">
        <v>2150</v>
      </c>
      <c r="G996">
        <v>5000</v>
      </c>
      <c r="H996" t="s">
        <v>69</v>
      </c>
      <c r="I996" t="s">
        <v>144</v>
      </c>
      <c r="J996" s="10" t="str">
        <f>VLOOKUP(I996,Categories!A:B,2,FALSE)</f>
        <v xml:space="preserve">Family paid</v>
      </c>
      <c r="K996" t="s">
        <v>178</v>
      </c>
      <c r="L996" s="10" t="str">
        <f>VLOOKUP(K996,Accounts!A:B,2,FALSE)</f>
        <v>SCB</v>
      </c>
      <c r="M996" t="s">
        <v>124</v>
      </c>
      <c r="N996" s="10"/>
      <c r="O996" t="s">
        <v>125</v>
      </c>
      <c r="Q996" t="s">
        <v>126</v>
      </c>
      <c r="R996" t="s">
        <v>124</v>
      </c>
      <c r="S996" t="b">
        <v>0</v>
      </c>
      <c r="T996" t="s">
        <v>124</v>
      </c>
    </row>
    <row r="997">
      <c r="A997" t="s">
        <v>2151</v>
      </c>
      <c r="B997" t="s">
        <v>2147</v>
      </c>
      <c r="C997" s="2">
        <v>2024</v>
      </c>
      <c r="D997" s="10">
        <v>2</v>
      </c>
      <c r="E997" s="10">
        <v>4</v>
      </c>
      <c r="F997" t="s">
        <v>2152</v>
      </c>
      <c r="G997">
        <v>10000</v>
      </c>
      <c r="H997" t="s">
        <v>69</v>
      </c>
      <c r="I997" t="s">
        <v>144</v>
      </c>
      <c r="J997" s="10" t="str">
        <f>VLOOKUP(I997,Categories!A:B,2,FALSE)</f>
        <v xml:space="preserve">Family paid</v>
      </c>
      <c r="K997" t="s">
        <v>178</v>
      </c>
      <c r="L997" s="10" t="str">
        <f>VLOOKUP(K997,Accounts!A:B,2,FALSE)</f>
        <v>SCB</v>
      </c>
      <c r="M997" t="s">
        <v>124</v>
      </c>
      <c r="N997" s="10"/>
      <c r="O997" t="s">
        <v>125</v>
      </c>
      <c r="Q997" t="s">
        <v>126</v>
      </c>
      <c r="R997" t="s">
        <v>124</v>
      </c>
      <c r="S997" t="b">
        <v>0</v>
      </c>
      <c r="T997" t="s">
        <v>124</v>
      </c>
    </row>
    <row r="998">
      <c r="A998" t="s">
        <v>2153</v>
      </c>
      <c r="B998" t="s">
        <v>2154</v>
      </c>
      <c r="C998" s="2">
        <v>2024</v>
      </c>
      <c r="D998" s="10">
        <v>2</v>
      </c>
      <c r="E998" s="10">
        <v>3</v>
      </c>
      <c r="F998" t="s">
        <v>1278</v>
      </c>
      <c r="G998">
        <v>500</v>
      </c>
      <c r="H998" t="s">
        <v>69</v>
      </c>
      <c r="I998" t="s">
        <v>134</v>
      </c>
      <c r="J998" s="10" t="str">
        <f>VLOOKUP(I998,Categories!A:B,2,FALSE)</f>
        <v>Hong</v>
      </c>
      <c r="K998" t="s">
        <v>123</v>
      </c>
      <c r="L998" s="10" t="str">
        <f>VLOOKUP(K998,Accounts!A:B,2,FALSE)</f>
        <v>KBank</v>
      </c>
      <c r="M998" t="s">
        <v>124</v>
      </c>
      <c r="N998" s="10"/>
      <c r="O998" t="s">
        <v>125</v>
      </c>
      <c r="Q998" t="s">
        <v>126</v>
      </c>
      <c r="R998" t="s">
        <v>124</v>
      </c>
      <c r="S998" t="b">
        <v>0</v>
      </c>
      <c r="T998" t="s">
        <v>124</v>
      </c>
    </row>
    <row r="999">
      <c r="A999" t="s">
        <v>2155</v>
      </c>
      <c r="B999" t="s">
        <v>2156</v>
      </c>
      <c r="C999" s="2">
        <v>2024</v>
      </c>
      <c r="D999" s="10">
        <v>2</v>
      </c>
      <c r="E999" s="10">
        <v>2</v>
      </c>
      <c r="F999" t="s">
        <v>258</v>
      </c>
      <c r="G999">
        <v>822</v>
      </c>
      <c r="H999" t="s">
        <v>69</v>
      </c>
      <c r="I999" t="s">
        <v>122</v>
      </c>
      <c r="J999" s="10" t="str">
        <f>VLOOKUP(I999,Categories!A:B,2,FALSE)</f>
        <v>Other</v>
      </c>
      <c r="K999" t="s">
        <v>766</v>
      </c>
      <c r="L999" s="10" t="str">
        <f>VLOOKUP(K999,Accounts!A:B,2,FALSE)</f>
        <v>KRUNGSRI</v>
      </c>
      <c r="M999" t="s">
        <v>124</v>
      </c>
      <c r="N999" s="10"/>
      <c r="O999" t="s">
        <v>125</v>
      </c>
      <c r="Q999" t="s">
        <v>126</v>
      </c>
      <c r="R999" t="s">
        <v>124</v>
      </c>
      <c r="S999" t="b">
        <v>0</v>
      </c>
      <c r="T999" t="s">
        <v>124</v>
      </c>
    </row>
    <row r="1000">
      <c r="A1000" t="s">
        <v>2157</v>
      </c>
      <c r="B1000" t="s">
        <v>2158</v>
      </c>
      <c r="C1000" s="2">
        <v>2024</v>
      </c>
      <c r="D1000" s="10">
        <v>2</v>
      </c>
      <c r="E1000" s="10">
        <v>1</v>
      </c>
      <c r="F1000" t="s">
        <v>1269</v>
      </c>
      <c r="G1000">
        <v>17500</v>
      </c>
      <c r="H1000" t="s">
        <v>69</v>
      </c>
      <c r="I1000" t="s">
        <v>134</v>
      </c>
      <c r="J1000" s="10" t="str">
        <f>VLOOKUP(I1000,Categories!A:B,2,FALSE)</f>
        <v>Hong</v>
      </c>
      <c r="K1000" t="s">
        <v>123</v>
      </c>
      <c r="L1000" s="10" t="str">
        <f>VLOOKUP(K1000,Accounts!A:B,2,FALSE)</f>
        <v>KBank</v>
      </c>
      <c r="M1000" t="s">
        <v>124</v>
      </c>
      <c r="N1000" s="10"/>
      <c r="O1000" t="s">
        <v>125</v>
      </c>
      <c r="Q1000" t="s">
        <v>126</v>
      </c>
      <c r="R1000" t="s">
        <v>124</v>
      </c>
      <c r="S1000" t="b">
        <v>0</v>
      </c>
      <c r="T1000" t="s">
        <v>124</v>
      </c>
    </row>
    <row r="1001">
      <c r="A1001" t="s">
        <v>2159</v>
      </c>
      <c r="B1001" t="s">
        <v>2158</v>
      </c>
      <c r="C1001" s="2">
        <v>2024</v>
      </c>
      <c r="D1001" s="10">
        <v>2</v>
      </c>
      <c r="E1001" s="10">
        <v>1</v>
      </c>
      <c r="F1001" t="s">
        <v>2063</v>
      </c>
      <c r="G1001">
        <v>8219.3299999999999</v>
      </c>
      <c r="H1001" t="s">
        <v>69</v>
      </c>
      <c r="I1001" t="s">
        <v>139</v>
      </c>
      <c r="J1001" s="10" t="str">
        <f>VLOOKUP(I1001,Categories!A:B,2,FALSE)</f>
        <v>Condo</v>
      </c>
      <c r="K1001" t="s">
        <v>123</v>
      </c>
      <c r="L1001" s="10" t="str">
        <f>VLOOKUP(K1001,Accounts!A:B,2,FALSE)</f>
        <v>KBank</v>
      </c>
      <c r="M1001" t="s">
        <v>124</v>
      </c>
      <c r="N1001" s="10"/>
      <c r="O1001" t="s">
        <v>125</v>
      </c>
      <c r="Q1001" t="s">
        <v>126</v>
      </c>
      <c r="R1001" t="s">
        <v>124</v>
      </c>
      <c r="S1001" t="b">
        <v>0</v>
      </c>
      <c r="T1001" t="s">
        <v>124</v>
      </c>
    </row>
    <row r="1002">
      <c r="A1002" t="s">
        <v>2160</v>
      </c>
      <c r="B1002" t="s">
        <v>2158</v>
      </c>
      <c r="C1002" s="2">
        <v>2024</v>
      </c>
      <c r="D1002" s="10">
        <v>2</v>
      </c>
      <c r="E1002" s="10">
        <v>1</v>
      </c>
      <c r="F1002" t="s">
        <v>2150</v>
      </c>
      <c r="G1002">
        <v>14775</v>
      </c>
      <c r="H1002" t="s">
        <v>206</v>
      </c>
      <c r="I1002" t="s">
        <v>281</v>
      </c>
      <c r="J1002" s="10" t="str">
        <f>VLOOKUP(I1002,Categories!A:B,2,FALSE)</f>
        <v>Others</v>
      </c>
      <c r="K1002" t="s">
        <v>178</v>
      </c>
      <c r="L1002" s="10" t="str">
        <f>VLOOKUP(K1002,Accounts!A:B,2,FALSE)</f>
        <v>SCB</v>
      </c>
      <c r="M1002" t="s">
        <v>124</v>
      </c>
      <c r="N1002" s="10"/>
      <c r="O1002" t="s">
        <v>125</v>
      </c>
      <c r="Q1002" t="s">
        <v>126</v>
      </c>
      <c r="R1002" t="s">
        <v>124</v>
      </c>
      <c r="S1002" t="b">
        <v>0</v>
      </c>
      <c r="T1002" t="s">
        <v>124</v>
      </c>
    </row>
    <row r="1003">
      <c r="A1003" t="s">
        <v>2161</v>
      </c>
      <c r="B1003" t="s">
        <v>2162</v>
      </c>
      <c r="C1003" s="2">
        <v>2024</v>
      </c>
      <c r="D1003" s="10">
        <v>1</v>
      </c>
      <c r="E1003" s="10">
        <v>31</v>
      </c>
      <c r="F1003" t="s">
        <v>2148</v>
      </c>
      <c r="G1003">
        <v>133</v>
      </c>
      <c r="H1003" t="s">
        <v>69</v>
      </c>
      <c r="I1003" t="s">
        <v>150</v>
      </c>
      <c r="J1003" s="10" t="str">
        <f>VLOOKUP(I1003,Categories!A:B,2,FALSE)</f>
        <v xml:space="preserve">Food &amp; Coff</v>
      </c>
      <c r="K1003" t="s">
        <v>123</v>
      </c>
      <c r="L1003" s="10" t="str">
        <f>VLOOKUP(K1003,Accounts!A:B,2,FALSE)</f>
        <v>KBank</v>
      </c>
      <c r="M1003" t="s">
        <v>124</v>
      </c>
      <c r="N1003" s="10"/>
      <c r="O1003" t="s">
        <v>125</v>
      </c>
      <c r="Q1003" t="s">
        <v>126</v>
      </c>
      <c r="R1003" t="s">
        <v>124</v>
      </c>
      <c r="S1003" t="b">
        <v>0</v>
      </c>
      <c r="T1003" t="s">
        <v>124</v>
      </c>
    </row>
    <row r="1004">
      <c r="A1004" t="s">
        <v>2163</v>
      </c>
      <c r="B1004" t="s">
        <v>2162</v>
      </c>
      <c r="C1004" s="2">
        <v>2024</v>
      </c>
      <c r="D1004" s="10">
        <v>1</v>
      </c>
      <c r="E1004" s="10">
        <v>31</v>
      </c>
      <c r="F1004" t="s">
        <v>649</v>
      </c>
      <c r="G1004">
        <v>679</v>
      </c>
      <c r="H1004" t="s">
        <v>128</v>
      </c>
      <c r="I1004" t="s">
        <v>136</v>
      </c>
      <c r="J1004" s="10" t="str">
        <f>VLOOKUP(I1004,Categories!A:B,2,FALSE)</f>
        <v>อื่นๆ</v>
      </c>
      <c r="K1004" t="s">
        <v>131</v>
      </c>
      <c r="L1004" s="10" t="str">
        <f>VLOOKUP(K1004,Accounts!A:B,2,FALSE)</f>
        <v xml:space="preserve">Advance Paid</v>
      </c>
      <c r="M1004" t="s">
        <v>178</v>
      </c>
      <c r="N1004" s="10" t="str">
        <f>VLOOKUP(M1004,Accounts!A:B,2,FALSE)</f>
        <v>SCB</v>
      </c>
      <c r="O1004" t="s">
        <v>2164</v>
      </c>
      <c r="Q1004" t="s">
        <v>126</v>
      </c>
      <c r="R1004" t="s">
        <v>124</v>
      </c>
      <c r="S1004" t="b">
        <v>0</v>
      </c>
      <c r="T1004" t="s">
        <v>124</v>
      </c>
    </row>
    <row r="1005">
      <c r="A1005" t="s">
        <v>2165</v>
      </c>
      <c r="B1005" t="s">
        <v>2162</v>
      </c>
      <c r="C1005" s="2">
        <v>2024</v>
      </c>
      <c r="D1005" s="10">
        <v>1</v>
      </c>
      <c r="E1005" s="10">
        <v>31</v>
      </c>
      <c r="F1005" t="s">
        <v>2166</v>
      </c>
      <c r="G1005">
        <v>67</v>
      </c>
      <c r="H1005" t="s">
        <v>206</v>
      </c>
      <c r="I1005" t="s">
        <v>281</v>
      </c>
      <c r="J1005" s="10" t="str">
        <f>VLOOKUP(I1005,Categories!A:B,2,FALSE)</f>
        <v>Others</v>
      </c>
      <c r="K1005" t="s">
        <v>178</v>
      </c>
      <c r="L1005" s="10" t="str">
        <f>VLOOKUP(K1005,Accounts!A:B,2,FALSE)</f>
        <v>SCB</v>
      </c>
      <c r="M1005" t="s">
        <v>124</v>
      </c>
      <c r="N1005" s="10"/>
      <c r="O1005" t="s">
        <v>125</v>
      </c>
      <c r="Q1005" t="s">
        <v>126</v>
      </c>
      <c r="R1005" t="s">
        <v>124</v>
      </c>
      <c r="S1005" t="b">
        <v>0</v>
      </c>
      <c r="T1005" t="s">
        <v>124</v>
      </c>
    </row>
    <row r="1006">
      <c r="A1006" t="s">
        <v>2167</v>
      </c>
      <c r="B1006" t="s">
        <v>2168</v>
      </c>
      <c r="C1006" s="2">
        <v>2024</v>
      </c>
      <c r="D1006" s="10">
        <v>1</v>
      </c>
      <c r="E1006" s="10">
        <v>30</v>
      </c>
      <c r="F1006" t="s">
        <v>1012</v>
      </c>
      <c r="G1006">
        <v>4158</v>
      </c>
      <c r="H1006" t="s">
        <v>128</v>
      </c>
      <c r="I1006" t="s">
        <v>136</v>
      </c>
      <c r="J1006" s="10" t="str">
        <f>VLOOKUP(I1006,Categories!A:B,2,FALSE)</f>
        <v>อื่นๆ</v>
      </c>
      <c r="K1006" t="s">
        <v>123</v>
      </c>
      <c r="L1006" s="10" t="str">
        <f>VLOOKUP(K1006,Accounts!A:B,2,FALSE)</f>
        <v>KBank</v>
      </c>
      <c r="M1006" t="s">
        <v>1421</v>
      </c>
      <c r="N1006" s="10" t="str">
        <f>VLOOKUP(M1006,Accounts!A:B,2,FALSE)</f>
        <v>Hong</v>
      </c>
      <c r="O1006" t="s">
        <v>125</v>
      </c>
      <c r="Q1006" t="s">
        <v>126</v>
      </c>
      <c r="R1006" t="s">
        <v>124</v>
      </c>
      <c r="S1006" t="b">
        <v>0</v>
      </c>
      <c r="T1006" t="s">
        <v>124</v>
      </c>
    </row>
    <row r="1007">
      <c r="A1007" t="s">
        <v>2169</v>
      </c>
      <c r="B1007" t="s">
        <v>2168</v>
      </c>
      <c r="C1007" s="2">
        <v>2024</v>
      </c>
      <c r="D1007" s="10">
        <v>1</v>
      </c>
      <c r="E1007" s="10">
        <v>30</v>
      </c>
      <c r="F1007" t="s">
        <v>2170</v>
      </c>
      <c r="G1007">
        <v>900</v>
      </c>
      <c r="H1007" t="s">
        <v>128</v>
      </c>
      <c r="I1007" t="s">
        <v>136</v>
      </c>
      <c r="J1007" s="10" t="str">
        <f>VLOOKUP(I1007,Categories!A:B,2,FALSE)</f>
        <v>อื่นๆ</v>
      </c>
      <c r="K1007" t="s">
        <v>131</v>
      </c>
      <c r="L1007" s="10" t="str">
        <f>VLOOKUP(K1007,Accounts!A:B,2,FALSE)</f>
        <v xml:space="preserve">Advance Paid</v>
      </c>
      <c r="M1007" t="s">
        <v>123</v>
      </c>
      <c r="N1007" s="10" t="str">
        <f>VLOOKUP(M1007,Accounts!A:B,2,FALSE)</f>
        <v>KBank</v>
      </c>
      <c r="O1007" t="s">
        <v>125</v>
      </c>
      <c r="Q1007" t="s">
        <v>126</v>
      </c>
      <c r="R1007" t="s">
        <v>124</v>
      </c>
      <c r="S1007" t="b">
        <v>0</v>
      </c>
      <c r="T1007" t="s">
        <v>124</v>
      </c>
    </row>
    <row r="1008">
      <c r="A1008" t="s">
        <v>2171</v>
      </c>
      <c r="B1008" t="s">
        <v>2168</v>
      </c>
      <c r="C1008" s="2">
        <v>2024</v>
      </c>
      <c r="D1008" s="10">
        <v>1</v>
      </c>
      <c r="E1008" s="10">
        <v>30</v>
      </c>
      <c r="F1008" t="s">
        <v>1035</v>
      </c>
      <c r="G1008">
        <v>800.62</v>
      </c>
      <c r="H1008" t="s">
        <v>69</v>
      </c>
      <c r="I1008" t="s">
        <v>1508</v>
      </c>
      <c r="J1008" s="10" t="str">
        <f>VLOOKUP(I1008,Categories!A:B,2,FALSE)</f>
        <v>Other</v>
      </c>
      <c r="K1008" t="s">
        <v>123</v>
      </c>
      <c r="L1008" s="10" t="str">
        <f>VLOOKUP(K1008,Accounts!A:B,2,FALSE)</f>
        <v>KBank</v>
      </c>
      <c r="M1008" t="s">
        <v>124</v>
      </c>
      <c r="N1008" s="10"/>
      <c r="O1008" t="s">
        <v>2172</v>
      </c>
      <c r="Q1008" t="s">
        <v>126</v>
      </c>
      <c r="R1008" t="s">
        <v>124</v>
      </c>
      <c r="S1008" t="b">
        <v>0</v>
      </c>
      <c r="T1008" t="s">
        <v>124</v>
      </c>
    </row>
    <row r="1009">
      <c r="A1009" t="s">
        <v>2173</v>
      </c>
      <c r="B1009" t="s">
        <v>2168</v>
      </c>
      <c r="C1009" s="2">
        <v>2024</v>
      </c>
      <c r="D1009" s="10">
        <v>1</v>
      </c>
      <c r="E1009" s="10">
        <v>30</v>
      </c>
      <c r="F1009" t="s">
        <v>2174</v>
      </c>
      <c r="G1009">
        <v>122</v>
      </c>
      <c r="H1009" t="s">
        <v>128</v>
      </c>
      <c r="I1009" t="s">
        <v>136</v>
      </c>
      <c r="J1009" s="10" t="str">
        <f>VLOOKUP(I1009,Categories!A:B,2,FALSE)</f>
        <v>อื่นๆ</v>
      </c>
      <c r="K1009" t="s">
        <v>131</v>
      </c>
      <c r="L1009" s="10" t="str">
        <f>VLOOKUP(K1009,Accounts!A:B,2,FALSE)</f>
        <v xml:space="preserve">Advance Paid</v>
      </c>
      <c r="M1009" t="s">
        <v>123</v>
      </c>
      <c r="N1009" s="10" t="str">
        <f>VLOOKUP(M1009,Accounts!A:B,2,FALSE)</f>
        <v>KBank</v>
      </c>
      <c r="O1009" t="s">
        <v>125</v>
      </c>
      <c r="Q1009" t="s">
        <v>126</v>
      </c>
      <c r="R1009" t="s">
        <v>124</v>
      </c>
      <c r="S1009" t="b">
        <v>0</v>
      </c>
      <c r="T1009" t="s">
        <v>124</v>
      </c>
    </row>
    <row r="1010">
      <c r="A1010" t="s">
        <v>2175</v>
      </c>
      <c r="B1010" t="s">
        <v>2168</v>
      </c>
      <c r="C1010" s="2">
        <v>2024</v>
      </c>
      <c r="D1010" s="10">
        <v>1</v>
      </c>
      <c r="E1010" s="10">
        <v>30</v>
      </c>
      <c r="F1010" t="s">
        <v>2087</v>
      </c>
      <c r="G1010">
        <v>200000</v>
      </c>
      <c r="H1010" t="s">
        <v>128</v>
      </c>
      <c r="I1010" t="s">
        <v>136</v>
      </c>
      <c r="J1010" s="10" t="str">
        <f>VLOOKUP(I1010,Categories!A:B,2,FALSE)</f>
        <v>อื่นๆ</v>
      </c>
      <c r="K1010" t="s">
        <v>178</v>
      </c>
      <c r="L1010" s="10" t="str">
        <f>VLOOKUP(K1010,Accounts!A:B,2,FALSE)</f>
        <v>SCB</v>
      </c>
      <c r="M1010" t="s">
        <v>123</v>
      </c>
      <c r="N1010" s="10" t="str">
        <f>VLOOKUP(M1010,Accounts!A:B,2,FALSE)</f>
        <v>KBank</v>
      </c>
      <c r="O1010" t="s">
        <v>125</v>
      </c>
      <c r="Q1010" t="s">
        <v>126</v>
      </c>
      <c r="R1010" t="s">
        <v>124</v>
      </c>
      <c r="S1010" t="b">
        <v>0</v>
      </c>
      <c r="T1010" t="s">
        <v>124</v>
      </c>
    </row>
    <row r="1011">
      <c r="A1011" t="s">
        <v>2176</v>
      </c>
      <c r="B1011" t="s">
        <v>2168</v>
      </c>
      <c r="C1011" s="2">
        <v>2024</v>
      </c>
      <c r="D1011" s="10">
        <v>1</v>
      </c>
      <c r="E1011" s="10">
        <v>30</v>
      </c>
      <c r="F1011" t="s">
        <v>746</v>
      </c>
      <c r="G1011">
        <v>60</v>
      </c>
      <c r="H1011" t="s">
        <v>206</v>
      </c>
      <c r="I1011" t="s">
        <v>281</v>
      </c>
      <c r="J1011" s="10" t="str">
        <f>VLOOKUP(I1011,Categories!A:B,2,FALSE)</f>
        <v>Others</v>
      </c>
      <c r="K1011" t="s">
        <v>178</v>
      </c>
      <c r="L1011" s="10" t="str">
        <f>VLOOKUP(K1011,Accounts!A:B,2,FALSE)</f>
        <v>SCB</v>
      </c>
      <c r="M1011" t="s">
        <v>124</v>
      </c>
      <c r="N1011" s="10"/>
      <c r="O1011" t="s">
        <v>125</v>
      </c>
      <c r="Q1011" t="s">
        <v>126</v>
      </c>
      <c r="R1011" t="s">
        <v>124</v>
      </c>
      <c r="S1011" t="b">
        <v>0</v>
      </c>
      <c r="T1011" t="s">
        <v>124</v>
      </c>
    </row>
    <row r="1012">
      <c r="A1012" t="s">
        <v>2177</v>
      </c>
      <c r="B1012" t="s">
        <v>2178</v>
      </c>
      <c r="C1012" s="2">
        <v>2024</v>
      </c>
      <c r="D1012" s="10">
        <v>1</v>
      </c>
      <c r="E1012" s="10">
        <v>29</v>
      </c>
      <c r="F1012" t="s">
        <v>2179</v>
      </c>
      <c r="G1012">
        <v>8256</v>
      </c>
      <c r="H1012" t="s">
        <v>69</v>
      </c>
      <c r="I1012" t="s">
        <v>141</v>
      </c>
      <c r="J1012" s="10" t="str">
        <f>VLOOKUP(I1012,Categories!A:B,2,FALSE)</f>
        <v>Other</v>
      </c>
      <c r="K1012" t="s">
        <v>123</v>
      </c>
      <c r="L1012" s="10" t="str">
        <f>VLOOKUP(K1012,Accounts!A:B,2,FALSE)</f>
        <v>KBank</v>
      </c>
      <c r="M1012" t="s">
        <v>124</v>
      </c>
      <c r="N1012" s="10"/>
      <c r="O1012" t="s">
        <v>125</v>
      </c>
      <c r="Q1012" t="s">
        <v>126</v>
      </c>
      <c r="R1012" t="s">
        <v>124</v>
      </c>
      <c r="S1012" t="b">
        <v>0</v>
      </c>
      <c r="T1012" t="s">
        <v>124</v>
      </c>
    </row>
    <row r="1013">
      <c r="A1013" t="s">
        <v>2180</v>
      </c>
      <c r="B1013" t="s">
        <v>2178</v>
      </c>
      <c r="C1013" s="2">
        <v>2024</v>
      </c>
      <c r="D1013" s="10">
        <v>1</v>
      </c>
      <c r="E1013" s="10">
        <v>29</v>
      </c>
      <c r="F1013" t="s">
        <v>2181</v>
      </c>
      <c r="G1013">
        <v>8256</v>
      </c>
      <c r="H1013" t="s">
        <v>128</v>
      </c>
      <c r="I1013" t="s">
        <v>136</v>
      </c>
      <c r="J1013" s="10" t="str">
        <f>VLOOKUP(I1013,Categories!A:B,2,FALSE)</f>
        <v>อื่นๆ</v>
      </c>
      <c r="K1013" t="s">
        <v>131</v>
      </c>
      <c r="L1013" s="10" t="str">
        <f>VLOOKUP(K1013,Accounts!A:B,2,FALSE)</f>
        <v xml:space="preserve">Advance Paid</v>
      </c>
      <c r="M1013" t="s">
        <v>178</v>
      </c>
      <c r="N1013" s="10" t="str">
        <f>VLOOKUP(M1013,Accounts!A:B,2,FALSE)</f>
        <v>SCB</v>
      </c>
      <c r="O1013" t="s">
        <v>125</v>
      </c>
      <c r="Q1013" t="s">
        <v>126</v>
      </c>
      <c r="R1013" t="s">
        <v>124</v>
      </c>
      <c r="S1013" t="b">
        <v>0</v>
      </c>
      <c r="T1013" t="s">
        <v>124</v>
      </c>
    </row>
    <row r="1014">
      <c r="A1014" t="s">
        <v>2182</v>
      </c>
      <c r="B1014" t="s">
        <v>2178</v>
      </c>
      <c r="C1014" s="2">
        <v>2024</v>
      </c>
      <c r="D1014" s="10">
        <v>1</v>
      </c>
      <c r="E1014" s="10">
        <v>29</v>
      </c>
      <c r="F1014" t="s">
        <v>317</v>
      </c>
      <c r="G1014">
        <v>900</v>
      </c>
      <c r="H1014" t="s">
        <v>128</v>
      </c>
      <c r="I1014" t="s">
        <v>136</v>
      </c>
      <c r="J1014" s="10" t="str">
        <f>VLOOKUP(I1014,Categories!A:B,2,FALSE)</f>
        <v>อื่นๆ</v>
      </c>
      <c r="K1014" t="s">
        <v>131</v>
      </c>
      <c r="L1014" s="10" t="str">
        <f>VLOOKUP(K1014,Accounts!A:B,2,FALSE)</f>
        <v xml:space="preserve">Advance Paid</v>
      </c>
      <c r="M1014" t="s">
        <v>123</v>
      </c>
      <c r="N1014" s="10" t="str">
        <f>VLOOKUP(M1014,Accounts!A:B,2,FALSE)</f>
        <v>KBank</v>
      </c>
      <c r="O1014" t="s">
        <v>125</v>
      </c>
      <c r="Q1014" t="s">
        <v>126</v>
      </c>
      <c r="R1014" t="s">
        <v>124</v>
      </c>
      <c r="S1014" t="b">
        <v>0</v>
      </c>
      <c r="T1014" t="s">
        <v>124</v>
      </c>
    </row>
    <row r="1015">
      <c r="A1015" t="s">
        <v>2183</v>
      </c>
      <c r="B1015" t="s">
        <v>2178</v>
      </c>
      <c r="C1015" s="2">
        <v>2024</v>
      </c>
      <c r="D1015" s="10">
        <v>1</v>
      </c>
      <c r="E1015" s="10">
        <v>29</v>
      </c>
      <c r="F1015" t="s">
        <v>2184</v>
      </c>
      <c r="G1015">
        <v>540</v>
      </c>
      <c r="H1015" t="s">
        <v>128</v>
      </c>
      <c r="I1015" t="s">
        <v>136</v>
      </c>
      <c r="J1015" s="10" t="str">
        <f>VLOOKUP(I1015,Categories!A:B,2,FALSE)</f>
        <v>อื่นๆ</v>
      </c>
      <c r="K1015" t="s">
        <v>131</v>
      </c>
      <c r="L1015" s="10" t="str">
        <f>VLOOKUP(K1015,Accounts!A:B,2,FALSE)</f>
        <v xml:space="preserve">Advance Paid</v>
      </c>
      <c r="M1015" t="s">
        <v>123</v>
      </c>
      <c r="N1015" s="10" t="str">
        <f>VLOOKUP(M1015,Accounts!A:B,2,FALSE)</f>
        <v>KBank</v>
      </c>
      <c r="O1015" t="s">
        <v>2185</v>
      </c>
      <c r="Q1015" t="s">
        <v>126</v>
      </c>
      <c r="R1015" t="s">
        <v>124</v>
      </c>
      <c r="S1015" t="b">
        <v>0</v>
      </c>
      <c r="T1015" t="s">
        <v>124</v>
      </c>
    </row>
    <row r="1016">
      <c r="A1016" t="s">
        <v>2186</v>
      </c>
      <c r="B1016" t="s">
        <v>2178</v>
      </c>
      <c r="C1016" s="2">
        <v>2024</v>
      </c>
      <c r="D1016" s="10">
        <v>1</v>
      </c>
      <c r="E1016" s="10">
        <v>29</v>
      </c>
      <c r="F1016" t="s">
        <v>2031</v>
      </c>
      <c r="G1016">
        <v>450</v>
      </c>
      <c r="H1016" t="s">
        <v>128</v>
      </c>
      <c r="I1016" t="s">
        <v>136</v>
      </c>
      <c r="J1016" s="10" t="str">
        <f>VLOOKUP(I1016,Categories!A:B,2,FALSE)</f>
        <v>อื่นๆ</v>
      </c>
      <c r="K1016" t="s">
        <v>131</v>
      </c>
      <c r="L1016" s="10" t="str">
        <f>VLOOKUP(K1016,Accounts!A:B,2,FALSE)</f>
        <v xml:space="preserve">Advance Paid</v>
      </c>
      <c r="M1016" t="s">
        <v>123</v>
      </c>
      <c r="N1016" s="10" t="str">
        <f>VLOOKUP(M1016,Accounts!A:B,2,FALSE)</f>
        <v>KBank</v>
      </c>
      <c r="O1016" t="s">
        <v>125</v>
      </c>
      <c r="Q1016" t="s">
        <v>126</v>
      </c>
      <c r="R1016" t="s">
        <v>124</v>
      </c>
      <c r="S1016" t="b">
        <v>0</v>
      </c>
      <c r="T1016" t="s">
        <v>124</v>
      </c>
    </row>
    <row r="1017">
      <c r="A1017" t="s">
        <v>2187</v>
      </c>
      <c r="B1017" t="s">
        <v>2178</v>
      </c>
      <c r="C1017" s="2">
        <v>2024</v>
      </c>
      <c r="D1017" s="10">
        <v>1</v>
      </c>
      <c r="E1017" s="10">
        <v>29</v>
      </c>
      <c r="F1017" t="s">
        <v>2188</v>
      </c>
      <c r="G1017">
        <v>800</v>
      </c>
      <c r="H1017" t="s">
        <v>128</v>
      </c>
      <c r="I1017" t="s">
        <v>136</v>
      </c>
      <c r="J1017" s="10" t="str">
        <f>VLOOKUP(I1017,Categories!A:B,2,FALSE)</f>
        <v>อื่นๆ</v>
      </c>
      <c r="K1017" t="s">
        <v>131</v>
      </c>
      <c r="L1017" s="10" t="str">
        <f>VLOOKUP(K1017,Accounts!A:B,2,FALSE)</f>
        <v xml:space="preserve">Advance Paid</v>
      </c>
      <c r="M1017" t="s">
        <v>123</v>
      </c>
      <c r="N1017" s="10" t="str">
        <f>VLOOKUP(M1017,Accounts!A:B,2,FALSE)</f>
        <v>KBank</v>
      </c>
      <c r="O1017" t="s">
        <v>125</v>
      </c>
      <c r="Q1017" t="s">
        <v>126</v>
      </c>
      <c r="R1017" t="s">
        <v>124</v>
      </c>
      <c r="S1017" t="b">
        <v>0</v>
      </c>
      <c r="T1017" t="s">
        <v>124</v>
      </c>
    </row>
    <row r="1018">
      <c r="A1018" t="s">
        <v>2189</v>
      </c>
      <c r="B1018" t="s">
        <v>2178</v>
      </c>
      <c r="C1018" s="2">
        <v>2024</v>
      </c>
      <c r="D1018" s="10">
        <v>1</v>
      </c>
      <c r="E1018" s="10">
        <v>29</v>
      </c>
      <c r="F1018" t="s">
        <v>2190</v>
      </c>
      <c r="G1018">
        <v>95</v>
      </c>
      <c r="H1018" t="s">
        <v>69</v>
      </c>
      <c r="I1018" t="s">
        <v>150</v>
      </c>
      <c r="J1018" s="10" t="str">
        <f>VLOOKUP(I1018,Categories!A:B,2,FALSE)</f>
        <v xml:space="preserve">Food &amp; Coff</v>
      </c>
      <c r="K1018" t="s">
        <v>131</v>
      </c>
      <c r="L1018" s="10" t="str">
        <f>VLOOKUP(K1018,Accounts!A:B,2,FALSE)</f>
        <v xml:space="preserve">Advance Paid</v>
      </c>
      <c r="M1018" t="s">
        <v>124</v>
      </c>
      <c r="N1018" s="10"/>
      <c r="O1018" t="s">
        <v>125</v>
      </c>
      <c r="Q1018" t="s">
        <v>126</v>
      </c>
      <c r="R1018" t="s">
        <v>124</v>
      </c>
      <c r="S1018" t="b">
        <v>0</v>
      </c>
      <c r="T1018" t="s">
        <v>124</v>
      </c>
    </row>
    <row r="1019">
      <c r="A1019" t="s">
        <v>2191</v>
      </c>
      <c r="B1019" t="s">
        <v>2178</v>
      </c>
      <c r="C1019" s="2">
        <v>2024</v>
      </c>
      <c r="D1019" s="10">
        <v>1</v>
      </c>
      <c r="E1019" s="10">
        <v>29</v>
      </c>
      <c r="F1019" t="s">
        <v>1032</v>
      </c>
      <c r="G1019">
        <v>180</v>
      </c>
      <c r="H1019" t="s">
        <v>128</v>
      </c>
      <c r="I1019" t="s">
        <v>136</v>
      </c>
      <c r="J1019" s="10" t="str">
        <f>VLOOKUP(I1019,Categories!A:B,2,FALSE)</f>
        <v>อื่นๆ</v>
      </c>
      <c r="K1019" t="s">
        <v>131</v>
      </c>
      <c r="L1019" s="10" t="str">
        <f>VLOOKUP(K1019,Accounts!A:B,2,FALSE)</f>
        <v xml:space="preserve">Advance Paid</v>
      </c>
      <c r="M1019" t="s">
        <v>123</v>
      </c>
      <c r="N1019" s="10" t="str">
        <f>VLOOKUP(M1019,Accounts!A:B,2,FALSE)</f>
        <v>KBank</v>
      </c>
      <c r="O1019" t="s">
        <v>125</v>
      </c>
      <c r="Q1019" t="s">
        <v>126</v>
      </c>
      <c r="R1019" t="s">
        <v>124</v>
      </c>
      <c r="S1019" t="b">
        <v>0</v>
      </c>
      <c r="T1019" t="s">
        <v>124</v>
      </c>
    </row>
    <row r="1020">
      <c r="A1020" t="s">
        <v>2192</v>
      </c>
      <c r="B1020" t="s">
        <v>2178</v>
      </c>
      <c r="C1020" s="2">
        <v>2024</v>
      </c>
      <c r="D1020" s="10">
        <v>1</v>
      </c>
      <c r="E1020" s="10">
        <v>29</v>
      </c>
      <c r="F1020" t="s">
        <v>1038</v>
      </c>
      <c r="G1020">
        <v>65</v>
      </c>
      <c r="H1020" t="s">
        <v>128</v>
      </c>
      <c r="I1020" t="s">
        <v>136</v>
      </c>
      <c r="J1020" s="10" t="str">
        <f>VLOOKUP(I1020,Categories!A:B,2,FALSE)</f>
        <v>อื่นๆ</v>
      </c>
      <c r="K1020" t="s">
        <v>131</v>
      </c>
      <c r="L1020" s="10" t="str">
        <f>VLOOKUP(K1020,Accounts!A:B,2,FALSE)</f>
        <v xml:space="preserve">Advance Paid</v>
      </c>
      <c r="M1020" t="s">
        <v>123</v>
      </c>
      <c r="N1020" s="10" t="str">
        <f>VLOOKUP(M1020,Accounts!A:B,2,FALSE)</f>
        <v>KBank</v>
      </c>
      <c r="O1020" t="s">
        <v>125</v>
      </c>
      <c r="Q1020" t="s">
        <v>126</v>
      </c>
      <c r="R1020" t="s">
        <v>124</v>
      </c>
      <c r="S1020" t="b">
        <v>0</v>
      </c>
      <c r="T1020" t="s">
        <v>124</v>
      </c>
    </row>
    <row r="1021">
      <c r="A1021" t="s">
        <v>2193</v>
      </c>
      <c r="B1021" t="s">
        <v>2194</v>
      </c>
      <c r="C1021" s="2">
        <v>2024</v>
      </c>
      <c r="D1021" s="10">
        <v>1</v>
      </c>
      <c r="E1021" s="10">
        <v>28</v>
      </c>
      <c r="F1021" t="s">
        <v>2195</v>
      </c>
      <c r="G1021">
        <v>135</v>
      </c>
      <c r="H1021" t="s">
        <v>128</v>
      </c>
      <c r="I1021" t="s">
        <v>136</v>
      </c>
      <c r="J1021" s="10" t="str">
        <f>VLOOKUP(I1021,Categories!A:B,2,FALSE)</f>
        <v>อื่นๆ</v>
      </c>
      <c r="K1021" t="s">
        <v>123</v>
      </c>
      <c r="L1021" s="10" t="str">
        <f>VLOOKUP(K1021,Accounts!A:B,2,FALSE)</f>
        <v>KBank</v>
      </c>
      <c r="M1021" t="s">
        <v>131</v>
      </c>
      <c r="N1021" s="10" t="str">
        <f>VLOOKUP(M1021,Accounts!A:B,2,FALSE)</f>
        <v xml:space="preserve">Advance Paid</v>
      </c>
      <c r="O1021" t="s">
        <v>125</v>
      </c>
      <c r="Q1021" t="s">
        <v>126</v>
      </c>
      <c r="R1021" t="s">
        <v>124</v>
      </c>
      <c r="S1021" t="b">
        <v>0</v>
      </c>
      <c r="T1021" t="s">
        <v>124</v>
      </c>
    </row>
    <row r="1022">
      <c r="A1022" t="s">
        <v>2196</v>
      </c>
      <c r="B1022" t="s">
        <v>2197</v>
      </c>
      <c r="C1022" s="2">
        <v>2024</v>
      </c>
      <c r="D1022" s="10">
        <v>1</v>
      </c>
      <c r="E1022" s="10">
        <v>27</v>
      </c>
      <c r="F1022" t="s">
        <v>2198</v>
      </c>
      <c r="G1022">
        <v>3060</v>
      </c>
      <c r="H1022" t="s">
        <v>128</v>
      </c>
      <c r="I1022" t="s">
        <v>136</v>
      </c>
      <c r="J1022" s="10" t="str">
        <f>VLOOKUP(I1022,Categories!A:B,2,FALSE)</f>
        <v>อื่นๆ</v>
      </c>
      <c r="K1022" t="s">
        <v>123</v>
      </c>
      <c r="L1022" s="10" t="str">
        <f>VLOOKUP(K1022,Accounts!A:B,2,FALSE)</f>
        <v>KBank</v>
      </c>
      <c r="M1022" t="s">
        <v>131</v>
      </c>
      <c r="N1022" s="10" t="str">
        <f>VLOOKUP(M1022,Accounts!A:B,2,FALSE)</f>
        <v xml:space="preserve">Advance Paid</v>
      </c>
      <c r="O1022" t="s">
        <v>125</v>
      </c>
      <c r="Q1022" t="s">
        <v>126</v>
      </c>
      <c r="R1022" t="s">
        <v>124</v>
      </c>
      <c r="S1022" t="b">
        <v>0</v>
      </c>
      <c r="T1022" t="s">
        <v>124</v>
      </c>
    </row>
    <row r="1023">
      <c r="A1023" t="s">
        <v>2199</v>
      </c>
      <c r="B1023" t="s">
        <v>2197</v>
      </c>
      <c r="C1023" s="2">
        <v>2024</v>
      </c>
      <c r="D1023" s="10">
        <v>1</v>
      </c>
      <c r="E1023" s="10">
        <v>27</v>
      </c>
      <c r="F1023" t="s">
        <v>317</v>
      </c>
      <c r="G1023">
        <v>895</v>
      </c>
      <c r="H1023" t="s">
        <v>128</v>
      </c>
      <c r="I1023" t="s">
        <v>136</v>
      </c>
      <c r="J1023" s="10" t="str">
        <f>VLOOKUP(I1023,Categories!A:B,2,FALSE)</f>
        <v>อื่นๆ</v>
      </c>
      <c r="K1023" t="s">
        <v>123</v>
      </c>
      <c r="L1023" s="10" t="str">
        <f>VLOOKUP(K1023,Accounts!A:B,2,FALSE)</f>
        <v>KBank</v>
      </c>
      <c r="M1023" t="s">
        <v>131</v>
      </c>
      <c r="N1023" s="10" t="str">
        <f>VLOOKUP(M1023,Accounts!A:B,2,FALSE)</f>
        <v xml:space="preserve">Advance Paid</v>
      </c>
      <c r="O1023" t="s">
        <v>2200</v>
      </c>
      <c r="Q1023" t="s">
        <v>126</v>
      </c>
      <c r="R1023" t="s">
        <v>124</v>
      </c>
      <c r="S1023" t="b">
        <v>0</v>
      </c>
      <c r="T1023" t="s">
        <v>124</v>
      </c>
    </row>
    <row r="1024">
      <c r="A1024" t="s">
        <v>2201</v>
      </c>
      <c r="B1024" t="s">
        <v>2202</v>
      </c>
      <c r="C1024" s="2">
        <v>2024</v>
      </c>
      <c r="D1024" s="10">
        <v>1</v>
      </c>
      <c r="E1024" s="10">
        <v>26</v>
      </c>
      <c r="F1024" t="s">
        <v>2203</v>
      </c>
      <c r="G1024">
        <v>60</v>
      </c>
      <c r="H1024" t="s">
        <v>69</v>
      </c>
      <c r="I1024" t="s">
        <v>150</v>
      </c>
      <c r="J1024" s="10" t="str">
        <f>VLOOKUP(I1024,Categories!A:B,2,FALSE)</f>
        <v xml:space="preserve">Food &amp; Coff</v>
      </c>
      <c r="K1024" t="s">
        <v>178</v>
      </c>
      <c r="L1024" s="10" t="str">
        <f>VLOOKUP(K1024,Accounts!A:B,2,FALSE)</f>
        <v>SCB</v>
      </c>
      <c r="M1024" t="s">
        <v>124</v>
      </c>
      <c r="N1024" s="10"/>
      <c r="O1024" t="s">
        <v>125</v>
      </c>
      <c r="Q1024" t="s">
        <v>126</v>
      </c>
      <c r="R1024" t="s">
        <v>124</v>
      </c>
      <c r="S1024" t="b">
        <v>0</v>
      </c>
      <c r="T1024" t="s">
        <v>124</v>
      </c>
    </row>
    <row r="1025">
      <c r="A1025" t="s">
        <v>2204</v>
      </c>
      <c r="B1025" t="s">
        <v>2205</v>
      </c>
      <c r="C1025" s="2">
        <v>2024</v>
      </c>
      <c r="D1025" s="10">
        <v>1</v>
      </c>
      <c r="E1025" s="10">
        <v>25</v>
      </c>
      <c r="F1025" t="s">
        <v>121</v>
      </c>
      <c r="G1025">
        <v>556.92999999999995</v>
      </c>
      <c r="H1025" t="s">
        <v>69</v>
      </c>
      <c r="I1025" t="s">
        <v>195</v>
      </c>
      <c r="J1025" s="10" t="str">
        <f>VLOOKUP(I1025,Categories!A:B,2,FALSE)</f>
        <v>Tax</v>
      </c>
      <c r="K1025" t="s">
        <v>178</v>
      </c>
      <c r="L1025" s="10" t="str">
        <f>VLOOKUP(K1025,Accounts!A:B,2,FALSE)</f>
        <v>SCB</v>
      </c>
      <c r="M1025" t="s">
        <v>124</v>
      </c>
      <c r="N1025" s="10"/>
      <c r="O1025" t="s">
        <v>125</v>
      </c>
      <c r="Q1025" t="s">
        <v>126</v>
      </c>
      <c r="R1025" t="s">
        <v>124</v>
      </c>
      <c r="S1025" t="b">
        <v>0</v>
      </c>
      <c r="T1025" t="s">
        <v>124</v>
      </c>
    </row>
    <row r="1026">
      <c r="A1026" t="s">
        <v>2206</v>
      </c>
      <c r="B1026" t="s">
        <v>2205</v>
      </c>
      <c r="C1026" s="2">
        <v>2024</v>
      </c>
      <c r="D1026" s="10">
        <v>1</v>
      </c>
      <c r="E1026" s="10">
        <v>25</v>
      </c>
      <c r="F1026" t="s">
        <v>121</v>
      </c>
      <c r="G1026">
        <v>433</v>
      </c>
      <c r="H1026" t="s">
        <v>69</v>
      </c>
      <c r="I1026" t="s">
        <v>443</v>
      </c>
      <c r="J1026" s="10" t="str">
        <f>VLOOKUP(I1026,Categories!A:B,2,FALSE)</f>
        <v xml:space="preserve">City SV Interest</v>
      </c>
      <c r="K1026" t="s">
        <v>178</v>
      </c>
      <c r="L1026" s="10" t="str">
        <f>VLOOKUP(K1026,Accounts!A:B,2,FALSE)</f>
        <v>SCB</v>
      </c>
      <c r="M1026" t="s">
        <v>124</v>
      </c>
      <c r="N1026" s="10"/>
      <c r="O1026" t="s">
        <v>125</v>
      </c>
      <c r="Q1026" t="s">
        <v>126</v>
      </c>
      <c r="R1026" t="s">
        <v>124</v>
      </c>
      <c r="S1026" t="b">
        <v>0</v>
      </c>
      <c r="T1026" t="s">
        <v>124</v>
      </c>
    </row>
    <row r="1027">
      <c r="A1027" t="s">
        <v>2207</v>
      </c>
      <c r="B1027" t="s">
        <v>2205</v>
      </c>
      <c r="C1027" s="2">
        <v>2024</v>
      </c>
      <c r="D1027" s="10">
        <v>1</v>
      </c>
      <c r="E1027" s="10">
        <v>25</v>
      </c>
      <c r="F1027" t="s">
        <v>121</v>
      </c>
      <c r="G1027">
        <v>3694</v>
      </c>
      <c r="H1027" t="s">
        <v>69</v>
      </c>
      <c r="I1027" t="s">
        <v>199</v>
      </c>
      <c r="J1027" s="10" t="str">
        <f>VLOOKUP(I1027,Categories!A:B,2,FALSE)</f>
        <v xml:space="preserve">Home Chomthong Interest</v>
      </c>
      <c r="K1027" t="s">
        <v>178</v>
      </c>
      <c r="L1027" s="10" t="str">
        <f>VLOOKUP(K1027,Accounts!A:B,2,FALSE)</f>
        <v>SCB</v>
      </c>
      <c r="M1027" t="s">
        <v>124</v>
      </c>
      <c r="N1027" s="10"/>
      <c r="O1027" t="s">
        <v>125</v>
      </c>
      <c r="Q1027" t="s">
        <v>126</v>
      </c>
      <c r="R1027" t="s">
        <v>124</v>
      </c>
      <c r="S1027" t="b">
        <v>0</v>
      </c>
      <c r="T1027" t="s">
        <v>124</v>
      </c>
    </row>
    <row r="1028">
      <c r="A1028" t="s">
        <v>2208</v>
      </c>
      <c r="B1028" t="s">
        <v>2205</v>
      </c>
      <c r="C1028" s="2">
        <v>2024</v>
      </c>
      <c r="D1028" s="10">
        <v>1</v>
      </c>
      <c r="E1028" s="10">
        <v>25</v>
      </c>
      <c r="F1028" t="s">
        <v>121</v>
      </c>
      <c r="G1028">
        <v>8540</v>
      </c>
      <c r="H1028" t="s">
        <v>128</v>
      </c>
      <c r="I1028" t="s">
        <v>136</v>
      </c>
      <c r="J1028" s="10" t="str">
        <f>VLOOKUP(I1028,Categories!A:B,2,FALSE)</f>
        <v>อื่นๆ</v>
      </c>
      <c r="K1028" t="s">
        <v>178</v>
      </c>
      <c r="L1028" s="10" t="str">
        <f>VLOOKUP(K1028,Accounts!A:B,2,FALSE)</f>
        <v>SCB</v>
      </c>
      <c r="M1028" t="s">
        <v>1244</v>
      </c>
      <c r="N1028" s="10" t="str">
        <f>VLOOKUP(M1028,Accounts!A:B,2,FALSE)</f>
        <v xml:space="preserve">Home chomthong Loan</v>
      </c>
      <c r="O1028" t="s">
        <v>125</v>
      </c>
      <c r="Q1028" t="s">
        <v>126</v>
      </c>
      <c r="R1028" t="s">
        <v>124</v>
      </c>
      <c r="S1028" t="b">
        <v>0</v>
      </c>
      <c r="T1028" t="s">
        <v>124</v>
      </c>
    </row>
    <row r="1029">
      <c r="A1029" t="s">
        <v>2209</v>
      </c>
      <c r="B1029" t="s">
        <v>2205</v>
      </c>
      <c r="C1029" s="2">
        <v>2024</v>
      </c>
      <c r="D1029" s="10">
        <v>1</v>
      </c>
      <c r="E1029" s="10">
        <v>25</v>
      </c>
      <c r="F1029" t="s">
        <v>121</v>
      </c>
      <c r="G1029">
        <v>9240</v>
      </c>
      <c r="H1029" t="s">
        <v>128</v>
      </c>
      <c r="I1029" t="s">
        <v>136</v>
      </c>
      <c r="J1029" s="10" t="str">
        <f>VLOOKUP(I1029,Categories!A:B,2,FALSE)</f>
        <v>อื่นๆ</v>
      </c>
      <c r="K1029" t="s">
        <v>178</v>
      </c>
      <c r="L1029" s="10" t="str">
        <f>VLOOKUP(K1029,Accounts!A:B,2,FALSE)</f>
        <v>SCB</v>
      </c>
      <c r="M1029" t="s">
        <v>1246</v>
      </c>
      <c r="N1029" s="10" t="str">
        <f>VLOOKUP(M1029,Accounts!A:B,2,FALSE)</f>
        <v xml:space="preserve">Car Loan</v>
      </c>
      <c r="O1029" t="s">
        <v>125</v>
      </c>
      <c r="Q1029" t="s">
        <v>126</v>
      </c>
      <c r="R1029" t="s">
        <v>124</v>
      </c>
      <c r="S1029" t="b">
        <v>0</v>
      </c>
      <c r="T1029" t="s">
        <v>124</v>
      </c>
    </row>
    <row r="1030">
      <c r="A1030" t="s">
        <v>2210</v>
      </c>
      <c r="B1030" t="s">
        <v>2205</v>
      </c>
      <c r="C1030" s="2">
        <v>2024</v>
      </c>
      <c r="D1030" s="10">
        <v>1</v>
      </c>
      <c r="E1030" s="10">
        <v>25</v>
      </c>
      <c r="F1030" t="s">
        <v>121</v>
      </c>
      <c r="G1030">
        <v>500</v>
      </c>
      <c r="H1030" t="s">
        <v>128</v>
      </c>
      <c r="I1030" t="s">
        <v>136</v>
      </c>
      <c r="J1030" s="10" t="str">
        <f>VLOOKUP(I1030,Categories!A:B,2,FALSE)</f>
        <v>อื่นๆ</v>
      </c>
      <c r="K1030" t="s">
        <v>178</v>
      </c>
      <c r="L1030" s="10" t="str">
        <f>VLOOKUP(K1030,Accounts!A:B,2,FALSE)</f>
        <v>SCB</v>
      </c>
      <c r="M1030" t="s">
        <v>201</v>
      </c>
      <c r="N1030" s="10" t="str">
        <f>VLOOKUP(M1030,Accounts!A:B,2,FALSE)</f>
        <v>Coop</v>
      </c>
      <c r="O1030" t="s">
        <v>125</v>
      </c>
      <c r="Q1030" t="s">
        <v>126</v>
      </c>
      <c r="R1030" t="s">
        <v>124</v>
      </c>
      <c r="S1030" t="b">
        <v>0</v>
      </c>
      <c r="T1030" t="s">
        <v>124</v>
      </c>
    </row>
    <row r="1031">
      <c r="A1031" t="s">
        <v>2211</v>
      </c>
      <c r="B1031" t="s">
        <v>2205</v>
      </c>
      <c r="C1031" s="2">
        <v>2024</v>
      </c>
      <c r="D1031" s="10">
        <v>1</v>
      </c>
      <c r="E1031" s="10">
        <v>25</v>
      </c>
      <c r="F1031" t="s">
        <v>121</v>
      </c>
      <c r="G1031">
        <v>2242</v>
      </c>
      <c r="H1031" t="s">
        <v>128</v>
      </c>
      <c r="I1031" t="s">
        <v>136</v>
      </c>
      <c r="J1031" s="10" t="str">
        <f>VLOOKUP(I1031,Categories!A:B,2,FALSE)</f>
        <v>อื่นๆ</v>
      </c>
      <c r="K1031" t="s">
        <v>178</v>
      </c>
      <c r="L1031" s="10" t="str">
        <f>VLOOKUP(K1031,Accounts!A:B,2,FALSE)</f>
        <v>SCB</v>
      </c>
      <c r="M1031" t="s">
        <v>203</v>
      </c>
      <c r="N1031" s="10" t="str">
        <f>VLOOKUP(M1031,Accounts!A:B,2,FALSE)</f>
        <v xml:space="preserve">Provident Fund</v>
      </c>
      <c r="O1031" t="s">
        <v>125</v>
      </c>
      <c r="Q1031" t="s">
        <v>126</v>
      </c>
      <c r="R1031" t="s">
        <v>124</v>
      </c>
      <c r="S1031" t="b">
        <v>0</v>
      </c>
      <c r="T1031" t="s">
        <v>124</v>
      </c>
    </row>
    <row r="1032">
      <c r="A1032" t="s">
        <v>2212</v>
      </c>
      <c r="B1032" t="s">
        <v>2205</v>
      </c>
      <c r="C1032" s="2">
        <v>2024</v>
      </c>
      <c r="D1032" s="10">
        <v>1</v>
      </c>
      <c r="E1032" s="10">
        <v>25</v>
      </c>
      <c r="F1032" t="s">
        <v>121</v>
      </c>
      <c r="G1032">
        <v>112100</v>
      </c>
      <c r="H1032" t="s">
        <v>206</v>
      </c>
      <c r="I1032" t="s">
        <v>207</v>
      </c>
      <c r="J1032" s="10" t="str">
        <f>VLOOKUP(I1032,Categories!A:B,2,FALSE)</f>
        <v>Salary</v>
      </c>
      <c r="K1032" t="s">
        <v>178</v>
      </c>
      <c r="L1032" s="10" t="str">
        <f>VLOOKUP(K1032,Accounts!A:B,2,FALSE)</f>
        <v>SCB</v>
      </c>
      <c r="M1032" t="s">
        <v>124</v>
      </c>
      <c r="N1032" s="10"/>
      <c r="O1032" t="s">
        <v>125</v>
      </c>
      <c r="Q1032" t="s">
        <v>126</v>
      </c>
      <c r="R1032" t="s">
        <v>124</v>
      </c>
      <c r="S1032" t="b">
        <v>0</v>
      </c>
      <c r="T1032" t="s">
        <v>124</v>
      </c>
    </row>
    <row r="1033">
      <c r="A1033" t="s">
        <v>2213</v>
      </c>
      <c r="B1033" t="s">
        <v>2205</v>
      </c>
      <c r="C1033" s="2">
        <v>2024</v>
      </c>
      <c r="D1033" s="10">
        <v>1</v>
      </c>
      <c r="E1033" s="10">
        <v>25</v>
      </c>
      <c r="F1033" t="s">
        <v>212</v>
      </c>
      <c r="G1033">
        <v>57</v>
      </c>
      <c r="H1033" t="s">
        <v>69</v>
      </c>
      <c r="I1033" t="s">
        <v>150</v>
      </c>
      <c r="J1033" s="10" t="str">
        <f>VLOOKUP(I1033,Categories!A:B,2,FALSE)</f>
        <v xml:space="preserve">Food &amp; Coff</v>
      </c>
      <c r="K1033" t="s">
        <v>178</v>
      </c>
      <c r="L1033" s="10" t="str">
        <f>VLOOKUP(K1033,Accounts!A:B,2,FALSE)</f>
        <v>SCB</v>
      </c>
      <c r="M1033" t="s">
        <v>124</v>
      </c>
      <c r="N1033" s="10"/>
      <c r="O1033" t="s">
        <v>125</v>
      </c>
      <c r="Q1033" t="s">
        <v>126</v>
      </c>
      <c r="R1033" t="s">
        <v>124</v>
      </c>
      <c r="S1033" t="b">
        <v>0</v>
      </c>
      <c r="T1033" t="s">
        <v>124</v>
      </c>
    </row>
    <row r="1034">
      <c r="A1034" t="s">
        <v>2214</v>
      </c>
      <c r="B1034" t="s">
        <v>2215</v>
      </c>
      <c r="C1034" s="2">
        <v>2024</v>
      </c>
      <c r="D1034" s="10">
        <v>1</v>
      </c>
      <c r="E1034" s="10">
        <v>24</v>
      </c>
      <c r="F1034" t="s">
        <v>1670</v>
      </c>
      <c r="G1034">
        <v>62</v>
      </c>
      <c r="H1034" t="s">
        <v>69</v>
      </c>
      <c r="I1034" t="s">
        <v>150</v>
      </c>
      <c r="J1034" s="10" t="str">
        <f>VLOOKUP(I1034,Categories!A:B,2,FALSE)</f>
        <v xml:space="preserve">Food &amp; Coff</v>
      </c>
      <c r="K1034" t="s">
        <v>123</v>
      </c>
      <c r="L1034" s="10" t="str">
        <f>VLOOKUP(K1034,Accounts!A:B,2,FALSE)</f>
        <v>KBank</v>
      </c>
      <c r="M1034" t="s">
        <v>124</v>
      </c>
      <c r="N1034" s="10"/>
      <c r="O1034" t="s">
        <v>125</v>
      </c>
      <c r="Q1034" t="s">
        <v>126</v>
      </c>
      <c r="R1034" t="s">
        <v>124</v>
      </c>
      <c r="S1034" t="b">
        <v>0</v>
      </c>
      <c r="T1034" t="s">
        <v>124</v>
      </c>
    </row>
    <row r="1035">
      <c r="A1035" t="s">
        <v>2216</v>
      </c>
      <c r="B1035" t="s">
        <v>2217</v>
      </c>
      <c r="C1035" s="2">
        <v>2024</v>
      </c>
      <c r="D1035" s="10">
        <v>1</v>
      </c>
      <c r="E1035" s="10">
        <v>22</v>
      </c>
      <c r="F1035" t="s">
        <v>1094</v>
      </c>
      <c r="G1035">
        <v>310</v>
      </c>
      <c r="H1035" t="s">
        <v>69</v>
      </c>
      <c r="I1035" t="s">
        <v>141</v>
      </c>
      <c r="J1035" s="10" t="str">
        <f>VLOOKUP(I1035,Categories!A:B,2,FALSE)</f>
        <v>Other</v>
      </c>
      <c r="K1035" t="s">
        <v>123</v>
      </c>
      <c r="L1035" s="10" t="str">
        <f>VLOOKUP(K1035,Accounts!A:B,2,FALSE)</f>
        <v>KBank</v>
      </c>
      <c r="M1035" t="s">
        <v>124</v>
      </c>
      <c r="N1035" s="10"/>
      <c r="O1035" t="s">
        <v>2218</v>
      </c>
      <c r="Q1035" t="s">
        <v>126</v>
      </c>
      <c r="R1035" t="s">
        <v>124</v>
      </c>
      <c r="S1035" t="b">
        <v>0</v>
      </c>
      <c r="T1035" t="s">
        <v>124</v>
      </c>
    </row>
    <row r="1036">
      <c r="A1036" t="s">
        <v>2219</v>
      </c>
      <c r="B1036" t="s">
        <v>2220</v>
      </c>
      <c r="C1036" s="2">
        <v>2024</v>
      </c>
      <c r="D1036" s="10">
        <v>1</v>
      </c>
      <c r="E1036" s="10">
        <v>21</v>
      </c>
      <c r="F1036" t="s">
        <v>1673</v>
      </c>
      <c r="G1036">
        <v>368.93000000000001</v>
      </c>
      <c r="H1036" t="s">
        <v>69</v>
      </c>
      <c r="I1036" t="s">
        <v>144</v>
      </c>
      <c r="J1036" s="10" t="str">
        <f>VLOOKUP(I1036,Categories!A:B,2,FALSE)</f>
        <v xml:space="preserve">Family paid</v>
      </c>
      <c r="K1036" t="s">
        <v>123</v>
      </c>
      <c r="L1036" s="10" t="str">
        <f>VLOOKUP(K1036,Accounts!A:B,2,FALSE)</f>
        <v>KBank</v>
      </c>
      <c r="M1036" t="s">
        <v>124</v>
      </c>
      <c r="N1036" s="10"/>
      <c r="O1036" t="s">
        <v>125</v>
      </c>
      <c r="Q1036" t="s">
        <v>126</v>
      </c>
      <c r="R1036" t="s">
        <v>124</v>
      </c>
      <c r="S1036" t="b">
        <v>0</v>
      </c>
      <c r="T1036" t="s">
        <v>124</v>
      </c>
    </row>
    <row r="1037">
      <c r="A1037" t="s">
        <v>2221</v>
      </c>
      <c r="B1037" t="s">
        <v>2220</v>
      </c>
      <c r="C1037" s="2">
        <v>2024</v>
      </c>
      <c r="D1037" s="10">
        <v>1</v>
      </c>
      <c r="E1037" s="10">
        <v>21</v>
      </c>
      <c r="F1037" t="s">
        <v>2222</v>
      </c>
      <c r="G1037">
        <v>16604</v>
      </c>
      <c r="H1037" t="s">
        <v>69</v>
      </c>
      <c r="I1037" t="s">
        <v>141</v>
      </c>
      <c r="J1037" s="10" t="str">
        <f>VLOOKUP(I1037,Categories!A:B,2,FALSE)</f>
        <v>Other</v>
      </c>
      <c r="K1037" t="s">
        <v>123</v>
      </c>
      <c r="L1037" s="10" t="str">
        <f>VLOOKUP(K1037,Accounts!A:B,2,FALSE)</f>
        <v>KBank</v>
      </c>
      <c r="M1037" t="s">
        <v>124</v>
      </c>
      <c r="N1037" s="10"/>
      <c r="O1037" t="s">
        <v>2223</v>
      </c>
      <c r="Q1037" t="s">
        <v>126</v>
      </c>
      <c r="R1037" t="s">
        <v>124</v>
      </c>
      <c r="S1037" t="b">
        <v>0</v>
      </c>
      <c r="T1037" t="s">
        <v>124</v>
      </c>
    </row>
    <row r="1038">
      <c r="A1038" t="s">
        <v>2224</v>
      </c>
      <c r="B1038" t="s">
        <v>2220</v>
      </c>
      <c r="C1038" s="2">
        <v>2024</v>
      </c>
      <c r="D1038" s="10">
        <v>1</v>
      </c>
      <c r="E1038" s="10">
        <v>21</v>
      </c>
      <c r="F1038" t="s">
        <v>1645</v>
      </c>
      <c r="G1038">
        <v>3287</v>
      </c>
      <c r="H1038" t="s">
        <v>69</v>
      </c>
      <c r="I1038" t="s">
        <v>157</v>
      </c>
      <c r="J1038" s="10" t="str">
        <f>VLOOKUP(I1038,Categories!A:B,2,FALSE)</f>
        <v>Boardgame</v>
      </c>
      <c r="K1038" t="s">
        <v>123</v>
      </c>
      <c r="L1038" s="10" t="str">
        <f>VLOOKUP(K1038,Accounts!A:B,2,FALSE)</f>
        <v>KBank</v>
      </c>
      <c r="M1038" t="s">
        <v>124</v>
      </c>
      <c r="N1038" s="10"/>
      <c r="O1038" t="s">
        <v>2225</v>
      </c>
      <c r="Q1038" t="s">
        <v>126</v>
      </c>
      <c r="R1038" t="s">
        <v>124</v>
      </c>
      <c r="S1038" t="b">
        <v>0</v>
      </c>
      <c r="T1038" t="s">
        <v>124</v>
      </c>
    </row>
    <row r="1039">
      <c r="A1039" t="s">
        <v>2226</v>
      </c>
      <c r="B1039" t="s">
        <v>2220</v>
      </c>
      <c r="C1039" s="2">
        <v>2024</v>
      </c>
      <c r="D1039" s="10">
        <v>1</v>
      </c>
      <c r="E1039" s="10">
        <v>21</v>
      </c>
      <c r="F1039" t="s">
        <v>1689</v>
      </c>
      <c r="G1039">
        <v>482</v>
      </c>
      <c r="H1039" t="s">
        <v>69</v>
      </c>
      <c r="I1039" t="s">
        <v>614</v>
      </c>
      <c r="J1039" s="10" t="str">
        <f>VLOOKUP(I1039,Categories!A:B,2,FALSE)</f>
        <v>Books</v>
      </c>
      <c r="K1039" t="s">
        <v>123</v>
      </c>
      <c r="L1039" s="10" t="str">
        <f>VLOOKUP(K1039,Accounts!A:B,2,FALSE)</f>
        <v>KBank</v>
      </c>
      <c r="M1039" t="s">
        <v>124</v>
      </c>
      <c r="N1039" s="10"/>
      <c r="O1039" t="s">
        <v>125</v>
      </c>
      <c r="Q1039" t="s">
        <v>126</v>
      </c>
      <c r="R1039" t="s">
        <v>124</v>
      </c>
      <c r="S1039" t="b">
        <v>0</v>
      </c>
      <c r="T1039" t="s">
        <v>124</v>
      </c>
    </row>
    <row r="1040">
      <c r="A1040" t="s">
        <v>2227</v>
      </c>
      <c r="B1040" t="s">
        <v>2220</v>
      </c>
      <c r="C1040" s="2">
        <v>2024</v>
      </c>
      <c r="D1040" s="10">
        <v>1</v>
      </c>
      <c r="E1040" s="10">
        <v>21</v>
      </c>
      <c r="F1040" t="s">
        <v>2228</v>
      </c>
      <c r="G1040">
        <v>3303</v>
      </c>
      <c r="H1040" t="s">
        <v>69</v>
      </c>
      <c r="I1040" t="s">
        <v>169</v>
      </c>
      <c r="J1040" s="10" t="str">
        <f>VLOOKUP(I1040,Categories!A:B,2,FALSE)</f>
        <v xml:space="preserve">App &amp; Game</v>
      </c>
      <c r="K1040" t="s">
        <v>123</v>
      </c>
      <c r="L1040" s="10" t="str">
        <f>VLOOKUP(K1040,Accounts!A:B,2,FALSE)</f>
        <v>KBank</v>
      </c>
      <c r="M1040" t="s">
        <v>124</v>
      </c>
      <c r="N1040" s="10"/>
      <c r="O1040" t="s">
        <v>2229</v>
      </c>
      <c r="Q1040" t="s">
        <v>126</v>
      </c>
      <c r="R1040" t="s">
        <v>124</v>
      </c>
      <c r="S1040" t="b">
        <v>0</v>
      </c>
      <c r="T1040" t="s">
        <v>124</v>
      </c>
    </row>
    <row r="1041">
      <c r="A1041" t="s">
        <v>2230</v>
      </c>
      <c r="B1041" t="s">
        <v>2220</v>
      </c>
      <c r="C1041" s="2">
        <v>2024</v>
      </c>
      <c r="D1041" s="10">
        <v>1</v>
      </c>
      <c r="E1041" s="10">
        <v>21</v>
      </c>
      <c r="F1041" t="s">
        <v>2195</v>
      </c>
      <c r="G1041">
        <v>100</v>
      </c>
      <c r="H1041" t="s">
        <v>128</v>
      </c>
      <c r="I1041" t="s">
        <v>136</v>
      </c>
      <c r="J1041" s="10" t="str">
        <f>VLOOKUP(I1041,Categories!A:B,2,FALSE)</f>
        <v>อื่นๆ</v>
      </c>
      <c r="K1041" t="s">
        <v>123</v>
      </c>
      <c r="L1041" s="10" t="str">
        <f>VLOOKUP(K1041,Accounts!A:B,2,FALSE)</f>
        <v>KBank</v>
      </c>
      <c r="M1041" t="s">
        <v>131</v>
      </c>
      <c r="N1041" s="10" t="str">
        <f>VLOOKUP(M1041,Accounts!A:B,2,FALSE)</f>
        <v xml:space="preserve">Advance Paid</v>
      </c>
      <c r="O1041" t="s">
        <v>125</v>
      </c>
      <c r="Q1041" t="s">
        <v>126</v>
      </c>
      <c r="R1041" t="s">
        <v>124</v>
      </c>
      <c r="S1041" t="b">
        <v>0</v>
      </c>
      <c r="T1041" t="s">
        <v>124</v>
      </c>
    </row>
    <row r="1042">
      <c r="A1042" t="s">
        <v>2231</v>
      </c>
      <c r="B1042" t="s">
        <v>2232</v>
      </c>
      <c r="C1042" s="2">
        <v>2024</v>
      </c>
      <c r="D1042" s="10">
        <v>1</v>
      </c>
      <c r="E1042" s="10">
        <v>20</v>
      </c>
      <c r="F1042" t="s">
        <v>595</v>
      </c>
      <c r="G1042">
        <v>35480</v>
      </c>
      <c r="H1042" t="s">
        <v>128</v>
      </c>
      <c r="I1042" t="s">
        <v>136</v>
      </c>
      <c r="J1042" s="10" t="str">
        <f>VLOOKUP(I1042,Categories!A:B,2,FALSE)</f>
        <v>อื่นๆ</v>
      </c>
      <c r="K1042" t="s">
        <v>1421</v>
      </c>
      <c r="L1042" s="10" t="str">
        <f>VLOOKUP(K1042,Accounts!A:B,2,FALSE)</f>
        <v>Hong</v>
      </c>
      <c r="M1042" t="s">
        <v>178</v>
      </c>
      <c r="N1042" s="10" t="str">
        <f>VLOOKUP(M1042,Accounts!A:B,2,FALSE)</f>
        <v>SCB</v>
      </c>
      <c r="O1042" t="s">
        <v>125</v>
      </c>
      <c r="Q1042" t="s">
        <v>126</v>
      </c>
      <c r="R1042" t="s">
        <v>124</v>
      </c>
      <c r="S1042" t="b">
        <v>0</v>
      </c>
      <c r="T1042" t="s">
        <v>124</v>
      </c>
    </row>
    <row r="1043">
      <c r="A1043" t="s">
        <v>2233</v>
      </c>
      <c r="B1043" t="s">
        <v>2232</v>
      </c>
      <c r="C1043" s="2">
        <v>2024</v>
      </c>
      <c r="D1043" s="10">
        <v>1</v>
      </c>
      <c r="E1043" s="10">
        <v>20</v>
      </c>
      <c r="F1043" t="s">
        <v>1012</v>
      </c>
      <c r="G1043">
        <v>30000</v>
      </c>
      <c r="H1043" t="s">
        <v>128</v>
      </c>
      <c r="I1043" t="s">
        <v>136</v>
      </c>
      <c r="J1043" s="10" t="str">
        <f>VLOOKUP(I1043,Categories!A:B,2,FALSE)</f>
        <v>อื่นๆ</v>
      </c>
      <c r="K1043" t="s">
        <v>178</v>
      </c>
      <c r="L1043" s="10" t="str">
        <f>VLOOKUP(K1043,Accounts!A:B,2,FALSE)</f>
        <v>SCB</v>
      </c>
      <c r="M1043" t="s">
        <v>123</v>
      </c>
      <c r="N1043" s="10" t="str">
        <f>VLOOKUP(M1043,Accounts!A:B,2,FALSE)</f>
        <v>KBank</v>
      </c>
      <c r="O1043" t="s">
        <v>125</v>
      </c>
      <c r="Q1043" t="s">
        <v>126</v>
      </c>
      <c r="R1043" t="s">
        <v>124</v>
      </c>
      <c r="S1043" t="b">
        <v>0</v>
      </c>
      <c r="T1043" t="s">
        <v>124</v>
      </c>
    </row>
    <row r="1044">
      <c r="A1044" t="s">
        <v>2234</v>
      </c>
      <c r="B1044" t="s">
        <v>2235</v>
      </c>
      <c r="C1044" s="2">
        <v>2024</v>
      </c>
      <c r="D1044" s="10">
        <v>1</v>
      </c>
      <c r="E1044" s="10">
        <v>16</v>
      </c>
      <c r="F1044" t="s">
        <v>994</v>
      </c>
      <c r="G1044">
        <v>3780</v>
      </c>
      <c r="H1044" t="s">
        <v>128</v>
      </c>
      <c r="I1044" t="s">
        <v>136</v>
      </c>
      <c r="J1044" s="10" t="str">
        <f>VLOOKUP(I1044,Categories!A:B,2,FALSE)</f>
        <v>อื่นๆ</v>
      </c>
      <c r="K1044" t="s">
        <v>1315</v>
      </c>
      <c r="L1044" s="10" t="str">
        <f>VLOOKUP(K1044,Accounts!A:B,2,FALSE)</f>
        <v xml:space="preserve">Netflix in advance</v>
      </c>
      <c r="M1044" t="s">
        <v>178</v>
      </c>
      <c r="N1044" s="10" t="str">
        <f>VLOOKUP(M1044,Accounts!A:B,2,FALSE)</f>
        <v>SCB</v>
      </c>
      <c r="O1044" t="s">
        <v>125</v>
      </c>
      <c r="Q1044" t="s">
        <v>126</v>
      </c>
      <c r="R1044" t="s">
        <v>124</v>
      </c>
      <c r="S1044" t="b">
        <v>0</v>
      </c>
      <c r="T1044" t="s">
        <v>124</v>
      </c>
    </row>
    <row r="1045">
      <c r="A1045" t="s">
        <v>2236</v>
      </c>
      <c r="B1045" t="s">
        <v>2237</v>
      </c>
      <c r="C1045" s="2">
        <v>2024</v>
      </c>
      <c r="D1045" s="10">
        <v>1</v>
      </c>
      <c r="E1045" s="10">
        <v>15</v>
      </c>
      <c r="F1045" t="s">
        <v>1797</v>
      </c>
      <c r="G1045">
        <v>8256</v>
      </c>
      <c r="H1045" t="s">
        <v>128</v>
      </c>
      <c r="I1045" t="s">
        <v>136</v>
      </c>
      <c r="J1045" s="10" t="str">
        <f>VLOOKUP(I1045,Categories!A:B,2,FALSE)</f>
        <v>อื่นๆ</v>
      </c>
      <c r="K1045" t="s">
        <v>178</v>
      </c>
      <c r="L1045" s="10" t="str">
        <f>VLOOKUP(K1045,Accounts!A:B,2,FALSE)</f>
        <v>SCB</v>
      </c>
      <c r="M1045" t="s">
        <v>131</v>
      </c>
      <c r="N1045" s="10" t="str">
        <f>VLOOKUP(M1045,Accounts!A:B,2,FALSE)</f>
        <v xml:space="preserve">Advance Paid</v>
      </c>
      <c r="O1045" t="s">
        <v>2238</v>
      </c>
      <c r="Q1045" t="s">
        <v>126</v>
      </c>
      <c r="R1045" t="s">
        <v>124</v>
      </c>
      <c r="S1045" t="b">
        <v>0</v>
      </c>
      <c r="T1045" t="s">
        <v>124</v>
      </c>
    </row>
    <row r="1046">
      <c r="A1046" t="s">
        <v>2239</v>
      </c>
      <c r="B1046" t="s">
        <v>2240</v>
      </c>
      <c r="C1046" s="2">
        <v>2024</v>
      </c>
      <c r="D1046" s="10">
        <v>1</v>
      </c>
      <c r="E1046" s="10">
        <v>14</v>
      </c>
      <c r="F1046" t="s">
        <v>121</v>
      </c>
      <c r="G1046">
        <v>419</v>
      </c>
      <c r="H1046" t="s">
        <v>69</v>
      </c>
      <c r="I1046" t="s">
        <v>1903</v>
      </c>
      <c r="J1046" s="10" t="str">
        <f>VLOOKUP(I1046,Categories!A:B,2,FALSE)</f>
        <v xml:space="preserve">Monthly subscription</v>
      </c>
      <c r="K1046" t="s">
        <v>1308</v>
      </c>
      <c r="L1046" s="10" t="str">
        <f>VLOOKUP(K1046,Accounts!A:B,2,FALSE)</f>
        <v xml:space="preserve">UOB Privilages</v>
      </c>
      <c r="M1046" t="s">
        <v>124</v>
      </c>
      <c r="N1046" s="10"/>
      <c r="O1046" t="s">
        <v>125</v>
      </c>
      <c r="Q1046" t="s">
        <v>126</v>
      </c>
      <c r="R1046" t="s">
        <v>124</v>
      </c>
      <c r="S1046" t="b">
        <v>0</v>
      </c>
      <c r="T1046" t="s">
        <v>124</v>
      </c>
    </row>
    <row r="1047">
      <c r="A1047" t="s">
        <v>2241</v>
      </c>
      <c r="B1047" t="s">
        <v>2242</v>
      </c>
      <c r="C1047" s="2">
        <v>2024</v>
      </c>
      <c r="D1047" s="10">
        <v>1</v>
      </c>
      <c r="E1047" s="10">
        <v>8</v>
      </c>
      <c r="F1047" t="s">
        <v>994</v>
      </c>
      <c r="G1047">
        <v>122</v>
      </c>
      <c r="H1047" t="s">
        <v>206</v>
      </c>
      <c r="I1047" t="s">
        <v>281</v>
      </c>
      <c r="J1047" s="10" t="str">
        <f>VLOOKUP(I1047,Categories!A:B,2,FALSE)</f>
        <v>Others</v>
      </c>
      <c r="K1047" t="s">
        <v>178</v>
      </c>
      <c r="L1047" s="10" t="str">
        <f>VLOOKUP(K1047,Accounts!A:B,2,FALSE)</f>
        <v>SCB</v>
      </c>
      <c r="M1047" t="s">
        <v>124</v>
      </c>
      <c r="N1047" s="10"/>
      <c r="O1047" t="s">
        <v>125</v>
      </c>
      <c r="Q1047" t="s">
        <v>126</v>
      </c>
      <c r="R1047" t="s">
        <v>124</v>
      </c>
      <c r="S1047" t="b">
        <v>0</v>
      </c>
      <c r="T1047" t="s">
        <v>124</v>
      </c>
    </row>
    <row r="1048">
      <c r="A1048" t="s">
        <v>2243</v>
      </c>
      <c r="B1048" t="s">
        <v>2244</v>
      </c>
      <c r="C1048" s="2">
        <v>2024</v>
      </c>
      <c r="D1048" s="10">
        <v>1</v>
      </c>
      <c r="E1048" s="10">
        <v>5</v>
      </c>
      <c r="F1048" t="s">
        <v>1416</v>
      </c>
      <c r="G1048">
        <v>5393</v>
      </c>
      <c r="H1048" t="s">
        <v>69</v>
      </c>
      <c r="I1048" t="s">
        <v>144</v>
      </c>
      <c r="J1048" s="10" t="str">
        <f>VLOOKUP(I1048,Categories!A:B,2,FALSE)</f>
        <v xml:space="preserve">Family paid</v>
      </c>
      <c r="K1048" t="s">
        <v>178</v>
      </c>
      <c r="L1048" s="10" t="str">
        <f>VLOOKUP(K1048,Accounts!A:B,2,FALSE)</f>
        <v>SCB</v>
      </c>
      <c r="M1048" t="s">
        <v>124</v>
      </c>
      <c r="N1048" s="10"/>
      <c r="O1048" t="s">
        <v>125</v>
      </c>
      <c r="Q1048" t="s">
        <v>126</v>
      </c>
      <c r="R1048" t="s">
        <v>124</v>
      </c>
      <c r="S1048" t="b">
        <v>0</v>
      </c>
      <c r="T1048" t="s">
        <v>124</v>
      </c>
    </row>
    <row r="1049">
      <c r="A1049" t="s">
        <v>2245</v>
      </c>
      <c r="B1049" t="s">
        <v>45</v>
      </c>
      <c r="C1049" s="2">
        <v>2024</v>
      </c>
      <c r="D1049" s="10">
        <v>1</v>
      </c>
      <c r="E1049" s="10">
        <v>4</v>
      </c>
      <c r="F1049" t="s">
        <v>2246</v>
      </c>
      <c r="G1049">
        <v>100000</v>
      </c>
      <c r="H1049" t="s">
        <v>128</v>
      </c>
      <c r="I1049" t="s">
        <v>136</v>
      </c>
      <c r="J1049" s="10" t="str">
        <f>VLOOKUP(I1049,Categories!A:B,2,FALSE)</f>
        <v>อื่นๆ</v>
      </c>
      <c r="K1049" t="s">
        <v>178</v>
      </c>
      <c r="L1049" s="10" t="str">
        <f>VLOOKUP(K1049,Accounts!A:B,2,FALSE)</f>
        <v>SCB</v>
      </c>
      <c r="M1049" t="s">
        <v>215</v>
      </c>
      <c r="N1049" s="10" t="str">
        <f>VLOOKUP(M1049,Accounts!A:B,2,FALSE)</f>
        <v>Investment</v>
      </c>
      <c r="O1049" t="s">
        <v>2247</v>
      </c>
      <c r="Q1049" t="s">
        <v>126</v>
      </c>
      <c r="R1049" t="s">
        <v>124</v>
      </c>
      <c r="S1049" t="b">
        <v>0</v>
      </c>
      <c r="T1049" t="s">
        <v>124</v>
      </c>
    </row>
    <row r="1050">
      <c r="A1050" t="s">
        <v>2248</v>
      </c>
      <c r="B1050" t="s">
        <v>2249</v>
      </c>
      <c r="C1050" s="2">
        <v>2024</v>
      </c>
      <c r="D1050" s="10">
        <v>1</v>
      </c>
      <c r="E1050" s="10">
        <v>2</v>
      </c>
      <c r="F1050" t="s">
        <v>979</v>
      </c>
      <c r="G1050">
        <v>555</v>
      </c>
      <c r="H1050" t="s">
        <v>69</v>
      </c>
      <c r="I1050" t="s">
        <v>169</v>
      </c>
      <c r="J1050" s="10" t="str">
        <f>VLOOKUP(I1050,Categories!A:B,2,FALSE)</f>
        <v xml:space="preserve">App &amp; Game</v>
      </c>
      <c r="K1050" t="s">
        <v>766</v>
      </c>
      <c r="L1050" s="10" t="str">
        <f>VLOOKUP(K1050,Accounts!A:B,2,FALSE)</f>
        <v>KRUNGSRI</v>
      </c>
      <c r="M1050" t="s">
        <v>124</v>
      </c>
      <c r="N1050" s="10"/>
      <c r="O1050" t="s">
        <v>125</v>
      </c>
      <c r="Q1050" t="s">
        <v>126</v>
      </c>
      <c r="R1050" t="s">
        <v>124</v>
      </c>
      <c r="S1050" t="b">
        <v>0</v>
      </c>
      <c r="T1050" t="s">
        <v>124</v>
      </c>
    </row>
    <row r="1051">
      <c r="A1051" t="s">
        <v>2250</v>
      </c>
      <c r="B1051" t="s">
        <v>2251</v>
      </c>
      <c r="C1051" s="2">
        <v>2024</v>
      </c>
      <c r="D1051" s="10">
        <v>1</v>
      </c>
      <c r="E1051" s="10">
        <v>1</v>
      </c>
      <c r="F1051" t="s">
        <v>1963</v>
      </c>
      <c r="G1051">
        <v>7398.4300000000003</v>
      </c>
      <c r="H1051" t="s">
        <v>69</v>
      </c>
      <c r="I1051" t="s">
        <v>139</v>
      </c>
      <c r="J1051" s="10" t="str">
        <f>VLOOKUP(I1051,Categories!A:B,2,FALSE)</f>
        <v>Condo</v>
      </c>
      <c r="K1051" t="s">
        <v>178</v>
      </c>
      <c r="L1051" s="10" t="str">
        <f>VLOOKUP(K1051,Accounts!A:B,2,FALSE)</f>
        <v>SCB</v>
      </c>
      <c r="M1051" t="s">
        <v>124</v>
      </c>
      <c r="N1051" s="10"/>
      <c r="O1051" t="s">
        <v>125</v>
      </c>
      <c r="Q1051" t="s">
        <v>126</v>
      </c>
      <c r="R1051" t="s">
        <v>124</v>
      </c>
      <c r="S1051" t="b">
        <v>0</v>
      </c>
      <c r="T1051" t="s">
        <v>124</v>
      </c>
    </row>
    <row r="1052">
      <c r="A1052" t="s">
        <v>2252</v>
      </c>
      <c r="B1052" t="s">
        <v>2251</v>
      </c>
      <c r="C1052" s="2">
        <v>2024</v>
      </c>
      <c r="D1052" s="10">
        <v>1</v>
      </c>
      <c r="E1052" s="10">
        <v>1</v>
      </c>
      <c r="F1052" t="s">
        <v>2253</v>
      </c>
      <c r="G1052">
        <v>17500</v>
      </c>
      <c r="H1052" t="s">
        <v>69</v>
      </c>
      <c r="I1052" t="s">
        <v>134</v>
      </c>
      <c r="J1052" s="10" t="str">
        <f>VLOOKUP(I1052,Categories!A:B,2,FALSE)</f>
        <v>Hong</v>
      </c>
      <c r="K1052" t="s">
        <v>178</v>
      </c>
      <c r="L1052" s="10" t="str">
        <f>VLOOKUP(K1052,Accounts!A:B,2,FALSE)</f>
        <v>SCB</v>
      </c>
      <c r="M1052" t="s">
        <v>124</v>
      </c>
      <c r="N1052" s="10"/>
      <c r="O1052" t="s">
        <v>125</v>
      </c>
      <c r="Q1052" t="s">
        <v>126</v>
      </c>
      <c r="R1052" t="s">
        <v>124</v>
      </c>
      <c r="S1052" t="b">
        <v>0</v>
      </c>
      <c r="T1052" t="s">
        <v>124</v>
      </c>
    </row>
    <row r="1053">
      <c r="A1053" t="s">
        <v>2254</v>
      </c>
      <c r="B1053" t="s">
        <v>2251</v>
      </c>
      <c r="C1053" s="2">
        <v>2024</v>
      </c>
      <c r="D1053" s="10">
        <v>1</v>
      </c>
      <c r="E1053" s="10">
        <v>1</v>
      </c>
      <c r="F1053" t="s">
        <v>510</v>
      </c>
      <c r="G1053">
        <v>69.700000000000003</v>
      </c>
      <c r="H1053" t="s">
        <v>69</v>
      </c>
      <c r="I1053" t="s">
        <v>254</v>
      </c>
      <c r="J1053" s="10" t="str">
        <f>VLOOKUP(I1053,Categories!A:B,2,FALSE)</f>
        <v xml:space="preserve">Modified Bal.</v>
      </c>
      <c r="K1053" t="s">
        <v>178</v>
      </c>
      <c r="L1053" s="10" t="str">
        <f>VLOOKUP(K1053,Accounts!A:B,2,FALSE)</f>
        <v>SCB</v>
      </c>
      <c r="M1053" t="s">
        <v>124</v>
      </c>
      <c r="N1053" s="10"/>
      <c r="O1053" t="s">
        <v>255</v>
      </c>
      <c r="Q1053" t="s">
        <v>126</v>
      </c>
      <c r="R1053" t="s">
        <v>124</v>
      </c>
      <c r="S1053" t="b">
        <v>0</v>
      </c>
      <c r="T1053" t="s">
        <v>124</v>
      </c>
    </row>
    <row r="1054">
      <c r="A1054" t="s">
        <v>2255</v>
      </c>
      <c r="B1054" t="s">
        <v>2251</v>
      </c>
      <c r="C1054" s="2">
        <v>2024</v>
      </c>
      <c r="D1054" s="10">
        <v>1</v>
      </c>
      <c r="E1054" s="10">
        <v>1</v>
      </c>
      <c r="F1054" t="s">
        <v>537</v>
      </c>
      <c r="G1054">
        <v>80</v>
      </c>
      <c r="H1054" t="s">
        <v>128</v>
      </c>
      <c r="I1054" t="s">
        <v>136</v>
      </c>
      <c r="J1054" s="10" t="str">
        <f>VLOOKUP(I1054,Categories!A:B,2,FALSE)</f>
        <v>อื่นๆ</v>
      </c>
      <c r="K1054" t="s">
        <v>123</v>
      </c>
      <c r="L1054" s="10" t="str">
        <f>VLOOKUP(K1054,Accounts!A:B,2,FALSE)</f>
        <v>KBank</v>
      </c>
      <c r="M1054" t="s">
        <v>131</v>
      </c>
      <c r="N1054" s="10" t="str">
        <f>VLOOKUP(M1054,Accounts!A:B,2,FALSE)</f>
        <v xml:space="preserve">Advance Paid</v>
      </c>
      <c r="O1054" t="s">
        <v>2256</v>
      </c>
      <c r="Q1054" t="s">
        <v>126</v>
      </c>
      <c r="R1054" t="s">
        <v>124</v>
      </c>
      <c r="S1054" t="b">
        <v>0</v>
      </c>
      <c r="T1054" t="s">
        <v>124</v>
      </c>
    </row>
    <row r="1055">
      <c r="A1055" t="s">
        <v>2257</v>
      </c>
      <c r="B1055" t="s">
        <v>2251</v>
      </c>
      <c r="C1055" s="2">
        <v>2024</v>
      </c>
      <c r="D1055" s="10">
        <v>1</v>
      </c>
      <c r="E1055" s="10">
        <v>1</v>
      </c>
      <c r="F1055" t="s">
        <v>479</v>
      </c>
      <c r="G1055">
        <v>4493.8000000000002</v>
      </c>
      <c r="H1055" t="s">
        <v>69</v>
      </c>
      <c r="I1055" t="s">
        <v>150</v>
      </c>
      <c r="J1055" s="10" t="str">
        <f>VLOOKUP(I1055,Categories!A:B,2,FALSE)</f>
        <v xml:space="preserve">Food &amp; Coff</v>
      </c>
      <c r="K1055" t="s">
        <v>137</v>
      </c>
      <c r="L1055" s="10" t="str">
        <f>VLOOKUP(K1055,Accounts!A:B,2,FALSE)</f>
        <v xml:space="preserve">Make Kbank</v>
      </c>
      <c r="M1055" t="s">
        <v>124</v>
      </c>
      <c r="N1055" s="10"/>
      <c r="O1055" t="s">
        <v>125</v>
      </c>
      <c r="Q1055" t="s">
        <v>126</v>
      </c>
      <c r="R1055" t="s">
        <v>124</v>
      </c>
      <c r="S1055" t="b">
        <v>0</v>
      </c>
      <c r="T1055" t="s">
        <v>124</v>
      </c>
    </row>
    <row r="1056">
      <c r="A1056" t="s">
        <v>2258</v>
      </c>
      <c r="B1056" t="s">
        <v>2251</v>
      </c>
      <c r="C1056" s="2">
        <v>2024</v>
      </c>
      <c r="D1056" s="10">
        <v>1</v>
      </c>
      <c r="E1056" s="10">
        <v>1</v>
      </c>
      <c r="F1056" t="s">
        <v>455</v>
      </c>
      <c r="G1056">
        <v>4540.3999999999996</v>
      </c>
      <c r="H1056" t="s">
        <v>69</v>
      </c>
      <c r="I1056" t="s">
        <v>254</v>
      </c>
      <c r="J1056" s="10" t="str">
        <f>VLOOKUP(I1056,Categories!A:B,2,FALSE)</f>
        <v xml:space="preserve">Modified Bal.</v>
      </c>
      <c r="K1056" t="s">
        <v>844</v>
      </c>
      <c r="L1056" s="10" t="str">
        <f>VLOOKUP(K1056,Accounts!A:B,2,FALSE)</f>
        <v>BBL</v>
      </c>
      <c r="M1056" t="s">
        <v>124</v>
      </c>
      <c r="N1056" s="10"/>
      <c r="O1056" t="s">
        <v>255</v>
      </c>
      <c r="Q1056" t="s">
        <v>126</v>
      </c>
      <c r="R1056" t="s">
        <v>124</v>
      </c>
      <c r="S1056" t="b">
        <v>0</v>
      </c>
      <c r="T1056" t="s">
        <v>124</v>
      </c>
    </row>
    <row r="1057">
      <c r="A1057" t="s">
        <v>2259</v>
      </c>
      <c r="B1057" t="s">
        <v>2251</v>
      </c>
      <c r="C1057" s="2">
        <v>2024</v>
      </c>
      <c r="D1057" s="10">
        <v>1</v>
      </c>
      <c r="E1057" s="10">
        <v>1</v>
      </c>
      <c r="F1057" t="s">
        <v>1218</v>
      </c>
      <c r="G1057">
        <v>1202.99</v>
      </c>
      <c r="H1057" t="s">
        <v>128</v>
      </c>
      <c r="I1057" t="s">
        <v>136</v>
      </c>
      <c r="J1057" s="10" t="str">
        <f>VLOOKUP(I1057,Categories!A:B,2,FALSE)</f>
        <v>อื่นๆ</v>
      </c>
      <c r="K1057" t="s">
        <v>213</v>
      </c>
      <c r="L1057" s="10" t="str">
        <f>VLOOKUP(K1057,Accounts!A:B,2,FALSE)</f>
        <v xml:space="preserve">Krungthai Next</v>
      </c>
      <c r="M1057" t="s">
        <v>178</v>
      </c>
      <c r="N1057" s="10" t="str">
        <f>VLOOKUP(M1057,Accounts!A:B,2,FALSE)</f>
        <v>SCB</v>
      </c>
      <c r="O1057" t="s">
        <v>125</v>
      </c>
      <c r="Q1057" t="s">
        <v>126</v>
      </c>
      <c r="R1057" t="s">
        <v>124</v>
      </c>
      <c r="S1057" t="b">
        <v>0</v>
      </c>
      <c r="T1057" t="s">
        <v>124</v>
      </c>
    </row>
    <row r="1058">
      <c r="A1058" t="s">
        <v>2260</v>
      </c>
      <c r="B1058" t="s">
        <v>2251</v>
      </c>
      <c r="C1058" s="2">
        <v>2024</v>
      </c>
      <c r="D1058" s="10">
        <v>1</v>
      </c>
      <c r="E1058" s="10">
        <v>1</v>
      </c>
      <c r="F1058" t="s">
        <v>1902</v>
      </c>
      <c r="G1058">
        <v>7482.4099999999999</v>
      </c>
      <c r="H1058" t="s">
        <v>128</v>
      </c>
      <c r="I1058" t="s">
        <v>136</v>
      </c>
      <c r="J1058" s="10" t="str">
        <f>VLOOKUP(I1058,Categories!A:B,2,FALSE)</f>
        <v>อื่นๆ</v>
      </c>
      <c r="K1058" t="s">
        <v>844</v>
      </c>
      <c r="L1058" s="10" t="str">
        <f>VLOOKUP(K1058,Accounts!A:B,2,FALSE)</f>
        <v>BBL</v>
      </c>
      <c r="M1058" t="s">
        <v>178</v>
      </c>
      <c r="N1058" s="10" t="str">
        <f>VLOOKUP(M1058,Accounts!A:B,2,FALSE)</f>
        <v>SCB</v>
      </c>
      <c r="O1058" t="s">
        <v>125</v>
      </c>
      <c r="Q1058" t="s">
        <v>126</v>
      </c>
      <c r="R1058" t="s">
        <v>124</v>
      </c>
      <c r="S1058" t="b">
        <v>0</v>
      </c>
      <c r="T1058" t="s">
        <v>124</v>
      </c>
    </row>
    <row r="1059">
      <c r="A1059" t="s">
        <v>2261</v>
      </c>
      <c r="B1059" t="s">
        <v>2251</v>
      </c>
      <c r="C1059" s="2">
        <v>2024</v>
      </c>
      <c r="D1059" s="10">
        <v>1</v>
      </c>
      <c r="E1059" s="10">
        <v>1</v>
      </c>
      <c r="F1059" t="s">
        <v>737</v>
      </c>
      <c r="G1059">
        <v>5652.5100000000002</v>
      </c>
      <c r="H1059" t="s">
        <v>128</v>
      </c>
      <c r="I1059" t="s">
        <v>136</v>
      </c>
      <c r="J1059" s="10" t="str">
        <f>VLOOKUP(I1059,Categories!A:B,2,FALSE)</f>
        <v>อื่นๆ</v>
      </c>
      <c r="K1059" t="s">
        <v>766</v>
      </c>
      <c r="L1059" s="10" t="str">
        <f>VLOOKUP(K1059,Accounts!A:B,2,FALSE)</f>
        <v>KRUNGSRI</v>
      </c>
      <c r="M1059" t="s">
        <v>178</v>
      </c>
      <c r="N1059" s="10" t="str">
        <f>VLOOKUP(M1059,Accounts!A:B,2,FALSE)</f>
        <v>SCB</v>
      </c>
      <c r="O1059" t="s">
        <v>125</v>
      </c>
      <c r="Q1059" t="s">
        <v>126</v>
      </c>
      <c r="R1059" t="s">
        <v>124</v>
      </c>
      <c r="S1059" t="b">
        <v>0</v>
      </c>
      <c r="T1059" t="s">
        <v>124</v>
      </c>
    </row>
    <row r="1060">
      <c r="A1060" t="s">
        <v>2262</v>
      </c>
      <c r="B1060" t="s">
        <v>2251</v>
      </c>
      <c r="C1060" s="2">
        <v>2024</v>
      </c>
      <c r="D1060" s="10">
        <v>1</v>
      </c>
      <c r="E1060" s="10">
        <v>1</v>
      </c>
      <c r="F1060" t="s">
        <v>740</v>
      </c>
      <c r="G1060">
        <v>0.14999999999999999</v>
      </c>
      <c r="H1060" t="s">
        <v>206</v>
      </c>
      <c r="I1060" t="s">
        <v>254</v>
      </c>
      <c r="J1060" s="10" t="str">
        <f>VLOOKUP(I1060,Categories!A:B,2,FALSE)</f>
        <v xml:space="preserve">Modified Bal.</v>
      </c>
      <c r="K1060" t="s">
        <v>766</v>
      </c>
      <c r="L1060" s="10" t="str">
        <f>VLOOKUP(K1060,Accounts!A:B,2,FALSE)</f>
        <v>KRUNGSRI</v>
      </c>
      <c r="M1060" t="s">
        <v>124</v>
      </c>
      <c r="N1060" s="10"/>
      <c r="O1060" t="s">
        <v>255</v>
      </c>
      <c r="Q1060" t="s">
        <v>126</v>
      </c>
      <c r="R1060" t="s">
        <v>124</v>
      </c>
      <c r="S1060" t="b">
        <v>0</v>
      </c>
      <c r="T1060" t="s">
        <v>124</v>
      </c>
    </row>
    <row r="1061">
      <c r="A1061" t="s">
        <v>2263</v>
      </c>
      <c r="B1061" t="s">
        <v>2264</v>
      </c>
      <c r="C1061" s="2">
        <v>2023</v>
      </c>
      <c r="D1061" s="10">
        <v>12</v>
      </c>
      <c r="E1061" s="10">
        <v>31</v>
      </c>
      <c r="F1061" t="s">
        <v>1968</v>
      </c>
      <c r="G1061">
        <v>950</v>
      </c>
      <c r="H1061" t="s">
        <v>128</v>
      </c>
      <c r="I1061" t="s">
        <v>136</v>
      </c>
      <c r="J1061" s="10" t="str">
        <f>VLOOKUP(I1061,Categories!A:B,2,FALSE)</f>
        <v>อื่นๆ</v>
      </c>
      <c r="K1061" t="s">
        <v>123</v>
      </c>
      <c r="L1061" s="10" t="str">
        <f>VLOOKUP(K1061,Accounts!A:B,2,FALSE)</f>
        <v>KBank</v>
      </c>
      <c r="M1061" t="s">
        <v>131</v>
      </c>
      <c r="N1061" s="10" t="str">
        <f>VLOOKUP(M1061,Accounts!A:B,2,FALSE)</f>
        <v xml:space="preserve">Advance Paid</v>
      </c>
      <c r="O1061" t="s">
        <v>2265</v>
      </c>
      <c r="Q1061" t="s">
        <v>126</v>
      </c>
      <c r="R1061" t="s">
        <v>124</v>
      </c>
      <c r="S1061" t="b">
        <v>0</v>
      </c>
      <c r="T1061" t="s">
        <v>124</v>
      </c>
    </row>
    <row r="1062">
      <c r="A1062" t="s">
        <v>2266</v>
      </c>
      <c r="B1062" t="s">
        <v>2264</v>
      </c>
      <c r="C1062" s="2">
        <v>2023</v>
      </c>
      <c r="D1062" s="10">
        <v>12</v>
      </c>
      <c r="E1062" s="10">
        <v>31</v>
      </c>
      <c r="F1062" t="s">
        <v>2267</v>
      </c>
      <c r="G1062">
        <v>32</v>
      </c>
      <c r="H1062" t="s">
        <v>206</v>
      </c>
      <c r="I1062" t="s">
        <v>531</v>
      </c>
      <c r="J1062" s="10" t="str">
        <f>VLOOKUP(I1062,Categories!A:B,2,FALSE)</f>
        <v>Dividends</v>
      </c>
      <c r="K1062" t="s">
        <v>213</v>
      </c>
      <c r="L1062" s="10" t="str">
        <f>VLOOKUP(K1062,Accounts!A:B,2,FALSE)</f>
        <v xml:space="preserve">Krungthai Next</v>
      </c>
      <c r="M1062" t="s">
        <v>124</v>
      </c>
      <c r="N1062" s="10"/>
      <c r="O1062" t="s">
        <v>125</v>
      </c>
      <c r="Q1062" t="s">
        <v>126</v>
      </c>
      <c r="R1062" t="s">
        <v>124</v>
      </c>
      <c r="S1062" t="b">
        <v>0</v>
      </c>
      <c r="T1062" t="s">
        <v>124</v>
      </c>
    </row>
    <row r="1063">
      <c r="A1063" t="s">
        <v>2268</v>
      </c>
      <c r="B1063" t="s">
        <v>2269</v>
      </c>
      <c r="C1063" s="2">
        <v>2023</v>
      </c>
      <c r="D1063" s="10">
        <v>12</v>
      </c>
      <c r="E1063" s="10">
        <v>29</v>
      </c>
      <c r="F1063" t="s">
        <v>2253</v>
      </c>
      <c r="G1063">
        <v>475</v>
      </c>
      <c r="H1063" t="s">
        <v>69</v>
      </c>
      <c r="I1063" t="s">
        <v>144</v>
      </c>
      <c r="J1063" s="10" t="str">
        <f>VLOOKUP(I1063,Categories!A:B,2,FALSE)</f>
        <v xml:space="preserve">Family paid</v>
      </c>
      <c r="K1063" t="s">
        <v>178</v>
      </c>
      <c r="L1063" s="10" t="str">
        <f>VLOOKUP(K1063,Accounts!A:B,2,FALSE)</f>
        <v>SCB</v>
      </c>
      <c r="M1063" t="s">
        <v>124</v>
      </c>
      <c r="N1063" s="10"/>
      <c r="O1063" t="s">
        <v>2270</v>
      </c>
      <c r="Q1063" t="s">
        <v>126</v>
      </c>
      <c r="R1063" t="s">
        <v>124</v>
      </c>
      <c r="S1063" t="b">
        <v>0</v>
      </c>
      <c r="T1063" t="s">
        <v>124</v>
      </c>
    </row>
    <row r="1064">
      <c r="A1064" t="s">
        <v>2271</v>
      </c>
      <c r="B1064" t="s">
        <v>2269</v>
      </c>
      <c r="C1064" s="2">
        <v>2023</v>
      </c>
      <c r="D1064" s="10">
        <v>12</v>
      </c>
      <c r="E1064" s="10">
        <v>29</v>
      </c>
      <c r="F1064" t="s">
        <v>1358</v>
      </c>
      <c r="G1064">
        <v>5000</v>
      </c>
      <c r="H1064" t="s">
        <v>69</v>
      </c>
      <c r="I1064" t="s">
        <v>144</v>
      </c>
      <c r="J1064" s="10" t="str">
        <f>VLOOKUP(I1064,Categories!A:B,2,FALSE)</f>
        <v xml:space="preserve">Family paid</v>
      </c>
      <c r="K1064" t="s">
        <v>178</v>
      </c>
      <c r="L1064" s="10" t="str">
        <f>VLOOKUP(K1064,Accounts!A:B,2,FALSE)</f>
        <v>SCB</v>
      </c>
      <c r="M1064" t="s">
        <v>124</v>
      </c>
      <c r="N1064" s="10"/>
      <c r="O1064" t="s">
        <v>125</v>
      </c>
      <c r="Q1064" t="s">
        <v>126</v>
      </c>
      <c r="R1064" t="s">
        <v>124</v>
      </c>
      <c r="S1064" t="b">
        <v>0</v>
      </c>
      <c r="T1064" t="s">
        <v>124</v>
      </c>
    </row>
    <row r="1065">
      <c r="A1065" t="s">
        <v>2272</v>
      </c>
      <c r="B1065" t="s">
        <v>2273</v>
      </c>
      <c r="C1065" s="2">
        <v>2023</v>
      </c>
      <c r="D1065" s="10">
        <v>12</v>
      </c>
      <c r="E1065" s="10">
        <v>25</v>
      </c>
      <c r="F1065" t="s">
        <v>121</v>
      </c>
      <c r="G1065">
        <v>8540</v>
      </c>
      <c r="H1065" t="s">
        <v>128</v>
      </c>
      <c r="I1065" t="s">
        <v>136</v>
      </c>
      <c r="J1065" s="10" t="str">
        <f>VLOOKUP(I1065,Categories!A:B,2,FALSE)</f>
        <v>อื่นๆ</v>
      </c>
      <c r="K1065" t="s">
        <v>178</v>
      </c>
      <c r="L1065" s="10" t="str">
        <f>VLOOKUP(K1065,Accounts!A:B,2,FALSE)</f>
        <v>SCB</v>
      </c>
      <c r="M1065" t="s">
        <v>1244</v>
      </c>
      <c r="N1065" s="10" t="str">
        <f>VLOOKUP(M1065,Accounts!A:B,2,FALSE)</f>
        <v xml:space="preserve">Home chomthong Loan</v>
      </c>
      <c r="O1065" t="s">
        <v>125</v>
      </c>
      <c r="Q1065" t="s">
        <v>126</v>
      </c>
      <c r="R1065" t="s">
        <v>124</v>
      </c>
      <c r="S1065" t="b">
        <v>0</v>
      </c>
      <c r="T1065" t="s">
        <v>124</v>
      </c>
    </row>
    <row r="1066">
      <c r="A1066" t="s">
        <v>2274</v>
      </c>
      <c r="B1066" t="s">
        <v>2273</v>
      </c>
      <c r="C1066" s="2">
        <v>2023</v>
      </c>
      <c r="D1066" s="10">
        <v>12</v>
      </c>
      <c r="E1066" s="10">
        <v>25</v>
      </c>
      <c r="F1066" t="s">
        <v>121</v>
      </c>
      <c r="G1066">
        <v>2879.4499999999998</v>
      </c>
      <c r="H1066" t="s">
        <v>69</v>
      </c>
      <c r="I1066" t="s">
        <v>199</v>
      </c>
      <c r="J1066" s="10" t="str">
        <f>VLOOKUP(I1066,Categories!A:B,2,FALSE)</f>
        <v xml:space="preserve">Home Chomthong Interest</v>
      </c>
      <c r="K1066" t="s">
        <v>178</v>
      </c>
      <c r="L1066" s="10" t="str">
        <f>VLOOKUP(K1066,Accounts!A:B,2,FALSE)</f>
        <v>SCB</v>
      </c>
      <c r="M1066" t="s">
        <v>124</v>
      </c>
      <c r="N1066" s="10"/>
      <c r="O1066" t="s">
        <v>125</v>
      </c>
      <c r="Q1066" t="s">
        <v>126</v>
      </c>
      <c r="R1066" t="s">
        <v>124</v>
      </c>
      <c r="S1066" t="b">
        <v>0</v>
      </c>
      <c r="T1066" t="s">
        <v>124</v>
      </c>
    </row>
    <row r="1067">
      <c r="A1067" t="s">
        <v>2275</v>
      </c>
      <c r="B1067" t="s">
        <v>2273</v>
      </c>
      <c r="C1067" s="2">
        <v>2023</v>
      </c>
      <c r="D1067" s="10">
        <v>12</v>
      </c>
      <c r="E1067" s="10">
        <v>25</v>
      </c>
      <c r="F1067" t="s">
        <v>121</v>
      </c>
      <c r="G1067">
        <v>349.75</v>
      </c>
      <c r="H1067" t="s">
        <v>69</v>
      </c>
      <c r="I1067" t="s">
        <v>443</v>
      </c>
      <c r="J1067" s="10" t="str">
        <f>VLOOKUP(I1067,Categories!A:B,2,FALSE)</f>
        <v xml:space="preserve">City SV Interest</v>
      </c>
      <c r="K1067" t="s">
        <v>178</v>
      </c>
      <c r="L1067" s="10" t="str">
        <f>VLOOKUP(K1067,Accounts!A:B,2,FALSE)</f>
        <v>SCB</v>
      </c>
      <c r="M1067" t="s">
        <v>124</v>
      </c>
      <c r="N1067" s="10"/>
      <c r="O1067" t="s">
        <v>125</v>
      </c>
      <c r="Q1067" t="s">
        <v>126</v>
      </c>
      <c r="R1067" t="s">
        <v>124</v>
      </c>
      <c r="S1067" t="b">
        <v>0</v>
      </c>
      <c r="T1067" t="s">
        <v>124</v>
      </c>
    </row>
    <row r="1068">
      <c r="A1068" t="s">
        <v>2276</v>
      </c>
      <c r="B1068" t="s">
        <v>2273</v>
      </c>
      <c r="C1068" s="2">
        <v>2023</v>
      </c>
      <c r="D1068" s="10">
        <v>12</v>
      </c>
      <c r="E1068" s="10">
        <v>25</v>
      </c>
      <c r="F1068" t="s">
        <v>121</v>
      </c>
      <c r="G1068">
        <v>9240</v>
      </c>
      <c r="H1068" t="s">
        <v>128</v>
      </c>
      <c r="I1068" t="s">
        <v>136</v>
      </c>
      <c r="J1068" s="10" t="str">
        <f>VLOOKUP(I1068,Categories!A:B,2,FALSE)</f>
        <v>อื่นๆ</v>
      </c>
      <c r="K1068" t="s">
        <v>178</v>
      </c>
      <c r="L1068" s="10" t="str">
        <f>VLOOKUP(K1068,Accounts!A:B,2,FALSE)</f>
        <v>SCB</v>
      </c>
      <c r="M1068" t="s">
        <v>1246</v>
      </c>
      <c r="N1068" s="10" t="str">
        <f>VLOOKUP(M1068,Accounts!A:B,2,FALSE)</f>
        <v xml:space="preserve">Car Loan</v>
      </c>
      <c r="O1068" t="s">
        <v>125</v>
      </c>
      <c r="Q1068" t="s">
        <v>126</v>
      </c>
      <c r="R1068" t="s">
        <v>124</v>
      </c>
      <c r="S1068" t="b">
        <v>0</v>
      </c>
      <c r="T1068" t="s">
        <v>124</v>
      </c>
    </row>
    <row r="1069">
      <c r="A1069" t="s">
        <v>2277</v>
      </c>
      <c r="B1069" t="s">
        <v>2273</v>
      </c>
      <c r="C1069" s="2">
        <v>2023</v>
      </c>
      <c r="D1069" s="10">
        <v>12</v>
      </c>
      <c r="E1069" s="10">
        <v>25</v>
      </c>
      <c r="F1069" t="s">
        <v>121</v>
      </c>
      <c r="G1069">
        <v>500</v>
      </c>
      <c r="H1069" t="s">
        <v>128</v>
      </c>
      <c r="I1069" t="s">
        <v>136</v>
      </c>
      <c r="J1069" s="10" t="str">
        <f>VLOOKUP(I1069,Categories!A:B,2,FALSE)</f>
        <v>อื่นๆ</v>
      </c>
      <c r="K1069" t="s">
        <v>178</v>
      </c>
      <c r="L1069" s="10" t="str">
        <f>VLOOKUP(K1069,Accounts!A:B,2,FALSE)</f>
        <v>SCB</v>
      </c>
      <c r="M1069" t="s">
        <v>201</v>
      </c>
      <c r="N1069" s="10" t="str">
        <f>VLOOKUP(M1069,Accounts!A:B,2,FALSE)</f>
        <v>Coop</v>
      </c>
      <c r="O1069" t="s">
        <v>125</v>
      </c>
      <c r="Q1069" t="s">
        <v>126</v>
      </c>
      <c r="R1069" t="s">
        <v>124</v>
      </c>
      <c r="S1069" t="b">
        <v>0</v>
      </c>
      <c r="T1069" t="s">
        <v>124</v>
      </c>
    </row>
    <row r="1070">
      <c r="A1070" t="s">
        <v>2278</v>
      </c>
      <c r="B1070" t="s">
        <v>2273</v>
      </c>
      <c r="C1070" s="2">
        <v>2023</v>
      </c>
      <c r="D1070" s="10">
        <v>12</v>
      </c>
      <c r="E1070" s="10">
        <v>25</v>
      </c>
      <c r="F1070" t="s">
        <v>121</v>
      </c>
      <c r="G1070">
        <v>2242</v>
      </c>
      <c r="H1070" t="s">
        <v>128</v>
      </c>
      <c r="I1070" t="s">
        <v>136</v>
      </c>
      <c r="J1070" s="10" t="str">
        <f>VLOOKUP(I1070,Categories!A:B,2,FALSE)</f>
        <v>อื่นๆ</v>
      </c>
      <c r="K1070" t="s">
        <v>178</v>
      </c>
      <c r="L1070" s="10" t="str">
        <f>VLOOKUP(K1070,Accounts!A:B,2,FALSE)</f>
        <v>SCB</v>
      </c>
      <c r="M1070" t="s">
        <v>203</v>
      </c>
      <c r="N1070" s="10" t="str">
        <f>VLOOKUP(M1070,Accounts!A:B,2,FALSE)</f>
        <v xml:space="preserve">Provident Fund</v>
      </c>
      <c r="O1070" t="s">
        <v>125</v>
      </c>
      <c r="Q1070" t="s">
        <v>126</v>
      </c>
      <c r="R1070" t="s">
        <v>124</v>
      </c>
      <c r="S1070" t="b">
        <v>0</v>
      </c>
      <c r="T1070" t="s">
        <v>124</v>
      </c>
    </row>
    <row r="1071">
      <c r="A1071" t="s">
        <v>2279</v>
      </c>
      <c r="B1071" t="s">
        <v>2273</v>
      </c>
      <c r="C1071" s="2">
        <v>2023</v>
      </c>
      <c r="D1071" s="10">
        <v>12</v>
      </c>
      <c r="E1071" s="10">
        <v>25</v>
      </c>
      <c r="F1071" t="s">
        <v>121</v>
      </c>
      <c r="G1071">
        <v>1027.03</v>
      </c>
      <c r="H1071" t="s">
        <v>69</v>
      </c>
      <c r="I1071" t="s">
        <v>195</v>
      </c>
      <c r="J1071" s="10" t="str">
        <f>VLOOKUP(I1071,Categories!A:B,2,FALSE)</f>
        <v>Tax</v>
      </c>
      <c r="K1071" t="s">
        <v>178</v>
      </c>
      <c r="L1071" s="10" t="str">
        <f>VLOOKUP(K1071,Accounts!A:B,2,FALSE)</f>
        <v>SCB</v>
      </c>
      <c r="M1071" t="s">
        <v>124</v>
      </c>
      <c r="N1071" s="10"/>
      <c r="O1071" t="s">
        <v>125</v>
      </c>
      <c r="Q1071" t="s">
        <v>126</v>
      </c>
      <c r="R1071" t="s">
        <v>124</v>
      </c>
      <c r="S1071" t="b">
        <v>0</v>
      </c>
      <c r="T1071" t="s">
        <v>124</v>
      </c>
    </row>
    <row r="1072">
      <c r="A1072" t="s">
        <v>2280</v>
      </c>
      <c r="B1072" t="s">
        <v>2273</v>
      </c>
      <c r="C1072" s="2">
        <v>2023</v>
      </c>
      <c r="D1072" s="10">
        <v>12</v>
      </c>
      <c r="E1072" s="10">
        <v>25</v>
      </c>
      <c r="F1072" t="s">
        <v>121</v>
      </c>
      <c r="G1072">
        <v>112100</v>
      </c>
      <c r="H1072" t="s">
        <v>206</v>
      </c>
      <c r="I1072" t="s">
        <v>207</v>
      </c>
      <c r="J1072" s="10" t="str">
        <f>VLOOKUP(I1072,Categories!A:B,2,FALSE)</f>
        <v>Salary</v>
      </c>
      <c r="K1072" t="s">
        <v>178</v>
      </c>
      <c r="L1072" s="10" t="str">
        <f>VLOOKUP(K1072,Accounts!A:B,2,FALSE)</f>
        <v>SCB</v>
      </c>
      <c r="M1072" t="s">
        <v>124</v>
      </c>
      <c r="N1072" s="10"/>
      <c r="O1072" t="s">
        <v>125</v>
      </c>
      <c r="Q1072" t="s">
        <v>126</v>
      </c>
      <c r="R1072" t="s">
        <v>124</v>
      </c>
      <c r="S1072" t="b">
        <v>0</v>
      </c>
      <c r="T1072" t="s">
        <v>124</v>
      </c>
    </row>
    <row r="1073">
      <c r="A1073" t="s">
        <v>2281</v>
      </c>
      <c r="B1073" t="s">
        <v>2273</v>
      </c>
      <c r="C1073" s="2">
        <v>2023</v>
      </c>
      <c r="D1073" s="10">
        <v>12</v>
      </c>
      <c r="E1073" s="10">
        <v>25</v>
      </c>
      <c r="F1073" t="s">
        <v>1358</v>
      </c>
      <c r="G1073">
        <v>1173.99</v>
      </c>
      <c r="H1073" t="s">
        <v>206</v>
      </c>
      <c r="I1073" t="s">
        <v>281</v>
      </c>
      <c r="J1073" s="10" t="str">
        <f>VLOOKUP(I1073,Categories!A:B,2,FALSE)</f>
        <v>Others</v>
      </c>
      <c r="K1073" t="s">
        <v>178</v>
      </c>
      <c r="L1073" s="10" t="str">
        <f>VLOOKUP(K1073,Accounts!A:B,2,FALSE)</f>
        <v>SCB</v>
      </c>
      <c r="M1073" t="s">
        <v>124</v>
      </c>
      <c r="N1073" s="10"/>
      <c r="O1073" t="s">
        <v>125</v>
      </c>
      <c r="Q1073" t="s">
        <v>126</v>
      </c>
      <c r="R1073" t="s">
        <v>124</v>
      </c>
      <c r="S1073" t="b">
        <v>0</v>
      </c>
      <c r="T1073" t="s">
        <v>124</v>
      </c>
    </row>
    <row r="1074">
      <c r="A1074" t="s">
        <v>2282</v>
      </c>
      <c r="B1074" t="s">
        <v>2273</v>
      </c>
      <c r="C1074" s="2">
        <v>2023</v>
      </c>
      <c r="D1074" s="10">
        <v>12</v>
      </c>
      <c r="E1074" s="10">
        <v>25</v>
      </c>
      <c r="F1074" t="s">
        <v>507</v>
      </c>
      <c r="G1074">
        <v>300</v>
      </c>
      <c r="H1074" t="s">
        <v>128</v>
      </c>
      <c r="I1074" t="s">
        <v>136</v>
      </c>
      <c r="J1074" s="10" t="str">
        <f>VLOOKUP(I1074,Categories!A:B,2,FALSE)</f>
        <v>อื่นๆ</v>
      </c>
      <c r="K1074" t="s">
        <v>178</v>
      </c>
      <c r="L1074" s="10" t="str">
        <f>VLOOKUP(K1074,Accounts!A:B,2,FALSE)</f>
        <v>SCB</v>
      </c>
      <c r="M1074" t="s">
        <v>893</v>
      </c>
      <c r="N1074" s="10" t="str">
        <f>VLOOKUP(M1074,Accounts!A:B,2,FALSE)</f>
        <v>Shopee</v>
      </c>
      <c r="O1074" t="s">
        <v>125</v>
      </c>
      <c r="Q1074" t="s">
        <v>126</v>
      </c>
      <c r="R1074" t="s">
        <v>124</v>
      </c>
      <c r="S1074" t="b">
        <v>0</v>
      </c>
      <c r="T1074" t="s">
        <v>124</v>
      </c>
    </row>
    <row r="1075">
      <c r="A1075" t="s">
        <v>2283</v>
      </c>
      <c r="B1075" t="s">
        <v>2273</v>
      </c>
      <c r="C1075" s="2">
        <v>2023</v>
      </c>
      <c r="D1075" s="10">
        <v>12</v>
      </c>
      <c r="E1075" s="10">
        <v>25</v>
      </c>
      <c r="F1075" t="s">
        <v>958</v>
      </c>
      <c r="G1075">
        <v>176.09</v>
      </c>
      <c r="H1075" t="s">
        <v>206</v>
      </c>
      <c r="I1075" t="s">
        <v>281</v>
      </c>
      <c r="J1075" s="10" t="str">
        <f>VLOOKUP(I1075,Categories!A:B,2,FALSE)</f>
        <v>Others</v>
      </c>
      <c r="K1075" t="s">
        <v>844</v>
      </c>
      <c r="L1075" s="10" t="str">
        <f>VLOOKUP(K1075,Accounts!A:B,2,FALSE)</f>
        <v>BBL</v>
      </c>
      <c r="M1075" t="s">
        <v>124</v>
      </c>
      <c r="N1075" s="10"/>
      <c r="O1075" t="s">
        <v>125</v>
      </c>
      <c r="Q1075" t="s">
        <v>126</v>
      </c>
      <c r="R1075" t="s">
        <v>124</v>
      </c>
      <c r="S1075" t="b">
        <v>0</v>
      </c>
      <c r="T1075" t="s">
        <v>124</v>
      </c>
    </row>
    <row r="1076">
      <c r="A1076" t="s">
        <v>2284</v>
      </c>
      <c r="B1076" t="s">
        <v>2285</v>
      </c>
      <c r="C1076" s="2">
        <v>2023</v>
      </c>
      <c r="D1076" s="10">
        <v>12</v>
      </c>
      <c r="E1076" s="10">
        <v>24</v>
      </c>
      <c r="F1076" t="s">
        <v>1856</v>
      </c>
      <c r="G1076">
        <v>952</v>
      </c>
      <c r="H1076" t="s">
        <v>69</v>
      </c>
      <c r="I1076" t="s">
        <v>150</v>
      </c>
      <c r="J1076" s="10" t="str">
        <f>VLOOKUP(I1076,Categories!A:B,2,FALSE)</f>
        <v xml:space="preserve">Food &amp; Coff</v>
      </c>
      <c r="K1076" t="s">
        <v>123</v>
      </c>
      <c r="L1076" s="10" t="str">
        <f>VLOOKUP(K1076,Accounts!A:B,2,FALSE)</f>
        <v>KBank</v>
      </c>
      <c r="M1076" t="s">
        <v>124</v>
      </c>
      <c r="N1076" s="10"/>
      <c r="O1076" t="s">
        <v>2286</v>
      </c>
      <c r="Q1076" t="s">
        <v>126</v>
      </c>
      <c r="R1076" t="s">
        <v>124</v>
      </c>
      <c r="S1076" t="b">
        <v>0</v>
      </c>
      <c r="T1076" t="s">
        <v>124</v>
      </c>
    </row>
    <row r="1077">
      <c r="A1077" t="s">
        <v>2287</v>
      </c>
      <c r="B1077" t="s">
        <v>2288</v>
      </c>
      <c r="C1077" s="2">
        <v>2023</v>
      </c>
      <c r="D1077" s="10">
        <v>12</v>
      </c>
      <c r="E1077" s="10">
        <v>23</v>
      </c>
      <c r="F1077" t="s">
        <v>1784</v>
      </c>
      <c r="G1077">
        <v>540</v>
      </c>
      <c r="H1077" t="s">
        <v>69</v>
      </c>
      <c r="I1077" t="s">
        <v>141</v>
      </c>
      <c r="J1077" s="10" t="str">
        <f>VLOOKUP(I1077,Categories!A:B,2,FALSE)</f>
        <v>Other</v>
      </c>
      <c r="K1077" t="s">
        <v>123</v>
      </c>
      <c r="L1077" s="10" t="str">
        <f>VLOOKUP(K1077,Accounts!A:B,2,FALSE)</f>
        <v>KBank</v>
      </c>
      <c r="M1077" t="s">
        <v>124</v>
      </c>
      <c r="N1077" s="10"/>
      <c r="O1077" t="s">
        <v>1911</v>
      </c>
      <c r="Q1077" t="s">
        <v>126</v>
      </c>
      <c r="R1077" t="s">
        <v>124</v>
      </c>
      <c r="S1077" t="b">
        <v>0</v>
      </c>
      <c r="T1077" t="s">
        <v>124</v>
      </c>
    </row>
    <row r="1078">
      <c r="A1078" t="s">
        <v>2289</v>
      </c>
      <c r="B1078" t="s">
        <v>2290</v>
      </c>
      <c r="C1078" s="2">
        <v>2023</v>
      </c>
      <c r="D1078" s="10">
        <v>12</v>
      </c>
      <c r="E1078" s="10">
        <v>22</v>
      </c>
      <c r="F1078" t="s">
        <v>984</v>
      </c>
      <c r="G1078">
        <v>396.19999999999999</v>
      </c>
      <c r="H1078" t="s">
        <v>69</v>
      </c>
      <c r="I1078" t="s">
        <v>144</v>
      </c>
      <c r="J1078" s="10" t="str">
        <f>VLOOKUP(I1078,Categories!A:B,2,FALSE)</f>
        <v xml:space="preserve">Family paid</v>
      </c>
      <c r="K1078" t="s">
        <v>123</v>
      </c>
      <c r="L1078" s="10" t="str">
        <f>VLOOKUP(K1078,Accounts!A:B,2,FALSE)</f>
        <v>KBank</v>
      </c>
      <c r="M1078" t="s">
        <v>124</v>
      </c>
      <c r="N1078" s="10"/>
      <c r="O1078" t="s">
        <v>125</v>
      </c>
      <c r="Q1078" t="s">
        <v>126</v>
      </c>
      <c r="R1078" t="s">
        <v>124</v>
      </c>
      <c r="S1078" t="b">
        <v>0</v>
      </c>
      <c r="T1078" t="s">
        <v>124</v>
      </c>
    </row>
    <row r="1079">
      <c r="A1079" t="s">
        <v>2291</v>
      </c>
      <c r="B1079" t="s">
        <v>2292</v>
      </c>
      <c r="C1079" s="2">
        <v>2023</v>
      </c>
      <c r="D1079" s="10">
        <v>12</v>
      </c>
      <c r="E1079" s="10">
        <v>21</v>
      </c>
      <c r="F1079" t="s">
        <v>647</v>
      </c>
      <c r="G1079">
        <v>60</v>
      </c>
      <c r="H1079" t="s">
        <v>69</v>
      </c>
      <c r="I1079" t="s">
        <v>150</v>
      </c>
      <c r="J1079" s="10" t="str">
        <f>VLOOKUP(I1079,Categories!A:B,2,FALSE)</f>
        <v xml:space="preserve">Food &amp; Coff</v>
      </c>
      <c r="K1079" t="s">
        <v>178</v>
      </c>
      <c r="L1079" s="10" t="str">
        <f>VLOOKUP(K1079,Accounts!A:B,2,FALSE)</f>
        <v>SCB</v>
      </c>
      <c r="M1079" t="s">
        <v>124</v>
      </c>
      <c r="N1079" s="10"/>
      <c r="O1079" t="s">
        <v>125</v>
      </c>
      <c r="Q1079" t="s">
        <v>126</v>
      </c>
      <c r="R1079" t="s">
        <v>124</v>
      </c>
      <c r="S1079" t="b">
        <v>0</v>
      </c>
      <c r="T1079" t="s">
        <v>124</v>
      </c>
    </row>
    <row r="1080">
      <c r="A1080" t="s">
        <v>2293</v>
      </c>
      <c r="B1080" t="s">
        <v>44</v>
      </c>
      <c r="C1080" s="2">
        <v>2023</v>
      </c>
      <c r="D1080" s="10">
        <v>12</v>
      </c>
      <c r="E1080" s="10">
        <v>18</v>
      </c>
      <c r="F1080" t="s">
        <v>930</v>
      </c>
      <c r="G1080">
        <v>100000</v>
      </c>
      <c r="H1080" t="s">
        <v>128</v>
      </c>
      <c r="I1080" t="s">
        <v>136</v>
      </c>
      <c r="J1080" s="10" t="str">
        <f>VLOOKUP(I1080,Categories!A:B,2,FALSE)</f>
        <v>อื่นๆ</v>
      </c>
      <c r="K1080" t="s">
        <v>178</v>
      </c>
      <c r="L1080" s="10" t="str">
        <f>VLOOKUP(K1080,Accounts!A:B,2,FALSE)</f>
        <v>SCB</v>
      </c>
      <c r="M1080" t="s">
        <v>215</v>
      </c>
      <c r="N1080" s="10" t="str">
        <f>VLOOKUP(M1080,Accounts!A:B,2,FALSE)</f>
        <v>Investment</v>
      </c>
      <c r="O1080" t="s">
        <v>2058</v>
      </c>
      <c r="Q1080" t="s">
        <v>126</v>
      </c>
      <c r="R1080" t="s">
        <v>124</v>
      </c>
      <c r="S1080" t="b">
        <v>0</v>
      </c>
      <c r="T1080" t="s">
        <v>124</v>
      </c>
    </row>
    <row r="1081">
      <c r="A1081" t="s">
        <v>2294</v>
      </c>
      <c r="B1081" t="s">
        <v>2295</v>
      </c>
      <c r="C1081" s="2">
        <v>2023</v>
      </c>
      <c r="D1081" s="10">
        <v>12</v>
      </c>
      <c r="E1081" s="10">
        <v>17</v>
      </c>
      <c r="F1081" t="s">
        <v>651</v>
      </c>
      <c r="G1081">
        <v>7374</v>
      </c>
      <c r="H1081" t="s">
        <v>69</v>
      </c>
      <c r="I1081" t="s">
        <v>139</v>
      </c>
      <c r="J1081" s="10" t="str">
        <f>VLOOKUP(I1081,Categories!A:B,2,FALSE)</f>
        <v>Condo</v>
      </c>
      <c r="K1081" t="s">
        <v>178</v>
      </c>
      <c r="L1081" s="10" t="str">
        <f>VLOOKUP(K1081,Accounts!A:B,2,FALSE)</f>
        <v>SCB</v>
      </c>
      <c r="M1081" t="s">
        <v>124</v>
      </c>
      <c r="N1081" s="10"/>
      <c r="O1081" t="s">
        <v>125</v>
      </c>
      <c r="Q1081" t="s">
        <v>126</v>
      </c>
      <c r="R1081" t="s">
        <v>124</v>
      </c>
      <c r="S1081" t="b">
        <v>0</v>
      </c>
      <c r="T1081" t="s">
        <v>124</v>
      </c>
    </row>
    <row r="1082">
      <c r="A1082" t="s">
        <v>2296</v>
      </c>
      <c r="B1082" t="s">
        <v>2295</v>
      </c>
      <c r="C1082" s="2">
        <v>2023</v>
      </c>
      <c r="D1082" s="10">
        <v>12</v>
      </c>
      <c r="E1082" s="10">
        <v>17</v>
      </c>
      <c r="F1082" t="s">
        <v>647</v>
      </c>
      <c r="G1082">
        <v>545</v>
      </c>
      <c r="H1082" t="s">
        <v>69</v>
      </c>
      <c r="I1082" t="s">
        <v>614</v>
      </c>
      <c r="J1082" s="10" t="str">
        <f>VLOOKUP(I1082,Categories!A:B,2,FALSE)</f>
        <v>Books</v>
      </c>
      <c r="K1082" t="s">
        <v>178</v>
      </c>
      <c r="L1082" s="10" t="str">
        <f>VLOOKUP(K1082,Accounts!A:B,2,FALSE)</f>
        <v>SCB</v>
      </c>
      <c r="M1082" t="s">
        <v>124</v>
      </c>
      <c r="N1082" s="10"/>
      <c r="O1082" t="s">
        <v>125</v>
      </c>
      <c r="Q1082" t="s">
        <v>126</v>
      </c>
      <c r="R1082" t="s">
        <v>124</v>
      </c>
      <c r="S1082" t="b">
        <v>0</v>
      </c>
      <c r="T1082" t="s">
        <v>124</v>
      </c>
    </row>
    <row r="1083">
      <c r="A1083" t="s">
        <v>2297</v>
      </c>
      <c r="B1083" t="s">
        <v>2298</v>
      </c>
      <c r="C1083" s="2">
        <v>2023</v>
      </c>
      <c r="D1083" s="10">
        <v>12</v>
      </c>
      <c r="E1083" s="10">
        <v>15</v>
      </c>
      <c r="F1083" t="s">
        <v>984</v>
      </c>
      <c r="G1083">
        <v>400</v>
      </c>
      <c r="H1083" t="s">
        <v>128</v>
      </c>
      <c r="I1083" t="s">
        <v>136</v>
      </c>
      <c r="J1083" s="10" t="str">
        <f>VLOOKUP(I1083,Categories!A:B,2,FALSE)</f>
        <v>อื่นๆ</v>
      </c>
      <c r="K1083" t="s">
        <v>123</v>
      </c>
      <c r="L1083" s="10" t="str">
        <f>VLOOKUP(K1083,Accounts!A:B,2,FALSE)</f>
        <v>KBank</v>
      </c>
      <c r="M1083" t="s">
        <v>425</v>
      </c>
      <c r="N1083" s="10" t="str">
        <f>VLOOKUP(M1083,Accounts!A:B,2,FALSE)</f>
        <v>Cash</v>
      </c>
      <c r="O1083" t="s">
        <v>125</v>
      </c>
      <c r="Q1083" t="s">
        <v>126</v>
      </c>
      <c r="R1083" t="s">
        <v>124</v>
      </c>
      <c r="S1083" t="b">
        <v>0</v>
      </c>
      <c r="T1083" t="s">
        <v>124</v>
      </c>
    </row>
    <row r="1084">
      <c r="A1084" t="s">
        <v>2299</v>
      </c>
      <c r="B1084" t="s">
        <v>2298</v>
      </c>
      <c r="C1084" s="2">
        <v>2023</v>
      </c>
      <c r="D1084" s="10">
        <v>12</v>
      </c>
      <c r="E1084" s="10">
        <v>15</v>
      </c>
      <c r="F1084" t="s">
        <v>984</v>
      </c>
      <c r="G1084">
        <v>274.31999999999999</v>
      </c>
      <c r="H1084" t="s">
        <v>206</v>
      </c>
      <c r="I1084" t="s">
        <v>281</v>
      </c>
      <c r="J1084" s="10" t="str">
        <f>VLOOKUP(I1084,Categories!A:B,2,FALSE)</f>
        <v>Others</v>
      </c>
      <c r="K1084" t="s">
        <v>123</v>
      </c>
      <c r="L1084" s="10" t="str">
        <f>VLOOKUP(K1084,Accounts!A:B,2,FALSE)</f>
        <v>KBank</v>
      </c>
      <c r="M1084" t="s">
        <v>124</v>
      </c>
      <c r="N1084" s="10"/>
      <c r="O1084" t="s">
        <v>125</v>
      </c>
      <c r="Q1084" t="s">
        <v>126</v>
      </c>
      <c r="R1084" t="s">
        <v>124</v>
      </c>
      <c r="S1084" t="b">
        <v>0</v>
      </c>
      <c r="T1084" t="s">
        <v>124</v>
      </c>
    </row>
    <row r="1085">
      <c r="A1085" t="s">
        <v>2300</v>
      </c>
      <c r="B1085" t="s">
        <v>2301</v>
      </c>
      <c r="C1085" s="2">
        <v>2023</v>
      </c>
      <c r="D1085" s="10">
        <v>12</v>
      </c>
      <c r="E1085" s="10">
        <v>14</v>
      </c>
      <c r="F1085" t="s">
        <v>121</v>
      </c>
      <c r="G1085">
        <v>419</v>
      </c>
      <c r="H1085" t="s">
        <v>69</v>
      </c>
      <c r="I1085" t="s">
        <v>1903</v>
      </c>
      <c r="J1085" s="10" t="str">
        <f>VLOOKUP(I1085,Categories!A:B,2,FALSE)</f>
        <v xml:space="preserve">Monthly subscription</v>
      </c>
      <c r="K1085" t="s">
        <v>747</v>
      </c>
      <c r="L1085" s="10" t="str">
        <f>VLOOKUP(K1085,Accounts!A:B,2,FALSE)</f>
        <v xml:space="preserve">UOB world</v>
      </c>
      <c r="M1085" t="s">
        <v>124</v>
      </c>
      <c r="N1085" s="10"/>
      <c r="O1085" t="s">
        <v>125</v>
      </c>
      <c r="Q1085" t="s">
        <v>126</v>
      </c>
      <c r="R1085" t="s">
        <v>124</v>
      </c>
      <c r="S1085" t="b">
        <v>0</v>
      </c>
      <c r="T1085" t="s">
        <v>124</v>
      </c>
    </row>
    <row r="1086">
      <c r="A1086" t="s">
        <v>2302</v>
      </c>
      <c r="B1086" t="s">
        <v>2303</v>
      </c>
      <c r="C1086" s="2">
        <v>2023</v>
      </c>
      <c r="D1086" s="10">
        <v>12</v>
      </c>
      <c r="E1086" s="10">
        <v>11</v>
      </c>
      <c r="F1086" t="s">
        <v>651</v>
      </c>
      <c r="G1086">
        <v>631</v>
      </c>
      <c r="H1086" t="s">
        <v>128</v>
      </c>
      <c r="I1086" t="s">
        <v>136</v>
      </c>
      <c r="J1086" s="10" t="str">
        <f>VLOOKUP(I1086,Categories!A:B,2,FALSE)</f>
        <v>อื่นๆ</v>
      </c>
      <c r="K1086" t="s">
        <v>178</v>
      </c>
      <c r="L1086" s="10" t="str">
        <f>VLOOKUP(K1086,Accounts!A:B,2,FALSE)</f>
        <v>SCB</v>
      </c>
      <c r="M1086" t="s">
        <v>710</v>
      </c>
      <c r="N1086" s="10" t="str">
        <f>VLOOKUP(M1086,Accounts!A:B,2,FALSE)</f>
        <v xml:space="preserve">Line Pay</v>
      </c>
      <c r="O1086" t="s">
        <v>125</v>
      </c>
      <c r="Q1086" t="s">
        <v>126</v>
      </c>
      <c r="R1086" t="s">
        <v>124</v>
      </c>
      <c r="S1086" t="b">
        <v>0</v>
      </c>
      <c r="T1086" t="s">
        <v>124</v>
      </c>
    </row>
    <row r="1087">
      <c r="A1087" t="s">
        <v>2304</v>
      </c>
      <c r="B1087" t="s">
        <v>2305</v>
      </c>
      <c r="C1087" s="2">
        <v>2023</v>
      </c>
      <c r="D1087" s="10">
        <v>12</v>
      </c>
      <c r="E1087" s="10">
        <v>10</v>
      </c>
      <c r="F1087" t="s">
        <v>355</v>
      </c>
      <c r="G1087">
        <v>1280</v>
      </c>
      <c r="H1087" t="s">
        <v>69</v>
      </c>
      <c r="I1087" t="s">
        <v>144</v>
      </c>
      <c r="J1087" s="10" t="str">
        <f>VLOOKUP(I1087,Categories!A:B,2,FALSE)</f>
        <v xml:space="preserve">Family paid</v>
      </c>
      <c r="K1087" t="s">
        <v>123</v>
      </c>
      <c r="L1087" s="10" t="str">
        <f>VLOOKUP(K1087,Accounts!A:B,2,FALSE)</f>
        <v>KBank</v>
      </c>
      <c r="M1087" t="s">
        <v>124</v>
      </c>
      <c r="N1087" s="10"/>
      <c r="O1087" t="s">
        <v>125</v>
      </c>
      <c r="Q1087" t="s">
        <v>126</v>
      </c>
      <c r="R1087" t="s">
        <v>124</v>
      </c>
      <c r="S1087" t="b">
        <v>0</v>
      </c>
      <c r="T1087" t="s">
        <v>124</v>
      </c>
    </row>
    <row r="1088">
      <c r="A1088" t="s">
        <v>2306</v>
      </c>
      <c r="B1088" t="s">
        <v>2305</v>
      </c>
      <c r="C1088" s="2">
        <v>2023</v>
      </c>
      <c r="D1088" s="10">
        <v>12</v>
      </c>
      <c r="E1088" s="10">
        <v>10</v>
      </c>
      <c r="F1088" t="s">
        <v>2307</v>
      </c>
      <c r="G1088">
        <v>5000</v>
      </c>
      <c r="H1088" t="s">
        <v>69</v>
      </c>
      <c r="I1088" t="s">
        <v>144</v>
      </c>
      <c r="J1088" s="10" t="str">
        <f>VLOOKUP(I1088,Categories!A:B,2,FALSE)</f>
        <v xml:space="preserve">Family paid</v>
      </c>
      <c r="K1088" t="s">
        <v>178</v>
      </c>
      <c r="L1088" s="10" t="str">
        <f>VLOOKUP(K1088,Accounts!A:B,2,FALSE)</f>
        <v>SCB</v>
      </c>
      <c r="M1088" t="s">
        <v>124</v>
      </c>
      <c r="N1088" s="10"/>
      <c r="O1088" t="s">
        <v>125</v>
      </c>
      <c r="Q1088" t="s">
        <v>126</v>
      </c>
      <c r="R1088" t="s">
        <v>124</v>
      </c>
      <c r="S1088" t="b">
        <v>0</v>
      </c>
      <c r="T1088" t="s">
        <v>124</v>
      </c>
    </row>
    <row r="1089">
      <c r="A1089" t="s">
        <v>2308</v>
      </c>
      <c r="B1089" t="s">
        <v>2309</v>
      </c>
      <c r="C1089" s="2">
        <v>2023</v>
      </c>
      <c r="D1089" s="10">
        <v>12</v>
      </c>
      <c r="E1089" s="10">
        <v>9</v>
      </c>
      <c r="F1089" t="s">
        <v>270</v>
      </c>
      <c r="G1089">
        <v>10000</v>
      </c>
      <c r="H1089" t="s">
        <v>128</v>
      </c>
      <c r="I1089" t="s">
        <v>136</v>
      </c>
      <c r="J1089" s="10" t="str">
        <f>VLOOKUP(I1089,Categories!A:B,2,FALSE)</f>
        <v>อื่นๆ</v>
      </c>
      <c r="K1089" t="s">
        <v>178</v>
      </c>
      <c r="L1089" s="10" t="str">
        <f>VLOOKUP(K1089,Accounts!A:B,2,FALSE)</f>
        <v>SCB</v>
      </c>
      <c r="M1089" t="s">
        <v>123</v>
      </c>
      <c r="N1089" s="10" t="str">
        <f>VLOOKUP(M1089,Accounts!A:B,2,FALSE)</f>
        <v>KBank</v>
      </c>
      <c r="O1089" t="s">
        <v>125</v>
      </c>
      <c r="Q1089" t="s">
        <v>126</v>
      </c>
      <c r="R1089" t="s">
        <v>124</v>
      </c>
      <c r="S1089" t="b">
        <v>0</v>
      </c>
      <c r="T1089" t="s">
        <v>124</v>
      </c>
    </row>
    <row r="1090">
      <c r="A1090" t="s">
        <v>2310</v>
      </c>
      <c r="B1090" t="s">
        <v>2309</v>
      </c>
      <c r="C1090" s="2">
        <v>2023</v>
      </c>
      <c r="D1090" s="10">
        <v>12</v>
      </c>
      <c r="E1090" s="10">
        <v>9</v>
      </c>
      <c r="F1090" t="s">
        <v>928</v>
      </c>
      <c r="G1090">
        <v>2653</v>
      </c>
      <c r="H1090" t="s">
        <v>69</v>
      </c>
      <c r="I1090" t="s">
        <v>160</v>
      </c>
      <c r="J1090" s="10" t="str">
        <f>VLOOKUP(I1090,Categories!A:B,2,FALSE)</f>
        <v>Fashion</v>
      </c>
      <c r="K1090" t="s">
        <v>123</v>
      </c>
      <c r="L1090" s="10" t="str">
        <f>VLOOKUP(K1090,Accounts!A:B,2,FALSE)</f>
        <v>KBank</v>
      </c>
      <c r="M1090" t="s">
        <v>124</v>
      </c>
      <c r="N1090" s="10"/>
      <c r="O1090" t="s">
        <v>125</v>
      </c>
      <c r="Q1090" t="s">
        <v>126</v>
      </c>
      <c r="R1090" t="s">
        <v>124</v>
      </c>
      <c r="S1090" t="b">
        <v>0</v>
      </c>
      <c r="T1090" t="s">
        <v>124</v>
      </c>
    </row>
    <row r="1091">
      <c r="A1091" t="s">
        <v>2311</v>
      </c>
      <c r="B1091" t="s">
        <v>2312</v>
      </c>
      <c r="C1091" s="2">
        <v>2023</v>
      </c>
      <c r="D1091" s="10">
        <v>12</v>
      </c>
      <c r="E1091" s="10">
        <v>3</v>
      </c>
      <c r="F1091" t="s">
        <v>1458</v>
      </c>
      <c r="G1091">
        <v>2000</v>
      </c>
      <c r="H1091" t="s">
        <v>128</v>
      </c>
      <c r="I1091" t="s">
        <v>136</v>
      </c>
      <c r="J1091" s="10" t="str">
        <f>VLOOKUP(I1091,Categories!A:B,2,FALSE)</f>
        <v>อื่นๆ</v>
      </c>
      <c r="K1091" t="s">
        <v>123</v>
      </c>
      <c r="L1091" s="10" t="str">
        <f>VLOOKUP(K1091,Accounts!A:B,2,FALSE)</f>
        <v>KBank</v>
      </c>
      <c r="M1091" t="s">
        <v>131</v>
      </c>
      <c r="N1091" s="10" t="str">
        <f>VLOOKUP(M1091,Accounts!A:B,2,FALSE)</f>
        <v xml:space="preserve">Advance Paid</v>
      </c>
      <c r="O1091" t="s">
        <v>2313</v>
      </c>
      <c r="Q1091" t="s">
        <v>126</v>
      </c>
      <c r="R1091" t="s">
        <v>124</v>
      </c>
      <c r="S1091" t="b">
        <v>0</v>
      </c>
      <c r="T1091" t="s">
        <v>124</v>
      </c>
    </row>
    <row r="1092">
      <c r="A1092" t="s">
        <v>2314</v>
      </c>
      <c r="B1092" t="s">
        <v>2312</v>
      </c>
      <c r="C1092" s="2">
        <v>2023</v>
      </c>
      <c r="D1092" s="10">
        <v>12</v>
      </c>
      <c r="E1092" s="10">
        <v>3</v>
      </c>
      <c r="F1092" t="s">
        <v>686</v>
      </c>
      <c r="G1092">
        <v>17000</v>
      </c>
      <c r="H1092" t="s">
        <v>69</v>
      </c>
      <c r="I1092" t="s">
        <v>144</v>
      </c>
      <c r="J1092" s="10" t="str">
        <f>VLOOKUP(I1092,Categories!A:B,2,FALSE)</f>
        <v xml:space="preserve">Family paid</v>
      </c>
      <c r="K1092" t="s">
        <v>178</v>
      </c>
      <c r="L1092" s="10" t="str">
        <f>VLOOKUP(K1092,Accounts!A:B,2,FALSE)</f>
        <v>SCB</v>
      </c>
      <c r="M1092" t="s">
        <v>124</v>
      </c>
      <c r="N1092" s="10"/>
      <c r="O1092" t="s">
        <v>125</v>
      </c>
      <c r="Q1092" t="s">
        <v>126</v>
      </c>
      <c r="R1092" t="s">
        <v>124</v>
      </c>
      <c r="S1092" t="b">
        <v>0</v>
      </c>
      <c r="T1092" t="s">
        <v>124</v>
      </c>
    </row>
    <row r="1093">
      <c r="A1093" t="s">
        <v>2315</v>
      </c>
      <c r="B1093" t="s">
        <v>2316</v>
      </c>
      <c r="C1093" s="2">
        <v>2023</v>
      </c>
      <c r="D1093" s="10">
        <v>12</v>
      </c>
      <c r="E1093" s="10">
        <v>2</v>
      </c>
      <c r="F1093" t="s">
        <v>315</v>
      </c>
      <c r="G1093">
        <v>2501</v>
      </c>
      <c r="H1093" t="s">
        <v>128</v>
      </c>
      <c r="I1093" t="s">
        <v>136</v>
      </c>
      <c r="J1093" s="10" t="str">
        <f>VLOOKUP(I1093,Categories!A:B,2,FALSE)</f>
        <v>อื่นๆ</v>
      </c>
      <c r="K1093" t="s">
        <v>2317</v>
      </c>
      <c r="L1093" s="10" t="str">
        <f>VLOOKUP(K1093,Accounts!A:B,2,FALSE)</f>
        <v xml:space="preserve">Marriage account</v>
      </c>
      <c r="M1093" t="s">
        <v>123</v>
      </c>
      <c r="N1093" s="10" t="str">
        <f>VLOOKUP(M1093,Accounts!A:B,2,FALSE)</f>
        <v>KBank</v>
      </c>
      <c r="O1093" t="s">
        <v>125</v>
      </c>
      <c r="Q1093" t="s">
        <v>126</v>
      </c>
      <c r="R1093" t="s">
        <v>124</v>
      </c>
      <c r="S1093" t="b">
        <v>0</v>
      </c>
      <c r="T1093" t="s">
        <v>124</v>
      </c>
    </row>
    <row r="1094">
      <c r="A1094" t="s">
        <v>2318</v>
      </c>
      <c r="B1094" t="s">
        <v>2316</v>
      </c>
      <c r="C1094" s="2">
        <v>2023</v>
      </c>
      <c r="D1094" s="10">
        <v>12</v>
      </c>
      <c r="E1094" s="10">
        <v>2</v>
      </c>
      <c r="F1094" t="s">
        <v>2319</v>
      </c>
      <c r="G1094">
        <v>4366</v>
      </c>
      <c r="H1094" t="s">
        <v>69</v>
      </c>
      <c r="I1094" t="s">
        <v>150</v>
      </c>
      <c r="J1094" s="10" t="str">
        <f>VLOOKUP(I1094,Categories!A:B,2,FALSE)</f>
        <v xml:space="preserve">Food &amp; Coff</v>
      </c>
      <c r="K1094" t="s">
        <v>137</v>
      </c>
      <c r="L1094" s="10" t="str">
        <f>VLOOKUP(K1094,Accounts!A:B,2,FALSE)</f>
        <v xml:space="preserve">Make Kbank</v>
      </c>
      <c r="M1094" t="s">
        <v>124</v>
      </c>
      <c r="N1094" s="10"/>
      <c r="O1094" t="s">
        <v>2320</v>
      </c>
      <c r="Q1094" t="s">
        <v>126</v>
      </c>
      <c r="R1094" t="s">
        <v>124</v>
      </c>
      <c r="S1094" t="b">
        <v>0</v>
      </c>
      <c r="T1094" t="s">
        <v>124</v>
      </c>
    </row>
    <row r="1095">
      <c r="A1095" t="s">
        <v>2321</v>
      </c>
      <c r="B1095" t="s">
        <v>2322</v>
      </c>
      <c r="C1095" s="2">
        <v>2023</v>
      </c>
      <c r="D1095" s="10">
        <v>12</v>
      </c>
      <c r="E1095" s="10">
        <v>1</v>
      </c>
      <c r="F1095" t="s">
        <v>2198</v>
      </c>
      <c r="G1095">
        <v>3662</v>
      </c>
      <c r="H1095" t="s">
        <v>69</v>
      </c>
      <c r="I1095" t="s">
        <v>259</v>
      </c>
      <c r="J1095" s="10" t="str">
        <f>VLOOKUP(I1095,Categories!A:B,2,FALSE)</f>
        <v xml:space="preserve">Team BOT</v>
      </c>
      <c r="K1095" t="s">
        <v>178</v>
      </c>
      <c r="L1095" s="10" t="str">
        <f>VLOOKUP(K1095,Accounts!A:B,2,FALSE)</f>
        <v>SCB</v>
      </c>
      <c r="M1095" t="s">
        <v>124</v>
      </c>
      <c r="N1095" s="10"/>
      <c r="O1095" t="s">
        <v>2323</v>
      </c>
      <c r="Q1095" t="s">
        <v>126</v>
      </c>
      <c r="R1095" t="s">
        <v>124</v>
      </c>
      <c r="S1095" t="b">
        <v>0</v>
      </c>
      <c r="T1095" t="s">
        <v>124</v>
      </c>
    </row>
    <row r="1096">
      <c r="A1096" t="s">
        <v>2324</v>
      </c>
      <c r="B1096" t="s">
        <v>2322</v>
      </c>
      <c r="C1096" s="2">
        <v>2023</v>
      </c>
      <c r="D1096" s="10">
        <v>12</v>
      </c>
      <c r="E1096" s="10">
        <v>1</v>
      </c>
      <c r="F1096" t="s">
        <v>686</v>
      </c>
      <c r="G1096">
        <v>687</v>
      </c>
      <c r="H1096" t="s">
        <v>69</v>
      </c>
      <c r="I1096" t="s">
        <v>141</v>
      </c>
      <c r="J1096" s="10" t="str">
        <f>VLOOKUP(I1096,Categories!A:B,2,FALSE)</f>
        <v>Other</v>
      </c>
      <c r="K1096" t="s">
        <v>178</v>
      </c>
      <c r="L1096" s="10" t="str">
        <f>VLOOKUP(K1096,Accounts!A:B,2,FALSE)</f>
        <v>SCB</v>
      </c>
      <c r="M1096" t="s">
        <v>124</v>
      </c>
      <c r="N1096" s="10"/>
      <c r="O1096" t="s">
        <v>125</v>
      </c>
      <c r="Q1096" t="s">
        <v>126</v>
      </c>
      <c r="R1096" t="s">
        <v>124</v>
      </c>
      <c r="S1096" t="b">
        <v>0</v>
      </c>
      <c r="T1096" t="s">
        <v>124</v>
      </c>
    </row>
    <row r="1097">
      <c r="A1097" t="s">
        <v>2325</v>
      </c>
      <c r="B1097" t="s">
        <v>2326</v>
      </c>
      <c r="C1097" s="2">
        <v>2023</v>
      </c>
      <c r="D1097" s="10">
        <v>11</v>
      </c>
      <c r="E1097" s="10">
        <v>29</v>
      </c>
      <c r="F1097" t="s">
        <v>2195</v>
      </c>
      <c r="G1097">
        <v>119</v>
      </c>
      <c r="H1097" t="s">
        <v>69</v>
      </c>
      <c r="I1097" t="s">
        <v>150</v>
      </c>
      <c r="J1097" s="10" t="str">
        <f>VLOOKUP(I1097,Categories!A:B,2,FALSE)</f>
        <v xml:space="preserve">Food &amp; Coff</v>
      </c>
      <c r="K1097" t="s">
        <v>178</v>
      </c>
      <c r="L1097" s="10" t="str">
        <f>VLOOKUP(K1097,Accounts!A:B,2,FALSE)</f>
        <v>SCB</v>
      </c>
      <c r="M1097" t="s">
        <v>124</v>
      </c>
      <c r="N1097" s="10"/>
      <c r="O1097" t="s">
        <v>125</v>
      </c>
      <c r="Q1097" t="s">
        <v>126</v>
      </c>
      <c r="R1097" t="s">
        <v>124</v>
      </c>
      <c r="S1097" t="b">
        <v>0</v>
      </c>
      <c r="T1097" t="s">
        <v>124</v>
      </c>
    </row>
    <row r="1098">
      <c r="A1098" t="s">
        <v>2327</v>
      </c>
      <c r="B1098" t="s">
        <v>43</v>
      </c>
      <c r="C1098" s="2">
        <v>2023</v>
      </c>
      <c r="D1098" s="10">
        <v>11</v>
      </c>
      <c r="E1098" s="10">
        <v>28</v>
      </c>
      <c r="F1098" t="s">
        <v>370</v>
      </c>
      <c r="G1098">
        <v>400000</v>
      </c>
      <c r="H1098" t="s">
        <v>128</v>
      </c>
      <c r="I1098" t="s">
        <v>136</v>
      </c>
      <c r="J1098" s="10" t="str">
        <f>VLOOKUP(I1098,Categories!A:B,2,FALSE)</f>
        <v>อื่นๆ</v>
      </c>
      <c r="K1098" t="s">
        <v>178</v>
      </c>
      <c r="L1098" s="10" t="str">
        <f>VLOOKUP(K1098,Accounts!A:B,2,FALSE)</f>
        <v>SCB</v>
      </c>
      <c r="M1098" t="s">
        <v>215</v>
      </c>
      <c r="N1098" s="10" t="str">
        <f>VLOOKUP(M1098,Accounts!A:B,2,FALSE)</f>
        <v>Investment</v>
      </c>
      <c r="O1098" t="s">
        <v>2328</v>
      </c>
      <c r="Q1098" t="s">
        <v>126</v>
      </c>
      <c r="R1098" t="s">
        <v>124</v>
      </c>
      <c r="S1098" t="b">
        <v>0</v>
      </c>
      <c r="T1098" t="s">
        <v>124</v>
      </c>
    </row>
    <row r="1099">
      <c r="A1099" t="s">
        <v>2329</v>
      </c>
      <c r="B1099" t="s">
        <v>43</v>
      </c>
      <c r="C1099" s="2">
        <v>2023</v>
      </c>
      <c r="D1099" s="10">
        <v>11</v>
      </c>
      <c r="E1099" s="10">
        <v>28</v>
      </c>
      <c r="F1099" t="s">
        <v>2330</v>
      </c>
      <c r="G1099">
        <v>20000</v>
      </c>
      <c r="H1099" t="s">
        <v>128</v>
      </c>
      <c r="I1099" t="s">
        <v>136</v>
      </c>
      <c r="J1099" s="10" t="str">
        <f>VLOOKUP(I1099,Categories!A:B,2,FALSE)</f>
        <v>อื่นๆ</v>
      </c>
      <c r="K1099" t="s">
        <v>213</v>
      </c>
      <c r="L1099" s="10" t="str">
        <f>VLOOKUP(K1099,Accounts!A:B,2,FALSE)</f>
        <v xml:space="preserve">Krungthai Next</v>
      </c>
      <c r="M1099" t="s">
        <v>215</v>
      </c>
      <c r="N1099" s="10" t="str">
        <f>VLOOKUP(M1099,Accounts!A:B,2,FALSE)</f>
        <v>Investment</v>
      </c>
      <c r="O1099" t="s">
        <v>2331</v>
      </c>
      <c r="Q1099" t="s">
        <v>126</v>
      </c>
      <c r="R1099" t="s">
        <v>124</v>
      </c>
      <c r="S1099" t="b">
        <v>0</v>
      </c>
      <c r="T1099" t="s">
        <v>124</v>
      </c>
    </row>
    <row r="1100">
      <c r="A1100" t="s">
        <v>2332</v>
      </c>
      <c r="B1100" t="s">
        <v>2333</v>
      </c>
      <c r="C1100" s="2">
        <v>2023</v>
      </c>
      <c r="D1100" s="10">
        <v>11</v>
      </c>
      <c r="E1100" s="10">
        <v>26</v>
      </c>
      <c r="F1100" t="s">
        <v>2334</v>
      </c>
      <c r="G1100">
        <v>40</v>
      </c>
      <c r="H1100" t="s">
        <v>69</v>
      </c>
      <c r="I1100" t="s">
        <v>150</v>
      </c>
      <c r="J1100" s="10" t="str">
        <f>VLOOKUP(I1100,Categories!A:B,2,FALSE)</f>
        <v xml:space="preserve">Food &amp; Coff</v>
      </c>
      <c r="K1100" t="s">
        <v>123</v>
      </c>
      <c r="L1100" s="10" t="str">
        <f>VLOOKUP(K1100,Accounts!A:B,2,FALSE)</f>
        <v>KBank</v>
      </c>
      <c r="M1100" t="s">
        <v>124</v>
      </c>
      <c r="N1100" s="10"/>
      <c r="O1100" t="s">
        <v>125</v>
      </c>
      <c r="Q1100" t="s">
        <v>126</v>
      </c>
      <c r="R1100" t="s">
        <v>124</v>
      </c>
      <c r="S1100" t="b">
        <v>0</v>
      </c>
      <c r="T1100" t="s">
        <v>124</v>
      </c>
    </row>
    <row r="1101">
      <c r="A1101" t="s">
        <v>2335</v>
      </c>
      <c r="B1101" t="s">
        <v>2336</v>
      </c>
      <c r="C1101" s="2">
        <v>2023</v>
      </c>
      <c r="D1101" s="10">
        <v>11</v>
      </c>
      <c r="E1101" s="10">
        <v>25</v>
      </c>
      <c r="F1101" t="s">
        <v>121</v>
      </c>
      <c r="G1101">
        <v>415</v>
      </c>
      <c r="H1101" t="s">
        <v>69</v>
      </c>
      <c r="I1101" t="s">
        <v>443</v>
      </c>
      <c r="J1101" s="10" t="str">
        <f>VLOOKUP(I1101,Categories!A:B,2,FALSE)</f>
        <v xml:space="preserve">City SV Interest</v>
      </c>
      <c r="K1101" t="s">
        <v>178</v>
      </c>
      <c r="L1101" s="10" t="str">
        <f>VLOOKUP(K1101,Accounts!A:B,2,FALSE)</f>
        <v>SCB</v>
      </c>
      <c r="M1101" t="s">
        <v>124</v>
      </c>
      <c r="N1101" s="10"/>
      <c r="O1101" t="s">
        <v>125</v>
      </c>
      <c r="Q1101" t="s">
        <v>126</v>
      </c>
      <c r="R1101" t="s">
        <v>124</v>
      </c>
      <c r="S1101" t="b">
        <v>0</v>
      </c>
      <c r="T1101" t="s">
        <v>124</v>
      </c>
    </row>
    <row r="1102">
      <c r="A1102" t="s">
        <v>2337</v>
      </c>
      <c r="B1102" t="s">
        <v>2336</v>
      </c>
      <c r="C1102" s="2">
        <v>2023</v>
      </c>
      <c r="D1102" s="10">
        <v>11</v>
      </c>
      <c r="E1102" s="10">
        <v>25</v>
      </c>
      <c r="F1102" t="s">
        <v>121</v>
      </c>
      <c r="G1102">
        <v>3305</v>
      </c>
      <c r="H1102" t="s">
        <v>69</v>
      </c>
      <c r="I1102" t="s">
        <v>199</v>
      </c>
      <c r="J1102" s="10" t="str">
        <f>VLOOKUP(I1102,Categories!A:B,2,FALSE)</f>
        <v xml:space="preserve">Home Chomthong Interest</v>
      </c>
      <c r="K1102" t="s">
        <v>178</v>
      </c>
      <c r="L1102" s="10" t="str">
        <f>VLOOKUP(K1102,Accounts!A:B,2,FALSE)</f>
        <v>SCB</v>
      </c>
      <c r="M1102" t="s">
        <v>124</v>
      </c>
      <c r="N1102" s="10"/>
      <c r="O1102" t="s">
        <v>125</v>
      </c>
      <c r="Q1102" t="s">
        <v>126</v>
      </c>
      <c r="R1102" t="s">
        <v>124</v>
      </c>
      <c r="S1102" t="b">
        <v>0</v>
      </c>
      <c r="T1102" t="s">
        <v>124</v>
      </c>
    </row>
    <row r="1103">
      <c r="A1103" t="s">
        <v>2338</v>
      </c>
      <c r="B1103" t="s">
        <v>2336</v>
      </c>
      <c r="C1103" s="2">
        <v>2023</v>
      </c>
      <c r="D1103" s="10">
        <v>11</v>
      </c>
      <c r="E1103" s="10">
        <v>25</v>
      </c>
      <c r="F1103" t="s">
        <v>121</v>
      </c>
      <c r="G1103">
        <v>8540</v>
      </c>
      <c r="H1103" t="s">
        <v>128</v>
      </c>
      <c r="I1103" t="s">
        <v>136</v>
      </c>
      <c r="J1103" s="10" t="str">
        <f>VLOOKUP(I1103,Categories!A:B,2,FALSE)</f>
        <v>อื่นๆ</v>
      </c>
      <c r="K1103" t="s">
        <v>178</v>
      </c>
      <c r="L1103" s="10" t="str">
        <f>VLOOKUP(K1103,Accounts!A:B,2,FALSE)</f>
        <v>SCB</v>
      </c>
      <c r="M1103" t="s">
        <v>1244</v>
      </c>
      <c r="N1103" s="10" t="str">
        <f>VLOOKUP(M1103,Accounts!A:B,2,FALSE)</f>
        <v xml:space="preserve">Home chomthong Loan</v>
      </c>
      <c r="O1103" t="s">
        <v>125</v>
      </c>
      <c r="Q1103" t="s">
        <v>126</v>
      </c>
      <c r="R1103" t="s">
        <v>124</v>
      </c>
      <c r="S1103" t="b">
        <v>0</v>
      </c>
      <c r="T1103" t="s">
        <v>124</v>
      </c>
    </row>
    <row r="1104">
      <c r="A1104" t="s">
        <v>2339</v>
      </c>
      <c r="B1104" t="s">
        <v>2336</v>
      </c>
      <c r="C1104" s="2">
        <v>2023</v>
      </c>
      <c r="D1104" s="10">
        <v>11</v>
      </c>
      <c r="E1104" s="10">
        <v>25</v>
      </c>
      <c r="F1104" t="s">
        <v>121</v>
      </c>
      <c r="G1104">
        <v>9240</v>
      </c>
      <c r="H1104" t="s">
        <v>128</v>
      </c>
      <c r="I1104" t="s">
        <v>136</v>
      </c>
      <c r="J1104" s="10" t="str">
        <f>VLOOKUP(I1104,Categories!A:B,2,FALSE)</f>
        <v>อื่นๆ</v>
      </c>
      <c r="K1104" t="s">
        <v>178</v>
      </c>
      <c r="L1104" s="10" t="str">
        <f>VLOOKUP(K1104,Accounts!A:B,2,FALSE)</f>
        <v>SCB</v>
      </c>
      <c r="M1104" t="s">
        <v>1246</v>
      </c>
      <c r="N1104" s="10" t="str">
        <f>VLOOKUP(M1104,Accounts!A:B,2,FALSE)</f>
        <v xml:space="preserve">Car Loan</v>
      </c>
      <c r="O1104" t="s">
        <v>125</v>
      </c>
      <c r="Q1104" t="s">
        <v>126</v>
      </c>
      <c r="R1104" t="s">
        <v>124</v>
      </c>
      <c r="S1104" t="b">
        <v>0</v>
      </c>
      <c r="T1104" t="s">
        <v>124</v>
      </c>
    </row>
    <row r="1105">
      <c r="A1105" t="s">
        <v>2340</v>
      </c>
      <c r="B1105" t="s">
        <v>2336</v>
      </c>
      <c r="C1105" s="2">
        <v>2023</v>
      </c>
      <c r="D1105" s="10">
        <v>11</v>
      </c>
      <c r="E1105" s="10">
        <v>25</v>
      </c>
      <c r="F1105" t="s">
        <v>121</v>
      </c>
      <c r="G1105">
        <v>500</v>
      </c>
      <c r="H1105" t="s">
        <v>128</v>
      </c>
      <c r="I1105" t="s">
        <v>136</v>
      </c>
      <c r="J1105" s="10" t="str">
        <f>VLOOKUP(I1105,Categories!A:B,2,FALSE)</f>
        <v>อื่นๆ</v>
      </c>
      <c r="K1105" t="s">
        <v>178</v>
      </c>
      <c r="L1105" s="10" t="str">
        <f>VLOOKUP(K1105,Accounts!A:B,2,FALSE)</f>
        <v>SCB</v>
      </c>
      <c r="M1105" t="s">
        <v>201</v>
      </c>
      <c r="N1105" s="10" t="str">
        <f>VLOOKUP(M1105,Accounts!A:B,2,FALSE)</f>
        <v>Coop</v>
      </c>
      <c r="O1105" t="s">
        <v>125</v>
      </c>
      <c r="Q1105" t="s">
        <v>126</v>
      </c>
      <c r="R1105" t="s">
        <v>124</v>
      </c>
      <c r="S1105" t="b">
        <v>0</v>
      </c>
      <c r="T1105" t="s">
        <v>124</v>
      </c>
    </row>
    <row r="1106">
      <c r="A1106" t="s">
        <v>2341</v>
      </c>
      <c r="B1106" t="s">
        <v>2336</v>
      </c>
      <c r="C1106" s="2">
        <v>2023</v>
      </c>
      <c r="D1106" s="10">
        <v>11</v>
      </c>
      <c r="E1106" s="10">
        <v>25</v>
      </c>
      <c r="F1106" t="s">
        <v>121</v>
      </c>
      <c r="G1106">
        <v>2242</v>
      </c>
      <c r="H1106" t="s">
        <v>128</v>
      </c>
      <c r="I1106" t="s">
        <v>136</v>
      </c>
      <c r="J1106" s="10" t="str">
        <f>VLOOKUP(I1106,Categories!A:B,2,FALSE)</f>
        <v>อื่นๆ</v>
      </c>
      <c r="K1106" t="s">
        <v>178</v>
      </c>
      <c r="L1106" s="10" t="str">
        <f>VLOOKUP(K1106,Accounts!A:B,2,FALSE)</f>
        <v>SCB</v>
      </c>
      <c r="M1106" t="s">
        <v>203</v>
      </c>
      <c r="N1106" s="10" t="str">
        <f>VLOOKUP(M1106,Accounts!A:B,2,FALSE)</f>
        <v xml:space="preserve">Provident Fund</v>
      </c>
      <c r="O1106" t="s">
        <v>125</v>
      </c>
      <c r="Q1106" t="s">
        <v>126</v>
      </c>
      <c r="R1106" t="s">
        <v>124</v>
      </c>
      <c r="S1106" t="b">
        <v>0</v>
      </c>
      <c r="T1106" t="s">
        <v>124</v>
      </c>
    </row>
    <row r="1107">
      <c r="A1107" t="s">
        <v>2342</v>
      </c>
      <c r="B1107" t="s">
        <v>2336</v>
      </c>
      <c r="C1107" s="2">
        <v>2023</v>
      </c>
      <c r="D1107" s="10">
        <v>11</v>
      </c>
      <c r="E1107" s="10">
        <v>25</v>
      </c>
      <c r="F1107" t="s">
        <v>121</v>
      </c>
      <c r="G1107">
        <v>1027.03</v>
      </c>
      <c r="H1107" t="s">
        <v>69</v>
      </c>
      <c r="I1107" t="s">
        <v>195</v>
      </c>
      <c r="J1107" s="10" t="str">
        <f>VLOOKUP(I1107,Categories!A:B,2,FALSE)</f>
        <v>Tax</v>
      </c>
      <c r="K1107" t="s">
        <v>178</v>
      </c>
      <c r="L1107" s="10" t="str">
        <f>VLOOKUP(K1107,Accounts!A:B,2,FALSE)</f>
        <v>SCB</v>
      </c>
      <c r="M1107" t="s">
        <v>124</v>
      </c>
      <c r="N1107" s="10"/>
      <c r="O1107" t="s">
        <v>125</v>
      </c>
      <c r="Q1107" t="s">
        <v>126</v>
      </c>
      <c r="R1107" t="s">
        <v>124</v>
      </c>
      <c r="S1107" t="b">
        <v>0</v>
      </c>
      <c r="T1107" t="s">
        <v>124</v>
      </c>
    </row>
    <row r="1108">
      <c r="A1108" t="s">
        <v>2343</v>
      </c>
      <c r="B1108" t="s">
        <v>2336</v>
      </c>
      <c r="C1108" s="2">
        <v>2023</v>
      </c>
      <c r="D1108" s="10">
        <v>11</v>
      </c>
      <c r="E1108" s="10">
        <v>25</v>
      </c>
      <c r="F1108" t="s">
        <v>121</v>
      </c>
      <c r="G1108">
        <v>112100</v>
      </c>
      <c r="H1108" t="s">
        <v>206</v>
      </c>
      <c r="I1108" t="s">
        <v>207</v>
      </c>
      <c r="J1108" s="10" t="str">
        <f>VLOOKUP(I1108,Categories!A:B,2,FALSE)</f>
        <v>Salary</v>
      </c>
      <c r="K1108" t="s">
        <v>178</v>
      </c>
      <c r="L1108" s="10" t="str">
        <f>VLOOKUP(K1108,Accounts!A:B,2,FALSE)</f>
        <v>SCB</v>
      </c>
      <c r="M1108" t="s">
        <v>124</v>
      </c>
      <c r="N1108" s="10"/>
      <c r="O1108" t="s">
        <v>125</v>
      </c>
      <c r="Q1108" t="s">
        <v>126</v>
      </c>
      <c r="R1108" t="s">
        <v>124</v>
      </c>
      <c r="S1108" t="b">
        <v>0</v>
      </c>
      <c r="T1108" t="s">
        <v>124</v>
      </c>
    </row>
    <row r="1109">
      <c r="A1109" t="s">
        <v>2344</v>
      </c>
      <c r="B1109" t="s">
        <v>2336</v>
      </c>
      <c r="C1109" s="2">
        <v>2023</v>
      </c>
      <c r="D1109" s="10">
        <v>11</v>
      </c>
      <c r="E1109" s="10">
        <v>25</v>
      </c>
      <c r="F1109" t="s">
        <v>121</v>
      </c>
      <c r="G1109">
        <v>1010</v>
      </c>
      <c r="H1109" t="s">
        <v>69</v>
      </c>
      <c r="I1109" t="s">
        <v>144</v>
      </c>
      <c r="J1109" s="10" t="str">
        <f>VLOOKUP(I1109,Categories!A:B,2,FALSE)</f>
        <v xml:space="preserve">Family paid</v>
      </c>
      <c r="K1109" t="s">
        <v>178</v>
      </c>
      <c r="L1109" s="10" t="str">
        <f>VLOOKUP(K1109,Accounts!A:B,2,FALSE)</f>
        <v>SCB</v>
      </c>
      <c r="M1109" t="s">
        <v>124</v>
      </c>
      <c r="N1109" s="10"/>
      <c r="O1109" t="s">
        <v>1413</v>
      </c>
      <c r="Q1109" t="s">
        <v>126</v>
      </c>
      <c r="R1109" t="s">
        <v>124</v>
      </c>
      <c r="S1109" t="b">
        <v>0</v>
      </c>
      <c r="T1109" t="s">
        <v>124</v>
      </c>
    </row>
    <row r="1110">
      <c r="A1110" t="s">
        <v>2345</v>
      </c>
      <c r="B1110" t="s">
        <v>2346</v>
      </c>
      <c r="C1110" s="2">
        <v>2023</v>
      </c>
      <c r="D1110" s="10">
        <v>11</v>
      </c>
      <c r="E1110" s="10">
        <v>24</v>
      </c>
      <c r="F1110" t="s">
        <v>2334</v>
      </c>
      <c r="G1110">
        <v>110</v>
      </c>
      <c r="H1110" t="s">
        <v>69</v>
      </c>
      <c r="I1110" t="s">
        <v>150</v>
      </c>
      <c r="J1110" s="10" t="str">
        <f>VLOOKUP(I1110,Categories!A:B,2,FALSE)</f>
        <v xml:space="preserve">Food &amp; Coff</v>
      </c>
      <c r="K1110" t="s">
        <v>123</v>
      </c>
      <c r="L1110" s="10" t="str">
        <f>VLOOKUP(K1110,Accounts!A:B,2,FALSE)</f>
        <v>KBank</v>
      </c>
      <c r="M1110" t="s">
        <v>124</v>
      </c>
      <c r="N1110" s="10"/>
      <c r="O1110" t="s">
        <v>125</v>
      </c>
      <c r="Q1110" t="s">
        <v>126</v>
      </c>
      <c r="R1110" t="s">
        <v>124</v>
      </c>
      <c r="S1110" t="b">
        <v>0</v>
      </c>
      <c r="T1110" t="s">
        <v>124</v>
      </c>
    </row>
    <row r="1111">
      <c r="A1111" t="s">
        <v>2347</v>
      </c>
      <c r="B1111" t="s">
        <v>2348</v>
      </c>
      <c r="C1111" s="2">
        <v>2023</v>
      </c>
      <c r="D1111" s="10">
        <v>11</v>
      </c>
      <c r="E1111" s="10">
        <v>23</v>
      </c>
      <c r="F1111" t="s">
        <v>301</v>
      </c>
      <c r="G1111">
        <v>500</v>
      </c>
      <c r="H1111" t="s">
        <v>128</v>
      </c>
      <c r="I1111" t="s">
        <v>136</v>
      </c>
      <c r="J1111" s="10" t="str">
        <f>VLOOKUP(I1111,Categories!A:B,2,FALSE)</f>
        <v>อื่นๆ</v>
      </c>
      <c r="K1111" t="s">
        <v>2349</v>
      </c>
      <c r="L1111" s="10" t="str">
        <f>VLOOKUP(K1111,Accounts!A:B,2,FALSE)</f>
        <v>Bluewallet</v>
      </c>
      <c r="M1111" t="s">
        <v>123</v>
      </c>
      <c r="N1111" s="10" t="str">
        <f>VLOOKUP(M1111,Accounts!A:B,2,FALSE)</f>
        <v>KBank</v>
      </c>
      <c r="O1111" t="s">
        <v>125</v>
      </c>
      <c r="Q1111" t="s">
        <v>126</v>
      </c>
      <c r="R1111" t="s">
        <v>124</v>
      </c>
      <c r="S1111" t="b">
        <v>0</v>
      </c>
      <c r="T1111" t="s">
        <v>124</v>
      </c>
    </row>
    <row r="1112">
      <c r="A1112" t="s">
        <v>2350</v>
      </c>
      <c r="B1112" t="s">
        <v>2351</v>
      </c>
      <c r="C1112" s="2">
        <v>2023</v>
      </c>
      <c r="D1112" s="10">
        <v>11</v>
      </c>
      <c r="E1112" s="10">
        <v>19</v>
      </c>
      <c r="F1112" t="s">
        <v>298</v>
      </c>
      <c r="G1112">
        <v>599</v>
      </c>
      <c r="H1112" t="s">
        <v>128</v>
      </c>
      <c r="I1112" t="s">
        <v>136</v>
      </c>
      <c r="J1112" s="10" t="str">
        <f>VLOOKUP(I1112,Categories!A:B,2,FALSE)</f>
        <v>อื่นๆ</v>
      </c>
      <c r="K1112" t="s">
        <v>123</v>
      </c>
      <c r="L1112" s="10" t="str">
        <f>VLOOKUP(K1112,Accounts!A:B,2,FALSE)</f>
        <v>KBank</v>
      </c>
      <c r="M1112" t="s">
        <v>131</v>
      </c>
      <c r="N1112" s="10" t="str">
        <f>VLOOKUP(M1112,Accounts!A:B,2,FALSE)</f>
        <v xml:space="preserve">Advance Paid</v>
      </c>
      <c r="O1112" t="s">
        <v>2352</v>
      </c>
      <c r="Q1112" t="s">
        <v>126</v>
      </c>
      <c r="R1112" t="s">
        <v>124</v>
      </c>
      <c r="S1112" t="b">
        <v>0</v>
      </c>
      <c r="T1112" t="s">
        <v>124</v>
      </c>
    </row>
    <row r="1113">
      <c r="A1113" t="s">
        <v>2353</v>
      </c>
      <c r="B1113" t="s">
        <v>2354</v>
      </c>
      <c r="C1113" s="2">
        <v>2023</v>
      </c>
      <c r="D1113" s="10">
        <v>11</v>
      </c>
      <c r="E1113" s="10">
        <v>18</v>
      </c>
      <c r="F1113" t="s">
        <v>955</v>
      </c>
      <c r="G1113">
        <v>5000</v>
      </c>
      <c r="H1113" t="s">
        <v>128</v>
      </c>
      <c r="I1113" t="s">
        <v>136</v>
      </c>
      <c r="J1113" s="10" t="str">
        <f>VLOOKUP(I1113,Categories!A:B,2,FALSE)</f>
        <v>อื่นๆ</v>
      </c>
      <c r="K1113" t="s">
        <v>844</v>
      </c>
      <c r="L1113" s="10" t="str">
        <f>VLOOKUP(K1113,Accounts!A:B,2,FALSE)</f>
        <v>BBL</v>
      </c>
      <c r="M1113" t="s">
        <v>425</v>
      </c>
      <c r="N1113" s="10" t="str">
        <f>VLOOKUP(M1113,Accounts!A:B,2,FALSE)</f>
        <v>Cash</v>
      </c>
      <c r="O1113" t="s">
        <v>125</v>
      </c>
      <c r="Q1113" t="s">
        <v>126</v>
      </c>
      <c r="R1113" t="s">
        <v>124</v>
      </c>
      <c r="S1113" t="b">
        <v>0</v>
      </c>
      <c r="T1113" t="s">
        <v>124</v>
      </c>
    </row>
    <row r="1114">
      <c r="A1114" t="s">
        <v>2355</v>
      </c>
      <c r="B1114" t="s">
        <v>2356</v>
      </c>
      <c r="C1114" s="2">
        <v>2023</v>
      </c>
      <c r="D1114" s="10">
        <v>11</v>
      </c>
      <c r="E1114" s="10">
        <v>16</v>
      </c>
      <c r="F1114" t="s">
        <v>1416</v>
      </c>
      <c r="G1114">
        <v>400</v>
      </c>
      <c r="H1114" t="s">
        <v>69</v>
      </c>
      <c r="I1114" t="s">
        <v>1508</v>
      </c>
      <c r="J1114" s="10" t="str">
        <f>VLOOKUP(I1114,Categories!A:B,2,FALSE)</f>
        <v>Other</v>
      </c>
      <c r="K1114" t="s">
        <v>425</v>
      </c>
      <c r="L1114" s="10" t="str">
        <f>VLOOKUP(K1114,Accounts!A:B,2,FALSE)</f>
        <v>Cash</v>
      </c>
      <c r="M1114" t="s">
        <v>124</v>
      </c>
      <c r="N1114" s="10"/>
      <c r="O1114" t="s">
        <v>125</v>
      </c>
      <c r="Q1114" t="s">
        <v>126</v>
      </c>
      <c r="R1114" t="s">
        <v>124</v>
      </c>
      <c r="S1114" t="b">
        <v>0</v>
      </c>
      <c r="T1114" t="s">
        <v>124</v>
      </c>
    </row>
    <row r="1115">
      <c r="A1115" t="s">
        <v>2357</v>
      </c>
      <c r="B1115" t="s">
        <v>2358</v>
      </c>
      <c r="C1115" s="2">
        <v>2023</v>
      </c>
      <c r="D1115" s="10">
        <v>11</v>
      </c>
      <c r="E1115" s="10">
        <v>14</v>
      </c>
      <c r="F1115" t="s">
        <v>121</v>
      </c>
      <c r="G1115">
        <v>419</v>
      </c>
      <c r="H1115" t="s">
        <v>69</v>
      </c>
      <c r="I1115" t="s">
        <v>1903</v>
      </c>
      <c r="J1115" s="10" t="str">
        <f>VLOOKUP(I1115,Categories!A:B,2,FALSE)</f>
        <v xml:space="preserve">Monthly subscription</v>
      </c>
      <c r="K1115" t="s">
        <v>747</v>
      </c>
      <c r="L1115" s="10" t="str">
        <f>VLOOKUP(K1115,Accounts!A:B,2,FALSE)</f>
        <v xml:space="preserve">UOB world</v>
      </c>
      <c r="M1115" t="s">
        <v>124</v>
      </c>
      <c r="N1115" s="10"/>
      <c r="O1115" t="s">
        <v>125</v>
      </c>
      <c r="Q1115" t="s">
        <v>126</v>
      </c>
      <c r="R1115" t="s">
        <v>124</v>
      </c>
      <c r="S1115" t="b">
        <v>0</v>
      </c>
      <c r="T1115" t="s">
        <v>124</v>
      </c>
    </row>
    <row r="1116">
      <c r="A1116" t="s">
        <v>2359</v>
      </c>
      <c r="B1116" t="s">
        <v>2358</v>
      </c>
      <c r="C1116" s="2">
        <v>2023</v>
      </c>
      <c r="D1116" s="10">
        <v>11</v>
      </c>
      <c r="E1116" s="10">
        <v>14</v>
      </c>
      <c r="F1116" t="s">
        <v>2360</v>
      </c>
      <c r="G1116">
        <v>400</v>
      </c>
      <c r="H1116" t="s">
        <v>128</v>
      </c>
      <c r="I1116" t="s">
        <v>136</v>
      </c>
      <c r="J1116" s="10" t="str">
        <f>VLOOKUP(I1116,Categories!A:B,2,FALSE)</f>
        <v>อื่นๆ</v>
      </c>
      <c r="K1116" t="s">
        <v>123</v>
      </c>
      <c r="L1116" s="10" t="str">
        <f>VLOOKUP(K1116,Accounts!A:B,2,FALSE)</f>
        <v>KBank</v>
      </c>
      <c r="M1116" t="s">
        <v>425</v>
      </c>
      <c r="N1116" s="10" t="str">
        <f>VLOOKUP(M1116,Accounts!A:B,2,FALSE)</f>
        <v>Cash</v>
      </c>
      <c r="O1116" t="s">
        <v>125</v>
      </c>
      <c r="Q1116" t="s">
        <v>126</v>
      </c>
      <c r="R1116" t="s">
        <v>124</v>
      </c>
      <c r="S1116" t="b">
        <v>0</v>
      </c>
      <c r="T1116" t="s">
        <v>124</v>
      </c>
    </row>
    <row r="1117">
      <c r="A1117" t="s">
        <v>2361</v>
      </c>
      <c r="B1117" t="s">
        <v>2362</v>
      </c>
      <c r="C1117" s="2">
        <v>2023</v>
      </c>
      <c r="D1117" s="10">
        <v>11</v>
      </c>
      <c r="E1117" s="10">
        <v>11</v>
      </c>
      <c r="F1117" t="s">
        <v>2360</v>
      </c>
      <c r="G1117">
        <v>14397</v>
      </c>
      <c r="H1117" t="s">
        <v>128</v>
      </c>
      <c r="I1117" t="s">
        <v>136</v>
      </c>
      <c r="J1117" s="10" t="str">
        <f>VLOOKUP(I1117,Categories!A:B,2,FALSE)</f>
        <v>อื่นๆ</v>
      </c>
      <c r="K1117" t="s">
        <v>123</v>
      </c>
      <c r="L1117" s="10" t="str">
        <f>VLOOKUP(K1117,Accounts!A:B,2,FALSE)</f>
        <v>KBank</v>
      </c>
      <c r="M1117" t="s">
        <v>131</v>
      </c>
      <c r="N1117" s="10" t="str">
        <f>VLOOKUP(M1117,Accounts!A:B,2,FALSE)</f>
        <v xml:space="preserve">Advance Paid</v>
      </c>
      <c r="O1117" t="s">
        <v>2363</v>
      </c>
      <c r="Q1117" t="s">
        <v>126</v>
      </c>
      <c r="R1117" t="s">
        <v>124</v>
      </c>
      <c r="S1117" t="b">
        <v>0</v>
      </c>
      <c r="T1117" t="s">
        <v>124</v>
      </c>
    </row>
    <row r="1118">
      <c r="A1118" t="s">
        <v>2364</v>
      </c>
      <c r="B1118" t="s">
        <v>2365</v>
      </c>
      <c r="C1118" s="2">
        <v>2023</v>
      </c>
      <c r="D1118" s="10">
        <v>11</v>
      </c>
      <c r="E1118" s="10">
        <v>9</v>
      </c>
      <c r="F1118" t="s">
        <v>1714</v>
      </c>
      <c r="G1118">
        <v>1000</v>
      </c>
      <c r="H1118" t="s">
        <v>128</v>
      </c>
      <c r="I1118" t="s">
        <v>136</v>
      </c>
      <c r="J1118" s="10" t="str">
        <f>VLOOKUP(I1118,Categories!A:B,2,FALSE)</f>
        <v>อื่นๆ</v>
      </c>
      <c r="K1118" t="s">
        <v>178</v>
      </c>
      <c r="L1118" s="10" t="str">
        <f>VLOOKUP(K1118,Accounts!A:B,2,FALSE)</f>
        <v>SCB</v>
      </c>
      <c r="M1118" t="s">
        <v>425</v>
      </c>
      <c r="N1118" s="10" t="str">
        <f>VLOOKUP(M1118,Accounts!A:B,2,FALSE)</f>
        <v>Cash</v>
      </c>
      <c r="O1118" t="s">
        <v>125</v>
      </c>
      <c r="Q1118" t="s">
        <v>126</v>
      </c>
      <c r="R1118" t="s">
        <v>124</v>
      </c>
      <c r="S1118" t="b">
        <v>0</v>
      </c>
      <c r="T1118" t="s">
        <v>124</v>
      </c>
    </row>
    <row r="1119">
      <c r="A1119" t="s">
        <v>2366</v>
      </c>
      <c r="B1119" t="s">
        <v>2365</v>
      </c>
      <c r="C1119" s="2">
        <v>2023</v>
      </c>
      <c r="D1119" s="10">
        <v>11</v>
      </c>
      <c r="E1119" s="10">
        <v>9</v>
      </c>
      <c r="F1119" t="s">
        <v>2267</v>
      </c>
      <c r="G1119">
        <v>400</v>
      </c>
      <c r="H1119" t="s">
        <v>128</v>
      </c>
      <c r="I1119" t="s">
        <v>136</v>
      </c>
      <c r="J1119" s="10" t="str">
        <f>VLOOKUP(I1119,Categories!A:B,2,FALSE)</f>
        <v>อื่นๆ</v>
      </c>
      <c r="K1119" t="s">
        <v>213</v>
      </c>
      <c r="L1119" s="10" t="str">
        <f>VLOOKUP(K1119,Accounts!A:B,2,FALSE)</f>
        <v xml:space="preserve">Krungthai Next</v>
      </c>
      <c r="M1119" t="s">
        <v>425</v>
      </c>
      <c r="N1119" s="10" t="str">
        <f>VLOOKUP(M1119,Accounts!A:B,2,FALSE)</f>
        <v>Cash</v>
      </c>
      <c r="O1119" t="s">
        <v>125</v>
      </c>
      <c r="Q1119" t="s">
        <v>126</v>
      </c>
      <c r="R1119" t="s">
        <v>124</v>
      </c>
      <c r="S1119" t="b">
        <v>0</v>
      </c>
      <c r="T1119" t="s">
        <v>124</v>
      </c>
    </row>
    <row r="1120">
      <c r="A1120" t="s">
        <v>2367</v>
      </c>
      <c r="B1120" t="s">
        <v>2368</v>
      </c>
      <c r="C1120" s="2">
        <v>2023</v>
      </c>
      <c r="D1120" s="10">
        <v>11</v>
      </c>
      <c r="E1120" s="10">
        <v>8</v>
      </c>
      <c r="F1120" t="s">
        <v>2369</v>
      </c>
      <c r="G1120">
        <v>900</v>
      </c>
      <c r="H1120" t="s">
        <v>69</v>
      </c>
      <c r="I1120" t="s">
        <v>259</v>
      </c>
      <c r="J1120" s="10" t="str">
        <f>VLOOKUP(I1120,Categories!A:B,2,FALSE)</f>
        <v xml:space="preserve">Team BOT</v>
      </c>
      <c r="K1120" t="s">
        <v>123</v>
      </c>
      <c r="L1120" s="10" t="str">
        <f>VLOOKUP(K1120,Accounts!A:B,2,FALSE)</f>
        <v>KBank</v>
      </c>
      <c r="M1120" t="s">
        <v>124</v>
      </c>
      <c r="N1120" s="10"/>
      <c r="O1120" t="s">
        <v>125</v>
      </c>
      <c r="Q1120" t="s">
        <v>126</v>
      </c>
      <c r="R1120" t="s">
        <v>124</v>
      </c>
      <c r="S1120" t="b">
        <v>0</v>
      </c>
      <c r="T1120" t="s">
        <v>124</v>
      </c>
    </row>
    <row r="1121">
      <c r="A1121" t="s">
        <v>2370</v>
      </c>
      <c r="B1121" t="s">
        <v>2371</v>
      </c>
      <c r="C1121" s="2">
        <v>2023</v>
      </c>
      <c r="D1121" s="10">
        <v>11</v>
      </c>
      <c r="E1121" s="10">
        <v>5</v>
      </c>
      <c r="F1121" t="s">
        <v>1718</v>
      </c>
      <c r="G1121">
        <v>35718.580000000002</v>
      </c>
      <c r="H1121" t="s">
        <v>69</v>
      </c>
      <c r="I1121" t="s">
        <v>254</v>
      </c>
      <c r="J1121" s="10" t="str">
        <f>VLOOKUP(I1121,Categories!A:B,2,FALSE)</f>
        <v xml:space="preserve">Modified Bal.</v>
      </c>
      <c r="K1121" t="s">
        <v>2317</v>
      </c>
      <c r="L1121" s="10" t="str">
        <f>VLOOKUP(K1121,Accounts!A:B,2,FALSE)</f>
        <v xml:space="preserve">Marriage account</v>
      </c>
      <c r="M1121" t="s">
        <v>124</v>
      </c>
      <c r="N1121" s="10"/>
      <c r="O1121" t="s">
        <v>255</v>
      </c>
      <c r="Q1121" t="s">
        <v>126</v>
      </c>
      <c r="R1121" t="s">
        <v>124</v>
      </c>
      <c r="S1121" t="b">
        <v>0</v>
      </c>
      <c r="T1121" t="s">
        <v>124</v>
      </c>
    </row>
    <row r="1122">
      <c r="A1122" t="s">
        <v>2372</v>
      </c>
      <c r="B1122" t="s">
        <v>2371</v>
      </c>
      <c r="C1122" s="2">
        <v>2023</v>
      </c>
      <c r="D1122" s="10">
        <v>11</v>
      </c>
      <c r="E1122" s="10">
        <v>5</v>
      </c>
      <c r="F1122" t="s">
        <v>1594</v>
      </c>
      <c r="G1122">
        <v>3500</v>
      </c>
      <c r="H1122" t="s">
        <v>128</v>
      </c>
      <c r="I1122" t="s">
        <v>136</v>
      </c>
      <c r="J1122" s="10" t="str">
        <f>VLOOKUP(I1122,Categories!A:B,2,FALSE)</f>
        <v>อื่นๆ</v>
      </c>
      <c r="K1122" t="s">
        <v>130</v>
      </c>
      <c r="L1122" s="10" t="str">
        <f>VLOOKUP(K1122,Accounts!A:B,2,FALSE)</f>
        <v xml:space="preserve">KTC JCB</v>
      </c>
      <c r="M1122" t="s">
        <v>131</v>
      </c>
      <c r="N1122" s="10" t="str">
        <f>VLOOKUP(M1122,Accounts!A:B,2,FALSE)</f>
        <v xml:space="preserve">Advance Paid</v>
      </c>
      <c r="O1122" t="s">
        <v>2373</v>
      </c>
      <c r="Q1122" t="s">
        <v>126</v>
      </c>
      <c r="R1122" t="s">
        <v>124</v>
      </c>
      <c r="S1122" t="b">
        <v>0</v>
      </c>
      <c r="T1122" t="s">
        <v>124</v>
      </c>
    </row>
    <row r="1123">
      <c r="A1123" t="s">
        <v>2374</v>
      </c>
      <c r="B1123" t="s">
        <v>2371</v>
      </c>
      <c r="C1123" s="2">
        <v>2023</v>
      </c>
      <c r="D1123" s="10">
        <v>11</v>
      </c>
      <c r="E1123" s="10">
        <v>5</v>
      </c>
      <c r="F1123" t="s">
        <v>2375</v>
      </c>
      <c r="G1123">
        <v>1492</v>
      </c>
      <c r="H1123" t="s">
        <v>128</v>
      </c>
      <c r="I1123" t="s">
        <v>136</v>
      </c>
      <c r="J1123" s="10" t="str">
        <f>VLOOKUP(I1123,Categories!A:B,2,FALSE)</f>
        <v>อื่นๆ</v>
      </c>
      <c r="K1123" t="s">
        <v>178</v>
      </c>
      <c r="L1123" s="10" t="str">
        <f>VLOOKUP(K1123,Accounts!A:B,2,FALSE)</f>
        <v>SCB</v>
      </c>
      <c r="M1123" t="s">
        <v>131</v>
      </c>
      <c r="N1123" s="10" t="str">
        <f>VLOOKUP(M1123,Accounts!A:B,2,FALSE)</f>
        <v xml:space="preserve">Advance Paid</v>
      </c>
      <c r="O1123" t="s">
        <v>2376</v>
      </c>
      <c r="Q1123" t="s">
        <v>126</v>
      </c>
      <c r="R1123" t="s">
        <v>124</v>
      </c>
      <c r="S1123" t="b">
        <v>0</v>
      </c>
      <c r="T1123" t="s">
        <v>124</v>
      </c>
    </row>
    <row r="1124">
      <c r="A1124" t="s">
        <v>2377</v>
      </c>
      <c r="B1124" t="s">
        <v>2371</v>
      </c>
      <c r="C1124" s="2">
        <v>2023</v>
      </c>
      <c r="D1124" s="10">
        <v>11</v>
      </c>
      <c r="E1124" s="10">
        <v>5</v>
      </c>
      <c r="F1124" t="s">
        <v>1376</v>
      </c>
      <c r="G1124">
        <v>419</v>
      </c>
      <c r="H1124" t="s">
        <v>69</v>
      </c>
      <c r="I1124" t="s">
        <v>1903</v>
      </c>
      <c r="J1124" s="10" t="str">
        <f>VLOOKUP(I1124,Categories!A:B,2,FALSE)</f>
        <v xml:space="preserve">Monthly subscription</v>
      </c>
      <c r="K1124" t="s">
        <v>178</v>
      </c>
      <c r="L1124" s="10" t="str">
        <f>VLOOKUP(K1124,Accounts!A:B,2,FALSE)</f>
        <v>SCB</v>
      </c>
      <c r="M1124" t="s">
        <v>124</v>
      </c>
      <c r="N1124" s="10"/>
      <c r="O1124" t="s">
        <v>125</v>
      </c>
      <c r="Q1124" t="s">
        <v>126</v>
      </c>
      <c r="R1124" t="s">
        <v>124</v>
      </c>
      <c r="S1124" t="b">
        <v>0</v>
      </c>
      <c r="T1124" t="s">
        <v>124</v>
      </c>
    </row>
    <row r="1125">
      <c r="A1125" t="s">
        <v>2378</v>
      </c>
      <c r="B1125" t="s">
        <v>2371</v>
      </c>
      <c r="C1125" s="2">
        <v>2023</v>
      </c>
      <c r="D1125" s="10">
        <v>11</v>
      </c>
      <c r="E1125" s="10">
        <v>5</v>
      </c>
      <c r="F1125" t="s">
        <v>1376</v>
      </c>
      <c r="G1125">
        <v>2190</v>
      </c>
      <c r="H1125" t="s">
        <v>69</v>
      </c>
      <c r="I1125" t="s">
        <v>144</v>
      </c>
      <c r="J1125" s="10" t="str">
        <f>VLOOKUP(I1125,Categories!A:B,2,FALSE)</f>
        <v xml:space="preserve">Family paid</v>
      </c>
      <c r="K1125" t="s">
        <v>178</v>
      </c>
      <c r="L1125" s="10" t="str">
        <f>VLOOKUP(K1125,Accounts!A:B,2,FALSE)</f>
        <v>SCB</v>
      </c>
      <c r="M1125" t="s">
        <v>124</v>
      </c>
      <c r="N1125" s="10"/>
      <c r="O1125" t="s">
        <v>2379</v>
      </c>
      <c r="Q1125" t="s">
        <v>126</v>
      </c>
      <c r="R1125" t="s">
        <v>124</v>
      </c>
      <c r="S1125" t="b">
        <v>0</v>
      </c>
      <c r="T1125" t="s">
        <v>124</v>
      </c>
    </row>
    <row r="1126">
      <c r="A1126" t="s">
        <v>2380</v>
      </c>
      <c r="B1126" t="s">
        <v>2371</v>
      </c>
      <c r="C1126" s="2">
        <v>2023</v>
      </c>
      <c r="D1126" s="10">
        <v>11</v>
      </c>
      <c r="E1126" s="10">
        <v>5</v>
      </c>
      <c r="F1126" t="s">
        <v>2195</v>
      </c>
      <c r="G1126">
        <v>368.93000000000001</v>
      </c>
      <c r="H1126" t="s">
        <v>69</v>
      </c>
      <c r="I1126" t="s">
        <v>144</v>
      </c>
      <c r="J1126" s="10" t="str">
        <f>VLOOKUP(I1126,Categories!A:B,2,FALSE)</f>
        <v xml:space="preserve">Family paid</v>
      </c>
      <c r="K1126" t="s">
        <v>178</v>
      </c>
      <c r="L1126" s="10" t="str">
        <f>VLOOKUP(K1126,Accounts!A:B,2,FALSE)</f>
        <v>SCB</v>
      </c>
      <c r="M1126" t="s">
        <v>124</v>
      </c>
      <c r="N1126" s="10"/>
      <c r="O1126" t="s">
        <v>1453</v>
      </c>
      <c r="Q1126" t="s">
        <v>126</v>
      </c>
      <c r="R1126" t="s">
        <v>124</v>
      </c>
      <c r="S1126" t="b">
        <v>0</v>
      </c>
      <c r="T1126" t="s">
        <v>124</v>
      </c>
    </row>
    <row r="1127">
      <c r="A1127" t="s">
        <v>2381</v>
      </c>
      <c r="B1127" t="s">
        <v>2371</v>
      </c>
      <c r="C1127" s="2">
        <v>2023</v>
      </c>
      <c r="D1127" s="10">
        <v>11</v>
      </c>
      <c r="E1127" s="10">
        <v>5</v>
      </c>
      <c r="F1127" t="s">
        <v>1438</v>
      </c>
      <c r="G1127">
        <v>5500</v>
      </c>
      <c r="H1127" t="s">
        <v>69</v>
      </c>
      <c r="I1127" t="s">
        <v>144</v>
      </c>
      <c r="J1127" s="10" t="str">
        <f>VLOOKUP(I1127,Categories!A:B,2,FALSE)</f>
        <v xml:space="preserve">Family paid</v>
      </c>
      <c r="K1127" t="s">
        <v>425</v>
      </c>
      <c r="L1127" s="10" t="str">
        <f>VLOOKUP(K1127,Accounts!A:B,2,FALSE)</f>
        <v>Cash</v>
      </c>
      <c r="M1127" t="s">
        <v>124</v>
      </c>
      <c r="N1127" s="10"/>
      <c r="O1127" t="s">
        <v>125</v>
      </c>
      <c r="Q1127" t="s">
        <v>126</v>
      </c>
      <c r="R1127" t="s">
        <v>124</v>
      </c>
      <c r="S1127" t="b">
        <v>0</v>
      </c>
      <c r="T1127" t="s">
        <v>124</v>
      </c>
    </row>
    <row r="1128">
      <c r="A1128" t="s">
        <v>2382</v>
      </c>
      <c r="B1128" t="s">
        <v>2383</v>
      </c>
      <c r="C1128" s="2">
        <v>2023</v>
      </c>
      <c r="D1128" s="10">
        <v>11</v>
      </c>
      <c r="E1128" s="10">
        <v>4</v>
      </c>
      <c r="F1128" t="s">
        <v>2384</v>
      </c>
      <c r="G1128">
        <v>5547</v>
      </c>
      <c r="H1128" t="s">
        <v>128</v>
      </c>
      <c r="I1128" t="s">
        <v>136</v>
      </c>
      <c r="J1128" s="10" t="str">
        <f>VLOOKUP(I1128,Categories!A:B,2,FALSE)</f>
        <v>อื่นๆ</v>
      </c>
      <c r="K1128" t="s">
        <v>123</v>
      </c>
      <c r="L1128" s="10" t="str">
        <f>VLOOKUP(K1128,Accounts!A:B,2,FALSE)</f>
        <v>KBank</v>
      </c>
      <c r="M1128" t="s">
        <v>1760</v>
      </c>
      <c r="N1128" s="10" t="str">
        <f>VLOOKUP(M1128,Accounts!A:B,2,FALSE)</f>
        <v xml:space="preserve">Kbank shopee</v>
      </c>
      <c r="O1128" t="s">
        <v>125</v>
      </c>
      <c r="Q1128" t="s">
        <v>126</v>
      </c>
      <c r="R1128" t="s">
        <v>124</v>
      </c>
      <c r="S1128" t="b">
        <v>0</v>
      </c>
      <c r="T1128" t="s">
        <v>124</v>
      </c>
    </row>
    <row r="1129">
      <c r="A1129" t="s">
        <v>2385</v>
      </c>
      <c r="B1129" t="s">
        <v>2383</v>
      </c>
      <c r="C1129" s="2">
        <v>2023</v>
      </c>
      <c r="D1129" s="10">
        <v>11</v>
      </c>
      <c r="E1129" s="10">
        <v>4</v>
      </c>
      <c r="F1129" t="s">
        <v>1613</v>
      </c>
      <c r="G1129">
        <v>49000</v>
      </c>
      <c r="H1129" t="s">
        <v>128</v>
      </c>
      <c r="I1129" t="s">
        <v>136</v>
      </c>
      <c r="J1129" s="10" t="str">
        <f>VLOOKUP(I1129,Categories!A:B,2,FALSE)</f>
        <v>อื่นๆ</v>
      </c>
      <c r="K1129" t="s">
        <v>178</v>
      </c>
      <c r="L1129" s="10" t="str">
        <f>VLOOKUP(K1129,Accounts!A:B,2,FALSE)</f>
        <v>SCB</v>
      </c>
      <c r="M1129" t="s">
        <v>844</v>
      </c>
      <c r="N1129" s="10" t="str">
        <f>VLOOKUP(M1129,Accounts!A:B,2,FALSE)</f>
        <v>BBL</v>
      </c>
      <c r="O1129" t="s">
        <v>125</v>
      </c>
      <c r="Q1129" t="s">
        <v>126</v>
      </c>
      <c r="R1129" t="s">
        <v>124</v>
      </c>
      <c r="S1129" t="b">
        <v>0</v>
      </c>
      <c r="T1129" t="s">
        <v>124</v>
      </c>
    </row>
    <row r="1130">
      <c r="A1130" t="s">
        <v>2386</v>
      </c>
      <c r="B1130" t="s">
        <v>2383</v>
      </c>
      <c r="C1130" s="2">
        <v>2023</v>
      </c>
      <c r="D1130" s="10">
        <v>11</v>
      </c>
      <c r="E1130" s="10">
        <v>4</v>
      </c>
      <c r="F1130" t="s">
        <v>2387</v>
      </c>
      <c r="G1130">
        <v>7137</v>
      </c>
      <c r="H1130" t="s">
        <v>69</v>
      </c>
      <c r="I1130" t="s">
        <v>139</v>
      </c>
      <c r="J1130" s="10" t="str">
        <f>VLOOKUP(I1130,Categories!A:B,2,FALSE)</f>
        <v>Condo</v>
      </c>
      <c r="K1130" t="s">
        <v>178</v>
      </c>
      <c r="L1130" s="10" t="str">
        <f>VLOOKUP(K1130,Accounts!A:B,2,FALSE)</f>
        <v>SCB</v>
      </c>
      <c r="M1130" t="s">
        <v>124</v>
      </c>
      <c r="N1130" s="10"/>
      <c r="O1130" t="s">
        <v>125</v>
      </c>
      <c r="Q1130" t="s">
        <v>126</v>
      </c>
      <c r="R1130" t="s">
        <v>124</v>
      </c>
      <c r="S1130" t="b">
        <v>0</v>
      </c>
      <c r="T1130" t="s">
        <v>124</v>
      </c>
    </row>
    <row r="1131">
      <c r="A1131" t="s">
        <v>2388</v>
      </c>
      <c r="B1131" t="s">
        <v>2383</v>
      </c>
      <c r="C1131" s="2">
        <v>2023</v>
      </c>
      <c r="D1131" s="10">
        <v>11</v>
      </c>
      <c r="E1131" s="10">
        <v>4</v>
      </c>
      <c r="F1131" t="s">
        <v>2387</v>
      </c>
      <c r="G1131">
        <v>17000</v>
      </c>
      <c r="H1131" t="s">
        <v>128</v>
      </c>
      <c r="I1131" t="s">
        <v>136</v>
      </c>
      <c r="J1131" s="10" t="str">
        <f>VLOOKUP(I1131,Categories!A:B,2,FALSE)</f>
        <v>อื่นๆ</v>
      </c>
      <c r="K1131" t="s">
        <v>178</v>
      </c>
      <c r="L1131" s="10" t="str">
        <f>VLOOKUP(K1131,Accounts!A:B,2,FALSE)</f>
        <v>SCB</v>
      </c>
      <c r="M1131" t="s">
        <v>2317</v>
      </c>
      <c r="N1131" s="10" t="str">
        <f>VLOOKUP(M1131,Accounts!A:B,2,FALSE)</f>
        <v xml:space="preserve">Marriage account</v>
      </c>
      <c r="O1131" t="s">
        <v>125</v>
      </c>
      <c r="Q1131" t="s">
        <v>126</v>
      </c>
      <c r="R1131" t="s">
        <v>124</v>
      </c>
      <c r="S1131" t="b">
        <v>0</v>
      </c>
      <c r="T1131" t="s">
        <v>124</v>
      </c>
    </row>
    <row r="1132">
      <c r="A1132" t="s">
        <v>2389</v>
      </c>
      <c r="B1132" t="s">
        <v>2383</v>
      </c>
      <c r="C1132" s="2">
        <v>2023</v>
      </c>
      <c r="D1132" s="10">
        <v>11</v>
      </c>
      <c r="E1132" s="10">
        <v>4</v>
      </c>
      <c r="F1132" t="s">
        <v>2387</v>
      </c>
      <c r="G1132">
        <v>8247</v>
      </c>
      <c r="H1132" t="s">
        <v>69</v>
      </c>
      <c r="I1132" t="s">
        <v>157</v>
      </c>
      <c r="J1132" s="10" t="str">
        <f>VLOOKUP(I1132,Categories!A:B,2,FALSE)</f>
        <v>Boardgame</v>
      </c>
      <c r="K1132" t="s">
        <v>178</v>
      </c>
      <c r="L1132" s="10" t="str">
        <f>VLOOKUP(K1132,Accounts!A:B,2,FALSE)</f>
        <v>SCB</v>
      </c>
      <c r="M1132" t="s">
        <v>124</v>
      </c>
      <c r="N1132" s="10"/>
      <c r="O1132" t="s">
        <v>2390</v>
      </c>
      <c r="Q1132" t="s">
        <v>126</v>
      </c>
      <c r="R1132" t="s">
        <v>124</v>
      </c>
      <c r="S1132" t="b">
        <v>0</v>
      </c>
      <c r="T1132" t="s">
        <v>124</v>
      </c>
    </row>
    <row r="1133">
      <c r="A1133" t="s">
        <v>2391</v>
      </c>
      <c r="B1133" t="s">
        <v>2383</v>
      </c>
      <c r="C1133" s="2">
        <v>2023</v>
      </c>
      <c r="D1133" s="10">
        <v>11</v>
      </c>
      <c r="E1133" s="10">
        <v>4</v>
      </c>
      <c r="F1133" t="s">
        <v>876</v>
      </c>
      <c r="G1133">
        <v>20000</v>
      </c>
      <c r="H1133" t="s">
        <v>128</v>
      </c>
      <c r="I1133" t="s">
        <v>136</v>
      </c>
      <c r="J1133" s="10" t="str">
        <f>VLOOKUP(I1133,Categories!A:B,2,FALSE)</f>
        <v>อื่นๆ</v>
      </c>
      <c r="K1133" t="s">
        <v>178</v>
      </c>
      <c r="L1133" s="10" t="str">
        <f>VLOOKUP(K1133,Accounts!A:B,2,FALSE)</f>
        <v>SCB</v>
      </c>
      <c r="M1133" t="s">
        <v>123</v>
      </c>
      <c r="N1133" s="10" t="str">
        <f>VLOOKUP(M1133,Accounts!A:B,2,FALSE)</f>
        <v>KBank</v>
      </c>
      <c r="O1133" t="s">
        <v>125</v>
      </c>
      <c r="Q1133" t="s">
        <v>126</v>
      </c>
      <c r="R1133" t="s">
        <v>124</v>
      </c>
      <c r="S1133" t="b">
        <v>0</v>
      </c>
      <c r="T1133" t="s">
        <v>124</v>
      </c>
    </row>
    <row r="1134">
      <c r="A1134" t="s">
        <v>2392</v>
      </c>
      <c r="B1134" t="s">
        <v>2383</v>
      </c>
      <c r="C1134" s="2">
        <v>2023</v>
      </c>
      <c r="D1134" s="10">
        <v>11</v>
      </c>
      <c r="E1134" s="10">
        <v>4</v>
      </c>
      <c r="F1134" t="s">
        <v>876</v>
      </c>
      <c r="G1134">
        <v>5600</v>
      </c>
      <c r="H1134" t="s">
        <v>128</v>
      </c>
      <c r="I1134" t="s">
        <v>136</v>
      </c>
      <c r="J1134" s="10" t="str">
        <f>VLOOKUP(I1134,Categories!A:B,2,FALSE)</f>
        <v>อื่นๆ</v>
      </c>
      <c r="K1134" t="s">
        <v>123</v>
      </c>
      <c r="L1134" s="10" t="str">
        <f>VLOOKUP(K1134,Accounts!A:B,2,FALSE)</f>
        <v>KBank</v>
      </c>
      <c r="M1134" t="s">
        <v>425</v>
      </c>
      <c r="N1134" s="10" t="str">
        <f>VLOOKUP(M1134,Accounts!A:B,2,FALSE)</f>
        <v>Cash</v>
      </c>
      <c r="O1134" t="s">
        <v>125</v>
      </c>
      <c r="Q1134" t="s">
        <v>126</v>
      </c>
      <c r="R1134" t="s">
        <v>124</v>
      </c>
      <c r="S1134" t="b">
        <v>0</v>
      </c>
      <c r="T1134" t="s">
        <v>124</v>
      </c>
    </row>
    <row r="1135">
      <c r="A1135" t="s">
        <v>2393</v>
      </c>
      <c r="B1135" t="s">
        <v>2394</v>
      </c>
      <c r="C1135" s="2">
        <v>2023</v>
      </c>
      <c r="D1135" s="10">
        <v>11</v>
      </c>
      <c r="E1135" s="10">
        <v>3</v>
      </c>
      <c r="F1135" t="s">
        <v>1269</v>
      </c>
      <c r="G1135">
        <v>110</v>
      </c>
      <c r="H1135" t="s">
        <v>69</v>
      </c>
      <c r="I1135" t="s">
        <v>150</v>
      </c>
      <c r="J1135" s="10" t="str">
        <f>VLOOKUP(I1135,Categories!A:B,2,FALSE)</f>
        <v xml:space="preserve">Food &amp; Coff</v>
      </c>
      <c r="K1135" t="s">
        <v>123</v>
      </c>
      <c r="L1135" s="10" t="str">
        <f>VLOOKUP(K1135,Accounts!A:B,2,FALSE)</f>
        <v>KBank</v>
      </c>
      <c r="M1135" t="s">
        <v>124</v>
      </c>
      <c r="N1135" s="10"/>
      <c r="O1135" t="s">
        <v>125</v>
      </c>
      <c r="Q1135" t="s">
        <v>126</v>
      </c>
      <c r="R1135" t="s">
        <v>124</v>
      </c>
      <c r="S1135" t="b">
        <v>0</v>
      </c>
      <c r="T1135" t="s">
        <v>124</v>
      </c>
    </row>
    <row r="1136">
      <c r="A1136" t="s">
        <v>2395</v>
      </c>
      <c r="B1136" t="s">
        <v>2396</v>
      </c>
      <c r="C1136" s="2">
        <v>2023</v>
      </c>
      <c r="D1136" s="10">
        <v>11</v>
      </c>
      <c r="E1136" s="10">
        <v>1</v>
      </c>
      <c r="F1136" t="s">
        <v>1613</v>
      </c>
      <c r="G1136">
        <v>42520</v>
      </c>
      <c r="H1136" t="s">
        <v>69</v>
      </c>
      <c r="I1136" t="s">
        <v>144</v>
      </c>
      <c r="J1136" s="10" t="str">
        <f>VLOOKUP(I1136,Categories!A:B,2,FALSE)</f>
        <v xml:space="preserve">Family paid</v>
      </c>
      <c r="K1136" t="s">
        <v>178</v>
      </c>
      <c r="L1136" s="10" t="str">
        <f>VLOOKUP(K1136,Accounts!A:B,2,FALSE)</f>
        <v>SCB</v>
      </c>
      <c r="M1136" t="s">
        <v>124</v>
      </c>
      <c r="N1136" s="10"/>
      <c r="O1136" t="s">
        <v>2397</v>
      </c>
      <c r="Q1136" t="s">
        <v>126</v>
      </c>
      <c r="R1136" t="s">
        <v>124</v>
      </c>
      <c r="S1136" t="b">
        <v>0</v>
      </c>
      <c r="T1136" t="s">
        <v>124</v>
      </c>
    </row>
    <row r="1137">
      <c r="A1137" t="s">
        <v>2398</v>
      </c>
      <c r="B1137" t="s">
        <v>2399</v>
      </c>
      <c r="C1137" s="2">
        <v>2023</v>
      </c>
      <c r="D1137" s="10">
        <v>10</v>
      </c>
      <c r="E1137" s="10">
        <v>31</v>
      </c>
      <c r="F1137" t="s">
        <v>1259</v>
      </c>
      <c r="G1137">
        <v>4000</v>
      </c>
      <c r="H1137" t="s">
        <v>128</v>
      </c>
      <c r="I1137" t="s">
        <v>136</v>
      </c>
      <c r="J1137" s="10" t="str">
        <f>VLOOKUP(I1137,Categories!A:B,2,FALSE)</f>
        <v>อื่นๆ</v>
      </c>
      <c r="K1137" t="s">
        <v>123</v>
      </c>
      <c r="L1137" s="10" t="str">
        <f>VLOOKUP(K1137,Accounts!A:B,2,FALSE)</f>
        <v>KBank</v>
      </c>
      <c r="M1137" t="s">
        <v>130</v>
      </c>
      <c r="N1137" s="10" t="str">
        <f>VLOOKUP(M1137,Accounts!A:B,2,FALSE)</f>
        <v xml:space="preserve">KTC JCB</v>
      </c>
      <c r="O1137" t="s">
        <v>125</v>
      </c>
      <c r="Q1137" t="s">
        <v>126</v>
      </c>
      <c r="R1137" t="s">
        <v>124</v>
      </c>
      <c r="S1137" t="b">
        <v>0</v>
      </c>
      <c r="T1137" t="s">
        <v>124</v>
      </c>
    </row>
    <row r="1138">
      <c r="A1138" t="s">
        <v>2400</v>
      </c>
      <c r="B1138" t="s">
        <v>2399</v>
      </c>
      <c r="C1138" s="2">
        <v>2023</v>
      </c>
      <c r="D1138" s="10">
        <v>10</v>
      </c>
      <c r="E1138" s="10">
        <v>31</v>
      </c>
      <c r="F1138" t="s">
        <v>1585</v>
      </c>
      <c r="G1138">
        <v>4674.5</v>
      </c>
      <c r="H1138" t="s">
        <v>69</v>
      </c>
      <c r="I1138" t="s">
        <v>150</v>
      </c>
      <c r="J1138" s="10" t="str">
        <f>VLOOKUP(I1138,Categories!A:B,2,FALSE)</f>
        <v xml:space="preserve">Food &amp; Coff</v>
      </c>
      <c r="K1138" t="s">
        <v>137</v>
      </c>
      <c r="L1138" s="10" t="str">
        <f>VLOOKUP(K1138,Accounts!A:B,2,FALSE)</f>
        <v xml:space="preserve">Make Kbank</v>
      </c>
      <c r="M1138" t="s">
        <v>124</v>
      </c>
      <c r="N1138" s="10"/>
      <c r="O1138" t="s">
        <v>125</v>
      </c>
      <c r="Q1138" t="s">
        <v>126</v>
      </c>
      <c r="R1138" t="s">
        <v>124</v>
      </c>
      <c r="S1138" t="b">
        <v>0</v>
      </c>
      <c r="T1138" t="s">
        <v>124</v>
      </c>
    </row>
    <row r="1139">
      <c r="A1139" t="s">
        <v>2401</v>
      </c>
      <c r="B1139" t="s">
        <v>2402</v>
      </c>
      <c r="C1139" s="2">
        <v>2023</v>
      </c>
      <c r="D1139" s="10">
        <v>10</v>
      </c>
      <c r="E1139" s="10">
        <v>30</v>
      </c>
      <c r="F1139" t="s">
        <v>2403</v>
      </c>
      <c r="G1139">
        <v>362</v>
      </c>
      <c r="H1139" t="s">
        <v>128</v>
      </c>
      <c r="I1139" t="s">
        <v>136</v>
      </c>
      <c r="J1139" s="10" t="str">
        <f>VLOOKUP(I1139,Categories!A:B,2,FALSE)</f>
        <v>อื่นๆ</v>
      </c>
      <c r="K1139" t="s">
        <v>131</v>
      </c>
      <c r="L1139" s="10" t="str">
        <f>VLOOKUP(K1139,Accounts!A:B,2,FALSE)</f>
        <v xml:space="preserve">Advance Paid</v>
      </c>
      <c r="M1139" t="s">
        <v>178</v>
      </c>
      <c r="N1139" s="10" t="str">
        <f>VLOOKUP(M1139,Accounts!A:B,2,FALSE)</f>
        <v>SCB</v>
      </c>
      <c r="O1139" t="s">
        <v>2404</v>
      </c>
      <c r="Q1139" t="s">
        <v>126</v>
      </c>
      <c r="R1139" t="s">
        <v>124</v>
      </c>
      <c r="S1139" t="b">
        <v>0</v>
      </c>
      <c r="T1139" t="s">
        <v>124</v>
      </c>
    </row>
    <row r="1140">
      <c r="A1140" t="s">
        <v>2405</v>
      </c>
      <c r="B1140" t="s">
        <v>2406</v>
      </c>
      <c r="C1140" s="2">
        <v>2023</v>
      </c>
      <c r="D1140" s="10">
        <v>10</v>
      </c>
      <c r="E1140" s="10">
        <v>29</v>
      </c>
      <c r="F1140" t="s">
        <v>1259</v>
      </c>
      <c r="G1140">
        <v>576</v>
      </c>
      <c r="H1140" t="s">
        <v>69</v>
      </c>
      <c r="I1140" t="s">
        <v>150</v>
      </c>
      <c r="J1140" s="10" t="str">
        <f>VLOOKUP(I1140,Categories!A:B,2,FALSE)</f>
        <v xml:space="preserve">Food &amp; Coff</v>
      </c>
      <c r="K1140" t="s">
        <v>123</v>
      </c>
      <c r="L1140" s="10" t="str">
        <f>VLOOKUP(K1140,Accounts!A:B,2,FALSE)</f>
        <v>KBank</v>
      </c>
      <c r="M1140" t="s">
        <v>124</v>
      </c>
      <c r="N1140" s="10"/>
      <c r="O1140" t="s">
        <v>125</v>
      </c>
      <c r="Q1140" t="s">
        <v>126</v>
      </c>
      <c r="R1140" t="s">
        <v>124</v>
      </c>
      <c r="S1140" t="b">
        <v>0</v>
      </c>
      <c r="T1140" t="s">
        <v>124</v>
      </c>
    </row>
    <row r="1141">
      <c r="A1141" t="s">
        <v>2407</v>
      </c>
      <c r="B1141" t="s">
        <v>42</v>
      </c>
      <c r="C1141" s="2">
        <v>2023</v>
      </c>
      <c r="D1141" s="10">
        <v>10</v>
      </c>
      <c r="E1141" s="10">
        <v>25</v>
      </c>
      <c r="F1141" t="s">
        <v>121</v>
      </c>
      <c r="G1141">
        <v>403</v>
      </c>
      <c r="H1141" t="s">
        <v>69</v>
      </c>
      <c r="I1141" t="s">
        <v>443</v>
      </c>
      <c r="J1141" s="10" t="str">
        <f>VLOOKUP(I1141,Categories!A:B,2,FALSE)</f>
        <v xml:space="preserve">City SV Interest</v>
      </c>
      <c r="K1141" t="s">
        <v>178</v>
      </c>
      <c r="L1141" s="10" t="str">
        <f>VLOOKUP(K1141,Accounts!A:B,2,FALSE)</f>
        <v>SCB</v>
      </c>
      <c r="M1141" t="s">
        <v>124</v>
      </c>
      <c r="N1141" s="10"/>
      <c r="O1141" t="s">
        <v>125</v>
      </c>
      <c r="Q1141" t="s">
        <v>126</v>
      </c>
      <c r="R1141" t="s">
        <v>124</v>
      </c>
      <c r="S1141" t="b">
        <v>0</v>
      </c>
      <c r="T1141" t="s">
        <v>124</v>
      </c>
    </row>
    <row r="1142">
      <c r="A1142" t="s">
        <v>2408</v>
      </c>
      <c r="B1142" t="s">
        <v>42</v>
      </c>
      <c r="C1142" s="2">
        <v>2023</v>
      </c>
      <c r="D1142" s="10">
        <v>10</v>
      </c>
      <c r="E1142" s="10">
        <v>25</v>
      </c>
      <c r="F1142" t="s">
        <v>121</v>
      </c>
      <c r="G1142">
        <v>3111.79</v>
      </c>
      <c r="H1142" t="s">
        <v>69</v>
      </c>
      <c r="I1142" t="s">
        <v>199</v>
      </c>
      <c r="J1142" s="10" t="str">
        <f>VLOOKUP(I1142,Categories!A:B,2,FALSE)</f>
        <v xml:space="preserve">Home Chomthong Interest</v>
      </c>
      <c r="K1142" t="s">
        <v>178</v>
      </c>
      <c r="L1142" s="10" t="str">
        <f>VLOOKUP(K1142,Accounts!A:B,2,FALSE)</f>
        <v>SCB</v>
      </c>
      <c r="M1142" t="s">
        <v>124</v>
      </c>
      <c r="N1142" s="10"/>
      <c r="O1142" t="s">
        <v>125</v>
      </c>
      <c r="Q1142" t="s">
        <v>126</v>
      </c>
      <c r="R1142" t="s">
        <v>124</v>
      </c>
      <c r="S1142" t="b">
        <v>0</v>
      </c>
      <c r="T1142" t="s">
        <v>124</v>
      </c>
    </row>
    <row r="1143">
      <c r="A1143" t="s">
        <v>2409</v>
      </c>
      <c r="B1143" t="s">
        <v>42</v>
      </c>
      <c r="C1143" s="2">
        <v>2023</v>
      </c>
      <c r="D1143" s="10">
        <v>10</v>
      </c>
      <c r="E1143" s="10">
        <v>25</v>
      </c>
      <c r="F1143" t="s">
        <v>121</v>
      </c>
      <c r="G1143">
        <v>8540</v>
      </c>
      <c r="H1143" t="s">
        <v>128</v>
      </c>
      <c r="I1143" t="s">
        <v>136</v>
      </c>
      <c r="J1143" s="10" t="str">
        <f>VLOOKUP(I1143,Categories!A:B,2,FALSE)</f>
        <v>อื่นๆ</v>
      </c>
      <c r="K1143" t="s">
        <v>178</v>
      </c>
      <c r="L1143" s="10" t="str">
        <f>VLOOKUP(K1143,Accounts!A:B,2,FALSE)</f>
        <v>SCB</v>
      </c>
      <c r="M1143" t="s">
        <v>1244</v>
      </c>
      <c r="N1143" s="10" t="str">
        <f>VLOOKUP(M1143,Accounts!A:B,2,FALSE)</f>
        <v xml:space="preserve">Home chomthong Loan</v>
      </c>
      <c r="O1143" t="s">
        <v>125</v>
      </c>
      <c r="Q1143" t="s">
        <v>126</v>
      </c>
      <c r="R1143" t="s">
        <v>124</v>
      </c>
      <c r="S1143" t="b">
        <v>0</v>
      </c>
      <c r="T1143" t="s">
        <v>124</v>
      </c>
    </row>
    <row r="1144">
      <c r="A1144" t="s">
        <v>2410</v>
      </c>
      <c r="B1144" t="s">
        <v>42</v>
      </c>
      <c r="C1144" s="2">
        <v>2023</v>
      </c>
      <c r="D1144" s="10">
        <v>10</v>
      </c>
      <c r="E1144" s="10">
        <v>25</v>
      </c>
      <c r="F1144" t="s">
        <v>121</v>
      </c>
      <c r="G1144">
        <v>9240</v>
      </c>
      <c r="H1144" t="s">
        <v>128</v>
      </c>
      <c r="I1144" t="s">
        <v>136</v>
      </c>
      <c r="J1144" s="10" t="str">
        <f>VLOOKUP(I1144,Categories!A:B,2,FALSE)</f>
        <v>อื่นๆ</v>
      </c>
      <c r="K1144" t="s">
        <v>178</v>
      </c>
      <c r="L1144" s="10" t="str">
        <f>VLOOKUP(K1144,Accounts!A:B,2,FALSE)</f>
        <v>SCB</v>
      </c>
      <c r="M1144" t="s">
        <v>1246</v>
      </c>
      <c r="N1144" s="10" t="str">
        <f>VLOOKUP(M1144,Accounts!A:B,2,FALSE)</f>
        <v xml:space="preserve">Car Loan</v>
      </c>
      <c r="O1144" t="s">
        <v>125</v>
      </c>
      <c r="Q1144" t="s">
        <v>126</v>
      </c>
      <c r="R1144" t="s">
        <v>124</v>
      </c>
      <c r="S1144" t="b">
        <v>0</v>
      </c>
      <c r="T1144" t="s">
        <v>124</v>
      </c>
    </row>
    <row r="1145">
      <c r="A1145" t="s">
        <v>2411</v>
      </c>
      <c r="B1145" t="s">
        <v>42</v>
      </c>
      <c r="C1145" s="2">
        <v>2023</v>
      </c>
      <c r="D1145" s="10">
        <v>10</v>
      </c>
      <c r="E1145" s="10">
        <v>25</v>
      </c>
      <c r="F1145" t="s">
        <v>121</v>
      </c>
      <c r="G1145">
        <v>500</v>
      </c>
      <c r="H1145" t="s">
        <v>128</v>
      </c>
      <c r="I1145" t="s">
        <v>136</v>
      </c>
      <c r="J1145" s="10" t="str">
        <f>VLOOKUP(I1145,Categories!A:B,2,FALSE)</f>
        <v>อื่นๆ</v>
      </c>
      <c r="K1145" t="s">
        <v>178</v>
      </c>
      <c r="L1145" s="10" t="str">
        <f>VLOOKUP(K1145,Accounts!A:B,2,FALSE)</f>
        <v>SCB</v>
      </c>
      <c r="M1145" t="s">
        <v>201</v>
      </c>
      <c r="N1145" s="10" t="str">
        <f>VLOOKUP(M1145,Accounts!A:B,2,FALSE)</f>
        <v>Coop</v>
      </c>
      <c r="O1145" t="s">
        <v>125</v>
      </c>
      <c r="Q1145" t="s">
        <v>126</v>
      </c>
      <c r="R1145" t="s">
        <v>124</v>
      </c>
      <c r="S1145" t="b">
        <v>0</v>
      </c>
      <c r="T1145" t="s">
        <v>124</v>
      </c>
    </row>
    <row r="1146">
      <c r="A1146" t="s">
        <v>2412</v>
      </c>
      <c r="B1146" t="s">
        <v>42</v>
      </c>
      <c r="C1146" s="2">
        <v>2023</v>
      </c>
      <c r="D1146" s="10">
        <v>10</v>
      </c>
      <c r="E1146" s="10">
        <v>25</v>
      </c>
      <c r="F1146" t="s">
        <v>121</v>
      </c>
      <c r="G1146">
        <v>2242</v>
      </c>
      <c r="H1146" t="s">
        <v>128</v>
      </c>
      <c r="I1146" t="s">
        <v>136</v>
      </c>
      <c r="J1146" s="10" t="str">
        <f>VLOOKUP(I1146,Categories!A:B,2,FALSE)</f>
        <v>อื่นๆ</v>
      </c>
      <c r="K1146" t="s">
        <v>178</v>
      </c>
      <c r="L1146" s="10" t="str">
        <f>VLOOKUP(K1146,Accounts!A:B,2,FALSE)</f>
        <v>SCB</v>
      </c>
      <c r="M1146" t="s">
        <v>203</v>
      </c>
      <c r="N1146" s="10" t="str">
        <f>VLOOKUP(M1146,Accounts!A:B,2,FALSE)</f>
        <v xml:space="preserve">Provident Fund</v>
      </c>
      <c r="O1146" t="s">
        <v>125</v>
      </c>
      <c r="Q1146" t="s">
        <v>126</v>
      </c>
      <c r="R1146" t="s">
        <v>124</v>
      </c>
      <c r="S1146" t="b">
        <v>0</v>
      </c>
      <c r="T1146" t="s">
        <v>124</v>
      </c>
    </row>
    <row r="1147">
      <c r="A1147" t="s">
        <v>2413</v>
      </c>
      <c r="B1147" t="s">
        <v>42</v>
      </c>
      <c r="C1147" s="2">
        <v>2023</v>
      </c>
      <c r="D1147" s="10">
        <v>10</v>
      </c>
      <c r="E1147" s="10">
        <v>25</v>
      </c>
      <c r="F1147" t="s">
        <v>121</v>
      </c>
      <c r="G1147">
        <v>1027.03</v>
      </c>
      <c r="H1147" t="s">
        <v>69</v>
      </c>
      <c r="I1147" t="s">
        <v>195</v>
      </c>
      <c r="J1147" s="10" t="str">
        <f>VLOOKUP(I1147,Categories!A:B,2,FALSE)</f>
        <v>Tax</v>
      </c>
      <c r="K1147" t="s">
        <v>178</v>
      </c>
      <c r="L1147" s="10" t="str">
        <f>VLOOKUP(K1147,Accounts!A:B,2,FALSE)</f>
        <v>SCB</v>
      </c>
      <c r="M1147" t="s">
        <v>124</v>
      </c>
      <c r="N1147" s="10"/>
      <c r="O1147" t="s">
        <v>125</v>
      </c>
      <c r="Q1147" t="s">
        <v>126</v>
      </c>
      <c r="R1147" t="s">
        <v>124</v>
      </c>
      <c r="S1147" t="b">
        <v>0</v>
      </c>
      <c r="T1147" t="s">
        <v>124</v>
      </c>
    </row>
    <row r="1148">
      <c r="A1148" t="s">
        <v>2414</v>
      </c>
      <c r="B1148" t="s">
        <v>42</v>
      </c>
      <c r="C1148" s="2">
        <v>2023</v>
      </c>
      <c r="D1148" s="10">
        <v>10</v>
      </c>
      <c r="E1148" s="10">
        <v>25</v>
      </c>
      <c r="F1148" t="s">
        <v>121</v>
      </c>
      <c r="G1148">
        <v>112100</v>
      </c>
      <c r="H1148" t="s">
        <v>206</v>
      </c>
      <c r="I1148" t="s">
        <v>207</v>
      </c>
      <c r="J1148" s="10" t="str">
        <f>VLOOKUP(I1148,Categories!A:B,2,FALSE)</f>
        <v>Salary</v>
      </c>
      <c r="K1148" t="s">
        <v>178</v>
      </c>
      <c r="L1148" s="10" t="str">
        <f>VLOOKUP(K1148,Accounts!A:B,2,FALSE)</f>
        <v>SCB</v>
      </c>
      <c r="M1148" t="s">
        <v>124</v>
      </c>
      <c r="N1148" s="10"/>
      <c r="O1148" t="s">
        <v>125</v>
      </c>
      <c r="Q1148" t="s">
        <v>126</v>
      </c>
      <c r="R1148" t="s">
        <v>124</v>
      </c>
      <c r="S1148" t="b">
        <v>0</v>
      </c>
      <c r="T1148" t="s">
        <v>124</v>
      </c>
    </row>
    <row r="1149">
      <c r="A1149" t="s">
        <v>2415</v>
      </c>
      <c r="B1149" t="s">
        <v>42</v>
      </c>
      <c r="C1149" s="2">
        <v>2023</v>
      </c>
      <c r="D1149" s="10">
        <v>10</v>
      </c>
      <c r="E1149" s="10">
        <v>25</v>
      </c>
      <c r="F1149" t="s">
        <v>121</v>
      </c>
      <c r="G1149">
        <v>2567.5</v>
      </c>
      <c r="H1149" t="s">
        <v>69</v>
      </c>
      <c r="I1149" t="s">
        <v>144</v>
      </c>
      <c r="J1149" s="10" t="str">
        <f>VLOOKUP(I1149,Categories!A:B,2,FALSE)</f>
        <v xml:space="preserve">Family paid</v>
      </c>
      <c r="K1149" t="s">
        <v>178</v>
      </c>
      <c r="L1149" s="10" t="str">
        <f>VLOOKUP(K1149,Accounts!A:B,2,FALSE)</f>
        <v>SCB</v>
      </c>
      <c r="M1149" t="s">
        <v>124</v>
      </c>
      <c r="N1149" s="10"/>
      <c r="O1149" t="s">
        <v>1413</v>
      </c>
      <c r="Q1149" t="s">
        <v>126</v>
      </c>
      <c r="R1149" t="s">
        <v>124</v>
      </c>
      <c r="S1149" t="b">
        <v>0</v>
      </c>
      <c r="T1149" t="s">
        <v>124</v>
      </c>
    </row>
    <row r="1150">
      <c r="A1150" t="s">
        <v>2416</v>
      </c>
      <c r="B1150" t="s">
        <v>42</v>
      </c>
      <c r="C1150" s="2">
        <v>2023</v>
      </c>
      <c r="D1150" s="10">
        <v>10</v>
      </c>
      <c r="E1150" s="10">
        <v>25</v>
      </c>
      <c r="F1150" t="s">
        <v>2417</v>
      </c>
      <c r="G1150">
        <v>100000</v>
      </c>
      <c r="H1150" t="s">
        <v>128</v>
      </c>
      <c r="I1150" t="s">
        <v>136</v>
      </c>
      <c r="J1150" s="10" t="str">
        <f>VLOOKUP(I1150,Categories!A:B,2,FALSE)</f>
        <v>อื่นๆ</v>
      </c>
      <c r="K1150" t="s">
        <v>844</v>
      </c>
      <c r="L1150" s="10" t="str">
        <f>VLOOKUP(K1150,Accounts!A:B,2,FALSE)</f>
        <v>BBL</v>
      </c>
      <c r="M1150" t="s">
        <v>215</v>
      </c>
      <c r="N1150" s="10" t="str">
        <f>VLOOKUP(M1150,Accounts!A:B,2,FALSE)</f>
        <v>Investment</v>
      </c>
      <c r="O1150" t="s">
        <v>125</v>
      </c>
      <c r="Q1150" t="s">
        <v>126</v>
      </c>
      <c r="R1150" t="s">
        <v>124</v>
      </c>
      <c r="S1150" t="b">
        <v>0</v>
      </c>
      <c r="T1150" t="s">
        <v>124</v>
      </c>
    </row>
    <row r="1151">
      <c r="A1151" t="s">
        <v>2418</v>
      </c>
      <c r="B1151" t="s">
        <v>2419</v>
      </c>
      <c r="C1151" s="2">
        <v>2023</v>
      </c>
      <c r="D1151" s="10">
        <v>10</v>
      </c>
      <c r="E1151" s="10">
        <v>24</v>
      </c>
      <c r="F1151" t="s">
        <v>620</v>
      </c>
      <c r="G1151">
        <v>950</v>
      </c>
      <c r="H1151" t="s">
        <v>69</v>
      </c>
      <c r="I1151" t="s">
        <v>157</v>
      </c>
      <c r="J1151" s="10" t="str">
        <f>VLOOKUP(I1151,Categories!A:B,2,FALSE)</f>
        <v>Boardgame</v>
      </c>
      <c r="K1151" t="s">
        <v>123</v>
      </c>
      <c r="L1151" s="10" t="str">
        <f>VLOOKUP(K1151,Accounts!A:B,2,FALSE)</f>
        <v>KBank</v>
      </c>
      <c r="M1151" t="s">
        <v>124</v>
      </c>
      <c r="N1151" s="10"/>
      <c r="O1151" t="s">
        <v>2420</v>
      </c>
      <c r="Q1151" t="s">
        <v>126</v>
      </c>
      <c r="R1151" t="s">
        <v>124</v>
      </c>
      <c r="S1151" t="b">
        <v>0</v>
      </c>
      <c r="T1151" t="s">
        <v>124</v>
      </c>
    </row>
    <row r="1152">
      <c r="A1152" t="s">
        <v>2421</v>
      </c>
      <c r="B1152" t="s">
        <v>2419</v>
      </c>
      <c r="C1152" s="2">
        <v>2023</v>
      </c>
      <c r="D1152" s="10">
        <v>10</v>
      </c>
      <c r="E1152" s="10">
        <v>24</v>
      </c>
      <c r="F1152" t="s">
        <v>2082</v>
      </c>
      <c r="G1152">
        <v>5776</v>
      </c>
      <c r="H1152" t="s">
        <v>128</v>
      </c>
      <c r="I1152" t="s">
        <v>136</v>
      </c>
      <c r="J1152" s="10" t="str">
        <f>VLOOKUP(I1152,Categories!A:B,2,FALSE)</f>
        <v>อื่นๆ</v>
      </c>
      <c r="K1152" t="s">
        <v>131</v>
      </c>
      <c r="L1152" s="10" t="str">
        <f>VLOOKUP(K1152,Accounts!A:B,2,FALSE)</f>
        <v xml:space="preserve">Advance Paid</v>
      </c>
      <c r="M1152" t="s">
        <v>178</v>
      </c>
      <c r="N1152" s="10" t="str">
        <f>VLOOKUP(M1152,Accounts!A:B,2,FALSE)</f>
        <v>SCB</v>
      </c>
      <c r="O1152" t="s">
        <v>2422</v>
      </c>
      <c r="Q1152" t="s">
        <v>126</v>
      </c>
      <c r="R1152" t="s">
        <v>124</v>
      </c>
      <c r="S1152" t="b">
        <v>0</v>
      </c>
      <c r="T1152" t="s">
        <v>124</v>
      </c>
    </row>
    <row r="1153">
      <c r="A1153" t="s">
        <v>2423</v>
      </c>
      <c r="B1153" t="s">
        <v>2419</v>
      </c>
      <c r="C1153" s="2">
        <v>2023</v>
      </c>
      <c r="D1153" s="10">
        <v>10</v>
      </c>
      <c r="E1153" s="10">
        <v>24</v>
      </c>
      <c r="F1153" t="s">
        <v>2082</v>
      </c>
      <c r="G1153">
        <v>300</v>
      </c>
      <c r="H1153" t="s">
        <v>128</v>
      </c>
      <c r="I1153" t="s">
        <v>136</v>
      </c>
      <c r="J1153" s="10" t="str">
        <f>VLOOKUP(I1153,Categories!A:B,2,FALSE)</f>
        <v>อื่นๆ</v>
      </c>
      <c r="K1153" t="s">
        <v>178</v>
      </c>
      <c r="L1153" s="10" t="str">
        <f>VLOOKUP(K1153,Accounts!A:B,2,FALSE)</f>
        <v>SCB</v>
      </c>
      <c r="M1153" t="s">
        <v>893</v>
      </c>
      <c r="N1153" s="10" t="str">
        <f>VLOOKUP(M1153,Accounts!A:B,2,FALSE)</f>
        <v>Shopee</v>
      </c>
      <c r="O1153" t="s">
        <v>125</v>
      </c>
      <c r="Q1153" t="s">
        <v>126</v>
      </c>
      <c r="R1153" t="s">
        <v>124</v>
      </c>
      <c r="S1153" t="b">
        <v>0</v>
      </c>
      <c r="T1153" t="s">
        <v>124</v>
      </c>
    </row>
    <row r="1154">
      <c r="A1154" t="s">
        <v>2424</v>
      </c>
      <c r="B1154" t="s">
        <v>2425</v>
      </c>
      <c r="C1154" s="2">
        <v>2023</v>
      </c>
      <c r="D1154" s="10">
        <v>10</v>
      </c>
      <c r="E1154" s="10">
        <v>21</v>
      </c>
      <c r="F1154" t="s">
        <v>2426</v>
      </c>
      <c r="G1154">
        <v>419</v>
      </c>
      <c r="H1154" t="s">
        <v>128</v>
      </c>
      <c r="I1154" t="s">
        <v>136</v>
      </c>
      <c r="J1154" s="10" t="str">
        <f>VLOOKUP(I1154,Categories!A:B,2,FALSE)</f>
        <v>อื่นๆ</v>
      </c>
      <c r="K1154" t="s">
        <v>178</v>
      </c>
      <c r="L1154" s="10" t="str">
        <f>VLOOKUP(K1154,Accounts!A:B,2,FALSE)</f>
        <v>SCB</v>
      </c>
      <c r="M1154" t="s">
        <v>747</v>
      </c>
      <c r="N1154" s="10" t="str">
        <f>VLOOKUP(M1154,Accounts!A:B,2,FALSE)</f>
        <v xml:space="preserve">UOB world</v>
      </c>
      <c r="O1154" t="s">
        <v>125</v>
      </c>
      <c r="Q1154" t="s">
        <v>126</v>
      </c>
      <c r="R1154" t="s">
        <v>124</v>
      </c>
      <c r="S1154" t="b">
        <v>0</v>
      </c>
      <c r="T1154" t="s">
        <v>124</v>
      </c>
    </row>
    <row r="1155">
      <c r="A1155" t="s">
        <v>2427</v>
      </c>
      <c r="B1155" t="s">
        <v>2425</v>
      </c>
      <c r="C1155" s="2">
        <v>2023</v>
      </c>
      <c r="D1155" s="10">
        <v>10</v>
      </c>
      <c r="E1155" s="10">
        <v>21</v>
      </c>
      <c r="F1155" t="s">
        <v>2100</v>
      </c>
      <c r="G1155">
        <v>26332</v>
      </c>
      <c r="H1155" t="s">
        <v>128</v>
      </c>
      <c r="I1155" t="s">
        <v>136</v>
      </c>
      <c r="J1155" s="10" t="str">
        <f>VLOOKUP(I1155,Categories!A:B,2,FALSE)</f>
        <v>อื่นๆ</v>
      </c>
      <c r="K1155" t="s">
        <v>131</v>
      </c>
      <c r="L1155" s="10" t="str">
        <f>VLOOKUP(K1155,Accounts!A:B,2,FALSE)</f>
        <v xml:space="preserve">Advance Paid</v>
      </c>
      <c r="M1155" t="s">
        <v>178</v>
      </c>
      <c r="N1155" s="10" t="str">
        <f>VLOOKUP(M1155,Accounts!A:B,2,FALSE)</f>
        <v>SCB</v>
      </c>
      <c r="O1155" t="s">
        <v>2428</v>
      </c>
      <c r="Q1155" t="s">
        <v>126</v>
      </c>
      <c r="R1155" t="s">
        <v>124</v>
      </c>
      <c r="S1155" t="b">
        <v>0</v>
      </c>
      <c r="T1155" t="s">
        <v>124</v>
      </c>
    </row>
    <row r="1156">
      <c r="A1156" t="s">
        <v>2429</v>
      </c>
      <c r="B1156" t="s">
        <v>2425</v>
      </c>
      <c r="C1156" s="2">
        <v>2023</v>
      </c>
      <c r="D1156" s="10">
        <v>10</v>
      </c>
      <c r="E1156" s="10">
        <v>21</v>
      </c>
      <c r="F1156" t="s">
        <v>951</v>
      </c>
      <c r="G1156">
        <v>719</v>
      </c>
      <c r="H1156" t="s">
        <v>69</v>
      </c>
      <c r="I1156" t="s">
        <v>169</v>
      </c>
      <c r="J1156" s="10" t="str">
        <f>VLOOKUP(I1156,Categories!A:B,2,FALSE)</f>
        <v xml:space="preserve">App &amp; Game</v>
      </c>
      <c r="K1156" t="s">
        <v>123</v>
      </c>
      <c r="L1156" s="10" t="str">
        <f>VLOOKUP(K1156,Accounts!A:B,2,FALSE)</f>
        <v>KBank</v>
      </c>
      <c r="M1156" t="s">
        <v>124</v>
      </c>
      <c r="N1156" s="10"/>
      <c r="O1156" t="s">
        <v>2430</v>
      </c>
      <c r="Q1156" t="s">
        <v>126</v>
      </c>
      <c r="R1156" t="s">
        <v>124</v>
      </c>
      <c r="S1156" t="b">
        <v>0</v>
      </c>
      <c r="T1156" t="s">
        <v>124</v>
      </c>
    </row>
    <row r="1157">
      <c r="A1157" t="s">
        <v>2431</v>
      </c>
      <c r="B1157" t="s">
        <v>2432</v>
      </c>
      <c r="C1157" s="2">
        <v>2023</v>
      </c>
      <c r="D1157" s="10">
        <v>10</v>
      </c>
      <c r="E1157" s="10">
        <v>20</v>
      </c>
      <c r="F1157" t="s">
        <v>221</v>
      </c>
      <c r="G1157">
        <v>138</v>
      </c>
      <c r="H1157" t="s">
        <v>69</v>
      </c>
      <c r="I1157" t="s">
        <v>150</v>
      </c>
      <c r="J1157" s="10" t="str">
        <f>VLOOKUP(I1157,Categories!A:B,2,FALSE)</f>
        <v xml:space="preserve">Food &amp; Coff</v>
      </c>
      <c r="K1157" t="s">
        <v>123</v>
      </c>
      <c r="L1157" s="10" t="str">
        <f>VLOOKUP(K1157,Accounts!A:B,2,FALSE)</f>
        <v>KBank</v>
      </c>
      <c r="M1157" t="s">
        <v>124</v>
      </c>
      <c r="N1157" s="10"/>
      <c r="O1157" t="s">
        <v>125</v>
      </c>
      <c r="Q1157" t="s">
        <v>126</v>
      </c>
      <c r="R1157" t="s">
        <v>124</v>
      </c>
      <c r="S1157" t="b">
        <v>0</v>
      </c>
      <c r="T1157" t="s">
        <v>124</v>
      </c>
    </row>
    <row r="1158">
      <c r="A1158" t="s">
        <v>2433</v>
      </c>
      <c r="B1158" t="s">
        <v>2432</v>
      </c>
      <c r="C1158" s="2">
        <v>2023</v>
      </c>
      <c r="D1158" s="10">
        <v>10</v>
      </c>
      <c r="E1158" s="10">
        <v>20</v>
      </c>
      <c r="F1158" t="s">
        <v>320</v>
      </c>
      <c r="G1158">
        <v>553</v>
      </c>
      <c r="H1158" t="s">
        <v>206</v>
      </c>
      <c r="I1158" t="s">
        <v>281</v>
      </c>
      <c r="J1158" s="10" t="str">
        <f>VLOOKUP(I1158,Categories!A:B,2,FALSE)</f>
        <v>Others</v>
      </c>
      <c r="K1158" t="s">
        <v>844</v>
      </c>
      <c r="L1158" s="10" t="str">
        <f>VLOOKUP(K1158,Accounts!A:B,2,FALSE)</f>
        <v>BBL</v>
      </c>
      <c r="M1158" t="s">
        <v>124</v>
      </c>
      <c r="N1158" s="10"/>
      <c r="O1158" t="s">
        <v>125</v>
      </c>
      <c r="Q1158" t="s">
        <v>126</v>
      </c>
      <c r="R1158" t="s">
        <v>124</v>
      </c>
      <c r="S1158" t="b">
        <v>0</v>
      </c>
      <c r="T1158" t="s">
        <v>124</v>
      </c>
    </row>
    <row r="1159">
      <c r="A1159" t="s">
        <v>2434</v>
      </c>
      <c r="B1159" t="s">
        <v>2435</v>
      </c>
      <c r="C1159" s="2">
        <v>2023</v>
      </c>
      <c r="D1159" s="10">
        <v>10</v>
      </c>
      <c r="E1159" s="10">
        <v>18</v>
      </c>
      <c r="F1159" t="s">
        <v>2436</v>
      </c>
      <c r="G1159">
        <v>20000</v>
      </c>
      <c r="H1159" t="s">
        <v>206</v>
      </c>
      <c r="I1159" t="s">
        <v>281</v>
      </c>
      <c r="J1159" s="10" t="str">
        <f>VLOOKUP(I1159,Categories!A:B,2,FALSE)</f>
        <v>Others</v>
      </c>
      <c r="K1159" t="s">
        <v>178</v>
      </c>
      <c r="L1159" s="10" t="str">
        <f>VLOOKUP(K1159,Accounts!A:B,2,FALSE)</f>
        <v>SCB</v>
      </c>
      <c r="M1159" t="s">
        <v>124</v>
      </c>
      <c r="N1159" s="10"/>
      <c r="O1159" t="s">
        <v>2437</v>
      </c>
      <c r="Q1159" t="s">
        <v>126</v>
      </c>
      <c r="R1159" t="s">
        <v>124</v>
      </c>
      <c r="S1159" t="b">
        <v>0</v>
      </c>
      <c r="T1159" t="s">
        <v>124</v>
      </c>
    </row>
    <row r="1160">
      <c r="A1160" t="s">
        <v>2438</v>
      </c>
      <c r="B1160" t="s">
        <v>2439</v>
      </c>
      <c r="C1160" s="2">
        <v>2023</v>
      </c>
      <c r="D1160" s="10">
        <v>10</v>
      </c>
      <c r="E1160" s="10">
        <v>17</v>
      </c>
      <c r="F1160" t="s">
        <v>224</v>
      </c>
      <c r="G1160">
        <v>80</v>
      </c>
      <c r="H1160" t="s">
        <v>69</v>
      </c>
      <c r="I1160" t="s">
        <v>150</v>
      </c>
      <c r="J1160" s="10" t="str">
        <f>VLOOKUP(I1160,Categories!A:B,2,FALSE)</f>
        <v xml:space="preserve">Food &amp; Coff</v>
      </c>
      <c r="K1160" t="s">
        <v>123</v>
      </c>
      <c r="L1160" s="10" t="str">
        <f>VLOOKUP(K1160,Accounts!A:B,2,FALSE)</f>
        <v>KBank</v>
      </c>
      <c r="M1160" t="s">
        <v>124</v>
      </c>
      <c r="N1160" s="10"/>
      <c r="O1160" t="s">
        <v>125</v>
      </c>
      <c r="Q1160" t="s">
        <v>126</v>
      </c>
      <c r="R1160" t="s">
        <v>124</v>
      </c>
      <c r="S1160" t="b">
        <v>0</v>
      </c>
      <c r="T1160" t="s">
        <v>124</v>
      </c>
    </row>
    <row r="1161">
      <c r="A1161" t="s">
        <v>2440</v>
      </c>
      <c r="B1161" t="s">
        <v>2441</v>
      </c>
      <c r="C1161" s="2">
        <v>2023</v>
      </c>
      <c r="D1161" s="10">
        <v>10</v>
      </c>
      <c r="E1161" s="10">
        <v>16</v>
      </c>
      <c r="F1161" t="s">
        <v>2442</v>
      </c>
      <c r="G1161">
        <v>15268</v>
      </c>
      <c r="H1161" t="s">
        <v>128</v>
      </c>
      <c r="I1161" t="s">
        <v>136</v>
      </c>
      <c r="J1161" s="10" t="str">
        <f>VLOOKUP(I1161,Categories!A:B,2,FALSE)</f>
        <v>อื่นๆ</v>
      </c>
      <c r="K1161" t="s">
        <v>137</v>
      </c>
      <c r="L1161" s="10" t="str">
        <f>VLOOKUP(K1161,Accounts!A:B,2,FALSE)</f>
        <v xml:space="preserve">Make Kbank</v>
      </c>
      <c r="M1161" t="s">
        <v>178</v>
      </c>
      <c r="N1161" s="10" t="str">
        <f>VLOOKUP(M1161,Accounts!A:B,2,FALSE)</f>
        <v>SCB</v>
      </c>
      <c r="O1161" t="s">
        <v>125</v>
      </c>
      <c r="Q1161" t="s">
        <v>126</v>
      </c>
      <c r="R1161" t="s">
        <v>124</v>
      </c>
      <c r="S1161" t="b">
        <v>0</v>
      </c>
      <c r="T1161" t="s">
        <v>124</v>
      </c>
    </row>
    <row r="1162">
      <c r="A1162" t="s">
        <v>2443</v>
      </c>
      <c r="B1162" t="s">
        <v>2444</v>
      </c>
      <c r="C1162" s="2">
        <v>2023</v>
      </c>
      <c r="D1162" s="10">
        <v>10</v>
      </c>
      <c r="E1162" s="10">
        <v>15</v>
      </c>
      <c r="F1162" t="s">
        <v>2445</v>
      </c>
      <c r="G1162">
        <v>460</v>
      </c>
      <c r="H1162" t="s">
        <v>69</v>
      </c>
      <c r="I1162" t="s">
        <v>150</v>
      </c>
      <c r="J1162" s="10" t="str">
        <f>VLOOKUP(I1162,Categories!A:B,2,FALSE)</f>
        <v xml:space="preserve">Food &amp; Coff</v>
      </c>
      <c r="K1162" t="s">
        <v>1760</v>
      </c>
      <c r="L1162" s="10" t="str">
        <f>VLOOKUP(K1162,Accounts!A:B,2,FALSE)</f>
        <v xml:space="preserve">Kbank shopee</v>
      </c>
      <c r="M1162" t="s">
        <v>124</v>
      </c>
      <c r="N1162" s="10"/>
      <c r="O1162" t="s">
        <v>125</v>
      </c>
      <c r="Q1162" t="s">
        <v>126</v>
      </c>
      <c r="R1162" t="s">
        <v>124</v>
      </c>
      <c r="S1162" t="b">
        <v>0</v>
      </c>
      <c r="T1162" t="s">
        <v>124</v>
      </c>
    </row>
    <row r="1163">
      <c r="A1163" t="s">
        <v>2446</v>
      </c>
      <c r="B1163" t="s">
        <v>2444</v>
      </c>
      <c r="C1163" s="2">
        <v>2023</v>
      </c>
      <c r="D1163" s="10">
        <v>10</v>
      </c>
      <c r="E1163" s="10">
        <v>15</v>
      </c>
      <c r="F1163" t="s">
        <v>2447</v>
      </c>
      <c r="G1163">
        <v>1026</v>
      </c>
      <c r="H1163" t="s">
        <v>69</v>
      </c>
      <c r="I1163" t="s">
        <v>614</v>
      </c>
      <c r="J1163" s="10" t="str">
        <f>VLOOKUP(I1163,Categories!A:B,2,FALSE)</f>
        <v>Books</v>
      </c>
      <c r="K1163" t="s">
        <v>1760</v>
      </c>
      <c r="L1163" s="10" t="str">
        <f>VLOOKUP(K1163,Accounts!A:B,2,FALSE)</f>
        <v xml:space="preserve">Kbank shopee</v>
      </c>
      <c r="M1163" t="s">
        <v>124</v>
      </c>
      <c r="N1163" s="10"/>
      <c r="O1163" t="s">
        <v>125</v>
      </c>
      <c r="Q1163" t="s">
        <v>126</v>
      </c>
      <c r="R1163" t="s">
        <v>124</v>
      </c>
      <c r="S1163" t="b">
        <v>0</v>
      </c>
      <c r="T1163" t="s">
        <v>124</v>
      </c>
    </row>
    <row r="1164">
      <c r="A1164" t="s">
        <v>2448</v>
      </c>
      <c r="B1164" t="s">
        <v>2444</v>
      </c>
      <c r="C1164" s="2">
        <v>2023</v>
      </c>
      <c r="D1164" s="10">
        <v>10</v>
      </c>
      <c r="E1164" s="10">
        <v>15</v>
      </c>
      <c r="F1164" t="s">
        <v>2449</v>
      </c>
      <c r="G1164">
        <v>3880</v>
      </c>
      <c r="H1164" t="s">
        <v>69</v>
      </c>
      <c r="I1164" t="s">
        <v>141</v>
      </c>
      <c r="J1164" s="10" t="str">
        <f>VLOOKUP(I1164,Categories!A:B,2,FALSE)</f>
        <v>Other</v>
      </c>
      <c r="K1164" t="s">
        <v>1760</v>
      </c>
      <c r="L1164" s="10" t="str">
        <f>VLOOKUP(K1164,Accounts!A:B,2,FALSE)</f>
        <v xml:space="preserve">Kbank shopee</v>
      </c>
      <c r="M1164" t="s">
        <v>124</v>
      </c>
      <c r="N1164" s="10"/>
      <c r="O1164" t="s">
        <v>2450</v>
      </c>
      <c r="Q1164" t="s">
        <v>126</v>
      </c>
      <c r="R1164" t="s">
        <v>124</v>
      </c>
      <c r="S1164" t="b">
        <v>0</v>
      </c>
      <c r="T1164" t="s">
        <v>124</v>
      </c>
    </row>
    <row r="1165">
      <c r="A1165" t="s">
        <v>2451</v>
      </c>
      <c r="B1165" t="s">
        <v>2444</v>
      </c>
      <c r="C1165" s="2">
        <v>2023</v>
      </c>
      <c r="D1165" s="10">
        <v>10</v>
      </c>
      <c r="E1165" s="10">
        <v>15</v>
      </c>
      <c r="F1165" t="s">
        <v>606</v>
      </c>
      <c r="G1165">
        <v>181</v>
      </c>
      <c r="H1165" t="s">
        <v>69</v>
      </c>
      <c r="I1165" t="s">
        <v>141</v>
      </c>
      <c r="J1165" s="10" t="str">
        <f>VLOOKUP(I1165,Categories!A:B,2,FALSE)</f>
        <v>Other</v>
      </c>
      <c r="K1165" t="s">
        <v>1760</v>
      </c>
      <c r="L1165" s="10" t="str">
        <f>VLOOKUP(K1165,Accounts!A:B,2,FALSE)</f>
        <v xml:space="preserve">Kbank shopee</v>
      </c>
      <c r="M1165" t="s">
        <v>124</v>
      </c>
      <c r="N1165" s="10"/>
      <c r="O1165" t="s">
        <v>125</v>
      </c>
      <c r="Q1165" t="s">
        <v>126</v>
      </c>
      <c r="R1165" t="s">
        <v>124</v>
      </c>
      <c r="S1165" t="b">
        <v>0</v>
      </c>
      <c r="T1165" t="s">
        <v>124</v>
      </c>
    </row>
    <row r="1166">
      <c r="A1166" t="s">
        <v>2452</v>
      </c>
      <c r="B1166" t="s">
        <v>2444</v>
      </c>
      <c r="C1166" s="2">
        <v>2023</v>
      </c>
      <c r="D1166" s="10">
        <v>10</v>
      </c>
      <c r="E1166" s="10">
        <v>15</v>
      </c>
      <c r="F1166" t="s">
        <v>2426</v>
      </c>
      <c r="G1166">
        <v>13917</v>
      </c>
      <c r="H1166" t="s">
        <v>128</v>
      </c>
      <c r="I1166" t="s">
        <v>136</v>
      </c>
      <c r="J1166" s="10" t="str">
        <f>VLOOKUP(I1166,Categories!A:B,2,FALSE)</f>
        <v>อื่นๆ</v>
      </c>
      <c r="K1166" t="s">
        <v>131</v>
      </c>
      <c r="L1166" s="10" t="str">
        <f>VLOOKUP(K1166,Accounts!A:B,2,FALSE)</f>
        <v xml:space="preserve">Advance Paid</v>
      </c>
      <c r="M1166" t="s">
        <v>178</v>
      </c>
      <c r="N1166" s="10" t="str">
        <f>VLOOKUP(M1166,Accounts!A:B,2,FALSE)</f>
        <v>SCB</v>
      </c>
      <c r="O1166" t="s">
        <v>2453</v>
      </c>
      <c r="Q1166" t="s">
        <v>126</v>
      </c>
      <c r="R1166" t="s">
        <v>124</v>
      </c>
      <c r="S1166" t="b">
        <v>0</v>
      </c>
      <c r="T1166" t="s">
        <v>124</v>
      </c>
    </row>
    <row r="1167">
      <c r="A1167" t="s">
        <v>2454</v>
      </c>
      <c r="B1167" t="s">
        <v>2444</v>
      </c>
      <c r="C1167" s="2">
        <v>2023</v>
      </c>
      <c r="D1167" s="10">
        <v>10</v>
      </c>
      <c r="E1167" s="10">
        <v>15</v>
      </c>
      <c r="F1167" t="s">
        <v>2042</v>
      </c>
      <c r="G1167">
        <v>10000</v>
      </c>
      <c r="H1167" t="s">
        <v>128</v>
      </c>
      <c r="I1167" t="s">
        <v>136</v>
      </c>
      <c r="J1167" s="10" t="str">
        <f>VLOOKUP(I1167,Categories!A:B,2,FALSE)</f>
        <v>อื่นๆ</v>
      </c>
      <c r="K1167" t="s">
        <v>131</v>
      </c>
      <c r="L1167" s="10" t="str">
        <f>VLOOKUP(K1167,Accounts!A:B,2,FALSE)</f>
        <v xml:space="preserve">Advance Paid</v>
      </c>
      <c r="M1167" t="s">
        <v>178</v>
      </c>
      <c r="N1167" s="10" t="str">
        <f>VLOOKUP(M1167,Accounts!A:B,2,FALSE)</f>
        <v>SCB</v>
      </c>
      <c r="O1167" t="s">
        <v>2455</v>
      </c>
      <c r="Q1167" t="s">
        <v>126</v>
      </c>
      <c r="R1167" t="s">
        <v>124</v>
      </c>
      <c r="S1167" t="b">
        <v>0</v>
      </c>
      <c r="T1167" t="s">
        <v>124</v>
      </c>
    </row>
    <row r="1168">
      <c r="A1168" t="s">
        <v>2456</v>
      </c>
      <c r="B1168" t="s">
        <v>2457</v>
      </c>
      <c r="C1168" s="2">
        <v>2023</v>
      </c>
      <c r="D1168" s="10">
        <v>10</v>
      </c>
      <c r="E1168" s="10">
        <v>14</v>
      </c>
      <c r="F1168" t="s">
        <v>121</v>
      </c>
      <c r="G1168">
        <v>419</v>
      </c>
      <c r="H1168" t="s">
        <v>69</v>
      </c>
      <c r="I1168" t="s">
        <v>1903</v>
      </c>
      <c r="J1168" s="10" t="str">
        <f>VLOOKUP(I1168,Categories!A:B,2,FALSE)</f>
        <v xml:space="preserve">Monthly subscription</v>
      </c>
      <c r="K1168" t="s">
        <v>747</v>
      </c>
      <c r="L1168" s="10" t="str">
        <f>VLOOKUP(K1168,Accounts!A:B,2,FALSE)</f>
        <v xml:space="preserve">UOB world</v>
      </c>
      <c r="M1168" t="s">
        <v>124</v>
      </c>
      <c r="N1168" s="10"/>
      <c r="O1168" t="s">
        <v>125</v>
      </c>
      <c r="Q1168" t="s">
        <v>126</v>
      </c>
      <c r="R1168" t="s">
        <v>124</v>
      </c>
      <c r="S1168" t="b">
        <v>0</v>
      </c>
      <c r="T1168" t="s">
        <v>124</v>
      </c>
    </row>
    <row r="1169">
      <c r="A1169" t="s">
        <v>2458</v>
      </c>
      <c r="B1169" t="s">
        <v>2459</v>
      </c>
      <c r="C1169" s="2">
        <v>2023</v>
      </c>
      <c r="D1169" s="10">
        <v>10</v>
      </c>
      <c r="E1169" s="10">
        <v>13</v>
      </c>
      <c r="F1169" t="s">
        <v>241</v>
      </c>
      <c r="G1169">
        <v>169</v>
      </c>
      <c r="H1169" t="s">
        <v>69</v>
      </c>
      <c r="I1169" t="s">
        <v>1508</v>
      </c>
      <c r="J1169" s="10" t="str">
        <f>VLOOKUP(I1169,Categories!A:B,2,FALSE)</f>
        <v>Other</v>
      </c>
      <c r="K1169" t="s">
        <v>130</v>
      </c>
      <c r="L1169" s="10" t="str">
        <f>VLOOKUP(K1169,Accounts!A:B,2,FALSE)</f>
        <v xml:space="preserve">KTC JCB</v>
      </c>
      <c r="M1169" t="s">
        <v>124</v>
      </c>
      <c r="N1169" s="10"/>
      <c r="O1169" t="s">
        <v>125</v>
      </c>
      <c r="Q1169" t="s">
        <v>126</v>
      </c>
      <c r="R1169" t="s">
        <v>124</v>
      </c>
      <c r="S1169" t="b">
        <v>0</v>
      </c>
      <c r="T1169" t="s">
        <v>124</v>
      </c>
    </row>
    <row r="1170">
      <c r="A1170" t="s">
        <v>2460</v>
      </c>
      <c r="B1170" t="s">
        <v>2459</v>
      </c>
      <c r="C1170" s="2">
        <v>2023</v>
      </c>
      <c r="D1170" s="10">
        <v>10</v>
      </c>
      <c r="E1170" s="10">
        <v>13</v>
      </c>
      <c r="F1170" t="s">
        <v>2461</v>
      </c>
      <c r="G1170">
        <v>500</v>
      </c>
      <c r="H1170" t="s">
        <v>69</v>
      </c>
      <c r="I1170" t="s">
        <v>150</v>
      </c>
      <c r="J1170" s="10" t="str">
        <f>VLOOKUP(I1170,Categories!A:B,2,FALSE)</f>
        <v xml:space="preserve">Food &amp; Coff</v>
      </c>
      <c r="K1170" t="s">
        <v>123</v>
      </c>
      <c r="L1170" s="10" t="str">
        <f>VLOOKUP(K1170,Accounts!A:B,2,FALSE)</f>
        <v>KBank</v>
      </c>
      <c r="M1170" t="s">
        <v>124</v>
      </c>
      <c r="N1170" s="10"/>
      <c r="O1170" t="s">
        <v>125</v>
      </c>
      <c r="Q1170" t="s">
        <v>126</v>
      </c>
      <c r="R1170" t="s">
        <v>124</v>
      </c>
      <c r="S1170" t="b">
        <v>0</v>
      </c>
      <c r="T1170" t="s">
        <v>124</v>
      </c>
    </row>
    <row r="1171">
      <c r="A1171" t="s">
        <v>2462</v>
      </c>
      <c r="B1171" t="s">
        <v>2463</v>
      </c>
      <c r="C1171" s="2">
        <v>2023</v>
      </c>
      <c r="D1171" s="10">
        <v>10</v>
      </c>
      <c r="E1171" s="10">
        <v>11</v>
      </c>
      <c r="F1171" t="s">
        <v>2417</v>
      </c>
      <c r="G1171">
        <v>900</v>
      </c>
      <c r="H1171" t="s">
        <v>128</v>
      </c>
      <c r="I1171" t="s">
        <v>136</v>
      </c>
      <c r="J1171" s="10" t="str">
        <f>VLOOKUP(I1171,Categories!A:B,2,FALSE)</f>
        <v>อื่นๆ</v>
      </c>
      <c r="K1171" t="s">
        <v>844</v>
      </c>
      <c r="L1171" s="10" t="str">
        <f>VLOOKUP(K1171,Accounts!A:B,2,FALSE)</f>
        <v>BBL</v>
      </c>
      <c r="M1171" t="s">
        <v>425</v>
      </c>
      <c r="N1171" s="10" t="str">
        <f>VLOOKUP(M1171,Accounts!A:B,2,FALSE)</f>
        <v>Cash</v>
      </c>
      <c r="O1171" t="s">
        <v>125</v>
      </c>
      <c r="Q1171" t="s">
        <v>126</v>
      </c>
      <c r="R1171" t="s">
        <v>124</v>
      </c>
      <c r="S1171" t="b">
        <v>0</v>
      </c>
      <c r="T1171" t="s">
        <v>124</v>
      </c>
    </row>
    <row r="1172">
      <c r="A1172" t="s">
        <v>2464</v>
      </c>
      <c r="B1172" t="s">
        <v>2465</v>
      </c>
      <c r="C1172" s="2">
        <v>2023</v>
      </c>
      <c r="D1172" s="10">
        <v>10</v>
      </c>
      <c r="E1172" s="10">
        <v>10</v>
      </c>
      <c r="F1172" t="s">
        <v>1718</v>
      </c>
      <c r="G1172">
        <v>300</v>
      </c>
      <c r="H1172" t="s">
        <v>69</v>
      </c>
      <c r="I1172" t="s">
        <v>259</v>
      </c>
      <c r="J1172" s="10" t="str">
        <f>VLOOKUP(I1172,Categories!A:B,2,FALSE)</f>
        <v xml:space="preserve">Team BOT</v>
      </c>
      <c r="K1172" t="s">
        <v>213</v>
      </c>
      <c r="L1172" s="10" t="str">
        <f>VLOOKUP(K1172,Accounts!A:B,2,FALSE)</f>
        <v xml:space="preserve">Krungthai Next</v>
      </c>
      <c r="M1172" t="s">
        <v>124</v>
      </c>
      <c r="N1172" s="10"/>
      <c r="O1172" t="s">
        <v>125</v>
      </c>
      <c r="Q1172" t="s">
        <v>126</v>
      </c>
      <c r="R1172" t="s">
        <v>124</v>
      </c>
      <c r="S1172" t="b">
        <v>0</v>
      </c>
      <c r="T1172" t="s">
        <v>124</v>
      </c>
    </row>
    <row r="1173">
      <c r="A1173" t="s">
        <v>2466</v>
      </c>
      <c r="B1173" t="s">
        <v>2467</v>
      </c>
      <c r="C1173" s="2">
        <v>2023</v>
      </c>
      <c r="D1173" s="10">
        <v>10</v>
      </c>
      <c r="E1173" s="10">
        <v>9</v>
      </c>
      <c r="F1173" t="s">
        <v>247</v>
      </c>
      <c r="G1173">
        <v>2330</v>
      </c>
      <c r="H1173" t="s">
        <v>128</v>
      </c>
      <c r="I1173" t="s">
        <v>136</v>
      </c>
      <c r="J1173" s="10" t="str">
        <f>VLOOKUP(I1173,Categories!A:B,2,FALSE)</f>
        <v>อื่นๆ</v>
      </c>
      <c r="K1173" t="s">
        <v>123</v>
      </c>
      <c r="L1173" s="10" t="str">
        <f>VLOOKUP(K1173,Accounts!A:B,2,FALSE)</f>
        <v>KBank</v>
      </c>
      <c r="M1173" t="s">
        <v>131</v>
      </c>
      <c r="N1173" s="10" t="str">
        <f>VLOOKUP(M1173,Accounts!A:B,2,FALSE)</f>
        <v xml:space="preserve">Advance Paid</v>
      </c>
      <c r="O1173" t="s">
        <v>2468</v>
      </c>
      <c r="Q1173" t="s">
        <v>126</v>
      </c>
      <c r="R1173" t="s">
        <v>124</v>
      </c>
      <c r="S1173" t="b">
        <v>0</v>
      </c>
      <c r="T1173" t="s">
        <v>124</v>
      </c>
    </row>
    <row r="1174">
      <c r="A1174" t="s">
        <v>2469</v>
      </c>
      <c r="B1174" t="s">
        <v>2467</v>
      </c>
      <c r="C1174" s="2">
        <v>2023</v>
      </c>
      <c r="D1174" s="10">
        <v>10</v>
      </c>
      <c r="E1174" s="10">
        <v>9</v>
      </c>
      <c r="F1174" t="s">
        <v>2470</v>
      </c>
      <c r="G1174">
        <v>80</v>
      </c>
      <c r="H1174" t="s">
        <v>69</v>
      </c>
      <c r="I1174" t="s">
        <v>150</v>
      </c>
      <c r="J1174" s="10" t="str">
        <f>VLOOKUP(I1174,Categories!A:B,2,FALSE)</f>
        <v xml:space="preserve">Food &amp; Coff</v>
      </c>
      <c r="K1174" t="s">
        <v>123</v>
      </c>
      <c r="L1174" s="10" t="str">
        <f>VLOOKUP(K1174,Accounts!A:B,2,FALSE)</f>
        <v>KBank</v>
      </c>
      <c r="M1174" t="s">
        <v>124</v>
      </c>
      <c r="N1174" s="10"/>
      <c r="O1174" t="s">
        <v>125</v>
      </c>
      <c r="Q1174" t="s">
        <v>126</v>
      </c>
      <c r="R1174" t="s">
        <v>124</v>
      </c>
      <c r="S1174" t="b">
        <v>0</v>
      </c>
      <c r="T1174" t="s">
        <v>124</v>
      </c>
    </row>
    <row r="1175">
      <c r="A1175" t="s">
        <v>2471</v>
      </c>
      <c r="B1175" t="s">
        <v>2467</v>
      </c>
      <c r="C1175" s="2">
        <v>2023</v>
      </c>
      <c r="D1175" s="10">
        <v>10</v>
      </c>
      <c r="E1175" s="10">
        <v>9</v>
      </c>
      <c r="F1175" t="s">
        <v>2472</v>
      </c>
      <c r="G1175">
        <v>17500</v>
      </c>
      <c r="H1175" t="s">
        <v>128</v>
      </c>
      <c r="I1175" t="s">
        <v>136</v>
      </c>
      <c r="J1175" s="10" t="str">
        <f>VLOOKUP(I1175,Categories!A:B,2,FALSE)</f>
        <v>อื่นๆ</v>
      </c>
      <c r="K1175" t="s">
        <v>123</v>
      </c>
      <c r="L1175" s="10" t="str">
        <f>VLOOKUP(K1175,Accounts!A:B,2,FALSE)</f>
        <v>KBank</v>
      </c>
      <c r="M1175" t="s">
        <v>2317</v>
      </c>
      <c r="N1175" s="10" t="str">
        <f>VLOOKUP(M1175,Accounts!A:B,2,FALSE)</f>
        <v xml:space="preserve">Marriage account</v>
      </c>
      <c r="O1175" t="s">
        <v>125</v>
      </c>
      <c r="Q1175" t="s">
        <v>126</v>
      </c>
      <c r="R1175" t="s">
        <v>124</v>
      </c>
      <c r="S1175" t="b">
        <v>0</v>
      </c>
      <c r="T1175" t="s">
        <v>124</v>
      </c>
    </row>
    <row r="1176">
      <c r="A1176" t="s">
        <v>2473</v>
      </c>
      <c r="B1176" t="s">
        <v>2467</v>
      </c>
      <c r="C1176" s="2">
        <v>2023</v>
      </c>
      <c r="D1176" s="10">
        <v>10</v>
      </c>
      <c r="E1176" s="10">
        <v>9</v>
      </c>
      <c r="F1176" t="s">
        <v>2052</v>
      </c>
      <c r="G1176">
        <v>7036.71</v>
      </c>
      <c r="H1176" t="s">
        <v>69</v>
      </c>
      <c r="I1176" t="s">
        <v>139</v>
      </c>
      <c r="J1176" s="10" t="str">
        <f>VLOOKUP(I1176,Categories!A:B,2,FALSE)</f>
        <v>Condo</v>
      </c>
      <c r="K1176" t="s">
        <v>123</v>
      </c>
      <c r="L1176" s="10" t="str">
        <f>VLOOKUP(K1176,Accounts!A:B,2,FALSE)</f>
        <v>KBank</v>
      </c>
      <c r="M1176" t="s">
        <v>124</v>
      </c>
      <c r="N1176" s="10"/>
      <c r="O1176" t="s">
        <v>125</v>
      </c>
      <c r="Q1176" t="s">
        <v>126</v>
      </c>
      <c r="R1176" t="s">
        <v>124</v>
      </c>
      <c r="S1176" t="b">
        <v>0</v>
      </c>
      <c r="T1176" t="s">
        <v>124</v>
      </c>
    </row>
    <row r="1177">
      <c r="A1177" t="s">
        <v>2474</v>
      </c>
      <c r="B1177" t="s">
        <v>2467</v>
      </c>
      <c r="C1177" s="2">
        <v>2023</v>
      </c>
      <c r="D1177" s="10">
        <v>10</v>
      </c>
      <c r="E1177" s="10">
        <v>9</v>
      </c>
      <c r="F1177" t="s">
        <v>234</v>
      </c>
      <c r="G1177">
        <v>235</v>
      </c>
      <c r="H1177" t="s">
        <v>128</v>
      </c>
      <c r="I1177" t="s">
        <v>136</v>
      </c>
      <c r="J1177" s="10" t="str">
        <f>VLOOKUP(I1177,Categories!A:B,2,FALSE)</f>
        <v>อื่นๆ</v>
      </c>
      <c r="K1177" t="s">
        <v>425</v>
      </c>
      <c r="L1177" s="10" t="str">
        <f>VLOOKUP(K1177,Accounts!A:B,2,FALSE)</f>
        <v>Cash</v>
      </c>
      <c r="M1177" t="s">
        <v>123</v>
      </c>
      <c r="N1177" s="10" t="str">
        <f>VLOOKUP(M1177,Accounts!A:B,2,FALSE)</f>
        <v>KBank</v>
      </c>
      <c r="O1177" t="s">
        <v>2475</v>
      </c>
      <c r="Q1177" t="s">
        <v>126</v>
      </c>
      <c r="R1177" t="s">
        <v>124</v>
      </c>
      <c r="S1177" t="b">
        <v>0</v>
      </c>
      <c r="T1177" t="s">
        <v>124</v>
      </c>
    </row>
    <row r="1178">
      <c r="A1178" t="s">
        <v>2476</v>
      </c>
      <c r="B1178" t="s">
        <v>2477</v>
      </c>
      <c r="C1178" s="2">
        <v>2023</v>
      </c>
      <c r="D1178" s="10">
        <v>10</v>
      </c>
      <c r="E1178" s="10">
        <v>7</v>
      </c>
      <c r="F1178" t="s">
        <v>2478</v>
      </c>
      <c r="G1178">
        <v>756</v>
      </c>
      <c r="H1178" t="s">
        <v>128</v>
      </c>
      <c r="I1178" t="s">
        <v>136</v>
      </c>
      <c r="J1178" s="10" t="str">
        <f>VLOOKUP(I1178,Categories!A:B,2,FALSE)</f>
        <v>อื่นๆ</v>
      </c>
      <c r="K1178" t="s">
        <v>123</v>
      </c>
      <c r="L1178" s="10" t="str">
        <f>VLOOKUP(K1178,Accounts!A:B,2,FALSE)</f>
        <v>KBank</v>
      </c>
      <c r="M1178" t="s">
        <v>131</v>
      </c>
      <c r="N1178" s="10" t="str">
        <f>VLOOKUP(M1178,Accounts!A:B,2,FALSE)</f>
        <v xml:space="preserve">Advance Paid</v>
      </c>
      <c r="O1178" t="s">
        <v>2479</v>
      </c>
      <c r="Q1178" t="s">
        <v>126</v>
      </c>
      <c r="R1178" t="s">
        <v>124</v>
      </c>
      <c r="S1178" t="b">
        <v>0</v>
      </c>
      <c r="T1178" t="s">
        <v>124</v>
      </c>
    </row>
    <row r="1179">
      <c r="A1179" t="s">
        <v>2480</v>
      </c>
      <c r="B1179" t="s">
        <v>2477</v>
      </c>
      <c r="C1179" s="2">
        <v>2023</v>
      </c>
      <c r="D1179" s="10">
        <v>10</v>
      </c>
      <c r="E1179" s="10">
        <v>7</v>
      </c>
      <c r="F1179" t="s">
        <v>2481</v>
      </c>
      <c r="G1179">
        <v>1475</v>
      </c>
      <c r="H1179" t="s">
        <v>128</v>
      </c>
      <c r="I1179" t="s">
        <v>136</v>
      </c>
      <c r="J1179" s="10" t="str">
        <f>VLOOKUP(I1179,Categories!A:B,2,FALSE)</f>
        <v>อื่นๆ</v>
      </c>
      <c r="K1179" t="s">
        <v>123</v>
      </c>
      <c r="L1179" s="10" t="str">
        <f>VLOOKUP(K1179,Accounts!A:B,2,FALSE)</f>
        <v>KBank</v>
      </c>
      <c r="M1179" t="s">
        <v>131</v>
      </c>
      <c r="N1179" s="10" t="str">
        <f>VLOOKUP(M1179,Accounts!A:B,2,FALSE)</f>
        <v xml:space="preserve">Advance Paid</v>
      </c>
      <c r="O1179" t="s">
        <v>2482</v>
      </c>
      <c r="Q1179" t="s">
        <v>126</v>
      </c>
      <c r="R1179" t="s">
        <v>124</v>
      </c>
      <c r="S1179" t="b">
        <v>0</v>
      </c>
      <c r="T1179" t="s">
        <v>124</v>
      </c>
    </row>
    <row r="1180">
      <c r="A1180" t="s">
        <v>2483</v>
      </c>
      <c r="B1180" t="s">
        <v>2484</v>
      </c>
      <c r="C1180" s="2">
        <v>2023</v>
      </c>
      <c r="D1180" s="10">
        <v>10</v>
      </c>
      <c r="E1180" s="10">
        <v>6</v>
      </c>
      <c r="F1180" t="s">
        <v>1922</v>
      </c>
      <c r="G1180">
        <v>315</v>
      </c>
      <c r="H1180" t="s">
        <v>128</v>
      </c>
      <c r="I1180" t="s">
        <v>136</v>
      </c>
      <c r="J1180" s="10" t="str">
        <f>VLOOKUP(I1180,Categories!A:B,2,FALSE)</f>
        <v>อื่นๆ</v>
      </c>
      <c r="K1180" t="s">
        <v>123</v>
      </c>
      <c r="L1180" s="10" t="str">
        <f>VLOOKUP(K1180,Accounts!A:B,2,FALSE)</f>
        <v>KBank</v>
      </c>
      <c r="M1180" t="s">
        <v>131</v>
      </c>
      <c r="N1180" s="10" t="str">
        <f>VLOOKUP(M1180,Accounts!A:B,2,FALSE)</f>
        <v xml:space="preserve">Advance Paid</v>
      </c>
      <c r="O1180" t="s">
        <v>2485</v>
      </c>
      <c r="Q1180" t="s">
        <v>126</v>
      </c>
      <c r="R1180" t="s">
        <v>124</v>
      </c>
      <c r="S1180" t="b">
        <v>0</v>
      </c>
      <c r="T1180" t="s">
        <v>124</v>
      </c>
    </row>
    <row r="1181">
      <c r="A1181" t="s">
        <v>2486</v>
      </c>
      <c r="B1181" t="s">
        <v>2484</v>
      </c>
      <c r="C1181" s="2">
        <v>2023</v>
      </c>
      <c r="D1181" s="10">
        <v>10</v>
      </c>
      <c r="E1181" s="10">
        <v>6</v>
      </c>
      <c r="F1181" t="s">
        <v>1922</v>
      </c>
      <c r="G1181">
        <v>274</v>
      </c>
      <c r="H1181" t="s">
        <v>128</v>
      </c>
      <c r="I1181" t="s">
        <v>136</v>
      </c>
      <c r="J1181" s="10" t="str">
        <f>VLOOKUP(I1181,Categories!A:B,2,FALSE)</f>
        <v>อื่นๆ</v>
      </c>
      <c r="K1181" t="s">
        <v>123</v>
      </c>
      <c r="L1181" s="10" t="str">
        <f>VLOOKUP(K1181,Accounts!A:B,2,FALSE)</f>
        <v>KBank</v>
      </c>
      <c r="M1181" t="s">
        <v>131</v>
      </c>
      <c r="N1181" s="10" t="str">
        <f>VLOOKUP(M1181,Accounts!A:B,2,FALSE)</f>
        <v xml:space="preserve">Advance Paid</v>
      </c>
      <c r="O1181" t="s">
        <v>2200</v>
      </c>
      <c r="Q1181" t="s">
        <v>126</v>
      </c>
      <c r="R1181" t="s">
        <v>124</v>
      </c>
      <c r="S1181" t="b">
        <v>0</v>
      </c>
      <c r="T1181" t="s">
        <v>124</v>
      </c>
    </row>
    <row r="1182">
      <c r="A1182" t="s">
        <v>2487</v>
      </c>
      <c r="B1182" t="s">
        <v>41</v>
      </c>
      <c r="C1182" s="2">
        <v>2023</v>
      </c>
      <c r="D1182" s="10">
        <v>10</v>
      </c>
      <c r="E1182" s="10">
        <v>5</v>
      </c>
      <c r="F1182" t="s">
        <v>251</v>
      </c>
      <c r="G1182">
        <v>122</v>
      </c>
      <c r="H1182" t="s">
        <v>69</v>
      </c>
      <c r="I1182" t="s">
        <v>150</v>
      </c>
      <c r="J1182" s="10" t="str">
        <f>VLOOKUP(I1182,Categories!A:B,2,FALSE)</f>
        <v xml:space="preserve">Food &amp; Coff</v>
      </c>
      <c r="K1182" t="s">
        <v>123</v>
      </c>
      <c r="L1182" s="10" t="str">
        <f>VLOOKUP(K1182,Accounts!A:B,2,FALSE)</f>
        <v>KBank</v>
      </c>
      <c r="M1182" t="s">
        <v>124</v>
      </c>
      <c r="N1182" s="10"/>
      <c r="O1182" t="s">
        <v>125</v>
      </c>
      <c r="Q1182" t="s">
        <v>126</v>
      </c>
      <c r="R1182" t="s">
        <v>124</v>
      </c>
      <c r="S1182" t="b">
        <v>0</v>
      </c>
      <c r="T1182" t="s">
        <v>124</v>
      </c>
    </row>
    <row r="1183">
      <c r="A1183" t="s">
        <v>2488</v>
      </c>
      <c r="B1183" t="s">
        <v>41</v>
      </c>
      <c r="C1183" s="2">
        <v>2023</v>
      </c>
      <c r="D1183" s="10">
        <v>10</v>
      </c>
      <c r="E1183" s="10">
        <v>5</v>
      </c>
      <c r="F1183" t="s">
        <v>2489</v>
      </c>
      <c r="G1183">
        <v>150000</v>
      </c>
      <c r="H1183" t="s">
        <v>128</v>
      </c>
      <c r="I1183" t="s">
        <v>136</v>
      </c>
      <c r="J1183" s="10" t="str">
        <f>VLOOKUP(I1183,Categories!A:B,2,FALSE)</f>
        <v>อื่นๆ</v>
      </c>
      <c r="K1183" t="s">
        <v>123</v>
      </c>
      <c r="L1183" s="10" t="str">
        <f>VLOOKUP(K1183,Accounts!A:B,2,FALSE)</f>
        <v>KBank</v>
      </c>
      <c r="M1183" t="s">
        <v>215</v>
      </c>
      <c r="N1183" s="10" t="str">
        <f>VLOOKUP(M1183,Accounts!A:B,2,FALSE)</f>
        <v>Investment</v>
      </c>
      <c r="O1183" t="s">
        <v>2490</v>
      </c>
      <c r="Q1183" t="s">
        <v>126</v>
      </c>
      <c r="R1183" t="s">
        <v>124</v>
      </c>
      <c r="S1183" t="b">
        <v>0</v>
      </c>
      <c r="T1183" t="s">
        <v>124</v>
      </c>
    </row>
    <row r="1184">
      <c r="A1184" t="s">
        <v>2491</v>
      </c>
      <c r="B1184" t="s">
        <v>2492</v>
      </c>
      <c r="C1184" s="2">
        <v>2023</v>
      </c>
      <c r="D1184" s="10">
        <v>10</v>
      </c>
      <c r="E1184" s="10">
        <v>3</v>
      </c>
      <c r="F1184" t="s">
        <v>2493</v>
      </c>
      <c r="G1184">
        <v>247</v>
      </c>
      <c r="H1184" t="s">
        <v>128</v>
      </c>
      <c r="I1184" t="s">
        <v>136</v>
      </c>
      <c r="J1184" s="10" t="str">
        <f>VLOOKUP(I1184,Categories!A:B,2,FALSE)</f>
        <v>อื่นๆ</v>
      </c>
      <c r="K1184" t="s">
        <v>2317</v>
      </c>
      <c r="L1184" s="10" t="str">
        <f>VLOOKUP(K1184,Accounts!A:B,2,FALSE)</f>
        <v xml:space="preserve">Marriage account</v>
      </c>
      <c r="M1184" t="s">
        <v>123</v>
      </c>
      <c r="N1184" s="10" t="str">
        <f>VLOOKUP(M1184,Accounts!A:B,2,FALSE)</f>
        <v>KBank</v>
      </c>
      <c r="O1184" t="s">
        <v>125</v>
      </c>
      <c r="Q1184" t="s">
        <v>126</v>
      </c>
      <c r="R1184" t="s">
        <v>124</v>
      </c>
      <c r="S1184" t="b">
        <v>0</v>
      </c>
      <c r="T1184" t="s">
        <v>124</v>
      </c>
    </row>
    <row r="1185">
      <c r="A1185" t="s">
        <v>2494</v>
      </c>
      <c r="B1185" t="s">
        <v>2492</v>
      </c>
      <c r="C1185" s="2">
        <v>2023</v>
      </c>
      <c r="D1185" s="10">
        <v>10</v>
      </c>
      <c r="E1185" s="10">
        <v>3</v>
      </c>
      <c r="F1185" t="s">
        <v>2495</v>
      </c>
      <c r="G1185">
        <v>118</v>
      </c>
      <c r="H1185" t="s">
        <v>69</v>
      </c>
      <c r="I1185" t="s">
        <v>150</v>
      </c>
      <c r="J1185" s="10" t="str">
        <f>VLOOKUP(I1185,Categories!A:B,2,FALSE)</f>
        <v xml:space="preserve">Food &amp; Coff</v>
      </c>
      <c r="K1185" t="s">
        <v>130</v>
      </c>
      <c r="L1185" s="10" t="str">
        <f>VLOOKUP(K1185,Accounts!A:B,2,FALSE)</f>
        <v xml:space="preserve">KTC JCB</v>
      </c>
      <c r="M1185" t="s">
        <v>124</v>
      </c>
      <c r="N1185" s="10"/>
      <c r="O1185" t="s">
        <v>125</v>
      </c>
      <c r="Q1185" t="s">
        <v>126</v>
      </c>
      <c r="R1185" t="s">
        <v>124</v>
      </c>
      <c r="S1185" t="b">
        <v>0</v>
      </c>
      <c r="T1185" t="s">
        <v>124</v>
      </c>
    </row>
    <row r="1186">
      <c r="A1186" t="s">
        <v>2496</v>
      </c>
      <c r="B1186" t="s">
        <v>2497</v>
      </c>
      <c r="C1186" s="2">
        <v>2023</v>
      </c>
      <c r="D1186" s="10">
        <v>10</v>
      </c>
      <c r="E1186" s="10">
        <v>2</v>
      </c>
      <c r="F1186" t="s">
        <v>2498</v>
      </c>
      <c r="G1186">
        <v>60</v>
      </c>
      <c r="H1186" t="s">
        <v>69</v>
      </c>
      <c r="I1186" t="s">
        <v>150</v>
      </c>
      <c r="J1186" s="10" t="str">
        <f>VLOOKUP(I1186,Categories!A:B,2,FALSE)</f>
        <v xml:space="preserve">Food &amp; Coff</v>
      </c>
      <c r="K1186" t="s">
        <v>123</v>
      </c>
      <c r="L1186" s="10" t="str">
        <f>VLOOKUP(K1186,Accounts!A:B,2,FALSE)</f>
        <v>KBank</v>
      </c>
      <c r="M1186" t="s">
        <v>124</v>
      </c>
      <c r="N1186" s="10"/>
      <c r="O1186" t="s">
        <v>125</v>
      </c>
      <c r="Q1186" t="s">
        <v>126</v>
      </c>
      <c r="R1186" t="s">
        <v>124</v>
      </c>
      <c r="S1186" t="b">
        <v>0</v>
      </c>
      <c r="T1186" t="s">
        <v>124</v>
      </c>
    </row>
    <row r="1187">
      <c r="A1187" t="s">
        <v>2499</v>
      </c>
      <c r="B1187" t="s">
        <v>2497</v>
      </c>
      <c r="C1187" s="2">
        <v>2023</v>
      </c>
      <c r="D1187" s="10">
        <v>10</v>
      </c>
      <c r="E1187" s="10">
        <v>2</v>
      </c>
      <c r="F1187" t="s">
        <v>241</v>
      </c>
      <c r="G1187">
        <v>206</v>
      </c>
      <c r="H1187" t="s">
        <v>69</v>
      </c>
      <c r="I1187" t="s">
        <v>614</v>
      </c>
      <c r="J1187" s="10" t="str">
        <f>VLOOKUP(I1187,Categories!A:B,2,FALSE)</f>
        <v>Books</v>
      </c>
      <c r="K1187" t="s">
        <v>130</v>
      </c>
      <c r="L1187" s="10" t="str">
        <f>VLOOKUP(K1187,Accounts!A:B,2,FALSE)</f>
        <v xml:space="preserve">KTC JCB</v>
      </c>
      <c r="M1187" t="s">
        <v>124</v>
      </c>
      <c r="N1187" s="10"/>
      <c r="O1187" t="s">
        <v>125</v>
      </c>
      <c r="Q1187" t="s">
        <v>126</v>
      </c>
      <c r="R1187" t="s">
        <v>124</v>
      </c>
      <c r="S1187" t="b">
        <v>0</v>
      </c>
      <c r="T1187" t="s">
        <v>124</v>
      </c>
    </row>
    <row r="1188">
      <c r="A1188" t="s">
        <v>2500</v>
      </c>
      <c r="B1188" t="s">
        <v>2497</v>
      </c>
      <c r="C1188" s="2">
        <v>2023</v>
      </c>
      <c r="D1188" s="10">
        <v>10</v>
      </c>
      <c r="E1188" s="10">
        <v>2</v>
      </c>
      <c r="F1188" t="s">
        <v>470</v>
      </c>
      <c r="G1188">
        <v>170000</v>
      </c>
      <c r="H1188" t="s">
        <v>128</v>
      </c>
      <c r="I1188" t="s">
        <v>136</v>
      </c>
      <c r="J1188" s="10" t="str">
        <f>VLOOKUP(I1188,Categories!A:B,2,FALSE)</f>
        <v>อื่นๆ</v>
      </c>
      <c r="K1188" t="s">
        <v>178</v>
      </c>
      <c r="L1188" s="10" t="str">
        <f>VLOOKUP(K1188,Accounts!A:B,2,FALSE)</f>
        <v>SCB</v>
      </c>
      <c r="M1188" t="s">
        <v>123</v>
      </c>
      <c r="N1188" s="10" t="str">
        <f>VLOOKUP(M1188,Accounts!A:B,2,FALSE)</f>
        <v>KBank</v>
      </c>
      <c r="O1188" t="s">
        <v>125</v>
      </c>
      <c r="Q1188" t="s">
        <v>126</v>
      </c>
      <c r="R1188" t="s">
        <v>124</v>
      </c>
      <c r="S1188" t="b">
        <v>0</v>
      </c>
      <c r="T1188" t="s">
        <v>124</v>
      </c>
    </row>
    <row r="1189">
      <c r="A1189" t="s">
        <v>2501</v>
      </c>
      <c r="B1189" t="s">
        <v>2497</v>
      </c>
      <c r="C1189" s="2">
        <v>2023</v>
      </c>
      <c r="D1189" s="10">
        <v>10</v>
      </c>
      <c r="E1189" s="10">
        <v>2</v>
      </c>
      <c r="F1189" t="s">
        <v>470</v>
      </c>
      <c r="G1189">
        <v>100</v>
      </c>
      <c r="H1189" t="s">
        <v>128</v>
      </c>
      <c r="I1189" t="s">
        <v>136</v>
      </c>
      <c r="J1189" s="10" t="str">
        <f>VLOOKUP(I1189,Categories!A:B,2,FALSE)</f>
        <v>อื่นๆ</v>
      </c>
      <c r="K1189" t="s">
        <v>123</v>
      </c>
      <c r="L1189" s="10" t="str">
        <f>VLOOKUP(K1189,Accounts!A:B,2,FALSE)</f>
        <v>KBank</v>
      </c>
      <c r="M1189" t="s">
        <v>178</v>
      </c>
      <c r="N1189" s="10" t="str">
        <f>VLOOKUP(M1189,Accounts!A:B,2,FALSE)</f>
        <v>SCB</v>
      </c>
      <c r="O1189" t="s">
        <v>125</v>
      </c>
      <c r="Q1189" t="s">
        <v>126</v>
      </c>
      <c r="R1189" t="s">
        <v>124</v>
      </c>
      <c r="S1189" t="b">
        <v>0</v>
      </c>
      <c r="T1189" t="s">
        <v>124</v>
      </c>
    </row>
    <row r="1190">
      <c r="A1190" t="s">
        <v>2502</v>
      </c>
      <c r="B1190" t="s">
        <v>2497</v>
      </c>
      <c r="C1190" s="2">
        <v>2023</v>
      </c>
      <c r="D1190" s="10">
        <v>10</v>
      </c>
      <c r="E1190" s="10">
        <v>2</v>
      </c>
      <c r="F1190" t="s">
        <v>2042</v>
      </c>
      <c r="G1190">
        <v>13062.85</v>
      </c>
      <c r="H1190" t="s">
        <v>69</v>
      </c>
      <c r="I1190" t="s">
        <v>254</v>
      </c>
      <c r="J1190" s="10" t="str">
        <f>VLOOKUP(I1190,Categories!A:B,2,FALSE)</f>
        <v xml:space="preserve">Modified Bal.</v>
      </c>
      <c r="K1190" t="s">
        <v>213</v>
      </c>
      <c r="L1190" s="10" t="str">
        <f>VLOOKUP(K1190,Accounts!A:B,2,FALSE)</f>
        <v xml:space="preserve">Krungthai Next</v>
      </c>
      <c r="M1190" t="s">
        <v>124</v>
      </c>
      <c r="N1190" s="10"/>
      <c r="O1190" t="s">
        <v>255</v>
      </c>
      <c r="Q1190" t="s">
        <v>126</v>
      </c>
      <c r="R1190" t="s">
        <v>124</v>
      </c>
      <c r="S1190" t="b">
        <v>0</v>
      </c>
      <c r="T1190" t="s">
        <v>124</v>
      </c>
    </row>
    <row r="1191">
      <c r="A1191" t="s">
        <v>2503</v>
      </c>
      <c r="B1191" t="s">
        <v>2497</v>
      </c>
      <c r="C1191" s="2">
        <v>2023</v>
      </c>
      <c r="D1191" s="10">
        <v>10</v>
      </c>
      <c r="E1191" s="10">
        <v>2</v>
      </c>
      <c r="F1191" t="s">
        <v>2489</v>
      </c>
      <c r="G1191">
        <v>1174.6077290000001</v>
      </c>
      <c r="H1191" t="s">
        <v>69</v>
      </c>
      <c r="I1191" t="s">
        <v>254</v>
      </c>
      <c r="J1191" s="10" t="str">
        <f>VLOOKUP(I1191,Categories!A:B,2,FALSE)</f>
        <v xml:space="preserve">Modified Bal.</v>
      </c>
      <c r="K1191" t="s">
        <v>2504</v>
      </c>
      <c r="L1191" s="10" t="str">
        <f>VLOOKUP(K1191,Accounts!A:B,2,FALSE)</f>
        <v xml:space="preserve">krw cash</v>
      </c>
      <c r="M1191" t="s">
        <v>124</v>
      </c>
      <c r="N1191" s="10"/>
      <c r="O1191" t="s">
        <v>255</v>
      </c>
      <c r="Q1191" t="s">
        <v>126</v>
      </c>
      <c r="R1191" t="s">
        <v>124</v>
      </c>
      <c r="S1191" t="b">
        <v>0</v>
      </c>
      <c r="T1191" t="s">
        <v>124</v>
      </c>
    </row>
    <row r="1192">
      <c r="A1192" t="s">
        <v>2505</v>
      </c>
      <c r="B1192" t="s">
        <v>2497</v>
      </c>
      <c r="C1192" s="2">
        <v>2023</v>
      </c>
      <c r="D1192" s="10">
        <v>10</v>
      </c>
      <c r="E1192" s="10">
        <v>2</v>
      </c>
      <c r="F1192" t="s">
        <v>1870</v>
      </c>
      <c r="G1192">
        <v>15000</v>
      </c>
      <c r="H1192" t="s">
        <v>69</v>
      </c>
      <c r="I1192" t="s">
        <v>254</v>
      </c>
      <c r="J1192" s="10" t="str">
        <f>VLOOKUP(I1192,Categories!A:B,2,FALSE)</f>
        <v xml:space="preserve">Modified Bal.</v>
      </c>
      <c r="K1192" t="s">
        <v>425</v>
      </c>
      <c r="L1192" s="10" t="str">
        <f>VLOOKUP(K1192,Accounts!A:B,2,FALSE)</f>
        <v>Cash</v>
      </c>
      <c r="M1192" t="s">
        <v>124</v>
      </c>
      <c r="N1192" s="10"/>
      <c r="O1192" t="s">
        <v>2506</v>
      </c>
      <c r="Q1192" t="s">
        <v>126</v>
      </c>
      <c r="R1192" t="s">
        <v>124</v>
      </c>
      <c r="S1192" t="b">
        <v>0</v>
      </c>
      <c r="T1192" t="s">
        <v>124</v>
      </c>
    </row>
    <row r="1193">
      <c r="A1193" t="s">
        <v>2507</v>
      </c>
      <c r="B1193" t="s">
        <v>2497</v>
      </c>
      <c r="C1193" s="2">
        <v>2023</v>
      </c>
      <c r="D1193" s="10">
        <v>10</v>
      </c>
      <c r="E1193" s="10">
        <v>2</v>
      </c>
      <c r="F1193" t="s">
        <v>2508</v>
      </c>
      <c r="G1193">
        <v>2983.9899999999998</v>
      </c>
      <c r="H1193" t="s">
        <v>69</v>
      </c>
      <c r="I1193" t="s">
        <v>254</v>
      </c>
      <c r="J1193" s="10" t="str">
        <f>VLOOKUP(I1193,Categories!A:B,2,FALSE)</f>
        <v xml:space="preserve">Modified Bal.</v>
      </c>
      <c r="K1193" t="s">
        <v>766</v>
      </c>
      <c r="L1193" s="10" t="str">
        <f>VLOOKUP(K1193,Accounts!A:B,2,FALSE)</f>
        <v>KRUNGSRI</v>
      </c>
      <c r="M1193" t="s">
        <v>124</v>
      </c>
      <c r="N1193" s="10"/>
      <c r="O1193" t="s">
        <v>255</v>
      </c>
      <c r="Q1193" t="s">
        <v>126</v>
      </c>
      <c r="R1193" t="s">
        <v>124</v>
      </c>
      <c r="S1193" t="b">
        <v>0</v>
      </c>
      <c r="T1193" t="s">
        <v>124</v>
      </c>
    </row>
    <row r="1194">
      <c r="A1194" t="s">
        <v>2509</v>
      </c>
      <c r="B1194" t="s">
        <v>2497</v>
      </c>
      <c r="C1194" s="2">
        <v>2023</v>
      </c>
      <c r="D1194" s="10">
        <v>10</v>
      </c>
      <c r="E1194" s="10">
        <v>2</v>
      </c>
      <c r="F1194" t="s">
        <v>2510</v>
      </c>
      <c r="G1194">
        <v>68384.016570000007</v>
      </c>
      <c r="H1194" t="s">
        <v>206</v>
      </c>
      <c r="I1194" t="s">
        <v>254</v>
      </c>
      <c r="J1194" s="10" t="str">
        <f>VLOOKUP(I1194,Categories!A:B,2,FALSE)</f>
        <v xml:space="preserve">Modified Bal.</v>
      </c>
      <c r="K1194" t="s">
        <v>855</v>
      </c>
      <c r="L1194" s="10" t="str">
        <f>VLOOKUP(K1194,Accounts!A:B,2,FALSE)</f>
        <v xml:space="preserve">Travelcard JPY</v>
      </c>
      <c r="M1194" t="s">
        <v>124</v>
      </c>
      <c r="N1194" s="10"/>
      <c r="O1194" t="s">
        <v>255</v>
      </c>
      <c r="Q1194" t="s">
        <v>126</v>
      </c>
      <c r="R1194" t="s">
        <v>124</v>
      </c>
      <c r="S1194" t="b">
        <v>0</v>
      </c>
      <c r="T1194" t="s">
        <v>124</v>
      </c>
    </row>
    <row r="1195">
      <c r="A1195" t="s">
        <v>2511</v>
      </c>
      <c r="B1195" t="s">
        <v>2497</v>
      </c>
      <c r="C1195" s="2">
        <v>2023</v>
      </c>
      <c r="D1195" s="10">
        <v>10</v>
      </c>
      <c r="E1195" s="10">
        <v>2</v>
      </c>
      <c r="F1195" t="s">
        <v>2512</v>
      </c>
      <c r="G1195">
        <v>8417.1800000000003</v>
      </c>
      <c r="H1195" t="s">
        <v>69</v>
      </c>
      <c r="I1195" t="s">
        <v>254</v>
      </c>
      <c r="J1195" s="10" t="str">
        <f>VLOOKUP(I1195,Categories!A:B,2,FALSE)</f>
        <v xml:space="preserve">Modified Bal.</v>
      </c>
      <c r="K1195" t="s">
        <v>2513</v>
      </c>
      <c r="L1195" s="10" t="str">
        <f>VLOOKUP(K1195,Accounts!A:B,2,FALSE)</f>
        <v xml:space="preserve">Pao tung</v>
      </c>
      <c r="M1195" t="s">
        <v>124</v>
      </c>
      <c r="N1195" s="10"/>
      <c r="O1195" t="s">
        <v>255</v>
      </c>
      <c r="Q1195" t="s">
        <v>126</v>
      </c>
      <c r="R1195" t="s">
        <v>124</v>
      </c>
      <c r="S1195" t="b">
        <v>0</v>
      </c>
      <c r="T1195" t="s">
        <v>124</v>
      </c>
    </row>
    <row r="1196">
      <c r="A1196" t="s">
        <v>2514</v>
      </c>
      <c r="B1196" t="s">
        <v>2497</v>
      </c>
      <c r="C1196" s="2">
        <v>2023</v>
      </c>
      <c r="D1196" s="10">
        <v>10</v>
      </c>
      <c r="E1196" s="10">
        <v>2</v>
      </c>
      <c r="F1196" t="s">
        <v>2515</v>
      </c>
      <c r="G1196">
        <v>80471.360000000001</v>
      </c>
      <c r="H1196" t="s">
        <v>69</v>
      </c>
      <c r="I1196" t="s">
        <v>254</v>
      </c>
      <c r="J1196" s="10" t="str">
        <f>VLOOKUP(I1196,Categories!A:B,2,FALSE)</f>
        <v xml:space="preserve">Modified Bal.</v>
      </c>
      <c r="K1196" t="s">
        <v>2516</v>
      </c>
      <c r="L1196" s="10" t="str">
        <f>VLOOKUP(K1196,Accounts!A:B,2,FALSE)</f>
        <v>Travelcard</v>
      </c>
      <c r="M1196" t="s">
        <v>124</v>
      </c>
      <c r="N1196" s="10"/>
      <c r="O1196" t="s">
        <v>255</v>
      </c>
      <c r="Q1196" t="s">
        <v>126</v>
      </c>
      <c r="R1196" t="s">
        <v>124</v>
      </c>
      <c r="S1196" t="b">
        <v>0</v>
      </c>
      <c r="T1196" t="s">
        <v>124</v>
      </c>
    </row>
    <row r="1197">
      <c r="A1197" t="s">
        <v>2517</v>
      </c>
      <c r="B1197" t="s">
        <v>2497</v>
      </c>
      <c r="C1197" s="2">
        <v>2023</v>
      </c>
      <c r="D1197" s="10">
        <v>10</v>
      </c>
      <c r="E1197" s="10">
        <v>2</v>
      </c>
      <c r="F1197" t="s">
        <v>2515</v>
      </c>
      <c r="G1197">
        <v>500</v>
      </c>
      <c r="H1197" t="s">
        <v>69</v>
      </c>
      <c r="I1197" t="s">
        <v>254</v>
      </c>
      <c r="J1197" s="10" t="str">
        <f>VLOOKUP(I1197,Categories!A:B,2,FALSE)</f>
        <v xml:space="preserve">Modified Bal.</v>
      </c>
      <c r="K1197" t="s">
        <v>2518</v>
      </c>
      <c r="L1197" s="10" t="str">
        <f>VLOOKUP(K1197,Accounts!A:B,2,FALSE)</f>
        <v>CBDC</v>
      </c>
      <c r="M1197" t="s">
        <v>124</v>
      </c>
      <c r="N1197" s="10"/>
      <c r="O1197" t="s">
        <v>255</v>
      </c>
      <c r="Q1197" t="s">
        <v>126</v>
      </c>
      <c r="R1197" t="s">
        <v>124</v>
      </c>
      <c r="S1197" t="b">
        <v>0</v>
      </c>
      <c r="T1197" t="s">
        <v>124</v>
      </c>
    </row>
    <row r="1198">
      <c r="A1198" t="s">
        <v>2519</v>
      </c>
      <c r="B1198" t="s">
        <v>2497</v>
      </c>
      <c r="C1198" s="2">
        <v>2023</v>
      </c>
      <c r="D1198" s="10">
        <v>10</v>
      </c>
      <c r="E1198" s="10">
        <v>2</v>
      </c>
      <c r="F1198" t="s">
        <v>2515</v>
      </c>
      <c r="G1198">
        <v>709</v>
      </c>
      <c r="H1198" t="s">
        <v>69</v>
      </c>
      <c r="I1198" t="s">
        <v>254</v>
      </c>
      <c r="J1198" s="10" t="str">
        <f>VLOOKUP(I1198,Categories!A:B,2,FALSE)</f>
        <v xml:space="preserve">Modified Bal.</v>
      </c>
      <c r="K1198" t="s">
        <v>2520</v>
      </c>
      <c r="L1198" s="10" t="str">
        <f>VLOOKUP(K1198,Accounts!A:B,2,FALSE)</f>
        <v>Truewallet</v>
      </c>
      <c r="M1198" t="s">
        <v>124</v>
      </c>
      <c r="N1198" s="10"/>
      <c r="O1198" t="s">
        <v>255</v>
      </c>
      <c r="Q1198" t="s">
        <v>126</v>
      </c>
      <c r="R1198" t="s">
        <v>124</v>
      </c>
      <c r="S1198" t="b">
        <v>0</v>
      </c>
      <c r="T1198" t="s">
        <v>124</v>
      </c>
    </row>
    <row r="1199">
      <c r="A1199" t="s">
        <v>2521</v>
      </c>
      <c r="B1199" t="s">
        <v>2522</v>
      </c>
      <c r="C1199" s="2">
        <v>2023</v>
      </c>
      <c r="D1199" s="10">
        <v>10</v>
      </c>
      <c r="E1199" s="10">
        <v>1</v>
      </c>
      <c r="F1199" t="s">
        <v>2523</v>
      </c>
      <c r="G1199">
        <v>16632.5</v>
      </c>
      <c r="H1199" t="s">
        <v>69</v>
      </c>
      <c r="I1199" t="s">
        <v>144</v>
      </c>
      <c r="J1199" s="10" t="str">
        <f>VLOOKUP(I1199,Categories!A:B,2,FALSE)</f>
        <v xml:space="preserve">Family paid</v>
      </c>
      <c r="K1199" t="s">
        <v>178</v>
      </c>
      <c r="L1199" s="10" t="str">
        <f>VLOOKUP(K1199,Accounts!A:B,2,FALSE)</f>
        <v>SCB</v>
      </c>
      <c r="M1199" t="s">
        <v>124</v>
      </c>
      <c r="N1199" s="10"/>
      <c r="O1199" t="s">
        <v>2524</v>
      </c>
      <c r="Q1199" t="s">
        <v>126</v>
      </c>
      <c r="R1199" t="s">
        <v>124</v>
      </c>
      <c r="S1199" t="b">
        <v>0</v>
      </c>
      <c r="T1199" t="s">
        <v>124</v>
      </c>
    </row>
    <row r="1200">
      <c r="A1200" t="s">
        <v>2525</v>
      </c>
      <c r="B1200" t="s">
        <v>2522</v>
      </c>
      <c r="C1200" s="2">
        <v>2023</v>
      </c>
      <c r="D1200" s="10">
        <v>10</v>
      </c>
      <c r="E1200" s="10">
        <v>1</v>
      </c>
      <c r="F1200" t="s">
        <v>1803</v>
      </c>
      <c r="G1200">
        <v>2500</v>
      </c>
      <c r="H1200" t="s">
        <v>69</v>
      </c>
      <c r="I1200" t="s">
        <v>144</v>
      </c>
      <c r="J1200" s="10" t="str">
        <f>VLOOKUP(I1200,Categories!A:B,2,FALSE)</f>
        <v xml:space="preserve">Family paid</v>
      </c>
      <c r="K1200" t="s">
        <v>425</v>
      </c>
      <c r="L1200" s="10" t="str">
        <f>VLOOKUP(K1200,Accounts!A:B,2,FALSE)</f>
        <v>Cash</v>
      </c>
      <c r="M1200" t="s">
        <v>124</v>
      </c>
      <c r="N1200" s="10"/>
      <c r="O1200" t="s">
        <v>125</v>
      </c>
      <c r="Q1200" t="s">
        <v>126</v>
      </c>
      <c r="R1200" t="s">
        <v>124</v>
      </c>
      <c r="S1200" t="b">
        <v>0</v>
      </c>
      <c r="T1200" t="s">
        <v>124</v>
      </c>
    </row>
    <row r="1201">
      <c r="A1201" t="s">
        <v>2526</v>
      </c>
      <c r="B1201" t="s">
        <v>2522</v>
      </c>
      <c r="C1201" s="2">
        <v>2023</v>
      </c>
      <c r="D1201" s="10">
        <v>10</v>
      </c>
      <c r="E1201" s="10">
        <v>1</v>
      </c>
      <c r="F1201" t="s">
        <v>1399</v>
      </c>
      <c r="G1201">
        <v>117</v>
      </c>
      <c r="H1201" t="s">
        <v>69</v>
      </c>
      <c r="I1201" t="s">
        <v>614</v>
      </c>
      <c r="J1201" s="10" t="str">
        <f>VLOOKUP(I1201,Categories!A:B,2,FALSE)</f>
        <v>Books</v>
      </c>
      <c r="K1201" t="s">
        <v>123</v>
      </c>
      <c r="L1201" s="10" t="str">
        <f>VLOOKUP(K1201,Accounts!A:B,2,FALSE)</f>
        <v>KBank</v>
      </c>
      <c r="M1201" t="s">
        <v>124</v>
      </c>
      <c r="N1201" s="10"/>
      <c r="O1201" t="s">
        <v>2527</v>
      </c>
      <c r="Q1201" t="s">
        <v>126</v>
      </c>
      <c r="R1201" t="s">
        <v>124</v>
      </c>
      <c r="S1201" t="b">
        <v>0</v>
      </c>
      <c r="T1201" t="s">
        <v>124</v>
      </c>
    </row>
    <row r="1202">
      <c r="A1202" t="s">
        <v>2528</v>
      </c>
      <c r="B1202" t="s">
        <v>2522</v>
      </c>
      <c r="C1202" s="2">
        <v>2023</v>
      </c>
      <c r="D1202" s="10">
        <v>10</v>
      </c>
      <c r="E1202" s="10">
        <v>1</v>
      </c>
      <c r="F1202" t="s">
        <v>2472</v>
      </c>
      <c r="G1202">
        <v>64</v>
      </c>
      <c r="H1202" t="s">
        <v>69</v>
      </c>
      <c r="I1202" t="s">
        <v>1339</v>
      </c>
      <c r="J1202" s="10" t="str">
        <f>VLOOKUP(I1202,Categories!A:B,2,FALSE)</f>
        <v>Manga</v>
      </c>
      <c r="K1202" t="s">
        <v>123</v>
      </c>
      <c r="L1202" s="10" t="str">
        <f>VLOOKUP(K1202,Accounts!A:B,2,FALSE)</f>
        <v>KBank</v>
      </c>
      <c r="M1202" t="s">
        <v>124</v>
      </c>
      <c r="N1202" s="10"/>
      <c r="O1202" t="s">
        <v>2529</v>
      </c>
      <c r="Q1202" t="s">
        <v>126</v>
      </c>
      <c r="R1202" t="s">
        <v>124</v>
      </c>
      <c r="S1202" t="b">
        <v>0</v>
      </c>
      <c r="T1202" t="s">
        <v>124</v>
      </c>
    </row>
    <row r="1203">
      <c r="A1203" t="s">
        <v>2530</v>
      </c>
      <c r="B1203" t="s">
        <v>2522</v>
      </c>
      <c r="C1203" s="2">
        <v>2023</v>
      </c>
      <c r="D1203" s="10">
        <v>10</v>
      </c>
      <c r="E1203" s="10">
        <v>1</v>
      </c>
      <c r="F1203" t="s">
        <v>2472</v>
      </c>
      <c r="G1203">
        <v>347</v>
      </c>
      <c r="H1203" t="s">
        <v>69</v>
      </c>
      <c r="I1203" t="s">
        <v>152</v>
      </c>
      <c r="J1203" s="10" t="str">
        <f>VLOOKUP(I1203,Categories!A:B,2,FALSE)</f>
        <v xml:space="preserve">Office Suit</v>
      </c>
      <c r="K1203" t="s">
        <v>123</v>
      </c>
      <c r="L1203" s="10" t="str">
        <f>VLOOKUP(K1203,Accounts!A:B,2,FALSE)</f>
        <v>KBank</v>
      </c>
      <c r="M1203" t="s">
        <v>124</v>
      </c>
      <c r="N1203" s="10"/>
      <c r="O1203" t="s">
        <v>2531</v>
      </c>
      <c r="Q1203" t="s">
        <v>126</v>
      </c>
      <c r="R1203" t="s">
        <v>124</v>
      </c>
      <c r="S1203" t="b">
        <v>0</v>
      </c>
      <c r="T1203" t="s">
        <v>124</v>
      </c>
    </row>
    <row r="1204">
      <c r="A1204" t="s">
        <v>2532</v>
      </c>
      <c r="B1204" t="s">
        <v>2522</v>
      </c>
      <c r="C1204" s="2">
        <v>2023</v>
      </c>
      <c r="D1204" s="10">
        <v>10</v>
      </c>
      <c r="E1204" s="10">
        <v>1</v>
      </c>
      <c r="F1204" t="s">
        <v>2052</v>
      </c>
      <c r="G1204">
        <v>91</v>
      </c>
      <c r="H1204" t="s">
        <v>69</v>
      </c>
      <c r="I1204" t="s">
        <v>150</v>
      </c>
      <c r="J1204" s="10" t="str">
        <f>VLOOKUP(I1204,Categories!A:B,2,FALSE)</f>
        <v xml:space="preserve">Food &amp; Coff</v>
      </c>
      <c r="K1204" t="s">
        <v>123</v>
      </c>
      <c r="L1204" s="10" t="str">
        <f>VLOOKUP(K1204,Accounts!A:B,2,FALSE)</f>
        <v>KBank</v>
      </c>
      <c r="M1204" t="s">
        <v>124</v>
      </c>
      <c r="N1204" s="10"/>
      <c r="O1204" t="s">
        <v>125</v>
      </c>
      <c r="Q1204" t="s">
        <v>126</v>
      </c>
      <c r="R1204" t="s">
        <v>124</v>
      </c>
      <c r="S1204" t="b">
        <v>0</v>
      </c>
      <c r="T1204" t="s">
        <v>124</v>
      </c>
    </row>
    <row r="1205">
      <c r="A1205" t="s">
        <v>2533</v>
      </c>
      <c r="B1205" t="s">
        <v>2522</v>
      </c>
      <c r="C1205" s="2">
        <v>2023</v>
      </c>
      <c r="D1205" s="10">
        <v>10</v>
      </c>
      <c r="E1205" s="10">
        <v>1</v>
      </c>
      <c r="F1205" t="s">
        <v>2534</v>
      </c>
      <c r="G1205">
        <v>1763.1500000000001</v>
      </c>
      <c r="H1205" t="s">
        <v>69</v>
      </c>
      <c r="I1205" t="s">
        <v>134</v>
      </c>
      <c r="J1205" s="10" t="str">
        <f>VLOOKUP(I1205,Categories!A:B,2,FALSE)</f>
        <v>Hong</v>
      </c>
      <c r="K1205" t="s">
        <v>123</v>
      </c>
      <c r="L1205" s="10" t="str">
        <f>VLOOKUP(K1205,Accounts!A:B,2,FALSE)</f>
        <v>KBank</v>
      </c>
      <c r="M1205" t="s">
        <v>124</v>
      </c>
      <c r="N1205" s="10"/>
      <c r="O1205" t="s">
        <v>2535</v>
      </c>
      <c r="Q1205" t="s">
        <v>126</v>
      </c>
      <c r="R1205" t="s">
        <v>124</v>
      </c>
      <c r="S1205" t="b">
        <v>0</v>
      </c>
      <c r="T1205" t="s">
        <v>124</v>
      </c>
    </row>
    <row r="1206">
      <c r="A1206" t="s">
        <v>2536</v>
      </c>
      <c r="B1206" t="s">
        <v>2522</v>
      </c>
      <c r="C1206" s="2">
        <v>2023</v>
      </c>
      <c r="D1206" s="10">
        <v>10</v>
      </c>
      <c r="E1206" s="10">
        <v>1</v>
      </c>
      <c r="F1206" t="s">
        <v>1920</v>
      </c>
      <c r="G1206">
        <v>2963</v>
      </c>
      <c r="H1206" t="s">
        <v>128</v>
      </c>
      <c r="I1206" t="s">
        <v>136</v>
      </c>
      <c r="J1206" s="10" t="str">
        <f>VLOOKUP(I1206,Categories!A:B,2,FALSE)</f>
        <v>อื่นๆ</v>
      </c>
      <c r="K1206" t="s">
        <v>123</v>
      </c>
      <c r="L1206" s="10" t="str">
        <f>VLOOKUP(K1206,Accounts!A:B,2,FALSE)</f>
        <v>KBank</v>
      </c>
      <c r="M1206" t="s">
        <v>131</v>
      </c>
      <c r="N1206" s="10" t="str">
        <f>VLOOKUP(M1206,Accounts!A:B,2,FALSE)</f>
        <v xml:space="preserve">Advance Paid</v>
      </c>
      <c r="O1206" t="s">
        <v>2537</v>
      </c>
      <c r="Q1206" t="s">
        <v>126</v>
      </c>
      <c r="R1206" t="s">
        <v>124</v>
      </c>
      <c r="S1206" t="b">
        <v>0</v>
      </c>
      <c r="T1206" t="s">
        <v>124</v>
      </c>
    </row>
    <row r="1207">
      <c r="A1207" t="s">
        <v>2538</v>
      </c>
      <c r="B1207" t="s">
        <v>2522</v>
      </c>
      <c r="C1207" s="2">
        <v>2023</v>
      </c>
      <c r="D1207" s="10">
        <v>10</v>
      </c>
      <c r="E1207" s="10">
        <v>1</v>
      </c>
      <c r="F1207" t="s">
        <v>2539</v>
      </c>
      <c r="G1207">
        <v>1080</v>
      </c>
      <c r="H1207" t="s">
        <v>69</v>
      </c>
      <c r="I1207" t="s">
        <v>1455</v>
      </c>
      <c r="J1207" s="10" t="str">
        <f>VLOOKUP(I1207,Categories!A:B,2,FALSE)</f>
        <v xml:space="preserve">Merit and gift</v>
      </c>
      <c r="K1207" t="s">
        <v>123</v>
      </c>
      <c r="L1207" s="10" t="str">
        <f>VLOOKUP(K1207,Accounts!A:B,2,FALSE)</f>
        <v>KBank</v>
      </c>
      <c r="M1207" t="s">
        <v>124</v>
      </c>
      <c r="N1207" s="10"/>
      <c r="O1207" t="s">
        <v>2540</v>
      </c>
      <c r="Q1207" t="s">
        <v>126</v>
      </c>
      <c r="R1207" t="s">
        <v>124</v>
      </c>
      <c r="S1207" t="b">
        <v>0</v>
      </c>
      <c r="T1207" t="s">
        <v>124</v>
      </c>
    </row>
    <row r="1208">
      <c r="A1208" t="s">
        <v>2541</v>
      </c>
      <c r="B1208" t="s">
        <v>2522</v>
      </c>
      <c r="C1208" s="2">
        <v>2023</v>
      </c>
      <c r="D1208" s="10">
        <v>10</v>
      </c>
      <c r="E1208" s="10">
        <v>1</v>
      </c>
      <c r="F1208" t="s">
        <v>2436</v>
      </c>
      <c r="G1208">
        <v>159</v>
      </c>
      <c r="H1208" t="s">
        <v>69</v>
      </c>
      <c r="I1208" t="s">
        <v>141</v>
      </c>
      <c r="J1208" s="10" t="str">
        <f>VLOOKUP(I1208,Categories!A:B,2,FALSE)</f>
        <v>Other</v>
      </c>
      <c r="K1208" t="s">
        <v>766</v>
      </c>
      <c r="L1208" s="10" t="str">
        <f>VLOOKUP(K1208,Accounts!A:B,2,FALSE)</f>
        <v>KRUNGSRI</v>
      </c>
      <c r="M1208" t="s">
        <v>124</v>
      </c>
      <c r="N1208" s="10"/>
      <c r="O1208" t="s">
        <v>125</v>
      </c>
      <c r="Q1208" t="s">
        <v>126</v>
      </c>
      <c r="R1208" t="s">
        <v>124</v>
      </c>
      <c r="S1208" t="b">
        <v>0</v>
      </c>
      <c r="T1208" t="s">
        <v>124</v>
      </c>
    </row>
    <row r="1209">
      <c r="A1209" t="s">
        <v>2542</v>
      </c>
      <c r="B1209" t="s">
        <v>2522</v>
      </c>
      <c r="C1209" s="2">
        <v>2023</v>
      </c>
      <c r="D1209" s="10">
        <v>10</v>
      </c>
      <c r="E1209" s="10">
        <v>1</v>
      </c>
      <c r="F1209" t="s">
        <v>2543</v>
      </c>
      <c r="G1209">
        <v>593</v>
      </c>
      <c r="H1209" t="s">
        <v>69</v>
      </c>
      <c r="I1209" t="s">
        <v>144</v>
      </c>
      <c r="J1209" s="10" t="str">
        <f>VLOOKUP(I1209,Categories!A:B,2,FALSE)</f>
        <v xml:space="preserve">Family paid</v>
      </c>
      <c r="K1209" t="s">
        <v>123</v>
      </c>
      <c r="L1209" s="10" t="str">
        <f>VLOOKUP(K1209,Accounts!A:B,2,FALSE)</f>
        <v>KBank</v>
      </c>
      <c r="M1209" t="s">
        <v>124</v>
      </c>
      <c r="N1209" s="10"/>
      <c r="O1209" t="s">
        <v>125</v>
      </c>
      <c r="Q1209" t="s">
        <v>126</v>
      </c>
      <c r="R1209" t="s">
        <v>124</v>
      </c>
      <c r="S1209" t="b">
        <v>0</v>
      </c>
      <c r="T1209" t="s">
        <v>124</v>
      </c>
    </row>
    <row r="1210">
      <c r="A1210" t="s">
        <v>2544</v>
      </c>
      <c r="B1210" t="s">
        <v>2522</v>
      </c>
      <c r="C1210" s="2">
        <v>2023</v>
      </c>
      <c r="D1210" s="10">
        <v>10</v>
      </c>
      <c r="E1210" s="10">
        <v>1</v>
      </c>
      <c r="F1210" t="s">
        <v>2543</v>
      </c>
      <c r="G1210">
        <v>1284.8199999999999</v>
      </c>
      <c r="H1210" t="s">
        <v>69</v>
      </c>
      <c r="I1210" t="s">
        <v>150</v>
      </c>
      <c r="J1210" s="10" t="str">
        <f>VLOOKUP(I1210,Categories!A:B,2,FALSE)</f>
        <v xml:space="preserve">Food &amp; Coff</v>
      </c>
      <c r="K1210" t="s">
        <v>123</v>
      </c>
      <c r="L1210" s="10" t="str">
        <f>VLOOKUP(K1210,Accounts!A:B,2,FALSE)</f>
        <v>KBank</v>
      </c>
      <c r="M1210" t="s">
        <v>124</v>
      </c>
      <c r="N1210" s="10"/>
      <c r="O1210" t="s">
        <v>125</v>
      </c>
      <c r="Q1210" t="s">
        <v>126</v>
      </c>
      <c r="R1210" t="s">
        <v>124</v>
      </c>
      <c r="S1210" t="b">
        <v>0</v>
      </c>
      <c r="T1210" t="s">
        <v>124</v>
      </c>
    </row>
    <row r="1211">
      <c r="A1211" t="s">
        <v>2545</v>
      </c>
      <c r="B1211" t="s">
        <v>2522</v>
      </c>
      <c r="C1211" s="2">
        <v>2023</v>
      </c>
      <c r="D1211" s="10">
        <v>10</v>
      </c>
      <c r="E1211" s="10">
        <v>1</v>
      </c>
      <c r="F1211" t="s">
        <v>2546</v>
      </c>
      <c r="G1211">
        <v>30000</v>
      </c>
      <c r="H1211" t="s">
        <v>128</v>
      </c>
      <c r="I1211" t="s">
        <v>136</v>
      </c>
      <c r="J1211" s="10" t="str">
        <f>VLOOKUP(I1211,Categories!A:B,2,FALSE)</f>
        <v>อื่นๆ</v>
      </c>
      <c r="K1211" t="s">
        <v>178</v>
      </c>
      <c r="L1211" s="10" t="str">
        <f>VLOOKUP(K1211,Accounts!A:B,2,FALSE)</f>
        <v>SCB</v>
      </c>
      <c r="M1211" t="s">
        <v>123</v>
      </c>
      <c r="N1211" s="10" t="str">
        <f>VLOOKUP(M1211,Accounts!A:B,2,FALSE)</f>
        <v>KBank</v>
      </c>
      <c r="O1211" t="s">
        <v>125</v>
      </c>
      <c r="Q1211" t="s">
        <v>126</v>
      </c>
      <c r="R1211" t="s">
        <v>124</v>
      </c>
      <c r="S1211" t="b">
        <v>0</v>
      </c>
      <c r="T1211" t="s">
        <v>124</v>
      </c>
    </row>
    <row r="1212">
      <c r="A1212" t="s">
        <v>2547</v>
      </c>
      <c r="B1212" t="s">
        <v>2522</v>
      </c>
      <c r="C1212" s="2">
        <v>2023</v>
      </c>
      <c r="D1212" s="10">
        <v>10</v>
      </c>
      <c r="E1212" s="10">
        <v>1</v>
      </c>
      <c r="F1212" t="s">
        <v>2548</v>
      </c>
      <c r="G1212">
        <v>1000</v>
      </c>
      <c r="H1212" t="s">
        <v>69</v>
      </c>
      <c r="I1212" t="s">
        <v>150</v>
      </c>
      <c r="J1212" s="10" t="str">
        <f>VLOOKUP(I1212,Categories!A:B,2,FALSE)</f>
        <v xml:space="preserve">Food &amp; Coff</v>
      </c>
      <c r="K1212" t="s">
        <v>123</v>
      </c>
      <c r="L1212" s="10" t="str">
        <f>VLOOKUP(K1212,Accounts!A:B,2,FALSE)</f>
        <v>KBank</v>
      </c>
      <c r="M1212" t="s">
        <v>124</v>
      </c>
      <c r="N1212" s="10"/>
      <c r="O1212" t="s">
        <v>125</v>
      </c>
      <c r="Q1212" t="s">
        <v>126</v>
      </c>
      <c r="R1212" t="s">
        <v>124</v>
      </c>
      <c r="S1212" t="b">
        <v>0</v>
      </c>
      <c r="T1212" t="s">
        <v>124</v>
      </c>
    </row>
    <row r="1213">
      <c r="A1213" t="s">
        <v>2549</v>
      </c>
      <c r="B1213" t="s">
        <v>2522</v>
      </c>
      <c r="C1213" s="2">
        <v>2023</v>
      </c>
      <c r="D1213" s="10">
        <v>10</v>
      </c>
      <c r="E1213" s="10">
        <v>1</v>
      </c>
      <c r="F1213" t="s">
        <v>2548</v>
      </c>
      <c r="G1213">
        <v>591</v>
      </c>
      <c r="H1213" t="s">
        <v>69</v>
      </c>
      <c r="I1213" t="s">
        <v>1679</v>
      </c>
      <c r="J1213" s="10" t="str">
        <f>VLOOKUP(I1213,Categories!A:B,2,FALSE)</f>
        <v xml:space="preserve">Condo stuff</v>
      </c>
      <c r="K1213" t="s">
        <v>123</v>
      </c>
      <c r="L1213" s="10" t="str">
        <f>VLOOKUP(K1213,Accounts!A:B,2,FALSE)</f>
        <v>KBank</v>
      </c>
      <c r="M1213" t="s">
        <v>124</v>
      </c>
      <c r="N1213" s="10"/>
      <c r="O1213" t="s">
        <v>125</v>
      </c>
      <c r="Q1213" t="s">
        <v>126</v>
      </c>
      <c r="R1213" t="s">
        <v>124</v>
      </c>
      <c r="S1213" t="b">
        <v>0</v>
      </c>
      <c r="T1213" t="s">
        <v>124</v>
      </c>
    </row>
    <row r="1214">
      <c r="A1214" t="s">
        <v>2550</v>
      </c>
      <c r="B1214" t="s">
        <v>2522</v>
      </c>
      <c r="C1214" s="2">
        <v>2023</v>
      </c>
      <c r="D1214" s="10">
        <v>10</v>
      </c>
      <c r="E1214" s="10">
        <v>1</v>
      </c>
      <c r="F1214" t="s">
        <v>2548</v>
      </c>
      <c r="G1214">
        <v>511</v>
      </c>
      <c r="H1214" t="s">
        <v>128</v>
      </c>
      <c r="I1214" t="s">
        <v>136</v>
      </c>
      <c r="J1214" s="10" t="str">
        <f>VLOOKUP(I1214,Categories!A:B,2,FALSE)</f>
        <v>อื่นๆ</v>
      </c>
      <c r="K1214" t="s">
        <v>123</v>
      </c>
      <c r="L1214" s="10" t="str">
        <f>VLOOKUP(K1214,Accounts!A:B,2,FALSE)</f>
        <v>KBank</v>
      </c>
      <c r="M1214" t="s">
        <v>131</v>
      </c>
      <c r="N1214" s="10" t="str">
        <f>VLOOKUP(M1214,Accounts!A:B,2,FALSE)</f>
        <v xml:space="preserve">Advance Paid</v>
      </c>
      <c r="O1214" t="s">
        <v>2551</v>
      </c>
      <c r="Q1214" t="s">
        <v>126</v>
      </c>
      <c r="R1214" t="s">
        <v>124</v>
      </c>
      <c r="S1214" t="b">
        <v>0</v>
      </c>
      <c r="T1214" t="s">
        <v>124</v>
      </c>
    </row>
    <row r="1215">
      <c r="A1215" t="s">
        <v>2552</v>
      </c>
      <c r="B1215" t="s">
        <v>2553</v>
      </c>
      <c r="C1215" s="2">
        <v>2023</v>
      </c>
      <c r="D1215" s="10">
        <v>9</v>
      </c>
      <c r="E1215" s="10">
        <v>30</v>
      </c>
      <c r="F1215" t="s">
        <v>2554</v>
      </c>
      <c r="G1215">
        <v>258.56999999999999</v>
      </c>
      <c r="H1215" t="s">
        <v>69</v>
      </c>
      <c r="I1215" t="s">
        <v>150</v>
      </c>
      <c r="J1215" s="10" t="str">
        <f>VLOOKUP(I1215,Categories!A:B,2,FALSE)</f>
        <v xml:space="preserve">Food &amp; Coff</v>
      </c>
      <c r="K1215" t="s">
        <v>235</v>
      </c>
      <c r="L1215" s="10" t="str">
        <f>VLOOKUP(K1215,Accounts!A:B,2,FALSE)</f>
        <v xml:space="preserve">JPY cash</v>
      </c>
      <c r="M1215" t="s">
        <v>124</v>
      </c>
      <c r="N1215" s="10"/>
      <c r="O1215" t="s">
        <v>2555</v>
      </c>
      <c r="Q1215" t="s">
        <v>126</v>
      </c>
      <c r="R1215" t="s">
        <v>124</v>
      </c>
      <c r="S1215" t="b">
        <v>0</v>
      </c>
      <c r="T1215" t="s">
        <v>124</v>
      </c>
    </row>
    <row r="1216">
      <c r="A1216" t="s">
        <v>2556</v>
      </c>
      <c r="B1216" t="s">
        <v>2553</v>
      </c>
      <c r="C1216" s="2">
        <v>2023</v>
      </c>
      <c r="D1216" s="10">
        <v>9</v>
      </c>
      <c r="E1216" s="10">
        <v>30</v>
      </c>
      <c r="F1216" t="s">
        <v>705</v>
      </c>
      <c r="G1216">
        <v>360.44999999999999</v>
      </c>
      <c r="H1216" t="s">
        <v>69</v>
      </c>
      <c r="I1216" t="s">
        <v>141</v>
      </c>
      <c r="J1216" s="10" t="str">
        <f>VLOOKUP(I1216,Categories!A:B,2,FALSE)</f>
        <v>Other</v>
      </c>
      <c r="K1216" t="s">
        <v>235</v>
      </c>
      <c r="L1216" s="10" t="str">
        <f>VLOOKUP(K1216,Accounts!A:B,2,FALSE)</f>
        <v xml:space="preserve">JPY cash</v>
      </c>
      <c r="M1216" t="s">
        <v>124</v>
      </c>
      <c r="N1216" s="10"/>
      <c r="O1216" t="s">
        <v>2557</v>
      </c>
      <c r="Q1216" t="s">
        <v>126</v>
      </c>
      <c r="R1216" t="s">
        <v>124</v>
      </c>
      <c r="S1216" t="b">
        <v>0</v>
      </c>
      <c r="T1216" t="s">
        <v>124</v>
      </c>
    </row>
    <row r="1217">
      <c r="A1217" t="s">
        <v>2558</v>
      </c>
      <c r="B1217" t="s">
        <v>2553</v>
      </c>
      <c r="C1217" s="2">
        <v>2023</v>
      </c>
      <c r="D1217" s="10">
        <v>9</v>
      </c>
      <c r="E1217" s="10">
        <v>30</v>
      </c>
      <c r="F1217" t="s">
        <v>705</v>
      </c>
      <c r="G1217">
        <v>149.97</v>
      </c>
      <c r="H1217" t="s">
        <v>69</v>
      </c>
      <c r="I1217" t="s">
        <v>150</v>
      </c>
      <c r="J1217" s="10" t="str">
        <f>VLOOKUP(I1217,Categories!A:B,2,FALSE)</f>
        <v xml:space="preserve">Food &amp; Coff</v>
      </c>
      <c r="K1217" t="s">
        <v>235</v>
      </c>
      <c r="L1217" s="10" t="str">
        <f>VLOOKUP(K1217,Accounts!A:B,2,FALSE)</f>
        <v xml:space="preserve">JPY cash</v>
      </c>
      <c r="M1217" t="s">
        <v>124</v>
      </c>
      <c r="N1217" s="10"/>
      <c r="O1217" t="s">
        <v>2559</v>
      </c>
      <c r="Q1217" t="s">
        <v>126</v>
      </c>
      <c r="R1217" t="s">
        <v>124</v>
      </c>
      <c r="S1217" t="b">
        <v>0</v>
      </c>
      <c r="T1217" t="s">
        <v>124</v>
      </c>
    </row>
    <row r="1218">
      <c r="A1218" t="s">
        <v>2560</v>
      </c>
      <c r="B1218" t="s">
        <v>2553</v>
      </c>
      <c r="C1218" s="2">
        <v>2023</v>
      </c>
      <c r="D1218" s="10">
        <v>9</v>
      </c>
      <c r="E1218" s="10">
        <v>30</v>
      </c>
      <c r="F1218" t="s">
        <v>270</v>
      </c>
      <c r="G1218">
        <v>44.990000000000002</v>
      </c>
      <c r="H1218" t="s">
        <v>69</v>
      </c>
      <c r="I1218" t="s">
        <v>150</v>
      </c>
      <c r="J1218" s="10" t="str">
        <f>VLOOKUP(I1218,Categories!A:B,2,FALSE)</f>
        <v xml:space="preserve">Food &amp; Coff</v>
      </c>
      <c r="K1218" t="s">
        <v>235</v>
      </c>
      <c r="L1218" s="10" t="str">
        <f>VLOOKUP(K1218,Accounts!A:B,2,FALSE)</f>
        <v xml:space="preserve">JPY cash</v>
      </c>
      <c r="M1218" t="s">
        <v>124</v>
      </c>
      <c r="N1218" s="10"/>
      <c r="O1218" t="s">
        <v>2561</v>
      </c>
      <c r="Q1218" t="s">
        <v>126</v>
      </c>
      <c r="R1218" t="s">
        <v>124</v>
      </c>
      <c r="S1218" t="b">
        <v>0</v>
      </c>
      <c r="T1218" t="s">
        <v>124</v>
      </c>
    </row>
    <row r="1219">
      <c r="A1219" t="s">
        <v>2562</v>
      </c>
      <c r="B1219" t="s">
        <v>2553</v>
      </c>
      <c r="C1219" s="2">
        <v>2023</v>
      </c>
      <c r="D1219" s="10">
        <v>9</v>
      </c>
      <c r="E1219" s="10">
        <v>30</v>
      </c>
      <c r="F1219" t="s">
        <v>2045</v>
      </c>
      <c r="G1219">
        <v>1320.79</v>
      </c>
      <c r="H1219" t="s">
        <v>69</v>
      </c>
      <c r="I1219" t="s">
        <v>254</v>
      </c>
      <c r="J1219" s="10" t="str">
        <f>VLOOKUP(I1219,Categories!A:B,2,FALSE)</f>
        <v xml:space="preserve">Modified Bal.</v>
      </c>
      <c r="K1219" t="s">
        <v>235</v>
      </c>
      <c r="L1219" s="10" t="str">
        <f>VLOOKUP(K1219,Accounts!A:B,2,FALSE)</f>
        <v xml:space="preserve">JPY cash</v>
      </c>
      <c r="M1219" t="s">
        <v>124</v>
      </c>
      <c r="N1219" s="10"/>
      <c r="O1219" t="s">
        <v>2563</v>
      </c>
      <c r="Q1219" t="s">
        <v>126</v>
      </c>
      <c r="R1219" t="s">
        <v>124</v>
      </c>
      <c r="S1219" t="b">
        <v>0</v>
      </c>
      <c r="T1219" t="s">
        <v>124</v>
      </c>
    </row>
    <row r="1220">
      <c r="A1220" t="s">
        <v>2564</v>
      </c>
      <c r="B1220" t="s">
        <v>2553</v>
      </c>
      <c r="C1220" s="2">
        <v>2023</v>
      </c>
      <c r="D1220" s="10">
        <v>9</v>
      </c>
      <c r="E1220" s="10">
        <v>30</v>
      </c>
      <c r="F1220" t="s">
        <v>2045</v>
      </c>
      <c r="G1220">
        <v>137.03999999999999</v>
      </c>
      <c r="H1220" t="s">
        <v>69</v>
      </c>
      <c r="I1220" t="s">
        <v>254</v>
      </c>
      <c r="J1220" s="10" t="str">
        <f>VLOOKUP(I1220,Categories!A:B,2,FALSE)</f>
        <v xml:space="preserve">Modified Bal.</v>
      </c>
      <c r="K1220" t="s">
        <v>1824</v>
      </c>
      <c r="L1220" s="10" t="str">
        <f>VLOOKUP(K1220,Accounts!A:B,2,FALSE)</f>
        <v xml:space="preserve">suica card</v>
      </c>
      <c r="M1220" t="s">
        <v>124</v>
      </c>
      <c r="N1220" s="10"/>
      <c r="O1220" t="s">
        <v>2563</v>
      </c>
      <c r="Q1220" t="s">
        <v>126</v>
      </c>
      <c r="R1220" t="s">
        <v>124</v>
      </c>
      <c r="S1220" t="b">
        <v>0</v>
      </c>
      <c r="T1220" t="s">
        <v>124</v>
      </c>
    </row>
    <row r="1221">
      <c r="A1221" t="s">
        <v>2565</v>
      </c>
      <c r="B1221" t="s">
        <v>2566</v>
      </c>
      <c r="C1221" s="2">
        <v>2023</v>
      </c>
      <c r="D1221" s="10">
        <v>9</v>
      </c>
      <c r="E1221" s="10">
        <v>29</v>
      </c>
      <c r="F1221" t="s">
        <v>1146</v>
      </c>
      <c r="G1221">
        <v>853.28999999999996</v>
      </c>
      <c r="H1221" t="s">
        <v>69</v>
      </c>
      <c r="I1221" t="s">
        <v>141</v>
      </c>
      <c r="J1221" s="10" t="str">
        <f>VLOOKUP(I1221,Categories!A:B,2,FALSE)</f>
        <v>Other</v>
      </c>
      <c r="K1221" t="s">
        <v>235</v>
      </c>
      <c r="L1221" s="10" t="str">
        <f>VLOOKUP(K1221,Accounts!A:B,2,FALSE)</f>
        <v xml:space="preserve">JPY cash</v>
      </c>
      <c r="M1221" t="s">
        <v>124</v>
      </c>
      <c r="N1221" s="10"/>
      <c r="O1221" t="s">
        <v>2567</v>
      </c>
      <c r="Q1221" t="s">
        <v>126</v>
      </c>
      <c r="R1221" t="s">
        <v>124</v>
      </c>
      <c r="S1221" t="b">
        <v>0</v>
      </c>
      <c r="T1221" t="s">
        <v>124</v>
      </c>
    </row>
    <row r="1222">
      <c r="A1222" t="s">
        <v>2568</v>
      </c>
      <c r="B1222" t="s">
        <v>2566</v>
      </c>
      <c r="C1222" s="2">
        <v>2023</v>
      </c>
      <c r="D1222" s="10">
        <v>9</v>
      </c>
      <c r="E1222" s="10">
        <v>29</v>
      </c>
      <c r="F1222" t="s">
        <v>183</v>
      </c>
      <c r="G1222">
        <v>294.76999999999998</v>
      </c>
      <c r="H1222" t="s">
        <v>69</v>
      </c>
      <c r="I1222" t="s">
        <v>150</v>
      </c>
      <c r="J1222" s="10" t="str">
        <f>VLOOKUP(I1222,Categories!A:B,2,FALSE)</f>
        <v xml:space="preserve">Food &amp; Coff</v>
      </c>
      <c r="K1222" t="s">
        <v>235</v>
      </c>
      <c r="L1222" s="10" t="str">
        <f>VLOOKUP(K1222,Accounts!A:B,2,FALSE)</f>
        <v xml:space="preserve">JPY cash</v>
      </c>
      <c r="M1222" t="s">
        <v>124</v>
      </c>
      <c r="N1222" s="10"/>
      <c r="O1222" t="s">
        <v>125</v>
      </c>
      <c r="Q1222" t="s">
        <v>126</v>
      </c>
      <c r="R1222" t="s">
        <v>124</v>
      </c>
      <c r="S1222" t="b">
        <v>0</v>
      </c>
      <c r="T1222" t="s">
        <v>124</v>
      </c>
    </row>
    <row r="1223">
      <c r="A1223" t="s">
        <v>2569</v>
      </c>
      <c r="B1223" t="s">
        <v>2566</v>
      </c>
      <c r="C1223" s="2">
        <v>2023</v>
      </c>
      <c r="D1223" s="10">
        <v>9</v>
      </c>
      <c r="E1223" s="10">
        <v>29</v>
      </c>
      <c r="F1223" t="s">
        <v>2461</v>
      </c>
      <c r="G1223">
        <v>285.98000000000002</v>
      </c>
      <c r="H1223" t="s">
        <v>69</v>
      </c>
      <c r="I1223" t="s">
        <v>150</v>
      </c>
      <c r="J1223" s="10" t="str">
        <f>VLOOKUP(I1223,Categories!A:B,2,FALSE)</f>
        <v xml:space="preserve">Food &amp; Coff</v>
      </c>
      <c r="K1223" t="s">
        <v>235</v>
      </c>
      <c r="L1223" s="10" t="str">
        <f>VLOOKUP(K1223,Accounts!A:B,2,FALSE)</f>
        <v xml:space="preserve">JPY cash</v>
      </c>
      <c r="M1223" t="s">
        <v>124</v>
      </c>
      <c r="N1223" s="10"/>
      <c r="O1223" t="s">
        <v>2570</v>
      </c>
      <c r="Q1223" t="s">
        <v>126</v>
      </c>
      <c r="R1223" t="s">
        <v>124</v>
      </c>
      <c r="S1223" t="b">
        <v>0</v>
      </c>
      <c r="T1223" t="s">
        <v>124</v>
      </c>
    </row>
    <row r="1224">
      <c r="A1224" t="s">
        <v>2571</v>
      </c>
      <c r="B1224" t="s">
        <v>2566</v>
      </c>
      <c r="C1224" s="2">
        <v>2023</v>
      </c>
      <c r="D1224" s="10">
        <v>9</v>
      </c>
      <c r="E1224" s="10">
        <v>29</v>
      </c>
      <c r="F1224" t="s">
        <v>2572</v>
      </c>
      <c r="G1224">
        <v>3232.1599999999999</v>
      </c>
      <c r="H1224" t="s">
        <v>69</v>
      </c>
      <c r="I1224" t="s">
        <v>141</v>
      </c>
      <c r="J1224" s="10" t="str">
        <f>VLOOKUP(I1224,Categories!A:B,2,FALSE)</f>
        <v>Other</v>
      </c>
      <c r="K1224" t="s">
        <v>235</v>
      </c>
      <c r="L1224" s="10" t="str">
        <f>VLOOKUP(K1224,Accounts!A:B,2,FALSE)</f>
        <v xml:space="preserve">JPY cash</v>
      </c>
      <c r="M1224" t="s">
        <v>124</v>
      </c>
      <c r="N1224" s="10"/>
      <c r="O1224" t="s">
        <v>2573</v>
      </c>
      <c r="Q1224" t="s">
        <v>126</v>
      </c>
      <c r="R1224" t="s">
        <v>124</v>
      </c>
      <c r="S1224" t="b">
        <v>0</v>
      </c>
      <c r="T1224" t="s">
        <v>124</v>
      </c>
    </row>
    <row r="1225">
      <c r="A1225" t="s">
        <v>2574</v>
      </c>
      <c r="B1225" t="s">
        <v>2575</v>
      </c>
      <c r="C1225" s="2">
        <v>2023</v>
      </c>
      <c r="D1225" s="10">
        <v>9</v>
      </c>
      <c r="E1225" s="10">
        <v>27</v>
      </c>
      <c r="F1225" t="s">
        <v>2493</v>
      </c>
      <c r="G1225">
        <v>155.13999999999999</v>
      </c>
      <c r="H1225" t="s">
        <v>69</v>
      </c>
      <c r="I1225" t="s">
        <v>141</v>
      </c>
      <c r="J1225" s="10" t="str">
        <f>VLOOKUP(I1225,Categories!A:B,2,FALSE)</f>
        <v>Other</v>
      </c>
      <c r="K1225" t="s">
        <v>235</v>
      </c>
      <c r="L1225" s="10" t="str">
        <f>VLOOKUP(K1225,Accounts!A:B,2,FALSE)</f>
        <v xml:space="preserve">JPY cash</v>
      </c>
      <c r="M1225" t="s">
        <v>124</v>
      </c>
      <c r="N1225" s="10"/>
      <c r="O1225" t="s">
        <v>2576</v>
      </c>
      <c r="Q1225" t="s">
        <v>126</v>
      </c>
      <c r="R1225" t="s">
        <v>124</v>
      </c>
      <c r="S1225" t="b">
        <v>0</v>
      </c>
      <c r="T1225" t="s">
        <v>124</v>
      </c>
    </row>
    <row r="1226">
      <c r="A1226" t="s">
        <v>2577</v>
      </c>
      <c r="B1226" t="s">
        <v>2575</v>
      </c>
      <c r="C1226" s="2">
        <v>2023</v>
      </c>
      <c r="D1226" s="10">
        <v>9</v>
      </c>
      <c r="E1226" s="10">
        <v>27</v>
      </c>
      <c r="F1226" t="s">
        <v>1052</v>
      </c>
      <c r="G1226">
        <v>193.93000000000001</v>
      </c>
      <c r="H1226" t="s">
        <v>69</v>
      </c>
      <c r="I1226" t="s">
        <v>150</v>
      </c>
      <c r="J1226" s="10" t="str">
        <f>VLOOKUP(I1226,Categories!A:B,2,FALSE)</f>
        <v xml:space="preserve">Food &amp; Coff</v>
      </c>
      <c r="K1226" t="s">
        <v>235</v>
      </c>
      <c r="L1226" s="10" t="str">
        <f>VLOOKUP(K1226,Accounts!A:B,2,FALSE)</f>
        <v xml:space="preserve">JPY cash</v>
      </c>
      <c r="M1226" t="s">
        <v>124</v>
      </c>
      <c r="N1226" s="10"/>
      <c r="O1226" t="s">
        <v>2578</v>
      </c>
      <c r="Q1226" t="s">
        <v>126</v>
      </c>
      <c r="R1226" t="s">
        <v>124</v>
      </c>
      <c r="S1226" t="b">
        <v>0</v>
      </c>
      <c r="T1226" t="s">
        <v>124</v>
      </c>
    </row>
    <row r="1227">
      <c r="A1227" t="s">
        <v>2579</v>
      </c>
      <c r="B1227" t="s">
        <v>2580</v>
      </c>
      <c r="C1227" s="2">
        <v>2023</v>
      </c>
      <c r="D1227" s="10">
        <v>9</v>
      </c>
      <c r="E1227" s="10">
        <v>26</v>
      </c>
      <c r="F1227" t="s">
        <v>2581</v>
      </c>
      <c r="G1227">
        <v>43.960000000000001</v>
      </c>
      <c r="H1227" t="s">
        <v>69</v>
      </c>
      <c r="I1227" t="s">
        <v>150</v>
      </c>
      <c r="J1227" s="10" t="str">
        <f>VLOOKUP(I1227,Categories!A:B,2,FALSE)</f>
        <v xml:space="preserve">Food &amp; Coff</v>
      </c>
      <c r="K1227" t="s">
        <v>1824</v>
      </c>
      <c r="L1227" s="10" t="str">
        <f>VLOOKUP(K1227,Accounts!A:B,2,FALSE)</f>
        <v xml:space="preserve">suica card</v>
      </c>
      <c r="M1227" t="s">
        <v>124</v>
      </c>
      <c r="N1227" s="10"/>
      <c r="O1227" t="s">
        <v>2582</v>
      </c>
      <c r="Q1227" t="s">
        <v>126</v>
      </c>
      <c r="R1227" t="s">
        <v>124</v>
      </c>
      <c r="S1227" t="b">
        <v>0</v>
      </c>
      <c r="T1227" t="s">
        <v>124</v>
      </c>
    </row>
    <row r="1228">
      <c r="A1228" t="s">
        <v>2583</v>
      </c>
      <c r="B1228" t="s">
        <v>2580</v>
      </c>
      <c r="C1228" s="2">
        <v>2023</v>
      </c>
      <c r="D1228" s="10">
        <v>9</v>
      </c>
      <c r="E1228" s="10">
        <v>26</v>
      </c>
      <c r="F1228" t="s">
        <v>2584</v>
      </c>
      <c r="G1228">
        <v>43.960000000000001</v>
      </c>
      <c r="H1228" t="s">
        <v>69</v>
      </c>
      <c r="I1228" t="s">
        <v>150</v>
      </c>
      <c r="J1228" s="10" t="str">
        <f>VLOOKUP(I1228,Categories!A:B,2,FALSE)</f>
        <v xml:space="preserve">Food &amp; Coff</v>
      </c>
      <c r="K1228" t="s">
        <v>235</v>
      </c>
      <c r="L1228" s="10" t="str">
        <f>VLOOKUP(K1228,Accounts!A:B,2,FALSE)</f>
        <v xml:space="preserve">JPY cash</v>
      </c>
      <c r="M1228" t="s">
        <v>124</v>
      </c>
      <c r="N1228" s="10"/>
      <c r="O1228" t="s">
        <v>2585</v>
      </c>
      <c r="Q1228" t="s">
        <v>126</v>
      </c>
      <c r="R1228" t="s">
        <v>124</v>
      </c>
      <c r="S1228" t="b">
        <v>0</v>
      </c>
      <c r="T1228" t="s">
        <v>124</v>
      </c>
    </row>
    <row r="1229">
      <c r="A1229" t="s">
        <v>2586</v>
      </c>
      <c r="B1229" t="s">
        <v>2580</v>
      </c>
      <c r="C1229" s="2">
        <v>2023</v>
      </c>
      <c r="D1229" s="10">
        <v>9</v>
      </c>
      <c r="E1229" s="10">
        <v>26</v>
      </c>
      <c r="F1229" t="s">
        <v>2587</v>
      </c>
      <c r="G1229">
        <v>51.710000000000001</v>
      </c>
      <c r="H1229" t="s">
        <v>69</v>
      </c>
      <c r="I1229" t="s">
        <v>141</v>
      </c>
      <c r="J1229" s="10" t="str">
        <f>VLOOKUP(I1229,Categories!A:B,2,FALSE)</f>
        <v>Other</v>
      </c>
      <c r="K1229" t="s">
        <v>235</v>
      </c>
      <c r="L1229" s="10" t="str">
        <f>VLOOKUP(K1229,Accounts!A:B,2,FALSE)</f>
        <v xml:space="preserve">JPY cash</v>
      </c>
      <c r="M1229" t="s">
        <v>124</v>
      </c>
      <c r="N1229" s="10"/>
      <c r="O1229" t="s">
        <v>2588</v>
      </c>
      <c r="Q1229" t="s">
        <v>126</v>
      </c>
      <c r="R1229" t="s">
        <v>124</v>
      </c>
      <c r="S1229" t="b">
        <v>0</v>
      </c>
      <c r="T1229" t="s">
        <v>124</v>
      </c>
    </row>
    <row r="1230">
      <c r="A1230" t="s">
        <v>2589</v>
      </c>
      <c r="B1230" t="s">
        <v>2580</v>
      </c>
      <c r="C1230" s="2">
        <v>2023</v>
      </c>
      <c r="D1230" s="10">
        <v>9</v>
      </c>
      <c r="E1230" s="10">
        <v>26</v>
      </c>
      <c r="F1230" t="s">
        <v>367</v>
      </c>
      <c r="G1230">
        <v>1913.4400000000001</v>
      </c>
      <c r="H1230" t="s">
        <v>69</v>
      </c>
      <c r="I1230" t="s">
        <v>141</v>
      </c>
      <c r="J1230" s="10" t="str">
        <f>VLOOKUP(I1230,Categories!A:B,2,FALSE)</f>
        <v>Other</v>
      </c>
      <c r="K1230" t="s">
        <v>235</v>
      </c>
      <c r="L1230" s="10" t="str">
        <f>VLOOKUP(K1230,Accounts!A:B,2,FALSE)</f>
        <v xml:space="preserve">JPY cash</v>
      </c>
      <c r="M1230" t="s">
        <v>124</v>
      </c>
      <c r="N1230" s="10"/>
      <c r="O1230" t="s">
        <v>2590</v>
      </c>
      <c r="Q1230" t="s">
        <v>126</v>
      </c>
      <c r="R1230" t="s">
        <v>124</v>
      </c>
      <c r="S1230" t="b">
        <v>0</v>
      </c>
      <c r="T1230" t="s">
        <v>124</v>
      </c>
    </row>
    <row r="1231">
      <c r="A1231" t="s">
        <v>2591</v>
      </c>
      <c r="B1231" t="s">
        <v>2580</v>
      </c>
      <c r="C1231" s="2">
        <v>2023</v>
      </c>
      <c r="D1231" s="10">
        <v>9</v>
      </c>
      <c r="E1231" s="10">
        <v>26</v>
      </c>
      <c r="F1231" t="s">
        <v>2592</v>
      </c>
      <c r="G1231">
        <v>724</v>
      </c>
      <c r="H1231" t="s">
        <v>69</v>
      </c>
      <c r="I1231" t="s">
        <v>141</v>
      </c>
      <c r="J1231" s="10" t="str">
        <f>VLOOKUP(I1231,Categories!A:B,2,FALSE)</f>
        <v>Other</v>
      </c>
      <c r="K1231" t="s">
        <v>235</v>
      </c>
      <c r="L1231" s="10" t="str">
        <f>VLOOKUP(K1231,Accounts!A:B,2,FALSE)</f>
        <v xml:space="preserve">JPY cash</v>
      </c>
      <c r="M1231" t="s">
        <v>124</v>
      </c>
      <c r="N1231" s="10"/>
      <c r="O1231" t="s">
        <v>2593</v>
      </c>
      <c r="Q1231" t="s">
        <v>126</v>
      </c>
      <c r="R1231" t="s">
        <v>124</v>
      </c>
      <c r="S1231" t="b">
        <v>0</v>
      </c>
      <c r="T1231" t="s">
        <v>124</v>
      </c>
    </row>
    <row r="1232">
      <c r="A1232" t="s">
        <v>2594</v>
      </c>
      <c r="B1232" t="s">
        <v>2580</v>
      </c>
      <c r="C1232" s="2">
        <v>2023</v>
      </c>
      <c r="D1232" s="10">
        <v>9</v>
      </c>
      <c r="E1232" s="10">
        <v>26</v>
      </c>
      <c r="F1232" t="s">
        <v>1221</v>
      </c>
      <c r="G1232">
        <v>131.87</v>
      </c>
      <c r="H1232" t="s">
        <v>69</v>
      </c>
      <c r="I1232" t="s">
        <v>1508</v>
      </c>
      <c r="J1232" s="10" t="str">
        <f>VLOOKUP(I1232,Categories!A:B,2,FALSE)</f>
        <v>Other</v>
      </c>
      <c r="K1232" t="s">
        <v>1824</v>
      </c>
      <c r="L1232" s="10" t="str">
        <f>VLOOKUP(K1232,Accounts!A:B,2,FALSE)</f>
        <v xml:space="preserve">suica card</v>
      </c>
      <c r="M1232" t="s">
        <v>124</v>
      </c>
      <c r="N1232" s="10"/>
      <c r="O1232" t="s">
        <v>2595</v>
      </c>
      <c r="Q1232" t="s">
        <v>126</v>
      </c>
      <c r="R1232" t="s">
        <v>124</v>
      </c>
      <c r="S1232" t="b">
        <v>0</v>
      </c>
      <c r="T1232" t="s">
        <v>124</v>
      </c>
    </row>
    <row r="1233">
      <c r="A1233" t="s">
        <v>2596</v>
      </c>
      <c r="B1233" t="s">
        <v>2597</v>
      </c>
      <c r="C1233" s="2">
        <v>2023</v>
      </c>
      <c r="D1233" s="10">
        <v>9</v>
      </c>
      <c r="E1233" s="10">
        <v>25</v>
      </c>
      <c r="F1233" t="s">
        <v>121</v>
      </c>
      <c r="G1233">
        <v>3020.02</v>
      </c>
      <c r="H1233" t="s">
        <v>69</v>
      </c>
      <c r="I1233" t="s">
        <v>199</v>
      </c>
      <c r="J1233" s="10" t="str">
        <f>VLOOKUP(I1233,Categories!A:B,2,FALSE)</f>
        <v xml:space="preserve">Home Chomthong Interest</v>
      </c>
      <c r="K1233" t="s">
        <v>178</v>
      </c>
      <c r="L1233" s="10" t="str">
        <f>VLOOKUP(K1233,Accounts!A:B,2,FALSE)</f>
        <v>SCB</v>
      </c>
      <c r="M1233" t="s">
        <v>124</v>
      </c>
      <c r="N1233" s="10"/>
      <c r="O1233" t="s">
        <v>125</v>
      </c>
      <c r="Q1233" t="s">
        <v>126</v>
      </c>
      <c r="R1233" t="s">
        <v>124</v>
      </c>
      <c r="S1233" t="b">
        <v>0</v>
      </c>
      <c r="T1233" t="s">
        <v>124</v>
      </c>
    </row>
    <row r="1234">
      <c r="A1234" t="s">
        <v>2598</v>
      </c>
      <c r="B1234" t="s">
        <v>2597</v>
      </c>
      <c r="C1234" s="2">
        <v>2023</v>
      </c>
      <c r="D1234" s="10">
        <v>9</v>
      </c>
      <c r="E1234" s="10">
        <v>25</v>
      </c>
      <c r="F1234" t="s">
        <v>121</v>
      </c>
      <c r="G1234">
        <v>404.08999999999997</v>
      </c>
      <c r="H1234" t="s">
        <v>69</v>
      </c>
      <c r="I1234" t="s">
        <v>443</v>
      </c>
      <c r="J1234" s="10" t="str">
        <f>VLOOKUP(I1234,Categories!A:B,2,FALSE)</f>
        <v xml:space="preserve">City SV Interest</v>
      </c>
      <c r="K1234" t="s">
        <v>178</v>
      </c>
      <c r="L1234" s="10" t="str">
        <f>VLOOKUP(K1234,Accounts!A:B,2,FALSE)</f>
        <v>SCB</v>
      </c>
      <c r="M1234" t="s">
        <v>124</v>
      </c>
      <c r="N1234" s="10"/>
      <c r="O1234" t="s">
        <v>125</v>
      </c>
      <c r="Q1234" t="s">
        <v>126</v>
      </c>
      <c r="R1234" t="s">
        <v>124</v>
      </c>
      <c r="S1234" t="b">
        <v>0</v>
      </c>
      <c r="T1234" t="s">
        <v>124</v>
      </c>
    </row>
    <row r="1235">
      <c r="A1235" t="s">
        <v>2599</v>
      </c>
      <c r="B1235" t="s">
        <v>2597</v>
      </c>
      <c r="C1235" s="2">
        <v>2023</v>
      </c>
      <c r="D1235" s="10">
        <v>9</v>
      </c>
      <c r="E1235" s="10">
        <v>25</v>
      </c>
      <c r="F1235" t="s">
        <v>2600</v>
      </c>
      <c r="G1235">
        <v>820</v>
      </c>
      <c r="H1235" t="s">
        <v>69</v>
      </c>
      <c r="I1235" t="s">
        <v>144</v>
      </c>
      <c r="J1235" s="10" t="str">
        <f>VLOOKUP(I1235,Categories!A:B,2,FALSE)</f>
        <v xml:space="preserve">Family paid</v>
      </c>
      <c r="K1235" t="s">
        <v>178</v>
      </c>
      <c r="L1235" s="10" t="str">
        <f>VLOOKUP(K1235,Accounts!A:B,2,FALSE)</f>
        <v>SCB</v>
      </c>
      <c r="M1235" t="s">
        <v>124</v>
      </c>
      <c r="N1235" s="10"/>
      <c r="O1235" t="s">
        <v>1413</v>
      </c>
      <c r="Q1235" t="s">
        <v>126</v>
      </c>
      <c r="R1235" t="s">
        <v>124</v>
      </c>
      <c r="S1235" t="b">
        <v>0</v>
      </c>
      <c r="T1235" t="s">
        <v>124</v>
      </c>
    </row>
    <row r="1236">
      <c r="A1236" t="s">
        <v>2601</v>
      </c>
      <c r="B1236" t="s">
        <v>2597</v>
      </c>
      <c r="C1236" s="2">
        <v>2023</v>
      </c>
      <c r="D1236" s="10">
        <v>9</v>
      </c>
      <c r="E1236" s="10">
        <v>25</v>
      </c>
      <c r="F1236" t="s">
        <v>2602</v>
      </c>
      <c r="G1236">
        <v>33.609999999999999</v>
      </c>
      <c r="H1236" t="s">
        <v>69</v>
      </c>
      <c r="I1236" t="s">
        <v>150</v>
      </c>
      <c r="J1236" s="10" t="str">
        <f>VLOOKUP(I1236,Categories!A:B,2,FALSE)</f>
        <v xml:space="preserve">Food &amp; Coff</v>
      </c>
      <c r="K1236" t="s">
        <v>235</v>
      </c>
      <c r="L1236" s="10" t="str">
        <f>VLOOKUP(K1236,Accounts!A:B,2,FALSE)</f>
        <v xml:space="preserve">JPY cash</v>
      </c>
      <c r="M1236" t="s">
        <v>124</v>
      </c>
      <c r="N1236" s="10"/>
      <c r="O1236" t="s">
        <v>2603</v>
      </c>
      <c r="Q1236" t="s">
        <v>126</v>
      </c>
      <c r="R1236" t="s">
        <v>124</v>
      </c>
      <c r="S1236" t="b">
        <v>0</v>
      </c>
      <c r="T1236" t="s">
        <v>124</v>
      </c>
    </row>
    <row r="1237">
      <c r="A1237" t="s">
        <v>2604</v>
      </c>
      <c r="B1237" t="s">
        <v>2597</v>
      </c>
      <c r="C1237" s="2">
        <v>2023</v>
      </c>
      <c r="D1237" s="10">
        <v>9</v>
      </c>
      <c r="E1237" s="10">
        <v>25</v>
      </c>
      <c r="F1237" t="s">
        <v>713</v>
      </c>
      <c r="G1237">
        <v>276.67000000000002</v>
      </c>
      <c r="H1237" t="s">
        <v>69</v>
      </c>
      <c r="I1237" t="s">
        <v>150</v>
      </c>
      <c r="J1237" s="10" t="str">
        <f>VLOOKUP(I1237,Categories!A:B,2,FALSE)</f>
        <v xml:space="preserve">Food &amp; Coff</v>
      </c>
      <c r="K1237" t="s">
        <v>235</v>
      </c>
      <c r="L1237" s="10" t="str">
        <f>VLOOKUP(K1237,Accounts!A:B,2,FALSE)</f>
        <v xml:space="preserve">JPY cash</v>
      </c>
      <c r="M1237" t="s">
        <v>124</v>
      </c>
      <c r="N1237" s="10"/>
      <c r="O1237" t="s">
        <v>2605</v>
      </c>
      <c r="Q1237" t="s">
        <v>126</v>
      </c>
      <c r="R1237" t="s">
        <v>124</v>
      </c>
      <c r="S1237" t="b">
        <v>0</v>
      </c>
      <c r="T1237" t="s">
        <v>124</v>
      </c>
    </row>
    <row r="1238">
      <c r="A1238" t="s">
        <v>2606</v>
      </c>
      <c r="B1238" t="s">
        <v>2597</v>
      </c>
      <c r="C1238" s="2">
        <v>2023</v>
      </c>
      <c r="D1238" s="10">
        <v>9</v>
      </c>
      <c r="E1238" s="10">
        <v>25</v>
      </c>
      <c r="F1238" t="s">
        <v>2179</v>
      </c>
      <c r="G1238">
        <v>155.13999999999999</v>
      </c>
      <c r="H1238" t="s">
        <v>69</v>
      </c>
      <c r="I1238" t="s">
        <v>141</v>
      </c>
      <c r="J1238" s="10" t="str">
        <f>VLOOKUP(I1238,Categories!A:B,2,FALSE)</f>
        <v>Other</v>
      </c>
      <c r="K1238" t="s">
        <v>235</v>
      </c>
      <c r="L1238" s="10" t="str">
        <f>VLOOKUP(K1238,Accounts!A:B,2,FALSE)</f>
        <v xml:space="preserve">JPY cash</v>
      </c>
      <c r="M1238" t="s">
        <v>124</v>
      </c>
      <c r="N1238" s="10"/>
      <c r="O1238" t="s">
        <v>2607</v>
      </c>
      <c r="Q1238" t="s">
        <v>126</v>
      </c>
      <c r="R1238" t="s">
        <v>124</v>
      </c>
      <c r="S1238" t="b">
        <v>0</v>
      </c>
      <c r="T1238" t="s">
        <v>124</v>
      </c>
    </row>
    <row r="1239">
      <c r="A1239" t="s">
        <v>2608</v>
      </c>
      <c r="B1239" t="s">
        <v>2597</v>
      </c>
      <c r="C1239" s="2">
        <v>2023</v>
      </c>
      <c r="D1239" s="10">
        <v>9</v>
      </c>
      <c r="E1239" s="10">
        <v>25</v>
      </c>
      <c r="F1239" t="s">
        <v>1376</v>
      </c>
      <c r="G1239">
        <v>1370.4400000000001</v>
      </c>
      <c r="H1239" t="s">
        <v>69</v>
      </c>
      <c r="I1239" t="s">
        <v>141</v>
      </c>
      <c r="J1239" s="10" t="str">
        <f>VLOOKUP(I1239,Categories!A:B,2,FALSE)</f>
        <v>Other</v>
      </c>
      <c r="K1239" t="s">
        <v>235</v>
      </c>
      <c r="L1239" s="10" t="str">
        <f>VLOOKUP(K1239,Accounts!A:B,2,FALSE)</f>
        <v xml:space="preserve">JPY cash</v>
      </c>
      <c r="M1239" t="s">
        <v>124</v>
      </c>
      <c r="N1239" s="10"/>
      <c r="O1239" t="s">
        <v>2609</v>
      </c>
      <c r="Q1239" t="s">
        <v>126</v>
      </c>
      <c r="R1239" t="s">
        <v>124</v>
      </c>
      <c r="S1239" t="b">
        <v>0</v>
      </c>
      <c r="T1239" t="s">
        <v>124</v>
      </c>
    </row>
    <row r="1240">
      <c r="A1240" t="s">
        <v>2610</v>
      </c>
      <c r="B1240" t="s">
        <v>2597</v>
      </c>
      <c r="C1240" s="2">
        <v>2023</v>
      </c>
      <c r="D1240" s="10">
        <v>9</v>
      </c>
      <c r="E1240" s="10">
        <v>25</v>
      </c>
      <c r="F1240" t="s">
        <v>1066</v>
      </c>
      <c r="G1240">
        <v>25.859999999999999</v>
      </c>
      <c r="H1240" t="s">
        <v>69</v>
      </c>
      <c r="I1240" t="s">
        <v>169</v>
      </c>
      <c r="J1240" s="10" t="str">
        <f>VLOOKUP(I1240,Categories!A:B,2,FALSE)</f>
        <v xml:space="preserve">App &amp; Game</v>
      </c>
      <c r="K1240" t="s">
        <v>235</v>
      </c>
      <c r="L1240" s="10" t="str">
        <f>VLOOKUP(K1240,Accounts!A:B,2,FALSE)</f>
        <v xml:space="preserve">JPY cash</v>
      </c>
      <c r="M1240" t="s">
        <v>124</v>
      </c>
      <c r="N1240" s="10"/>
      <c r="O1240" t="s">
        <v>2611</v>
      </c>
      <c r="Q1240" t="s">
        <v>126</v>
      </c>
      <c r="R1240" t="s">
        <v>124</v>
      </c>
      <c r="S1240" t="b">
        <v>0</v>
      </c>
      <c r="T1240" t="s">
        <v>124</v>
      </c>
    </row>
    <row r="1241">
      <c r="A1241" t="s">
        <v>2612</v>
      </c>
      <c r="B1241" t="s">
        <v>2597</v>
      </c>
      <c r="C1241" s="2">
        <v>2023</v>
      </c>
      <c r="D1241" s="10">
        <v>9</v>
      </c>
      <c r="E1241" s="10">
        <v>25</v>
      </c>
      <c r="F1241" t="s">
        <v>2334</v>
      </c>
      <c r="G1241">
        <v>4433</v>
      </c>
      <c r="H1241" t="s">
        <v>69</v>
      </c>
      <c r="I1241" t="s">
        <v>141</v>
      </c>
      <c r="J1241" s="10" t="str">
        <f>VLOOKUP(I1241,Categories!A:B,2,FALSE)</f>
        <v>Other</v>
      </c>
      <c r="K1241" t="s">
        <v>2516</v>
      </c>
      <c r="L1241" s="10" t="str">
        <f>VLOOKUP(K1241,Accounts!A:B,2,FALSE)</f>
        <v>Travelcard</v>
      </c>
      <c r="M1241" t="s">
        <v>124</v>
      </c>
      <c r="N1241" s="10"/>
      <c r="O1241" t="s">
        <v>125</v>
      </c>
      <c r="Q1241" t="s">
        <v>126</v>
      </c>
      <c r="R1241" t="s">
        <v>124</v>
      </c>
      <c r="S1241" t="b">
        <v>0</v>
      </c>
      <c r="T1241" t="s">
        <v>124</v>
      </c>
    </row>
    <row r="1242">
      <c r="A1242" t="s">
        <v>2613</v>
      </c>
      <c r="B1242" t="s">
        <v>2597</v>
      </c>
      <c r="C1242" s="2">
        <v>2023</v>
      </c>
      <c r="D1242" s="10">
        <v>9</v>
      </c>
      <c r="E1242" s="10">
        <v>25</v>
      </c>
      <c r="F1242" t="s">
        <v>2174</v>
      </c>
      <c r="G1242">
        <v>203.75999999999999</v>
      </c>
      <c r="H1242" t="s">
        <v>69</v>
      </c>
      <c r="I1242" t="s">
        <v>150</v>
      </c>
      <c r="J1242" s="10" t="str">
        <f>VLOOKUP(I1242,Categories!A:B,2,FALSE)</f>
        <v xml:space="preserve">Food &amp; Coff</v>
      </c>
      <c r="K1242" t="s">
        <v>235</v>
      </c>
      <c r="L1242" s="10" t="str">
        <f>VLOOKUP(K1242,Accounts!A:B,2,FALSE)</f>
        <v xml:space="preserve">JPY cash</v>
      </c>
      <c r="M1242" t="s">
        <v>124</v>
      </c>
      <c r="N1242" s="10"/>
      <c r="O1242" t="s">
        <v>2614</v>
      </c>
      <c r="Q1242" t="s">
        <v>126</v>
      </c>
      <c r="R1242" t="s">
        <v>124</v>
      </c>
      <c r="S1242" t="b">
        <v>0</v>
      </c>
      <c r="T1242" t="s">
        <v>124</v>
      </c>
    </row>
    <row r="1243">
      <c r="A1243" t="s">
        <v>2615</v>
      </c>
      <c r="B1243" t="s">
        <v>2597</v>
      </c>
      <c r="C1243" s="2">
        <v>2023</v>
      </c>
      <c r="D1243" s="10">
        <v>9</v>
      </c>
      <c r="E1243" s="10">
        <v>25</v>
      </c>
      <c r="F1243" t="s">
        <v>2616</v>
      </c>
      <c r="G1243">
        <v>51.710000000000001</v>
      </c>
      <c r="H1243" t="s">
        <v>69</v>
      </c>
      <c r="I1243" t="s">
        <v>1508</v>
      </c>
      <c r="J1243" s="10" t="str">
        <f>VLOOKUP(I1243,Categories!A:B,2,FALSE)</f>
        <v>Other</v>
      </c>
      <c r="K1243" t="s">
        <v>1824</v>
      </c>
      <c r="L1243" s="10" t="str">
        <f>VLOOKUP(K1243,Accounts!A:B,2,FALSE)</f>
        <v xml:space="preserve">suica card</v>
      </c>
      <c r="M1243" t="s">
        <v>124</v>
      </c>
      <c r="N1243" s="10"/>
      <c r="O1243" t="s">
        <v>2617</v>
      </c>
      <c r="Q1243" t="s">
        <v>126</v>
      </c>
      <c r="R1243" t="s">
        <v>124</v>
      </c>
      <c r="S1243" t="b">
        <v>0</v>
      </c>
      <c r="T1243" t="s">
        <v>124</v>
      </c>
    </row>
    <row r="1244">
      <c r="A1244" t="s">
        <v>2618</v>
      </c>
      <c r="B1244" t="s">
        <v>2597</v>
      </c>
      <c r="C1244" s="2">
        <v>2023</v>
      </c>
      <c r="D1244" s="10">
        <v>9</v>
      </c>
      <c r="E1244" s="10">
        <v>25</v>
      </c>
      <c r="F1244" t="s">
        <v>2619</v>
      </c>
      <c r="G1244">
        <v>853.28999999999996</v>
      </c>
      <c r="H1244" t="s">
        <v>69</v>
      </c>
      <c r="I1244" t="s">
        <v>141</v>
      </c>
      <c r="J1244" s="10" t="str">
        <f>VLOOKUP(I1244,Categories!A:B,2,FALSE)</f>
        <v>Other</v>
      </c>
      <c r="K1244" t="s">
        <v>2516</v>
      </c>
      <c r="L1244" s="10" t="str">
        <f>VLOOKUP(K1244,Accounts!A:B,2,FALSE)</f>
        <v>Travelcard</v>
      </c>
      <c r="M1244" t="s">
        <v>124</v>
      </c>
      <c r="N1244" s="10"/>
      <c r="O1244" t="s">
        <v>2620</v>
      </c>
      <c r="Q1244" t="s">
        <v>126</v>
      </c>
      <c r="R1244" t="s">
        <v>124</v>
      </c>
      <c r="S1244" t="b">
        <v>0</v>
      </c>
      <c r="T1244" t="s">
        <v>124</v>
      </c>
    </row>
    <row r="1245">
      <c r="A1245" t="s">
        <v>2621</v>
      </c>
      <c r="B1245" t="s">
        <v>2597</v>
      </c>
      <c r="C1245" s="2">
        <v>2023</v>
      </c>
      <c r="D1245" s="10">
        <v>9</v>
      </c>
      <c r="E1245" s="10">
        <v>25</v>
      </c>
      <c r="F1245" t="s">
        <v>437</v>
      </c>
      <c r="G1245">
        <v>711.08000000000004</v>
      </c>
      <c r="H1245" t="s">
        <v>69</v>
      </c>
      <c r="I1245" t="s">
        <v>141</v>
      </c>
      <c r="J1245" s="10" t="str">
        <f>VLOOKUP(I1245,Categories!A:B,2,FALSE)</f>
        <v>Other</v>
      </c>
      <c r="K1245" t="s">
        <v>235</v>
      </c>
      <c r="L1245" s="10" t="str">
        <f>VLOOKUP(K1245,Accounts!A:B,2,FALSE)</f>
        <v xml:space="preserve">JPY cash</v>
      </c>
      <c r="M1245" t="s">
        <v>124</v>
      </c>
      <c r="N1245" s="10"/>
      <c r="O1245" t="s">
        <v>2622</v>
      </c>
      <c r="Q1245" t="s">
        <v>126</v>
      </c>
      <c r="R1245" t="s">
        <v>124</v>
      </c>
      <c r="S1245" t="b">
        <v>0</v>
      </c>
      <c r="T1245" t="s">
        <v>124</v>
      </c>
    </row>
    <row r="1246">
      <c r="A1246" t="s">
        <v>2623</v>
      </c>
      <c r="B1246" t="s">
        <v>2597</v>
      </c>
      <c r="C1246" s="2">
        <v>2023</v>
      </c>
      <c r="D1246" s="10">
        <v>9</v>
      </c>
      <c r="E1246" s="10">
        <v>25</v>
      </c>
      <c r="F1246" t="s">
        <v>2624</v>
      </c>
      <c r="G1246">
        <v>193.93000000000001</v>
      </c>
      <c r="H1246" t="s">
        <v>69</v>
      </c>
      <c r="I1246" t="s">
        <v>150</v>
      </c>
      <c r="J1246" s="10" t="str">
        <f>VLOOKUP(I1246,Categories!A:B,2,FALSE)</f>
        <v xml:space="preserve">Food &amp; Coff</v>
      </c>
      <c r="K1246" t="s">
        <v>235</v>
      </c>
      <c r="L1246" s="10" t="str">
        <f>VLOOKUP(K1246,Accounts!A:B,2,FALSE)</f>
        <v xml:space="preserve">JPY cash</v>
      </c>
      <c r="M1246" t="s">
        <v>124</v>
      </c>
      <c r="N1246" s="10"/>
      <c r="O1246" t="s">
        <v>2625</v>
      </c>
      <c r="Q1246" t="s">
        <v>126</v>
      </c>
      <c r="R1246" t="s">
        <v>124</v>
      </c>
      <c r="S1246" t="b">
        <v>0</v>
      </c>
      <c r="T1246" t="s">
        <v>124</v>
      </c>
    </row>
    <row r="1247">
      <c r="A1247" t="s">
        <v>2626</v>
      </c>
      <c r="B1247" t="s">
        <v>2597</v>
      </c>
      <c r="C1247" s="2">
        <v>2023</v>
      </c>
      <c r="D1247" s="10">
        <v>9</v>
      </c>
      <c r="E1247" s="10">
        <v>25</v>
      </c>
      <c r="F1247" t="s">
        <v>968</v>
      </c>
      <c r="G1247">
        <v>553.35000000000002</v>
      </c>
      <c r="H1247" t="s">
        <v>69</v>
      </c>
      <c r="I1247" t="s">
        <v>150</v>
      </c>
      <c r="J1247" s="10" t="str">
        <f>VLOOKUP(I1247,Categories!A:B,2,FALSE)</f>
        <v xml:space="preserve">Food &amp; Coff</v>
      </c>
      <c r="K1247" t="s">
        <v>235</v>
      </c>
      <c r="L1247" s="10" t="str">
        <f>VLOOKUP(K1247,Accounts!A:B,2,FALSE)</f>
        <v xml:space="preserve">JPY cash</v>
      </c>
      <c r="M1247" t="s">
        <v>124</v>
      </c>
      <c r="N1247" s="10"/>
      <c r="O1247" t="s">
        <v>2627</v>
      </c>
      <c r="Q1247" t="s">
        <v>126</v>
      </c>
      <c r="R1247" t="s">
        <v>124</v>
      </c>
      <c r="S1247" t="b">
        <v>0</v>
      </c>
      <c r="T1247" t="s">
        <v>124</v>
      </c>
    </row>
    <row r="1248">
      <c r="A1248" t="s">
        <v>2628</v>
      </c>
      <c r="B1248" t="s">
        <v>2597</v>
      </c>
      <c r="C1248" s="2">
        <v>2023</v>
      </c>
      <c r="D1248" s="10">
        <v>9</v>
      </c>
      <c r="E1248" s="10">
        <v>25</v>
      </c>
      <c r="F1248" t="s">
        <v>955</v>
      </c>
      <c r="G1248">
        <v>25.859999999999999</v>
      </c>
      <c r="H1248" t="s">
        <v>69</v>
      </c>
      <c r="I1248" t="s">
        <v>150</v>
      </c>
      <c r="J1248" s="10" t="str">
        <f>VLOOKUP(I1248,Categories!A:B,2,FALSE)</f>
        <v xml:space="preserve">Food &amp; Coff</v>
      </c>
      <c r="K1248" t="s">
        <v>235</v>
      </c>
      <c r="L1248" s="10" t="str">
        <f>VLOOKUP(K1248,Accounts!A:B,2,FALSE)</f>
        <v xml:space="preserve">JPY cash</v>
      </c>
      <c r="M1248" t="s">
        <v>124</v>
      </c>
      <c r="N1248" s="10"/>
      <c r="O1248" t="s">
        <v>2629</v>
      </c>
      <c r="Q1248" t="s">
        <v>126</v>
      </c>
      <c r="R1248" t="s">
        <v>124</v>
      </c>
      <c r="S1248" t="b">
        <v>0</v>
      </c>
      <c r="T1248" t="s">
        <v>124</v>
      </c>
    </row>
    <row r="1249">
      <c r="A1249" t="s">
        <v>2630</v>
      </c>
      <c r="B1249" t="s">
        <v>2597</v>
      </c>
      <c r="C1249" s="2">
        <v>2023</v>
      </c>
      <c r="D1249" s="10">
        <v>9</v>
      </c>
      <c r="E1249" s="10">
        <v>25</v>
      </c>
      <c r="F1249" t="s">
        <v>556</v>
      </c>
      <c r="G1249">
        <v>36.200000000000003</v>
      </c>
      <c r="H1249" t="s">
        <v>69</v>
      </c>
      <c r="I1249" t="s">
        <v>150</v>
      </c>
      <c r="J1249" s="10" t="str">
        <f>VLOOKUP(I1249,Categories!A:B,2,FALSE)</f>
        <v xml:space="preserve">Food &amp; Coff</v>
      </c>
      <c r="K1249" t="s">
        <v>1824</v>
      </c>
      <c r="L1249" s="10" t="str">
        <f>VLOOKUP(K1249,Accounts!A:B,2,FALSE)</f>
        <v xml:space="preserve">suica card</v>
      </c>
      <c r="M1249" t="s">
        <v>124</v>
      </c>
      <c r="N1249" s="10"/>
      <c r="O1249" t="s">
        <v>2561</v>
      </c>
      <c r="Q1249" t="s">
        <v>126</v>
      </c>
      <c r="R1249" t="s">
        <v>124</v>
      </c>
      <c r="S1249" t="b">
        <v>0</v>
      </c>
      <c r="T1249" t="s">
        <v>124</v>
      </c>
    </row>
    <row r="1250">
      <c r="A1250" t="s">
        <v>2631</v>
      </c>
      <c r="B1250" t="s">
        <v>2632</v>
      </c>
      <c r="C1250" s="2">
        <v>2023</v>
      </c>
      <c r="D1250" s="10">
        <v>9</v>
      </c>
      <c r="E1250" s="10">
        <v>24</v>
      </c>
      <c r="F1250" t="s">
        <v>2633</v>
      </c>
      <c r="G1250">
        <v>43.960000000000001</v>
      </c>
      <c r="H1250" t="s">
        <v>69</v>
      </c>
      <c r="I1250" t="s">
        <v>150</v>
      </c>
      <c r="J1250" s="10" t="str">
        <f>VLOOKUP(I1250,Categories!A:B,2,FALSE)</f>
        <v xml:space="preserve">Food &amp; Coff</v>
      </c>
      <c r="K1250" t="s">
        <v>1824</v>
      </c>
      <c r="L1250" s="10" t="str">
        <f>VLOOKUP(K1250,Accounts!A:B,2,FALSE)</f>
        <v xml:space="preserve">suica card</v>
      </c>
      <c r="M1250" t="s">
        <v>124</v>
      </c>
      <c r="N1250" s="10"/>
      <c r="O1250" t="s">
        <v>2634</v>
      </c>
      <c r="Q1250" t="s">
        <v>126</v>
      </c>
      <c r="R1250" t="s">
        <v>124</v>
      </c>
      <c r="S1250" t="b">
        <v>0</v>
      </c>
      <c r="T1250" t="s">
        <v>124</v>
      </c>
    </row>
    <row r="1251">
      <c r="A1251" t="s">
        <v>2635</v>
      </c>
      <c r="B1251" t="s">
        <v>2632</v>
      </c>
      <c r="C1251" s="2">
        <v>2023</v>
      </c>
      <c r="D1251" s="10">
        <v>9</v>
      </c>
      <c r="E1251" s="10">
        <v>24</v>
      </c>
      <c r="F1251" t="s">
        <v>1265</v>
      </c>
      <c r="G1251">
        <v>33.609999999999999</v>
      </c>
      <c r="H1251" t="s">
        <v>69</v>
      </c>
      <c r="I1251" t="s">
        <v>150</v>
      </c>
      <c r="J1251" s="10" t="str">
        <f>VLOOKUP(I1251,Categories!A:B,2,FALSE)</f>
        <v xml:space="preserve">Food &amp; Coff</v>
      </c>
      <c r="K1251" t="s">
        <v>235</v>
      </c>
      <c r="L1251" s="10" t="str">
        <f>VLOOKUP(K1251,Accounts!A:B,2,FALSE)</f>
        <v xml:space="preserve">JPY cash</v>
      </c>
      <c r="M1251" t="s">
        <v>124</v>
      </c>
      <c r="N1251" s="10"/>
      <c r="O1251" t="s">
        <v>2636</v>
      </c>
      <c r="Q1251" t="s">
        <v>126</v>
      </c>
      <c r="R1251" t="s">
        <v>124</v>
      </c>
      <c r="S1251" t="b">
        <v>0</v>
      </c>
      <c r="T1251" t="s">
        <v>124</v>
      </c>
    </row>
    <row r="1252">
      <c r="A1252" t="s">
        <v>2637</v>
      </c>
      <c r="B1252" t="s">
        <v>2632</v>
      </c>
      <c r="C1252" s="2">
        <v>2023</v>
      </c>
      <c r="D1252" s="10">
        <v>9</v>
      </c>
      <c r="E1252" s="10">
        <v>24</v>
      </c>
      <c r="F1252" t="s">
        <v>2638</v>
      </c>
      <c r="G1252">
        <v>155.13999999999999</v>
      </c>
      <c r="H1252" t="s">
        <v>69</v>
      </c>
      <c r="I1252" t="s">
        <v>141</v>
      </c>
      <c r="J1252" s="10" t="str">
        <f>VLOOKUP(I1252,Categories!A:B,2,FALSE)</f>
        <v>Other</v>
      </c>
      <c r="K1252" t="s">
        <v>235</v>
      </c>
      <c r="L1252" s="10" t="str">
        <f>VLOOKUP(K1252,Accounts!A:B,2,FALSE)</f>
        <v xml:space="preserve">JPY cash</v>
      </c>
      <c r="M1252" t="s">
        <v>124</v>
      </c>
      <c r="N1252" s="10"/>
      <c r="O1252" t="s">
        <v>2639</v>
      </c>
      <c r="Q1252" t="s">
        <v>126</v>
      </c>
      <c r="R1252" t="s">
        <v>124</v>
      </c>
      <c r="S1252" t="b">
        <v>0</v>
      </c>
      <c r="T1252" t="s">
        <v>124</v>
      </c>
    </row>
    <row r="1253">
      <c r="A1253" t="s">
        <v>2640</v>
      </c>
      <c r="B1253" t="s">
        <v>2632</v>
      </c>
      <c r="C1253" s="2">
        <v>2023</v>
      </c>
      <c r="D1253" s="10">
        <v>9</v>
      </c>
      <c r="E1253" s="10">
        <v>24</v>
      </c>
      <c r="F1253" t="s">
        <v>2619</v>
      </c>
      <c r="G1253">
        <v>181</v>
      </c>
      <c r="H1253" t="s">
        <v>69</v>
      </c>
      <c r="I1253" t="s">
        <v>150</v>
      </c>
      <c r="J1253" s="10" t="str">
        <f>VLOOKUP(I1253,Categories!A:B,2,FALSE)</f>
        <v xml:space="preserve">Food &amp; Coff</v>
      </c>
      <c r="K1253" t="s">
        <v>235</v>
      </c>
      <c r="L1253" s="10" t="str">
        <f>VLOOKUP(K1253,Accounts!A:B,2,FALSE)</f>
        <v xml:space="preserve">JPY cash</v>
      </c>
      <c r="M1253" t="s">
        <v>124</v>
      </c>
      <c r="N1253" s="10"/>
      <c r="O1253" t="s">
        <v>2641</v>
      </c>
      <c r="Q1253" t="s">
        <v>126</v>
      </c>
      <c r="R1253" t="s">
        <v>124</v>
      </c>
      <c r="S1253" t="b">
        <v>0</v>
      </c>
      <c r="T1253" t="s">
        <v>124</v>
      </c>
    </row>
    <row r="1254">
      <c r="A1254" t="s">
        <v>2642</v>
      </c>
      <c r="B1254" t="s">
        <v>2632</v>
      </c>
      <c r="C1254" s="2">
        <v>2023</v>
      </c>
      <c r="D1254" s="10">
        <v>9</v>
      </c>
      <c r="E1254" s="10">
        <v>24</v>
      </c>
      <c r="F1254" t="s">
        <v>1806</v>
      </c>
      <c r="G1254">
        <v>9240</v>
      </c>
      <c r="H1254" t="s">
        <v>128</v>
      </c>
      <c r="I1254" t="s">
        <v>136</v>
      </c>
      <c r="J1254" s="10" t="str">
        <f>VLOOKUP(I1254,Categories!A:B,2,FALSE)</f>
        <v>อื่นๆ</v>
      </c>
      <c r="K1254" t="s">
        <v>178</v>
      </c>
      <c r="L1254" s="10" t="str">
        <f>VLOOKUP(K1254,Accounts!A:B,2,FALSE)</f>
        <v>SCB</v>
      </c>
      <c r="M1254" t="s">
        <v>1246</v>
      </c>
      <c r="N1254" s="10" t="str">
        <f>VLOOKUP(M1254,Accounts!A:B,2,FALSE)</f>
        <v xml:space="preserve">Car Loan</v>
      </c>
      <c r="O1254" t="s">
        <v>125</v>
      </c>
      <c r="Q1254" t="s">
        <v>126</v>
      </c>
      <c r="R1254" t="s">
        <v>124</v>
      </c>
      <c r="S1254" t="b">
        <v>0</v>
      </c>
      <c r="T1254" t="s">
        <v>124</v>
      </c>
    </row>
    <row r="1255">
      <c r="A1255" t="s">
        <v>2643</v>
      </c>
      <c r="B1255" t="s">
        <v>2632</v>
      </c>
      <c r="C1255" s="2">
        <v>2023</v>
      </c>
      <c r="D1255" s="10">
        <v>9</v>
      </c>
      <c r="E1255" s="10">
        <v>24</v>
      </c>
      <c r="F1255" t="s">
        <v>1806</v>
      </c>
      <c r="G1255">
        <v>500</v>
      </c>
      <c r="H1255" t="s">
        <v>128</v>
      </c>
      <c r="I1255" t="s">
        <v>136</v>
      </c>
      <c r="J1255" s="10" t="str">
        <f>VLOOKUP(I1255,Categories!A:B,2,FALSE)</f>
        <v>อื่นๆ</v>
      </c>
      <c r="K1255" t="s">
        <v>178</v>
      </c>
      <c r="L1255" s="10" t="str">
        <f>VLOOKUP(K1255,Accounts!A:B,2,FALSE)</f>
        <v>SCB</v>
      </c>
      <c r="M1255" t="s">
        <v>201</v>
      </c>
      <c r="N1255" s="10" t="str">
        <f>VLOOKUP(M1255,Accounts!A:B,2,FALSE)</f>
        <v>Coop</v>
      </c>
      <c r="O1255" t="s">
        <v>125</v>
      </c>
      <c r="Q1255" t="s">
        <v>126</v>
      </c>
      <c r="R1255" t="s">
        <v>124</v>
      </c>
      <c r="S1255" t="b">
        <v>0</v>
      </c>
      <c r="T1255" t="s">
        <v>124</v>
      </c>
    </row>
    <row r="1256">
      <c r="A1256" t="s">
        <v>2644</v>
      </c>
      <c r="B1256" t="s">
        <v>2632</v>
      </c>
      <c r="C1256" s="2">
        <v>2023</v>
      </c>
      <c r="D1256" s="10">
        <v>9</v>
      </c>
      <c r="E1256" s="10">
        <v>24</v>
      </c>
      <c r="F1256" t="s">
        <v>1806</v>
      </c>
      <c r="G1256">
        <v>7915</v>
      </c>
      <c r="H1256" t="s">
        <v>128</v>
      </c>
      <c r="I1256" t="s">
        <v>136</v>
      </c>
      <c r="J1256" s="10" t="str">
        <f>VLOOKUP(I1256,Categories!A:B,2,FALSE)</f>
        <v>อื่นๆ</v>
      </c>
      <c r="K1256" t="s">
        <v>178</v>
      </c>
      <c r="L1256" s="10" t="str">
        <f>VLOOKUP(K1256,Accounts!A:B,2,FALSE)</f>
        <v>SCB</v>
      </c>
      <c r="M1256" t="s">
        <v>1244</v>
      </c>
      <c r="N1256" s="10" t="str">
        <f>VLOOKUP(M1256,Accounts!A:B,2,FALSE)</f>
        <v xml:space="preserve">Home chomthong Loan</v>
      </c>
      <c r="O1256" t="s">
        <v>125</v>
      </c>
      <c r="Q1256" t="s">
        <v>126</v>
      </c>
      <c r="R1256" t="s">
        <v>124</v>
      </c>
      <c r="S1256" t="b">
        <v>0</v>
      </c>
      <c r="T1256" t="s">
        <v>124</v>
      </c>
    </row>
    <row r="1257">
      <c r="A1257" t="s">
        <v>2645</v>
      </c>
      <c r="B1257" t="s">
        <v>2632</v>
      </c>
      <c r="C1257" s="2">
        <v>2023</v>
      </c>
      <c r="D1257" s="10">
        <v>9</v>
      </c>
      <c r="E1257" s="10">
        <v>24</v>
      </c>
      <c r="F1257" t="s">
        <v>1806</v>
      </c>
      <c r="G1257">
        <v>2242</v>
      </c>
      <c r="H1257" t="s">
        <v>128</v>
      </c>
      <c r="I1257" t="s">
        <v>136</v>
      </c>
      <c r="J1257" s="10" t="str">
        <f>VLOOKUP(I1257,Categories!A:B,2,FALSE)</f>
        <v>อื่นๆ</v>
      </c>
      <c r="K1257" t="s">
        <v>178</v>
      </c>
      <c r="L1257" s="10" t="str">
        <f>VLOOKUP(K1257,Accounts!A:B,2,FALSE)</f>
        <v>SCB</v>
      </c>
      <c r="M1257" t="s">
        <v>203</v>
      </c>
      <c r="N1257" s="10" t="str">
        <f>VLOOKUP(M1257,Accounts!A:B,2,FALSE)</f>
        <v xml:space="preserve">Provident Fund</v>
      </c>
      <c r="O1257" t="s">
        <v>125</v>
      </c>
      <c r="Q1257" t="s">
        <v>126</v>
      </c>
      <c r="R1257" t="s">
        <v>124</v>
      </c>
      <c r="S1257" t="b">
        <v>0</v>
      </c>
      <c r="T1257" t="s">
        <v>124</v>
      </c>
    </row>
    <row r="1258">
      <c r="A1258" t="s">
        <v>2646</v>
      </c>
      <c r="B1258" t="s">
        <v>2632</v>
      </c>
      <c r="C1258" s="2">
        <v>2023</v>
      </c>
      <c r="D1258" s="10">
        <v>9</v>
      </c>
      <c r="E1258" s="10">
        <v>24</v>
      </c>
      <c r="F1258" t="s">
        <v>1806</v>
      </c>
      <c r="G1258">
        <v>1027.03</v>
      </c>
      <c r="H1258" t="s">
        <v>69</v>
      </c>
      <c r="I1258" t="s">
        <v>195</v>
      </c>
      <c r="J1258" s="10" t="str">
        <f>VLOOKUP(I1258,Categories!A:B,2,FALSE)</f>
        <v>Tax</v>
      </c>
      <c r="K1258" t="s">
        <v>178</v>
      </c>
      <c r="L1258" s="10" t="str">
        <f>VLOOKUP(K1258,Accounts!A:B,2,FALSE)</f>
        <v>SCB</v>
      </c>
      <c r="M1258" t="s">
        <v>124</v>
      </c>
      <c r="N1258" s="10"/>
      <c r="O1258" t="s">
        <v>125</v>
      </c>
      <c r="Q1258" t="s">
        <v>126</v>
      </c>
      <c r="R1258" t="s">
        <v>124</v>
      </c>
      <c r="S1258" t="b">
        <v>0</v>
      </c>
      <c r="T1258" t="s">
        <v>124</v>
      </c>
    </row>
    <row r="1259">
      <c r="A1259" t="s">
        <v>2647</v>
      </c>
      <c r="B1259" t="s">
        <v>2632</v>
      </c>
      <c r="C1259" s="2">
        <v>2023</v>
      </c>
      <c r="D1259" s="10">
        <v>9</v>
      </c>
      <c r="E1259" s="10">
        <v>24</v>
      </c>
      <c r="F1259" t="s">
        <v>1806</v>
      </c>
      <c r="G1259">
        <v>112100</v>
      </c>
      <c r="H1259" t="s">
        <v>206</v>
      </c>
      <c r="I1259" t="s">
        <v>207</v>
      </c>
      <c r="J1259" s="10" t="str">
        <f>VLOOKUP(I1259,Categories!A:B,2,FALSE)</f>
        <v>Salary</v>
      </c>
      <c r="K1259" t="s">
        <v>178</v>
      </c>
      <c r="L1259" s="10" t="str">
        <f>VLOOKUP(K1259,Accounts!A:B,2,FALSE)</f>
        <v>SCB</v>
      </c>
      <c r="M1259" t="s">
        <v>124</v>
      </c>
      <c r="N1259" s="10"/>
      <c r="O1259" t="s">
        <v>125</v>
      </c>
      <c r="Q1259" t="s">
        <v>126</v>
      </c>
      <c r="R1259" t="s">
        <v>124</v>
      </c>
      <c r="S1259" t="b">
        <v>0</v>
      </c>
      <c r="T1259" t="s">
        <v>124</v>
      </c>
    </row>
    <row r="1260">
      <c r="A1260" t="s">
        <v>2648</v>
      </c>
      <c r="B1260" t="s">
        <v>2649</v>
      </c>
      <c r="C1260" s="2">
        <v>2023</v>
      </c>
      <c r="D1260" s="10">
        <v>9</v>
      </c>
      <c r="E1260" s="10">
        <v>23</v>
      </c>
      <c r="F1260" t="s">
        <v>2650</v>
      </c>
      <c r="G1260">
        <v>677.46000000000004</v>
      </c>
      <c r="H1260" t="s">
        <v>69</v>
      </c>
      <c r="I1260" t="s">
        <v>1508</v>
      </c>
      <c r="J1260" s="10" t="str">
        <f>VLOOKUP(I1260,Categories!A:B,2,FALSE)</f>
        <v>Other</v>
      </c>
      <c r="K1260" t="s">
        <v>235</v>
      </c>
      <c r="L1260" s="10" t="str">
        <f>VLOOKUP(K1260,Accounts!A:B,2,FALSE)</f>
        <v xml:space="preserve">JPY cash</v>
      </c>
      <c r="M1260" t="s">
        <v>124</v>
      </c>
      <c r="N1260" s="10"/>
      <c r="O1260" t="s">
        <v>2651</v>
      </c>
      <c r="Q1260" t="s">
        <v>126</v>
      </c>
      <c r="R1260" t="s">
        <v>124</v>
      </c>
      <c r="S1260" t="b">
        <v>0</v>
      </c>
      <c r="T1260" t="s">
        <v>124</v>
      </c>
    </row>
    <row r="1261">
      <c r="A1261" t="s">
        <v>2652</v>
      </c>
      <c r="B1261" t="s">
        <v>2649</v>
      </c>
      <c r="C1261" s="2">
        <v>2023</v>
      </c>
      <c r="D1261" s="10">
        <v>9</v>
      </c>
      <c r="E1261" s="10">
        <v>23</v>
      </c>
      <c r="F1261" t="s">
        <v>2650</v>
      </c>
      <c r="G1261">
        <v>16031.52389</v>
      </c>
      <c r="H1261" t="s">
        <v>206</v>
      </c>
      <c r="I1261" t="s">
        <v>254</v>
      </c>
      <c r="J1261" s="10" t="str">
        <f>VLOOKUP(I1261,Categories!A:B,2,FALSE)</f>
        <v xml:space="preserve">Modified Bal.</v>
      </c>
      <c r="K1261" t="s">
        <v>235</v>
      </c>
      <c r="L1261" s="10" t="str">
        <f>VLOOKUP(K1261,Accounts!A:B,2,FALSE)</f>
        <v xml:space="preserve">JPY cash</v>
      </c>
      <c r="M1261" t="s">
        <v>124</v>
      </c>
      <c r="N1261" s="10"/>
      <c r="O1261" t="s">
        <v>255</v>
      </c>
      <c r="Q1261" t="s">
        <v>126</v>
      </c>
      <c r="R1261" t="s">
        <v>124</v>
      </c>
      <c r="S1261" t="b">
        <v>0</v>
      </c>
      <c r="T1261" t="s">
        <v>124</v>
      </c>
    </row>
    <row r="1262">
      <c r="A1262" t="s">
        <v>2653</v>
      </c>
      <c r="B1262" t="s">
        <v>2649</v>
      </c>
      <c r="C1262" s="2">
        <v>2023</v>
      </c>
      <c r="D1262" s="10">
        <v>9</v>
      </c>
      <c r="E1262" s="10">
        <v>23</v>
      </c>
      <c r="F1262" t="s">
        <v>2654</v>
      </c>
      <c r="G1262">
        <v>517.14999999999998</v>
      </c>
      <c r="H1262" t="s">
        <v>128</v>
      </c>
      <c r="I1262" t="s">
        <v>136</v>
      </c>
      <c r="J1262" s="10" t="str">
        <f>VLOOKUP(I1262,Categories!A:B,2,FALSE)</f>
        <v>อื่นๆ</v>
      </c>
      <c r="K1262" t="s">
        <v>235</v>
      </c>
      <c r="L1262" s="10" t="str">
        <f>VLOOKUP(K1262,Accounts!A:B,2,FALSE)</f>
        <v xml:space="preserve">JPY cash</v>
      </c>
      <c r="M1262" t="s">
        <v>1824</v>
      </c>
      <c r="N1262" s="10" t="str">
        <f>VLOOKUP(M1262,Accounts!A:B,2,FALSE)</f>
        <v xml:space="preserve">suica card</v>
      </c>
      <c r="O1262" t="s">
        <v>125</v>
      </c>
      <c r="Q1262" t="s">
        <v>126</v>
      </c>
      <c r="R1262" t="s">
        <v>124</v>
      </c>
      <c r="S1262" t="b">
        <v>0</v>
      </c>
      <c r="T1262" t="s">
        <v>124</v>
      </c>
    </row>
    <row r="1263">
      <c r="A1263" t="s">
        <v>2655</v>
      </c>
      <c r="B1263" t="s">
        <v>2649</v>
      </c>
      <c r="C1263" s="2">
        <v>2023</v>
      </c>
      <c r="D1263" s="10">
        <v>9</v>
      </c>
      <c r="E1263" s="10">
        <v>23</v>
      </c>
      <c r="F1263" t="s">
        <v>2656</v>
      </c>
      <c r="G1263">
        <v>72.400000000000006</v>
      </c>
      <c r="H1263" t="s">
        <v>69</v>
      </c>
      <c r="I1263" t="s">
        <v>1508</v>
      </c>
      <c r="J1263" s="10" t="str">
        <f>VLOOKUP(I1263,Categories!A:B,2,FALSE)</f>
        <v>Other</v>
      </c>
      <c r="K1263" t="s">
        <v>1824</v>
      </c>
      <c r="L1263" s="10" t="str">
        <f>VLOOKUP(K1263,Accounts!A:B,2,FALSE)</f>
        <v xml:space="preserve">suica card</v>
      </c>
      <c r="M1263" t="s">
        <v>124</v>
      </c>
      <c r="N1263" s="10"/>
      <c r="O1263" t="s">
        <v>2657</v>
      </c>
      <c r="Q1263" t="s">
        <v>126</v>
      </c>
      <c r="R1263" t="s">
        <v>124</v>
      </c>
      <c r="S1263" t="b">
        <v>0</v>
      </c>
      <c r="T1263" t="s">
        <v>124</v>
      </c>
    </row>
    <row r="1264">
      <c r="A1264" t="s">
        <v>2658</v>
      </c>
      <c r="B1264" t="s">
        <v>2649</v>
      </c>
      <c r="C1264" s="2">
        <v>2023</v>
      </c>
      <c r="D1264" s="10">
        <v>9</v>
      </c>
      <c r="E1264" s="10">
        <v>23</v>
      </c>
      <c r="F1264" t="s">
        <v>2659</v>
      </c>
      <c r="G1264">
        <v>258.56999999999999</v>
      </c>
      <c r="H1264" t="s">
        <v>69</v>
      </c>
      <c r="I1264" t="s">
        <v>150</v>
      </c>
      <c r="J1264" s="10" t="str">
        <f>VLOOKUP(I1264,Categories!A:B,2,FALSE)</f>
        <v xml:space="preserve">Food &amp; Coff</v>
      </c>
      <c r="K1264" t="s">
        <v>235</v>
      </c>
      <c r="L1264" s="10" t="str">
        <f>VLOOKUP(K1264,Accounts!A:B,2,FALSE)</f>
        <v xml:space="preserve">JPY cash</v>
      </c>
      <c r="M1264" t="s">
        <v>124</v>
      </c>
      <c r="N1264" s="10"/>
      <c r="O1264" t="s">
        <v>2660</v>
      </c>
      <c r="Q1264" t="s">
        <v>126</v>
      </c>
      <c r="R1264" t="s">
        <v>124</v>
      </c>
      <c r="S1264" t="b">
        <v>0</v>
      </c>
      <c r="T1264" t="s">
        <v>124</v>
      </c>
    </row>
    <row r="1265">
      <c r="A1265" t="s">
        <v>2661</v>
      </c>
      <c r="B1265" t="s">
        <v>2649</v>
      </c>
      <c r="C1265" s="2">
        <v>2023</v>
      </c>
      <c r="D1265" s="10">
        <v>9</v>
      </c>
      <c r="E1265" s="10">
        <v>23</v>
      </c>
      <c r="F1265" t="s">
        <v>527</v>
      </c>
      <c r="G1265">
        <v>258.56999999999999</v>
      </c>
      <c r="H1265" t="s">
        <v>69</v>
      </c>
      <c r="I1265" t="s">
        <v>141</v>
      </c>
      <c r="J1265" s="10" t="str">
        <f>VLOOKUP(I1265,Categories!A:B,2,FALSE)</f>
        <v>Other</v>
      </c>
      <c r="K1265" t="s">
        <v>235</v>
      </c>
      <c r="L1265" s="10" t="str">
        <f>VLOOKUP(K1265,Accounts!A:B,2,FALSE)</f>
        <v xml:space="preserve">JPY cash</v>
      </c>
      <c r="M1265" t="s">
        <v>124</v>
      </c>
      <c r="N1265" s="10"/>
      <c r="O1265" t="s">
        <v>2662</v>
      </c>
      <c r="Q1265" t="s">
        <v>126</v>
      </c>
      <c r="R1265" t="s">
        <v>124</v>
      </c>
      <c r="S1265" t="b">
        <v>0</v>
      </c>
      <c r="T1265" t="s">
        <v>124</v>
      </c>
    </row>
    <row r="1266">
      <c r="A1266" t="s">
        <v>2663</v>
      </c>
      <c r="B1266" t="s">
        <v>2649</v>
      </c>
      <c r="C1266" s="2">
        <v>2023</v>
      </c>
      <c r="D1266" s="10">
        <v>9</v>
      </c>
      <c r="E1266" s="10">
        <v>23</v>
      </c>
      <c r="F1266" t="s">
        <v>1846</v>
      </c>
      <c r="G1266">
        <v>517.14999999999998</v>
      </c>
      <c r="H1266" t="s">
        <v>69</v>
      </c>
      <c r="I1266" t="s">
        <v>254</v>
      </c>
      <c r="J1266" s="10" t="str">
        <f>VLOOKUP(I1266,Categories!A:B,2,FALSE)</f>
        <v xml:space="preserve">Modified Bal.</v>
      </c>
      <c r="K1266" t="s">
        <v>235</v>
      </c>
      <c r="L1266" s="10" t="str">
        <f>VLOOKUP(K1266,Accounts!A:B,2,FALSE)</f>
        <v xml:space="preserve">JPY cash</v>
      </c>
      <c r="M1266" t="s">
        <v>124</v>
      </c>
      <c r="N1266" s="10"/>
      <c r="O1266" t="s">
        <v>2664</v>
      </c>
      <c r="Q1266" t="s">
        <v>126</v>
      </c>
      <c r="R1266" t="s">
        <v>124</v>
      </c>
      <c r="S1266" t="b">
        <v>0</v>
      </c>
      <c r="T1266" t="s">
        <v>124</v>
      </c>
    </row>
    <row r="1267">
      <c r="A1267" t="s">
        <v>2665</v>
      </c>
      <c r="B1267" t="s">
        <v>2666</v>
      </c>
      <c r="C1267" s="2">
        <v>2023</v>
      </c>
      <c r="D1267" s="10">
        <v>9</v>
      </c>
      <c r="E1267" s="10">
        <v>22</v>
      </c>
      <c r="F1267" t="s">
        <v>2667</v>
      </c>
      <c r="G1267">
        <v>3948</v>
      </c>
      <c r="H1267" t="s">
        <v>69</v>
      </c>
      <c r="I1267" t="s">
        <v>150</v>
      </c>
      <c r="J1267" s="10" t="str">
        <f>VLOOKUP(I1267,Categories!A:B,2,FALSE)</f>
        <v xml:space="preserve">Food &amp; Coff</v>
      </c>
      <c r="K1267" t="s">
        <v>137</v>
      </c>
      <c r="L1267" s="10" t="str">
        <f>VLOOKUP(K1267,Accounts!A:B,2,FALSE)</f>
        <v xml:space="preserve">Make Kbank</v>
      </c>
      <c r="M1267" t="s">
        <v>124</v>
      </c>
      <c r="N1267" s="10"/>
      <c r="O1267" t="s">
        <v>125</v>
      </c>
      <c r="Q1267" t="s">
        <v>126</v>
      </c>
      <c r="R1267" t="s">
        <v>124</v>
      </c>
      <c r="S1267" t="b">
        <v>0</v>
      </c>
      <c r="T1267" t="s">
        <v>124</v>
      </c>
    </row>
    <row r="1268">
      <c r="A1268" t="s">
        <v>2668</v>
      </c>
      <c r="B1268" t="s">
        <v>2669</v>
      </c>
      <c r="C1268" s="2">
        <v>2023</v>
      </c>
      <c r="D1268" s="10">
        <v>9</v>
      </c>
      <c r="E1268" s="10">
        <v>15</v>
      </c>
      <c r="F1268" t="s">
        <v>2670</v>
      </c>
      <c r="G1268">
        <v>89</v>
      </c>
      <c r="H1268" t="s">
        <v>69</v>
      </c>
      <c r="I1268" t="s">
        <v>150</v>
      </c>
      <c r="J1268" s="10" t="str">
        <f>VLOOKUP(I1268,Categories!A:B,2,FALSE)</f>
        <v xml:space="preserve">Food &amp; Coff</v>
      </c>
      <c r="K1268" t="s">
        <v>123</v>
      </c>
      <c r="L1268" s="10" t="str">
        <f>VLOOKUP(K1268,Accounts!A:B,2,FALSE)</f>
        <v>KBank</v>
      </c>
      <c r="M1268" t="s">
        <v>124</v>
      </c>
      <c r="N1268" s="10"/>
      <c r="O1268" t="s">
        <v>125</v>
      </c>
      <c r="Q1268" t="s">
        <v>126</v>
      </c>
      <c r="R1268" t="s">
        <v>124</v>
      </c>
      <c r="S1268" t="b">
        <v>0</v>
      </c>
      <c r="T1268" t="s">
        <v>124</v>
      </c>
    </row>
    <row r="1269">
      <c r="A1269" t="s">
        <v>2671</v>
      </c>
      <c r="B1269" t="s">
        <v>2672</v>
      </c>
      <c r="C1269" s="2">
        <v>2023</v>
      </c>
      <c r="D1269" s="10">
        <v>9</v>
      </c>
      <c r="E1269" s="10">
        <v>14</v>
      </c>
      <c r="F1269" t="s">
        <v>121</v>
      </c>
      <c r="G1269">
        <v>419</v>
      </c>
      <c r="H1269" t="s">
        <v>69</v>
      </c>
      <c r="I1269" t="s">
        <v>1903</v>
      </c>
      <c r="J1269" s="10" t="str">
        <f>VLOOKUP(I1269,Categories!A:B,2,FALSE)</f>
        <v xml:space="preserve">Monthly subscription</v>
      </c>
      <c r="K1269" t="s">
        <v>747</v>
      </c>
      <c r="L1269" s="10" t="str">
        <f>VLOOKUP(K1269,Accounts!A:B,2,FALSE)</f>
        <v xml:space="preserve">UOB world</v>
      </c>
      <c r="M1269" t="s">
        <v>124</v>
      </c>
      <c r="N1269" s="10"/>
      <c r="O1269" t="s">
        <v>125</v>
      </c>
      <c r="Q1269" t="s">
        <v>126</v>
      </c>
      <c r="R1269" t="s">
        <v>124</v>
      </c>
      <c r="S1269" t="b">
        <v>0</v>
      </c>
      <c r="T1269" t="s">
        <v>124</v>
      </c>
    </row>
    <row r="1270">
      <c r="A1270" t="s">
        <v>2673</v>
      </c>
      <c r="B1270" t="s">
        <v>2672</v>
      </c>
      <c r="C1270" s="2">
        <v>2023</v>
      </c>
      <c r="D1270" s="10">
        <v>9</v>
      </c>
      <c r="E1270" s="10">
        <v>14</v>
      </c>
      <c r="F1270" t="s">
        <v>1585</v>
      </c>
      <c r="G1270">
        <v>419</v>
      </c>
      <c r="H1270" t="s">
        <v>69</v>
      </c>
      <c r="I1270" t="s">
        <v>1903</v>
      </c>
      <c r="J1270" s="10" t="str">
        <f>VLOOKUP(I1270,Categories!A:B,2,FALSE)</f>
        <v xml:space="preserve">Monthly subscription</v>
      </c>
      <c r="K1270" t="s">
        <v>178</v>
      </c>
      <c r="L1270" s="10" t="str">
        <f>VLOOKUP(K1270,Accounts!A:B,2,FALSE)</f>
        <v>SCB</v>
      </c>
      <c r="M1270" t="s">
        <v>124</v>
      </c>
      <c r="N1270" s="10"/>
      <c r="O1270" t="s">
        <v>125</v>
      </c>
      <c r="Q1270" t="s">
        <v>126</v>
      </c>
      <c r="R1270" t="s">
        <v>124</v>
      </c>
      <c r="S1270" t="b">
        <v>0</v>
      </c>
      <c r="T1270" t="s">
        <v>124</v>
      </c>
    </row>
    <row r="1271">
      <c r="A1271" t="s">
        <v>2674</v>
      </c>
      <c r="B1271" t="s">
        <v>2675</v>
      </c>
      <c r="C1271" s="2">
        <v>2023</v>
      </c>
      <c r="D1271" s="10">
        <v>9</v>
      </c>
      <c r="E1271" s="10">
        <v>10</v>
      </c>
      <c r="F1271" t="s">
        <v>2131</v>
      </c>
      <c r="G1271">
        <v>15000</v>
      </c>
      <c r="H1271" t="s">
        <v>128</v>
      </c>
      <c r="I1271" t="s">
        <v>136</v>
      </c>
      <c r="J1271" s="10" t="str">
        <f>VLOOKUP(I1271,Categories!A:B,2,FALSE)</f>
        <v>อื่นๆ</v>
      </c>
      <c r="K1271" t="s">
        <v>178</v>
      </c>
      <c r="L1271" s="10" t="str">
        <f>VLOOKUP(K1271,Accounts!A:B,2,FALSE)</f>
        <v>SCB</v>
      </c>
      <c r="M1271" t="s">
        <v>425</v>
      </c>
      <c r="N1271" s="10" t="str">
        <f>VLOOKUP(M1271,Accounts!A:B,2,FALSE)</f>
        <v>Cash</v>
      </c>
      <c r="O1271" t="s">
        <v>232</v>
      </c>
      <c r="Q1271" t="s">
        <v>126</v>
      </c>
      <c r="R1271" t="s">
        <v>124</v>
      </c>
      <c r="S1271" t="b">
        <v>0</v>
      </c>
      <c r="T1271" t="s">
        <v>124</v>
      </c>
    </row>
    <row r="1272">
      <c r="A1272" t="s">
        <v>2676</v>
      </c>
      <c r="B1272" t="s">
        <v>2675</v>
      </c>
      <c r="C1272" s="2">
        <v>2023</v>
      </c>
      <c r="D1272" s="10">
        <v>9</v>
      </c>
      <c r="E1272" s="10">
        <v>10</v>
      </c>
      <c r="F1272" t="s">
        <v>2677</v>
      </c>
      <c r="G1272">
        <v>40000</v>
      </c>
      <c r="H1272" t="s">
        <v>128</v>
      </c>
      <c r="I1272" t="s">
        <v>136</v>
      </c>
      <c r="J1272" s="10" t="str">
        <f>VLOOKUP(I1272,Categories!A:B,2,FALSE)</f>
        <v>อื่นๆ</v>
      </c>
      <c r="K1272" t="s">
        <v>178</v>
      </c>
      <c r="L1272" s="10" t="str">
        <f>VLOOKUP(K1272,Accounts!A:B,2,FALSE)</f>
        <v>SCB</v>
      </c>
      <c r="M1272" t="s">
        <v>137</v>
      </c>
      <c r="N1272" s="10" t="str">
        <f>VLOOKUP(M1272,Accounts!A:B,2,FALSE)</f>
        <v xml:space="preserve">Make Kbank</v>
      </c>
      <c r="O1272" t="s">
        <v>125</v>
      </c>
      <c r="Q1272" t="s">
        <v>126</v>
      </c>
      <c r="R1272" t="s">
        <v>124</v>
      </c>
      <c r="S1272" t="b">
        <v>0</v>
      </c>
      <c r="T1272" t="s">
        <v>124</v>
      </c>
    </row>
    <row r="1273">
      <c r="A1273" t="s">
        <v>2678</v>
      </c>
      <c r="B1273" t="s">
        <v>2679</v>
      </c>
      <c r="C1273" s="2">
        <v>2023</v>
      </c>
      <c r="D1273" s="10">
        <v>9</v>
      </c>
      <c r="E1273" s="10">
        <v>8</v>
      </c>
      <c r="F1273" t="s">
        <v>1898</v>
      </c>
      <c r="G1273">
        <v>87</v>
      </c>
      <c r="H1273" t="s">
        <v>69</v>
      </c>
      <c r="I1273" t="s">
        <v>150</v>
      </c>
      <c r="J1273" s="10" t="str">
        <f>VLOOKUP(I1273,Categories!A:B,2,FALSE)</f>
        <v xml:space="preserve">Food &amp; Coff</v>
      </c>
      <c r="K1273" t="s">
        <v>123</v>
      </c>
      <c r="L1273" s="10" t="str">
        <f>VLOOKUP(K1273,Accounts!A:B,2,FALSE)</f>
        <v>KBank</v>
      </c>
      <c r="M1273" t="s">
        <v>124</v>
      </c>
      <c r="N1273" s="10"/>
      <c r="O1273" t="s">
        <v>125</v>
      </c>
      <c r="Q1273" t="s">
        <v>126</v>
      </c>
      <c r="R1273" t="s">
        <v>124</v>
      </c>
      <c r="S1273" t="b">
        <v>0</v>
      </c>
      <c r="T1273" t="s">
        <v>124</v>
      </c>
    </row>
    <row r="1274">
      <c r="A1274" t="s">
        <v>2680</v>
      </c>
      <c r="B1274" t="s">
        <v>2681</v>
      </c>
      <c r="C1274" s="2">
        <v>2023</v>
      </c>
      <c r="D1274" s="10">
        <v>9</v>
      </c>
      <c r="E1274" s="10">
        <v>7</v>
      </c>
      <c r="F1274" t="s">
        <v>1992</v>
      </c>
      <c r="G1274">
        <v>200</v>
      </c>
      <c r="H1274" t="s">
        <v>128</v>
      </c>
      <c r="I1274" t="s">
        <v>136</v>
      </c>
      <c r="J1274" s="10" t="str">
        <f>VLOOKUP(I1274,Categories!A:B,2,FALSE)</f>
        <v>อื่นๆ</v>
      </c>
      <c r="K1274" t="s">
        <v>178</v>
      </c>
      <c r="L1274" s="10" t="str">
        <f>VLOOKUP(K1274,Accounts!A:B,2,FALSE)</f>
        <v>SCB</v>
      </c>
      <c r="M1274" t="s">
        <v>425</v>
      </c>
      <c r="N1274" s="10" t="str">
        <f>VLOOKUP(M1274,Accounts!A:B,2,FALSE)</f>
        <v>Cash</v>
      </c>
      <c r="O1274" t="s">
        <v>125</v>
      </c>
      <c r="Q1274" t="s">
        <v>126</v>
      </c>
      <c r="R1274" t="s">
        <v>124</v>
      </c>
      <c r="S1274" t="b">
        <v>0</v>
      </c>
      <c r="T1274" t="s">
        <v>124</v>
      </c>
    </row>
    <row r="1275">
      <c r="A1275" t="s">
        <v>2682</v>
      </c>
      <c r="B1275" t="s">
        <v>2681</v>
      </c>
      <c r="C1275" s="2">
        <v>2023</v>
      </c>
      <c r="D1275" s="10">
        <v>9</v>
      </c>
      <c r="E1275" s="10">
        <v>7</v>
      </c>
      <c r="F1275" t="s">
        <v>1992</v>
      </c>
      <c r="G1275">
        <v>300</v>
      </c>
      <c r="H1275" t="s">
        <v>69</v>
      </c>
      <c r="I1275" t="s">
        <v>259</v>
      </c>
      <c r="J1275" s="10" t="str">
        <f>VLOOKUP(I1275,Categories!A:B,2,FALSE)</f>
        <v xml:space="preserve">Team BOT</v>
      </c>
      <c r="K1275" t="s">
        <v>178</v>
      </c>
      <c r="L1275" s="10" t="str">
        <f>VLOOKUP(K1275,Accounts!A:B,2,FALSE)</f>
        <v>SCB</v>
      </c>
      <c r="M1275" t="s">
        <v>124</v>
      </c>
      <c r="N1275" s="10"/>
      <c r="O1275" t="s">
        <v>1575</v>
      </c>
      <c r="Q1275" t="s">
        <v>126</v>
      </c>
      <c r="R1275" t="s">
        <v>124</v>
      </c>
      <c r="S1275" t="b">
        <v>0</v>
      </c>
      <c r="T1275" t="s">
        <v>124</v>
      </c>
    </row>
    <row r="1276">
      <c r="A1276" t="s">
        <v>2683</v>
      </c>
      <c r="B1276" t="s">
        <v>2684</v>
      </c>
      <c r="C1276" s="2">
        <v>2023</v>
      </c>
      <c r="D1276" s="10">
        <v>9</v>
      </c>
      <c r="E1276" s="10">
        <v>5</v>
      </c>
      <c r="F1276" t="s">
        <v>1585</v>
      </c>
      <c r="G1276">
        <v>445</v>
      </c>
      <c r="H1276" t="s">
        <v>206</v>
      </c>
      <c r="I1276" t="s">
        <v>207</v>
      </c>
      <c r="J1276" s="10" t="str">
        <f>VLOOKUP(I1276,Categories!A:B,2,FALSE)</f>
        <v>Salary</v>
      </c>
      <c r="K1276" t="s">
        <v>178</v>
      </c>
      <c r="L1276" s="10" t="str">
        <f>VLOOKUP(K1276,Accounts!A:B,2,FALSE)</f>
        <v>SCB</v>
      </c>
      <c r="M1276" t="s">
        <v>124</v>
      </c>
      <c r="N1276" s="10"/>
      <c r="O1276" t="s">
        <v>125</v>
      </c>
      <c r="Q1276" t="s">
        <v>126</v>
      </c>
      <c r="R1276" t="s">
        <v>124</v>
      </c>
      <c r="S1276" t="b">
        <v>0</v>
      </c>
      <c r="T1276" t="s">
        <v>124</v>
      </c>
    </row>
    <row r="1277">
      <c r="A1277" t="s">
        <v>2685</v>
      </c>
      <c r="B1277" t="s">
        <v>2686</v>
      </c>
      <c r="C1277" s="2">
        <v>2023</v>
      </c>
      <c r="D1277" s="10">
        <v>9</v>
      </c>
      <c r="E1277" s="10">
        <v>4</v>
      </c>
      <c r="F1277" t="s">
        <v>2687</v>
      </c>
      <c r="G1277">
        <v>30000</v>
      </c>
      <c r="H1277" t="s">
        <v>69</v>
      </c>
      <c r="I1277" t="s">
        <v>144</v>
      </c>
      <c r="J1277" s="10" t="str">
        <f>VLOOKUP(I1277,Categories!A:B,2,FALSE)</f>
        <v xml:space="preserve">Family paid</v>
      </c>
      <c r="K1277" t="s">
        <v>123</v>
      </c>
      <c r="L1277" s="10" t="str">
        <f>VLOOKUP(K1277,Accounts!A:B,2,FALSE)</f>
        <v>KBank</v>
      </c>
      <c r="M1277" t="s">
        <v>124</v>
      </c>
      <c r="N1277" s="10"/>
      <c r="O1277" t="s">
        <v>2688</v>
      </c>
      <c r="Q1277" t="s">
        <v>126</v>
      </c>
      <c r="R1277" t="s">
        <v>124</v>
      </c>
      <c r="S1277" t="b">
        <v>0</v>
      </c>
      <c r="T1277" t="s">
        <v>124</v>
      </c>
    </row>
    <row r="1278">
      <c r="A1278" t="s">
        <v>2689</v>
      </c>
      <c r="B1278" t="s">
        <v>2690</v>
      </c>
      <c r="C1278" s="2">
        <v>2023</v>
      </c>
      <c r="D1278" s="10">
        <v>9</v>
      </c>
      <c r="E1278" s="10">
        <v>3</v>
      </c>
      <c r="F1278" t="s">
        <v>1898</v>
      </c>
      <c r="G1278">
        <v>85</v>
      </c>
      <c r="H1278" t="s">
        <v>69</v>
      </c>
      <c r="I1278" t="s">
        <v>150</v>
      </c>
      <c r="J1278" s="10" t="str">
        <f>VLOOKUP(I1278,Categories!A:B,2,FALSE)</f>
        <v xml:space="preserve">Food &amp; Coff</v>
      </c>
      <c r="K1278" t="s">
        <v>123</v>
      </c>
      <c r="L1278" s="10" t="str">
        <f>VLOOKUP(K1278,Accounts!A:B,2,FALSE)</f>
        <v>KBank</v>
      </c>
      <c r="M1278" t="s">
        <v>124</v>
      </c>
      <c r="N1278" s="10"/>
      <c r="O1278" t="s">
        <v>125</v>
      </c>
      <c r="Q1278" t="s">
        <v>126</v>
      </c>
      <c r="R1278" t="s">
        <v>124</v>
      </c>
      <c r="S1278" t="b">
        <v>0</v>
      </c>
      <c r="T1278" t="s">
        <v>124</v>
      </c>
    </row>
    <row r="1279">
      <c r="A1279" t="s">
        <v>2691</v>
      </c>
      <c r="B1279" t="s">
        <v>2690</v>
      </c>
      <c r="C1279" s="2">
        <v>2023</v>
      </c>
      <c r="D1279" s="10">
        <v>9</v>
      </c>
      <c r="E1279" s="10">
        <v>3</v>
      </c>
      <c r="F1279" t="s">
        <v>1228</v>
      </c>
      <c r="G1279">
        <v>4500</v>
      </c>
      <c r="H1279" t="s">
        <v>128</v>
      </c>
      <c r="I1279" t="s">
        <v>136</v>
      </c>
      <c r="J1279" s="10" t="str">
        <f>VLOOKUP(I1279,Categories!A:B,2,FALSE)</f>
        <v>อื่นๆ</v>
      </c>
      <c r="K1279" t="s">
        <v>178</v>
      </c>
      <c r="L1279" s="10" t="str">
        <f>VLOOKUP(K1279,Accounts!A:B,2,FALSE)</f>
        <v>SCB</v>
      </c>
      <c r="M1279" t="s">
        <v>131</v>
      </c>
      <c r="N1279" s="10" t="str">
        <f>VLOOKUP(M1279,Accounts!A:B,2,FALSE)</f>
        <v xml:space="preserve">Advance Paid</v>
      </c>
      <c r="O1279" t="s">
        <v>125</v>
      </c>
      <c r="Q1279" t="s">
        <v>126</v>
      </c>
      <c r="R1279" t="s">
        <v>124</v>
      </c>
      <c r="S1279" t="b">
        <v>0</v>
      </c>
      <c r="T1279" t="s">
        <v>124</v>
      </c>
    </row>
    <row r="1280">
      <c r="A1280" t="s">
        <v>2692</v>
      </c>
      <c r="B1280" t="s">
        <v>2693</v>
      </c>
      <c r="C1280" s="2">
        <v>2023</v>
      </c>
      <c r="D1280" s="10">
        <v>9</v>
      </c>
      <c r="E1280" s="10">
        <v>2</v>
      </c>
      <c r="F1280" t="s">
        <v>2694</v>
      </c>
      <c r="G1280">
        <v>17500</v>
      </c>
      <c r="H1280" t="s">
        <v>128</v>
      </c>
      <c r="I1280" t="s">
        <v>136</v>
      </c>
      <c r="J1280" s="10" t="str">
        <f>VLOOKUP(I1280,Categories!A:B,2,FALSE)</f>
        <v>อื่นๆ</v>
      </c>
      <c r="K1280" t="s">
        <v>178</v>
      </c>
      <c r="L1280" s="10" t="str">
        <f>VLOOKUP(K1280,Accounts!A:B,2,FALSE)</f>
        <v>SCB</v>
      </c>
      <c r="M1280" t="s">
        <v>2317</v>
      </c>
      <c r="N1280" s="10" t="str">
        <f>VLOOKUP(M1280,Accounts!A:B,2,FALSE)</f>
        <v xml:space="preserve">Marriage account</v>
      </c>
      <c r="O1280" t="s">
        <v>125</v>
      </c>
      <c r="Q1280" t="s">
        <v>126</v>
      </c>
      <c r="R1280" t="s">
        <v>124</v>
      </c>
      <c r="S1280" t="b">
        <v>0</v>
      </c>
      <c r="T1280" t="s">
        <v>124</v>
      </c>
    </row>
    <row r="1281">
      <c r="A1281" t="s">
        <v>2695</v>
      </c>
      <c r="B1281" t="s">
        <v>2693</v>
      </c>
      <c r="C1281" s="2">
        <v>2023</v>
      </c>
      <c r="D1281" s="10">
        <v>9</v>
      </c>
      <c r="E1281" s="10">
        <v>2</v>
      </c>
      <c r="F1281" t="s">
        <v>2696</v>
      </c>
      <c r="G1281">
        <v>7600.6099999999997</v>
      </c>
      <c r="H1281" t="s">
        <v>69</v>
      </c>
      <c r="I1281" t="s">
        <v>139</v>
      </c>
      <c r="J1281" s="10" t="str">
        <f>VLOOKUP(I1281,Categories!A:B,2,FALSE)</f>
        <v>Condo</v>
      </c>
      <c r="K1281" t="s">
        <v>123</v>
      </c>
      <c r="L1281" s="10" t="str">
        <f>VLOOKUP(K1281,Accounts!A:B,2,FALSE)</f>
        <v>KBank</v>
      </c>
      <c r="M1281" t="s">
        <v>124</v>
      </c>
      <c r="N1281" s="10"/>
      <c r="O1281" t="s">
        <v>125</v>
      </c>
      <c r="Q1281" t="s">
        <v>126</v>
      </c>
      <c r="R1281" t="s">
        <v>124</v>
      </c>
      <c r="S1281" t="b">
        <v>0</v>
      </c>
      <c r="T1281" t="s">
        <v>124</v>
      </c>
    </row>
    <row r="1282">
      <c r="A1282" t="s">
        <v>2697</v>
      </c>
      <c r="B1282" t="s">
        <v>2698</v>
      </c>
      <c r="C1282" s="2">
        <v>2023</v>
      </c>
      <c r="D1282" s="10">
        <v>9</v>
      </c>
      <c r="E1282" s="10">
        <v>1</v>
      </c>
      <c r="F1282" t="s">
        <v>2699</v>
      </c>
      <c r="G1282">
        <v>5000</v>
      </c>
      <c r="H1282" t="s">
        <v>128</v>
      </c>
      <c r="I1282" t="s">
        <v>136</v>
      </c>
      <c r="J1282" s="10" t="str">
        <f>VLOOKUP(I1282,Categories!A:B,2,FALSE)</f>
        <v>อื่นๆ</v>
      </c>
      <c r="K1282" t="s">
        <v>123</v>
      </c>
      <c r="L1282" s="10" t="str">
        <f>VLOOKUP(K1282,Accounts!A:B,2,FALSE)</f>
        <v>KBank</v>
      </c>
      <c r="M1282" t="s">
        <v>137</v>
      </c>
      <c r="N1282" s="10" t="str">
        <f>VLOOKUP(M1282,Accounts!A:B,2,FALSE)</f>
        <v xml:space="preserve">Make Kbank</v>
      </c>
      <c r="O1282" t="s">
        <v>125</v>
      </c>
      <c r="Q1282" t="s">
        <v>126</v>
      </c>
      <c r="R1282" t="s">
        <v>124</v>
      </c>
      <c r="S1282" t="b">
        <v>0</v>
      </c>
      <c r="T1282" t="s">
        <v>124</v>
      </c>
    </row>
    <row r="1283">
      <c r="A1283" t="s">
        <v>2700</v>
      </c>
      <c r="B1283" t="s">
        <v>2698</v>
      </c>
      <c r="C1283" s="2">
        <v>2023</v>
      </c>
      <c r="D1283" s="10">
        <v>9</v>
      </c>
      <c r="E1283" s="10">
        <v>1</v>
      </c>
      <c r="F1283" t="s">
        <v>2701</v>
      </c>
      <c r="G1283">
        <v>110</v>
      </c>
      <c r="H1283" t="s">
        <v>69</v>
      </c>
      <c r="I1283" t="s">
        <v>150</v>
      </c>
      <c r="J1283" s="10" t="str">
        <f>VLOOKUP(I1283,Categories!A:B,2,FALSE)</f>
        <v xml:space="preserve">Food &amp; Coff</v>
      </c>
      <c r="K1283" t="s">
        <v>123</v>
      </c>
      <c r="L1283" s="10" t="str">
        <f>VLOOKUP(K1283,Accounts!A:B,2,FALSE)</f>
        <v>KBank</v>
      </c>
      <c r="M1283" t="s">
        <v>124</v>
      </c>
      <c r="N1283" s="10"/>
      <c r="O1283" t="s">
        <v>125</v>
      </c>
      <c r="Q1283" t="s">
        <v>126</v>
      </c>
      <c r="R1283" t="s">
        <v>124</v>
      </c>
      <c r="S1283" t="b">
        <v>0</v>
      </c>
      <c r="T1283" t="s">
        <v>124</v>
      </c>
    </row>
    <row r="1284">
      <c r="A1284" t="s">
        <v>2702</v>
      </c>
      <c r="B1284" t="s">
        <v>2698</v>
      </c>
      <c r="C1284" s="2">
        <v>2023</v>
      </c>
      <c r="D1284" s="10">
        <v>9</v>
      </c>
      <c r="E1284" s="10">
        <v>1</v>
      </c>
      <c r="F1284" t="s">
        <v>2703</v>
      </c>
      <c r="G1284">
        <v>65</v>
      </c>
      <c r="H1284" t="s">
        <v>69</v>
      </c>
      <c r="I1284" t="s">
        <v>150</v>
      </c>
      <c r="J1284" s="10" t="str">
        <f>VLOOKUP(I1284,Categories!A:B,2,FALSE)</f>
        <v xml:space="preserve">Food &amp; Coff</v>
      </c>
      <c r="K1284" t="s">
        <v>123</v>
      </c>
      <c r="L1284" s="10" t="str">
        <f>VLOOKUP(K1284,Accounts!A:B,2,FALSE)</f>
        <v>KBank</v>
      </c>
      <c r="M1284" t="s">
        <v>124</v>
      </c>
      <c r="N1284" s="10"/>
      <c r="O1284" t="s">
        <v>125</v>
      </c>
      <c r="Q1284" t="s">
        <v>126</v>
      </c>
      <c r="R1284" t="s">
        <v>124</v>
      </c>
      <c r="S1284" t="b">
        <v>0</v>
      </c>
      <c r="T1284" t="s">
        <v>124</v>
      </c>
    </row>
    <row r="1285">
      <c r="A1285" t="s">
        <v>2704</v>
      </c>
      <c r="B1285" t="s">
        <v>2698</v>
      </c>
      <c r="C1285" s="2">
        <v>2023</v>
      </c>
      <c r="D1285" s="10">
        <v>9</v>
      </c>
      <c r="E1285" s="10">
        <v>1</v>
      </c>
      <c r="F1285" t="s">
        <v>2705</v>
      </c>
      <c r="G1285">
        <v>16.32</v>
      </c>
      <c r="H1285" t="s">
        <v>206</v>
      </c>
      <c r="I1285" t="s">
        <v>281</v>
      </c>
      <c r="J1285" s="10" t="str">
        <f>VLOOKUP(I1285,Categories!A:B,2,FALSE)</f>
        <v>Others</v>
      </c>
      <c r="K1285" t="s">
        <v>178</v>
      </c>
      <c r="L1285" s="10" t="str">
        <f>VLOOKUP(K1285,Accounts!A:B,2,FALSE)</f>
        <v>SCB</v>
      </c>
      <c r="M1285" t="s">
        <v>124</v>
      </c>
      <c r="N1285" s="10"/>
      <c r="O1285" t="s">
        <v>125</v>
      </c>
      <c r="Q1285" t="s">
        <v>126</v>
      </c>
      <c r="R1285" t="s">
        <v>124</v>
      </c>
      <c r="S1285" t="b">
        <v>0</v>
      </c>
      <c r="T1285" t="s">
        <v>124</v>
      </c>
    </row>
    <row r="1286">
      <c r="A1286" t="s">
        <v>2706</v>
      </c>
      <c r="B1286" t="s">
        <v>2707</v>
      </c>
      <c r="C1286" s="2">
        <v>2023</v>
      </c>
      <c r="D1286" s="10">
        <v>8</v>
      </c>
      <c r="E1286" s="10">
        <v>31</v>
      </c>
      <c r="F1286" t="s">
        <v>2694</v>
      </c>
      <c r="G1286">
        <v>95</v>
      </c>
      <c r="H1286" t="s">
        <v>69</v>
      </c>
      <c r="I1286" t="s">
        <v>150</v>
      </c>
      <c r="J1286" s="10" t="str">
        <f>VLOOKUP(I1286,Categories!A:B,2,FALSE)</f>
        <v xml:space="preserve">Food &amp; Coff</v>
      </c>
      <c r="K1286" t="s">
        <v>123</v>
      </c>
      <c r="L1286" s="10" t="str">
        <f>VLOOKUP(K1286,Accounts!A:B,2,FALSE)</f>
        <v>KBank</v>
      </c>
      <c r="M1286" t="s">
        <v>124</v>
      </c>
      <c r="N1286" s="10"/>
      <c r="O1286" t="s">
        <v>125</v>
      </c>
      <c r="Q1286" t="s">
        <v>126</v>
      </c>
      <c r="R1286" t="s">
        <v>124</v>
      </c>
      <c r="S1286" t="b">
        <v>0</v>
      </c>
      <c r="T1286" t="s">
        <v>124</v>
      </c>
    </row>
    <row r="1287">
      <c r="A1287" t="s">
        <v>2708</v>
      </c>
      <c r="B1287" t="s">
        <v>2707</v>
      </c>
      <c r="C1287" s="2">
        <v>2023</v>
      </c>
      <c r="D1287" s="10">
        <v>8</v>
      </c>
      <c r="E1287" s="10">
        <v>31</v>
      </c>
      <c r="F1287" t="s">
        <v>2709</v>
      </c>
      <c r="G1287">
        <v>27620.25</v>
      </c>
      <c r="H1287" t="s">
        <v>69</v>
      </c>
      <c r="I1287" t="s">
        <v>144</v>
      </c>
      <c r="J1287" s="10" t="str">
        <f>VLOOKUP(I1287,Categories!A:B,2,FALSE)</f>
        <v xml:space="preserve">Family paid</v>
      </c>
      <c r="K1287" t="s">
        <v>178</v>
      </c>
      <c r="L1287" s="10" t="str">
        <f>VLOOKUP(K1287,Accounts!A:B,2,FALSE)</f>
        <v>SCB</v>
      </c>
      <c r="M1287" t="s">
        <v>124</v>
      </c>
      <c r="N1287" s="10"/>
      <c r="O1287" t="s">
        <v>2710</v>
      </c>
      <c r="Q1287" t="s">
        <v>126</v>
      </c>
      <c r="R1287" t="s">
        <v>124</v>
      </c>
      <c r="S1287" t="b">
        <v>0</v>
      </c>
      <c r="T1287" t="s">
        <v>124</v>
      </c>
    </row>
    <row r="1288">
      <c r="A1288" t="s">
        <v>2711</v>
      </c>
      <c r="B1288" t="s">
        <v>2712</v>
      </c>
      <c r="C1288" s="2">
        <v>2023</v>
      </c>
      <c r="D1288" s="10">
        <v>8</v>
      </c>
      <c r="E1288" s="10">
        <v>30</v>
      </c>
      <c r="F1288" t="s">
        <v>2004</v>
      </c>
      <c r="G1288">
        <v>60</v>
      </c>
      <c r="H1288" t="s">
        <v>69</v>
      </c>
      <c r="I1288" t="s">
        <v>150</v>
      </c>
      <c r="J1288" s="10" t="str">
        <f>VLOOKUP(I1288,Categories!A:B,2,FALSE)</f>
        <v xml:space="preserve">Food &amp; Coff</v>
      </c>
      <c r="K1288" t="s">
        <v>123</v>
      </c>
      <c r="L1288" s="10" t="str">
        <f>VLOOKUP(K1288,Accounts!A:B,2,FALSE)</f>
        <v>KBank</v>
      </c>
      <c r="M1288" t="s">
        <v>124</v>
      </c>
      <c r="N1288" s="10"/>
      <c r="O1288" t="s">
        <v>125</v>
      </c>
      <c r="Q1288" t="s">
        <v>126</v>
      </c>
      <c r="R1288" t="s">
        <v>124</v>
      </c>
      <c r="S1288" t="b">
        <v>0</v>
      </c>
      <c r="T1288" t="s">
        <v>124</v>
      </c>
    </row>
    <row r="1289">
      <c r="A1289" t="s">
        <v>2713</v>
      </c>
      <c r="B1289" t="s">
        <v>2712</v>
      </c>
      <c r="C1289" s="2">
        <v>2023</v>
      </c>
      <c r="D1289" s="10">
        <v>8</v>
      </c>
      <c r="E1289" s="10">
        <v>30</v>
      </c>
      <c r="F1289" t="s">
        <v>2004</v>
      </c>
      <c r="G1289">
        <v>50</v>
      </c>
      <c r="H1289" t="s">
        <v>69</v>
      </c>
      <c r="I1289" t="s">
        <v>150</v>
      </c>
      <c r="J1289" s="10" t="str">
        <f>VLOOKUP(I1289,Categories!A:B,2,FALSE)</f>
        <v xml:space="preserve">Food &amp; Coff</v>
      </c>
      <c r="K1289" t="s">
        <v>123</v>
      </c>
      <c r="L1289" s="10" t="str">
        <f>VLOOKUP(K1289,Accounts!A:B,2,FALSE)</f>
        <v>KBank</v>
      </c>
      <c r="M1289" t="s">
        <v>124</v>
      </c>
      <c r="N1289" s="10"/>
      <c r="O1289" t="s">
        <v>125</v>
      </c>
      <c r="Q1289" t="s">
        <v>126</v>
      </c>
      <c r="R1289" t="s">
        <v>124</v>
      </c>
      <c r="S1289" t="b">
        <v>0</v>
      </c>
      <c r="T1289" t="s">
        <v>124</v>
      </c>
    </row>
    <row r="1290">
      <c r="A1290" t="s">
        <v>2714</v>
      </c>
      <c r="B1290" t="s">
        <v>2715</v>
      </c>
      <c r="C1290" s="2">
        <v>2023</v>
      </c>
      <c r="D1290" s="10">
        <v>8</v>
      </c>
      <c r="E1290" s="10">
        <v>29</v>
      </c>
      <c r="F1290" t="s">
        <v>2716</v>
      </c>
      <c r="G1290">
        <v>10000</v>
      </c>
      <c r="H1290" t="s">
        <v>69</v>
      </c>
      <c r="I1290" t="s">
        <v>144</v>
      </c>
      <c r="J1290" s="10" t="str">
        <f>VLOOKUP(I1290,Categories!A:B,2,FALSE)</f>
        <v xml:space="preserve">Family paid</v>
      </c>
      <c r="K1290" t="s">
        <v>123</v>
      </c>
      <c r="L1290" s="10" t="str">
        <f>VLOOKUP(K1290,Accounts!A:B,2,FALSE)</f>
        <v>KBank</v>
      </c>
      <c r="M1290" t="s">
        <v>124</v>
      </c>
      <c r="N1290" s="10"/>
      <c r="O1290" t="s">
        <v>125</v>
      </c>
      <c r="Q1290" t="s">
        <v>126</v>
      </c>
      <c r="R1290" t="s">
        <v>124</v>
      </c>
      <c r="S1290" t="b">
        <v>0</v>
      </c>
      <c r="T1290" t="s">
        <v>124</v>
      </c>
    </row>
    <row r="1291">
      <c r="A1291" t="s">
        <v>2717</v>
      </c>
      <c r="B1291" t="s">
        <v>2715</v>
      </c>
      <c r="C1291" s="2">
        <v>2023</v>
      </c>
      <c r="D1291" s="10">
        <v>8</v>
      </c>
      <c r="E1291" s="10">
        <v>29</v>
      </c>
      <c r="F1291" t="s">
        <v>2716</v>
      </c>
      <c r="G1291">
        <v>115</v>
      </c>
      <c r="H1291" t="s">
        <v>69</v>
      </c>
      <c r="I1291" t="s">
        <v>150</v>
      </c>
      <c r="J1291" s="10" t="str">
        <f>VLOOKUP(I1291,Categories!A:B,2,FALSE)</f>
        <v xml:space="preserve">Food &amp; Coff</v>
      </c>
      <c r="K1291" t="s">
        <v>123</v>
      </c>
      <c r="L1291" s="10" t="str">
        <f>VLOOKUP(K1291,Accounts!A:B,2,FALSE)</f>
        <v>KBank</v>
      </c>
      <c r="M1291" t="s">
        <v>124</v>
      </c>
      <c r="N1291" s="10"/>
      <c r="O1291" t="s">
        <v>125</v>
      </c>
      <c r="Q1291" t="s">
        <v>126</v>
      </c>
      <c r="R1291" t="s">
        <v>124</v>
      </c>
      <c r="S1291" t="b">
        <v>0</v>
      </c>
      <c r="T1291" t="s">
        <v>124</v>
      </c>
    </row>
    <row r="1292">
      <c r="A1292" t="s">
        <v>2718</v>
      </c>
      <c r="B1292" t="s">
        <v>2715</v>
      </c>
      <c r="C1292" s="2">
        <v>2023</v>
      </c>
      <c r="D1292" s="10">
        <v>8</v>
      </c>
      <c r="E1292" s="10">
        <v>29</v>
      </c>
      <c r="F1292" t="s">
        <v>1190</v>
      </c>
      <c r="G1292">
        <v>149</v>
      </c>
      <c r="H1292" t="s">
        <v>206</v>
      </c>
      <c r="I1292" t="s">
        <v>281</v>
      </c>
      <c r="J1292" s="10" t="str">
        <f>VLOOKUP(I1292,Categories!A:B,2,FALSE)</f>
        <v>Others</v>
      </c>
      <c r="K1292" t="s">
        <v>178</v>
      </c>
      <c r="L1292" s="10" t="str">
        <f>VLOOKUP(K1292,Accounts!A:B,2,FALSE)</f>
        <v>SCB</v>
      </c>
      <c r="M1292" t="s">
        <v>124</v>
      </c>
      <c r="N1292" s="10"/>
      <c r="O1292" t="s">
        <v>125</v>
      </c>
      <c r="Q1292" t="s">
        <v>126</v>
      </c>
      <c r="R1292" t="s">
        <v>124</v>
      </c>
      <c r="S1292" t="b">
        <v>0</v>
      </c>
      <c r="T1292" t="s">
        <v>124</v>
      </c>
    </row>
    <row r="1293">
      <c r="A1293" t="s">
        <v>2719</v>
      </c>
      <c r="B1293" t="s">
        <v>2720</v>
      </c>
      <c r="C1293" s="2">
        <v>2023</v>
      </c>
      <c r="D1293" s="10">
        <v>8</v>
      </c>
      <c r="E1293" s="10">
        <v>28</v>
      </c>
      <c r="F1293" t="s">
        <v>1530</v>
      </c>
      <c r="G1293">
        <v>50</v>
      </c>
      <c r="H1293" t="s">
        <v>69</v>
      </c>
      <c r="I1293" t="s">
        <v>150</v>
      </c>
      <c r="J1293" s="10" t="str">
        <f>VLOOKUP(I1293,Categories!A:B,2,FALSE)</f>
        <v xml:space="preserve">Food &amp; Coff</v>
      </c>
      <c r="K1293" t="s">
        <v>123</v>
      </c>
      <c r="L1293" s="10" t="str">
        <f>VLOOKUP(K1293,Accounts!A:B,2,FALSE)</f>
        <v>KBank</v>
      </c>
      <c r="M1293" t="s">
        <v>124</v>
      </c>
      <c r="N1293" s="10"/>
      <c r="O1293" t="s">
        <v>125</v>
      </c>
      <c r="Q1293" t="s">
        <v>126</v>
      </c>
      <c r="R1293" t="s">
        <v>124</v>
      </c>
      <c r="S1293" t="b">
        <v>0</v>
      </c>
      <c r="T1293" t="s">
        <v>124</v>
      </c>
    </row>
    <row r="1294">
      <c r="A1294" t="s">
        <v>2721</v>
      </c>
      <c r="B1294" t="s">
        <v>2720</v>
      </c>
      <c r="C1294" s="2">
        <v>2023</v>
      </c>
      <c r="D1294" s="10">
        <v>8</v>
      </c>
      <c r="E1294" s="10">
        <v>28</v>
      </c>
      <c r="F1294" t="s">
        <v>2143</v>
      </c>
      <c r="G1294">
        <v>62</v>
      </c>
      <c r="H1294" t="s">
        <v>69</v>
      </c>
      <c r="I1294" t="s">
        <v>150</v>
      </c>
      <c r="J1294" s="10" t="str">
        <f>VLOOKUP(I1294,Categories!A:B,2,FALSE)</f>
        <v xml:space="preserve">Food &amp; Coff</v>
      </c>
      <c r="K1294" t="s">
        <v>123</v>
      </c>
      <c r="L1294" s="10" t="str">
        <f>VLOOKUP(K1294,Accounts!A:B,2,FALSE)</f>
        <v>KBank</v>
      </c>
      <c r="M1294" t="s">
        <v>124</v>
      </c>
      <c r="N1294" s="10"/>
      <c r="O1294" t="s">
        <v>125</v>
      </c>
      <c r="Q1294" t="s">
        <v>126</v>
      </c>
      <c r="R1294" t="s">
        <v>124</v>
      </c>
      <c r="S1294" t="b">
        <v>0</v>
      </c>
      <c r="T1294" t="s">
        <v>124</v>
      </c>
    </row>
    <row r="1295">
      <c r="A1295" t="s">
        <v>2722</v>
      </c>
      <c r="B1295" t="s">
        <v>2720</v>
      </c>
      <c r="C1295" s="2">
        <v>2023</v>
      </c>
      <c r="D1295" s="10">
        <v>8</v>
      </c>
      <c r="E1295" s="10">
        <v>28</v>
      </c>
      <c r="F1295" t="s">
        <v>2166</v>
      </c>
      <c r="G1295">
        <v>60</v>
      </c>
      <c r="H1295" t="s">
        <v>69</v>
      </c>
      <c r="I1295" t="s">
        <v>150</v>
      </c>
      <c r="J1295" s="10" t="str">
        <f>VLOOKUP(I1295,Categories!A:B,2,FALSE)</f>
        <v xml:space="preserve">Food &amp; Coff</v>
      </c>
      <c r="K1295" t="s">
        <v>123</v>
      </c>
      <c r="L1295" s="10" t="str">
        <f>VLOOKUP(K1295,Accounts!A:B,2,FALSE)</f>
        <v>KBank</v>
      </c>
      <c r="M1295" t="s">
        <v>124</v>
      </c>
      <c r="N1295" s="10"/>
      <c r="O1295" t="s">
        <v>125</v>
      </c>
      <c r="Q1295" t="s">
        <v>126</v>
      </c>
      <c r="R1295" t="s">
        <v>124</v>
      </c>
      <c r="S1295" t="b">
        <v>0</v>
      </c>
      <c r="T1295" t="s">
        <v>124</v>
      </c>
    </row>
    <row r="1296">
      <c r="A1296" t="s">
        <v>2723</v>
      </c>
      <c r="B1296" t="s">
        <v>2724</v>
      </c>
      <c r="C1296" s="2">
        <v>2023</v>
      </c>
      <c r="D1296" s="10">
        <v>8</v>
      </c>
      <c r="E1296" s="10">
        <v>27</v>
      </c>
      <c r="F1296" t="s">
        <v>705</v>
      </c>
      <c r="G1296">
        <v>659</v>
      </c>
      <c r="H1296" t="s">
        <v>128</v>
      </c>
      <c r="I1296" t="s">
        <v>136</v>
      </c>
      <c r="J1296" s="10" t="str">
        <f>VLOOKUP(I1296,Categories!A:B,2,FALSE)</f>
        <v>อื่นๆ</v>
      </c>
      <c r="K1296" t="s">
        <v>178</v>
      </c>
      <c r="L1296" s="10" t="str">
        <f>VLOOKUP(K1296,Accounts!A:B,2,FALSE)</f>
        <v>SCB</v>
      </c>
      <c r="M1296" t="s">
        <v>130</v>
      </c>
      <c r="N1296" s="10" t="str">
        <f>VLOOKUP(M1296,Accounts!A:B,2,FALSE)</f>
        <v xml:space="preserve">KTC JCB</v>
      </c>
      <c r="O1296" t="s">
        <v>125</v>
      </c>
      <c r="Q1296" t="s">
        <v>126</v>
      </c>
      <c r="R1296" t="s">
        <v>124</v>
      </c>
      <c r="S1296" t="b">
        <v>0</v>
      </c>
      <c r="T1296" t="s">
        <v>124</v>
      </c>
    </row>
    <row r="1297">
      <c r="A1297" t="s">
        <v>2725</v>
      </c>
      <c r="B1297" t="s">
        <v>2724</v>
      </c>
      <c r="C1297" s="2">
        <v>2023</v>
      </c>
      <c r="D1297" s="10">
        <v>8</v>
      </c>
      <c r="E1297" s="10">
        <v>27</v>
      </c>
      <c r="F1297" t="s">
        <v>1988</v>
      </c>
      <c r="G1297">
        <v>344</v>
      </c>
      <c r="H1297" t="s">
        <v>128</v>
      </c>
      <c r="I1297" t="s">
        <v>136</v>
      </c>
      <c r="J1297" s="10" t="str">
        <f>VLOOKUP(I1297,Categories!A:B,2,FALSE)</f>
        <v>อื่นๆ</v>
      </c>
      <c r="K1297" t="s">
        <v>123</v>
      </c>
      <c r="L1297" s="10" t="str">
        <f>VLOOKUP(K1297,Accounts!A:B,2,FALSE)</f>
        <v>KBank</v>
      </c>
      <c r="M1297" t="s">
        <v>130</v>
      </c>
      <c r="N1297" s="10" t="str">
        <f>VLOOKUP(M1297,Accounts!A:B,2,FALSE)</f>
        <v xml:space="preserve">KTC JCB</v>
      </c>
      <c r="O1297" t="s">
        <v>125</v>
      </c>
      <c r="Q1297" t="s">
        <v>126</v>
      </c>
      <c r="R1297" t="s">
        <v>124</v>
      </c>
      <c r="S1297" t="b">
        <v>0</v>
      </c>
      <c r="T1297" t="s">
        <v>124</v>
      </c>
    </row>
    <row r="1298">
      <c r="A1298" t="s">
        <v>2726</v>
      </c>
      <c r="B1298" t="s">
        <v>2724</v>
      </c>
      <c r="C1298" s="2">
        <v>2023</v>
      </c>
      <c r="D1298" s="10">
        <v>8</v>
      </c>
      <c r="E1298" s="10">
        <v>27</v>
      </c>
      <c r="F1298" t="s">
        <v>1534</v>
      </c>
      <c r="G1298">
        <v>402</v>
      </c>
      <c r="H1298" t="s">
        <v>69</v>
      </c>
      <c r="I1298" t="s">
        <v>160</v>
      </c>
      <c r="J1298" s="10" t="str">
        <f>VLOOKUP(I1298,Categories!A:B,2,FALSE)</f>
        <v>Fashion</v>
      </c>
      <c r="K1298" t="s">
        <v>178</v>
      </c>
      <c r="L1298" s="10" t="str">
        <f>VLOOKUP(K1298,Accounts!A:B,2,FALSE)</f>
        <v>SCB</v>
      </c>
      <c r="M1298" t="s">
        <v>124</v>
      </c>
      <c r="N1298" s="10"/>
      <c r="O1298" t="s">
        <v>2727</v>
      </c>
      <c r="Q1298" t="s">
        <v>126</v>
      </c>
      <c r="R1298" t="s">
        <v>124</v>
      </c>
      <c r="S1298" t="b">
        <v>0</v>
      </c>
      <c r="T1298" t="s">
        <v>124</v>
      </c>
    </row>
    <row r="1299">
      <c r="A1299" t="s">
        <v>2728</v>
      </c>
      <c r="B1299" t="s">
        <v>2724</v>
      </c>
      <c r="C1299" s="2">
        <v>2023</v>
      </c>
      <c r="D1299" s="10">
        <v>8</v>
      </c>
      <c r="E1299" s="10">
        <v>27</v>
      </c>
      <c r="F1299" t="s">
        <v>1651</v>
      </c>
      <c r="G1299">
        <v>600</v>
      </c>
      <c r="H1299" t="s">
        <v>69</v>
      </c>
      <c r="I1299" t="s">
        <v>1903</v>
      </c>
      <c r="J1299" s="10" t="str">
        <f>VLOOKUP(I1299,Categories!A:B,2,FALSE)</f>
        <v xml:space="preserve">Monthly subscription</v>
      </c>
      <c r="K1299" t="s">
        <v>178</v>
      </c>
      <c r="L1299" s="10" t="str">
        <f>VLOOKUP(K1299,Accounts!A:B,2,FALSE)</f>
        <v>SCB</v>
      </c>
      <c r="M1299" t="s">
        <v>124</v>
      </c>
      <c r="N1299" s="10"/>
      <c r="O1299" t="s">
        <v>125</v>
      </c>
      <c r="Q1299" t="s">
        <v>126</v>
      </c>
      <c r="R1299" t="s">
        <v>124</v>
      </c>
      <c r="S1299" t="b">
        <v>0</v>
      </c>
      <c r="T1299" t="s">
        <v>124</v>
      </c>
    </row>
    <row r="1300">
      <c r="A1300" t="s">
        <v>2729</v>
      </c>
      <c r="B1300" t="s">
        <v>2724</v>
      </c>
      <c r="C1300" s="2">
        <v>2023</v>
      </c>
      <c r="D1300" s="10">
        <v>8</v>
      </c>
      <c r="E1300" s="10">
        <v>27</v>
      </c>
      <c r="F1300" t="s">
        <v>2730</v>
      </c>
      <c r="G1300">
        <v>50</v>
      </c>
      <c r="H1300" t="s">
        <v>206</v>
      </c>
      <c r="I1300" t="s">
        <v>281</v>
      </c>
      <c r="J1300" s="10" t="str">
        <f>VLOOKUP(I1300,Categories!A:B,2,FALSE)</f>
        <v>Others</v>
      </c>
      <c r="K1300" t="s">
        <v>178</v>
      </c>
      <c r="L1300" s="10" t="str">
        <f>VLOOKUP(K1300,Accounts!A:B,2,FALSE)</f>
        <v>SCB</v>
      </c>
      <c r="M1300" t="s">
        <v>124</v>
      </c>
      <c r="N1300" s="10"/>
      <c r="O1300" t="s">
        <v>125</v>
      </c>
      <c r="Q1300" t="s">
        <v>126</v>
      </c>
      <c r="R1300" t="s">
        <v>124</v>
      </c>
      <c r="S1300" t="b">
        <v>0</v>
      </c>
      <c r="T1300" t="s">
        <v>124</v>
      </c>
    </row>
    <row r="1301">
      <c r="A1301" t="s">
        <v>2731</v>
      </c>
      <c r="B1301" t="s">
        <v>2724</v>
      </c>
      <c r="C1301" s="2">
        <v>2023</v>
      </c>
      <c r="D1301" s="10">
        <v>8</v>
      </c>
      <c r="E1301" s="10">
        <v>27</v>
      </c>
      <c r="F1301" t="s">
        <v>2701</v>
      </c>
      <c r="G1301">
        <v>482</v>
      </c>
      <c r="H1301" t="s">
        <v>69</v>
      </c>
      <c r="I1301" t="s">
        <v>141</v>
      </c>
      <c r="J1301" s="10" t="str">
        <f>VLOOKUP(I1301,Categories!A:B,2,FALSE)</f>
        <v>Other</v>
      </c>
      <c r="K1301" t="s">
        <v>123</v>
      </c>
      <c r="L1301" s="10" t="str">
        <f>VLOOKUP(K1301,Accounts!A:B,2,FALSE)</f>
        <v>KBank</v>
      </c>
      <c r="M1301" t="s">
        <v>124</v>
      </c>
      <c r="N1301" s="10"/>
      <c r="O1301" t="s">
        <v>125</v>
      </c>
      <c r="Q1301" t="s">
        <v>126</v>
      </c>
      <c r="R1301" t="s">
        <v>124</v>
      </c>
      <c r="S1301" t="b">
        <v>0</v>
      </c>
      <c r="T1301" t="s">
        <v>124</v>
      </c>
    </row>
    <row r="1302">
      <c r="A1302" t="s">
        <v>2732</v>
      </c>
      <c r="B1302" t="s">
        <v>2724</v>
      </c>
      <c r="C1302" s="2">
        <v>2023</v>
      </c>
      <c r="D1302" s="10">
        <v>8</v>
      </c>
      <c r="E1302" s="10">
        <v>27</v>
      </c>
      <c r="F1302" t="s">
        <v>2445</v>
      </c>
      <c r="G1302">
        <v>126</v>
      </c>
      <c r="H1302" t="s">
        <v>69</v>
      </c>
      <c r="I1302" t="s">
        <v>614</v>
      </c>
      <c r="J1302" s="10" t="str">
        <f>VLOOKUP(I1302,Categories!A:B,2,FALSE)</f>
        <v>Books</v>
      </c>
      <c r="K1302" t="s">
        <v>123</v>
      </c>
      <c r="L1302" s="10" t="str">
        <f>VLOOKUP(K1302,Accounts!A:B,2,FALSE)</f>
        <v>KBank</v>
      </c>
      <c r="M1302" t="s">
        <v>124</v>
      </c>
      <c r="N1302" s="10"/>
      <c r="O1302" t="s">
        <v>125</v>
      </c>
      <c r="Q1302" t="s">
        <v>126</v>
      </c>
      <c r="R1302" t="s">
        <v>124</v>
      </c>
      <c r="S1302" t="b">
        <v>0</v>
      </c>
      <c r="T1302" t="s">
        <v>124</v>
      </c>
    </row>
    <row r="1303">
      <c r="A1303" t="s">
        <v>2733</v>
      </c>
      <c r="B1303" t="s">
        <v>2724</v>
      </c>
      <c r="C1303" s="2">
        <v>2023</v>
      </c>
      <c r="D1303" s="10">
        <v>8</v>
      </c>
      <c r="E1303" s="10">
        <v>27</v>
      </c>
      <c r="F1303" t="s">
        <v>2445</v>
      </c>
      <c r="G1303">
        <v>298</v>
      </c>
      <c r="H1303" t="s">
        <v>69</v>
      </c>
      <c r="I1303" t="s">
        <v>141</v>
      </c>
      <c r="J1303" s="10" t="str">
        <f>VLOOKUP(I1303,Categories!A:B,2,FALSE)</f>
        <v>Other</v>
      </c>
      <c r="K1303" t="s">
        <v>123</v>
      </c>
      <c r="L1303" s="10" t="str">
        <f>VLOOKUP(K1303,Accounts!A:B,2,FALSE)</f>
        <v>KBank</v>
      </c>
      <c r="M1303" t="s">
        <v>124</v>
      </c>
      <c r="N1303" s="10"/>
      <c r="O1303" t="s">
        <v>125</v>
      </c>
      <c r="Q1303" t="s">
        <v>126</v>
      </c>
      <c r="R1303" t="s">
        <v>124</v>
      </c>
      <c r="S1303" t="b">
        <v>0</v>
      </c>
      <c r="T1303" t="s">
        <v>124</v>
      </c>
    </row>
    <row r="1304">
      <c r="A1304" t="s">
        <v>2734</v>
      </c>
      <c r="B1304" t="s">
        <v>2735</v>
      </c>
      <c r="C1304" s="2">
        <v>2023</v>
      </c>
      <c r="D1304" s="10">
        <v>8</v>
      </c>
      <c r="E1304" s="10">
        <v>26</v>
      </c>
      <c r="F1304" t="s">
        <v>2736</v>
      </c>
      <c r="G1304">
        <v>189</v>
      </c>
      <c r="H1304" t="s">
        <v>69</v>
      </c>
      <c r="I1304" t="s">
        <v>150</v>
      </c>
      <c r="J1304" s="10" t="str">
        <f>VLOOKUP(I1304,Categories!A:B,2,FALSE)</f>
        <v xml:space="preserve">Food &amp; Coff</v>
      </c>
      <c r="K1304" t="s">
        <v>123</v>
      </c>
      <c r="L1304" s="10" t="str">
        <f>VLOOKUP(K1304,Accounts!A:B,2,FALSE)</f>
        <v>KBank</v>
      </c>
      <c r="M1304" t="s">
        <v>124</v>
      </c>
      <c r="N1304" s="10"/>
      <c r="O1304" t="s">
        <v>125</v>
      </c>
      <c r="Q1304" t="s">
        <v>126</v>
      </c>
      <c r="R1304" t="s">
        <v>124</v>
      </c>
      <c r="S1304" t="b">
        <v>0</v>
      </c>
      <c r="T1304" t="s">
        <v>124</v>
      </c>
    </row>
    <row r="1305">
      <c r="A1305" t="s">
        <v>2737</v>
      </c>
      <c r="B1305" t="s">
        <v>2735</v>
      </c>
      <c r="C1305" s="2">
        <v>2023</v>
      </c>
      <c r="D1305" s="10">
        <v>8</v>
      </c>
      <c r="E1305" s="10">
        <v>26</v>
      </c>
      <c r="F1305" t="s">
        <v>2736</v>
      </c>
      <c r="G1305">
        <v>80</v>
      </c>
      <c r="H1305" t="s">
        <v>69</v>
      </c>
      <c r="I1305" t="s">
        <v>150</v>
      </c>
      <c r="J1305" s="10" t="str">
        <f>VLOOKUP(I1305,Categories!A:B,2,FALSE)</f>
        <v xml:space="preserve">Food &amp; Coff</v>
      </c>
      <c r="K1305" t="s">
        <v>123</v>
      </c>
      <c r="L1305" s="10" t="str">
        <f>VLOOKUP(K1305,Accounts!A:B,2,FALSE)</f>
        <v>KBank</v>
      </c>
      <c r="M1305" t="s">
        <v>124</v>
      </c>
      <c r="N1305" s="10"/>
      <c r="O1305" t="s">
        <v>125</v>
      </c>
      <c r="Q1305" t="s">
        <v>126</v>
      </c>
      <c r="R1305" t="s">
        <v>124</v>
      </c>
      <c r="S1305" t="b">
        <v>0</v>
      </c>
      <c r="T1305" t="s">
        <v>124</v>
      </c>
    </row>
    <row r="1306">
      <c r="A1306" t="s">
        <v>2738</v>
      </c>
      <c r="B1306" t="s">
        <v>2739</v>
      </c>
      <c r="C1306" s="2">
        <v>2023</v>
      </c>
      <c r="D1306" s="10">
        <v>8</v>
      </c>
      <c r="E1306" s="10">
        <v>25</v>
      </c>
      <c r="F1306" t="s">
        <v>121</v>
      </c>
      <c r="G1306">
        <v>490</v>
      </c>
      <c r="H1306" t="s">
        <v>69</v>
      </c>
      <c r="I1306" t="s">
        <v>443</v>
      </c>
      <c r="J1306" s="10" t="str">
        <f>VLOOKUP(I1306,Categories!A:B,2,FALSE)</f>
        <v xml:space="preserve">City SV Interest</v>
      </c>
      <c r="K1306" t="s">
        <v>178</v>
      </c>
      <c r="L1306" s="10" t="str">
        <f>VLOOKUP(K1306,Accounts!A:B,2,FALSE)</f>
        <v>SCB</v>
      </c>
      <c r="M1306" t="s">
        <v>124</v>
      </c>
      <c r="N1306" s="10"/>
      <c r="O1306" t="s">
        <v>125</v>
      </c>
      <c r="Q1306" t="s">
        <v>126</v>
      </c>
      <c r="R1306" t="s">
        <v>124</v>
      </c>
      <c r="S1306" t="b">
        <v>0</v>
      </c>
      <c r="T1306" t="s">
        <v>124</v>
      </c>
    </row>
    <row r="1307">
      <c r="A1307" t="s">
        <v>2740</v>
      </c>
      <c r="B1307" t="s">
        <v>2739</v>
      </c>
      <c r="C1307" s="2">
        <v>2023</v>
      </c>
      <c r="D1307" s="10">
        <v>8</v>
      </c>
      <c r="E1307" s="10">
        <v>25</v>
      </c>
      <c r="F1307" t="s">
        <v>121</v>
      </c>
      <c r="G1307">
        <v>3554.7199999999998</v>
      </c>
      <c r="H1307" t="s">
        <v>69</v>
      </c>
      <c r="I1307" t="s">
        <v>199</v>
      </c>
      <c r="J1307" s="10" t="str">
        <f>VLOOKUP(I1307,Categories!A:B,2,FALSE)</f>
        <v xml:space="preserve">Home Chomthong Interest</v>
      </c>
      <c r="K1307" t="s">
        <v>178</v>
      </c>
      <c r="L1307" s="10" t="str">
        <f>VLOOKUP(K1307,Accounts!A:B,2,FALSE)</f>
        <v>SCB</v>
      </c>
      <c r="M1307" t="s">
        <v>124</v>
      </c>
      <c r="N1307" s="10"/>
      <c r="O1307" t="s">
        <v>125</v>
      </c>
      <c r="Q1307" t="s">
        <v>126</v>
      </c>
      <c r="R1307" t="s">
        <v>124</v>
      </c>
      <c r="S1307" t="b">
        <v>0</v>
      </c>
      <c r="T1307" t="s">
        <v>124</v>
      </c>
    </row>
    <row r="1308">
      <c r="A1308" t="s">
        <v>2741</v>
      </c>
      <c r="B1308" t="s">
        <v>2739</v>
      </c>
      <c r="C1308" s="2">
        <v>2023</v>
      </c>
      <c r="D1308" s="10">
        <v>8</v>
      </c>
      <c r="E1308" s="10">
        <v>25</v>
      </c>
      <c r="F1308" t="s">
        <v>121</v>
      </c>
      <c r="G1308">
        <v>9240</v>
      </c>
      <c r="H1308" t="s">
        <v>128</v>
      </c>
      <c r="I1308" t="s">
        <v>136</v>
      </c>
      <c r="J1308" s="10" t="str">
        <f>VLOOKUP(I1308,Categories!A:B,2,FALSE)</f>
        <v>อื่นๆ</v>
      </c>
      <c r="K1308" t="s">
        <v>178</v>
      </c>
      <c r="L1308" s="10" t="str">
        <f>VLOOKUP(K1308,Accounts!A:B,2,FALSE)</f>
        <v>SCB</v>
      </c>
      <c r="M1308" t="s">
        <v>1246</v>
      </c>
      <c r="N1308" s="10" t="str">
        <f>VLOOKUP(M1308,Accounts!A:B,2,FALSE)</f>
        <v xml:space="preserve">Car Loan</v>
      </c>
      <c r="O1308" t="s">
        <v>125</v>
      </c>
      <c r="Q1308" t="s">
        <v>126</v>
      </c>
      <c r="R1308" t="s">
        <v>124</v>
      </c>
      <c r="S1308" t="b">
        <v>0</v>
      </c>
      <c r="T1308" t="s">
        <v>124</v>
      </c>
    </row>
    <row r="1309">
      <c r="A1309" t="s">
        <v>2742</v>
      </c>
      <c r="B1309" t="s">
        <v>2739</v>
      </c>
      <c r="C1309" s="2">
        <v>2023</v>
      </c>
      <c r="D1309" s="10">
        <v>8</v>
      </c>
      <c r="E1309" s="10">
        <v>25</v>
      </c>
      <c r="F1309" t="s">
        <v>121</v>
      </c>
      <c r="G1309">
        <v>500</v>
      </c>
      <c r="H1309" t="s">
        <v>128</v>
      </c>
      <c r="I1309" t="s">
        <v>136</v>
      </c>
      <c r="J1309" s="10" t="str">
        <f>VLOOKUP(I1309,Categories!A:B,2,FALSE)</f>
        <v>อื่นๆ</v>
      </c>
      <c r="K1309" t="s">
        <v>178</v>
      </c>
      <c r="L1309" s="10" t="str">
        <f>VLOOKUP(K1309,Accounts!A:B,2,FALSE)</f>
        <v>SCB</v>
      </c>
      <c r="M1309" t="s">
        <v>201</v>
      </c>
      <c r="N1309" s="10" t="str">
        <f>VLOOKUP(M1309,Accounts!A:B,2,FALSE)</f>
        <v>Coop</v>
      </c>
      <c r="O1309" t="s">
        <v>125</v>
      </c>
      <c r="Q1309" t="s">
        <v>126</v>
      </c>
      <c r="R1309" t="s">
        <v>124</v>
      </c>
      <c r="S1309" t="b">
        <v>0</v>
      </c>
      <c r="T1309" t="s">
        <v>124</v>
      </c>
    </row>
    <row r="1310">
      <c r="A1310" t="s">
        <v>2743</v>
      </c>
      <c r="B1310" t="s">
        <v>2739</v>
      </c>
      <c r="C1310" s="2">
        <v>2023</v>
      </c>
      <c r="D1310" s="10">
        <v>8</v>
      </c>
      <c r="E1310" s="10">
        <v>25</v>
      </c>
      <c r="F1310" t="s">
        <v>121</v>
      </c>
      <c r="G1310">
        <v>7915</v>
      </c>
      <c r="H1310" t="s">
        <v>128</v>
      </c>
      <c r="I1310" t="s">
        <v>136</v>
      </c>
      <c r="J1310" s="10" t="str">
        <f>VLOOKUP(I1310,Categories!A:B,2,FALSE)</f>
        <v>อื่นๆ</v>
      </c>
      <c r="K1310" t="s">
        <v>178</v>
      </c>
      <c r="L1310" s="10" t="str">
        <f>VLOOKUP(K1310,Accounts!A:B,2,FALSE)</f>
        <v>SCB</v>
      </c>
      <c r="M1310" t="s">
        <v>1244</v>
      </c>
      <c r="N1310" s="10" t="str">
        <f>VLOOKUP(M1310,Accounts!A:B,2,FALSE)</f>
        <v xml:space="preserve">Home chomthong Loan</v>
      </c>
      <c r="O1310" t="s">
        <v>125</v>
      </c>
      <c r="Q1310" t="s">
        <v>126</v>
      </c>
      <c r="R1310" t="s">
        <v>124</v>
      </c>
      <c r="S1310" t="b">
        <v>0</v>
      </c>
      <c r="T1310" t="s">
        <v>124</v>
      </c>
    </row>
    <row r="1311">
      <c r="A1311" t="s">
        <v>2744</v>
      </c>
      <c r="B1311" t="s">
        <v>2739</v>
      </c>
      <c r="C1311" s="2">
        <v>2023</v>
      </c>
      <c r="D1311" s="10">
        <v>8</v>
      </c>
      <c r="E1311" s="10">
        <v>25</v>
      </c>
      <c r="F1311" t="s">
        <v>121</v>
      </c>
      <c r="G1311">
        <v>2242</v>
      </c>
      <c r="H1311" t="s">
        <v>128</v>
      </c>
      <c r="I1311" t="s">
        <v>136</v>
      </c>
      <c r="J1311" s="10" t="str">
        <f>VLOOKUP(I1311,Categories!A:B,2,FALSE)</f>
        <v>อื่นๆ</v>
      </c>
      <c r="K1311" t="s">
        <v>178</v>
      </c>
      <c r="L1311" s="10" t="str">
        <f>VLOOKUP(K1311,Accounts!A:B,2,FALSE)</f>
        <v>SCB</v>
      </c>
      <c r="M1311" t="s">
        <v>203</v>
      </c>
      <c r="N1311" s="10" t="str">
        <f>VLOOKUP(M1311,Accounts!A:B,2,FALSE)</f>
        <v xml:space="preserve">Provident Fund</v>
      </c>
      <c r="O1311" t="s">
        <v>125</v>
      </c>
      <c r="Q1311" t="s">
        <v>126</v>
      </c>
      <c r="R1311" t="s">
        <v>124</v>
      </c>
      <c r="S1311" t="b">
        <v>0</v>
      </c>
      <c r="T1311" t="s">
        <v>124</v>
      </c>
    </row>
    <row r="1312">
      <c r="A1312" t="s">
        <v>2745</v>
      </c>
      <c r="B1312" t="s">
        <v>2739</v>
      </c>
      <c r="C1312" s="2">
        <v>2023</v>
      </c>
      <c r="D1312" s="10">
        <v>8</v>
      </c>
      <c r="E1312" s="10">
        <v>25</v>
      </c>
      <c r="F1312" t="s">
        <v>121</v>
      </c>
      <c r="G1312">
        <v>1027.03</v>
      </c>
      <c r="H1312" t="s">
        <v>69</v>
      </c>
      <c r="I1312" t="s">
        <v>195</v>
      </c>
      <c r="J1312" s="10" t="str">
        <f>VLOOKUP(I1312,Categories!A:B,2,FALSE)</f>
        <v>Tax</v>
      </c>
      <c r="K1312" t="s">
        <v>178</v>
      </c>
      <c r="L1312" s="10" t="str">
        <f>VLOOKUP(K1312,Accounts!A:B,2,FALSE)</f>
        <v>SCB</v>
      </c>
      <c r="M1312" t="s">
        <v>124</v>
      </c>
      <c r="N1312" s="10"/>
      <c r="O1312" t="s">
        <v>125</v>
      </c>
      <c r="Q1312" t="s">
        <v>126</v>
      </c>
      <c r="R1312" t="s">
        <v>124</v>
      </c>
      <c r="S1312" t="b">
        <v>0</v>
      </c>
      <c r="T1312" t="s">
        <v>124</v>
      </c>
    </row>
    <row r="1313">
      <c r="A1313" t="s">
        <v>2746</v>
      </c>
      <c r="B1313" t="s">
        <v>2739</v>
      </c>
      <c r="C1313" s="2">
        <v>2023</v>
      </c>
      <c r="D1313" s="10">
        <v>8</v>
      </c>
      <c r="E1313" s="10">
        <v>25</v>
      </c>
      <c r="F1313" t="s">
        <v>121</v>
      </c>
      <c r="G1313">
        <v>112100</v>
      </c>
      <c r="H1313" t="s">
        <v>206</v>
      </c>
      <c r="I1313" t="s">
        <v>207</v>
      </c>
      <c r="J1313" s="10" t="str">
        <f>VLOOKUP(I1313,Categories!A:B,2,FALSE)</f>
        <v>Salary</v>
      </c>
      <c r="K1313" t="s">
        <v>178</v>
      </c>
      <c r="L1313" s="10" t="str">
        <f>VLOOKUP(K1313,Accounts!A:B,2,FALSE)</f>
        <v>SCB</v>
      </c>
      <c r="M1313" t="s">
        <v>124</v>
      </c>
      <c r="N1313" s="10"/>
      <c r="O1313" t="s">
        <v>125</v>
      </c>
      <c r="Q1313" t="s">
        <v>126</v>
      </c>
      <c r="R1313" t="s">
        <v>124</v>
      </c>
      <c r="S1313" t="b">
        <v>0</v>
      </c>
      <c r="T1313" t="s">
        <v>124</v>
      </c>
    </row>
    <row r="1314">
      <c r="A1314" t="s">
        <v>2747</v>
      </c>
      <c r="B1314" t="s">
        <v>2739</v>
      </c>
      <c r="C1314" s="2">
        <v>2023</v>
      </c>
      <c r="D1314" s="10">
        <v>8</v>
      </c>
      <c r="E1314" s="10">
        <v>25</v>
      </c>
      <c r="F1314" t="s">
        <v>994</v>
      </c>
      <c r="G1314">
        <v>77</v>
      </c>
      <c r="H1314" t="s">
        <v>69</v>
      </c>
      <c r="I1314" t="s">
        <v>150</v>
      </c>
      <c r="J1314" s="10" t="str">
        <f>VLOOKUP(I1314,Categories!A:B,2,FALSE)</f>
        <v xml:space="preserve">Food &amp; Coff</v>
      </c>
      <c r="K1314" t="s">
        <v>123</v>
      </c>
      <c r="L1314" s="10" t="str">
        <f>VLOOKUP(K1314,Accounts!A:B,2,FALSE)</f>
        <v>KBank</v>
      </c>
      <c r="M1314" t="s">
        <v>124</v>
      </c>
      <c r="N1314" s="10"/>
      <c r="O1314" t="s">
        <v>125</v>
      </c>
      <c r="Q1314" t="s">
        <v>126</v>
      </c>
      <c r="R1314" t="s">
        <v>124</v>
      </c>
      <c r="S1314" t="b">
        <v>0</v>
      </c>
      <c r="T1314" t="s">
        <v>124</v>
      </c>
    </row>
    <row r="1315">
      <c r="A1315" t="s">
        <v>2748</v>
      </c>
      <c r="B1315" t="s">
        <v>2739</v>
      </c>
      <c r="C1315" s="2">
        <v>2023</v>
      </c>
      <c r="D1315" s="10">
        <v>8</v>
      </c>
      <c r="E1315" s="10">
        <v>25</v>
      </c>
      <c r="F1315" t="s">
        <v>994</v>
      </c>
      <c r="G1315">
        <v>65</v>
      </c>
      <c r="H1315" t="s">
        <v>69</v>
      </c>
      <c r="I1315" t="s">
        <v>150</v>
      </c>
      <c r="J1315" s="10" t="str">
        <f>VLOOKUP(I1315,Categories!A:B,2,FALSE)</f>
        <v xml:space="preserve">Food &amp; Coff</v>
      </c>
      <c r="K1315" t="s">
        <v>123</v>
      </c>
      <c r="L1315" s="10" t="str">
        <f>VLOOKUP(K1315,Accounts!A:B,2,FALSE)</f>
        <v>KBank</v>
      </c>
      <c r="M1315" t="s">
        <v>124</v>
      </c>
      <c r="N1315" s="10"/>
      <c r="O1315" t="s">
        <v>125</v>
      </c>
      <c r="Q1315" t="s">
        <v>126</v>
      </c>
      <c r="R1315" t="s">
        <v>124</v>
      </c>
      <c r="S1315" t="b">
        <v>0</v>
      </c>
      <c r="T1315" t="s">
        <v>124</v>
      </c>
    </row>
    <row r="1316">
      <c r="A1316" t="s">
        <v>2749</v>
      </c>
      <c r="B1316" t="s">
        <v>2739</v>
      </c>
      <c r="C1316" s="2">
        <v>2023</v>
      </c>
      <c r="D1316" s="10">
        <v>8</v>
      </c>
      <c r="E1316" s="10">
        <v>25</v>
      </c>
      <c r="F1316" t="s">
        <v>2436</v>
      </c>
      <c r="G1316">
        <v>35</v>
      </c>
      <c r="H1316" t="s">
        <v>69</v>
      </c>
      <c r="I1316" t="s">
        <v>150</v>
      </c>
      <c r="J1316" s="10" t="str">
        <f>VLOOKUP(I1316,Categories!A:B,2,FALSE)</f>
        <v xml:space="preserve">Food &amp; Coff</v>
      </c>
      <c r="K1316" t="s">
        <v>123</v>
      </c>
      <c r="L1316" s="10" t="str">
        <f>VLOOKUP(K1316,Accounts!A:B,2,FALSE)</f>
        <v>KBank</v>
      </c>
      <c r="M1316" t="s">
        <v>124</v>
      </c>
      <c r="N1316" s="10"/>
      <c r="O1316" t="s">
        <v>125</v>
      </c>
      <c r="Q1316" t="s">
        <v>126</v>
      </c>
      <c r="R1316" t="s">
        <v>124</v>
      </c>
      <c r="S1316" t="b">
        <v>0</v>
      </c>
      <c r="T1316" t="s">
        <v>124</v>
      </c>
    </row>
    <row r="1317">
      <c r="A1317" t="s">
        <v>2750</v>
      </c>
      <c r="B1317" t="s">
        <v>2751</v>
      </c>
      <c r="C1317" s="2">
        <v>2023</v>
      </c>
      <c r="D1317" s="10">
        <v>8</v>
      </c>
      <c r="E1317" s="10">
        <v>24</v>
      </c>
      <c r="F1317" t="s">
        <v>2752</v>
      </c>
      <c r="G1317">
        <v>5</v>
      </c>
      <c r="H1317" t="s">
        <v>69</v>
      </c>
      <c r="I1317" t="s">
        <v>150</v>
      </c>
      <c r="J1317" s="10" t="str">
        <f>VLOOKUP(I1317,Categories!A:B,2,FALSE)</f>
        <v xml:space="preserve">Food &amp; Coff</v>
      </c>
      <c r="K1317" t="s">
        <v>123</v>
      </c>
      <c r="L1317" s="10" t="str">
        <f>VLOOKUP(K1317,Accounts!A:B,2,FALSE)</f>
        <v>KBank</v>
      </c>
      <c r="M1317" t="s">
        <v>124</v>
      </c>
      <c r="N1317" s="10"/>
      <c r="O1317" t="s">
        <v>125</v>
      </c>
      <c r="Q1317" t="s">
        <v>126</v>
      </c>
      <c r="R1317" t="s">
        <v>124</v>
      </c>
      <c r="S1317" t="b">
        <v>0</v>
      </c>
      <c r="T1317" t="s">
        <v>124</v>
      </c>
    </row>
    <row r="1318">
      <c r="A1318" t="s">
        <v>2753</v>
      </c>
      <c r="B1318" t="s">
        <v>2751</v>
      </c>
      <c r="C1318" s="2">
        <v>2023</v>
      </c>
      <c r="D1318" s="10">
        <v>8</v>
      </c>
      <c r="E1318" s="10">
        <v>24</v>
      </c>
      <c r="F1318" t="s">
        <v>992</v>
      </c>
      <c r="G1318">
        <v>67</v>
      </c>
      <c r="H1318" t="s">
        <v>69</v>
      </c>
      <c r="I1318" t="s">
        <v>150</v>
      </c>
      <c r="J1318" s="10" t="str">
        <f>VLOOKUP(I1318,Categories!A:B,2,FALSE)</f>
        <v xml:space="preserve">Food &amp; Coff</v>
      </c>
      <c r="K1318" t="s">
        <v>123</v>
      </c>
      <c r="L1318" s="10" t="str">
        <f>VLOOKUP(K1318,Accounts!A:B,2,FALSE)</f>
        <v>KBank</v>
      </c>
      <c r="M1318" t="s">
        <v>124</v>
      </c>
      <c r="N1318" s="10"/>
      <c r="O1318" t="s">
        <v>125</v>
      </c>
      <c r="Q1318" t="s">
        <v>126</v>
      </c>
      <c r="R1318" t="s">
        <v>124</v>
      </c>
      <c r="S1318" t="b">
        <v>0</v>
      </c>
      <c r="T1318" t="s">
        <v>124</v>
      </c>
    </row>
    <row r="1319">
      <c r="A1319" t="s">
        <v>2754</v>
      </c>
      <c r="B1319" t="s">
        <v>2751</v>
      </c>
      <c r="C1319" s="2">
        <v>2023</v>
      </c>
      <c r="D1319" s="10">
        <v>8</v>
      </c>
      <c r="E1319" s="10">
        <v>24</v>
      </c>
      <c r="F1319" t="s">
        <v>994</v>
      </c>
      <c r="G1319">
        <v>55</v>
      </c>
      <c r="H1319" t="s">
        <v>69</v>
      </c>
      <c r="I1319" t="s">
        <v>150</v>
      </c>
      <c r="J1319" s="10" t="str">
        <f>VLOOKUP(I1319,Categories!A:B,2,FALSE)</f>
        <v xml:space="preserve">Food &amp; Coff</v>
      </c>
      <c r="K1319" t="s">
        <v>123</v>
      </c>
      <c r="L1319" s="10" t="str">
        <f>VLOOKUP(K1319,Accounts!A:B,2,FALSE)</f>
        <v>KBank</v>
      </c>
      <c r="M1319" t="s">
        <v>124</v>
      </c>
      <c r="N1319" s="10"/>
      <c r="O1319" t="s">
        <v>125</v>
      </c>
      <c r="Q1319" t="s">
        <v>126</v>
      </c>
      <c r="R1319" t="s">
        <v>124</v>
      </c>
      <c r="S1319" t="b">
        <v>0</v>
      </c>
      <c r="T1319" t="s">
        <v>124</v>
      </c>
    </row>
    <row r="1320">
      <c r="A1320" t="s">
        <v>2755</v>
      </c>
      <c r="B1320" t="s">
        <v>2756</v>
      </c>
      <c r="C1320" s="2">
        <v>2023</v>
      </c>
      <c r="D1320" s="10">
        <v>8</v>
      </c>
      <c r="E1320" s="10">
        <v>23</v>
      </c>
      <c r="F1320" t="s">
        <v>608</v>
      </c>
      <c r="G1320">
        <v>50</v>
      </c>
      <c r="H1320" t="s">
        <v>69</v>
      </c>
      <c r="I1320" t="s">
        <v>150</v>
      </c>
      <c r="J1320" s="10" t="str">
        <f>VLOOKUP(I1320,Categories!A:B,2,FALSE)</f>
        <v xml:space="preserve">Food &amp; Coff</v>
      </c>
      <c r="K1320" t="s">
        <v>123</v>
      </c>
      <c r="L1320" s="10" t="str">
        <f>VLOOKUP(K1320,Accounts!A:B,2,FALSE)</f>
        <v>KBank</v>
      </c>
      <c r="M1320" t="s">
        <v>124</v>
      </c>
      <c r="N1320" s="10"/>
      <c r="O1320" t="s">
        <v>125</v>
      </c>
      <c r="Q1320" t="s">
        <v>126</v>
      </c>
      <c r="R1320" t="s">
        <v>124</v>
      </c>
      <c r="S1320" t="b">
        <v>0</v>
      </c>
      <c r="T1320" t="s">
        <v>124</v>
      </c>
    </row>
    <row r="1321">
      <c r="A1321" t="s">
        <v>2757</v>
      </c>
      <c r="B1321" t="s">
        <v>2756</v>
      </c>
      <c r="C1321" s="2">
        <v>2023</v>
      </c>
      <c r="D1321" s="10">
        <v>8</v>
      </c>
      <c r="E1321" s="10">
        <v>23</v>
      </c>
      <c r="F1321" t="s">
        <v>651</v>
      </c>
      <c r="G1321">
        <v>149</v>
      </c>
      <c r="H1321" t="s">
        <v>69</v>
      </c>
      <c r="I1321" t="s">
        <v>150</v>
      </c>
      <c r="J1321" s="10" t="str">
        <f>VLOOKUP(I1321,Categories!A:B,2,FALSE)</f>
        <v xml:space="preserve">Food &amp; Coff</v>
      </c>
      <c r="K1321" t="s">
        <v>123</v>
      </c>
      <c r="L1321" s="10" t="str">
        <f>VLOOKUP(K1321,Accounts!A:B,2,FALSE)</f>
        <v>KBank</v>
      </c>
      <c r="M1321" t="s">
        <v>124</v>
      </c>
      <c r="N1321" s="10"/>
      <c r="O1321" t="s">
        <v>125</v>
      </c>
      <c r="Q1321" t="s">
        <v>126</v>
      </c>
      <c r="R1321" t="s">
        <v>124</v>
      </c>
      <c r="S1321" t="b">
        <v>0</v>
      </c>
      <c r="T1321" t="s">
        <v>124</v>
      </c>
    </row>
    <row r="1322">
      <c r="A1322" t="s">
        <v>2758</v>
      </c>
      <c r="B1322" t="s">
        <v>2756</v>
      </c>
      <c r="C1322" s="2">
        <v>2023</v>
      </c>
      <c r="D1322" s="10">
        <v>8</v>
      </c>
      <c r="E1322" s="10">
        <v>23</v>
      </c>
      <c r="F1322" t="s">
        <v>1218</v>
      </c>
      <c r="G1322">
        <v>49</v>
      </c>
      <c r="H1322" t="s">
        <v>69</v>
      </c>
      <c r="I1322" t="s">
        <v>150</v>
      </c>
      <c r="J1322" s="10" t="str">
        <f>VLOOKUP(I1322,Categories!A:B,2,FALSE)</f>
        <v xml:space="preserve">Food &amp; Coff</v>
      </c>
      <c r="K1322" t="s">
        <v>123</v>
      </c>
      <c r="L1322" s="10" t="str">
        <f>VLOOKUP(K1322,Accounts!A:B,2,FALSE)</f>
        <v>KBank</v>
      </c>
      <c r="M1322" t="s">
        <v>124</v>
      </c>
      <c r="N1322" s="10"/>
      <c r="O1322" t="s">
        <v>125</v>
      </c>
      <c r="Q1322" t="s">
        <v>126</v>
      </c>
      <c r="R1322" t="s">
        <v>124</v>
      </c>
      <c r="S1322" t="b">
        <v>0</v>
      </c>
      <c r="T1322" t="s">
        <v>124</v>
      </c>
    </row>
    <row r="1323">
      <c r="A1323" t="s">
        <v>2759</v>
      </c>
      <c r="B1323" t="s">
        <v>2760</v>
      </c>
      <c r="C1323" s="2">
        <v>2023</v>
      </c>
      <c r="D1323" s="10">
        <v>8</v>
      </c>
      <c r="E1323" s="10">
        <v>22</v>
      </c>
      <c r="F1323" t="s">
        <v>2554</v>
      </c>
      <c r="G1323">
        <v>95</v>
      </c>
      <c r="H1323" t="s">
        <v>69</v>
      </c>
      <c r="I1323" t="s">
        <v>150</v>
      </c>
      <c r="J1323" s="10" t="str">
        <f>VLOOKUP(I1323,Categories!A:B,2,FALSE)</f>
        <v xml:space="preserve">Food &amp; Coff</v>
      </c>
      <c r="K1323" t="s">
        <v>123</v>
      </c>
      <c r="L1323" s="10" t="str">
        <f>VLOOKUP(K1323,Accounts!A:B,2,FALSE)</f>
        <v>KBank</v>
      </c>
      <c r="M1323" t="s">
        <v>124</v>
      </c>
      <c r="N1323" s="10"/>
      <c r="O1323" t="s">
        <v>125</v>
      </c>
      <c r="Q1323" t="s">
        <v>126</v>
      </c>
      <c r="R1323" t="s">
        <v>124</v>
      </c>
      <c r="S1323" t="b">
        <v>0</v>
      </c>
      <c r="T1323" t="s">
        <v>124</v>
      </c>
    </row>
    <row r="1324">
      <c r="A1324" t="s">
        <v>2761</v>
      </c>
      <c r="B1324" t="s">
        <v>2760</v>
      </c>
      <c r="C1324" s="2">
        <v>2023</v>
      </c>
      <c r="D1324" s="10">
        <v>8</v>
      </c>
      <c r="E1324" s="10">
        <v>22</v>
      </c>
      <c r="F1324" t="s">
        <v>2762</v>
      </c>
      <c r="G1324">
        <v>10000</v>
      </c>
      <c r="H1324" t="s">
        <v>69</v>
      </c>
      <c r="I1324" t="s">
        <v>144</v>
      </c>
      <c r="J1324" s="10" t="str">
        <f>VLOOKUP(I1324,Categories!A:B,2,FALSE)</f>
        <v xml:space="preserve">Family paid</v>
      </c>
      <c r="K1324" t="s">
        <v>123</v>
      </c>
      <c r="L1324" s="10" t="str">
        <f>VLOOKUP(K1324,Accounts!A:B,2,FALSE)</f>
        <v>KBank</v>
      </c>
      <c r="M1324" t="s">
        <v>124</v>
      </c>
      <c r="N1324" s="10"/>
      <c r="O1324" t="s">
        <v>125</v>
      </c>
      <c r="Q1324" t="s">
        <v>126</v>
      </c>
      <c r="R1324" t="s">
        <v>124</v>
      </c>
      <c r="S1324" t="b">
        <v>0</v>
      </c>
      <c r="T1324" t="s">
        <v>124</v>
      </c>
    </row>
    <row r="1325">
      <c r="A1325" t="s">
        <v>2763</v>
      </c>
      <c r="B1325" t="s">
        <v>2764</v>
      </c>
      <c r="C1325" s="2">
        <v>2023</v>
      </c>
      <c r="D1325" s="10">
        <v>8</v>
      </c>
      <c r="E1325" s="10">
        <v>21</v>
      </c>
      <c r="F1325" t="s">
        <v>2765</v>
      </c>
      <c r="G1325">
        <v>55</v>
      </c>
      <c r="H1325" t="s">
        <v>69</v>
      </c>
      <c r="I1325" t="s">
        <v>150</v>
      </c>
      <c r="J1325" s="10" t="str">
        <f>VLOOKUP(I1325,Categories!A:B,2,FALSE)</f>
        <v xml:space="preserve">Food &amp; Coff</v>
      </c>
      <c r="K1325" t="s">
        <v>123</v>
      </c>
      <c r="L1325" s="10" t="str">
        <f>VLOOKUP(K1325,Accounts!A:B,2,FALSE)</f>
        <v>KBank</v>
      </c>
      <c r="M1325" t="s">
        <v>124</v>
      </c>
      <c r="N1325" s="10"/>
      <c r="O1325" t="s">
        <v>125</v>
      </c>
      <c r="Q1325" t="s">
        <v>126</v>
      </c>
      <c r="R1325" t="s">
        <v>124</v>
      </c>
      <c r="S1325" t="b">
        <v>0</v>
      </c>
      <c r="T1325" t="s">
        <v>124</v>
      </c>
    </row>
    <row r="1326">
      <c r="A1326" t="s">
        <v>2766</v>
      </c>
      <c r="B1326" t="s">
        <v>2767</v>
      </c>
      <c r="C1326" s="2">
        <v>2023</v>
      </c>
      <c r="D1326" s="10">
        <v>8</v>
      </c>
      <c r="E1326" s="10">
        <v>20</v>
      </c>
      <c r="F1326" t="s">
        <v>2768</v>
      </c>
      <c r="G1326">
        <v>45</v>
      </c>
      <c r="H1326" t="s">
        <v>69</v>
      </c>
      <c r="I1326" t="s">
        <v>150</v>
      </c>
      <c r="J1326" s="10" t="str">
        <f>VLOOKUP(I1326,Categories!A:B,2,FALSE)</f>
        <v xml:space="preserve">Food &amp; Coff</v>
      </c>
      <c r="K1326" t="s">
        <v>123</v>
      </c>
      <c r="L1326" s="10" t="str">
        <f>VLOOKUP(K1326,Accounts!A:B,2,FALSE)</f>
        <v>KBank</v>
      </c>
      <c r="M1326" t="s">
        <v>124</v>
      </c>
      <c r="N1326" s="10"/>
      <c r="O1326" t="s">
        <v>125</v>
      </c>
      <c r="Q1326" t="s">
        <v>126</v>
      </c>
      <c r="R1326" t="s">
        <v>124</v>
      </c>
      <c r="S1326" t="b">
        <v>0</v>
      </c>
      <c r="T1326" t="s">
        <v>124</v>
      </c>
    </row>
    <row r="1327">
      <c r="A1327" t="s">
        <v>2769</v>
      </c>
      <c r="B1327" t="s">
        <v>2767</v>
      </c>
      <c r="C1327" s="2">
        <v>2023</v>
      </c>
      <c r="D1327" s="10">
        <v>8</v>
      </c>
      <c r="E1327" s="10">
        <v>20</v>
      </c>
      <c r="F1327" t="s">
        <v>1815</v>
      </c>
      <c r="G1327">
        <v>87</v>
      </c>
      <c r="H1327" t="s">
        <v>69</v>
      </c>
      <c r="I1327" t="s">
        <v>150</v>
      </c>
      <c r="J1327" s="10" t="str">
        <f>VLOOKUP(I1327,Categories!A:B,2,FALSE)</f>
        <v xml:space="preserve">Food &amp; Coff</v>
      </c>
      <c r="K1327" t="s">
        <v>123</v>
      </c>
      <c r="L1327" s="10" t="str">
        <f>VLOOKUP(K1327,Accounts!A:B,2,FALSE)</f>
        <v>KBank</v>
      </c>
      <c r="M1327" t="s">
        <v>124</v>
      </c>
      <c r="N1327" s="10"/>
      <c r="O1327" t="s">
        <v>125</v>
      </c>
      <c r="Q1327" t="s">
        <v>126</v>
      </c>
      <c r="R1327" t="s">
        <v>124</v>
      </c>
      <c r="S1327" t="b">
        <v>0</v>
      </c>
      <c r="T1327" t="s">
        <v>124</v>
      </c>
    </row>
    <row r="1328">
      <c r="A1328" t="s">
        <v>2770</v>
      </c>
      <c r="B1328" t="s">
        <v>2767</v>
      </c>
      <c r="C1328" s="2">
        <v>2023</v>
      </c>
      <c r="D1328" s="10">
        <v>8</v>
      </c>
      <c r="E1328" s="10">
        <v>20</v>
      </c>
      <c r="F1328" t="s">
        <v>2587</v>
      </c>
      <c r="G1328">
        <v>8</v>
      </c>
      <c r="H1328" t="s">
        <v>69</v>
      </c>
      <c r="I1328" t="s">
        <v>1508</v>
      </c>
      <c r="J1328" s="10" t="str">
        <f>VLOOKUP(I1328,Categories!A:B,2,FALSE)</f>
        <v>Other</v>
      </c>
      <c r="K1328" t="s">
        <v>425</v>
      </c>
      <c r="L1328" s="10" t="str">
        <f>VLOOKUP(K1328,Accounts!A:B,2,FALSE)</f>
        <v>Cash</v>
      </c>
      <c r="M1328" t="s">
        <v>124</v>
      </c>
      <c r="N1328" s="10"/>
      <c r="O1328" t="s">
        <v>125</v>
      </c>
      <c r="Q1328" t="s">
        <v>126</v>
      </c>
      <c r="R1328" t="s">
        <v>124</v>
      </c>
      <c r="S1328" t="b">
        <v>0</v>
      </c>
      <c r="T1328" t="s">
        <v>124</v>
      </c>
    </row>
    <row r="1329">
      <c r="A1329" t="s">
        <v>2771</v>
      </c>
      <c r="B1329" t="s">
        <v>2767</v>
      </c>
      <c r="C1329" s="2">
        <v>2023</v>
      </c>
      <c r="D1329" s="10">
        <v>8</v>
      </c>
      <c r="E1329" s="10">
        <v>20</v>
      </c>
      <c r="F1329" t="s">
        <v>386</v>
      </c>
      <c r="G1329">
        <v>24</v>
      </c>
      <c r="H1329" t="s">
        <v>69</v>
      </c>
      <c r="I1329" t="s">
        <v>150</v>
      </c>
      <c r="J1329" s="10" t="str">
        <f>VLOOKUP(I1329,Categories!A:B,2,FALSE)</f>
        <v xml:space="preserve">Food &amp; Coff</v>
      </c>
      <c r="K1329" t="s">
        <v>425</v>
      </c>
      <c r="L1329" s="10" t="str">
        <f>VLOOKUP(K1329,Accounts!A:B,2,FALSE)</f>
        <v>Cash</v>
      </c>
      <c r="M1329" t="s">
        <v>124</v>
      </c>
      <c r="N1329" s="10"/>
      <c r="O1329" t="s">
        <v>125</v>
      </c>
      <c r="Q1329" t="s">
        <v>126</v>
      </c>
      <c r="R1329" t="s">
        <v>124</v>
      </c>
      <c r="S1329" t="b">
        <v>0</v>
      </c>
      <c r="T1329" t="s">
        <v>124</v>
      </c>
    </row>
    <row r="1330">
      <c r="A1330" t="s">
        <v>2772</v>
      </c>
      <c r="B1330" t="s">
        <v>2767</v>
      </c>
      <c r="C1330" s="2">
        <v>2023</v>
      </c>
      <c r="D1330" s="10">
        <v>8</v>
      </c>
      <c r="E1330" s="10">
        <v>20</v>
      </c>
      <c r="F1330" t="s">
        <v>2184</v>
      </c>
      <c r="G1330">
        <v>16</v>
      </c>
      <c r="H1330" t="s">
        <v>69</v>
      </c>
      <c r="I1330" t="s">
        <v>1508</v>
      </c>
      <c r="J1330" s="10" t="str">
        <f>VLOOKUP(I1330,Categories!A:B,2,FALSE)</f>
        <v>Other</v>
      </c>
      <c r="K1330" t="s">
        <v>425</v>
      </c>
      <c r="L1330" s="10" t="str">
        <f>VLOOKUP(K1330,Accounts!A:B,2,FALSE)</f>
        <v>Cash</v>
      </c>
      <c r="M1330" t="s">
        <v>124</v>
      </c>
      <c r="N1330" s="10"/>
      <c r="O1330" t="s">
        <v>125</v>
      </c>
      <c r="Q1330" t="s">
        <v>126</v>
      </c>
      <c r="R1330" t="s">
        <v>124</v>
      </c>
      <c r="S1330" t="b">
        <v>0</v>
      </c>
      <c r="T1330" t="s">
        <v>124</v>
      </c>
    </row>
    <row r="1331">
      <c r="A1331" t="s">
        <v>2773</v>
      </c>
      <c r="B1331" t="s">
        <v>2774</v>
      </c>
      <c r="C1331" s="2">
        <v>2023</v>
      </c>
      <c r="D1331" s="10">
        <v>8</v>
      </c>
      <c r="E1331" s="10">
        <v>19</v>
      </c>
      <c r="F1331" t="s">
        <v>765</v>
      </c>
      <c r="G1331">
        <v>10</v>
      </c>
      <c r="H1331" t="s">
        <v>69</v>
      </c>
      <c r="I1331" t="s">
        <v>150</v>
      </c>
      <c r="J1331" s="10" t="str">
        <f>VLOOKUP(I1331,Categories!A:B,2,FALSE)</f>
        <v xml:space="preserve">Food &amp; Coff</v>
      </c>
      <c r="K1331" t="s">
        <v>123</v>
      </c>
      <c r="L1331" s="10" t="str">
        <f>VLOOKUP(K1331,Accounts!A:B,2,FALSE)</f>
        <v>KBank</v>
      </c>
      <c r="M1331" t="s">
        <v>124</v>
      </c>
      <c r="N1331" s="10"/>
      <c r="O1331" t="s">
        <v>125</v>
      </c>
      <c r="Q1331" t="s">
        <v>126</v>
      </c>
      <c r="R1331" t="s">
        <v>124</v>
      </c>
      <c r="S1331" t="b">
        <v>0</v>
      </c>
      <c r="T1331" t="s">
        <v>124</v>
      </c>
    </row>
    <row r="1332">
      <c r="A1332" t="s">
        <v>2775</v>
      </c>
      <c r="B1332" t="s">
        <v>2774</v>
      </c>
      <c r="C1332" s="2">
        <v>2023</v>
      </c>
      <c r="D1332" s="10">
        <v>8</v>
      </c>
      <c r="E1332" s="10">
        <v>19</v>
      </c>
      <c r="F1332" t="s">
        <v>765</v>
      </c>
      <c r="G1332">
        <v>45</v>
      </c>
      <c r="H1332" t="s">
        <v>69</v>
      </c>
      <c r="I1332" t="s">
        <v>150</v>
      </c>
      <c r="J1332" s="10" t="str">
        <f>VLOOKUP(I1332,Categories!A:B,2,FALSE)</f>
        <v xml:space="preserve">Food &amp; Coff</v>
      </c>
      <c r="K1332" t="s">
        <v>123</v>
      </c>
      <c r="L1332" s="10" t="str">
        <f>VLOOKUP(K1332,Accounts!A:B,2,FALSE)</f>
        <v>KBank</v>
      </c>
      <c r="M1332" t="s">
        <v>124</v>
      </c>
      <c r="N1332" s="10"/>
      <c r="O1332" t="s">
        <v>125</v>
      </c>
      <c r="Q1332" t="s">
        <v>126</v>
      </c>
      <c r="R1332" t="s">
        <v>124</v>
      </c>
      <c r="S1332" t="b">
        <v>0</v>
      </c>
      <c r="T1332" t="s">
        <v>124</v>
      </c>
    </row>
    <row r="1333">
      <c r="A1333" t="s">
        <v>2776</v>
      </c>
      <c r="B1333" t="s">
        <v>2777</v>
      </c>
      <c r="C1333" s="2">
        <v>2023</v>
      </c>
      <c r="D1333" s="10">
        <v>8</v>
      </c>
      <c r="E1333" s="10">
        <v>18</v>
      </c>
      <c r="F1333" t="s">
        <v>608</v>
      </c>
      <c r="G1333">
        <v>65</v>
      </c>
      <c r="H1333" t="s">
        <v>69</v>
      </c>
      <c r="I1333" t="s">
        <v>150</v>
      </c>
      <c r="J1333" s="10" t="str">
        <f>VLOOKUP(I1333,Categories!A:B,2,FALSE)</f>
        <v xml:space="preserve">Food &amp; Coff</v>
      </c>
      <c r="K1333" t="s">
        <v>123</v>
      </c>
      <c r="L1333" s="10" t="str">
        <f>VLOOKUP(K1333,Accounts!A:B,2,FALSE)</f>
        <v>KBank</v>
      </c>
      <c r="M1333" t="s">
        <v>124</v>
      </c>
      <c r="N1333" s="10"/>
      <c r="O1333" t="s">
        <v>125</v>
      </c>
      <c r="Q1333" t="s">
        <v>126</v>
      </c>
      <c r="R1333" t="s">
        <v>124</v>
      </c>
      <c r="S1333" t="b">
        <v>0</v>
      </c>
      <c r="T1333" t="s">
        <v>124</v>
      </c>
    </row>
    <row r="1334">
      <c r="A1334" t="s">
        <v>2778</v>
      </c>
      <c r="B1334" t="s">
        <v>2777</v>
      </c>
      <c r="C1334" s="2">
        <v>2023</v>
      </c>
      <c r="D1334" s="10">
        <v>8</v>
      </c>
      <c r="E1334" s="10">
        <v>18</v>
      </c>
      <c r="F1334" t="s">
        <v>608</v>
      </c>
      <c r="G1334">
        <v>50</v>
      </c>
      <c r="H1334" t="s">
        <v>69</v>
      </c>
      <c r="I1334" t="s">
        <v>150</v>
      </c>
      <c r="J1334" s="10" t="str">
        <f>VLOOKUP(I1334,Categories!A:B,2,FALSE)</f>
        <v xml:space="preserve">Food &amp; Coff</v>
      </c>
      <c r="K1334" t="s">
        <v>123</v>
      </c>
      <c r="L1334" s="10" t="str">
        <f>VLOOKUP(K1334,Accounts!A:B,2,FALSE)</f>
        <v>KBank</v>
      </c>
      <c r="M1334" t="s">
        <v>124</v>
      </c>
      <c r="N1334" s="10"/>
      <c r="O1334" t="s">
        <v>125</v>
      </c>
      <c r="Q1334" t="s">
        <v>126</v>
      </c>
      <c r="R1334" t="s">
        <v>124</v>
      </c>
      <c r="S1334" t="b">
        <v>0</v>
      </c>
      <c r="T1334" t="s">
        <v>124</v>
      </c>
    </row>
    <row r="1335">
      <c r="A1335" t="s">
        <v>2779</v>
      </c>
      <c r="B1335" t="s">
        <v>2780</v>
      </c>
      <c r="C1335" s="2">
        <v>2023</v>
      </c>
      <c r="D1335" s="10">
        <v>8</v>
      </c>
      <c r="E1335" s="10">
        <v>17</v>
      </c>
      <c r="F1335" t="s">
        <v>2716</v>
      </c>
      <c r="G1335">
        <v>55</v>
      </c>
      <c r="H1335" t="s">
        <v>69</v>
      </c>
      <c r="I1335" t="s">
        <v>150</v>
      </c>
      <c r="J1335" s="10" t="str">
        <f>VLOOKUP(I1335,Categories!A:B,2,FALSE)</f>
        <v xml:space="preserve">Food &amp; Coff</v>
      </c>
      <c r="K1335" t="s">
        <v>123</v>
      </c>
      <c r="L1335" s="10" t="str">
        <f>VLOOKUP(K1335,Accounts!A:B,2,FALSE)</f>
        <v>KBank</v>
      </c>
      <c r="M1335" t="s">
        <v>124</v>
      </c>
      <c r="N1335" s="10"/>
      <c r="O1335" t="s">
        <v>125</v>
      </c>
      <c r="Q1335" t="s">
        <v>126</v>
      </c>
      <c r="R1335" t="s">
        <v>124</v>
      </c>
      <c r="S1335" t="b">
        <v>0</v>
      </c>
      <c r="T1335" t="s">
        <v>124</v>
      </c>
    </row>
    <row r="1336">
      <c r="A1336" t="s">
        <v>2781</v>
      </c>
      <c r="B1336" t="s">
        <v>2782</v>
      </c>
      <c r="C1336" s="2">
        <v>2023</v>
      </c>
      <c r="D1336" s="10">
        <v>8</v>
      </c>
      <c r="E1336" s="10">
        <v>16</v>
      </c>
      <c r="F1336" t="s">
        <v>2687</v>
      </c>
      <c r="G1336">
        <v>55</v>
      </c>
      <c r="H1336" t="s">
        <v>69</v>
      </c>
      <c r="I1336" t="s">
        <v>150</v>
      </c>
      <c r="J1336" s="10" t="str">
        <f>VLOOKUP(I1336,Categories!A:B,2,FALSE)</f>
        <v xml:space="preserve">Food &amp; Coff</v>
      </c>
      <c r="K1336" t="s">
        <v>123</v>
      </c>
      <c r="L1336" s="10" t="str">
        <f>VLOOKUP(K1336,Accounts!A:B,2,FALSE)</f>
        <v>KBank</v>
      </c>
      <c r="M1336" t="s">
        <v>124</v>
      </c>
      <c r="N1336" s="10"/>
      <c r="O1336" t="s">
        <v>125</v>
      </c>
      <c r="Q1336" t="s">
        <v>126</v>
      </c>
      <c r="R1336" t="s">
        <v>124</v>
      </c>
      <c r="S1336" t="b">
        <v>0</v>
      </c>
      <c r="T1336" t="s">
        <v>124</v>
      </c>
    </row>
    <row r="1337">
      <c r="A1337" t="s">
        <v>2783</v>
      </c>
      <c r="B1337" t="s">
        <v>2782</v>
      </c>
      <c r="C1337" s="2">
        <v>2023</v>
      </c>
      <c r="D1337" s="10">
        <v>8</v>
      </c>
      <c r="E1337" s="10">
        <v>16</v>
      </c>
      <c r="F1337" t="s">
        <v>2445</v>
      </c>
      <c r="G1337">
        <v>110</v>
      </c>
      <c r="H1337" t="s">
        <v>69</v>
      </c>
      <c r="I1337" t="s">
        <v>150</v>
      </c>
      <c r="J1337" s="10" t="str">
        <f>VLOOKUP(I1337,Categories!A:B,2,FALSE)</f>
        <v xml:space="preserve">Food &amp; Coff</v>
      </c>
      <c r="K1337" t="s">
        <v>123</v>
      </c>
      <c r="L1337" s="10" t="str">
        <f>VLOOKUP(K1337,Accounts!A:B,2,FALSE)</f>
        <v>KBank</v>
      </c>
      <c r="M1337" t="s">
        <v>124</v>
      </c>
      <c r="N1337" s="10"/>
      <c r="O1337" t="s">
        <v>125</v>
      </c>
      <c r="Q1337" t="s">
        <v>126</v>
      </c>
      <c r="R1337" t="s">
        <v>124</v>
      </c>
      <c r="S1337" t="b">
        <v>0</v>
      </c>
      <c r="T1337" t="s">
        <v>124</v>
      </c>
    </row>
    <row r="1338">
      <c r="A1338" t="s">
        <v>2784</v>
      </c>
      <c r="B1338" t="s">
        <v>2782</v>
      </c>
      <c r="C1338" s="2">
        <v>2023</v>
      </c>
      <c r="D1338" s="10">
        <v>8</v>
      </c>
      <c r="E1338" s="10">
        <v>16</v>
      </c>
      <c r="F1338" t="s">
        <v>2445</v>
      </c>
      <c r="G1338">
        <v>130</v>
      </c>
      <c r="H1338" t="s">
        <v>69</v>
      </c>
      <c r="I1338" t="s">
        <v>150</v>
      </c>
      <c r="J1338" s="10" t="str">
        <f>VLOOKUP(I1338,Categories!A:B,2,FALSE)</f>
        <v xml:space="preserve">Food &amp; Coff</v>
      </c>
      <c r="K1338" t="s">
        <v>123</v>
      </c>
      <c r="L1338" s="10" t="str">
        <f>VLOOKUP(K1338,Accounts!A:B,2,FALSE)</f>
        <v>KBank</v>
      </c>
      <c r="M1338" t="s">
        <v>124</v>
      </c>
      <c r="N1338" s="10"/>
      <c r="O1338" t="s">
        <v>125</v>
      </c>
      <c r="Q1338" t="s">
        <v>126</v>
      </c>
      <c r="R1338" t="s">
        <v>124</v>
      </c>
      <c r="S1338" t="b">
        <v>0</v>
      </c>
      <c r="T1338" t="s">
        <v>124</v>
      </c>
    </row>
    <row r="1339">
      <c r="A1339" t="s">
        <v>2785</v>
      </c>
      <c r="B1339" t="s">
        <v>2782</v>
      </c>
      <c r="C1339" s="2">
        <v>2023</v>
      </c>
      <c r="D1339" s="10">
        <v>8</v>
      </c>
      <c r="E1339" s="10">
        <v>16</v>
      </c>
      <c r="F1339" t="s">
        <v>2786</v>
      </c>
      <c r="G1339">
        <v>140</v>
      </c>
      <c r="H1339" t="s">
        <v>69</v>
      </c>
      <c r="I1339" t="s">
        <v>1508</v>
      </c>
      <c r="J1339" s="10" t="str">
        <f>VLOOKUP(I1339,Categories!A:B,2,FALSE)</f>
        <v>Other</v>
      </c>
      <c r="K1339" t="s">
        <v>425</v>
      </c>
      <c r="L1339" s="10" t="str">
        <f>VLOOKUP(K1339,Accounts!A:B,2,FALSE)</f>
        <v>Cash</v>
      </c>
      <c r="M1339" t="s">
        <v>124</v>
      </c>
      <c r="N1339" s="10"/>
      <c r="O1339" t="s">
        <v>125</v>
      </c>
      <c r="Q1339" t="s">
        <v>126</v>
      </c>
      <c r="R1339" t="s">
        <v>124</v>
      </c>
      <c r="S1339" t="b">
        <v>0</v>
      </c>
      <c r="T1339" t="s">
        <v>124</v>
      </c>
    </row>
    <row r="1340">
      <c r="A1340" t="s">
        <v>2787</v>
      </c>
      <c r="B1340" t="s">
        <v>2788</v>
      </c>
      <c r="C1340" s="2">
        <v>2023</v>
      </c>
      <c r="D1340" s="10">
        <v>8</v>
      </c>
      <c r="E1340" s="10">
        <v>15</v>
      </c>
      <c r="F1340" t="s">
        <v>1487</v>
      </c>
      <c r="G1340">
        <v>1305.23</v>
      </c>
      <c r="H1340" t="s">
        <v>69</v>
      </c>
      <c r="I1340" t="s">
        <v>1882</v>
      </c>
      <c r="J1340" s="10" t="str">
        <f>VLOOKUP(I1340,Categories!A:B,2,FALSE)</f>
        <v>utility</v>
      </c>
      <c r="K1340" t="s">
        <v>2317</v>
      </c>
      <c r="L1340" s="10" t="str">
        <f>VLOOKUP(K1340,Accounts!A:B,2,FALSE)</f>
        <v xml:space="preserve">Marriage account</v>
      </c>
      <c r="M1340" t="s">
        <v>124</v>
      </c>
      <c r="N1340" s="10"/>
      <c r="O1340" t="s">
        <v>125</v>
      </c>
      <c r="Q1340" t="s">
        <v>126</v>
      </c>
      <c r="R1340" t="s">
        <v>124</v>
      </c>
      <c r="S1340" t="b">
        <v>0</v>
      </c>
      <c r="T1340" t="s">
        <v>124</v>
      </c>
    </row>
    <row r="1341">
      <c r="A1341" t="s">
        <v>2789</v>
      </c>
      <c r="B1341" t="s">
        <v>2788</v>
      </c>
      <c r="C1341" s="2">
        <v>2023</v>
      </c>
      <c r="D1341" s="10">
        <v>8</v>
      </c>
      <c r="E1341" s="10">
        <v>15</v>
      </c>
      <c r="F1341" t="s">
        <v>247</v>
      </c>
      <c r="G1341">
        <v>72</v>
      </c>
      <c r="H1341" t="s">
        <v>69</v>
      </c>
      <c r="I1341" t="s">
        <v>150</v>
      </c>
      <c r="J1341" s="10" t="str">
        <f>VLOOKUP(I1341,Categories!A:B,2,FALSE)</f>
        <v xml:space="preserve">Food &amp; Coff</v>
      </c>
      <c r="K1341" t="s">
        <v>178</v>
      </c>
      <c r="L1341" s="10" t="str">
        <f>VLOOKUP(K1341,Accounts!A:B,2,FALSE)</f>
        <v>SCB</v>
      </c>
      <c r="M1341" t="s">
        <v>124</v>
      </c>
      <c r="N1341" s="10"/>
      <c r="O1341" t="s">
        <v>125</v>
      </c>
      <c r="Q1341" t="s">
        <v>126</v>
      </c>
      <c r="R1341" t="s">
        <v>124</v>
      </c>
      <c r="S1341" t="b">
        <v>0</v>
      </c>
      <c r="T1341" t="s">
        <v>124</v>
      </c>
    </row>
    <row r="1342">
      <c r="A1342" t="s">
        <v>2790</v>
      </c>
      <c r="B1342" t="s">
        <v>2788</v>
      </c>
      <c r="C1342" s="2">
        <v>2023</v>
      </c>
      <c r="D1342" s="10">
        <v>8</v>
      </c>
      <c r="E1342" s="10">
        <v>15</v>
      </c>
      <c r="F1342" t="s">
        <v>2791</v>
      </c>
      <c r="G1342">
        <v>50</v>
      </c>
      <c r="H1342" t="s">
        <v>69</v>
      </c>
      <c r="I1342" t="s">
        <v>150</v>
      </c>
      <c r="J1342" s="10" t="str">
        <f>VLOOKUP(I1342,Categories!A:B,2,FALSE)</f>
        <v xml:space="preserve">Food &amp; Coff</v>
      </c>
      <c r="K1342" t="s">
        <v>123</v>
      </c>
      <c r="L1342" s="10" t="str">
        <f>VLOOKUP(K1342,Accounts!A:B,2,FALSE)</f>
        <v>KBank</v>
      </c>
      <c r="M1342" t="s">
        <v>124</v>
      </c>
      <c r="N1342" s="10"/>
      <c r="O1342" t="s">
        <v>125</v>
      </c>
      <c r="Q1342" t="s">
        <v>126</v>
      </c>
      <c r="R1342" t="s">
        <v>124</v>
      </c>
      <c r="S1342" t="b">
        <v>0</v>
      </c>
      <c r="T1342" t="s">
        <v>124</v>
      </c>
    </row>
    <row r="1343">
      <c r="A1343" t="s">
        <v>2792</v>
      </c>
      <c r="B1343" t="s">
        <v>2788</v>
      </c>
      <c r="C1343" s="2">
        <v>2023</v>
      </c>
      <c r="D1343" s="10">
        <v>8</v>
      </c>
      <c r="E1343" s="10">
        <v>15</v>
      </c>
      <c r="F1343" t="s">
        <v>2793</v>
      </c>
      <c r="G1343">
        <v>185</v>
      </c>
      <c r="H1343" t="s">
        <v>69</v>
      </c>
      <c r="I1343" t="s">
        <v>157</v>
      </c>
      <c r="J1343" s="10" t="str">
        <f>VLOOKUP(I1343,Categories!A:B,2,FALSE)</f>
        <v>Boardgame</v>
      </c>
      <c r="K1343" t="s">
        <v>130</v>
      </c>
      <c r="L1343" s="10" t="str">
        <f>VLOOKUP(K1343,Accounts!A:B,2,FALSE)</f>
        <v xml:space="preserve">KTC JCB</v>
      </c>
      <c r="M1343" t="s">
        <v>124</v>
      </c>
      <c r="N1343" s="10"/>
      <c r="O1343" t="s">
        <v>125</v>
      </c>
      <c r="Q1343" t="s">
        <v>126</v>
      </c>
      <c r="R1343" t="s">
        <v>124</v>
      </c>
      <c r="S1343" t="b">
        <v>0</v>
      </c>
      <c r="T1343" t="s">
        <v>124</v>
      </c>
    </row>
    <row r="1344">
      <c r="A1344" t="s">
        <v>2794</v>
      </c>
      <c r="B1344" t="s">
        <v>2795</v>
      </c>
      <c r="C1344" s="2">
        <v>2023</v>
      </c>
      <c r="D1344" s="10">
        <v>8</v>
      </c>
      <c r="E1344" s="10">
        <v>14</v>
      </c>
      <c r="F1344" t="s">
        <v>121</v>
      </c>
      <c r="G1344">
        <v>419</v>
      </c>
      <c r="H1344" t="s">
        <v>69</v>
      </c>
      <c r="I1344" t="s">
        <v>1903</v>
      </c>
      <c r="J1344" s="10" t="str">
        <f>VLOOKUP(I1344,Categories!A:B,2,FALSE)</f>
        <v xml:space="preserve">Monthly subscription</v>
      </c>
      <c r="K1344" t="s">
        <v>747</v>
      </c>
      <c r="L1344" s="10" t="str">
        <f>VLOOKUP(K1344,Accounts!A:B,2,FALSE)</f>
        <v xml:space="preserve">UOB world</v>
      </c>
      <c r="M1344" t="s">
        <v>124</v>
      </c>
      <c r="N1344" s="10"/>
      <c r="O1344" t="s">
        <v>125</v>
      </c>
      <c r="Q1344" t="s">
        <v>126</v>
      </c>
      <c r="R1344" t="s">
        <v>124</v>
      </c>
      <c r="S1344" t="b">
        <v>0</v>
      </c>
      <c r="T1344" t="s">
        <v>124</v>
      </c>
    </row>
    <row r="1345">
      <c r="A1345" t="s">
        <v>2796</v>
      </c>
      <c r="B1345" t="s">
        <v>2795</v>
      </c>
      <c r="C1345" s="2">
        <v>2023</v>
      </c>
      <c r="D1345" s="10">
        <v>8</v>
      </c>
      <c r="E1345" s="10">
        <v>14</v>
      </c>
      <c r="F1345" t="s">
        <v>2797</v>
      </c>
      <c r="G1345">
        <v>2000</v>
      </c>
      <c r="H1345" t="s">
        <v>69</v>
      </c>
      <c r="I1345" t="s">
        <v>1455</v>
      </c>
      <c r="J1345" s="10" t="str">
        <f>VLOOKUP(I1345,Categories!A:B,2,FALSE)</f>
        <v xml:space="preserve">Merit and gift</v>
      </c>
      <c r="K1345" t="s">
        <v>123</v>
      </c>
      <c r="L1345" s="10" t="str">
        <f>VLOOKUP(K1345,Accounts!A:B,2,FALSE)</f>
        <v>KBank</v>
      </c>
      <c r="M1345" t="s">
        <v>124</v>
      </c>
      <c r="N1345" s="10"/>
      <c r="O1345" t="s">
        <v>125</v>
      </c>
      <c r="Q1345" t="s">
        <v>126</v>
      </c>
      <c r="R1345" t="s">
        <v>124</v>
      </c>
      <c r="S1345" t="b">
        <v>0</v>
      </c>
      <c r="T1345" t="s">
        <v>124</v>
      </c>
    </row>
    <row r="1346">
      <c r="A1346" t="s">
        <v>2798</v>
      </c>
      <c r="B1346" t="s">
        <v>2795</v>
      </c>
      <c r="C1346" s="2">
        <v>2023</v>
      </c>
      <c r="D1346" s="10">
        <v>8</v>
      </c>
      <c r="E1346" s="10">
        <v>14</v>
      </c>
      <c r="F1346" t="s">
        <v>2403</v>
      </c>
      <c r="G1346">
        <v>419</v>
      </c>
      <c r="H1346" t="s">
        <v>128</v>
      </c>
      <c r="I1346" t="s">
        <v>136</v>
      </c>
      <c r="J1346" s="10" t="str">
        <f>VLOOKUP(I1346,Categories!A:B,2,FALSE)</f>
        <v>อื่นๆ</v>
      </c>
      <c r="K1346" t="s">
        <v>178</v>
      </c>
      <c r="L1346" s="10" t="str">
        <f>VLOOKUP(K1346,Accounts!A:B,2,FALSE)</f>
        <v>SCB</v>
      </c>
      <c r="M1346" t="s">
        <v>747</v>
      </c>
      <c r="N1346" s="10" t="str">
        <f>VLOOKUP(M1346,Accounts!A:B,2,FALSE)</f>
        <v xml:space="preserve">UOB world</v>
      </c>
      <c r="O1346" t="s">
        <v>125</v>
      </c>
      <c r="Q1346" t="s">
        <v>126</v>
      </c>
      <c r="R1346" t="s">
        <v>124</v>
      </c>
      <c r="S1346" t="b">
        <v>0</v>
      </c>
      <c r="T1346" t="s">
        <v>124</v>
      </c>
    </row>
    <row r="1347">
      <c r="A1347" t="s">
        <v>2799</v>
      </c>
      <c r="B1347" t="s">
        <v>2795</v>
      </c>
      <c r="C1347" s="2">
        <v>2023</v>
      </c>
      <c r="D1347" s="10">
        <v>8</v>
      </c>
      <c r="E1347" s="10">
        <v>14</v>
      </c>
      <c r="F1347" t="s">
        <v>183</v>
      </c>
      <c r="G1347">
        <v>1.05</v>
      </c>
      <c r="H1347" t="s">
        <v>69</v>
      </c>
      <c r="I1347" t="s">
        <v>254</v>
      </c>
      <c r="J1347" s="10" t="str">
        <f>VLOOKUP(I1347,Categories!A:B,2,FALSE)</f>
        <v xml:space="preserve">Modified Bal.</v>
      </c>
      <c r="K1347" t="s">
        <v>123</v>
      </c>
      <c r="L1347" s="10" t="str">
        <f>VLOOKUP(K1347,Accounts!A:B,2,FALSE)</f>
        <v>KBank</v>
      </c>
      <c r="M1347" t="s">
        <v>124</v>
      </c>
      <c r="N1347" s="10"/>
      <c r="O1347" t="s">
        <v>255</v>
      </c>
      <c r="Q1347" t="s">
        <v>126</v>
      </c>
      <c r="R1347" t="s">
        <v>124</v>
      </c>
      <c r="S1347" t="b">
        <v>0</v>
      </c>
      <c r="T1347" t="s">
        <v>124</v>
      </c>
    </row>
    <row r="1348">
      <c r="A1348" t="s">
        <v>2800</v>
      </c>
      <c r="B1348" t="s">
        <v>2795</v>
      </c>
      <c r="C1348" s="2">
        <v>2023</v>
      </c>
      <c r="D1348" s="10">
        <v>8</v>
      </c>
      <c r="E1348" s="10">
        <v>14</v>
      </c>
      <c r="F1348" t="s">
        <v>647</v>
      </c>
      <c r="G1348">
        <v>529</v>
      </c>
      <c r="H1348" t="s">
        <v>69</v>
      </c>
      <c r="I1348" t="s">
        <v>169</v>
      </c>
      <c r="J1348" s="10" t="str">
        <f>VLOOKUP(I1348,Categories!A:B,2,FALSE)</f>
        <v xml:space="preserve">App &amp; Game</v>
      </c>
      <c r="K1348" t="s">
        <v>766</v>
      </c>
      <c r="L1348" s="10" t="str">
        <f>VLOOKUP(K1348,Accounts!A:B,2,FALSE)</f>
        <v>KRUNGSRI</v>
      </c>
      <c r="M1348" t="s">
        <v>124</v>
      </c>
      <c r="N1348" s="10"/>
      <c r="O1348" t="s">
        <v>125</v>
      </c>
      <c r="Q1348" t="s">
        <v>126</v>
      </c>
      <c r="R1348" t="s">
        <v>124</v>
      </c>
      <c r="S1348" t="b">
        <v>0</v>
      </c>
      <c r="T1348" t="s">
        <v>124</v>
      </c>
    </row>
    <row r="1349">
      <c r="A1349" t="s">
        <v>2801</v>
      </c>
      <c r="B1349" t="s">
        <v>2795</v>
      </c>
      <c r="C1349" s="2">
        <v>2023</v>
      </c>
      <c r="D1349" s="10">
        <v>8</v>
      </c>
      <c r="E1349" s="10">
        <v>14</v>
      </c>
      <c r="F1349" t="s">
        <v>2802</v>
      </c>
      <c r="G1349">
        <v>159</v>
      </c>
      <c r="H1349" t="s">
        <v>69</v>
      </c>
      <c r="I1349" t="s">
        <v>614</v>
      </c>
      <c r="J1349" s="10" t="str">
        <f>VLOOKUP(I1349,Categories!A:B,2,FALSE)</f>
        <v>Books</v>
      </c>
      <c r="K1349" t="s">
        <v>130</v>
      </c>
      <c r="L1349" s="10" t="str">
        <f>VLOOKUP(K1349,Accounts!A:B,2,FALSE)</f>
        <v xml:space="preserve">KTC JCB</v>
      </c>
      <c r="M1349" t="s">
        <v>124</v>
      </c>
      <c r="N1349" s="10"/>
      <c r="O1349" t="s">
        <v>125</v>
      </c>
      <c r="Q1349" t="s">
        <v>126</v>
      </c>
      <c r="R1349" t="s">
        <v>124</v>
      </c>
      <c r="S1349" t="b">
        <v>0</v>
      </c>
      <c r="T1349" t="s">
        <v>124</v>
      </c>
    </row>
    <row r="1350">
      <c r="A1350" t="s">
        <v>2803</v>
      </c>
      <c r="B1350" t="s">
        <v>2795</v>
      </c>
      <c r="C1350" s="2">
        <v>2023</v>
      </c>
      <c r="D1350" s="10">
        <v>8</v>
      </c>
      <c r="E1350" s="10">
        <v>14</v>
      </c>
      <c r="F1350" t="s">
        <v>2804</v>
      </c>
      <c r="G1350">
        <v>6945</v>
      </c>
      <c r="H1350" t="s">
        <v>69</v>
      </c>
      <c r="I1350" t="s">
        <v>139</v>
      </c>
      <c r="J1350" s="10" t="str">
        <f>VLOOKUP(I1350,Categories!A:B,2,FALSE)</f>
        <v>Condo</v>
      </c>
      <c r="K1350" t="s">
        <v>123</v>
      </c>
      <c r="L1350" s="10" t="str">
        <f>VLOOKUP(K1350,Accounts!A:B,2,FALSE)</f>
        <v>KBank</v>
      </c>
      <c r="M1350" t="s">
        <v>124</v>
      </c>
      <c r="N1350" s="10"/>
      <c r="O1350" t="s">
        <v>125</v>
      </c>
      <c r="Q1350" t="s">
        <v>126</v>
      </c>
      <c r="R1350" t="s">
        <v>124</v>
      </c>
      <c r="S1350" t="b">
        <v>0</v>
      </c>
      <c r="T1350" t="s">
        <v>124</v>
      </c>
    </row>
    <row r="1351">
      <c r="A1351" t="s">
        <v>2805</v>
      </c>
      <c r="B1351" t="s">
        <v>2806</v>
      </c>
      <c r="C1351" s="2">
        <v>2023</v>
      </c>
      <c r="D1351" s="10">
        <v>8</v>
      </c>
      <c r="E1351" s="10">
        <v>13</v>
      </c>
      <c r="F1351" t="s">
        <v>2360</v>
      </c>
      <c r="G1351">
        <v>176</v>
      </c>
      <c r="H1351" t="s">
        <v>69</v>
      </c>
      <c r="I1351" t="s">
        <v>144</v>
      </c>
      <c r="J1351" s="10" t="str">
        <f>VLOOKUP(I1351,Categories!A:B,2,FALSE)</f>
        <v xml:space="preserve">Family paid</v>
      </c>
      <c r="K1351" t="s">
        <v>123</v>
      </c>
      <c r="L1351" s="10" t="str">
        <f>VLOOKUP(K1351,Accounts!A:B,2,FALSE)</f>
        <v>KBank</v>
      </c>
      <c r="M1351" t="s">
        <v>124</v>
      </c>
      <c r="N1351" s="10"/>
      <c r="O1351" t="s">
        <v>2807</v>
      </c>
      <c r="Q1351" t="s">
        <v>126</v>
      </c>
      <c r="R1351" t="s">
        <v>124</v>
      </c>
      <c r="S1351" t="b">
        <v>0</v>
      </c>
      <c r="T1351" t="s">
        <v>124</v>
      </c>
    </row>
    <row r="1352">
      <c r="A1352" t="s">
        <v>2808</v>
      </c>
      <c r="B1352" t="s">
        <v>2809</v>
      </c>
      <c r="C1352" s="2">
        <v>2023</v>
      </c>
      <c r="D1352" s="10">
        <v>8</v>
      </c>
      <c r="E1352" s="10">
        <v>12</v>
      </c>
      <c r="F1352" t="s">
        <v>1703</v>
      </c>
      <c r="G1352">
        <v>85</v>
      </c>
      <c r="H1352" t="s">
        <v>69</v>
      </c>
      <c r="I1352" t="s">
        <v>150</v>
      </c>
      <c r="J1352" s="10" t="str">
        <f>VLOOKUP(I1352,Categories!A:B,2,FALSE)</f>
        <v xml:space="preserve">Food &amp; Coff</v>
      </c>
      <c r="K1352" t="s">
        <v>123</v>
      </c>
      <c r="L1352" s="10" t="str">
        <f>VLOOKUP(K1352,Accounts!A:B,2,FALSE)</f>
        <v>KBank</v>
      </c>
      <c r="M1352" t="s">
        <v>124</v>
      </c>
      <c r="N1352" s="10"/>
      <c r="O1352" t="s">
        <v>125</v>
      </c>
      <c r="Q1352" t="s">
        <v>126</v>
      </c>
      <c r="R1352" t="s">
        <v>124</v>
      </c>
      <c r="S1352" t="b">
        <v>0</v>
      </c>
      <c r="T1352" t="s">
        <v>124</v>
      </c>
    </row>
    <row r="1353">
      <c r="A1353" t="s">
        <v>2810</v>
      </c>
      <c r="B1353" t="s">
        <v>2809</v>
      </c>
      <c r="C1353" s="2">
        <v>2023</v>
      </c>
      <c r="D1353" s="10">
        <v>8</v>
      </c>
      <c r="E1353" s="10">
        <v>12</v>
      </c>
      <c r="F1353" t="s">
        <v>2811</v>
      </c>
      <c r="G1353">
        <v>283</v>
      </c>
      <c r="H1353" t="s">
        <v>69</v>
      </c>
      <c r="I1353" t="s">
        <v>150</v>
      </c>
      <c r="J1353" s="10" t="str">
        <f>VLOOKUP(I1353,Categories!A:B,2,FALSE)</f>
        <v xml:space="preserve">Food &amp; Coff</v>
      </c>
      <c r="K1353" t="s">
        <v>123</v>
      </c>
      <c r="L1353" s="10" t="str">
        <f>VLOOKUP(K1353,Accounts!A:B,2,FALSE)</f>
        <v>KBank</v>
      </c>
      <c r="M1353" t="s">
        <v>124</v>
      </c>
      <c r="N1353" s="10"/>
      <c r="O1353" t="s">
        <v>125</v>
      </c>
      <c r="Q1353" t="s">
        <v>126</v>
      </c>
      <c r="R1353" t="s">
        <v>124</v>
      </c>
      <c r="S1353" t="b">
        <v>0</v>
      </c>
      <c r="T1353" t="s">
        <v>124</v>
      </c>
    </row>
    <row r="1354">
      <c r="A1354" t="s">
        <v>2812</v>
      </c>
      <c r="B1354" t="s">
        <v>2813</v>
      </c>
      <c r="C1354" s="2">
        <v>2023</v>
      </c>
      <c r="D1354" s="10">
        <v>8</v>
      </c>
      <c r="E1354" s="10">
        <v>11</v>
      </c>
      <c r="F1354" t="s">
        <v>1703</v>
      </c>
      <c r="G1354">
        <v>60</v>
      </c>
      <c r="H1354" t="s">
        <v>69</v>
      </c>
      <c r="I1354" t="s">
        <v>150</v>
      </c>
      <c r="J1354" s="10" t="str">
        <f>VLOOKUP(I1354,Categories!A:B,2,FALSE)</f>
        <v xml:space="preserve">Food &amp; Coff</v>
      </c>
      <c r="K1354" t="s">
        <v>123</v>
      </c>
      <c r="L1354" s="10" t="str">
        <f>VLOOKUP(K1354,Accounts!A:B,2,FALSE)</f>
        <v>KBank</v>
      </c>
      <c r="M1354" t="s">
        <v>124</v>
      </c>
      <c r="N1354" s="10"/>
      <c r="O1354" t="s">
        <v>125</v>
      </c>
      <c r="Q1354" t="s">
        <v>126</v>
      </c>
      <c r="R1354" t="s">
        <v>124</v>
      </c>
      <c r="S1354" t="b">
        <v>0</v>
      </c>
      <c r="T1354" t="s">
        <v>124</v>
      </c>
    </row>
    <row r="1355">
      <c r="A1355" t="s">
        <v>2814</v>
      </c>
      <c r="B1355" t="s">
        <v>2813</v>
      </c>
      <c r="C1355" s="2">
        <v>2023</v>
      </c>
      <c r="D1355" s="10">
        <v>8</v>
      </c>
      <c r="E1355" s="10">
        <v>11</v>
      </c>
      <c r="F1355" t="s">
        <v>1703</v>
      </c>
      <c r="G1355">
        <v>100</v>
      </c>
      <c r="H1355" t="s">
        <v>69</v>
      </c>
      <c r="I1355" t="s">
        <v>150</v>
      </c>
      <c r="J1355" s="10" t="str">
        <f>VLOOKUP(I1355,Categories!A:B,2,FALSE)</f>
        <v xml:space="preserve">Food &amp; Coff</v>
      </c>
      <c r="K1355" t="s">
        <v>123</v>
      </c>
      <c r="L1355" s="10" t="str">
        <f>VLOOKUP(K1355,Accounts!A:B,2,FALSE)</f>
        <v>KBank</v>
      </c>
      <c r="M1355" t="s">
        <v>124</v>
      </c>
      <c r="N1355" s="10"/>
      <c r="O1355" t="s">
        <v>125</v>
      </c>
      <c r="Q1355" t="s">
        <v>126</v>
      </c>
      <c r="R1355" t="s">
        <v>124</v>
      </c>
      <c r="S1355" t="b">
        <v>0</v>
      </c>
      <c r="T1355" t="s">
        <v>124</v>
      </c>
    </row>
    <row r="1356">
      <c r="A1356" t="s">
        <v>2815</v>
      </c>
      <c r="B1356" t="s">
        <v>2816</v>
      </c>
      <c r="C1356" s="2">
        <v>2023</v>
      </c>
      <c r="D1356" s="10">
        <v>8</v>
      </c>
      <c r="E1356" s="10">
        <v>10</v>
      </c>
      <c r="F1356" t="s">
        <v>2403</v>
      </c>
      <c r="G1356">
        <v>300</v>
      </c>
      <c r="H1356" t="s">
        <v>69</v>
      </c>
      <c r="I1356" t="s">
        <v>259</v>
      </c>
      <c r="J1356" s="10" t="str">
        <f>VLOOKUP(I1356,Categories!A:B,2,FALSE)</f>
        <v xml:space="preserve">Team BOT</v>
      </c>
      <c r="K1356" t="s">
        <v>178</v>
      </c>
      <c r="L1356" s="10" t="str">
        <f>VLOOKUP(K1356,Accounts!A:B,2,FALSE)</f>
        <v>SCB</v>
      </c>
      <c r="M1356" t="s">
        <v>124</v>
      </c>
      <c r="N1356" s="10"/>
      <c r="O1356" t="s">
        <v>1575</v>
      </c>
      <c r="Q1356" t="s">
        <v>126</v>
      </c>
      <c r="R1356" t="s">
        <v>124</v>
      </c>
      <c r="S1356" t="b">
        <v>0</v>
      </c>
      <c r="T1356" t="s">
        <v>124</v>
      </c>
    </row>
    <row r="1357">
      <c r="A1357" t="s">
        <v>2817</v>
      </c>
      <c r="B1357" t="s">
        <v>2816</v>
      </c>
      <c r="C1357" s="2">
        <v>2023</v>
      </c>
      <c r="D1357" s="10">
        <v>8</v>
      </c>
      <c r="E1357" s="10">
        <v>10</v>
      </c>
      <c r="F1357" t="s">
        <v>2818</v>
      </c>
      <c r="G1357">
        <v>55</v>
      </c>
      <c r="H1357" t="s">
        <v>69</v>
      </c>
      <c r="I1357" t="s">
        <v>150</v>
      </c>
      <c r="J1357" s="10" t="str">
        <f>VLOOKUP(I1357,Categories!A:B,2,FALSE)</f>
        <v xml:space="preserve">Food &amp; Coff</v>
      </c>
      <c r="K1357" t="s">
        <v>123</v>
      </c>
      <c r="L1357" s="10" t="str">
        <f>VLOOKUP(K1357,Accounts!A:B,2,FALSE)</f>
        <v>KBank</v>
      </c>
      <c r="M1357" t="s">
        <v>124</v>
      </c>
      <c r="N1357" s="10"/>
      <c r="O1357" t="s">
        <v>125</v>
      </c>
      <c r="Q1357" t="s">
        <v>126</v>
      </c>
      <c r="R1357" t="s">
        <v>124</v>
      </c>
      <c r="S1357" t="b">
        <v>0</v>
      </c>
      <c r="T1357" t="s">
        <v>124</v>
      </c>
    </row>
    <row r="1358">
      <c r="A1358" t="s">
        <v>2819</v>
      </c>
      <c r="B1358" t="s">
        <v>2816</v>
      </c>
      <c r="C1358" s="2">
        <v>2023</v>
      </c>
      <c r="D1358" s="10">
        <v>8</v>
      </c>
      <c r="E1358" s="10">
        <v>10</v>
      </c>
      <c r="F1358" t="s">
        <v>2818</v>
      </c>
      <c r="G1358">
        <v>65</v>
      </c>
      <c r="H1358" t="s">
        <v>69</v>
      </c>
      <c r="I1358" t="s">
        <v>150</v>
      </c>
      <c r="J1358" s="10" t="str">
        <f>VLOOKUP(I1358,Categories!A:B,2,FALSE)</f>
        <v xml:space="preserve">Food &amp; Coff</v>
      </c>
      <c r="K1358" t="s">
        <v>123</v>
      </c>
      <c r="L1358" s="10" t="str">
        <f>VLOOKUP(K1358,Accounts!A:B,2,FALSE)</f>
        <v>KBank</v>
      </c>
      <c r="M1358" t="s">
        <v>124</v>
      </c>
      <c r="N1358" s="10"/>
      <c r="O1358" t="s">
        <v>125</v>
      </c>
      <c r="Q1358" t="s">
        <v>126</v>
      </c>
      <c r="R1358" t="s">
        <v>124</v>
      </c>
      <c r="S1358" t="b">
        <v>0</v>
      </c>
      <c r="T1358" t="s">
        <v>124</v>
      </c>
    </row>
    <row r="1359">
      <c r="A1359" t="s">
        <v>2820</v>
      </c>
      <c r="B1359" t="s">
        <v>2821</v>
      </c>
      <c r="C1359" s="2">
        <v>2023</v>
      </c>
      <c r="D1359" s="10">
        <v>8</v>
      </c>
      <c r="E1359" s="10">
        <v>9</v>
      </c>
      <c r="F1359" t="s">
        <v>2822</v>
      </c>
      <c r="G1359">
        <v>60</v>
      </c>
      <c r="H1359" t="s">
        <v>69</v>
      </c>
      <c r="I1359" t="s">
        <v>150</v>
      </c>
      <c r="J1359" s="10" t="str">
        <f>VLOOKUP(I1359,Categories!A:B,2,FALSE)</f>
        <v xml:space="preserve">Food &amp; Coff</v>
      </c>
      <c r="K1359" t="s">
        <v>123</v>
      </c>
      <c r="L1359" s="10" t="str">
        <f>VLOOKUP(K1359,Accounts!A:B,2,FALSE)</f>
        <v>KBank</v>
      </c>
      <c r="M1359" t="s">
        <v>124</v>
      </c>
      <c r="N1359" s="10"/>
      <c r="O1359" t="s">
        <v>125</v>
      </c>
      <c r="Q1359" t="s">
        <v>126</v>
      </c>
      <c r="R1359" t="s">
        <v>124</v>
      </c>
      <c r="S1359" t="b">
        <v>0</v>
      </c>
      <c r="T1359" t="s">
        <v>124</v>
      </c>
    </row>
    <row r="1360">
      <c r="A1360" t="s">
        <v>2823</v>
      </c>
      <c r="B1360" t="s">
        <v>2821</v>
      </c>
      <c r="C1360" s="2">
        <v>2023</v>
      </c>
      <c r="D1360" s="10">
        <v>8</v>
      </c>
      <c r="E1360" s="10">
        <v>9</v>
      </c>
      <c r="F1360" t="s">
        <v>2824</v>
      </c>
      <c r="G1360">
        <v>50</v>
      </c>
      <c r="H1360" t="s">
        <v>69</v>
      </c>
      <c r="I1360" t="s">
        <v>150</v>
      </c>
      <c r="J1360" s="10" t="str">
        <f>VLOOKUP(I1360,Categories!A:B,2,FALSE)</f>
        <v xml:space="preserve">Food &amp; Coff</v>
      </c>
      <c r="K1360" t="s">
        <v>123</v>
      </c>
      <c r="L1360" s="10" t="str">
        <f>VLOOKUP(K1360,Accounts!A:B,2,FALSE)</f>
        <v>KBank</v>
      </c>
      <c r="M1360" t="s">
        <v>124</v>
      </c>
      <c r="N1360" s="10"/>
      <c r="O1360" t="s">
        <v>125</v>
      </c>
      <c r="Q1360" t="s">
        <v>126</v>
      </c>
      <c r="R1360" t="s">
        <v>124</v>
      </c>
      <c r="S1360" t="b">
        <v>0</v>
      </c>
      <c r="T1360" t="s">
        <v>124</v>
      </c>
    </row>
    <row r="1361">
      <c r="A1361" t="s">
        <v>2825</v>
      </c>
      <c r="B1361" t="s">
        <v>2826</v>
      </c>
      <c r="C1361" s="2">
        <v>2023</v>
      </c>
      <c r="D1361" s="10">
        <v>8</v>
      </c>
      <c r="E1361" s="10">
        <v>8</v>
      </c>
      <c r="F1361" t="s">
        <v>2827</v>
      </c>
      <c r="G1361">
        <v>87</v>
      </c>
      <c r="H1361" t="s">
        <v>69</v>
      </c>
      <c r="I1361" t="s">
        <v>150</v>
      </c>
      <c r="J1361" s="10" t="str">
        <f>VLOOKUP(I1361,Categories!A:B,2,FALSE)</f>
        <v xml:space="preserve">Food &amp; Coff</v>
      </c>
      <c r="K1361" t="s">
        <v>123</v>
      </c>
      <c r="L1361" s="10" t="str">
        <f>VLOOKUP(K1361,Accounts!A:B,2,FALSE)</f>
        <v>KBank</v>
      </c>
      <c r="M1361" t="s">
        <v>124</v>
      </c>
      <c r="N1361" s="10"/>
      <c r="O1361" t="s">
        <v>125</v>
      </c>
      <c r="Q1361" t="s">
        <v>126</v>
      </c>
      <c r="R1361" t="s">
        <v>124</v>
      </c>
      <c r="S1361" t="b">
        <v>0</v>
      </c>
      <c r="T1361" t="s">
        <v>124</v>
      </c>
    </row>
    <row r="1362">
      <c r="A1362" t="s">
        <v>2828</v>
      </c>
      <c r="B1362" t="s">
        <v>2826</v>
      </c>
      <c r="C1362" s="2">
        <v>2023</v>
      </c>
      <c r="D1362" s="10">
        <v>8</v>
      </c>
      <c r="E1362" s="10">
        <v>8</v>
      </c>
      <c r="F1362" t="s">
        <v>2827</v>
      </c>
      <c r="G1362">
        <v>105</v>
      </c>
      <c r="H1362" t="s">
        <v>69</v>
      </c>
      <c r="I1362" t="s">
        <v>150</v>
      </c>
      <c r="J1362" s="10" t="str">
        <f>VLOOKUP(I1362,Categories!A:B,2,FALSE)</f>
        <v xml:space="preserve">Food &amp; Coff</v>
      </c>
      <c r="K1362" t="s">
        <v>123</v>
      </c>
      <c r="L1362" s="10" t="str">
        <f>VLOOKUP(K1362,Accounts!A:B,2,FALSE)</f>
        <v>KBank</v>
      </c>
      <c r="M1362" t="s">
        <v>124</v>
      </c>
      <c r="N1362" s="10"/>
      <c r="O1362" t="s">
        <v>125</v>
      </c>
      <c r="Q1362" t="s">
        <v>126</v>
      </c>
      <c r="R1362" t="s">
        <v>124</v>
      </c>
      <c r="S1362" t="b">
        <v>0</v>
      </c>
      <c r="T1362" t="s">
        <v>124</v>
      </c>
    </row>
    <row r="1363">
      <c r="A1363" t="s">
        <v>2829</v>
      </c>
      <c r="B1363" t="s">
        <v>2826</v>
      </c>
      <c r="C1363" s="2">
        <v>2023</v>
      </c>
      <c r="D1363" s="10">
        <v>8</v>
      </c>
      <c r="E1363" s="10">
        <v>8</v>
      </c>
      <c r="F1363" t="s">
        <v>2830</v>
      </c>
      <c r="G1363">
        <v>10</v>
      </c>
      <c r="H1363" t="s">
        <v>69</v>
      </c>
      <c r="I1363" t="s">
        <v>150</v>
      </c>
      <c r="J1363" s="10" t="str">
        <f>VLOOKUP(I1363,Categories!A:B,2,FALSE)</f>
        <v xml:space="preserve">Food &amp; Coff</v>
      </c>
      <c r="K1363" t="s">
        <v>123</v>
      </c>
      <c r="L1363" s="10" t="str">
        <f>VLOOKUP(K1363,Accounts!A:B,2,FALSE)</f>
        <v>KBank</v>
      </c>
      <c r="M1363" t="s">
        <v>124</v>
      </c>
      <c r="N1363" s="10"/>
      <c r="O1363" t="s">
        <v>125</v>
      </c>
      <c r="Q1363" t="s">
        <v>126</v>
      </c>
      <c r="R1363" t="s">
        <v>124</v>
      </c>
      <c r="S1363" t="b">
        <v>0</v>
      </c>
      <c r="T1363" t="s">
        <v>124</v>
      </c>
    </row>
    <row r="1364">
      <c r="A1364" t="s">
        <v>2831</v>
      </c>
      <c r="B1364" t="s">
        <v>2826</v>
      </c>
      <c r="C1364" s="2">
        <v>2023</v>
      </c>
      <c r="D1364" s="10">
        <v>8</v>
      </c>
      <c r="E1364" s="10">
        <v>8</v>
      </c>
      <c r="F1364" t="s">
        <v>2832</v>
      </c>
      <c r="G1364">
        <v>157</v>
      </c>
      <c r="H1364" t="s">
        <v>69</v>
      </c>
      <c r="I1364" t="s">
        <v>150</v>
      </c>
      <c r="J1364" s="10" t="str">
        <f>VLOOKUP(I1364,Categories!A:B,2,FALSE)</f>
        <v xml:space="preserve">Food &amp; Coff</v>
      </c>
      <c r="K1364" t="s">
        <v>123</v>
      </c>
      <c r="L1364" s="10" t="str">
        <f>VLOOKUP(K1364,Accounts!A:B,2,FALSE)</f>
        <v>KBank</v>
      </c>
      <c r="M1364" t="s">
        <v>124</v>
      </c>
      <c r="N1364" s="10"/>
      <c r="O1364" t="s">
        <v>125</v>
      </c>
      <c r="Q1364" t="s">
        <v>126</v>
      </c>
      <c r="R1364" t="s">
        <v>124</v>
      </c>
      <c r="S1364" t="b">
        <v>0</v>
      </c>
      <c r="T1364" t="s">
        <v>124</v>
      </c>
    </row>
    <row r="1365">
      <c r="A1365" t="s">
        <v>2833</v>
      </c>
      <c r="B1365" t="s">
        <v>2834</v>
      </c>
      <c r="C1365" s="2">
        <v>2023</v>
      </c>
      <c r="D1365" s="10">
        <v>8</v>
      </c>
      <c r="E1365" s="10">
        <v>7</v>
      </c>
      <c r="F1365" t="s">
        <v>2835</v>
      </c>
      <c r="G1365">
        <v>50</v>
      </c>
      <c r="H1365" t="s">
        <v>69</v>
      </c>
      <c r="I1365" t="s">
        <v>150</v>
      </c>
      <c r="J1365" s="10" t="str">
        <f>VLOOKUP(I1365,Categories!A:B,2,FALSE)</f>
        <v xml:space="preserve">Food &amp; Coff</v>
      </c>
      <c r="K1365" t="s">
        <v>123</v>
      </c>
      <c r="L1365" s="10" t="str">
        <f>VLOOKUP(K1365,Accounts!A:B,2,FALSE)</f>
        <v>KBank</v>
      </c>
      <c r="M1365" t="s">
        <v>124</v>
      </c>
      <c r="N1365" s="10"/>
      <c r="O1365" t="s">
        <v>125</v>
      </c>
      <c r="Q1365" t="s">
        <v>126</v>
      </c>
      <c r="R1365" t="s">
        <v>124</v>
      </c>
      <c r="S1365" t="b">
        <v>0</v>
      </c>
      <c r="T1365" t="s">
        <v>124</v>
      </c>
    </row>
    <row r="1366">
      <c r="A1366" t="s">
        <v>2836</v>
      </c>
      <c r="B1366" t="s">
        <v>2834</v>
      </c>
      <c r="C1366" s="2">
        <v>2023</v>
      </c>
      <c r="D1366" s="10">
        <v>8</v>
      </c>
      <c r="E1366" s="10">
        <v>7</v>
      </c>
      <c r="F1366" t="s">
        <v>1862</v>
      </c>
      <c r="G1366">
        <v>56</v>
      </c>
      <c r="H1366" t="s">
        <v>69</v>
      </c>
      <c r="I1366" t="s">
        <v>150</v>
      </c>
      <c r="J1366" s="10" t="str">
        <f>VLOOKUP(I1366,Categories!A:B,2,FALSE)</f>
        <v xml:space="preserve">Food &amp; Coff</v>
      </c>
      <c r="K1366" t="s">
        <v>123</v>
      </c>
      <c r="L1366" s="10" t="str">
        <f>VLOOKUP(K1366,Accounts!A:B,2,FALSE)</f>
        <v>KBank</v>
      </c>
      <c r="M1366" t="s">
        <v>124</v>
      </c>
      <c r="N1366" s="10"/>
      <c r="O1366" t="s">
        <v>125</v>
      </c>
      <c r="Q1366" t="s">
        <v>126</v>
      </c>
      <c r="R1366" t="s">
        <v>124</v>
      </c>
      <c r="S1366" t="b">
        <v>0</v>
      </c>
      <c r="T1366" t="s">
        <v>124</v>
      </c>
    </row>
    <row r="1367">
      <c r="A1367" t="s">
        <v>2837</v>
      </c>
      <c r="B1367" t="s">
        <v>2838</v>
      </c>
      <c r="C1367" s="2">
        <v>2023</v>
      </c>
      <c r="D1367" s="10">
        <v>8</v>
      </c>
      <c r="E1367" s="10">
        <v>6</v>
      </c>
      <c r="F1367" t="s">
        <v>1856</v>
      </c>
      <c r="G1367">
        <v>25</v>
      </c>
      <c r="H1367" t="s">
        <v>69</v>
      </c>
      <c r="I1367" t="s">
        <v>150</v>
      </c>
      <c r="J1367" s="10" t="str">
        <f>VLOOKUP(I1367,Categories!A:B,2,FALSE)</f>
        <v xml:space="preserve">Food &amp; Coff</v>
      </c>
      <c r="K1367" t="s">
        <v>123</v>
      </c>
      <c r="L1367" s="10" t="str">
        <f>VLOOKUP(K1367,Accounts!A:B,2,FALSE)</f>
        <v>KBank</v>
      </c>
      <c r="M1367" t="s">
        <v>124</v>
      </c>
      <c r="N1367" s="10"/>
      <c r="O1367" t="s">
        <v>125</v>
      </c>
      <c r="Q1367" t="s">
        <v>126</v>
      </c>
      <c r="R1367" t="s">
        <v>124</v>
      </c>
      <c r="S1367" t="b">
        <v>0</v>
      </c>
      <c r="T1367" t="s">
        <v>124</v>
      </c>
    </row>
    <row r="1368">
      <c r="A1368" t="s">
        <v>2839</v>
      </c>
      <c r="B1368" t="s">
        <v>2838</v>
      </c>
      <c r="C1368" s="2">
        <v>2023</v>
      </c>
      <c r="D1368" s="10">
        <v>8</v>
      </c>
      <c r="E1368" s="10">
        <v>6</v>
      </c>
      <c r="F1368" t="s">
        <v>2040</v>
      </c>
      <c r="G1368">
        <v>5000</v>
      </c>
      <c r="H1368" t="s">
        <v>69</v>
      </c>
      <c r="I1368" t="s">
        <v>144</v>
      </c>
      <c r="J1368" s="10" t="str">
        <f>VLOOKUP(I1368,Categories!A:B,2,FALSE)</f>
        <v xml:space="preserve">Family paid</v>
      </c>
      <c r="K1368" t="s">
        <v>178</v>
      </c>
      <c r="L1368" s="10" t="str">
        <f>VLOOKUP(K1368,Accounts!A:B,2,FALSE)</f>
        <v>SCB</v>
      </c>
      <c r="M1368" t="s">
        <v>124</v>
      </c>
      <c r="N1368" s="10"/>
      <c r="O1368" t="s">
        <v>125</v>
      </c>
      <c r="Q1368" t="s">
        <v>126</v>
      </c>
      <c r="R1368" t="s">
        <v>124</v>
      </c>
      <c r="S1368" t="b">
        <v>0</v>
      </c>
      <c r="T1368" t="s">
        <v>124</v>
      </c>
    </row>
    <row r="1369">
      <c r="A1369" t="s">
        <v>2840</v>
      </c>
      <c r="B1369" t="s">
        <v>2841</v>
      </c>
      <c r="C1369" s="2">
        <v>2023</v>
      </c>
      <c r="D1369" s="10">
        <v>8</v>
      </c>
      <c r="E1369" s="10">
        <v>4</v>
      </c>
      <c r="F1369" t="s">
        <v>2842</v>
      </c>
      <c r="G1369">
        <v>157</v>
      </c>
      <c r="H1369" t="s">
        <v>69</v>
      </c>
      <c r="I1369" t="s">
        <v>150</v>
      </c>
      <c r="J1369" s="10" t="str">
        <f>VLOOKUP(I1369,Categories!A:B,2,FALSE)</f>
        <v xml:space="preserve">Food &amp; Coff</v>
      </c>
      <c r="K1369" t="s">
        <v>123</v>
      </c>
      <c r="L1369" s="10" t="str">
        <f>VLOOKUP(K1369,Accounts!A:B,2,FALSE)</f>
        <v>KBank</v>
      </c>
      <c r="M1369" t="s">
        <v>124</v>
      </c>
      <c r="N1369" s="10"/>
      <c r="O1369" t="s">
        <v>125</v>
      </c>
      <c r="Q1369" t="s">
        <v>126</v>
      </c>
      <c r="R1369" t="s">
        <v>124</v>
      </c>
      <c r="S1369" t="b">
        <v>0</v>
      </c>
      <c r="T1369" t="s">
        <v>124</v>
      </c>
    </row>
    <row r="1370">
      <c r="A1370" t="s">
        <v>2843</v>
      </c>
      <c r="B1370" t="s">
        <v>2841</v>
      </c>
      <c r="C1370" s="2">
        <v>2023</v>
      </c>
      <c r="D1370" s="10">
        <v>8</v>
      </c>
      <c r="E1370" s="10">
        <v>4</v>
      </c>
      <c r="F1370" t="s">
        <v>2752</v>
      </c>
      <c r="G1370">
        <v>205</v>
      </c>
      <c r="H1370" t="s">
        <v>69</v>
      </c>
      <c r="I1370" t="s">
        <v>259</v>
      </c>
      <c r="J1370" s="10" t="str">
        <f>VLOOKUP(I1370,Categories!A:B,2,FALSE)</f>
        <v xml:space="preserve">Team BOT</v>
      </c>
      <c r="K1370" t="s">
        <v>123</v>
      </c>
      <c r="L1370" s="10" t="str">
        <f>VLOOKUP(K1370,Accounts!A:B,2,FALSE)</f>
        <v>KBank</v>
      </c>
      <c r="M1370" t="s">
        <v>124</v>
      </c>
      <c r="N1370" s="10"/>
      <c r="O1370" t="s">
        <v>125</v>
      </c>
      <c r="Q1370" t="s">
        <v>126</v>
      </c>
      <c r="R1370" t="s">
        <v>124</v>
      </c>
      <c r="S1370" t="b">
        <v>0</v>
      </c>
      <c r="T1370" t="s">
        <v>124</v>
      </c>
    </row>
    <row r="1371">
      <c r="A1371" t="s">
        <v>2844</v>
      </c>
      <c r="B1371" t="s">
        <v>2841</v>
      </c>
      <c r="C1371" s="2">
        <v>2023</v>
      </c>
      <c r="D1371" s="10">
        <v>8</v>
      </c>
      <c r="E1371" s="10">
        <v>4</v>
      </c>
      <c r="F1371" t="s">
        <v>992</v>
      </c>
      <c r="G1371">
        <v>70</v>
      </c>
      <c r="H1371" t="s">
        <v>69</v>
      </c>
      <c r="I1371" t="s">
        <v>150</v>
      </c>
      <c r="J1371" s="10" t="str">
        <f>VLOOKUP(I1371,Categories!A:B,2,FALSE)</f>
        <v xml:space="preserve">Food &amp; Coff</v>
      </c>
      <c r="K1371" t="s">
        <v>123</v>
      </c>
      <c r="L1371" s="10" t="str">
        <f>VLOOKUP(K1371,Accounts!A:B,2,FALSE)</f>
        <v>KBank</v>
      </c>
      <c r="M1371" t="s">
        <v>124</v>
      </c>
      <c r="N1371" s="10"/>
      <c r="O1371" t="s">
        <v>125</v>
      </c>
      <c r="Q1371" t="s">
        <v>126</v>
      </c>
      <c r="R1371" t="s">
        <v>124</v>
      </c>
      <c r="S1371" t="b">
        <v>0</v>
      </c>
      <c r="T1371" t="s">
        <v>124</v>
      </c>
    </row>
    <row r="1372">
      <c r="A1372" t="s">
        <v>2845</v>
      </c>
      <c r="B1372" t="s">
        <v>2841</v>
      </c>
      <c r="C1372" s="2">
        <v>2023</v>
      </c>
      <c r="D1372" s="10">
        <v>8</v>
      </c>
      <c r="E1372" s="10">
        <v>4</v>
      </c>
      <c r="F1372" t="s">
        <v>1797</v>
      </c>
      <c r="G1372">
        <v>50</v>
      </c>
      <c r="H1372" t="s">
        <v>69</v>
      </c>
      <c r="I1372" t="s">
        <v>150</v>
      </c>
      <c r="J1372" s="10" t="str">
        <f>VLOOKUP(I1372,Categories!A:B,2,FALSE)</f>
        <v xml:space="preserve">Food &amp; Coff</v>
      </c>
      <c r="K1372" t="s">
        <v>123</v>
      </c>
      <c r="L1372" s="10" t="str">
        <f>VLOOKUP(K1372,Accounts!A:B,2,FALSE)</f>
        <v>KBank</v>
      </c>
      <c r="M1372" t="s">
        <v>124</v>
      </c>
      <c r="N1372" s="10"/>
      <c r="O1372" t="s">
        <v>125</v>
      </c>
      <c r="Q1372" t="s">
        <v>126</v>
      </c>
      <c r="R1372" t="s">
        <v>124</v>
      </c>
      <c r="S1372" t="b">
        <v>0</v>
      </c>
      <c r="T1372" t="s">
        <v>124</v>
      </c>
    </row>
    <row r="1373">
      <c r="A1373" t="s">
        <v>2846</v>
      </c>
      <c r="B1373" t="s">
        <v>2841</v>
      </c>
      <c r="C1373" s="2">
        <v>2023</v>
      </c>
      <c r="D1373" s="10">
        <v>8</v>
      </c>
      <c r="E1373" s="10">
        <v>4</v>
      </c>
      <c r="F1373" t="s">
        <v>2150</v>
      </c>
      <c r="G1373">
        <v>15</v>
      </c>
      <c r="H1373" t="s">
        <v>69</v>
      </c>
      <c r="I1373" t="s">
        <v>150</v>
      </c>
      <c r="J1373" s="10" t="str">
        <f>VLOOKUP(I1373,Categories!A:B,2,FALSE)</f>
        <v xml:space="preserve">Food &amp; Coff</v>
      </c>
      <c r="K1373" t="s">
        <v>123</v>
      </c>
      <c r="L1373" s="10" t="str">
        <f>VLOOKUP(K1373,Accounts!A:B,2,FALSE)</f>
        <v>KBank</v>
      </c>
      <c r="M1373" t="s">
        <v>124</v>
      </c>
      <c r="N1373" s="10"/>
      <c r="O1373" t="s">
        <v>125</v>
      </c>
      <c r="Q1373" t="s">
        <v>126</v>
      </c>
      <c r="R1373" t="s">
        <v>124</v>
      </c>
      <c r="S1373" t="b">
        <v>0</v>
      </c>
      <c r="T1373" t="s">
        <v>124</v>
      </c>
    </row>
    <row r="1374">
      <c r="A1374" t="s">
        <v>2847</v>
      </c>
      <c r="B1374" t="s">
        <v>2848</v>
      </c>
      <c r="C1374" s="2">
        <v>2023</v>
      </c>
      <c r="D1374" s="10">
        <v>8</v>
      </c>
      <c r="E1374" s="10">
        <v>3</v>
      </c>
      <c r="F1374" t="s">
        <v>1947</v>
      </c>
      <c r="G1374">
        <v>103</v>
      </c>
      <c r="H1374" t="s">
        <v>69</v>
      </c>
      <c r="I1374" t="s">
        <v>150</v>
      </c>
      <c r="J1374" s="10" t="str">
        <f>VLOOKUP(I1374,Categories!A:B,2,FALSE)</f>
        <v xml:space="preserve">Food &amp; Coff</v>
      </c>
      <c r="K1374" t="s">
        <v>747</v>
      </c>
      <c r="L1374" s="10" t="str">
        <f>VLOOKUP(K1374,Accounts!A:B,2,FALSE)</f>
        <v xml:space="preserve">UOB world</v>
      </c>
      <c r="M1374" t="s">
        <v>124</v>
      </c>
      <c r="N1374" s="10"/>
      <c r="O1374" t="s">
        <v>125</v>
      </c>
      <c r="Q1374" t="s">
        <v>126</v>
      </c>
      <c r="R1374" t="s">
        <v>124</v>
      </c>
      <c r="S1374" t="b">
        <v>0</v>
      </c>
      <c r="T1374" t="s">
        <v>124</v>
      </c>
    </row>
    <row r="1375">
      <c r="A1375" t="s">
        <v>2849</v>
      </c>
      <c r="B1375" t="s">
        <v>2848</v>
      </c>
      <c r="C1375" s="2">
        <v>2023</v>
      </c>
      <c r="D1375" s="10">
        <v>8</v>
      </c>
      <c r="E1375" s="10">
        <v>3</v>
      </c>
      <c r="F1375" t="s">
        <v>2850</v>
      </c>
      <c r="G1375">
        <v>85177.5</v>
      </c>
      <c r="H1375" t="s">
        <v>69</v>
      </c>
      <c r="I1375" t="s">
        <v>144</v>
      </c>
      <c r="J1375" s="10" t="str">
        <f>VLOOKUP(I1375,Categories!A:B,2,FALSE)</f>
        <v xml:space="preserve">Family paid</v>
      </c>
      <c r="K1375" t="s">
        <v>178</v>
      </c>
      <c r="L1375" s="10" t="str">
        <f>VLOOKUP(K1375,Accounts!A:B,2,FALSE)</f>
        <v>SCB</v>
      </c>
      <c r="M1375" t="s">
        <v>124</v>
      </c>
      <c r="N1375" s="10"/>
      <c r="O1375" t="s">
        <v>2710</v>
      </c>
      <c r="Q1375" t="s">
        <v>126</v>
      </c>
      <c r="R1375" t="s">
        <v>124</v>
      </c>
      <c r="S1375" t="b">
        <v>0</v>
      </c>
      <c r="T1375" t="s">
        <v>124</v>
      </c>
    </row>
    <row r="1376">
      <c r="A1376" t="s">
        <v>2851</v>
      </c>
      <c r="B1376" t="s">
        <v>2852</v>
      </c>
      <c r="C1376" s="2">
        <v>2023</v>
      </c>
      <c r="D1376" s="10">
        <v>8</v>
      </c>
      <c r="E1376" s="10">
        <v>2</v>
      </c>
      <c r="F1376" t="s">
        <v>2181</v>
      </c>
      <c r="G1376">
        <v>120</v>
      </c>
      <c r="H1376" t="s">
        <v>69</v>
      </c>
      <c r="I1376" t="s">
        <v>150</v>
      </c>
      <c r="J1376" s="10" t="str">
        <f>VLOOKUP(I1376,Categories!A:B,2,FALSE)</f>
        <v xml:space="preserve">Food &amp; Coff</v>
      </c>
      <c r="K1376" t="s">
        <v>123</v>
      </c>
      <c r="L1376" s="10" t="str">
        <f>VLOOKUP(K1376,Accounts!A:B,2,FALSE)</f>
        <v>KBank</v>
      </c>
      <c r="M1376" t="s">
        <v>124</v>
      </c>
      <c r="N1376" s="10"/>
      <c r="O1376" t="s">
        <v>125</v>
      </c>
      <c r="Q1376" t="s">
        <v>126</v>
      </c>
      <c r="R1376" t="s">
        <v>124</v>
      </c>
      <c r="S1376" t="b">
        <v>0</v>
      </c>
      <c r="T1376" t="s">
        <v>124</v>
      </c>
    </row>
    <row r="1377">
      <c r="A1377" t="s">
        <v>2853</v>
      </c>
      <c r="B1377" t="s">
        <v>2852</v>
      </c>
      <c r="C1377" s="2">
        <v>2023</v>
      </c>
      <c r="D1377" s="10">
        <v>8</v>
      </c>
      <c r="E1377" s="10">
        <v>2</v>
      </c>
      <c r="F1377" t="s">
        <v>2181</v>
      </c>
      <c r="G1377">
        <v>100</v>
      </c>
      <c r="H1377" t="s">
        <v>69</v>
      </c>
      <c r="I1377" t="s">
        <v>150</v>
      </c>
      <c r="J1377" s="10" t="str">
        <f>VLOOKUP(I1377,Categories!A:B,2,FALSE)</f>
        <v xml:space="preserve">Food &amp; Coff</v>
      </c>
      <c r="K1377" t="s">
        <v>123</v>
      </c>
      <c r="L1377" s="10" t="str">
        <f>VLOOKUP(K1377,Accounts!A:B,2,FALSE)</f>
        <v>KBank</v>
      </c>
      <c r="M1377" t="s">
        <v>124</v>
      </c>
      <c r="N1377" s="10"/>
      <c r="O1377" t="s">
        <v>125</v>
      </c>
      <c r="Q1377" t="s">
        <v>126</v>
      </c>
      <c r="R1377" t="s">
        <v>124</v>
      </c>
      <c r="S1377" t="b">
        <v>0</v>
      </c>
      <c r="T1377" t="s">
        <v>124</v>
      </c>
    </row>
    <row r="1378">
      <c r="A1378" t="s">
        <v>2854</v>
      </c>
      <c r="B1378" t="s">
        <v>2855</v>
      </c>
      <c r="C1378" s="2">
        <v>2023</v>
      </c>
      <c r="D1378" s="10">
        <v>7</v>
      </c>
      <c r="E1378" s="10">
        <v>31</v>
      </c>
      <c r="F1378" t="s">
        <v>163</v>
      </c>
      <c r="G1378">
        <v>2000</v>
      </c>
      <c r="H1378" t="s">
        <v>128</v>
      </c>
      <c r="I1378" t="s">
        <v>136</v>
      </c>
      <c r="J1378" s="10" t="str">
        <f>VLOOKUP(I1378,Categories!A:B,2,FALSE)</f>
        <v>อื่นๆ</v>
      </c>
      <c r="K1378" t="s">
        <v>123</v>
      </c>
      <c r="L1378" s="10" t="str">
        <f>VLOOKUP(K1378,Accounts!A:B,2,FALSE)</f>
        <v>KBank</v>
      </c>
      <c r="M1378" t="s">
        <v>131</v>
      </c>
      <c r="N1378" s="10" t="str">
        <f>VLOOKUP(M1378,Accounts!A:B,2,FALSE)</f>
        <v xml:space="preserve">Advance Paid</v>
      </c>
      <c r="O1378" t="s">
        <v>2856</v>
      </c>
      <c r="Q1378" t="s">
        <v>126</v>
      </c>
      <c r="R1378" t="s">
        <v>124</v>
      </c>
      <c r="S1378" t="b">
        <v>0</v>
      </c>
      <c r="T1378" t="s">
        <v>124</v>
      </c>
    </row>
    <row r="1379">
      <c r="A1379" t="s">
        <v>2857</v>
      </c>
      <c r="B1379" t="s">
        <v>2858</v>
      </c>
      <c r="C1379" s="2">
        <v>2023</v>
      </c>
      <c r="D1379" s="10">
        <v>7</v>
      </c>
      <c r="E1379" s="10">
        <v>30</v>
      </c>
      <c r="F1379" t="s">
        <v>1718</v>
      </c>
      <c r="G1379">
        <v>2175</v>
      </c>
      <c r="H1379" t="s">
        <v>69</v>
      </c>
      <c r="I1379" t="s">
        <v>157</v>
      </c>
      <c r="J1379" s="10" t="str">
        <f>VLOOKUP(I1379,Categories!A:B,2,FALSE)</f>
        <v>Boardgame</v>
      </c>
      <c r="K1379" t="s">
        <v>130</v>
      </c>
      <c r="L1379" s="10" t="str">
        <f>VLOOKUP(K1379,Accounts!A:B,2,FALSE)</f>
        <v xml:space="preserve">KTC JCB</v>
      </c>
      <c r="M1379" t="s">
        <v>124</v>
      </c>
      <c r="N1379" s="10"/>
      <c r="O1379" t="s">
        <v>125</v>
      </c>
      <c r="Q1379" t="s">
        <v>126</v>
      </c>
      <c r="R1379" t="s">
        <v>124</v>
      </c>
      <c r="S1379" t="b">
        <v>0</v>
      </c>
      <c r="T1379" t="s">
        <v>124</v>
      </c>
    </row>
    <row r="1380">
      <c r="A1380" t="s">
        <v>2859</v>
      </c>
      <c r="B1380" t="s">
        <v>2858</v>
      </c>
      <c r="C1380" s="2">
        <v>2023</v>
      </c>
      <c r="D1380" s="10">
        <v>7</v>
      </c>
      <c r="E1380" s="10">
        <v>30</v>
      </c>
      <c r="F1380" t="s">
        <v>2860</v>
      </c>
      <c r="G1380">
        <v>659</v>
      </c>
      <c r="H1380" t="s">
        <v>128</v>
      </c>
      <c r="I1380" t="s">
        <v>136</v>
      </c>
      <c r="J1380" s="10" t="str">
        <f>VLOOKUP(I1380,Categories!A:B,2,FALSE)</f>
        <v>อื่นๆ</v>
      </c>
      <c r="K1380" t="s">
        <v>130</v>
      </c>
      <c r="L1380" s="10" t="str">
        <f>VLOOKUP(K1380,Accounts!A:B,2,FALSE)</f>
        <v xml:space="preserve">KTC JCB</v>
      </c>
      <c r="M1380" t="s">
        <v>178</v>
      </c>
      <c r="N1380" s="10" t="str">
        <f>VLOOKUP(M1380,Accounts!A:B,2,FALSE)</f>
        <v>SCB</v>
      </c>
      <c r="O1380" t="s">
        <v>125</v>
      </c>
      <c r="Q1380" t="s">
        <v>126</v>
      </c>
      <c r="R1380" t="s">
        <v>124</v>
      </c>
      <c r="S1380" t="b">
        <v>0</v>
      </c>
      <c r="T1380" t="s">
        <v>124</v>
      </c>
    </row>
    <row r="1381">
      <c r="A1381" t="s">
        <v>2861</v>
      </c>
      <c r="B1381" t="s">
        <v>2858</v>
      </c>
      <c r="C1381" s="2">
        <v>2023</v>
      </c>
      <c r="D1381" s="10">
        <v>7</v>
      </c>
      <c r="E1381" s="10">
        <v>30</v>
      </c>
      <c r="F1381" t="s">
        <v>234</v>
      </c>
      <c r="G1381">
        <v>3190</v>
      </c>
      <c r="H1381" t="s">
        <v>69</v>
      </c>
      <c r="I1381" t="s">
        <v>141</v>
      </c>
      <c r="J1381" s="10" t="str">
        <f>VLOOKUP(I1381,Categories!A:B,2,FALSE)</f>
        <v>Other</v>
      </c>
      <c r="K1381" t="s">
        <v>2862</v>
      </c>
      <c r="L1381" s="10" t="str">
        <f>VLOOKUP(K1381,Accounts!A:B,2,FALSE)</f>
        <v xml:space="preserve">Kbank onesiam</v>
      </c>
      <c r="M1381" t="s">
        <v>124</v>
      </c>
      <c r="N1381" s="10"/>
      <c r="O1381" t="s">
        <v>2863</v>
      </c>
      <c r="Q1381" t="s">
        <v>126</v>
      </c>
      <c r="R1381" t="s">
        <v>124</v>
      </c>
      <c r="S1381" t="b">
        <v>0</v>
      </c>
      <c r="T1381" t="s">
        <v>124</v>
      </c>
    </row>
    <row r="1382">
      <c r="A1382" t="s">
        <v>2864</v>
      </c>
      <c r="B1382" t="s">
        <v>2865</v>
      </c>
      <c r="C1382" s="2">
        <v>2023</v>
      </c>
      <c r="D1382" s="10">
        <v>7</v>
      </c>
      <c r="E1382" s="10">
        <v>29</v>
      </c>
      <c r="F1382" t="s">
        <v>1506</v>
      </c>
      <c r="G1382">
        <v>15</v>
      </c>
      <c r="H1382" t="s">
        <v>69</v>
      </c>
      <c r="I1382" t="s">
        <v>150</v>
      </c>
      <c r="J1382" s="10" t="str">
        <f>VLOOKUP(I1382,Categories!A:B,2,FALSE)</f>
        <v xml:space="preserve">Food &amp; Coff</v>
      </c>
      <c r="K1382" t="s">
        <v>123</v>
      </c>
      <c r="L1382" s="10" t="str">
        <f>VLOOKUP(K1382,Accounts!A:B,2,FALSE)</f>
        <v>KBank</v>
      </c>
      <c r="M1382" t="s">
        <v>124</v>
      </c>
      <c r="N1382" s="10"/>
      <c r="O1382" t="s">
        <v>125</v>
      </c>
      <c r="Q1382" t="s">
        <v>126</v>
      </c>
      <c r="R1382" t="s">
        <v>124</v>
      </c>
      <c r="S1382" t="b">
        <v>0</v>
      </c>
      <c r="T1382" t="s">
        <v>124</v>
      </c>
    </row>
    <row r="1383">
      <c r="A1383" t="s">
        <v>2866</v>
      </c>
      <c r="B1383" t="s">
        <v>2865</v>
      </c>
      <c r="C1383" s="2">
        <v>2023</v>
      </c>
      <c r="D1383" s="10">
        <v>7</v>
      </c>
      <c r="E1383" s="10">
        <v>29</v>
      </c>
      <c r="F1383" t="s">
        <v>2867</v>
      </c>
      <c r="G1383">
        <v>2175</v>
      </c>
      <c r="H1383" t="s">
        <v>128</v>
      </c>
      <c r="I1383" t="s">
        <v>136</v>
      </c>
      <c r="J1383" s="10" t="str">
        <f>VLOOKUP(I1383,Categories!A:B,2,FALSE)</f>
        <v>อื่นๆ</v>
      </c>
      <c r="K1383" t="s">
        <v>123</v>
      </c>
      <c r="L1383" s="10" t="str">
        <f>VLOOKUP(K1383,Accounts!A:B,2,FALSE)</f>
        <v>KBank</v>
      </c>
      <c r="M1383" t="s">
        <v>130</v>
      </c>
      <c r="N1383" s="10" t="str">
        <f>VLOOKUP(M1383,Accounts!A:B,2,FALSE)</f>
        <v xml:space="preserve">KTC JCB</v>
      </c>
      <c r="O1383" t="s">
        <v>125</v>
      </c>
      <c r="Q1383" t="s">
        <v>126</v>
      </c>
      <c r="R1383" t="s">
        <v>124</v>
      </c>
      <c r="S1383" t="b">
        <v>0</v>
      </c>
      <c r="T1383" t="s">
        <v>124</v>
      </c>
    </row>
    <row r="1384">
      <c r="A1384" t="s">
        <v>2868</v>
      </c>
      <c r="B1384" t="s">
        <v>2869</v>
      </c>
      <c r="C1384" s="2">
        <v>2023</v>
      </c>
      <c r="D1384" s="10">
        <v>7</v>
      </c>
      <c r="E1384" s="10">
        <v>27</v>
      </c>
      <c r="F1384" t="s">
        <v>1506</v>
      </c>
      <c r="G1384">
        <v>50</v>
      </c>
      <c r="H1384" t="s">
        <v>69</v>
      </c>
      <c r="I1384" t="s">
        <v>150</v>
      </c>
      <c r="J1384" s="10" t="str">
        <f>VLOOKUP(I1384,Categories!A:B,2,FALSE)</f>
        <v xml:space="preserve">Food &amp; Coff</v>
      </c>
      <c r="K1384" t="s">
        <v>123</v>
      </c>
      <c r="L1384" s="10" t="str">
        <f>VLOOKUP(K1384,Accounts!A:B,2,FALSE)</f>
        <v>KBank</v>
      </c>
      <c r="M1384" t="s">
        <v>124</v>
      </c>
      <c r="N1384" s="10"/>
      <c r="O1384" t="s">
        <v>125</v>
      </c>
      <c r="Q1384" t="s">
        <v>126</v>
      </c>
      <c r="R1384" t="s">
        <v>124</v>
      </c>
      <c r="S1384" t="b">
        <v>0</v>
      </c>
      <c r="T1384" t="s">
        <v>124</v>
      </c>
    </row>
    <row r="1385">
      <c r="A1385" t="s">
        <v>2870</v>
      </c>
      <c r="B1385" t="s">
        <v>2869</v>
      </c>
      <c r="C1385" s="2">
        <v>2023</v>
      </c>
      <c r="D1385" s="10">
        <v>7</v>
      </c>
      <c r="E1385" s="10">
        <v>27</v>
      </c>
      <c r="F1385" t="s">
        <v>1985</v>
      </c>
      <c r="G1385">
        <v>275</v>
      </c>
      <c r="H1385" t="s">
        <v>69</v>
      </c>
      <c r="I1385" t="s">
        <v>150</v>
      </c>
      <c r="J1385" s="10" t="str">
        <f>VLOOKUP(I1385,Categories!A:B,2,FALSE)</f>
        <v xml:space="preserve">Food &amp; Coff</v>
      </c>
      <c r="K1385" t="s">
        <v>178</v>
      </c>
      <c r="L1385" s="10" t="str">
        <f>VLOOKUP(K1385,Accounts!A:B,2,FALSE)</f>
        <v>SCB</v>
      </c>
      <c r="M1385" t="s">
        <v>124</v>
      </c>
      <c r="N1385" s="10"/>
      <c r="O1385" t="s">
        <v>125</v>
      </c>
      <c r="Q1385" t="s">
        <v>126</v>
      </c>
      <c r="R1385" t="s">
        <v>124</v>
      </c>
      <c r="S1385" t="b">
        <v>0</v>
      </c>
      <c r="T1385" t="s">
        <v>124</v>
      </c>
    </row>
    <row r="1386">
      <c r="A1386" t="s">
        <v>2871</v>
      </c>
      <c r="B1386" t="s">
        <v>2869</v>
      </c>
      <c r="C1386" s="2">
        <v>2023</v>
      </c>
      <c r="D1386" s="10">
        <v>7</v>
      </c>
      <c r="E1386" s="10">
        <v>27</v>
      </c>
      <c r="F1386" t="s">
        <v>1985</v>
      </c>
      <c r="G1386">
        <v>55</v>
      </c>
      <c r="H1386" t="s">
        <v>69</v>
      </c>
      <c r="I1386" t="s">
        <v>150</v>
      </c>
      <c r="J1386" s="10" t="str">
        <f>VLOOKUP(I1386,Categories!A:B,2,FALSE)</f>
        <v xml:space="preserve">Food &amp; Coff</v>
      </c>
      <c r="K1386" t="s">
        <v>178</v>
      </c>
      <c r="L1386" s="10" t="str">
        <f>VLOOKUP(K1386,Accounts!A:B,2,FALSE)</f>
        <v>SCB</v>
      </c>
      <c r="M1386" t="s">
        <v>124</v>
      </c>
      <c r="N1386" s="10"/>
      <c r="O1386" t="s">
        <v>125</v>
      </c>
      <c r="Q1386" t="s">
        <v>126</v>
      </c>
      <c r="R1386" t="s">
        <v>124</v>
      </c>
      <c r="S1386" t="b">
        <v>0</v>
      </c>
      <c r="T1386" t="s">
        <v>124</v>
      </c>
    </row>
    <row r="1387">
      <c r="A1387" t="s">
        <v>2872</v>
      </c>
      <c r="B1387" t="s">
        <v>2873</v>
      </c>
      <c r="C1387" s="2">
        <v>2023</v>
      </c>
      <c r="D1387" s="10">
        <v>7</v>
      </c>
      <c r="E1387" s="10">
        <v>25</v>
      </c>
      <c r="F1387" t="s">
        <v>121</v>
      </c>
      <c r="G1387">
        <v>9240</v>
      </c>
      <c r="H1387" t="s">
        <v>128</v>
      </c>
      <c r="I1387" t="s">
        <v>136</v>
      </c>
      <c r="J1387" s="10" t="str">
        <f>VLOOKUP(I1387,Categories!A:B,2,FALSE)</f>
        <v>อื่นๆ</v>
      </c>
      <c r="K1387" t="s">
        <v>178</v>
      </c>
      <c r="L1387" s="10" t="str">
        <f>VLOOKUP(K1387,Accounts!A:B,2,FALSE)</f>
        <v>SCB</v>
      </c>
      <c r="M1387" t="s">
        <v>1246</v>
      </c>
      <c r="N1387" s="10" t="str">
        <f>VLOOKUP(M1387,Accounts!A:B,2,FALSE)</f>
        <v xml:space="preserve">Car Loan</v>
      </c>
      <c r="O1387" t="s">
        <v>125</v>
      </c>
      <c r="Q1387" t="s">
        <v>126</v>
      </c>
      <c r="R1387" t="s">
        <v>124</v>
      </c>
      <c r="S1387" t="b">
        <v>0</v>
      </c>
      <c r="T1387" t="s">
        <v>124</v>
      </c>
    </row>
    <row r="1388">
      <c r="A1388" t="s">
        <v>2874</v>
      </c>
      <c r="B1388" t="s">
        <v>2873</v>
      </c>
      <c r="C1388" s="2">
        <v>2023</v>
      </c>
      <c r="D1388" s="10">
        <v>7</v>
      </c>
      <c r="E1388" s="10">
        <v>25</v>
      </c>
      <c r="F1388" t="s">
        <v>121</v>
      </c>
      <c r="G1388">
        <v>500</v>
      </c>
      <c r="H1388" t="s">
        <v>128</v>
      </c>
      <c r="I1388" t="s">
        <v>136</v>
      </c>
      <c r="J1388" s="10" t="str">
        <f>VLOOKUP(I1388,Categories!A:B,2,FALSE)</f>
        <v>อื่นๆ</v>
      </c>
      <c r="K1388" t="s">
        <v>178</v>
      </c>
      <c r="L1388" s="10" t="str">
        <f>VLOOKUP(K1388,Accounts!A:B,2,FALSE)</f>
        <v>SCB</v>
      </c>
      <c r="M1388" t="s">
        <v>201</v>
      </c>
      <c r="N1388" s="10" t="str">
        <f>VLOOKUP(M1388,Accounts!A:B,2,FALSE)</f>
        <v>Coop</v>
      </c>
      <c r="O1388" t="s">
        <v>125</v>
      </c>
      <c r="Q1388" t="s">
        <v>126</v>
      </c>
      <c r="R1388" t="s">
        <v>124</v>
      </c>
      <c r="S1388" t="b">
        <v>0</v>
      </c>
      <c r="T1388" t="s">
        <v>124</v>
      </c>
    </row>
    <row r="1389">
      <c r="A1389" t="s">
        <v>2875</v>
      </c>
      <c r="B1389" t="s">
        <v>2873</v>
      </c>
      <c r="C1389" s="2">
        <v>2023</v>
      </c>
      <c r="D1389" s="10">
        <v>7</v>
      </c>
      <c r="E1389" s="10">
        <v>25</v>
      </c>
      <c r="F1389" t="s">
        <v>121</v>
      </c>
      <c r="G1389">
        <v>7915</v>
      </c>
      <c r="H1389" t="s">
        <v>128</v>
      </c>
      <c r="I1389" t="s">
        <v>136</v>
      </c>
      <c r="J1389" s="10" t="str">
        <f>VLOOKUP(I1389,Categories!A:B,2,FALSE)</f>
        <v>อื่นๆ</v>
      </c>
      <c r="K1389" t="s">
        <v>178</v>
      </c>
      <c r="L1389" s="10" t="str">
        <f>VLOOKUP(K1389,Accounts!A:B,2,FALSE)</f>
        <v>SCB</v>
      </c>
      <c r="M1389" t="s">
        <v>1244</v>
      </c>
      <c r="N1389" s="10" t="str">
        <f>VLOOKUP(M1389,Accounts!A:B,2,FALSE)</f>
        <v xml:space="preserve">Home chomthong Loan</v>
      </c>
      <c r="O1389" t="s">
        <v>125</v>
      </c>
      <c r="Q1389" t="s">
        <v>126</v>
      </c>
      <c r="R1389" t="s">
        <v>124</v>
      </c>
      <c r="S1389" t="b">
        <v>0</v>
      </c>
      <c r="T1389" t="s">
        <v>124</v>
      </c>
    </row>
    <row r="1390">
      <c r="A1390" t="s">
        <v>2876</v>
      </c>
      <c r="B1390" t="s">
        <v>2873</v>
      </c>
      <c r="C1390" s="2">
        <v>2023</v>
      </c>
      <c r="D1390" s="10">
        <v>7</v>
      </c>
      <c r="E1390" s="10">
        <v>25</v>
      </c>
      <c r="F1390" t="s">
        <v>121</v>
      </c>
      <c r="G1390">
        <v>2242</v>
      </c>
      <c r="H1390" t="s">
        <v>128</v>
      </c>
      <c r="I1390" t="s">
        <v>136</v>
      </c>
      <c r="J1390" s="10" t="str">
        <f>VLOOKUP(I1390,Categories!A:B,2,FALSE)</f>
        <v>อื่นๆ</v>
      </c>
      <c r="K1390" t="s">
        <v>178</v>
      </c>
      <c r="L1390" s="10" t="str">
        <f>VLOOKUP(K1390,Accounts!A:B,2,FALSE)</f>
        <v>SCB</v>
      </c>
      <c r="M1390" t="s">
        <v>203</v>
      </c>
      <c r="N1390" s="10" t="str">
        <f>VLOOKUP(M1390,Accounts!A:B,2,FALSE)</f>
        <v xml:space="preserve">Provident Fund</v>
      </c>
      <c r="O1390" t="s">
        <v>125</v>
      </c>
      <c r="Q1390" t="s">
        <v>126</v>
      </c>
      <c r="R1390" t="s">
        <v>124</v>
      </c>
      <c r="S1390" t="b">
        <v>0</v>
      </c>
      <c r="T1390" t="s">
        <v>124</v>
      </c>
    </row>
    <row r="1391">
      <c r="A1391" t="s">
        <v>2877</v>
      </c>
      <c r="B1391" t="s">
        <v>2873</v>
      </c>
      <c r="C1391" s="2">
        <v>2023</v>
      </c>
      <c r="D1391" s="10">
        <v>7</v>
      </c>
      <c r="E1391" s="10">
        <v>25</v>
      </c>
      <c r="F1391" t="s">
        <v>121</v>
      </c>
      <c r="G1391">
        <v>1027.03</v>
      </c>
      <c r="H1391" t="s">
        <v>69</v>
      </c>
      <c r="I1391" t="s">
        <v>195</v>
      </c>
      <c r="J1391" s="10" t="str">
        <f>VLOOKUP(I1391,Categories!A:B,2,FALSE)</f>
        <v>Tax</v>
      </c>
      <c r="K1391" t="s">
        <v>178</v>
      </c>
      <c r="L1391" s="10" t="str">
        <f>VLOOKUP(K1391,Accounts!A:B,2,FALSE)</f>
        <v>SCB</v>
      </c>
      <c r="M1391" t="s">
        <v>124</v>
      </c>
      <c r="N1391" s="10"/>
      <c r="O1391" t="s">
        <v>125</v>
      </c>
      <c r="Q1391" t="s">
        <v>126</v>
      </c>
      <c r="R1391" t="s">
        <v>124</v>
      </c>
      <c r="S1391" t="b">
        <v>0</v>
      </c>
      <c r="T1391" t="s">
        <v>124</v>
      </c>
    </row>
    <row r="1392">
      <c r="A1392" t="s">
        <v>2878</v>
      </c>
      <c r="B1392" t="s">
        <v>2873</v>
      </c>
      <c r="C1392" s="2">
        <v>2023</v>
      </c>
      <c r="D1392" s="10">
        <v>7</v>
      </c>
      <c r="E1392" s="10">
        <v>25</v>
      </c>
      <c r="F1392" t="s">
        <v>121</v>
      </c>
      <c r="G1392">
        <v>1629.46</v>
      </c>
      <c r="H1392" t="s">
        <v>69</v>
      </c>
      <c r="I1392" t="s">
        <v>199</v>
      </c>
      <c r="J1392" s="10" t="str">
        <f>VLOOKUP(I1392,Categories!A:B,2,FALSE)</f>
        <v xml:space="preserve">Home Chomthong Interest</v>
      </c>
      <c r="K1392" t="s">
        <v>178</v>
      </c>
      <c r="L1392" s="10" t="str">
        <f>VLOOKUP(K1392,Accounts!A:B,2,FALSE)</f>
        <v>SCB</v>
      </c>
      <c r="M1392" t="s">
        <v>124</v>
      </c>
      <c r="N1392" s="10"/>
      <c r="O1392" t="s">
        <v>125</v>
      </c>
      <c r="Q1392" t="s">
        <v>126</v>
      </c>
      <c r="R1392" t="s">
        <v>124</v>
      </c>
      <c r="S1392" t="b">
        <v>0</v>
      </c>
      <c r="T1392" t="s">
        <v>124</v>
      </c>
    </row>
    <row r="1393">
      <c r="A1393" t="s">
        <v>2879</v>
      </c>
      <c r="B1393" t="s">
        <v>2873</v>
      </c>
      <c r="C1393" s="2">
        <v>2023</v>
      </c>
      <c r="D1393" s="10">
        <v>7</v>
      </c>
      <c r="E1393" s="10">
        <v>25</v>
      </c>
      <c r="F1393" t="s">
        <v>121</v>
      </c>
      <c r="G1393">
        <v>257.07999999999998</v>
      </c>
      <c r="H1393" t="s">
        <v>69</v>
      </c>
      <c r="I1393" t="s">
        <v>443</v>
      </c>
      <c r="J1393" s="10" t="str">
        <f>VLOOKUP(I1393,Categories!A:B,2,FALSE)</f>
        <v xml:space="preserve">City SV Interest</v>
      </c>
      <c r="K1393" t="s">
        <v>178</v>
      </c>
      <c r="L1393" s="10" t="str">
        <f>VLOOKUP(K1393,Accounts!A:B,2,FALSE)</f>
        <v>SCB</v>
      </c>
      <c r="M1393" t="s">
        <v>124</v>
      </c>
      <c r="N1393" s="10"/>
      <c r="O1393" t="s">
        <v>125</v>
      </c>
      <c r="Q1393" t="s">
        <v>126</v>
      </c>
      <c r="R1393" t="s">
        <v>124</v>
      </c>
      <c r="S1393" t="b">
        <v>0</v>
      </c>
      <c r="T1393" t="s">
        <v>124</v>
      </c>
    </row>
    <row r="1394">
      <c r="A1394" t="s">
        <v>2880</v>
      </c>
      <c r="B1394" t="s">
        <v>2873</v>
      </c>
      <c r="C1394" s="2">
        <v>2023</v>
      </c>
      <c r="D1394" s="10">
        <v>7</v>
      </c>
      <c r="E1394" s="10">
        <v>25</v>
      </c>
      <c r="F1394" t="s">
        <v>121</v>
      </c>
      <c r="G1394">
        <v>112100</v>
      </c>
      <c r="H1394" t="s">
        <v>206</v>
      </c>
      <c r="I1394" t="s">
        <v>207</v>
      </c>
      <c r="J1394" s="10" t="str">
        <f>VLOOKUP(I1394,Categories!A:B,2,FALSE)</f>
        <v>Salary</v>
      </c>
      <c r="K1394" t="s">
        <v>178</v>
      </c>
      <c r="L1394" s="10" t="str">
        <f>VLOOKUP(K1394,Accounts!A:B,2,FALSE)</f>
        <v>SCB</v>
      </c>
      <c r="M1394" t="s">
        <v>124</v>
      </c>
      <c r="N1394" s="10"/>
      <c r="O1394" t="s">
        <v>125</v>
      </c>
      <c r="Q1394" t="s">
        <v>126</v>
      </c>
      <c r="R1394" t="s">
        <v>124</v>
      </c>
      <c r="S1394" t="b">
        <v>0</v>
      </c>
      <c r="T1394" t="s">
        <v>124</v>
      </c>
    </row>
    <row r="1395">
      <c r="A1395" t="s">
        <v>2881</v>
      </c>
      <c r="B1395" t="s">
        <v>2873</v>
      </c>
      <c r="C1395" s="2">
        <v>2023</v>
      </c>
      <c r="D1395" s="10">
        <v>7</v>
      </c>
      <c r="E1395" s="10">
        <v>25</v>
      </c>
      <c r="F1395" t="s">
        <v>2882</v>
      </c>
      <c r="G1395">
        <v>2593.29</v>
      </c>
      <c r="H1395" t="s">
        <v>69</v>
      </c>
      <c r="I1395" t="s">
        <v>254</v>
      </c>
      <c r="J1395" s="10" t="str">
        <f>VLOOKUP(I1395,Categories!A:B,2,FALSE)</f>
        <v xml:space="preserve">Modified Bal.</v>
      </c>
      <c r="K1395" t="s">
        <v>178</v>
      </c>
      <c r="L1395" s="10" t="str">
        <f>VLOOKUP(K1395,Accounts!A:B,2,FALSE)</f>
        <v>SCB</v>
      </c>
      <c r="M1395" t="s">
        <v>124</v>
      </c>
      <c r="N1395" s="10"/>
      <c r="O1395" t="s">
        <v>255</v>
      </c>
      <c r="Q1395" t="s">
        <v>126</v>
      </c>
      <c r="R1395" t="s">
        <v>124</v>
      </c>
      <c r="S1395" t="b">
        <v>0</v>
      </c>
      <c r="T1395" t="s">
        <v>124</v>
      </c>
    </row>
    <row r="1396">
      <c r="A1396" t="s">
        <v>2883</v>
      </c>
      <c r="B1396" t="s">
        <v>2873</v>
      </c>
      <c r="C1396" s="2">
        <v>2023</v>
      </c>
      <c r="D1396" s="10">
        <v>7</v>
      </c>
      <c r="E1396" s="10">
        <v>25</v>
      </c>
      <c r="F1396" t="s">
        <v>2884</v>
      </c>
      <c r="G1396">
        <v>320</v>
      </c>
      <c r="H1396" t="s">
        <v>69</v>
      </c>
      <c r="I1396" t="s">
        <v>150</v>
      </c>
      <c r="J1396" s="10" t="str">
        <f>VLOOKUP(I1396,Categories!A:B,2,FALSE)</f>
        <v xml:space="preserve">Food &amp; Coff</v>
      </c>
      <c r="K1396" t="s">
        <v>178</v>
      </c>
      <c r="L1396" s="10" t="str">
        <f>VLOOKUP(K1396,Accounts!A:B,2,FALSE)</f>
        <v>SCB</v>
      </c>
      <c r="M1396" t="s">
        <v>124</v>
      </c>
      <c r="N1396" s="10"/>
      <c r="O1396" t="s">
        <v>2885</v>
      </c>
      <c r="Q1396" t="s">
        <v>126</v>
      </c>
      <c r="R1396" t="s">
        <v>124</v>
      </c>
      <c r="S1396" t="b">
        <v>0</v>
      </c>
      <c r="T1396" t="s">
        <v>124</v>
      </c>
    </row>
    <row r="1397">
      <c r="A1397" t="s">
        <v>2886</v>
      </c>
      <c r="B1397" t="s">
        <v>2887</v>
      </c>
      <c r="C1397" s="2">
        <v>2023</v>
      </c>
      <c r="D1397" s="10">
        <v>7</v>
      </c>
      <c r="E1397" s="10">
        <v>24</v>
      </c>
      <c r="F1397" t="s">
        <v>1436</v>
      </c>
      <c r="G1397">
        <v>1249</v>
      </c>
      <c r="H1397" t="s">
        <v>69</v>
      </c>
      <c r="I1397" t="s">
        <v>141</v>
      </c>
      <c r="J1397" s="10" t="str">
        <f>VLOOKUP(I1397,Categories!A:B,2,FALSE)</f>
        <v>Other</v>
      </c>
      <c r="K1397" t="s">
        <v>178</v>
      </c>
      <c r="L1397" s="10" t="str">
        <f>VLOOKUP(K1397,Accounts!A:B,2,FALSE)</f>
        <v>SCB</v>
      </c>
      <c r="M1397" t="s">
        <v>124</v>
      </c>
      <c r="N1397" s="10"/>
      <c r="O1397" t="s">
        <v>2888</v>
      </c>
      <c r="Q1397" t="s">
        <v>126</v>
      </c>
      <c r="R1397" t="s">
        <v>124</v>
      </c>
      <c r="S1397" t="b">
        <v>0</v>
      </c>
      <c r="T1397" t="s">
        <v>124</v>
      </c>
    </row>
    <row r="1398">
      <c r="A1398" t="s">
        <v>2889</v>
      </c>
      <c r="B1398" t="s">
        <v>2890</v>
      </c>
      <c r="C1398" s="2">
        <v>2023</v>
      </c>
      <c r="D1398" s="10">
        <v>7</v>
      </c>
      <c r="E1398" s="10">
        <v>23</v>
      </c>
      <c r="F1398" t="s">
        <v>1438</v>
      </c>
      <c r="G1398">
        <v>2840</v>
      </c>
      <c r="H1398" t="s">
        <v>128</v>
      </c>
      <c r="I1398" t="s">
        <v>136</v>
      </c>
      <c r="J1398" s="10" t="str">
        <f>VLOOKUP(I1398,Categories!A:B,2,FALSE)</f>
        <v>อื่นๆ</v>
      </c>
      <c r="K1398" t="s">
        <v>178</v>
      </c>
      <c r="L1398" s="10" t="str">
        <f>VLOOKUP(K1398,Accounts!A:B,2,FALSE)</f>
        <v>SCB</v>
      </c>
      <c r="M1398" t="s">
        <v>131</v>
      </c>
      <c r="N1398" s="10" t="str">
        <f>VLOOKUP(M1398,Accounts!A:B,2,FALSE)</f>
        <v xml:space="preserve">Advance Paid</v>
      </c>
      <c r="O1398" t="s">
        <v>2891</v>
      </c>
      <c r="Q1398" t="s">
        <v>126</v>
      </c>
      <c r="R1398" t="s">
        <v>124</v>
      </c>
      <c r="S1398" t="b">
        <v>0</v>
      </c>
      <c r="T1398" t="s">
        <v>124</v>
      </c>
    </row>
    <row r="1399">
      <c r="A1399" t="s">
        <v>2892</v>
      </c>
      <c r="B1399" t="s">
        <v>2893</v>
      </c>
      <c r="C1399" s="2">
        <v>2023</v>
      </c>
      <c r="D1399" s="10">
        <v>7</v>
      </c>
      <c r="E1399" s="10">
        <v>22</v>
      </c>
      <c r="F1399" t="s">
        <v>2894</v>
      </c>
      <c r="G1399">
        <v>368</v>
      </c>
      <c r="H1399" t="s">
        <v>69</v>
      </c>
      <c r="I1399" t="s">
        <v>144</v>
      </c>
      <c r="J1399" s="10" t="str">
        <f>VLOOKUP(I1399,Categories!A:B,2,FALSE)</f>
        <v xml:space="preserve">Family paid</v>
      </c>
      <c r="K1399" t="s">
        <v>178</v>
      </c>
      <c r="L1399" s="10" t="str">
        <f>VLOOKUP(K1399,Accounts!A:B,2,FALSE)</f>
        <v>SCB</v>
      </c>
      <c r="M1399" t="s">
        <v>124</v>
      </c>
      <c r="N1399" s="10"/>
      <c r="O1399" t="s">
        <v>125</v>
      </c>
      <c r="Q1399" t="s">
        <v>126</v>
      </c>
      <c r="R1399" t="s">
        <v>124</v>
      </c>
      <c r="S1399" t="b">
        <v>0</v>
      </c>
      <c r="T1399" t="s">
        <v>124</v>
      </c>
    </row>
    <row r="1400">
      <c r="A1400" t="s">
        <v>2895</v>
      </c>
      <c r="B1400" t="s">
        <v>2893</v>
      </c>
      <c r="C1400" s="2">
        <v>2023</v>
      </c>
      <c r="D1400" s="10">
        <v>7</v>
      </c>
      <c r="E1400" s="10">
        <v>22</v>
      </c>
      <c r="F1400" t="s">
        <v>930</v>
      </c>
      <c r="G1400">
        <v>3190</v>
      </c>
      <c r="H1400" t="s">
        <v>128</v>
      </c>
      <c r="I1400" t="s">
        <v>136</v>
      </c>
      <c r="J1400" s="10" t="str">
        <f>VLOOKUP(I1400,Categories!A:B,2,FALSE)</f>
        <v>อื่นๆ</v>
      </c>
      <c r="K1400" t="s">
        <v>123</v>
      </c>
      <c r="L1400" s="10" t="str">
        <f>VLOOKUP(K1400,Accounts!A:B,2,FALSE)</f>
        <v>KBank</v>
      </c>
      <c r="M1400" t="s">
        <v>2862</v>
      </c>
      <c r="N1400" s="10" t="str">
        <f>VLOOKUP(M1400,Accounts!A:B,2,FALSE)</f>
        <v xml:space="preserve">Kbank onesiam</v>
      </c>
      <c r="O1400" t="s">
        <v>125</v>
      </c>
      <c r="Q1400" t="s">
        <v>126</v>
      </c>
      <c r="R1400" t="s">
        <v>124</v>
      </c>
      <c r="S1400" t="b">
        <v>0</v>
      </c>
      <c r="T1400" t="s">
        <v>124</v>
      </c>
    </row>
    <row r="1401">
      <c r="A1401" t="s">
        <v>2896</v>
      </c>
      <c r="B1401" t="s">
        <v>2893</v>
      </c>
      <c r="C1401" s="2">
        <v>2023</v>
      </c>
      <c r="D1401" s="10">
        <v>7</v>
      </c>
      <c r="E1401" s="10">
        <v>22</v>
      </c>
      <c r="F1401" t="s">
        <v>930</v>
      </c>
      <c r="G1401">
        <v>4494</v>
      </c>
      <c r="H1401" t="s">
        <v>128</v>
      </c>
      <c r="I1401" t="s">
        <v>136</v>
      </c>
      <c r="J1401" s="10" t="str">
        <f>VLOOKUP(I1401,Categories!A:B,2,FALSE)</f>
        <v>อื่นๆ</v>
      </c>
      <c r="K1401" t="s">
        <v>123</v>
      </c>
      <c r="L1401" s="10" t="str">
        <f>VLOOKUP(K1401,Accounts!A:B,2,FALSE)</f>
        <v>KBank</v>
      </c>
      <c r="M1401" t="s">
        <v>1760</v>
      </c>
      <c r="N1401" s="10" t="str">
        <f>VLOOKUP(M1401,Accounts!A:B,2,FALSE)</f>
        <v xml:space="preserve">Kbank shopee</v>
      </c>
      <c r="O1401" t="s">
        <v>125</v>
      </c>
      <c r="Q1401" t="s">
        <v>126</v>
      </c>
      <c r="R1401" t="s">
        <v>124</v>
      </c>
      <c r="S1401" t="b">
        <v>0</v>
      </c>
      <c r="T1401" t="s">
        <v>124</v>
      </c>
    </row>
    <row r="1402">
      <c r="A1402" t="s">
        <v>2897</v>
      </c>
      <c r="B1402" t="s">
        <v>2893</v>
      </c>
      <c r="C1402" s="2">
        <v>2023</v>
      </c>
      <c r="D1402" s="10">
        <v>7</v>
      </c>
      <c r="E1402" s="10">
        <v>22</v>
      </c>
      <c r="F1402" t="s">
        <v>1784</v>
      </c>
      <c r="G1402">
        <v>2159</v>
      </c>
      <c r="H1402" t="s">
        <v>128</v>
      </c>
      <c r="I1402" t="s">
        <v>136</v>
      </c>
      <c r="J1402" s="10" t="str">
        <f>VLOOKUP(I1402,Categories!A:B,2,FALSE)</f>
        <v>อื่นๆ</v>
      </c>
      <c r="K1402" t="s">
        <v>178</v>
      </c>
      <c r="L1402" s="10" t="str">
        <f>VLOOKUP(K1402,Accounts!A:B,2,FALSE)</f>
        <v>SCB</v>
      </c>
      <c r="M1402" t="s">
        <v>131</v>
      </c>
      <c r="N1402" s="10" t="str">
        <f>VLOOKUP(M1402,Accounts!A:B,2,FALSE)</f>
        <v xml:space="preserve">Advance Paid</v>
      </c>
      <c r="O1402" t="s">
        <v>2898</v>
      </c>
      <c r="Q1402" t="s">
        <v>126</v>
      </c>
      <c r="R1402" t="s">
        <v>124</v>
      </c>
      <c r="S1402" t="b">
        <v>0</v>
      </c>
      <c r="T1402" t="s">
        <v>124</v>
      </c>
    </row>
    <row r="1403">
      <c r="A1403" t="s">
        <v>2899</v>
      </c>
      <c r="B1403" t="s">
        <v>2893</v>
      </c>
      <c r="C1403" s="2">
        <v>2023</v>
      </c>
      <c r="D1403" s="10">
        <v>7</v>
      </c>
      <c r="E1403" s="10">
        <v>22</v>
      </c>
      <c r="F1403" t="s">
        <v>2900</v>
      </c>
      <c r="G1403">
        <v>17500</v>
      </c>
      <c r="H1403" t="s">
        <v>128</v>
      </c>
      <c r="I1403" t="s">
        <v>136</v>
      </c>
      <c r="J1403" s="10" t="str">
        <f>VLOOKUP(I1403,Categories!A:B,2,FALSE)</f>
        <v>อื่นๆ</v>
      </c>
      <c r="K1403" t="s">
        <v>178</v>
      </c>
      <c r="L1403" s="10" t="str">
        <f>VLOOKUP(K1403,Accounts!A:B,2,FALSE)</f>
        <v>SCB</v>
      </c>
      <c r="M1403" t="s">
        <v>2317</v>
      </c>
      <c r="N1403" s="10" t="str">
        <f>VLOOKUP(M1403,Accounts!A:B,2,FALSE)</f>
        <v xml:space="preserve">Marriage account</v>
      </c>
      <c r="O1403" t="s">
        <v>125</v>
      </c>
      <c r="Q1403" t="s">
        <v>126</v>
      </c>
      <c r="R1403" t="s">
        <v>124</v>
      </c>
      <c r="S1403" t="b">
        <v>0</v>
      </c>
      <c r="T1403" t="s">
        <v>124</v>
      </c>
    </row>
    <row r="1404">
      <c r="A1404" t="s">
        <v>2901</v>
      </c>
      <c r="B1404" t="s">
        <v>2893</v>
      </c>
      <c r="C1404" s="2">
        <v>2023</v>
      </c>
      <c r="D1404" s="10">
        <v>7</v>
      </c>
      <c r="E1404" s="10">
        <v>22</v>
      </c>
      <c r="F1404" t="s">
        <v>2900</v>
      </c>
      <c r="G1404">
        <v>26857</v>
      </c>
      <c r="H1404" t="s">
        <v>128</v>
      </c>
      <c r="I1404" t="s">
        <v>136</v>
      </c>
      <c r="J1404" s="10" t="str">
        <f>VLOOKUP(I1404,Categories!A:B,2,FALSE)</f>
        <v>อื่นๆ</v>
      </c>
      <c r="K1404" t="s">
        <v>131</v>
      </c>
      <c r="L1404" s="10" t="str">
        <f>VLOOKUP(K1404,Accounts!A:B,2,FALSE)</f>
        <v xml:space="preserve">Advance Paid</v>
      </c>
      <c r="M1404" t="s">
        <v>178</v>
      </c>
      <c r="N1404" s="10" t="str">
        <f>VLOOKUP(M1404,Accounts!A:B,2,FALSE)</f>
        <v>SCB</v>
      </c>
      <c r="O1404" t="s">
        <v>2902</v>
      </c>
      <c r="Q1404" t="s">
        <v>126</v>
      </c>
      <c r="R1404" t="s">
        <v>124</v>
      </c>
      <c r="S1404" t="b">
        <v>0</v>
      </c>
      <c r="T1404" t="s">
        <v>124</v>
      </c>
    </row>
    <row r="1405">
      <c r="A1405" t="s">
        <v>2903</v>
      </c>
      <c r="B1405" t="s">
        <v>2893</v>
      </c>
      <c r="C1405" s="2">
        <v>2023</v>
      </c>
      <c r="D1405" s="10">
        <v>7</v>
      </c>
      <c r="E1405" s="10">
        <v>22</v>
      </c>
      <c r="F1405" t="s">
        <v>1418</v>
      </c>
      <c r="G1405">
        <v>1220.4100000000001</v>
      </c>
      <c r="H1405" t="s">
        <v>69</v>
      </c>
      <c r="I1405" t="s">
        <v>141</v>
      </c>
      <c r="J1405" s="10" t="str">
        <f>VLOOKUP(I1405,Categories!A:B,2,FALSE)</f>
        <v>Other</v>
      </c>
      <c r="K1405" t="s">
        <v>766</v>
      </c>
      <c r="L1405" s="10" t="str">
        <f>VLOOKUP(K1405,Accounts!A:B,2,FALSE)</f>
        <v>KRUNGSRI</v>
      </c>
      <c r="M1405" t="s">
        <v>124</v>
      </c>
      <c r="N1405" s="10"/>
      <c r="O1405" t="s">
        <v>2904</v>
      </c>
      <c r="Q1405" t="s">
        <v>126</v>
      </c>
      <c r="R1405" t="s">
        <v>124</v>
      </c>
      <c r="S1405" t="b">
        <v>0</v>
      </c>
      <c r="T1405" t="s">
        <v>124</v>
      </c>
    </row>
    <row r="1406">
      <c r="A1406" t="s">
        <v>2905</v>
      </c>
      <c r="B1406" t="s">
        <v>2906</v>
      </c>
      <c r="C1406" s="2">
        <v>2023</v>
      </c>
      <c r="D1406" s="10">
        <v>7</v>
      </c>
      <c r="E1406" s="10">
        <v>21</v>
      </c>
      <c r="F1406" t="s">
        <v>2716</v>
      </c>
      <c r="G1406">
        <v>100</v>
      </c>
      <c r="H1406" t="s">
        <v>69</v>
      </c>
      <c r="I1406" t="s">
        <v>150</v>
      </c>
      <c r="J1406" s="10" t="str">
        <f>VLOOKUP(I1406,Categories!A:B,2,FALSE)</f>
        <v xml:space="preserve">Food &amp; Coff</v>
      </c>
      <c r="K1406" t="s">
        <v>123</v>
      </c>
      <c r="L1406" s="10" t="str">
        <f>VLOOKUP(K1406,Accounts!A:B,2,FALSE)</f>
        <v>KBank</v>
      </c>
      <c r="M1406" t="s">
        <v>124</v>
      </c>
      <c r="N1406" s="10"/>
      <c r="O1406" t="s">
        <v>125</v>
      </c>
      <c r="Q1406" t="s">
        <v>126</v>
      </c>
      <c r="R1406" t="s">
        <v>124</v>
      </c>
      <c r="S1406" t="b">
        <v>0</v>
      </c>
      <c r="T1406" t="s">
        <v>124</v>
      </c>
    </row>
    <row r="1407">
      <c r="A1407" t="s">
        <v>2907</v>
      </c>
      <c r="B1407" t="s">
        <v>2906</v>
      </c>
      <c r="C1407" s="2">
        <v>2023</v>
      </c>
      <c r="D1407" s="10">
        <v>7</v>
      </c>
      <c r="E1407" s="10">
        <v>21</v>
      </c>
      <c r="F1407" t="s">
        <v>1797</v>
      </c>
      <c r="G1407">
        <v>350</v>
      </c>
      <c r="H1407" t="s">
        <v>69</v>
      </c>
      <c r="I1407" t="s">
        <v>150</v>
      </c>
      <c r="J1407" s="10" t="str">
        <f>VLOOKUP(I1407,Categories!A:B,2,FALSE)</f>
        <v xml:space="preserve">Food &amp; Coff</v>
      </c>
      <c r="K1407" t="s">
        <v>123</v>
      </c>
      <c r="L1407" s="10" t="str">
        <f>VLOOKUP(K1407,Accounts!A:B,2,FALSE)</f>
        <v>KBank</v>
      </c>
      <c r="M1407" t="s">
        <v>124</v>
      </c>
      <c r="N1407" s="10"/>
      <c r="O1407" t="s">
        <v>125</v>
      </c>
      <c r="Q1407" t="s">
        <v>126</v>
      </c>
      <c r="R1407" t="s">
        <v>124</v>
      </c>
      <c r="S1407" t="b">
        <v>0</v>
      </c>
      <c r="T1407" t="s">
        <v>124</v>
      </c>
    </row>
    <row r="1408">
      <c r="A1408" t="s">
        <v>2908</v>
      </c>
      <c r="B1408" t="s">
        <v>2906</v>
      </c>
      <c r="C1408" s="2">
        <v>2023</v>
      </c>
      <c r="D1408" s="10">
        <v>7</v>
      </c>
      <c r="E1408" s="10">
        <v>21</v>
      </c>
      <c r="F1408" t="s">
        <v>2909</v>
      </c>
      <c r="G1408">
        <v>105</v>
      </c>
      <c r="H1408" t="s">
        <v>69</v>
      </c>
      <c r="I1408" t="s">
        <v>150</v>
      </c>
      <c r="J1408" s="10" t="str">
        <f>VLOOKUP(I1408,Categories!A:B,2,FALSE)</f>
        <v xml:space="preserve">Food &amp; Coff</v>
      </c>
      <c r="K1408" t="s">
        <v>178</v>
      </c>
      <c r="L1408" s="10" t="str">
        <f>VLOOKUP(K1408,Accounts!A:B,2,FALSE)</f>
        <v>SCB</v>
      </c>
      <c r="M1408" t="s">
        <v>124</v>
      </c>
      <c r="N1408" s="10"/>
      <c r="O1408" t="s">
        <v>125</v>
      </c>
      <c r="Q1408" t="s">
        <v>126</v>
      </c>
      <c r="R1408" t="s">
        <v>124</v>
      </c>
      <c r="S1408" t="b">
        <v>0</v>
      </c>
      <c r="T1408" t="s">
        <v>124</v>
      </c>
    </row>
    <row r="1409">
      <c r="A1409" t="s">
        <v>2910</v>
      </c>
      <c r="B1409" t="s">
        <v>2911</v>
      </c>
      <c r="C1409" s="2">
        <v>2023</v>
      </c>
      <c r="D1409" s="10">
        <v>7</v>
      </c>
      <c r="E1409" s="10">
        <v>20</v>
      </c>
      <c r="F1409" t="s">
        <v>2150</v>
      </c>
      <c r="G1409">
        <v>62</v>
      </c>
      <c r="H1409" t="s">
        <v>69</v>
      </c>
      <c r="I1409" t="s">
        <v>150</v>
      </c>
      <c r="J1409" s="10" t="str">
        <f>VLOOKUP(I1409,Categories!A:B,2,FALSE)</f>
        <v xml:space="preserve">Food &amp; Coff</v>
      </c>
      <c r="K1409" t="s">
        <v>123</v>
      </c>
      <c r="L1409" s="10" t="str">
        <f>VLOOKUP(K1409,Accounts!A:B,2,FALSE)</f>
        <v>KBank</v>
      </c>
      <c r="M1409" t="s">
        <v>124</v>
      </c>
      <c r="N1409" s="10"/>
      <c r="O1409" t="s">
        <v>125</v>
      </c>
      <c r="Q1409" t="s">
        <v>126</v>
      </c>
      <c r="R1409" t="s">
        <v>124</v>
      </c>
      <c r="S1409" t="b">
        <v>0</v>
      </c>
      <c r="T1409" t="s">
        <v>124</v>
      </c>
    </row>
    <row r="1410">
      <c r="A1410" t="s">
        <v>2912</v>
      </c>
      <c r="B1410" t="s">
        <v>2913</v>
      </c>
      <c r="C1410" s="2">
        <v>2023</v>
      </c>
      <c r="D1410" s="10">
        <v>7</v>
      </c>
      <c r="E1410" s="10">
        <v>19</v>
      </c>
      <c r="F1410" t="s">
        <v>2914</v>
      </c>
      <c r="G1410">
        <v>60</v>
      </c>
      <c r="H1410" t="s">
        <v>69</v>
      </c>
      <c r="I1410" t="s">
        <v>150</v>
      </c>
      <c r="J1410" s="10" t="str">
        <f>VLOOKUP(I1410,Categories!A:B,2,FALSE)</f>
        <v xml:space="preserve">Food &amp; Coff</v>
      </c>
      <c r="K1410" t="s">
        <v>123</v>
      </c>
      <c r="L1410" s="10" t="str">
        <f>VLOOKUP(K1410,Accounts!A:B,2,FALSE)</f>
        <v>KBank</v>
      </c>
      <c r="M1410" t="s">
        <v>124</v>
      </c>
      <c r="N1410" s="10"/>
      <c r="O1410" t="s">
        <v>125</v>
      </c>
      <c r="Q1410" t="s">
        <v>126</v>
      </c>
      <c r="R1410" t="s">
        <v>124</v>
      </c>
      <c r="S1410" t="b">
        <v>0</v>
      </c>
      <c r="T1410" t="s">
        <v>124</v>
      </c>
    </row>
    <row r="1411">
      <c r="A1411" t="s">
        <v>2915</v>
      </c>
      <c r="B1411" t="s">
        <v>2913</v>
      </c>
      <c r="C1411" s="2">
        <v>2023</v>
      </c>
      <c r="D1411" s="10">
        <v>7</v>
      </c>
      <c r="E1411" s="10">
        <v>19</v>
      </c>
      <c r="F1411" t="s">
        <v>2916</v>
      </c>
      <c r="G1411">
        <v>10</v>
      </c>
      <c r="H1411" t="s">
        <v>69</v>
      </c>
      <c r="I1411" t="s">
        <v>150</v>
      </c>
      <c r="J1411" s="10" t="str">
        <f>VLOOKUP(I1411,Categories!A:B,2,FALSE)</f>
        <v xml:space="preserve">Food &amp; Coff</v>
      </c>
      <c r="K1411" t="s">
        <v>123</v>
      </c>
      <c r="L1411" s="10" t="str">
        <f>VLOOKUP(K1411,Accounts!A:B,2,FALSE)</f>
        <v>KBank</v>
      </c>
      <c r="M1411" t="s">
        <v>124</v>
      </c>
      <c r="N1411" s="10"/>
      <c r="O1411" t="s">
        <v>125</v>
      </c>
      <c r="Q1411" t="s">
        <v>126</v>
      </c>
      <c r="R1411" t="s">
        <v>124</v>
      </c>
      <c r="S1411" t="b">
        <v>0</v>
      </c>
      <c r="T1411" t="s">
        <v>124</v>
      </c>
    </row>
    <row r="1412">
      <c r="A1412" t="s">
        <v>2917</v>
      </c>
      <c r="B1412" t="s">
        <v>2918</v>
      </c>
      <c r="C1412" s="2">
        <v>2023</v>
      </c>
      <c r="D1412" s="10">
        <v>7</v>
      </c>
      <c r="E1412" s="10">
        <v>18</v>
      </c>
      <c r="F1412" t="s">
        <v>1594</v>
      </c>
      <c r="G1412">
        <v>80</v>
      </c>
      <c r="H1412" t="s">
        <v>69</v>
      </c>
      <c r="I1412" t="s">
        <v>150</v>
      </c>
      <c r="J1412" s="10" t="str">
        <f>VLOOKUP(I1412,Categories!A:B,2,FALSE)</f>
        <v xml:space="preserve">Food &amp; Coff</v>
      </c>
      <c r="K1412" t="s">
        <v>123</v>
      </c>
      <c r="L1412" s="10" t="str">
        <f>VLOOKUP(K1412,Accounts!A:B,2,FALSE)</f>
        <v>KBank</v>
      </c>
      <c r="M1412" t="s">
        <v>124</v>
      </c>
      <c r="N1412" s="10"/>
      <c r="O1412" t="s">
        <v>125</v>
      </c>
      <c r="Q1412" t="s">
        <v>126</v>
      </c>
      <c r="R1412" t="s">
        <v>124</v>
      </c>
      <c r="S1412" t="b">
        <v>0</v>
      </c>
      <c r="T1412" t="s">
        <v>124</v>
      </c>
    </row>
    <row r="1413">
      <c r="A1413" t="s">
        <v>2919</v>
      </c>
      <c r="B1413" t="s">
        <v>2920</v>
      </c>
      <c r="C1413" s="2">
        <v>2023</v>
      </c>
      <c r="D1413" s="10">
        <v>7</v>
      </c>
      <c r="E1413" s="10">
        <v>17</v>
      </c>
      <c r="F1413" t="s">
        <v>2921</v>
      </c>
      <c r="G1413">
        <v>6689</v>
      </c>
      <c r="H1413" t="s">
        <v>69</v>
      </c>
      <c r="I1413" t="s">
        <v>139</v>
      </c>
      <c r="J1413" s="10" t="str">
        <f>VLOOKUP(I1413,Categories!A:B,2,FALSE)</f>
        <v>Condo</v>
      </c>
      <c r="K1413" t="s">
        <v>178</v>
      </c>
      <c r="L1413" s="10" t="str">
        <f>VLOOKUP(K1413,Accounts!A:B,2,FALSE)</f>
        <v>SCB</v>
      </c>
      <c r="M1413" t="s">
        <v>124</v>
      </c>
      <c r="N1413" s="10"/>
      <c r="O1413" t="s">
        <v>125</v>
      </c>
      <c r="Q1413" t="s">
        <v>126</v>
      </c>
      <c r="R1413" t="s">
        <v>124</v>
      </c>
      <c r="S1413" t="b">
        <v>0</v>
      </c>
      <c r="T1413" t="s">
        <v>124</v>
      </c>
    </row>
    <row r="1414">
      <c r="A1414" t="s">
        <v>2922</v>
      </c>
      <c r="B1414" t="s">
        <v>2920</v>
      </c>
      <c r="C1414" s="2">
        <v>2023</v>
      </c>
      <c r="D1414" s="10">
        <v>7</v>
      </c>
      <c r="E1414" s="10">
        <v>17</v>
      </c>
      <c r="F1414" t="s">
        <v>1591</v>
      </c>
      <c r="G1414">
        <v>95</v>
      </c>
      <c r="H1414" t="s">
        <v>69</v>
      </c>
      <c r="I1414" t="s">
        <v>150</v>
      </c>
      <c r="J1414" s="10" t="str">
        <f>VLOOKUP(I1414,Categories!A:B,2,FALSE)</f>
        <v xml:space="preserve">Food &amp; Coff</v>
      </c>
      <c r="K1414" t="s">
        <v>123</v>
      </c>
      <c r="L1414" s="10" t="str">
        <f>VLOOKUP(K1414,Accounts!A:B,2,FALSE)</f>
        <v>KBank</v>
      </c>
      <c r="M1414" t="s">
        <v>124</v>
      </c>
      <c r="N1414" s="10"/>
      <c r="O1414" t="s">
        <v>125</v>
      </c>
      <c r="Q1414" t="s">
        <v>126</v>
      </c>
      <c r="R1414" t="s">
        <v>124</v>
      </c>
      <c r="S1414" t="b">
        <v>0</v>
      </c>
      <c r="T1414" t="s">
        <v>124</v>
      </c>
    </row>
    <row r="1415">
      <c r="A1415" t="s">
        <v>2923</v>
      </c>
      <c r="B1415" t="s">
        <v>2924</v>
      </c>
      <c r="C1415" s="2">
        <v>2023</v>
      </c>
      <c r="D1415" s="10">
        <v>7</v>
      </c>
      <c r="E1415" s="10">
        <v>16</v>
      </c>
      <c r="F1415" t="s">
        <v>2925</v>
      </c>
      <c r="G1415">
        <v>1026</v>
      </c>
      <c r="H1415" t="s">
        <v>128</v>
      </c>
      <c r="I1415" t="s">
        <v>136</v>
      </c>
      <c r="J1415" s="10" t="str">
        <f>VLOOKUP(I1415,Categories!A:B,2,FALSE)</f>
        <v>อื่นๆ</v>
      </c>
      <c r="K1415" t="s">
        <v>178</v>
      </c>
      <c r="L1415" s="10" t="str">
        <f>VLOOKUP(K1415,Accounts!A:B,2,FALSE)</f>
        <v>SCB</v>
      </c>
      <c r="M1415" t="s">
        <v>131</v>
      </c>
      <c r="N1415" s="10" t="str">
        <f>VLOOKUP(M1415,Accounts!A:B,2,FALSE)</f>
        <v xml:space="preserve">Advance Paid</v>
      </c>
      <c r="O1415" t="s">
        <v>2926</v>
      </c>
      <c r="Q1415" t="s">
        <v>126</v>
      </c>
      <c r="R1415" t="s">
        <v>124</v>
      </c>
      <c r="S1415" t="b">
        <v>0</v>
      </c>
      <c r="T1415" t="s">
        <v>124</v>
      </c>
    </row>
    <row r="1416">
      <c r="A1416" t="s">
        <v>2927</v>
      </c>
      <c r="B1416" t="s">
        <v>2928</v>
      </c>
      <c r="C1416" s="2">
        <v>2023</v>
      </c>
      <c r="D1416" s="10">
        <v>7</v>
      </c>
      <c r="E1416" s="10">
        <v>14</v>
      </c>
      <c r="F1416" t="s">
        <v>121</v>
      </c>
      <c r="G1416">
        <v>419</v>
      </c>
      <c r="H1416" t="s">
        <v>69</v>
      </c>
      <c r="I1416" t="s">
        <v>1903</v>
      </c>
      <c r="J1416" s="10" t="str">
        <f>VLOOKUP(I1416,Categories!A:B,2,FALSE)</f>
        <v xml:space="preserve">Monthly subscription</v>
      </c>
      <c r="K1416" t="s">
        <v>747</v>
      </c>
      <c r="L1416" s="10" t="str">
        <f>VLOOKUP(K1416,Accounts!A:B,2,FALSE)</f>
        <v xml:space="preserve">UOB world</v>
      </c>
      <c r="M1416" t="s">
        <v>124</v>
      </c>
      <c r="N1416" s="10"/>
      <c r="O1416" t="s">
        <v>125</v>
      </c>
      <c r="Q1416" t="s">
        <v>126</v>
      </c>
      <c r="R1416" t="s">
        <v>124</v>
      </c>
      <c r="S1416" t="b">
        <v>0</v>
      </c>
      <c r="T1416" t="s">
        <v>124</v>
      </c>
    </row>
    <row r="1417">
      <c r="A1417" t="s">
        <v>2929</v>
      </c>
      <c r="B1417" t="s">
        <v>2928</v>
      </c>
      <c r="C1417" s="2">
        <v>2023</v>
      </c>
      <c r="D1417" s="10">
        <v>7</v>
      </c>
      <c r="E1417" s="10">
        <v>14</v>
      </c>
      <c r="F1417" t="s">
        <v>1591</v>
      </c>
      <c r="G1417">
        <v>55</v>
      </c>
      <c r="H1417" t="s">
        <v>69</v>
      </c>
      <c r="I1417" t="s">
        <v>150</v>
      </c>
      <c r="J1417" s="10" t="str">
        <f>VLOOKUP(I1417,Categories!A:B,2,FALSE)</f>
        <v xml:space="preserve">Food &amp; Coff</v>
      </c>
      <c r="K1417" t="s">
        <v>123</v>
      </c>
      <c r="L1417" s="10" t="str">
        <f>VLOOKUP(K1417,Accounts!A:B,2,FALSE)</f>
        <v>KBank</v>
      </c>
      <c r="M1417" t="s">
        <v>124</v>
      </c>
      <c r="N1417" s="10"/>
      <c r="O1417" t="s">
        <v>125</v>
      </c>
      <c r="Q1417" t="s">
        <v>126</v>
      </c>
      <c r="R1417" t="s">
        <v>124</v>
      </c>
      <c r="S1417" t="b">
        <v>0</v>
      </c>
      <c r="T1417" t="s">
        <v>124</v>
      </c>
    </row>
    <row r="1418">
      <c r="A1418" t="s">
        <v>2930</v>
      </c>
      <c r="B1418" t="s">
        <v>2928</v>
      </c>
      <c r="C1418" s="2">
        <v>2023</v>
      </c>
      <c r="D1418" s="10">
        <v>7</v>
      </c>
      <c r="E1418" s="10">
        <v>14</v>
      </c>
      <c r="F1418" t="s">
        <v>802</v>
      </c>
      <c r="G1418">
        <v>130</v>
      </c>
      <c r="H1418" t="s">
        <v>69</v>
      </c>
      <c r="I1418" t="s">
        <v>150</v>
      </c>
      <c r="J1418" s="10" t="str">
        <f>VLOOKUP(I1418,Categories!A:B,2,FALSE)</f>
        <v xml:space="preserve">Food &amp; Coff</v>
      </c>
      <c r="K1418" t="s">
        <v>178</v>
      </c>
      <c r="L1418" s="10" t="str">
        <f>VLOOKUP(K1418,Accounts!A:B,2,FALSE)</f>
        <v>SCB</v>
      </c>
      <c r="M1418" t="s">
        <v>124</v>
      </c>
      <c r="N1418" s="10"/>
      <c r="O1418" t="s">
        <v>125</v>
      </c>
      <c r="Q1418" t="s">
        <v>126</v>
      </c>
      <c r="R1418" t="s">
        <v>124</v>
      </c>
      <c r="S1418" t="b">
        <v>0</v>
      </c>
      <c r="T1418" t="s">
        <v>124</v>
      </c>
    </row>
    <row r="1419">
      <c r="A1419" t="s">
        <v>2931</v>
      </c>
      <c r="B1419" t="s">
        <v>2928</v>
      </c>
      <c r="C1419" s="2">
        <v>2023</v>
      </c>
      <c r="D1419" s="10">
        <v>7</v>
      </c>
      <c r="E1419" s="10">
        <v>14</v>
      </c>
      <c r="F1419" t="s">
        <v>394</v>
      </c>
      <c r="G1419">
        <v>419</v>
      </c>
      <c r="H1419" t="s">
        <v>69</v>
      </c>
      <c r="I1419" t="s">
        <v>1903</v>
      </c>
      <c r="J1419" s="10" t="str">
        <f>VLOOKUP(I1419,Categories!A:B,2,FALSE)</f>
        <v xml:space="preserve">Monthly subscription</v>
      </c>
      <c r="K1419" t="s">
        <v>178</v>
      </c>
      <c r="L1419" s="10" t="str">
        <f>VLOOKUP(K1419,Accounts!A:B,2,FALSE)</f>
        <v>SCB</v>
      </c>
      <c r="M1419" t="s">
        <v>124</v>
      </c>
      <c r="N1419" s="10"/>
      <c r="O1419" t="s">
        <v>125</v>
      </c>
      <c r="Q1419" t="s">
        <v>126</v>
      </c>
      <c r="R1419" t="s">
        <v>124</v>
      </c>
      <c r="S1419" t="b">
        <v>0</v>
      </c>
      <c r="T1419" t="s">
        <v>124</v>
      </c>
    </row>
    <row r="1420">
      <c r="A1420" t="s">
        <v>2932</v>
      </c>
      <c r="B1420" t="s">
        <v>2933</v>
      </c>
      <c r="C1420" s="2">
        <v>2023</v>
      </c>
      <c r="D1420" s="10">
        <v>7</v>
      </c>
      <c r="E1420" s="10">
        <v>13</v>
      </c>
      <c r="F1420" t="s">
        <v>2709</v>
      </c>
      <c r="G1420">
        <v>30</v>
      </c>
      <c r="H1420" t="s">
        <v>69</v>
      </c>
      <c r="I1420" t="s">
        <v>150</v>
      </c>
      <c r="J1420" s="10" t="str">
        <f>VLOOKUP(I1420,Categories!A:B,2,FALSE)</f>
        <v xml:space="preserve">Food &amp; Coff</v>
      </c>
      <c r="K1420" t="s">
        <v>123</v>
      </c>
      <c r="L1420" s="10" t="str">
        <f>VLOOKUP(K1420,Accounts!A:B,2,FALSE)</f>
        <v>KBank</v>
      </c>
      <c r="M1420" t="s">
        <v>124</v>
      </c>
      <c r="N1420" s="10"/>
      <c r="O1420" t="s">
        <v>125</v>
      </c>
      <c r="Q1420" t="s">
        <v>126</v>
      </c>
      <c r="R1420" t="s">
        <v>124</v>
      </c>
      <c r="S1420" t="b">
        <v>0</v>
      </c>
      <c r="T1420" t="s">
        <v>124</v>
      </c>
    </row>
    <row r="1421">
      <c r="A1421" t="s">
        <v>2934</v>
      </c>
      <c r="B1421" t="s">
        <v>2933</v>
      </c>
      <c r="C1421" s="2">
        <v>2023</v>
      </c>
      <c r="D1421" s="10">
        <v>7</v>
      </c>
      <c r="E1421" s="10">
        <v>13</v>
      </c>
      <c r="F1421" t="s">
        <v>1837</v>
      </c>
      <c r="G1421">
        <v>80</v>
      </c>
      <c r="H1421" t="s">
        <v>69</v>
      </c>
      <c r="I1421" t="s">
        <v>150</v>
      </c>
      <c r="J1421" s="10" t="str">
        <f>VLOOKUP(I1421,Categories!A:B,2,FALSE)</f>
        <v xml:space="preserve">Food &amp; Coff</v>
      </c>
      <c r="K1421" t="s">
        <v>178</v>
      </c>
      <c r="L1421" s="10" t="str">
        <f>VLOOKUP(K1421,Accounts!A:B,2,FALSE)</f>
        <v>SCB</v>
      </c>
      <c r="M1421" t="s">
        <v>124</v>
      </c>
      <c r="N1421" s="10"/>
      <c r="O1421" t="s">
        <v>125</v>
      </c>
      <c r="Q1421" t="s">
        <v>126</v>
      </c>
      <c r="R1421" t="s">
        <v>124</v>
      </c>
      <c r="S1421" t="b">
        <v>0</v>
      </c>
      <c r="T1421" t="s">
        <v>124</v>
      </c>
    </row>
    <row r="1422">
      <c r="A1422" t="s">
        <v>2935</v>
      </c>
      <c r="B1422" t="s">
        <v>2936</v>
      </c>
      <c r="C1422" s="2">
        <v>2023</v>
      </c>
      <c r="D1422" s="10">
        <v>7</v>
      </c>
      <c r="E1422" s="10">
        <v>12</v>
      </c>
      <c r="F1422" t="s">
        <v>2937</v>
      </c>
      <c r="G1422">
        <v>60</v>
      </c>
      <c r="H1422" t="s">
        <v>69</v>
      </c>
      <c r="I1422" t="s">
        <v>150</v>
      </c>
      <c r="J1422" s="10" t="str">
        <f>VLOOKUP(I1422,Categories!A:B,2,FALSE)</f>
        <v xml:space="preserve">Food &amp; Coff</v>
      </c>
      <c r="K1422" t="s">
        <v>123</v>
      </c>
      <c r="L1422" s="10" t="str">
        <f>VLOOKUP(K1422,Accounts!A:B,2,FALSE)</f>
        <v>KBank</v>
      </c>
      <c r="M1422" t="s">
        <v>124</v>
      </c>
      <c r="N1422" s="10"/>
      <c r="O1422" t="s">
        <v>125</v>
      </c>
      <c r="Q1422" t="s">
        <v>126</v>
      </c>
      <c r="R1422" t="s">
        <v>124</v>
      </c>
      <c r="S1422" t="b">
        <v>0</v>
      </c>
      <c r="T1422" t="s">
        <v>124</v>
      </c>
    </row>
    <row r="1423">
      <c r="A1423" t="s">
        <v>2938</v>
      </c>
      <c r="B1423" t="s">
        <v>2936</v>
      </c>
      <c r="C1423" s="2">
        <v>2023</v>
      </c>
      <c r="D1423" s="10">
        <v>7</v>
      </c>
      <c r="E1423" s="10">
        <v>12</v>
      </c>
      <c r="F1423" t="s">
        <v>2150</v>
      </c>
      <c r="G1423">
        <v>92</v>
      </c>
      <c r="H1423" t="s">
        <v>69</v>
      </c>
      <c r="I1423" t="s">
        <v>150</v>
      </c>
      <c r="J1423" s="10" t="str">
        <f>VLOOKUP(I1423,Categories!A:B,2,FALSE)</f>
        <v xml:space="preserve">Food &amp; Coff</v>
      </c>
      <c r="K1423" t="s">
        <v>123</v>
      </c>
      <c r="L1423" s="10" t="str">
        <f>VLOOKUP(K1423,Accounts!A:B,2,FALSE)</f>
        <v>KBank</v>
      </c>
      <c r="M1423" t="s">
        <v>124</v>
      </c>
      <c r="N1423" s="10"/>
      <c r="O1423" t="s">
        <v>125</v>
      </c>
      <c r="Q1423" t="s">
        <v>126</v>
      </c>
      <c r="R1423" t="s">
        <v>124</v>
      </c>
      <c r="S1423" t="b">
        <v>0</v>
      </c>
      <c r="T1423" t="s">
        <v>124</v>
      </c>
    </row>
    <row r="1424">
      <c r="A1424" t="s">
        <v>2939</v>
      </c>
      <c r="B1424" t="s">
        <v>2936</v>
      </c>
      <c r="C1424" s="2">
        <v>2023</v>
      </c>
      <c r="D1424" s="10">
        <v>7</v>
      </c>
      <c r="E1424" s="10">
        <v>12</v>
      </c>
      <c r="F1424" t="s">
        <v>1513</v>
      </c>
      <c r="G1424">
        <v>80</v>
      </c>
      <c r="H1424" t="s">
        <v>69</v>
      </c>
      <c r="I1424" t="s">
        <v>150</v>
      </c>
      <c r="J1424" s="10" t="str">
        <f>VLOOKUP(I1424,Categories!A:B,2,FALSE)</f>
        <v xml:space="preserve">Food &amp; Coff</v>
      </c>
      <c r="K1424" t="s">
        <v>123</v>
      </c>
      <c r="L1424" s="10" t="str">
        <f>VLOOKUP(K1424,Accounts!A:B,2,FALSE)</f>
        <v>KBank</v>
      </c>
      <c r="M1424" t="s">
        <v>124</v>
      </c>
      <c r="N1424" s="10"/>
      <c r="O1424" t="s">
        <v>125</v>
      </c>
      <c r="Q1424" t="s">
        <v>126</v>
      </c>
      <c r="R1424" t="s">
        <v>124</v>
      </c>
      <c r="S1424" t="b">
        <v>0</v>
      </c>
      <c r="T1424" t="s">
        <v>124</v>
      </c>
    </row>
    <row r="1425">
      <c r="A1425" t="s">
        <v>2940</v>
      </c>
      <c r="B1425" t="s">
        <v>2936</v>
      </c>
      <c r="C1425" s="2">
        <v>2023</v>
      </c>
      <c r="D1425" s="10">
        <v>7</v>
      </c>
      <c r="E1425" s="10">
        <v>12</v>
      </c>
      <c r="F1425" t="s">
        <v>468</v>
      </c>
      <c r="G1425">
        <v>49000</v>
      </c>
      <c r="H1425" t="s">
        <v>128</v>
      </c>
      <c r="I1425" t="s">
        <v>136</v>
      </c>
      <c r="J1425" s="10" t="str">
        <f>VLOOKUP(I1425,Categories!A:B,2,FALSE)</f>
        <v>อื่นๆ</v>
      </c>
      <c r="K1425" t="s">
        <v>178</v>
      </c>
      <c r="L1425" s="10" t="str">
        <f>VLOOKUP(K1425,Accounts!A:B,2,FALSE)</f>
        <v>SCB</v>
      </c>
      <c r="M1425" t="s">
        <v>123</v>
      </c>
      <c r="N1425" s="10" t="str">
        <f>VLOOKUP(M1425,Accounts!A:B,2,FALSE)</f>
        <v>KBank</v>
      </c>
      <c r="O1425" t="s">
        <v>125</v>
      </c>
      <c r="Q1425" t="s">
        <v>126</v>
      </c>
      <c r="R1425" t="s">
        <v>124</v>
      </c>
      <c r="S1425" t="b">
        <v>0</v>
      </c>
      <c r="T1425" t="s">
        <v>124</v>
      </c>
    </row>
    <row r="1426">
      <c r="A1426" t="s">
        <v>2941</v>
      </c>
      <c r="B1426" t="s">
        <v>40</v>
      </c>
      <c r="C1426" s="2">
        <v>2023</v>
      </c>
      <c r="D1426" s="10">
        <v>7</v>
      </c>
      <c r="E1426" s="10">
        <v>11</v>
      </c>
      <c r="F1426" t="s">
        <v>2694</v>
      </c>
      <c r="G1426">
        <v>110</v>
      </c>
      <c r="H1426" t="s">
        <v>69</v>
      </c>
      <c r="I1426" t="s">
        <v>150</v>
      </c>
      <c r="J1426" s="10" t="str">
        <f>VLOOKUP(I1426,Categories!A:B,2,FALSE)</f>
        <v xml:space="preserve">Food &amp; Coff</v>
      </c>
      <c r="K1426" t="s">
        <v>2317</v>
      </c>
      <c r="L1426" s="10" t="str">
        <f>VLOOKUP(K1426,Accounts!A:B,2,FALSE)</f>
        <v xml:space="preserve">Marriage account</v>
      </c>
      <c r="M1426" t="s">
        <v>124</v>
      </c>
      <c r="N1426" s="10"/>
      <c r="O1426" t="s">
        <v>125</v>
      </c>
      <c r="Q1426" t="s">
        <v>126</v>
      </c>
      <c r="R1426" t="s">
        <v>124</v>
      </c>
      <c r="S1426" t="b">
        <v>0</v>
      </c>
      <c r="T1426" t="s">
        <v>124</v>
      </c>
    </row>
    <row r="1427">
      <c r="A1427" t="s">
        <v>2942</v>
      </c>
      <c r="B1427" t="s">
        <v>40</v>
      </c>
      <c r="C1427" s="2">
        <v>2023</v>
      </c>
      <c r="D1427" s="10">
        <v>7</v>
      </c>
      <c r="E1427" s="10">
        <v>11</v>
      </c>
      <c r="F1427" t="s">
        <v>2943</v>
      </c>
      <c r="G1427">
        <v>20</v>
      </c>
      <c r="H1427" t="s">
        <v>69</v>
      </c>
      <c r="I1427" t="s">
        <v>150</v>
      </c>
      <c r="J1427" s="10" t="str">
        <f>VLOOKUP(I1427,Categories!A:B,2,FALSE)</f>
        <v xml:space="preserve">Food &amp; Coff</v>
      </c>
      <c r="K1427" t="s">
        <v>178</v>
      </c>
      <c r="L1427" s="10" t="str">
        <f>VLOOKUP(K1427,Accounts!A:B,2,FALSE)</f>
        <v>SCB</v>
      </c>
      <c r="M1427" t="s">
        <v>124</v>
      </c>
      <c r="N1427" s="10"/>
      <c r="O1427" t="s">
        <v>125</v>
      </c>
      <c r="Q1427" t="s">
        <v>126</v>
      </c>
      <c r="R1427" t="s">
        <v>124</v>
      </c>
      <c r="S1427" t="b">
        <v>0</v>
      </c>
      <c r="T1427" t="s">
        <v>124</v>
      </c>
    </row>
    <row r="1428">
      <c r="A1428" t="s">
        <v>2944</v>
      </c>
      <c r="B1428" t="s">
        <v>40</v>
      </c>
      <c r="C1428" s="2">
        <v>2023</v>
      </c>
      <c r="D1428" s="10">
        <v>7</v>
      </c>
      <c r="E1428" s="10">
        <v>11</v>
      </c>
      <c r="F1428" t="s">
        <v>595</v>
      </c>
      <c r="G1428">
        <v>70</v>
      </c>
      <c r="H1428" t="s">
        <v>69</v>
      </c>
      <c r="I1428" t="s">
        <v>150</v>
      </c>
      <c r="J1428" s="10" t="str">
        <f>VLOOKUP(I1428,Categories!A:B,2,FALSE)</f>
        <v xml:space="preserve">Food &amp; Coff</v>
      </c>
      <c r="K1428" t="s">
        <v>123</v>
      </c>
      <c r="L1428" s="10" t="str">
        <f>VLOOKUP(K1428,Accounts!A:B,2,FALSE)</f>
        <v>KBank</v>
      </c>
      <c r="M1428" t="s">
        <v>124</v>
      </c>
      <c r="N1428" s="10"/>
      <c r="O1428" t="s">
        <v>125</v>
      </c>
      <c r="Q1428" t="s">
        <v>126</v>
      </c>
      <c r="R1428" t="s">
        <v>124</v>
      </c>
      <c r="S1428" t="b">
        <v>0</v>
      </c>
      <c r="T1428" t="s">
        <v>124</v>
      </c>
    </row>
    <row r="1429">
      <c r="A1429" t="s">
        <v>2945</v>
      </c>
      <c r="B1429" t="s">
        <v>40</v>
      </c>
      <c r="C1429" s="2">
        <v>2023</v>
      </c>
      <c r="D1429" s="10">
        <v>7</v>
      </c>
      <c r="E1429" s="10">
        <v>11</v>
      </c>
      <c r="F1429" t="s">
        <v>2946</v>
      </c>
      <c r="G1429">
        <v>50000</v>
      </c>
      <c r="H1429" t="s">
        <v>128</v>
      </c>
      <c r="I1429" t="s">
        <v>136</v>
      </c>
      <c r="J1429" s="10" t="str">
        <f>VLOOKUP(I1429,Categories!A:B,2,FALSE)</f>
        <v>อื่นๆ</v>
      </c>
      <c r="K1429" t="s">
        <v>123</v>
      </c>
      <c r="L1429" s="10" t="str">
        <f>VLOOKUP(K1429,Accounts!A:B,2,FALSE)</f>
        <v>KBank</v>
      </c>
      <c r="M1429" t="s">
        <v>215</v>
      </c>
      <c r="N1429" s="10" t="str">
        <f>VLOOKUP(M1429,Accounts!A:B,2,FALSE)</f>
        <v>Investment</v>
      </c>
      <c r="O1429" t="s">
        <v>125</v>
      </c>
      <c r="Q1429" t="s">
        <v>126</v>
      </c>
      <c r="R1429" t="s">
        <v>124</v>
      </c>
      <c r="S1429" t="b">
        <v>0</v>
      </c>
      <c r="T1429" t="s">
        <v>124</v>
      </c>
    </row>
    <row r="1430">
      <c r="A1430" t="s">
        <v>2947</v>
      </c>
      <c r="B1430" t="s">
        <v>2948</v>
      </c>
      <c r="C1430" s="2">
        <v>2023</v>
      </c>
      <c r="D1430" s="10">
        <v>7</v>
      </c>
      <c r="E1430" s="10">
        <v>10</v>
      </c>
      <c r="F1430" t="s">
        <v>2709</v>
      </c>
      <c r="G1430">
        <v>52</v>
      </c>
      <c r="H1430" t="s">
        <v>69</v>
      </c>
      <c r="I1430" t="s">
        <v>150</v>
      </c>
      <c r="J1430" s="10" t="str">
        <f>VLOOKUP(I1430,Categories!A:B,2,FALSE)</f>
        <v xml:space="preserve">Food &amp; Coff</v>
      </c>
      <c r="K1430" t="s">
        <v>178</v>
      </c>
      <c r="L1430" s="10" t="str">
        <f>VLOOKUP(K1430,Accounts!A:B,2,FALSE)</f>
        <v>SCB</v>
      </c>
      <c r="M1430" t="s">
        <v>124</v>
      </c>
      <c r="N1430" s="10"/>
      <c r="O1430" t="s">
        <v>125</v>
      </c>
      <c r="Q1430" t="s">
        <v>126</v>
      </c>
      <c r="R1430" t="s">
        <v>124</v>
      </c>
      <c r="S1430" t="b">
        <v>0</v>
      </c>
      <c r="T1430" t="s">
        <v>124</v>
      </c>
    </row>
    <row r="1431">
      <c r="A1431" t="s">
        <v>2949</v>
      </c>
      <c r="B1431" t="s">
        <v>2950</v>
      </c>
      <c r="C1431" s="2">
        <v>2023</v>
      </c>
      <c r="D1431" s="10">
        <v>7</v>
      </c>
      <c r="E1431" s="10">
        <v>9</v>
      </c>
      <c r="F1431" t="s">
        <v>1353</v>
      </c>
      <c r="G1431">
        <v>300</v>
      </c>
      <c r="H1431" t="s">
        <v>69</v>
      </c>
      <c r="I1431" t="s">
        <v>1903</v>
      </c>
      <c r="J1431" s="10" t="str">
        <f>VLOOKUP(I1431,Categories!A:B,2,FALSE)</f>
        <v xml:space="preserve">Monthly subscription</v>
      </c>
      <c r="K1431" t="s">
        <v>178</v>
      </c>
      <c r="L1431" s="10" t="str">
        <f>VLOOKUP(K1431,Accounts!A:B,2,FALSE)</f>
        <v>SCB</v>
      </c>
      <c r="M1431" t="s">
        <v>124</v>
      </c>
      <c r="N1431" s="10"/>
      <c r="O1431" t="s">
        <v>125</v>
      </c>
      <c r="Q1431" t="s">
        <v>126</v>
      </c>
      <c r="R1431" t="s">
        <v>124</v>
      </c>
      <c r="S1431" t="b">
        <v>0</v>
      </c>
      <c r="T1431" t="s">
        <v>124</v>
      </c>
    </row>
    <row r="1432">
      <c r="A1432" t="s">
        <v>2951</v>
      </c>
      <c r="B1432" t="s">
        <v>2950</v>
      </c>
      <c r="C1432" s="2">
        <v>2023</v>
      </c>
      <c r="D1432" s="10">
        <v>7</v>
      </c>
      <c r="E1432" s="10">
        <v>9</v>
      </c>
      <c r="F1432" t="s">
        <v>1353</v>
      </c>
      <c r="G1432">
        <v>3490</v>
      </c>
      <c r="H1432" t="s">
        <v>69</v>
      </c>
      <c r="I1432" t="s">
        <v>1679</v>
      </c>
      <c r="J1432" s="10" t="str">
        <f>VLOOKUP(I1432,Categories!A:B,2,FALSE)</f>
        <v xml:space="preserve">Condo stuff</v>
      </c>
      <c r="K1432" t="s">
        <v>2317</v>
      </c>
      <c r="L1432" s="10" t="str">
        <f>VLOOKUP(K1432,Accounts!A:B,2,FALSE)</f>
        <v xml:space="preserve">Marriage account</v>
      </c>
      <c r="M1432" t="s">
        <v>124</v>
      </c>
      <c r="N1432" s="10"/>
      <c r="O1432" t="s">
        <v>2952</v>
      </c>
      <c r="Q1432" t="s">
        <v>126</v>
      </c>
      <c r="R1432" t="s">
        <v>124</v>
      </c>
      <c r="S1432" t="b">
        <v>0</v>
      </c>
      <c r="T1432" t="s">
        <v>124</v>
      </c>
    </row>
    <row r="1433">
      <c r="A1433" t="s">
        <v>2953</v>
      </c>
      <c r="B1433" t="s">
        <v>2950</v>
      </c>
      <c r="C1433" s="2">
        <v>2023</v>
      </c>
      <c r="D1433" s="10">
        <v>7</v>
      </c>
      <c r="E1433" s="10">
        <v>9</v>
      </c>
      <c r="F1433" t="s">
        <v>1353</v>
      </c>
      <c r="G1433">
        <v>800</v>
      </c>
      <c r="H1433" t="s">
        <v>69</v>
      </c>
      <c r="I1433" t="s">
        <v>150</v>
      </c>
      <c r="J1433" s="10" t="str">
        <f>VLOOKUP(I1433,Categories!A:B,2,FALSE)</f>
        <v xml:space="preserve">Food &amp; Coff</v>
      </c>
      <c r="K1433" t="s">
        <v>2317</v>
      </c>
      <c r="L1433" s="10" t="str">
        <f>VLOOKUP(K1433,Accounts!A:B,2,FALSE)</f>
        <v xml:space="preserve">Marriage account</v>
      </c>
      <c r="M1433" t="s">
        <v>124</v>
      </c>
      <c r="N1433" s="10"/>
      <c r="O1433" t="s">
        <v>1388</v>
      </c>
      <c r="Q1433" t="s">
        <v>126</v>
      </c>
      <c r="R1433" t="s">
        <v>124</v>
      </c>
      <c r="S1433" t="b">
        <v>0</v>
      </c>
      <c r="T1433" t="s">
        <v>124</v>
      </c>
    </row>
    <row r="1434">
      <c r="A1434" t="s">
        <v>2954</v>
      </c>
      <c r="B1434" t="s">
        <v>2950</v>
      </c>
      <c r="C1434" s="2">
        <v>2023</v>
      </c>
      <c r="D1434" s="10">
        <v>7</v>
      </c>
      <c r="E1434" s="10">
        <v>9</v>
      </c>
      <c r="F1434" t="s">
        <v>1346</v>
      </c>
      <c r="G1434">
        <v>545</v>
      </c>
      <c r="H1434" t="s">
        <v>69</v>
      </c>
      <c r="I1434" t="s">
        <v>1903</v>
      </c>
      <c r="J1434" s="10" t="str">
        <f>VLOOKUP(I1434,Categories!A:B,2,FALSE)</f>
        <v xml:space="preserve">Monthly subscription</v>
      </c>
      <c r="K1434" t="s">
        <v>2317</v>
      </c>
      <c r="L1434" s="10" t="str">
        <f>VLOOKUP(K1434,Accounts!A:B,2,FALSE)</f>
        <v xml:space="preserve">Marriage account</v>
      </c>
      <c r="M1434" t="s">
        <v>124</v>
      </c>
      <c r="N1434" s="10"/>
      <c r="O1434" t="s">
        <v>125</v>
      </c>
      <c r="Q1434" t="s">
        <v>126</v>
      </c>
      <c r="R1434" t="s">
        <v>124</v>
      </c>
      <c r="S1434" t="b">
        <v>0</v>
      </c>
      <c r="T1434" t="s">
        <v>124</v>
      </c>
    </row>
    <row r="1435">
      <c r="A1435" t="s">
        <v>2955</v>
      </c>
      <c r="B1435" t="s">
        <v>2956</v>
      </c>
      <c r="C1435" s="2">
        <v>2023</v>
      </c>
      <c r="D1435" s="10">
        <v>7</v>
      </c>
      <c r="E1435" s="10">
        <v>8</v>
      </c>
      <c r="F1435" t="s">
        <v>722</v>
      </c>
      <c r="G1435">
        <v>350</v>
      </c>
      <c r="H1435" t="s">
        <v>128</v>
      </c>
      <c r="I1435" t="s">
        <v>136</v>
      </c>
      <c r="J1435" s="10" t="str">
        <f>VLOOKUP(I1435,Categories!A:B,2,FALSE)</f>
        <v>อื่นๆ</v>
      </c>
      <c r="K1435" t="s">
        <v>2317</v>
      </c>
      <c r="L1435" s="10" t="str">
        <f>VLOOKUP(K1435,Accounts!A:B,2,FALSE)</f>
        <v xml:space="preserve">Marriage account</v>
      </c>
      <c r="M1435" t="s">
        <v>123</v>
      </c>
      <c r="N1435" s="10" t="str">
        <f>VLOOKUP(M1435,Accounts!A:B,2,FALSE)</f>
        <v>KBank</v>
      </c>
      <c r="O1435" t="s">
        <v>2957</v>
      </c>
      <c r="Q1435" t="s">
        <v>126</v>
      </c>
      <c r="R1435" t="s">
        <v>124</v>
      </c>
      <c r="S1435" t="b">
        <v>0</v>
      </c>
      <c r="T1435" t="s">
        <v>124</v>
      </c>
    </row>
    <row r="1436">
      <c r="A1436" t="s">
        <v>2958</v>
      </c>
      <c r="B1436" t="s">
        <v>2956</v>
      </c>
      <c r="C1436" s="2">
        <v>2023</v>
      </c>
      <c r="D1436" s="10">
        <v>7</v>
      </c>
      <c r="E1436" s="10">
        <v>8</v>
      </c>
      <c r="F1436" t="s">
        <v>2959</v>
      </c>
      <c r="G1436">
        <v>1830</v>
      </c>
      <c r="H1436" t="s">
        <v>128</v>
      </c>
      <c r="I1436" t="s">
        <v>136</v>
      </c>
      <c r="J1436" s="10" t="str">
        <f>VLOOKUP(I1436,Categories!A:B,2,FALSE)</f>
        <v>อื่นๆ</v>
      </c>
      <c r="K1436" t="s">
        <v>425</v>
      </c>
      <c r="L1436" s="10" t="str">
        <f>VLOOKUP(K1436,Accounts!A:B,2,FALSE)</f>
        <v>Cash</v>
      </c>
      <c r="M1436" t="s">
        <v>131</v>
      </c>
      <c r="N1436" s="10" t="str">
        <f>VLOOKUP(M1436,Accounts!A:B,2,FALSE)</f>
        <v xml:space="preserve">Advance Paid</v>
      </c>
      <c r="O1436" t="s">
        <v>2960</v>
      </c>
      <c r="Q1436" t="s">
        <v>126</v>
      </c>
      <c r="R1436" t="s">
        <v>124</v>
      </c>
      <c r="S1436" t="b">
        <v>0</v>
      </c>
      <c r="T1436" t="s">
        <v>124</v>
      </c>
    </row>
    <row r="1437">
      <c r="A1437" t="s">
        <v>2961</v>
      </c>
      <c r="B1437" t="s">
        <v>2956</v>
      </c>
      <c r="C1437" s="2">
        <v>2023</v>
      </c>
      <c r="D1437" s="10">
        <v>7</v>
      </c>
      <c r="E1437" s="10">
        <v>8</v>
      </c>
      <c r="F1437" t="s">
        <v>2445</v>
      </c>
      <c r="G1437">
        <v>1071.3499999999999</v>
      </c>
      <c r="H1437" t="s">
        <v>69</v>
      </c>
      <c r="I1437" t="s">
        <v>254</v>
      </c>
      <c r="J1437" s="10" t="str">
        <f>VLOOKUP(I1437,Categories!A:B,2,FALSE)</f>
        <v xml:space="preserve">Modified Bal.</v>
      </c>
      <c r="K1437" t="s">
        <v>893</v>
      </c>
      <c r="L1437" s="10" t="str">
        <f>VLOOKUP(K1437,Accounts!A:B,2,FALSE)</f>
        <v>Shopee</v>
      </c>
      <c r="M1437" t="s">
        <v>124</v>
      </c>
      <c r="N1437" s="10"/>
      <c r="O1437" t="s">
        <v>255</v>
      </c>
      <c r="Q1437" t="s">
        <v>126</v>
      </c>
      <c r="R1437" t="s">
        <v>124</v>
      </c>
      <c r="S1437" t="b">
        <v>0</v>
      </c>
      <c r="T1437" t="s">
        <v>124</v>
      </c>
    </row>
    <row r="1438">
      <c r="A1438" t="s">
        <v>2962</v>
      </c>
      <c r="B1438" t="s">
        <v>2956</v>
      </c>
      <c r="C1438" s="2">
        <v>2023</v>
      </c>
      <c r="D1438" s="10">
        <v>7</v>
      </c>
      <c r="E1438" s="10">
        <v>8</v>
      </c>
      <c r="F1438" t="s">
        <v>499</v>
      </c>
      <c r="G1438">
        <v>992</v>
      </c>
      <c r="H1438" t="s">
        <v>69</v>
      </c>
      <c r="I1438" t="s">
        <v>160</v>
      </c>
      <c r="J1438" s="10" t="str">
        <f>VLOOKUP(I1438,Categories!A:B,2,FALSE)</f>
        <v>Fashion</v>
      </c>
      <c r="K1438" t="s">
        <v>178</v>
      </c>
      <c r="L1438" s="10" t="str">
        <f>VLOOKUP(K1438,Accounts!A:B,2,FALSE)</f>
        <v>SCB</v>
      </c>
      <c r="M1438" t="s">
        <v>124</v>
      </c>
      <c r="N1438" s="10"/>
      <c r="O1438" t="s">
        <v>125</v>
      </c>
      <c r="Q1438" t="s">
        <v>126</v>
      </c>
      <c r="R1438" t="s">
        <v>124</v>
      </c>
      <c r="S1438" t="b">
        <v>0</v>
      </c>
      <c r="T1438" t="s">
        <v>124</v>
      </c>
    </row>
    <row r="1439">
      <c r="A1439" t="s">
        <v>2963</v>
      </c>
      <c r="B1439" t="s">
        <v>2956</v>
      </c>
      <c r="C1439" s="2">
        <v>2023</v>
      </c>
      <c r="D1439" s="10">
        <v>7</v>
      </c>
      <c r="E1439" s="10">
        <v>8</v>
      </c>
      <c r="F1439" t="s">
        <v>1875</v>
      </c>
      <c r="G1439">
        <v>2000</v>
      </c>
      <c r="H1439" t="s">
        <v>69</v>
      </c>
      <c r="I1439" t="s">
        <v>1455</v>
      </c>
      <c r="J1439" s="10" t="str">
        <f>VLOOKUP(I1439,Categories!A:B,2,FALSE)</f>
        <v xml:space="preserve">Merit and gift</v>
      </c>
      <c r="K1439" t="s">
        <v>178</v>
      </c>
      <c r="L1439" s="10" t="str">
        <f>VLOOKUP(K1439,Accounts!A:B,2,FALSE)</f>
        <v>SCB</v>
      </c>
      <c r="M1439" t="s">
        <v>124</v>
      </c>
      <c r="N1439" s="10"/>
      <c r="O1439" t="s">
        <v>2964</v>
      </c>
      <c r="Q1439" t="s">
        <v>126</v>
      </c>
      <c r="R1439" t="s">
        <v>124</v>
      </c>
      <c r="S1439" t="b">
        <v>0</v>
      </c>
      <c r="T1439" t="s">
        <v>124</v>
      </c>
    </row>
    <row r="1440">
      <c r="A1440" t="s">
        <v>2965</v>
      </c>
      <c r="B1440" t="s">
        <v>2966</v>
      </c>
      <c r="C1440" s="2">
        <v>2023</v>
      </c>
      <c r="D1440" s="10">
        <v>7</v>
      </c>
      <c r="E1440" s="10">
        <v>7</v>
      </c>
      <c r="F1440" t="s">
        <v>2967</v>
      </c>
      <c r="G1440">
        <v>147000</v>
      </c>
      <c r="H1440" t="s">
        <v>128</v>
      </c>
      <c r="I1440" t="s">
        <v>136</v>
      </c>
      <c r="J1440" s="10" t="str">
        <f>VLOOKUP(I1440,Categories!A:B,2,FALSE)</f>
        <v>อื่นๆ</v>
      </c>
      <c r="K1440" t="s">
        <v>178</v>
      </c>
      <c r="L1440" s="10" t="str">
        <f>VLOOKUP(K1440,Accounts!A:B,2,FALSE)</f>
        <v>SCB</v>
      </c>
      <c r="M1440" t="s">
        <v>123</v>
      </c>
      <c r="N1440" s="10" t="str">
        <f>VLOOKUP(M1440,Accounts!A:B,2,FALSE)</f>
        <v>KBank</v>
      </c>
      <c r="O1440" t="s">
        <v>125</v>
      </c>
      <c r="Q1440" t="s">
        <v>126</v>
      </c>
      <c r="R1440" t="s">
        <v>124</v>
      </c>
      <c r="S1440" t="b">
        <v>0</v>
      </c>
      <c r="T1440" t="s">
        <v>124</v>
      </c>
    </row>
    <row r="1441">
      <c r="A1441" t="s">
        <v>2968</v>
      </c>
      <c r="B1441" t="s">
        <v>2966</v>
      </c>
      <c r="C1441" s="2">
        <v>2023</v>
      </c>
      <c r="D1441" s="10">
        <v>7</v>
      </c>
      <c r="E1441" s="10">
        <v>7</v>
      </c>
      <c r="F1441" t="s">
        <v>2150</v>
      </c>
      <c r="G1441">
        <v>102</v>
      </c>
      <c r="H1441" t="s">
        <v>69</v>
      </c>
      <c r="I1441" t="s">
        <v>150</v>
      </c>
      <c r="J1441" s="10" t="str">
        <f>VLOOKUP(I1441,Categories!A:B,2,FALSE)</f>
        <v xml:space="preserve">Food &amp; Coff</v>
      </c>
      <c r="K1441" t="s">
        <v>123</v>
      </c>
      <c r="L1441" s="10" t="str">
        <f>VLOOKUP(K1441,Accounts!A:B,2,FALSE)</f>
        <v>KBank</v>
      </c>
      <c r="M1441" t="s">
        <v>124</v>
      </c>
      <c r="N1441" s="10"/>
      <c r="O1441" t="s">
        <v>125</v>
      </c>
      <c r="Q1441" t="s">
        <v>126</v>
      </c>
      <c r="R1441" t="s">
        <v>124</v>
      </c>
      <c r="S1441" t="b">
        <v>0</v>
      </c>
      <c r="T1441" t="s">
        <v>124</v>
      </c>
    </row>
    <row r="1442">
      <c r="A1442" t="s">
        <v>2969</v>
      </c>
      <c r="B1442" t="s">
        <v>2970</v>
      </c>
      <c r="C1442" s="2">
        <v>2023</v>
      </c>
      <c r="D1442" s="10">
        <v>7</v>
      </c>
      <c r="E1442" s="10">
        <v>6</v>
      </c>
      <c r="F1442" t="s">
        <v>2203</v>
      </c>
      <c r="G1442">
        <v>65</v>
      </c>
      <c r="H1442" t="s">
        <v>69</v>
      </c>
      <c r="I1442" t="s">
        <v>150</v>
      </c>
      <c r="J1442" s="10" t="str">
        <f>VLOOKUP(I1442,Categories!A:B,2,FALSE)</f>
        <v xml:space="preserve">Food &amp; Coff</v>
      </c>
      <c r="K1442" t="s">
        <v>123</v>
      </c>
      <c r="L1442" s="10" t="str">
        <f>VLOOKUP(K1442,Accounts!A:B,2,FALSE)</f>
        <v>KBank</v>
      </c>
      <c r="M1442" t="s">
        <v>124</v>
      </c>
      <c r="N1442" s="10"/>
      <c r="O1442" t="s">
        <v>125</v>
      </c>
      <c r="Q1442" t="s">
        <v>126</v>
      </c>
      <c r="R1442" t="s">
        <v>124</v>
      </c>
      <c r="S1442" t="b">
        <v>0</v>
      </c>
      <c r="T1442" t="s">
        <v>124</v>
      </c>
    </row>
    <row r="1443">
      <c r="A1443" t="s">
        <v>2971</v>
      </c>
      <c r="B1443" t="s">
        <v>2970</v>
      </c>
      <c r="C1443" s="2">
        <v>2023</v>
      </c>
      <c r="D1443" s="10">
        <v>7</v>
      </c>
      <c r="E1443" s="10">
        <v>6</v>
      </c>
      <c r="F1443" t="s">
        <v>2972</v>
      </c>
      <c r="G1443">
        <v>55</v>
      </c>
      <c r="H1443" t="s">
        <v>69</v>
      </c>
      <c r="I1443" t="s">
        <v>150</v>
      </c>
      <c r="J1443" s="10" t="str">
        <f>VLOOKUP(I1443,Categories!A:B,2,FALSE)</f>
        <v xml:space="preserve">Food &amp; Coff</v>
      </c>
      <c r="K1443" t="s">
        <v>123</v>
      </c>
      <c r="L1443" s="10" t="str">
        <f>VLOOKUP(K1443,Accounts!A:B,2,FALSE)</f>
        <v>KBank</v>
      </c>
      <c r="M1443" t="s">
        <v>124</v>
      </c>
      <c r="N1443" s="10"/>
      <c r="O1443" t="s">
        <v>125</v>
      </c>
      <c r="Q1443" t="s">
        <v>126</v>
      </c>
      <c r="R1443" t="s">
        <v>124</v>
      </c>
      <c r="S1443" t="b">
        <v>0</v>
      </c>
      <c r="T1443" t="s">
        <v>124</v>
      </c>
    </row>
    <row r="1444">
      <c r="A1444" t="s">
        <v>2973</v>
      </c>
      <c r="B1444" t="s">
        <v>39</v>
      </c>
      <c r="C1444" s="2">
        <v>2023</v>
      </c>
      <c r="D1444" s="10">
        <v>7</v>
      </c>
      <c r="E1444" s="10">
        <v>5</v>
      </c>
      <c r="F1444" t="s">
        <v>2384</v>
      </c>
      <c r="G1444">
        <v>60</v>
      </c>
      <c r="H1444" t="s">
        <v>69</v>
      </c>
      <c r="I1444" t="s">
        <v>150</v>
      </c>
      <c r="J1444" s="10" t="str">
        <f>VLOOKUP(I1444,Categories!A:B,2,FALSE)</f>
        <v xml:space="preserve">Food &amp; Coff</v>
      </c>
      <c r="K1444" t="s">
        <v>123</v>
      </c>
      <c r="L1444" s="10" t="str">
        <f>VLOOKUP(K1444,Accounts!A:B,2,FALSE)</f>
        <v>KBank</v>
      </c>
      <c r="M1444" t="s">
        <v>124</v>
      </c>
      <c r="N1444" s="10"/>
      <c r="O1444" t="s">
        <v>125</v>
      </c>
      <c r="Q1444" t="s">
        <v>126</v>
      </c>
      <c r="R1444" t="s">
        <v>124</v>
      </c>
      <c r="S1444" t="b">
        <v>0</v>
      </c>
      <c r="T1444" t="s">
        <v>124</v>
      </c>
    </row>
    <row r="1445">
      <c r="A1445" t="s">
        <v>2974</v>
      </c>
      <c r="B1445" t="s">
        <v>39</v>
      </c>
      <c r="C1445" s="2">
        <v>2023</v>
      </c>
      <c r="D1445" s="10">
        <v>7</v>
      </c>
      <c r="E1445" s="10">
        <v>5</v>
      </c>
      <c r="F1445" t="s">
        <v>1714</v>
      </c>
      <c r="G1445">
        <v>50000</v>
      </c>
      <c r="H1445" t="s">
        <v>128</v>
      </c>
      <c r="I1445" t="s">
        <v>136</v>
      </c>
      <c r="J1445" s="10" t="str">
        <f>VLOOKUP(I1445,Categories!A:B,2,FALSE)</f>
        <v>อื่นๆ</v>
      </c>
      <c r="K1445" t="s">
        <v>123</v>
      </c>
      <c r="L1445" s="10" t="str">
        <f>VLOOKUP(K1445,Accounts!A:B,2,FALSE)</f>
        <v>KBank</v>
      </c>
      <c r="M1445" t="s">
        <v>215</v>
      </c>
      <c r="N1445" s="10" t="str">
        <f>VLOOKUP(M1445,Accounts!A:B,2,FALSE)</f>
        <v>Investment</v>
      </c>
      <c r="O1445" t="s">
        <v>2490</v>
      </c>
      <c r="Q1445" t="s">
        <v>126</v>
      </c>
      <c r="R1445" t="s">
        <v>124</v>
      </c>
      <c r="S1445" t="b">
        <v>0</v>
      </c>
      <c r="T1445" t="s">
        <v>124</v>
      </c>
    </row>
    <row r="1446">
      <c r="A1446" t="s">
        <v>2975</v>
      </c>
      <c r="B1446" t="s">
        <v>39</v>
      </c>
      <c r="C1446" s="2">
        <v>2023</v>
      </c>
      <c r="D1446" s="10">
        <v>7</v>
      </c>
      <c r="E1446" s="10">
        <v>5</v>
      </c>
      <c r="F1446" t="s">
        <v>2150</v>
      </c>
      <c r="G1446">
        <v>205</v>
      </c>
      <c r="H1446" t="s">
        <v>69</v>
      </c>
      <c r="I1446" t="s">
        <v>150</v>
      </c>
      <c r="J1446" s="10" t="str">
        <f>VLOOKUP(I1446,Categories!A:B,2,FALSE)</f>
        <v xml:space="preserve">Food &amp; Coff</v>
      </c>
      <c r="K1446" t="s">
        <v>123</v>
      </c>
      <c r="L1446" s="10" t="str">
        <f>VLOOKUP(K1446,Accounts!A:B,2,FALSE)</f>
        <v>KBank</v>
      </c>
      <c r="M1446" t="s">
        <v>124</v>
      </c>
      <c r="N1446" s="10"/>
      <c r="O1446" t="s">
        <v>125</v>
      </c>
      <c r="Q1446" t="s">
        <v>126</v>
      </c>
      <c r="R1446" t="s">
        <v>124</v>
      </c>
      <c r="S1446" t="b">
        <v>0</v>
      </c>
      <c r="T1446" t="s">
        <v>124</v>
      </c>
    </row>
    <row r="1447">
      <c r="A1447" t="s">
        <v>2976</v>
      </c>
      <c r="B1447" t="s">
        <v>39</v>
      </c>
      <c r="C1447" s="2">
        <v>2023</v>
      </c>
      <c r="D1447" s="10">
        <v>7</v>
      </c>
      <c r="E1447" s="10">
        <v>5</v>
      </c>
      <c r="F1447" t="s">
        <v>1621</v>
      </c>
      <c r="G1447">
        <v>100</v>
      </c>
      <c r="H1447" t="s">
        <v>69</v>
      </c>
      <c r="I1447" t="s">
        <v>150</v>
      </c>
      <c r="J1447" s="10" t="str">
        <f>VLOOKUP(I1447,Categories!A:B,2,FALSE)</f>
        <v xml:space="preserve">Food &amp; Coff</v>
      </c>
      <c r="K1447" t="s">
        <v>123</v>
      </c>
      <c r="L1447" s="10" t="str">
        <f>VLOOKUP(K1447,Accounts!A:B,2,FALSE)</f>
        <v>KBank</v>
      </c>
      <c r="M1447" t="s">
        <v>124</v>
      </c>
      <c r="N1447" s="10"/>
      <c r="O1447" t="s">
        <v>125</v>
      </c>
      <c r="Q1447" t="s">
        <v>126</v>
      </c>
      <c r="R1447" t="s">
        <v>124</v>
      </c>
      <c r="S1447" t="b">
        <v>0</v>
      </c>
      <c r="T1447" t="s">
        <v>124</v>
      </c>
    </row>
    <row r="1448">
      <c r="A1448" t="s">
        <v>2977</v>
      </c>
      <c r="B1448" t="s">
        <v>2978</v>
      </c>
      <c r="C1448" s="2">
        <v>2023</v>
      </c>
      <c r="D1448" s="10">
        <v>7</v>
      </c>
      <c r="E1448" s="10">
        <v>4</v>
      </c>
      <c r="F1448" t="s">
        <v>2150</v>
      </c>
      <c r="G1448">
        <v>75</v>
      </c>
      <c r="H1448" t="s">
        <v>69</v>
      </c>
      <c r="I1448" t="s">
        <v>150</v>
      </c>
      <c r="J1448" s="10" t="str">
        <f>VLOOKUP(I1448,Categories!A:B,2,FALSE)</f>
        <v xml:space="preserve">Food &amp; Coff</v>
      </c>
      <c r="K1448" t="s">
        <v>123</v>
      </c>
      <c r="L1448" s="10" t="str">
        <f>VLOOKUP(K1448,Accounts!A:B,2,FALSE)</f>
        <v>KBank</v>
      </c>
      <c r="M1448" t="s">
        <v>124</v>
      </c>
      <c r="N1448" s="10"/>
      <c r="O1448" t="s">
        <v>125</v>
      </c>
      <c r="Q1448" t="s">
        <v>126</v>
      </c>
      <c r="R1448" t="s">
        <v>124</v>
      </c>
      <c r="S1448" t="b">
        <v>0</v>
      </c>
      <c r="T1448" t="s">
        <v>124</v>
      </c>
    </row>
    <row r="1449">
      <c r="A1449" t="s">
        <v>2979</v>
      </c>
      <c r="B1449" t="s">
        <v>2978</v>
      </c>
      <c r="C1449" s="2">
        <v>2023</v>
      </c>
      <c r="D1449" s="10">
        <v>7</v>
      </c>
      <c r="E1449" s="10">
        <v>4</v>
      </c>
      <c r="F1449" t="s">
        <v>897</v>
      </c>
      <c r="G1449">
        <v>300</v>
      </c>
      <c r="H1449" t="s">
        <v>69</v>
      </c>
      <c r="I1449" t="s">
        <v>259</v>
      </c>
      <c r="J1449" s="10" t="str">
        <f>VLOOKUP(I1449,Categories!A:B,2,FALSE)</f>
        <v xml:space="preserve">Team BOT</v>
      </c>
      <c r="K1449" t="s">
        <v>123</v>
      </c>
      <c r="L1449" s="10" t="str">
        <f>VLOOKUP(K1449,Accounts!A:B,2,FALSE)</f>
        <v>KBank</v>
      </c>
      <c r="M1449" t="s">
        <v>124</v>
      </c>
      <c r="N1449" s="10"/>
      <c r="O1449" t="s">
        <v>125</v>
      </c>
      <c r="Q1449" t="s">
        <v>126</v>
      </c>
      <c r="R1449" t="s">
        <v>124</v>
      </c>
      <c r="S1449" t="b">
        <v>0</v>
      </c>
      <c r="T1449" t="s">
        <v>124</v>
      </c>
    </row>
    <row r="1450">
      <c r="A1450" t="s">
        <v>2980</v>
      </c>
      <c r="B1450" t="s">
        <v>2981</v>
      </c>
      <c r="C1450" s="2">
        <v>2023</v>
      </c>
      <c r="D1450" s="10">
        <v>7</v>
      </c>
      <c r="E1450" s="10">
        <v>3</v>
      </c>
      <c r="F1450" t="s">
        <v>1513</v>
      </c>
      <c r="G1450">
        <v>57</v>
      </c>
      <c r="H1450" t="s">
        <v>69</v>
      </c>
      <c r="I1450" t="s">
        <v>150</v>
      </c>
      <c r="J1450" s="10" t="str">
        <f>VLOOKUP(I1450,Categories!A:B,2,FALSE)</f>
        <v xml:space="preserve">Food &amp; Coff</v>
      </c>
      <c r="K1450" t="s">
        <v>123</v>
      </c>
      <c r="L1450" s="10" t="str">
        <f>VLOOKUP(K1450,Accounts!A:B,2,FALSE)</f>
        <v>KBank</v>
      </c>
      <c r="M1450" t="s">
        <v>124</v>
      </c>
      <c r="N1450" s="10"/>
      <c r="O1450" t="s">
        <v>125</v>
      </c>
      <c r="Q1450" t="s">
        <v>126</v>
      </c>
      <c r="R1450" t="s">
        <v>124</v>
      </c>
      <c r="S1450" t="b">
        <v>0</v>
      </c>
      <c r="T1450" t="s">
        <v>124</v>
      </c>
    </row>
    <row r="1451">
      <c r="A1451" t="s">
        <v>2982</v>
      </c>
      <c r="B1451" t="s">
        <v>2981</v>
      </c>
      <c r="C1451" s="2">
        <v>2023</v>
      </c>
      <c r="D1451" s="10">
        <v>7</v>
      </c>
      <c r="E1451" s="10">
        <v>3</v>
      </c>
      <c r="F1451" t="s">
        <v>2983</v>
      </c>
      <c r="G1451">
        <v>2000</v>
      </c>
      <c r="H1451" t="s">
        <v>128</v>
      </c>
      <c r="I1451" t="s">
        <v>136</v>
      </c>
      <c r="J1451" s="10" t="str">
        <f>VLOOKUP(I1451,Categories!A:B,2,FALSE)</f>
        <v>อื่นๆ</v>
      </c>
      <c r="K1451" t="s">
        <v>123</v>
      </c>
      <c r="L1451" s="10" t="str">
        <f>VLOOKUP(K1451,Accounts!A:B,2,FALSE)</f>
        <v>KBank</v>
      </c>
      <c r="M1451" t="s">
        <v>425</v>
      </c>
      <c r="N1451" s="10" t="str">
        <f>VLOOKUP(M1451,Accounts!A:B,2,FALSE)</f>
        <v>Cash</v>
      </c>
      <c r="O1451" t="s">
        <v>125</v>
      </c>
      <c r="Q1451" t="s">
        <v>126</v>
      </c>
      <c r="R1451" t="s">
        <v>124</v>
      </c>
      <c r="S1451" t="b">
        <v>0</v>
      </c>
      <c r="T1451" t="s">
        <v>124</v>
      </c>
    </row>
    <row r="1452">
      <c r="A1452" t="s">
        <v>2984</v>
      </c>
      <c r="B1452" t="s">
        <v>2985</v>
      </c>
      <c r="C1452" s="2">
        <v>2023</v>
      </c>
      <c r="D1452" s="10">
        <v>7</v>
      </c>
      <c r="E1452" s="10">
        <v>2</v>
      </c>
      <c r="F1452" t="s">
        <v>713</v>
      </c>
      <c r="G1452">
        <v>10000</v>
      </c>
      <c r="H1452" t="s">
        <v>69</v>
      </c>
      <c r="I1452" t="s">
        <v>144</v>
      </c>
      <c r="J1452" s="10" t="str">
        <f>VLOOKUP(I1452,Categories!A:B,2,FALSE)</f>
        <v xml:space="preserve">Family paid</v>
      </c>
      <c r="K1452" t="s">
        <v>425</v>
      </c>
      <c r="L1452" s="10" t="str">
        <f>VLOOKUP(K1452,Accounts!A:B,2,FALSE)</f>
        <v>Cash</v>
      </c>
      <c r="M1452" t="s">
        <v>124</v>
      </c>
      <c r="N1452" s="10"/>
      <c r="O1452" t="s">
        <v>125</v>
      </c>
      <c r="Q1452" t="s">
        <v>126</v>
      </c>
      <c r="R1452" t="s">
        <v>124</v>
      </c>
      <c r="S1452" t="b">
        <v>0</v>
      </c>
      <c r="T1452" t="s">
        <v>124</v>
      </c>
    </row>
    <row r="1453">
      <c r="A1453" t="s">
        <v>2986</v>
      </c>
      <c r="B1453" t="s">
        <v>2985</v>
      </c>
      <c r="C1453" s="2">
        <v>2023</v>
      </c>
      <c r="D1453" s="10">
        <v>7</v>
      </c>
      <c r="E1453" s="10">
        <v>2</v>
      </c>
      <c r="F1453" t="s">
        <v>1132</v>
      </c>
      <c r="G1453">
        <v>329</v>
      </c>
      <c r="H1453" t="s">
        <v>69</v>
      </c>
      <c r="I1453" t="s">
        <v>152</v>
      </c>
      <c r="J1453" s="10" t="str">
        <f>VLOOKUP(I1453,Categories!A:B,2,FALSE)</f>
        <v xml:space="preserve">Office Suit</v>
      </c>
      <c r="K1453" t="s">
        <v>178</v>
      </c>
      <c r="L1453" s="10" t="str">
        <f>VLOOKUP(K1453,Accounts!A:B,2,FALSE)</f>
        <v>SCB</v>
      </c>
      <c r="M1453" t="s">
        <v>124</v>
      </c>
      <c r="N1453" s="10"/>
      <c r="O1453" t="s">
        <v>125</v>
      </c>
      <c r="Q1453" t="s">
        <v>126</v>
      </c>
      <c r="R1453" t="s">
        <v>124</v>
      </c>
      <c r="S1453" t="b">
        <v>0</v>
      </c>
      <c r="T1453" t="s">
        <v>124</v>
      </c>
    </row>
    <row r="1454">
      <c r="A1454" t="s">
        <v>2987</v>
      </c>
      <c r="B1454" t="s">
        <v>2985</v>
      </c>
      <c r="C1454" s="2">
        <v>2023</v>
      </c>
      <c r="D1454" s="10">
        <v>7</v>
      </c>
      <c r="E1454" s="10">
        <v>2</v>
      </c>
      <c r="F1454" t="s">
        <v>1784</v>
      </c>
      <c r="G1454">
        <v>10000</v>
      </c>
      <c r="H1454" t="s">
        <v>128</v>
      </c>
      <c r="I1454" t="s">
        <v>136</v>
      </c>
      <c r="J1454" s="10" t="str">
        <f>VLOOKUP(I1454,Categories!A:B,2,FALSE)</f>
        <v>อื่นๆ</v>
      </c>
      <c r="K1454" t="s">
        <v>178</v>
      </c>
      <c r="L1454" s="10" t="str">
        <f>VLOOKUP(K1454,Accounts!A:B,2,FALSE)</f>
        <v>SCB</v>
      </c>
      <c r="M1454" t="s">
        <v>425</v>
      </c>
      <c r="N1454" s="10" t="str">
        <f>VLOOKUP(M1454,Accounts!A:B,2,FALSE)</f>
        <v>Cash</v>
      </c>
      <c r="O1454" t="s">
        <v>125</v>
      </c>
      <c r="Q1454" t="s">
        <v>126</v>
      </c>
      <c r="R1454" t="s">
        <v>124</v>
      </c>
      <c r="S1454" t="b">
        <v>0</v>
      </c>
      <c r="T1454" t="s">
        <v>124</v>
      </c>
    </row>
    <row r="1455">
      <c r="A1455" t="s">
        <v>2988</v>
      </c>
      <c r="B1455" t="s">
        <v>2989</v>
      </c>
      <c r="C1455" s="2">
        <v>2023</v>
      </c>
      <c r="D1455" s="10">
        <v>7</v>
      </c>
      <c r="E1455" s="10">
        <v>1</v>
      </c>
      <c r="F1455" t="s">
        <v>2267</v>
      </c>
      <c r="G1455">
        <v>219</v>
      </c>
      <c r="H1455" t="s">
        <v>69</v>
      </c>
      <c r="I1455" t="s">
        <v>150</v>
      </c>
      <c r="J1455" s="10" t="str">
        <f>VLOOKUP(I1455,Categories!A:B,2,FALSE)</f>
        <v xml:space="preserve">Food &amp; Coff</v>
      </c>
      <c r="K1455" t="s">
        <v>123</v>
      </c>
      <c r="L1455" s="10" t="str">
        <f>VLOOKUP(K1455,Accounts!A:B,2,FALSE)</f>
        <v>KBank</v>
      </c>
      <c r="M1455" t="s">
        <v>124</v>
      </c>
      <c r="N1455" s="10"/>
      <c r="O1455" t="s">
        <v>125</v>
      </c>
      <c r="Q1455" t="s">
        <v>126</v>
      </c>
      <c r="R1455" t="s">
        <v>124</v>
      </c>
      <c r="S1455" t="b">
        <v>0</v>
      </c>
      <c r="T1455" t="s">
        <v>124</v>
      </c>
    </row>
    <row r="1456">
      <c r="A1456" t="s">
        <v>2990</v>
      </c>
      <c r="B1456" t="s">
        <v>2991</v>
      </c>
      <c r="C1456" s="2">
        <v>2023</v>
      </c>
      <c r="D1456" s="10">
        <v>6</v>
      </c>
      <c r="E1456" s="10">
        <v>30</v>
      </c>
      <c r="F1456" t="s">
        <v>2992</v>
      </c>
      <c r="G1456">
        <v>50</v>
      </c>
      <c r="H1456" t="s">
        <v>69</v>
      </c>
      <c r="I1456" t="s">
        <v>150</v>
      </c>
      <c r="J1456" s="10" t="str">
        <f>VLOOKUP(I1456,Categories!A:B,2,FALSE)</f>
        <v xml:space="preserve">Food &amp; Coff</v>
      </c>
      <c r="K1456" t="s">
        <v>123</v>
      </c>
      <c r="L1456" s="10" t="str">
        <f>VLOOKUP(K1456,Accounts!A:B,2,FALSE)</f>
        <v>KBank</v>
      </c>
      <c r="M1456" t="s">
        <v>124</v>
      </c>
      <c r="N1456" s="10"/>
      <c r="O1456" t="s">
        <v>125</v>
      </c>
      <c r="Q1456" t="s">
        <v>126</v>
      </c>
      <c r="R1456" t="s">
        <v>124</v>
      </c>
      <c r="S1456" t="b">
        <v>0</v>
      </c>
      <c r="T1456" t="s">
        <v>124</v>
      </c>
    </row>
    <row r="1457">
      <c r="A1457" t="s">
        <v>2993</v>
      </c>
      <c r="B1457" t="s">
        <v>2991</v>
      </c>
      <c r="C1457" s="2">
        <v>2023</v>
      </c>
      <c r="D1457" s="10">
        <v>6</v>
      </c>
      <c r="E1457" s="10">
        <v>30</v>
      </c>
      <c r="F1457" t="s">
        <v>1797</v>
      </c>
      <c r="G1457">
        <v>122</v>
      </c>
      <c r="H1457" t="s">
        <v>69</v>
      </c>
      <c r="I1457" t="s">
        <v>150</v>
      </c>
      <c r="J1457" s="10" t="str">
        <f>VLOOKUP(I1457,Categories!A:B,2,FALSE)</f>
        <v xml:space="preserve">Food &amp; Coff</v>
      </c>
      <c r="K1457" t="s">
        <v>123</v>
      </c>
      <c r="L1457" s="10" t="str">
        <f>VLOOKUP(K1457,Accounts!A:B,2,FALSE)</f>
        <v>KBank</v>
      </c>
      <c r="M1457" t="s">
        <v>124</v>
      </c>
      <c r="N1457" s="10"/>
      <c r="O1457" t="s">
        <v>125</v>
      </c>
      <c r="Q1457" t="s">
        <v>126</v>
      </c>
      <c r="R1457" t="s">
        <v>124</v>
      </c>
      <c r="S1457" t="b">
        <v>0</v>
      </c>
      <c r="T1457" t="s">
        <v>124</v>
      </c>
    </row>
    <row r="1458">
      <c r="A1458" t="s">
        <v>2994</v>
      </c>
      <c r="B1458" t="s">
        <v>2991</v>
      </c>
      <c r="C1458" s="2">
        <v>2023</v>
      </c>
      <c r="D1458" s="10">
        <v>6</v>
      </c>
      <c r="E1458" s="10">
        <v>30</v>
      </c>
      <c r="F1458" t="s">
        <v>2709</v>
      </c>
      <c r="G1458">
        <v>80</v>
      </c>
      <c r="H1458" t="s">
        <v>69</v>
      </c>
      <c r="I1458" t="s">
        <v>150</v>
      </c>
      <c r="J1458" s="10" t="str">
        <f>VLOOKUP(I1458,Categories!A:B,2,FALSE)</f>
        <v xml:space="preserve">Food &amp; Coff</v>
      </c>
      <c r="K1458" t="s">
        <v>123</v>
      </c>
      <c r="L1458" s="10" t="str">
        <f>VLOOKUP(K1458,Accounts!A:B,2,FALSE)</f>
        <v>KBank</v>
      </c>
      <c r="M1458" t="s">
        <v>124</v>
      </c>
      <c r="N1458" s="10"/>
      <c r="O1458" t="s">
        <v>125</v>
      </c>
      <c r="Q1458" t="s">
        <v>126</v>
      </c>
      <c r="R1458" t="s">
        <v>124</v>
      </c>
      <c r="S1458" t="b">
        <v>0</v>
      </c>
      <c r="T1458" t="s">
        <v>124</v>
      </c>
    </row>
    <row r="1459">
      <c r="A1459" t="s">
        <v>2995</v>
      </c>
      <c r="B1459" t="s">
        <v>2991</v>
      </c>
      <c r="C1459" s="2">
        <v>2023</v>
      </c>
      <c r="D1459" s="10">
        <v>6</v>
      </c>
      <c r="E1459" s="10">
        <v>30</v>
      </c>
      <c r="F1459" t="s">
        <v>373</v>
      </c>
      <c r="G1459">
        <v>250</v>
      </c>
      <c r="H1459" t="s">
        <v>69</v>
      </c>
      <c r="I1459" t="s">
        <v>150</v>
      </c>
      <c r="J1459" s="10" t="str">
        <f>VLOOKUP(I1459,Categories!A:B,2,FALSE)</f>
        <v xml:space="preserve">Food &amp; Coff</v>
      </c>
      <c r="K1459" t="s">
        <v>123</v>
      </c>
      <c r="L1459" s="10" t="str">
        <f>VLOOKUP(K1459,Accounts!A:B,2,FALSE)</f>
        <v>KBank</v>
      </c>
      <c r="M1459" t="s">
        <v>124</v>
      </c>
      <c r="N1459" s="10"/>
      <c r="O1459" t="s">
        <v>125</v>
      </c>
      <c r="Q1459" t="s">
        <v>126</v>
      </c>
      <c r="R1459" t="s">
        <v>124</v>
      </c>
      <c r="S1459" t="b">
        <v>0</v>
      </c>
      <c r="T1459" t="s">
        <v>124</v>
      </c>
    </row>
    <row r="1460">
      <c r="A1460" t="s">
        <v>2996</v>
      </c>
      <c r="B1460" t="s">
        <v>2991</v>
      </c>
      <c r="C1460" s="2">
        <v>2023</v>
      </c>
      <c r="D1460" s="10">
        <v>6</v>
      </c>
      <c r="E1460" s="10">
        <v>30</v>
      </c>
      <c r="F1460" t="s">
        <v>2307</v>
      </c>
      <c r="G1460">
        <v>3767.1300000000001</v>
      </c>
      <c r="H1460" t="s">
        <v>206</v>
      </c>
      <c r="I1460" t="s">
        <v>254</v>
      </c>
      <c r="J1460" s="10" t="str">
        <f>VLOOKUP(I1460,Categories!A:B,2,FALSE)</f>
        <v xml:space="preserve">Modified Bal.</v>
      </c>
      <c r="K1460" t="s">
        <v>1308</v>
      </c>
      <c r="L1460" s="10" t="str">
        <f>VLOOKUP(K1460,Accounts!A:B,2,FALSE)</f>
        <v xml:space="preserve">UOB Privilages</v>
      </c>
      <c r="M1460" t="s">
        <v>124</v>
      </c>
      <c r="N1460" s="10"/>
      <c r="O1460" t="s">
        <v>255</v>
      </c>
      <c r="Q1460" t="s">
        <v>126</v>
      </c>
      <c r="R1460" t="s">
        <v>124</v>
      </c>
      <c r="S1460" t="b">
        <v>0</v>
      </c>
      <c r="T1460" t="s">
        <v>124</v>
      </c>
    </row>
    <row r="1461">
      <c r="A1461" t="s">
        <v>2997</v>
      </c>
      <c r="B1461" t="s">
        <v>2991</v>
      </c>
      <c r="C1461" s="2">
        <v>2023</v>
      </c>
      <c r="D1461" s="10">
        <v>6</v>
      </c>
      <c r="E1461" s="10">
        <v>30</v>
      </c>
      <c r="F1461" t="s">
        <v>234</v>
      </c>
      <c r="G1461">
        <v>3190</v>
      </c>
      <c r="H1461" t="s">
        <v>69</v>
      </c>
      <c r="I1461" t="s">
        <v>141</v>
      </c>
      <c r="J1461" s="10" t="str">
        <f>VLOOKUP(I1461,Categories!A:B,2,FALSE)</f>
        <v>Other</v>
      </c>
      <c r="K1461" t="s">
        <v>2862</v>
      </c>
      <c r="L1461" s="10" t="str">
        <f>VLOOKUP(K1461,Accounts!A:B,2,FALSE)</f>
        <v xml:space="preserve">Kbank onesiam</v>
      </c>
      <c r="M1461" t="s">
        <v>124</v>
      </c>
      <c r="N1461" s="10"/>
      <c r="O1461" t="s">
        <v>2998</v>
      </c>
      <c r="Q1461" t="s">
        <v>126</v>
      </c>
      <c r="R1461" t="s">
        <v>124</v>
      </c>
      <c r="S1461" t="b">
        <v>0</v>
      </c>
      <c r="T1461" t="s">
        <v>124</v>
      </c>
    </row>
    <row r="1462">
      <c r="A1462" t="s">
        <v>2999</v>
      </c>
      <c r="B1462" t="s">
        <v>3000</v>
      </c>
      <c r="C1462" s="2">
        <v>2023</v>
      </c>
      <c r="D1462" s="10">
        <v>6</v>
      </c>
      <c r="E1462" s="10">
        <v>29</v>
      </c>
      <c r="F1462" t="s">
        <v>3001</v>
      </c>
      <c r="G1462">
        <v>3000</v>
      </c>
      <c r="H1462" t="s">
        <v>128</v>
      </c>
      <c r="I1462" t="s">
        <v>136</v>
      </c>
      <c r="J1462" s="10" t="str">
        <f>VLOOKUP(I1462,Categories!A:B,2,FALSE)</f>
        <v>อื่นๆ</v>
      </c>
      <c r="K1462" t="s">
        <v>178</v>
      </c>
      <c r="L1462" s="10" t="str">
        <f>VLOOKUP(K1462,Accounts!A:B,2,FALSE)</f>
        <v>SCB</v>
      </c>
      <c r="M1462" t="s">
        <v>425</v>
      </c>
      <c r="N1462" s="10" t="str">
        <f>VLOOKUP(M1462,Accounts!A:B,2,FALSE)</f>
        <v>Cash</v>
      </c>
      <c r="O1462" t="s">
        <v>125</v>
      </c>
      <c r="Q1462" t="s">
        <v>126</v>
      </c>
      <c r="R1462" t="s">
        <v>124</v>
      </c>
      <c r="S1462" t="b">
        <v>0</v>
      </c>
      <c r="T1462" t="s">
        <v>124</v>
      </c>
    </row>
    <row r="1463">
      <c r="A1463" t="s">
        <v>3002</v>
      </c>
      <c r="B1463" t="s">
        <v>3000</v>
      </c>
      <c r="C1463" s="2">
        <v>2023</v>
      </c>
      <c r="D1463" s="10">
        <v>6</v>
      </c>
      <c r="E1463" s="10">
        <v>29</v>
      </c>
      <c r="F1463" t="s">
        <v>1332</v>
      </c>
      <c r="G1463">
        <v>930</v>
      </c>
      <c r="H1463" t="s">
        <v>128</v>
      </c>
      <c r="I1463" t="s">
        <v>136</v>
      </c>
      <c r="J1463" s="10" t="str">
        <f>VLOOKUP(I1463,Categories!A:B,2,FALSE)</f>
        <v>อื่นๆ</v>
      </c>
      <c r="K1463" t="s">
        <v>425</v>
      </c>
      <c r="L1463" s="10" t="str">
        <f>VLOOKUP(K1463,Accounts!A:B,2,FALSE)</f>
        <v>Cash</v>
      </c>
      <c r="M1463" t="s">
        <v>178</v>
      </c>
      <c r="N1463" s="10" t="str">
        <f>VLOOKUP(M1463,Accounts!A:B,2,FALSE)</f>
        <v>SCB</v>
      </c>
      <c r="O1463" t="s">
        <v>125</v>
      </c>
      <c r="Q1463" t="s">
        <v>126</v>
      </c>
      <c r="R1463" t="s">
        <v>124</v>
      </c>
      <c r="S1463" t="b">
        <v>0</v>
      </c>
      <c r="T1463" t="s">
        <v>124</v>
      </c>
    </row>
    <row r="1464">
      <c r="A1464" t="s">
        <v>3003</v>
      </c>
      <c r="B1464" t="s">
        <v>3000</v>
      </c>
      <c r="C1464" s="2">
        <v>2023</v>
      </c>
      <c r="D1464" s="10">
        <v>6</v>
      </c>
      <c r="E1464" s="10">
        <v>29</v>
      </c>
      <c r="F1464" t="s">
        <v>1332</v>
      </c>
      <c r="G1464">
        <v>465</v>
      </c>
      <c r="H1464" t="s">
        <v>69</v>
      </c>
      <c r="I1464" t="s">
        <v>150</v>
      </c>
      <c r="J1464" s="10" t="str">
        <f>VLOOKUP(I1464,Categories!A:B,2,FALSE)</f>
        <v xml:space="preserve">Food &amp; Coff</v>
      </c>
      <c r="K1464" t="s">
        <v>425</v>
      </c>
      <c r="L1464" s="10" t="str">
        <f>VLOOKUP(K1464,Accounts!A:B,2,FALSE)</f>
        <v>Cash</v>
      </c>
      <c r="M1464" t="s">
        <v>124</v>
      </c>
      <c r="N1464" s="10"/>
      <c r="O1464" t="s">
        <v>125</v>
      </c>
      <c r="Q1464" t="s">
        <v>126</v>
      </c>
      <c r="R1464" t="s">
        <v>124</v>
      </c>
      <c r="S1464" t="b">
        <v>0</v>
      </c>
      <c r="T1464" t="s">
        <v>124</v>
      </c>
    </row>
    <row r="1465">
      <c r="A1465" t="s">
        <v>3004</v>
      </c>
      <c r="B1465" t="s">
        <v>3000</v>
      </c>
      <c r="C1465" s="2">
        <v>2023</v>
      </c>
      <c r="D1465" s="10">
        <v>6</v>
      </c>
      <c r="E1465" s="10">
        <v>29</v>
      </c>
      <c r="F1465" t="s">
        <v>3005</v>
      </c>
      <c r="G1465">
        <v>55</v>
      </c>
      <c r="H1465" t="s">
        <v>69</v>
      </c>
      <c r="I1465" t="s">
        <v>150</v>
      </c>
      <c r="J1465" s="10" t="str">
        <f>VLOOKUP(I1465,Categories!A:B,2,FALSE)</f>
        <v xml:space="preserve">Food &amp; Coff</v>
      </c>
      <c r="K1465" t="s">
        <v>123</v>
      </c>
      <c r="L1465" s="10" t="str">
        <f>VLOOKUP(K1465,Accounts!A:B,2,FALSE)</f>
        <v>KBank</v>
      </c>
      <c r="M1465" t="s">
        <v>124</v>
      </c>
      <c r="N1465" s="10"/>
      <c r="O1465" t="s">
        <v>125</v>
      </c>
      <c r="Q1465" t="s">
        <v>126</v>
      </c>
      <c r="R1465" t="s">
        <v>124</v>
      </c>
      <c r="S1465" t="b">
        <v>0</v>
      </c>
      <c r="T1465" t="s">
        <v>124</v>
      </c>
    </row>
    <row r="1466">
      <c r="A1466" t="s">
        <v>3006</v>
      </c>
      <c r="B1466" t="s">
        <v>3007</v>
      </c>
      <c r="C1466" s="2">
        <v>2023</v>
      </c>
      <c r="D1466" s="10">
        <v>6</v>
      </c>
      <c r="E1466" s="10">
        <v>28</v>
      </c>
      <c r="F1466" t="s">
        <v>3008</v>
      </c>
      <c r="G1466">
        <v>60</v>
      </c>
      <c r="H1466" t="s">
        <v>69</v>
      </c>
      <c r="I1466" t="s">
        <v>150</v>
      </c>
      <c r="J1466" s="10" t="str">
        <f>VLOOKUP(I1466,Categories!A:B,2,FALSE)</f>
        <v xml:space="preserve">Food &amp; Coff</v>
      </c>
      <c r="K1466" t="s">
        <v>123</v>
      </c>
      <c r="L1466" s="10" t="str">
        <f>VLOOKUP(K1466,Accounts!A:B,2,FALSE)</f>
        <v>KBank</v>
      </c>
      <c r="M1466" t="s">
        <v>124</v>
      </c>
      <c r="N1466" s="10"/>
      <c r="O1466" t="s">
        <v>125</v>
      </c>
      <c r="Q1466" t="s">
        <v>126</v>
      </c>
      <c r="R1466" t="s">
        <v>124</v>
      </c>
      <c r="S1466" t="b">
        <v>0</v>
      </c>
      <c r="T1466" t="s">
        <v>124</v>
      </c>
    </row>
    <row r="1467">
      <c r="A1467" t="s">
        <v>3009</v>
      </c>
      <c r="B1467" t="s">
        <v>3007</v>
      </c>
      <c r="C1467" s="2">
        <v>2023</v>
      </c>
      <c r="D1467" s="10">
        <v>6</v>
      </c>
      <c r="E1467" s="10">
        <v>28</v>
      </c>
      <c r="F1467" t="s">
        <v>1815</v>
      </c>
      <c r="G1467">
        <v>150</v>
      </c>
      <c r="H1467" t="s">
        <v>69</v>
      </c>
      <c r="I1467" t="s">
        <v>150</v>
      </c>
      <c r="J1467" s="10" t="str">
        <f>VLOOKUP(I1467,Categories!A:B,2,FALSE)</f>
        <v xml:space="preserve">Food &amp; Coff</v>
      </c>
      <c r="K1467" t="s">
        <v>123</v>
      </c>
      <c r="L1467" s="10" t="str">
        <f>VLOOKUP(K1467,Accounts!A:B,2,FALSE)</f>
        <v>KBank</v>
      </c>
      <c r="M1467" t="s">
        <v>124</v>
      </c>
      <c r="N1467" s="10"/>
      <c r="O1467" t="s">
        <v>125</v>
      </c>
      <c r="Q1467" t="s">
        <v>126</v>
      </c>
      <c r="R1467" t="s">
        <v>124</v>
      </c>
      <c r="S1467" t="b">
        <v>0</v>
      </c>
      <c r="T1467" t="s">
        <v>124</v>
      </c>
    </row>
    <row r="1468">
      <c r="A1468" t="s">
        <v>3010</v>
      </c>
      <c r="B1468" t="s">
        <v>3007</v>
      </c>
      <c r="C1468" s="2">
        <v>2023</v>
      </c>
      <c r="D1468" s="10">
        <v>6</v>
      </c>
      <c r="E1468" s="10">
        <v>28</v>
      </c>
      <c r="F1468" t="s">
        <v>1152</v>
      </c>
      <c r="G1468">
        <v>140</v>
      </c>
      <c r="H1468" t="s">
        <v>69</v>
      </c>
      <c r="I1468" t="s">
        <v>150</v>
      </c>
      <c r="J1468" s="10" t="str">
        <f>VLOOKUP(I1468,Categories!A:B,2,FALSE)</f>
        <v xml:space="preserve">Food &amp; Coff</v>
      </c>
      <c r="K1468" t="s">
        <v>123</v>
      </c>
      <c r="L1468" s="10" t="str">
        <f>VLOOKUP(K1468,Accounts!A:B,2,FALSE)</f>
        <v>KBank</v>
      </c>
      <c r="M1468" t="s">
        <v>124</v>
      </c>
      <c r="N1468" s="10"/>
      <c r="O1468" t="s">
        <v>125</v>
      </c>
      <c r="Q1468" t="s">
        <v>126</v>
      </c>
      <c r="R1468" t="s">
        <v>124</v>
      </c>
      <c r="S1468" t="b">
        <v>0</v>
      </c>
      <c r="T1468" t="s">
        <v>124</v>
      </c>
    </row>
    <row r="1469">
      <c r="A1469" t="s">
        <v>3011</v>
      </c>
      <c r="B1469" t="s">
        <v>3012</v>
      </c>
      <c r="C1469" s="2">
        <v>2023</v>
      </c>
      <c r="D1469" s="10">
        <v>6</v>
      </c>
      <c r="E1469" s="10">
        <v>27</v>
      </c>
      <c r="F1469" t="s">
        <v>121</v>
      </c>
      <c r="G1469">
        <v>9240</v>
      </c>
      <c r="H1469" t="s">
        <v>128</v>
      </c>
      <c r="I1469" t="s">
        <v>136</v>
      </c>
      <c r="J1469" s="10" t="str">
        <f>VLOOKUP(I1469,Categories!A:B,2,FALSE)</f>
        <v>อื่นๆ</v>
      </c>
      <c r="K1469" t="s">
        <v>178</v>
      </c>
      <c r="L1469" s="10" t="str">
        <f>VLOOKUP(K1469,Accounts!A:B,2,FALSE)</f>
        <v>SCB</v>
      </c>
      <c r="M1469" t="s">
        <v>1246</v>
      </c>
      <c r="N1469" s="10" t="str">
        <f>VLOOKUP(M1469,Accounts!A:B,2,FALSE)</f>
        <v xml:space="preserve">Car Loan</v>
      </c>
      <c r="O1469" t="s">
        <v>125</v>
      </c>
      <c r="Q1469" t="s">
        <v>126</v>
      </c>
      <c r="R1469" t="s">
        <v>124</v>
      </c>
      <c r="S1469" t="b">
        <v>0</v>
      </c>
      <c r="T1469" t="s">
        <v>124</v>
      </c>
    </row>
    <row r="1470">
      <c r="A1470" t="s">
        <v>3013</v>
      </c>
      <c r="B1470" t="s">
        <v>3012</v>
      </c>
      <c r="C1470" s="2">
        <v>2023</v>
      </c>
      <c r="D1470" s="10">
        <v>6</v>
      </c>
      <c r="E1470" s="10">
        <v>27</v>
      </c>
      <c r="F1470" t="s">
        <v>121</v>
      </c>
      <c r="G1470">
        <v>500</v>
      </c>
      <c r="H1470" t="s">
        <v>128</v>
      </c>
      <c r="I1470" t="s">
        <v>136</v>
      </c>
      <c r="J1470" s="10" t="str">
        <f>VLOOKUP(I1470,Categories!A:B,2,FALSE)</f>
        <v>อื่นๆ</v>
      </c>
      <c r="K1470" t="s">
        <v>178</v>
      </c>
      <c r="L1470" s="10" t="str">
        <f>VLOOKUP(K1470,Accounts!A:B,2,FALSE)</f>
        <v>SCB</v>
      </c>
      <c r="M1470" t="s">
        <v>201</v>
      </c>
      <c r="N1470" s="10" t="str">
        <f>VLOOKUP(M1470,Accounts!A:B,2,FALSE)</f>
        <v>Coop</v>
      </c>
      <c r="O1470" t="s">
        <v>125</v>
      </c>
      <c r="Q1470" t="s">
        <v>126</v>
      </c>
      <c r="R1470" t="s">
        <v>124</v>
      </c>
      <c r="S1470" t="b">
        <v>0</v>
      </c>
      <c r="T1470" t="s">
        <v>124</v>
      </c>
    </row>
    <row r="1471">
      <c r="A1471" t="s">
        <v>3014</v>
      </c>
      <c r="B1471" t="s">
        <v>3012</v>
      </c>
      <c r="C1471" s="2">
        <v>2023</v>
      </c>
      <c r="D1471" s="10">
        <v>6</v>
      </c>
      <c r="E1471" s="10">
        <v>27</v>
      </c>
      <c r="F1471" t="s">
        <v>121</v>
      </c>
      <c r="G1471">
        <v>7915</v>
      </c>
      <c r="H1471" t="s">
        <v>128</v>
      </c>
      <c r="I1471" t="s">
        <v>136</v>
      </c>
      <c r="J1471" s="10" t="str">
        <f>VLOOKUP(I1471,Categories!A:B,2,FALSE)</f>
        <v>อื่นๆ</v>
      </c>
      <c r="K1471" t="s">
        <v>178</v>
      </c>
      <c r="L1471" s="10" t="str">
        <f>VLOOKUP(K1471,Accounts!A:B,2,FALSE)</f>
        <v>SCB</v>
      </c>
      <c r="M1471" t="s">
        <v>1244</v>
      </c>
      <c r="N1471" s="10" t="str">
        <f>VLOOKUP(M1471,Accounts!A:B,2,FALSE)</f>
        <v xml:space="preserve">Home chomthong Loan</v>
      </c>
      <c r="O1471" t="s">
        <v>125</v>
      </c>
      <c r="Q1471" t="s">
        <v>126</v>
      </c>
      <c r="R1471" t="s">
        <v>124</v>
      </c>
      <c r="S1471" t="b">
        <v>0</v>
      </c>
      <c r="T1471" t="s">
        <v>124</v>
      </c>
    </row>
    <row r="1472">
      <c r="A1472" t="s">
        <v>3015</v>
      </c>
      <c r="B1472" t="s">
        <v>3012</v>
      </c>
      <c r="C1472" s="2">
        <v>2023</v>
      </c>
      <c r="D1472" s="10">
        <v>6</v>
      </c>
      <c r="E1472" s="10">
        <v>27</v>
      </c>
      <c r="F1472" t="s">
        <v>121</v>
      </c>
      <c r="G1472">
        <v>2242</v>
      </c>
      <c r="H1472" t="s">
        <v>128</v>
      </c>
      <c r="I1472" t="s">
        <v>136</v>
      </c>
      <c r="J1472" s="10" t="str">
        <f>VLOOKUP(I1472,Categories!A:B,2,FALSE)</f>
        <v>อื่นๆ</v>
      </c>
      <c r="K1472" t="s">
        <v>178</v>
      </c>
      <c r="L1472" s="10" t="str">
        <f>VLOOKUP(K1472,Accounts!A:B,2,FALSE)</f>
        <v>SCB</v>
      </c>
      <c r="M1472" t="s">
        <v>203</v>
      </c>
      <c r="N1472" s="10" t="str">
        <f>VLOOKUP(M1472,Accounts!A:B,2,FALSE)</f>
        <v xml:space="preserve">Provident Fund</v>
      </c>
      <c r="O1472" t="s">
        <v>125</v>
      </c>
      <c r="Q1472" t="s">
        <v>126</v>
      </c>
      <c r="R1472" t="s">
        <v>124</v>
      </c>
      <c r="S1472" t="b">
        <v>0</v>
      </c>
      <c r="T1472" t="s">
        <v>124</v>
      </c>
    </row>
    <row r="1473">
      <c r="A1473" t="s">
        <v>3016</v>
      </c>
      <c r="B1473" t="s">
        <v>3012</v>
      </c>
      <c r="C1473" s="2">
        <v>2023</v>
      </c>
      <c r="D1473" s="10">
        <v>6</v>
      </c>
      <c r="E1473" s="10">
        <v>27</v>
      </c>
      <c r="F1473" t="s">
        <v>121</v>
      </c>
      <c r="G1473">
        <v>7837.1000000000004</v>
      </c>
      <c r="H1473" t="s">
        <v>69</v>
      </c>
      <c r="I1473" t="s">
        <v>195</v>
      </c>
      <c r="J1473" s="10" t="str">
        <f>VLOOKUP(I1473,Categories!A:B,2,FALSE)</f>
        <v>Tax</v>
      </c>
      <c r="K1473" t="s">
        <v>178</v>
      </c>
      <c r="L1473" s="10" t="str">
        <f>VLOOKUP(K1473,Accounts!A:B,2,FALSE)</f>
        <v>SCB</v>
      </c>
      <c r="M1473" t="s">
        <v>124</v>
      </c>
      <c r="N1473" s="10"/>
      <c r="O1473" t="s">
        <v>125</v>
      </c>
      <c r="Q1473" t="s">
        <v>126</v>
      </c>
      <c r="R1473" t="s">
        <v>124</v>
      </c>
      <c r="S1473" t="b">
        <v>0</v>
      </c>
      <c r="T1473" t="s">
        <v>124</v>
      </c>
    </row>
    <row r="1474">
      <c r="A1474" t="s">
        <v>3017</v>
      </c>
      <c r="B1474" t="s">
        <v>3012</v>
      </c>
      <c r="C1474" s="2">
        <v>2023</v>
      </c>
      <c r="D1474" s="10">
        <v>6</v>
      </c>
      <c r="E1474" s="10">
        <v>27</v>
      </c>
      <c r="F1474" t="s">
        <v>121</v>
      </c>
      <c r="G1474">
        <v>2608.8499999999999</v>
      </c>
      <c r="H1474" t="s">
        <v>69</v>
      </c>
      <c r="I1474" t="s">
        <v>199</v>
      </c>
      <c r="J1474" s="10" t="str">
        <f>VLOOKUP(I1474,Categories!A:B,2,FALSE)</f>
        <v xml:space="preserve">Home Chomthong Interest</v>
      </c>
      <c r="K1474" t="s">
        <v>178</v>
      </c>
      <c r="L1474" s="10" t="str">
        <f>VLOOKUP(K1474,Accounts!A:B,2,FALSE)</f>
        <v>SCB</v>
      </c>
      <c r="M1474" t="s">
        <v>124</v>
      </c>
      <c r="N1474" s="10"/>
      <c r="O1474" t="s">
        <v>125</v>
      </c>
      <c r="Q1474" t="s">
        <v>126</v>
      </c>
      <c r="R1474" t="s">
        <v>124</v>
      </c>
      <c r="S1474" t="b">
        <v>0</v>
      </c>
      <c r="T1474" t="s">
        <v>124</v>
      </c>
    </row>
    <row r="1475">
      <c r="A1475" t="s">
        <v>3018</v>
      </c>
      <c r="B1475" t="s">
        <v>3012</v>
      </c>
      <c r="C1475" s="2">
        <v>2023</v>
      </c>
      <c r="D1475" s="10">
        <v>6</v>
      </c>
      <c r="E1475" s="10">
        <v>27</v>
      </c>
      <c r="F1475" t="s">
        <v>121</v>
      </c>
      <c r="G1475">
        <v>380.69999999999999</v>
      </c>
      <c r="H1475" t="s">
        <v>69</v>
      </c>
      <c r="I1475" t="s">
        <v>443</v>
      </c>
      <c r="J1475" s="10" t="str">
        <f>VLOOKUP(I1475,Categories!A:B,2,FALSE)</f>
        <v xml:space="preserve">City SV Interest</v>
      </c>
      <c r="K1475" t="s">
        <v>178</v>
      </c>
      <c r="L1475" s="10" t="str">
        <f>VLOOKUP(K1475,Accounts!A:B,2,FALSE)</f>
        <v>SCB</v>
      </c>
      <c r="M1475" t="s">
        <v>124</v>
      </c>
      <c r="N1475" s="10"/>
      <c r="O1475" t="s">
        <v>125</v>
      </c>
      <c r="Q1475" t="s">
        <v>126</v>
      </c>
      <c r="R1475" t="s">
        <v>124</v>
      </c>
      <c r="S1475" t="b">
        <v>0</v>
      </c>
      <c r="T1475" t="s">
        <v>124</v>
      </c>
    </row>
    <row r="1476">
      <c r="A1476" t="s">
        <v>3019</v>
      </c>
      <c r="B1476" t="s">
        <v>3012</v>
      </c>
      <c r="C1476" s="2">
        <v>2023</v>
      </c>
      <c r="D1476" s="10">
        <v>6</v>
      </c>
      <c r="E1476" s="10">
        <v>27</v>
      </c>
      <c r="F1476" t="s">
        <v>121</v>
      </c>
      <c r="G1476">
        <v>112100</v>
      </c>
      <c r="H1476" t="s">
        <v>206</v>
      </c>
      <c r="I1476" t="s">
        <v>207</v>
      </c>
      <c r="J1476" s="10" t="str">
        <f>VLOOKUP(I1476,Categories!A:B,2,FALSE)</f>
        <v>Salary</v>
      </c>
      <c r="K1476" t="s">
        <v>178</v>
      </c>
      <c r="L1476" s="10" t="str">
        <f>VLOOKUP(K1476,Accounts!A:B,2,FALSE)</f>
        <v>SCB</v>
      </c>
      <c r="M1476" t="s">
        <v>124</v>
      </c>
      <c r="N1476" s="10"/>
      <c r="O1476" t="s">
        <v>125</v>
      </c>
      <c r="Q1476" t="s">
        <v>126</v>
      </c>
      <c r="R1476" t="s">
        <v>124</v>
      </c>
      <c r="S1476" t="b">
        <v>0</v>
      </c>
      <c r="T1476" t="s">
        <v>124</v>
      </c>
    </row>
    <row r="1477">
      <c r="A1477" t="s">
        <v>3020</v>
      </c>
      <c r="B1477" t="s">
        <v>3012</v>
      </c>
      <c r="C1477" s="2">
        <v>2023</v>
      </c>
      <c r="D1477" s="10">
        <v>6</v>
      </c>
      <c r="E1477" s="10">
        <v>27</v>
      </c>
      <c r="F1477" t="s">
        <v>121</v>
      </c>
      <c r="G1477">
        <v>56050</v>
      </c>
      <c r="H1477" t="s">
        <v>206</v>
      </c>
      <c r="I1477" t="s">
        <v>207</v>
      </c>
      <c r="J1477" s="10" t="str">
        <f>VLOOKUP(I1477,Categories!A:B,2,FALSE)</f>
        <v>Salary</v>
      </c>
      <c r="K1477" t="s">
        <v>178</v>
      </c>
      <c r="L1477" s="10" t="str">
        <f>VLOOKUP(K1477,Accounts!A:B,2,FALSE)</f>
        <v>SCB</v>
      </c>
      <c r="M1477" t="s">
        <v>124</v>
      </c>
      <c r="N1477" s="10"/>
      <c r="O1477" t="s">
        <v>1719</v>
      </c>
      <c r="Q1477" t="s">
        <v>126</v>
      </c>
      <c r="R1477" t="s">
        <v>124</v>
      </c>
      <c r="S1477" t="b">
        <v>0</v>
      </c>
      <c r="T1477" t="s">
        <v>124</v>
      </c>
    </row>
    <row r="1478">
      <c r="A1478" t="s">
        <v>3021</v>
      </c>
      <c r="B1478" t="s">
        <v>3012</v>
      </c>
      <c r="C1478" s="2">
        <v>2023</v>
      </c>
      <c r="D1478" s="10">
        <v>6</v>
      </c>
      <c r="E1478" s="10">
        <v>27</v>
      </c>
      <c r="F1478" t="s">
        <v>2495</v>
      </c>
      <c r="G1478">
        <v>1000</v>
      </c>
      <c r="H1478" t="s">
        <v>69</v>
      </c>
      <c r="I1478" t="s">
        <v>150</v>
      </c>
      <c r="J1478" s="10" t="str">
        <f>VLOOKUP(I1478,Categories!A:B,2,FALSE)</f>
        <v xml:space="preserve">Food &amp; Coff</v>
      </c>
      <c r="K1478" t="s">
        <v>123</v>
      </c>
      <c r="L1478" s="10" t="str">
        <f>VLOOKUP(K1478,Accounts!A:B,2,FALSE)</f>
        <v>KBank</v>
      </c>
      <c r="M1478" t="s">
        <v>124</v>
      </c>
      <c r="N1478" s="10"/>
      <c r="O1478" t="s">
        <v>2885</v>
      </c>
      <c r="Q1478" t="s">
        <v>126</v>
      </c>
      <c r="R1478" t="s">
        <v>124</v>
      </c>
      <c r="S1478" t="b">
        <v>0</v>
      </c>
      <c r="T1478" t="s">
        <v>124</v>
      </c>
    </row>
    <row r="1479">
      <c r="A1479" t="s">
        <v>3022</v>
      </c>
      <c r="B1479" t="s">
        <v>3012</v>
      </c>
      <c r="C1479" s="2">
        <v>2023</v>
      </c>
      <c r="D1479" s="10">
        <v>6</v>
      </c>
      <c r="E1479" s="10">
        <v>27</v>
      </c>
      <c r="F1479" t="s">
        <v>154</v>
      </c>
      <c r="G1479">
        <v>55</v>
      </c>
      <c r="H1479" t="s">
        <v>69</v>
      </c>
      <c r="I1479" t="s">
        <v>150</v>
      </c>
      <c r="J1479" s="10" t="str">
        <f>VLOOKUP(I1479,Categories!A:B,2,FALSE)</f>
        <v xml:space="preserve">Food &amp; Coff</v>
      </c>
      <c r="K1479" t="s">
        <v>123</v>
      </c>
      <c r="L1479" s="10" t="str">
        <f>VLOOKUP(K1479,Accounts!A:B,2,FALSE)</f>
        <v>KBank</v>
      </c>
      <c r="M1479" t="s">
        <v>124</v>
      </c>
      <c r="N1479" s="10"/>
      <c r="O1479" t="s">
        <v>125</v>
      </c>
      <c r="Q1479" t="s">
        <v>126</v>
      </c>
      <c r="R1479" t="s">
        <v>124</v>
      </c>
      <c r="S1479" t="b">
        <v>0</v>
      </c>
      <c r="T1479" t="s">
        <v>124</v>
      </c>
    </row>
    <row r="1480">
      <c r="A1480" t="s">
        <v>3023</v>
      </c>
      <c r="B1480" t="s">
        <v>3024</v>
      </c>
      <c r="C1480" s="2">
        <v>2023</v>
      </c>
      <c r="D1480" s="10">
        <v>6</v>
      </c>
      <c r="E1480" s="10">
        <v>25</v>
      </c>
      <c r="F1480" t="s">
        <v>3025</v>
      </c>
      <c r="G1480">
        <v>1830</v>
      </c>
      <c r="H1480" t="s">
        <v>69</v>
      </c>
      <c r="I1480" t="s">
        <v>338</v>
      </c>
      <c r="J1480" s="10" t="str">
        <f>VLOOKUP(I1480,Categories!A:B,2,FALSE)</f>
        <v>Trips</v>
      </c>
      <c r="K1480" t="s">
        <v>425</v>
      </c>
      <c r="L1480" s="10" t="str">
        <f>VLOOKUP(K1480,Accounts!A:B,2,FALSE)</f>
        <v>Cash</v>
      </c>
      <c r="M1480" t="s">
        <v>124</v>
      </c>
      <c r="N1480" s="10"/>
      <c r="O1480" t="s">
        <v>3026</v>
      </c>
      <c r="Q1480" t="s">
        <v>126</v>
      </c>
      <c r="R1480" t="s">
        <v>124</v>
      </c>
      <c r="S1480" t="b">
        <v>0</v>
      </c>
      <c r="T1480" t="s">
        <v>124</v>
      </c>
    </row>
    <row r="1481">
      <c r="A1481" t="s">
        <v>3027</v>
      </c>
      <c r="B1481" t="s">
        <v>3024</v>
      </c>
      <c r="C1481" s="2">
        <v>2023</v>
      </c>
      <c r="D1481" s="10">
        <v>6</v>
      </c>
      <c r="E1481" s="10">
        <v>25</v>
      </c>
      <c r="F1481" t="s">
        <v>2696</v>
      </c>
      <c r="G1481">
        <v>1261</v>
      </c>
      <c r="H1481" t="s">
        <v>206</v>
      </c>
      <c r="I1481" t="s">
        <v>281</v>
      </c>
      <c r="J1481" s="10" t="str">
        <f>VLOOKUP(I1481,Categories!A:B,2,FALSE)</f>
        <v>Others</v>
      </c>
      <c r="K1481" t="s">
        <v>178</v>
      </c>
      <c r="L1481" s="10" t="str">
        <f>VLOOKUP(K1481,Accounts!A:B,2,FALSE)</f>
        <v>SCB</v>
      </c>
      <c r="M1481" t="s">
        <v>124</v>
      </c>
      <c r="N1481" s="10"/>
      <c r="O1481" t="s">
        <v>125</v>
      </c>
      <c r="Q1481" t="s">
        <v>126</v>
      </c>
      <c r="R1481" t="s">
        <v>124</v>
      </c>
      <c r="S1481" t="b">
        <v>0</v>
      </c>
      <c r="T1481" t="s">
        <v>124</v>
      </c>
    </row>
    <row r="1482">
      <c r="A1482" t="s">
        <v>3028</v>
      </c>
      <c r="B1482" t="s">
        <v>3024</v>
      </c>
      <c r="C1482" s="2">
        <v>2023</v>
      </c>
      <c r="D1482" s="10">
        <v>6</v>
      </c>
      <c r="E1482" s="10">
        <v>25</v>
      </c>
      <c r="F1482" t="s">
        <v>2198</v>
      </c>
      <c r="G1482">
        <v>1015</v>
      </c>
      <c r="H1482" t="s">
        <v>69</v>
      </c>
      <c r="I1482" t="s">
        <v>1679</v>
      </c>
      <c r="J1482" s="10" t="str">
        <f>VLOOKUP(I1482,Categories!A:B,2,FALSE)</f>
        <v xml:space="preserve">Condo stuff</v>
      </c>
      <c r="K1482" t="s">
        <v>123</v>
      </c>
      <c r="L1482" s="10" t="str">
        <f>VLOOKUP(K1482,Accounts!A:B,2,FALSE)</f>
        <v>KBank</v>
      </c>
      <c r="M1482" t="s">
        <v>124</v>
      </c>
      <c r="N1482" s="10"/>
      <c r="O1482" t="s">
        <v>125</v>
      </c>
      <c r="Q1482" t="s">
        <v>126</v>
      </c>
      <c r="R1482" t="s">
        <v>124</v>
      </c>
      <c r="S1482" t="b">
        <v>0</v>
      </c>
      <c r="T1482" t="s">
        <v>124</v>
      </c>
    </row>
    <row r="1483">
      <c r="A1483" t="s">
        <v>3029</v>
      </c>
      <c r="B1483" t="s">
        <v>3024</v>
      </c>
      <c r="C1483" s="2">
        <v>2023</v>
      </c>
      <c r="D1483" s="10">
        <v>6</v>
      </c>
      <c r="E1483" s="10">
        <v>25</v>
      </c>
      <c r="F1483" t="s">
        <v>3030</v>
      </c>
      <c r="G1483">
        <v>1678</v>
      </c>
      <c r="H1483" t="s">
        <v>128</v>
      </c>
      <c r="I1483" t="s">
        <v>136</v>
      </c>
      <c r="J1483" s="10" t="str">
        <f>VLOOKUP(I1483,Categories!A:B,2,FALSE)</f>
        <v>อื่นๆ</v>
      </c>
      <c r="K1483" t="s">
        <v>123</v>
      </c>
      <c r="L1483" s="10" t="str">
        <f>VLOOKUP(K1483,Accounts!A:B,2,FALSE)</f>
        <v>KBank</v>
      </c>
      <c r="M1483" t="s">
        <v>2317</v>
      </c>
      <c r="N1483" s="10" t="str">
        <f>VLOOKUP(M1483,Accounts!A:B,2,FALSE)</f>
        <v xml:space="preserve">Marriage account</v>
      </c>
      <c r="O1483" t="s">
        <v>125</v>
      </c>
      <c r="Q1483" t="s">
        <v>126</v>
      </c>
      <c r="R1483" t="s">
        <v>124</v>
      </c>
      <c r="S1483" t="b">
        <v>0</v>
      </c>
      <c r="T1483" t="s">
        <v>124</v>
      </c>
    </row>
    <row r="1484">
      <c r="A1484" t="s">
        <v>3031</v>
      </c>
      <c r="B1484" t="s">
        <v>3024</v>
      </c>
      <c r="C1484" s="2">
        <v>2023</v>
      </c>
      <c r="D1484" s="10">
        <v>6</v>
      </c>
      <c r="E1484" s="10">
        <v>25</v>
      </c>
      <c r="F1484" t="s">
        <v>3032</v>
      </c>
      <c r="G1484">
        <v>15822</v>
      </c>
      <c r="H1484" t="s">
        <v>128</v>
      </c>
      <c r="I1484" t="s">
        <v>136</v>
      </c>
      <c r="J1484" s="10" t="str">
        <f>VLOOKUP(I1484,Categories!A:B,2,FALSE)</f>
        <v>อื่นๆ</v>
      </c>
      <c r="K1484" t="s">
        <v>178</v>
      </c>
      <c r="L1484" s="10" t="str">
        <f>VLOOKUP(K1484,Accounts!A:B,2,FALSE)</f>
        <v>SCB</v>
      </c>
      <c r="M1484" t="s">
        <v>2317</v>
      </c>
      <c r="N1484" s="10" t="str">
        <f>VLOOKUP(M1484,Accounts!A:B,2,FALSE)</f>
        <v xml:space="preserve">Marriage account</v>
      </c>
      <c r="O1484" t="s">
        <v>3033</v>
      </c>
      <c r="Q1484" t="s">
        <v>126</v>
      </c>
      <c r="R1484" t="s">
        <v>124</v>
      </c>
      <c r="S1484" t="b">
        <v>0</v>
      </c>
      <c r="T1484" t="s">
        <v>124</v>
      </c>
    </row>
    <row r="1485">
      <c r="A1485" t="s">
        <v>3034</v>
      </c>
      <c r="B1485" t="s">
        <v>3024</v>
      </c>
      <c r="C1485" s="2">
        <v>2023</v>
      </c>
      <c r="D1485" s="10">
        <v>6</v>
      </c>
      <c r="E1485" s="10">
        <v>25</v>
      </c>
      <c r="F1485" t="s">
        <v>3035</v>
      </c>
      <c r="G1485">
        <v>3190</v>
      </c>
      <c r="H1485" t="s">
        <v>128</v>
      </c>
      <c r="I1485" t="s">
        <v>136</v>
      </c>
      <c r="J1485" s="10" t="str">
        <f>VLOOKUP(I1485,Categories!A:B,2,FALSE)</f>
        <v>อื่นๆ</v>
      </c>
      <c r="K1485" t="s">
        <v>123</v>
      </c>
      <c r="L1485" s="10" t="str">
        <f>VLOOKUP(K1485,Accounts!A:B,2,FALSE)</f>
        <v>KBank</v>
      </c>
      <c r="M1485" t="s">
        <v>2862</v>
      </c>
      <c r="N1485" s="10" t="str">
        <f>VLOOKUP(M1485,Accounts!A:B,2,FALSE)</f>
        <v xml:space="preserve">Kbank onesiam</v>
      </c>
      <c r="O1485" t="s">
        <v>125</v>
      </c>
      <c r="Q1485" t="s">
        <v>126</v>
      </c>
      <c r="R1485" t="s">
        <v>124</v>
      </c>
      <c r="S1485" t="b">
        <v>0</v>
      </c>
      <c r="T1485" t="s">
        <v>124</v>
      </c>
    </row>
    <row r="1486">
      <c r="A1486" t="s">
        <v>3036</v>
      </c>
      <c r="B1486" t="s">
        <v>3037</v>
      </c>
      <c r="C1486" s="2">
        <v>2023</v>
      </c>
      <c r="D1486" s="10">
        <v>6</v>
      </c>
      <c r="E1486" s="10">
        <v>24</v>
      </c>
      <c r="F1486" t="s">
        <v>3038</v>
      </c>
      <c r="G1486">
        <v>113.66</v>
      </c>
      <c r="H1486" t="s">
        <v>69</v>
      </c>
      <c r="I1486" t="s">
        <v>150</v>
      </c>
      <c r="J1486" s="10" t="str">
        <f>VLOOKUP(I1486,Categories!A:B,2,FALSE)</f>
        <v xml:space="preserve">Food &amp; Coff</v>
      </c>
      <c r="K1486" t="s">
        <v>2504</v>
      </c>
      <c r="L1486" s="10" t="str">
        <f>VLOOKUP(K1486,Accounts!A:B,2,FALSE)</f>
        <v xml:space="preserve">krw cash</v>
      </c>
      <c r="M1486" t="s">
        <v>124</v>
      </c>
      <c r="N1486" s="10"/>
      <c r="O1486" t="s">
        <v>3039</v>
      </c>
      <c r="Q1486" t="s">
        <v>126</v>
      </c>
      <c r="R1486" t="s">
        <v>124</v>
      </c>
      <c r="S1486" t="b">
        <v>0</v>
      </c>
      <c r="T1486" t="s">
        <v>124</v>
      </c>
    </row>
    <row r="1487">
      <c r="A1487" t="s">
        <v>3040</v>
      </c>
      <c r="B1487" t="s">
        <v>3037</v>
      </c>
      <c r="C1487" s="2">
        <v>2023</v>
      </c>
      <c r="D1487" s="10">
        <v>6</v>
      </c>
      <c r="E1487" s="10">
        <v>24</v>
      </c>
      <c r="F1487" t="s">
        <v>2498</v>
      </c>
      <c r="G1487">
        <v>294.98000000000002</v>
      </c>
      <c r="H1487" t="s">
        <v>69</v>
      </c>
      <c r="I1487" t="s">
        <v>150</v>
      </c>
      <c r="J1487" s="10" t="str">
        <f>VLOOKUP(I1487,Categories!A:B,2,FALSE)</f>
        <v xml:space="preserve">Food &amp; Coff</v>
      </c>
      <c r="K1487" t="s">
        <v>2516</v>
      </c>
      <c r="L1487" s="10" t="str">
        <f>VLOOKUP(K1487,Accounts!A:B,2,FALSE)</f>
        <v>Travelcard</v>
      </c>
      <c r="M1487" t="s">
        <v>124</v>
      </c>
      <c r="N1487" s="10"/>
      <c r="O1487" t="s">
        <v>3041</v>
      </c>
      <c r="Q1487" t="s">
        <v>126</v>
      </c>
      <c r="R1487" t="s">
        <v>124</v>
      </c>
      <c r="S1487" t="b">
        <v>0</v>
      </c>
      <c r="T1487" t="s">
        <v>124</v>
      </c>
    </row>
    <row r="1488">
      <c r="A1488" t="s">
        <v>3042</v>
      </c>
      <c r="B1488" t="s">
        <v>3037</v>
      </c>
      <c r="C1488" s="2">
        <v>2023</v>
      </c>
      <c r="D1488" s="10">
        <v>6</v>
      </c>
      <c r="E1488" s="10">
        <v>24</v>
      </c>
      <c r="F1488" t="s">
        <v>345</v>
      </c>
      <c r="G1488">
        <v>1242.1500000000001</v>
      </c>
      <c r="H1488" t="s">
        <v>69</v>
      </c>
      <c r="I1488" t="s">
        <v>338</v>
      </c>
      <c r="J1488" s="10" t="str">
        <f>VLOOKUP(I1488,Categories!A:B,2,FALSE)</f>
        <v>Trips</v>
      </c>
      <c r="K1488" t="s">
        <v>2516</v>
      </c>
      <c r="L1488" s="10" t="str">
        <f>VLOOKUP(K1488,Accounts!A:B,2,FALSE)</f>
        <v>Travelcard</v>
      </c>
      <c r="M1488" t="s">
        <v>124</v>
      </c>
      <c r="N1488" s="10"/>
      <c r="O1488" t="s">
        <v>3043</v>
      </c>
      <c r="Q1488" t="s">
        <v>126</v>
      </c>
      <c r="R1488" t="s">
        <v>124</v>
      </c>
      <c r="S1488" t="b">
        <v>0</v>
      </c>
      <c r="T1488" t="s">
        <v>124</v>
      </c>
    </row>
    <row r="1489">
      <c r="A1489" t="s">
        <v>3044</v>
      </c>
      <c r="B1489" t="s">
        <v>3037</v>
      </c>
      <c r="C1489" s="2">
        <v>2023</v>
      </c>
      <c r="D1489" s="10">
        <v>6</v>
      </c>
      <c r="E1489" s="10">
        <v>24</v>
      </c>
      <c r="F1489" t="s">
        <v>2638</v>
      </c>
      <c r="G1489">
        <v>270.62</v>
      </c>
      <c r="H1489" t="s">
        <v>69</v>
      </c>
      <c r="I1489" t="s">
        <v>338</v>
      </c>
      <c r="J1489" s="10" t="str">
        <f>VLOOKUP(I1489,Categories!A:B,2,FALSE)</f>
        <v>Trips</v>
      </c>
      <c r="K1489" t="s">
        <v>2504</v>
      </c>
      <c r="L1489" s="10" t="str">
        <f>VLOOKUP(K1489,Accounts!A:B,2,FALSE)</f>
        <v xml:space="preserve">krw cash</v>
      </c>
      <c r="M1489" t="s">
        <v>124</v>
      </c>
      <c r="N1489" s="10"/>
      <c r="O1489" t="s">
        <v>3045</v>
      </c>
      <c r="Q1489" t="s">
        <v>126</v>
      </c>
      <c r="R1489" t="s">
        <v>124</v>
      </c>
      <c r="S1489" t="b">
        <v>0</v>
      </c>
      <c r="T1489" t="s">
        <v>124</v>
      </c>
    </row>
    <row r="1490">
      <c r="A1490" t="s">
        <v>3046</v>
      </c>
      <c r="B1490" t="s">
        <v>3037</v>
      </c>
      <c r="C1490" s="2">
        <v>2023</v>
      </c>
      <c r="D1490" s="10">
        <v>6</v>
      </c>
      <c r="E1490" s="10">
        <v>24</v>
      </c>
      <c r="F1490" t="s">
        <v>3047</v>
      </c>
      <c r="G1490">
        <v>278.74000000000001</v>
      </c>
      <c r="H1490" t="s">
        <v>69</v>
      </c>
      <c r="I1490" t="s">
        <v>150</v>
      </c>
      <c r="J1490" s="10" t="str">
        <f>VLOOKUP(I1490,Categories!A:B,2,FALSE)</f>
        <v xml:space="preserve">Food &amp; Coff</v>
      </c>
      <c r="K1490" t="s">
        <v>2516</v>
      </c>
      <c r="L1490" s="10" t="str">
        <f>VLOOKUP(K1490,Accounts!A:B,2,FALSE)</f>
        <v>Travelcard</v>
      </c>
      <c r="M1490" t="s">
        <v>124</v>
      </c>
      <c r="N1490" s="10"/>
      <c r="O1490" t="s">
        <v>3048</v>
      </c>
      <c r="Q1490" t="s">
        <v>126</v>
      </c>
      <c r="R1490" t="s">
        <v>124</v>
      </c>
      <c r="S1490" t="b">
        <v>0</v>
      </c>
      <c r="T1490" t="s">
        <v>124</v>
      </c>
    </row>
    <row r="1491">
      <c r="A1491" t="s">
        <v>3049</v>
      </c>
      <c r="B1491" t="s">
        <v>3037</v>
      </c>
      <c r="C1491" s="2">
        <v>2023</v>
      </c>
      <c r="D1491" s="10">
        <v>6</v>
      </c>
      <c r="E1491" s="10">
        <v>24</v>
      </c>
      <c r="F1491" t="s">
        <v>540</v>
      </c>
      <c r="G1491">
        <v>94.719999999999999</v>
      </c>
      <c r="H1491" t="s">
        <v>69</v>
      </c>
      <c r="I1491" t="s">
        <v>150</v>
      </c>
      <c r="J1491" s="10" t="str">
        <f>VLOOKUP(I1491,Categories!A:B,2,FALSE)</f>
        <v xml:space="preserve">Food &amp; Coff</v>
      </c>
      <c r="K1491" t="s">
        <v>2516</v>
      </c>
      <c r="L1491" s="10" t="str">
        <f>VLOOKUP(K1491,Accounts!A:B,2,FALSE)</f>
        <v>Travelcard</v>
      </c>
      <c r="M1491" t="s">
        <v>124</v>
      </c>
      <c r="N1491" s="10"/>
      <c r="O1491" t="s">
        <v>3050</v>
      </c>
      <c r="Q1491" t="s">
        <v>126</v>
      </c>
      <c r="R1491" t="s">
        <v>124</v>
      </c>
      <c r="S1491" t="b">
        <v>0</v>
      </c>
      <c r="T1491" t="s">
        <v>124</v>
      </c>
    </row>
    <row r="1492">
      <c r="A1492" t="s">
        <v>3051</v>
      </c>
      <c r="B1492" t="s">
        <v>3037</v>
      </c>
      <c r="C1492" s="2">
        <v>2023</v>
      </c>
      <c r="D1492" s="10">
        <v>6</v>
      </c>
      <c r="E1492" s="10">
        <v>24</v>
      </c>
      <c r="F1492" t="s">
        <v>499</v>
      </c>
      <c r="G1492">
        <v>1791.52</v>
      </c>
      <c r="H1492" t="s">
        <v>69</v>
      </c>
      <c r="I1492" t="s">
        <v>338</v>
      </c>
      <c r="J1492" s="10" t="str">
        <f>VLOOKUP(I1492,Categories!A:B,2,FALSE)</f>
        <v>Trips</v>
      </c>
      <c r="K1492" t="s">
        <v>2516</v>
      </c>
      <c r="L1492" s="10" t="str">
        <f>VLOOKUP(K1492,Accounts!A:B,2,FALSE)</f>
        <v>Travelcard</v>
      </c>
      <c r="M1492" t="s">
        <v>124</v>
      </c>
      <c r="N1492" s="10"/>
      <c r="O1492" t="s">
        <v>3052</v>
      </c>
      <c r="Q1492" t="s">
        <v>126</v>
      </c>
      <c r="R1492" t="s">
        <v>124</v>
      </c>
      <c r="S1492" t="b">
        <v>0</v>
      </c>
      <c r="T1492" t="s">
        <v>124</v>
      </c>
    </row>
    <row r="1493">
      <c r="A1493" t="s">
        <v>3053</v>
      </c>
      <c r="B1493" t="s">
        <v>3054</v>
      </c>
      <c r="C1493" s="2">
        <v>2023</v>
      </c>
      <c r="D1493" s="10">
        <v>6</v>
      </c>
      <c r="E1493" s="10">
        <v>23</v>
      </c>
      <c r="F1493" t="s">
        <v>1052</v>
      </c>
      <c r="G1493">
        <v>2164.98</v>
      </c>
      <c r="H1493" t="s">
        <v>69</v>
      </c>
      <c r="I1493" t="s">
        <v>338</v>
      </c>
      <c r="J1493" s="10" t="str">
        <f>VLOOKUP(I1493,Categories!A:B,2,FALSE)</f>
        <v>Trips</v>
      </c>
      <c r="K1493" t="s">
        <v>2504</v>
      </c>
      <c r="L1493" s="10" t="str">
        <f>VLOOKUP(K1493,Accounts!A:B,2,FALSE)</f>
        <v xml:space="preserve">krw cash</v>
      </c>
      <c r="M1493" t="s">
        <v>124</v>
      </c>
      <c r="N1493" s="10"/>
      <c r="O1493" t="s">
        <v>3055</v>
      </c>
      <c r="Q1493" t="s">
        <v>126</v>
      </c>
      <c r="R1493" t="s">
        <v>124</v>
      </c>
      <c r="S1493" t="b">
        <v>0</v>
      </c>
      <c r="T1493" t="s">
        <v>124</v>
      </c>
    </row>
    <row r="1494">
      <c r="A1494" t="s">
        <v>3056</v>
      </c>
      <c r="B1494" t="s">
        <v>3054</v>
      </c>
      <c r="C1494" s="2">
        <v>2023</v>
      </c>
      <c r="D1494" s="10">
        <v>6</v>
      </c>
      <c r="E1494" s="10">
        <v>23</v>
      </c>
      <c r="F1494" t="s">
        <v>3057</v>
      </c>
      <c r="G1494">
        <v>1282.75</v>
      </c>
      <c r="H1494" t="s">
        <v>69</v>
      </c>
      <c r="I1494" t="s">
        <v>338</v>
      </c>
      <c r="J1494" s="10" t="str">
        <f>VLOOKUP(I1494,Categories!A:B,2,FALSE)</f>
        <v>Trips</v>
      </c>
      <c r="K1494" t="s">
        <v>2516</v>
      </c>
      <c r="L1494" s="10" t="str">
        <f>VLOOKUP(K1494,Accounts!A:B,2,FALSE)</f>
        <v>Travelcard</v>
      </c>
      <c r="M1494" t="s">
        <v>124</v>
      </c>
      <c r="N1494" s="10"/>
      <c r="O1494" t="s">
        <v>3058</v>
      </c>
      <c r="Q1494" t="s">
        <v>126</v>
      </c>
      <c r="R1494" t="s">
        <v>124</v>
      </c>
      <c r="S1494" t="b">
        <v>0</v>
      </c>
      <c r="T1494" t="s">
        <v>124</v>
      </c>
    </row>
    <row r="1495">
      <c r="A1495" t="s">
        <v>3059</v>
      </c>
      <c r="B1495" t="s">
        <v>3054</v>
      </c>
      <c r="C1495" s="2">
        <v>2023</v>
      </c>
      <c r="D1495" s="10">
        <v>6</v>
      </c>
      <c r="E1495" s="10">
        <v>23</v>
      </c>
      <c r="F1495" t="s">
        <v>888</v>
      </c>
      <c r="G1495">
        <v>378.87</v>
      </c>
      <c r="H1495" t="s">
        <v>69</v>
      </c>
      <c r="I1495" t="s">
        <v>338</v>
      </c>
      <c r="J1495" s="10" t="str">
        <f>VLOOKUP(I1495,Categories!A:B,2,FALSE)</f>
        <v>Trips</v>
      </c>
      <c r="K1495" t="s">
        <v>2504</v>
      </c>
      <c r="L1495" s="10" t="str">
        <f>VLOOKUP(K1495,Accounts!A:B,2,FALSE)</f>
        <v xml:space="preserve">krw cash</v>
      </c>
      <c r="M1495" t="s">
        <v>124</v>
      </c>
      <c r="N1495" s="10"/>
      <c r="O1495" t="s">
        <v>3060</v>
      </c>
      <c r="Q1495" t="s">
        <v>126</v>
      </c>
      <c r="R1495" t="s">
        <v>124</v>
      </c>
      <c r="S1495" t="b">
        <v>0</v>
      </c>
      <c r="T1495" t="s">
        <v>124</v>
      </c>
    </row>
    <row r="1496">
      <c r="A1496" t="s">
        <v>3061</v>
      </c>
      <c r="B1496" t="s">
        <v>3054</v>
      </c>
      <c r="C1496" s="2">
        <v>2023</v>
      </c>
      <c r="D1496" s="10">
        <v>6</v>
      </c>
      <c r="E1496" s="10">
        <v>23</v>
      </c>
      <c r="F1496" t="s">
        <v>1458</v>
      </c>
      <c r="G1496">
        <v>909.28999999999996</v>
      </c>
      <c r="H1496" t="s">
        <v>69</v>
      </c>
      <c r="I1496" t="s">
        <v>150</v>
      </c>
      <c r="J1496" s="10" t="str">
        <f>VLOOKUP(I1496,Categories!A:B,2,FALSE)</f>
        <v xml:space="preserve">Food &amp; Coff</v>
      </c>
      <c r="K1496" t="s">
        <v>2516</v>
      </c>
      <c r="L1496" s="10" t="str">
        <f>VLOOKUP(K1496,Accounts!A:B,2,FALSE)</f>
        <v>Travelcard</v>
      </c>
      <c r="M1496" t="s">
        <v>124</v>
      </c>
      <c r="N1496" s="10"/>
      <c r="O1496" t="s">
        <v>3062</v>
      </c>
      <c r="Q1496" t="s">
        <v>126</v>
      </c>
      <c r="R1496" t="s">
        <v>124</v>
      </c>
      <c r="S1496" t="b">
        <v>0</v>
      </c>
      <c r="T1496" t="s">
        <v>124</v>
      </c>
    </row>
    <row r="1497">
      <c r="A1497" t="s">
        <v>3063</v>
      </c>
      <c r="B1497" t="s">
        <v>3054</v>
      </c>
      <c r="C1497" s="2">
        <v>2023</v>
      </c>
      <c r="D1497" s="10">
        <v>6</v>
      </c>
      <c r="E1497" s="10">
        <v>23</v>
      </c>
      <c r="F1497" t="s">
        <v>1436</v>
      </c>
      <c r="G1497">
        <v>27.059999999999999</v>
      </c>
      <c r="H1497" t="s">
        <v>69</v>
      </c>
      <c r="I1497" t="s">
        <v>150</v>
      </c>
      <c r="J1497" s="10" t="str">
        <f>VLOOKUP(I1497,Categories!A:B,2,FALSE)</f>
        <v xml:space="preserve">Food &amp; Coff</v>
      </c>
      <c r="K1497" t="s">
        <v>2504</v>
      </c>
      <c r="L1497" s="10" t="str">
        <f>VLOOKUP(K1497,Accounts!A:B,2,FALSE)</f>
        <v xml:space="preserve">krw cash</v>
      </c>
      <c r="M1497" t="s">
        <v>124</v>
      </c>
      <c r="N1497" s="10"/>
      <c r="O1497" t="s">
        <v>3064</v>
      </c>
      <c r="Q1497" t="s">
        <v>126</v>
      </c>
      <c r="R1497" t="s">
        <v>124</v>
      </c>
      <c r="S1497" t="b">
        <v>0</v>
      </c>
      <c r="T1497" t="s">
        <v>124</v>
      </c>
    </row>
    <row r="1498">
      <c r="A1498" t="s">
        <v>3065</v>
      </c>
      <c r="B1498" t="s">
        <v>3054</v>
      </c>
      <c r="C1498" s="2">
        <v>2023</v>
      </c>
      <c r="D1498" s="10">
        <v>6</v>
      </c>
      <c r="E1498" s="10">
        <v>23</v>
      </c>
      <c r="F1498" t="s">
        <v>2307</v>
      </c>
      <c r="G1498">
        <v>311.22000000000003</v>
      </c>
      <c r="H1498" t="s">
        <v>69</v>
      </c>
      <c r="I1498" t="s">
        <v>150</v>
      </c>
      <c r="J1498" s="10" t="str">
        <f>VLOOKUP(I1498,Categories!A:B,2,FALSE)</f>
        <v xml:space="preserve">Food &amp; Coff</v>
      </c>
      <c r="K1498" t="s">
        <v>2516</v>
      </c>
      <c r="L1498" s="10" t="str">
        <f>VLOOKUP(K1498,Accounts!A:B,2,FALSE)</f>
        <v>Travelcard</v>
      </c>
      <c r="M1498" t="s">
        <v>124</v>
      </c>
      <c r="N1498" s="10"/>
      <c r="O1498" t="s">
        <v>3066</v>
      </c>
      <c r="Q1498" t="s">
        <v>126</v>
      </c>
      <c r="R1498" t="s">
        <v>124</v>
      </c>
      <c r="S1498" t="b">
        <v>0</v>
      </c>
      <c r="T1498" t="s">
        <v>124</v>
      </c>
    </row>
    <row r="1499">
      <c r="A1499" t="s">
        <v>3067</v>
      </c>
      <c r="B1499" t="s">
        <v>3054</v>
      </c>
      <c r="C1499" s="2">
        <v>2023</v>
      </c>
      <c r="D1499" s="10">
        <v>6</v>
      </c>
      <c r="E1499" s="10">
        <v>23</v>
      </c>
      <c r="F1499" t="s">
        <v>3068</v>
      </c>
      <c r="G1499">
        <v>67.659999999999997</v>
      </c>
      <c r="H1499" t="s">
        <v>69</v>
      </c>
      <c r="I1499" t="s">
        <v>338</v>
      </c>
      <c r="J1499" s="10" t="str">
        <f>VLOOKUP(I1499,Categories!A:B,2,FALSE)</f>
        <v>Trips</v>
      </c>
      <c r="K1499" t="s">
        <v>2516</v>
      </c>
      <c r="L1499" s="10" t="str">
        <f>VLOOKUP(K1499,Accounts!A:B,2,FALSE)</f>
        <v>Travelcard</v>
      </c>
      <c r="M1499" t="s">
        <v>124</v>
      </c>
      <c r="N1499" s="10"/>
      <c r="O1499" t="s">
        <v>3069</v>
      </c>
      <c r="Q1499" t="s">
        <v>126</v>
      </c>
      <c r="R1499" t="s">
        <v>124</v>
      </c>
      <c r="S1499" t="b">
        <v>0</v>
      </c>
      <c r="T1499" t="s">
        <v>124</v>
      </c>
    </row>
    <row r="1500">
      <c r="A1500" t="s">
        <v>3070</v>
      </c>
      <c r="B1500" t="s">
        <v>3054</v>
      </c>
      <c r="C1500" s="2">
        <v>2023</v>
      </c>
      <c r="D1500" s="10">
        <v>6</v>
      </c>
      <c r="E1500" s="10">
        <v>23</v>
      </c>
      <c r="F1500" t="s">
        <v>3071</v>
      </c>
      <c r="G1500">
        <v>135.31</v>
      </c>
      <c r="H1500" t="s">
        <v>69</v>
      </c>
      <c r="I1500" t="s">
        <v>338</v>
      </c>
      <c r="J1500" s="10" t="str">
        <f>VLOOKUP(I1500,Categories!A:B,2,FALSE)</f>
        <v>Trips</v>
      </c>
      <c r="K1500" t="s">
        <v>2516</v>
      </c>
      <c r="L1500" s="10" t="str">
        <f>VLOOKUP(K1500,Accounts!A:B,2,FALSE)</f>
        <v>Travelcard</v>
      </c>
      <c r="M1500" t="s">
        <v>124</v>
      </c>
      <c r="N1500" s="10"/>
      <c r="O1500" t="s">
        <v>3072</v>
      </c>
      <c r="Q1500" t="s">
        <v>126</v>
      </c>
      <c r="R1500" t="s">
        <v>124</v>
      </c>
      <c r="S1500" t="b">
        <v>0</v>
      </c>
      <c r="T1500" t="s">
        <v>124</v>
      </c>
    </row>
    <row r="1501">
      <c r="A1501" t="s">
        <v>3073</v>
      </c>
      <c r="B1501" t="s">
        <v>3074</v>
      </c>
      <c r="C1501" s="2">
        <v>2023</v>
      </c>
      <c r="D1501" s="10">
        <v>6</v>
      </c>
      <c r="E1501" s="10">
        <v>22</v>
      </c>
      <c r="F1501" t="s">
        <v>1335</v>
      </c>
      <c r="G1501">
        <v>270.62</v>
      </c>
      <c r="H1501" t="s">
        <v>69</v>
      </c>
      <c r="I1501" t="s">
        <v>150</v>
      </c>
      <c r="J1501" s="10" t="str">
        <f>VLOOKUP(I1501,Categories!A:B,2,FALSE)</f>
        <v xml:space="preserve">Food &amp; Coff</v>
      </c>
      <c r="K1501" t="s">
        <v>2504</v>
      </c>
      <c r="L1501" s="10" t="str">
        <f>VLOOKUP(K1501,Accounts!A:B,2,FALSE)</f>
        <v xml:space="preserve">krw cash</v>
      </c>
      <c r="M1501" t="s">
        <v>124</v>
      </c>
      <c r="N1501" s="10"/>
      <c r="O1501" t="s">
        <v>3075</v>
      </c>
      <c r="Q1501" t="s">
        <v>126</v>
      </c>
      <c r="R1501" t="s">
        <v>124</v>
      </c>
      <c r="S1501" t="b">
        <v>0</v>
      </c>
      <c r="T1501" t="s">
        <v>124</v>
      </c>
    </row>
    <row r="1502">
      <c r="A1502" t="s">
        <v>3076</v>
      </c>
      <c r="B1502" t="s">
        <v>3074</v>
      </c>
      <c r="C1502" s="2">
        <v>2023</v>
      </c>
      <c r="D1502" s="10">
        <v>6</v>
      </c>
      <c r="E1502" s="10">
        <v>22</v>
      </c>
      <c r="F1502" t="s">
        <v>1028</v>
      </c>
      <c r="G1502">
        <v>54.119999999999997</v>
      </c>
      <c r="H1502" t="s">
        <v>69</v>
      </c>
      <c r="I1502" t="s">
        <v>338</v>
      </c>
      <c r="J1502" s="10" t="str">
        <f>VLOOKUP(I1502,Categories!A:B,2,FALSE)</f>
        <v>Trips</v>
      </c>
      <c r="K1502" t="s">
        <v>2504</v>
      </c>
      <c r="L1502" s="10" t="str">
        <f>VLOOKUP(K1502,Accounts!A:B,2,FALSE)</f>
        <v xml:space="preserve">krw cash</v>
      </c>
      <c r="M1502" t="s">
        <v>124</v>
      </c>
      <c r="N1502" s="10"/>
      <c r="O1502" t="s">
        <v>3077</v>
      </c>
      <c r="Q1502" t="s">
        <v>126</v>
      </c>
      <c r="R1502" t="s">
        <v>124</v>
      </c>
      <c r="S1502" t="b">
        <v>0</v>
      </c>
      <c r="T1502" t="s">
        <v>124</v>
      </c>
    </row>
    <row r="1503">
      <c r="A1503" t="s">
        <v>3078</v>
      </c>
      <c r="B1503" t="s">
        <v>3074</v>
      </c>
      <c r="C1503" s="2">
        <v>2023</v>
      </c>
      <c r="D1503" s="10">
        <v>6</v>
      </c>
      <c r="E1503" s="10">
        <v>22</v>
      </c>
      <c r="F1503" t="s">
        <v>276</v>
      </c>
      <c r="G1503">
        <v>1488.4200000000001</v>
      </c>
      <c r="H1503" t="s">
        <v>69</v>
      </c>
      <c r="I1503" t="s">
        <v>338</v>
      </c>
      <c r="J1503" s="10" t="str">
        <f>VLOOKUP(I1503,Categories!A:B,2,FALSE)</f>
        <v>Trips</v>
      </c>
      <c r="K1503" t="s">
        <v>2516</v>
      </c>
      <c r="L1503" s="10" t="str">
        <f>VLOOKUP(K1503,Accounts!A:B,2,FALSE)</f>
        <v>Travelcard</v>
      </c>
      <c r="M1503" t="s">
        <v>124</v>
      </c>
      <c r="N1503" s="10"/>
      <c r="O1503" t="s">
        <v>3079</v>
      </c>
      <c r="Q1503" t="s">
        <v>126</v>
      </c>
      <c r="R1503" t="s">
        <v>124</v>
      </c>
      <c r="S1503" t="b">
        <v>0</v>
      </c>
      <c r="T1503" t="s">
        <v>124</v>
      </c>
    </row>
    <row r="1504">
      <c r="A1504" t="s">
        <v>3080</v>
      </c>
      <c r="B1504" t="s">
        <v>3074</v>
      </c>
      <c r="C1504" s="2">
        <v>2023</v>
      </c>
      <c r="D1504" s="10">
        <v>6</v>
      </c>
      <c r="E1504" s="10">
        <v>22</v>
      </c>
      <c r="F1504" t="s">
        <v>1797</v>
      </c>
      <c r="G1504">
        <v>94.719999999999999</v>
      </c>
      <c r="H1504" t="s">
        <v>206</v>
      </c>
      <c r="I1504" t="s">
        <v>281</v>
      </c>
      <c r="J1504" s="10" t="str">
        <f>VLOOKUP(I1504,Categories!A:B,2,FALSE)</f>
        <v>Others</v>
      </c>
      <c r="K1504" t="s">
        <v>2504</v>
      </c>
      <c r="L1504" s="10" t="str">
        <f>VLOOKUP(K1504,Accounts!A:B,2,FALSE)</f>
        <v xml:space="preserve">krw cash</v>
      </c>
      <c r="M1504" t="s">
        <v>124</v>
      </c>
      <c r="N1504" s="10"/>
      <c r="O1504" t="s">
        <v>3079</v>
      </c>
      <c r="Q1504" t="s">
        <v>126</v>
      </c>
      <c r="R1504" t="s">
        <v>124</v>
      </c>
      <c r="S1504" t="b">
        <v>0</v>
      </c>
      <c r="T1504" t="s">
        <v>124</v>
      </c>
    </row>
    <row r="1505">
      <c r="A1505" t="s">
        <v>3081</v>
      </c>
      <c r="B1505" t="s">
        <v>3074</v>
      </c>
      <c r="C1505" s="2">
        <v>2023</v>
      </c>
      <c r="D1505" s="10">
        <v>6</v>
      </c>
      <c r="E1505" s="10">
        <v>22</v>
      </c>
      <c r="F1505" t="s">
        <v>2495</v>
      </c>
      <c r="G1505">
        <v>121.78</v>
      </c>
      <c r="H1505" t="s">
        <v>69</v>
      </c>
      <c r="I1505" t="s">
        <v>150</v>
      </c>
      <c r="J1505" s="10" t="str">
        <f>VLOOKUP(I1505,Categories!A:B,2,FALSE)</f>
        <v xml:space="preserve">Food &amp; Coff</v>
      </c>
      <c r="K1505" t="s">
        <v>2504</v>
      </c>
      <c r="L1505" s="10" t="str">
        <f>VLOOKUP(K1505,Accounts!A:B,2,FALSE)</f>
        <v xml:space="preserve">krw cash</v>
      </c>
      <c r="M1505" t="s">
        <v>124</v>
      </c>
      <c r="N1505" s="10"/>
      <c r="O1505" t="s">
        <v>3082</v>
      </c>
      <c r="Q1505" t="s">
        <v>126</v>
      </c>
      <c r="R1505" t="s">
        <v>124</v>
      </c>
      <c r="S1505" t="b">
        <v>0</v>
      </c>
      <c r="T1505" t="s">
        <v>124</v>
      </c>
    </row>
    <row r="1506">
      <c r="A1506" t="s">
        <v>3083</v>
      </c>
      <c r="B1506" t="s">
        <v>3074</v>
      </c>
      <c r="C1506" s="2">
        <v>2023</v>
      </c>
      <c r="D1506" s="10">
        <v>6</v>
      </c>
      <c r="E1506" s="10">
        <v>22</v>
      </c>
      <c r="F1506" t="s">
        <v>2334</v>
      </c>
      <c r="G1506">
        <v>32.469999999999999</v>
      </c>
      <c r="H1506" t="s">
        <v>69</v>
      </c>
      <c r="I1506" t="s">
        <v>338</v>
      </c>
      <c r="J1506" s="10" t="str">
        <f>VLOOKUP(I1506,Categories!A:B,2,FALSE)</f>
        <v>Trips</v>
      </c>
      <c r="K1506" t="s">
        <v>3084</v>
      </c>
      <c r="L1506" s="10" t="str">
        <f>VLOOKUP(K1506,Accounts!A:B,2,FALSE)</f>
        <v xml:space="preserve">t money</v>
      </c>
      <c r="M1506" t="s">
        <v>124</v>
      </c>
      <c r="N1506" s="10"/>
      <c r="O1506" t="s">
        <v>3085</v>
      </c>
      <c r="Q1506" t="s">
        <v>126</v>
      </c>
      <c r="R1506" t="s">
        <v>124</v>
      </c>
      <c r="S1506" t="b">
        <v>0</v>
      </c>
      <c r="T1506" t="s">
        <v>124</v>
      </c>
    </row>
    <row r="1507">
      <c r="A1507" t="s">
        <v>3086</v>
      </c>
      <c r="B1507" t="s">
        <v>3074</v>
      </c>
      <c r="C1507" s="2">
        <v>2023</v>
      </c>
      <c r="D1507" s="10">
        <v>6</v>
      </c>
      <c r="E1507" s="10">
        <v>22</v>
      </c>
      <c r="F1507" t="s">
        <v>1132</v>
      </c>
      <c r="G1507">
        <v>135.31</v>
      </c>
      <c r="H1507" t="s">
        <v>69</v>
      </c>
      <c r="I1507" t="s">
        <v>150</v>
      </c>
      <c r="J1507" s="10" t="str">
        <f>VLOOKUP(I1507,Categories!A:B,2,FALSE)</f>
        <v xml:space="preserve">Food &amp; Coff</v>
      </c>
      <c r="K1507" t="s">
        <v>2504</v>
      </c>
      <c r="L1507" s="10" t="str">
        <f>VLOOKUP(K1507,Accounts!A:B,2,FALSE)</f>
        <v xml:space="preserve">krw cash</v>
      </c>
      <c r="M1507" t="s">
        <v>124</v>
      </c>
      <c r="N1507" s="10"/>
      <c r="O1507" t="s">
        <v>3087</v>
      </c>
      <c r="Q1507" t="s">
        <v>126</v>
      </c>
      <c r="R1507" t="s">
        <v>124</v>
      </c>
      <c r="S1507" t="b">
        <v>0</v>
      </c>
      <c r="T1507" t="s">
        <v>124</v>
      </c>
    </row>
    <row r="1508">
      <c r="A1508" t="s">
        <v>3088</v>
      </c>
      <c r="B1508" t="s">
        <v>3074</v>
      </c>
      <c r="C1508" s="2">
        <v>2023</v>
      </c>
      <c r="D1508" s="10">
        <v>6</v>
      </c>
      <c r="E1508" s="10">
        <v>22</v>
      </c>
      <c r="F1508" t="s">
        <v>1132</v>
      </c>
      <c r="G1508">
        <v>156.96000000000001</v>
      </c>
      <c r="H1508" t="s">
        <v>69</v>
      </c>
      <c r="I1508" t="s">
        <v>150</v>
      </c>
      <c r="J1508" s="10" t="str">
        <f>VLOOKUP(I1508,Categories!A:B,2,FALSE)</f>
        <v xml:space="preserve">Food &amp; Coff</v>
      </c>
      <c r="K1508" t="s">
        <v>2504</v>
      </c>
      <c r="L1508" s="10" t="str">
        <f>VLOOKUP(K1508,Accounts!A:B,2,FALSE)</f>
        <v xml:space="preserve">krw cash</v>
      </c>
      <c r="M1508" t="s">
        <v>124</v>
      </c>
      <c r="N1508" s="10"/>
      <c r="O1508" t="s">
        <v>3089</v>
      </c>
      <c r="Q1508" t="s">
        <v>126</v>
      </c>
      <c r="R1508" t="s">
        <v>124</v>
      </c>
      <c r="S1508" t="b">
        <v>0</v>
      </c>
      <c r="T1508" t="s">
        <v>124</v>
      </c>
    </row>
    <row r="1509">
      <c r="A1509" t="s">
        <v>3090</v>
      </c>
      <c r="B1509" t="s">
        <v>3074</v>
      </c>
      <c r="C1509" s="2">
        <v>2023</v>
      </c>
      <c r="D1509" s="10">
        <v>6</v>
      </c>
      <c r="E1509" s="10">
        <v>22</v>
      </c>
      <c r="F1509" t="s">
        <v>3091</v>
      </c>
      <c r="G1509">
        <v>135.31</v>
      </c>
      <c r="H1509" t="s">
        <v>128</v>
      </c>
      <c r="I1509" t="s">
        <v>136</v>
      </c>
      <c r="J1509" s="10" t="str">
        <f>VLOOKUP(I1509,Categories!A:B,2,FALSE)</f>
        <v>อื่นๆ</v>
      </c>
      <c r="K1509" t="s">
        <v>2504</v>
      </c>
      <c r="L1509" s="10" t="str">
        <f>VLOOKUP(K1509,Accounts!A:B,2,FALSE)</f>
        <v xml:space="preserve">krw cash</v>
      </c>
      <c r="M1509" t="s">
        <v>3084</v>
      </c>
      <c r="N1509" s="10" t="str">
        <f>VLOOKUP(M1509,Accounts!A:B,2,FALSE)</f>
        <v xml:space="preserve">t money</v>
      </c>
      <c r="O1509" t="s">
        <v>125</v>
      </c>
      <c r="Q1509" t="s">
        <v>126</v>
      </c>
      <c r="R1509" t="s">
        <v>124</v>
      </c>
      <c r="S1509" t="b">
        <v>0</v>
      </c>
      <c r="T1509" t="s">
        <v>124</v>
      </c>
    </row>
    <row r="1510">
      <c r="A1510" t="s">
        <v>3092</v>
      </c>
      <c r="B1510" t="s">
        <v>3074</v>
      </c>
      <c r="C1510" s="2">
        <v>2023</v>
      </c>
      <c r="D1510" s="10">
        <v>6</v>
      </c>
      <c r="E1510" s="10">
        <v>22</v>
      </c>
      <c r="F1510" t="s">
        <v>1394</v>
      </c>
      <c r="G1510">
        <v>541.24000000000001</v>
      </c>
      <c r="H1510" t="s">
        <v>69</v>
      </c>
      <c r="I1510" t="s">
        <v>150</v>
      </c>
      <c r="J1510" s="10" t="str">
        <f>VLOOKUP(I1510,Categories!A:B,2,FALSE)</f>
        <v xml:space="preserve">Food &amp; Coff</v>
      </c>
      <c r="K1510" t="s">
        <v>2516</v>
      </c>
      <c r="L1510" s="10" t="str">
        <f>VLOOKUP(K1510,Accounts!A:B,2,FALSE)</f>
        <v>Travelcard</v>
      </c>
      <c r="M1510" t="s">
        <v>124</v>
      </c>
      <c r="N1510" s="10"/>
      <c r="O1510" t="s">
        <v>3093</v>
      </c>
      <c r="Q1510" t="s">
        <v>126</v>
      </c>
      <c r="R1510" t="s">
        <v>124</v>
      </c>
      <c r="S1510" t="b">
        <v>0</v>
      </c>
      <c r="T1510" t="s">
        <v>124</v>
      </c>
    </row>
    <row r="1511">
      <c r="A1511" t="s">
        <v>3094</v>
      </c>
      <c r="B1511" t="s">
        <v>3095</v>
      </c>
      <c r="C1511" s="2">
        <v>2023</v>
      </c>
      <c r="D1511" s="10">
        <v>6</v>
      </c>
      <c r="E1511" s="10">
        <v>21</v>
      </c>
      <c r="F1511" t="s">
        <v>639</v>
      </c>
      <c r="G1511">
        <v>273.32999999999998</v>
      </c>
      <c r="H1511" t="s">
        <v>69</v>
      </c>
      <c r="I1511" t="s">
        <v>150</v>
      </c>
      <c r="J1511" s="10" t="str">
        <f>VLOOKUP(I1511,Categories!A:B,2,FALSE)</f>
        <v xml:space="preserve">Food &amp; Coff</v>
      </c>
      <c r="K1511" t="s">
        <v>2516</v>
      </c>
      <c r="L1511" s="10" t="str">
        <f>VLOOKUP(K1511,Accounts!A:B,2,FALSE)</f>
        <v>Travelcard</v>
      </c>
      <c r="M1511" t="s">
        <v>124</v>
      </c>
      <c r="N1511" s="10"/>
      <c r="O1511" t="s">
        <v>3096</v>
      </c>
      <c r="Q1511" t="s">
        <v>126</v>
      </c>
      <c r="R1511" t="s">
        <v>124</v>
      </c>
      <c r="S1511" t="b">
        <v>0</v>
      </c>
      <c r="T1511" t="s">
        <v>124</v>
      </c>
    </row>
    <row r="1512">
      <c r="A1512" t="s">
        <v>3097</v>
      </c>
      <c r="B1512" t="s">
        <v>3098</v>
      </c>
      <c r="C1512" s="2">
        <v>2023</v>
      </c>
      <c r="D1512" s="10">
        <v>6</v>
      </c>
      <c r="E1512" s="10">
        <v>20</v>
      </c>
      <c r="F1512" t="s">
        <v>3099</v>
      </c>
      <c r="G1512">
        <v>408.63999999999999</v>
      </c>
      <c r="H1512" t="s">
        <v>69</v>
      </c>
      <c r="I1512" t="s">
        <v>150</v>
      </c>
      <c r="J1512" s="10" t="str">
        <f>VLOOKUP(I1512,Categories!A:B,2,FALSE)</f>
        <v xml:space="preserve">Food &amp; Coff</v>
      </c>
      <c r="K1512" t="s">
        <v>2516</v>
      </c>
      <c r="L1512" s="10" t="str">
        <f>VLOOKUP(K1512,Accounts!A:B,2,FALSE)</f>
        <v>Travelcard</v>
      </c>
      <c r="M1512" t="s">
        <v>124</v>
      </c>
      <c r="N1512" s="10"/>
      <c r="O1512" t="s">
        <v>3100</v>
      </c>
      <c r="Q1512" t="s">
        <v>126</v>
      </c>
      <c r="R1512" t="s">
        <v>124</v>
      </c>
      <c r="S1512" t="b">
        <v>0</v>
      </c>
      <c r="T1512" t="s">
        <v>124</v>
      </c>
    </row>
    <row r="1513">
      <c r="A1513" t="s">
        <v>3101</v>
      </c>
      <c r="B1513" t="s">
        <v>3098</v>
      </c>
      <c r="C1513" s="2">
        <v>2023</v>
      </c>
      <c r="D1513" s="10">
        <v>6</v>
      </c>
      <c r="E1513" s="10">
        <v>20</v>
      </c>
      <c r="F1513" t="s">
        <v>2811</v>
      </c>
      <c r="G1513">
        <v>690.09000000000003</v>
      </c>
      <c r="H1513" t="s">
        <v>69</v>
      </c>
      <c r="I1513" t="s">
        <v>150</v>
      </c>
      <c r="J1513" s="10" t="str">
        <f>VLOOKUP(I1513,Categories!A:B,2,FALSE)</f>
        <v xml:space="preserve">Food &amp; Coff</v>
      </c>
      <c r="K1513" t="s">
        <v>2504</v>
      </c>
      <c r="L1513" s="10" t="str">
        <f>VLOOKUP(K1513,Accounts!A:B,2,FALSE)</f>
        <v xml:space="preserve">krw cash</v>
      </c>
      <c r="M1513" t="s">
        <v>124</v>
      </c>
      <c r="N1513" s="10"/>
      <c r="O1513" t="s">
        <v>3102</v>
      </c>
      <c r="Q1513" t="s">
        <v>126</v>
      </c>
      <c r="R1513" t="s">
        <v>124</v>
      </c>
      <c r="S1513" t="b">
        <v>0</v>
      </c>
      <c r="T1513" t="s">
        <v>124</v>
      </c>
    </row>
    <row r="1514">
      <c r="A1514" t="s">
        <v>3103</v>
      </c>
      <c r="B1514" t="s">
        <v>3098</v>
      </c>
      <c r="C1514" s="2">
        <v>2023</v>
      </c>
      <c r="D1514" s="10">
        <v>6</v>
      </c>
      <c r="E1514" s="10">
        <v>20</v>
      </c>
      <c r="F1514" t="s">
        <v>1100</v>
      </c>
      <c r="G1514">
        <v>34.670000000000002</v>
      </c>
      <c r="H1514" t="s">
        <v>69</v>
      </c>
      <c r="I1514" t="s">
        <v>122</v>
      </c>
      <c r="J1514" s="10" t="str">
        <f>VLOOKUP(I1514,Categories!A:B,2,FALSE)</f>
        <v>Other</v>
      </c>
      <c r="K1514" t="s">
        <v>1308</v>
      </c>
      <c r="L1514" s="10" t="str">
        <f>VLOOKUP(K1514,Accounts!A:B,2,FALSE)</f>
        <v xml:space="preserve">UOB Privilages</v>
      </c>
      <c r="M1514" t="s">
        <v>124</v>
      </c>
      <c r="N1514" s="10"/>
      <c r="O1514" t="s">
        <v>125</v>
      </c>
      <c r="Q1514" t="s">
        <v>126</v>
      </c>
      <c r="R1514" t="s">
        <v>124</v>
      </c>
      <c r="S1514" t="b">
        <v>0</v>
      </c>
      <c r="T1514" t="s">
        <v>124</v>
      </c>
    </row>
    <row r="1515">
      <c r="A1515" t="s">
        <v>3104</v>
      </c>
      <c r="B1515" t="s">
        <v>3098</v>
      </c>
      <c r="C1515" s="2">
        <v>2023</v>
      </c>
      <c r="D1515" s="10">
        <v>6</v>
      </c>
      <c r="E1515" s="10">
        <v>20</v>
      </c>
      <c r="F1515" t="s">
        <v>551</v>
      </c>
      <c r="G1515">
        <v>2868.5900000000001</v>
      </c>
      <c r="H1515" t="s">
        <v>69</v>
      </c>
      <c r="I1515" t="s">
        <v>338</v>
      </c>
      <c r="J1515" s="10" t="str">
        <f>VLOOKUP(I1515,Categories!A:B,2,FALSE)</f>
        <v>Trips</v>
      </c>
      <c r="K1515" t="s">
        <v>2516</v>
      </c>
      <c r="L1515" s="10" t="str">
        <f>VLOOKUP(K1515,Accounts!A:B,2,FALSE)</f>
        <v>Travelcard</v>
      </c>
      <c r="M1515" t="s">
        <v>124</v>
      </c>
      <c r="N1515" s="10"/>
      <c r="O1515" t="s">
        <v>3105</v>
      </c>
      <c r="Q1515" t="s">
        <v>126</v>
      </c>
      <c r="R1515" t="s">
        <v>124</v>
      </c>
      <c r="S1515" t="b">
        <v>0</v>
      </c>
      <c r="T1515" t="s">
        <v>124</v>
      </c>
    </row>
    <row r="1516">
      <c r="A1516" t="s">
        <v>3106</v>
      </c>
      <c r="B1516" t="s">
        <v>3107</v>
      </c>
      <c r="C1516" s="2">
        <v>2023</v>
      </c>
      <c r="D1516" s="10">
        <v>6</v>
      </c>
      <c r="E1516" s="10">
        <v>19</v>
      </c>
      <c r="F1516" t="s">
        <v>3108</v>
      </c>
      <c r="G1516">
        <v>270.62</v>
      </c>
      <c r="H1516" t="s">
        <v>69</v>
      </c>
      <c r="I1516" t="s">
        <v>338</v>
      </c>
      <c r="J1516" s="10" t="str">
        <f>VLOOKUP(I1516,Categories!A:B,2,FALSE)</f>
        <v>Trips</v>
      </c>
      <c r="K1516" t="s">
        <v>2504</v>
      </c>
      <c r="L1516" s="10" t="str">
        <f>VLOOKUP(K1516,Accounts!A:B,2,FALSE)</f>
        <v xml:space="preserve">krw cash</v>
      </c>
      <c r="M1516" t="s">
        <v>124</v>
      </c>
      <c r="N1516" s="10"/>
      <c r="O1516" t="s">
        <v>3109</v>
      </c>
      <c r="Q1516" t="s">
        <v>126</v>
      </c>
      <c r="R1516" t="s">
        <v>124</v>
      </c>
      <c r="S1516" t="b">
        <v>0</v>
      </c>
      <c r="T1516" t="s">
        <v>124</v>
      </c>
    </row>
    <row r="1517">
      <c r="A1517" t="s">
        <v>3110</v>
      </c>
      <c r="B1517" t="s">
        <v>3107</v>
      </c>
      <c r="C1517" s="2">
        <v>2023</v>
      </c>
      <c r="D1517" s="10">
        <v>6</v>
      </c>
      <c r="E1517" s="10">
        <v>19</v>
      </c>
      <c r="F1517" t="s">
        <v>3111</v>
      </c>
      <c r="G1517">
        <v>181.31999999999999</v>
      </c>
      <c r="H1517" t="s">
        <v>69</v>
      </c>
      <c r="I1517" t="s">
        <v>338</v>
      </c>
      <c r="J1517" s="10" t="str">
        <f>VLOOKUP(I1517,Categories!A:B,2,FALSE)</f>
        <v>Trips</v>
      </c>
      <c r="K1517" t="s">
        <v>3084</v>
      </c>
      <c r="L1517" s="10" t="str">
        <f>VLOOKUP(K1517,Accounts!A:B,2,FALSE)</f>
        <v xml:space="preserve">t money</v>
      </c>
      <c r="M1517" t="s">
        <v>124</v>
      </c>
      <c r="N1517" s="10"/>
      <c r="O1517" t="s">
        <v>3112</v>
      </c>
      <c r="Q1517" t="s">
        <v>126</v>
      </c>
      <c r="R1517" t="s">
        <v>124</v>
      </c>
      <c r="S1517" t="b">
        <v>0</v>
      </c>
      <c r="T1517" t="s">
        <v>124</v>
      </c>
    </row>
    <row r="1518">
      <c r="A1518" t="s">
        <v>3113</v>
      </c>
      <c r="B1518" t="s">
        <v>3107</v>
      </c>
      <c r="C1518" s="2">
        <v>2023</v>
      </c>
      <c r="D1518" s="10">
        <v>6</v>
      </c>
      <c r="E1518" s="10">
        <v>19</v>
      </c>
      <c r="F1518" t="s">
        <v>3114</v>
      </c>
      <c r="G1518">
        <v>33.829999999999998</v>
      </c>
      <c r="H1518" t="s">
        <v>69</v>
      </c>
      <c r="I1518" t="s">
        <v>338</v>
      </c>
      <c r="J1518" s="10" t="str">
        <f>VLOOKUP(I1518,Categories!A:B,2,FALSE)</f>
        <v>Trips</v>
      </c>
      <c r="K1518" t="s">
        <v>3084</v>
      </c>
      <c r="L1518" s="10" t="str">
        <f>VLOOKUP(K1518,Accounts!A:B,2,FALSE)</f>
        <v xml:space="preserve">t money</v>
      </c>
      <c r="M1518" t="s">
        <v>124</v>
      </c>
      <c r="N1518" s="10"/>
      <c r="O1518" t="s">
        <v>3115</v>
      </c>
      <c r="Q1518" t="s">
        <v>126</v>
      </c>
      <c r="R1518" t="s">
        <v>124</v>
      </c>
      <c r="S1518" t="b">
        <v>0</v>
      </c>
      <c r="T1518" t="s">
        <v>124</v>
      </c>
    </row>
    <row r="1519">
      <c r="A1519" t="s">
        <v>3116</v>
      </c>
      <c r="B1519" t="s">
        <v>3107</v>
      </c>
      <c r="C1519" s="2">
        <v>2023</v>
      </c>
      <c r="D1519" s="10">
        <v>6</v>
      </c>
      <c r="E1519" s="10">
        <v>19</v>
      </c>
      <c r="F1519" t="s">
        <v>2181</v>
      </c>
      <c r="G1519">
        <v>27.059999999999999</v>
      </c>
      <c r="H1519" t="s">
        <v>69</v>
      </c>
      <c r="I1519" t="s">
        <v>338</v>
      </c>
      <c r="J1519" s="10" t="str">
        <f>VLOOKUP(I1519,Categories!A:B,2,FALSE)</f>
        <v>Trips</v>
      </c>
      <c r="K1519" t="s">
        <v>3084</v>
      </c>
      <c r="L1519" s="10" t="str">
        <f>VLOOKUP(K1519,Accounts!A:B,2,FALSE)</f>
        <v xml:space="preserve">t money</v>
      </c>
      <c r="M1519" t="s">
        <v>124</v>
      </c>
      <c r="N1519" s="10"/>
      <c r="O1519" t="s">
        <v>3117</v>
      </c>
      <c r="Q1519" t="s">
        <v>126</v>
      </c>
      <c r="R1519" t="s">
        <v>124</v>
      </c>
      <c r="S1519" t="b">
        <v>0</v>
      </c>
      <c r="T1519" t="s">
        <v>124</v>
      </c>
    </row>
    <row r="1520">
      <c r="A1520" t="s">
        <v>3118</v>
      </c>
      <c r="B1520" t="s">
        <v>3107</v>
      </c>
      <c r="C1520" s="2">
        <v>2023</v>
      </c>
      <c r="D1520" s="10">
        <v>6</v>
      </c>
      <c r="E1520" s="10">
        <v>19</v>
      </c>
      <c r="F1520" t="s">
        <v>3119</v>
      </c>
      <c r="G1520">
        <v>595.37</v>
      </c>
      <c r="H1520" t="s">
        <v>69</v>
      </c>
      <c r="I1520" t="s">
        <v>150</v>
      </c>
      <c r="J1520" s="10" t="str">
        <f>VLOOKUP(I1520,Categories!A:B,2,FALSE)</f>
        <v xml:space="preserve">Food &amp; Coff</v>
      </c>
      <c r="K1520" t="s">
        <v>2504</v>
      </c>
      <c r="L1520" s="10" t="str">
        <f>VLOOKUP(K1520,Accounts!A:B,2,FALSE)</f>
        <v xml:space="preserve">krw cash</v>
      </c>
      <c r="M1520" t="s">
        <v>124</v>
      </c>
      <c r="N1520" s="10"/>
      <c r="O1520" t="s">
        <v>3120</v>
      </c>
      <c r="Q1520" t="s">
        <v>126</v>
      </c>
      <c r="R1520" t="s">
        <v>124</v>
      </c>
      <c r="S1520" t="b">
        <v>0</v>
      </c>
      <c r="T1520" t="s">
        <v>124</v>
      </c>
    </row>
    <row r="1521">
      <c r="A1521" t="s">
        <v>3121</v>
      </c>
      <c r="B1521" t="s">
        <v>3107</v>
      </c>
      <c r="C1521" s="2">
        <v>2023</v>
      </c>
      <c r="D1521" s="10">
        <v>6</v>
      </c>
      <c r="E1521" s="10">
        <v>19</v>
      </c>
      <c r="F1521" t="s">
        <v>228</v>
      </c>
      <c r="G1521">
        <v>51.420000000000002</v>
      </c>
      <c r="H1521" t="s">
        <v>69</v>
      </c>
      <c r="I1521" t="s">
        <v>150</v>
      </c>
      <c r="J1521" s="10" t="str">
        <f>VLOOKUP(I1521,Categories!A:B,2,FALSE)</f>
        <v xml:space="preserve">Food &amp; Coff</v>
      </c>
      <c r="K1521" t="s">
        <v>3084</v>
      </c>
      <c r="L1521" s="10" t="str">
        <f>VLOOKUP(K1521,Accounts!A:B,2,FALSE)</f>
        <v xml:space="preserve">t money</v>
      </c>
      <c r="M1521" t="s">
        <v>124</v>
      </c>
      <c r="N1521" s="10"/>
      <c r="O1521" t="s">
        <v>3122</v>
      </c>
      <c r="Q1521" t="s">
        <v>126</v>
      </c>
      <c r="R1521" t="s">
        <v>124</v>
      </c>
      <c r="S1521" t="b">
        <v>0</v>
      </c>
      <c r="T1521" t="s">
        <v>124</v>
      </c>
    </row>
    <row r="1522">
      <c r="A1522" t="s">
        <v>3123</v>
      </c>
      <c r="B1522" t="s">
        <v>3107</v>
      </c>
      <c r="C1522" s="2">
        <v>2023</v>
      </c>
      <c r="D1522" s="10">
        <v>6</v>
      </c>
      <c r="E1522" s="10">
        <v>19</v>
      </c>
      <c r="F1522" t="s">
        <v>1513</v>
      </c>
      <c r="G1522">
        <v>33.829999999999998</v>
      </c>
      <c r="H1522" t="s">
        <v>69</v>
      </c>
      <c r="I1522" t="s">
        <v>338</v>
      </c>
      <c r="J1522" s="10" t="str">
        <f>VLOOKUP(I1522,Categories!A:B,2,FALSE)</f>
        <v>Trips</v>
      </c>
      <c r="K1522" t="s">
        <v>3084</v>
      </c>
      <c r="L1522" s="10" t="str">
        <f>VLOOKUP(K1522,Accounts!A:B,2,FALSE)</f>
        <v xml:space="preserve">t money</v>
      </c>
      <c r="M1522" t="s">
        <v>124</v>
      </c>
      <c r="N1522" s="10"/>
      <c r="O1522" t="s">
        <v>3124</v>
      </c>
      <c r="Q1522" t="s">
        <v>126</v>
      </c>
      <c r="R1522" t="s">
        <v>124</v>
      </c>
      <c r="S1522" t="b">
        <v>0</v>
      </c>
      <c r="T1522" t="s">
        <v>124</v>
      </c>
    </row>
    <row r="1523">
      <c r="A1523" t="s">
        <v>3125</v>
      </c>
      <c r="B1523" t="s">
        <v>3107</v>
      </c>
      <c r="C1523" s="2">
        <v>2023</v>
      </c>
      <c r="D1523" s="10">
        <v>6</v>
      </c>
      <c r="E1523" s="10">
        <v>19</v>
      </c>
      <c r="F1523" t="s">
        <v>1038</v>
      </c>
      <c r="G1523">
        <v>33.829999999999998</v>
      </c>
      <c r="H1523" t="s">
        <v>69</v>
      </c>
      <c r="I1523" t="s">
        <v>338</v>
      </c>
      <c r="J1523" s="10" t="str">
        <f>VLOOKUP(I1523,Categories!A:B,2,FALSE)</f>
        <v>Trips</v>
      </c>
      <c r="K1523" t="s">
        <v>3084</v>
      </c>
      <c r="L1523" s="10" t="str">
        <f>VLOOKUP(K1523,Accounts!A:B,2,FALSE)</f>
        <v xml:space="preserve">t money</v>
      </c>
      <c r="M1523" t="s">
        <v>124</v>
      </c>
      <c r="N1523" s="10"/>
      <c r="O1523" t="s">
        <v>3126</v>
      </c>
      <c r="Q1523" t="s">
        <v>126</v>
      </c>
      <c r="R1523" t="s">
        <v>124</v>
      </c>
      <c r="S1523" t="b">
        <v>0</v>
      </c>
      <c r="T1523" t="s">
        <v>124</v>
      </c>
    </row>
    <row r="1524">
      <c r="A1524" t="s">
        <v>3127</v>
      </c>
      <c r="B1524" t="s">
        <v>3107</v>
      </c>
      <c r="C1524" s="2">
        <v>2023</v>
      </c>
      <c r="D1524" s="10">
        <v>6</v>
      </c>
      <c r="E1524" s="10">
        <v>19</v>
      </c>
      <c r="F1524" t="s">
        <v>857</v>
      </c>
      <c r="G1524">
        <v>32.469999999999999</v>
      </c>
      <c r="H1524" t="s">
        <v>69</v>
      </c>
      <c r="I1524" t="s">
        <v>338</v>
      </c>
      <c r="J1524" s="10" t="str">
        <f>VLOOKUP(I1524,Categories!A:B,2,FALSE)</f>
        <v>Trips</v>
      </c>
      <c r="K1524" t="s">
        <v>3084</v>
      </c>
      <c r="L1524" s="10" t="str">
        <f>VLOOKUP(K1524,Accounts!A:B,2,FALSE)</f>
        <v xml:space="preserve">t money</v>
      </c>
      <c r="M1524" t="s">
        <v>124</v>
      </c>
      <c r="N1524" s="10"/>
      <c r="O1524" t="s">
        <v>3128</v>
      </c>
      <c r="Q1524" t="s">
        <v>126</v>
      </c>
      <c r="R1524" t="s">
        <v>124</v>
      </c>
      <c r="S1524" t="b">
        <v>0</v>
      </c>
      <c r="T1524" t="s">
        <v>124</v>
      </c>
    </row>
    <row r="1525">
      <c r="A1525" t="s">
        <v>3129</v>
      </c>
      <c r="B1525" t="s">
        <v>3107</v>
      </c>
      <c r="C1525" s="2">
        <v>2023</v>
      </c>
      <c r="D1525" s="10">
        <v>6</v>
      </c>
      <c r="E1525" s="10">
        <v>19</v>
      </c>
      <c r="F1525" t="s">
        <v>482</v>
      </c>
      <c r="G1525">
        <v>162.37</v>
      </c>
      <c r="H1525" t="s">
        <v>69</v>
      </c>
      <c r="I1525" t="s">
        <v>150</v>
      </c>
      <c r="J1525" s="10" t="str">
        <f>VLOOKUP(I1525,Categories!A:B,2,FALSE)</f>
        <v xml:space="preserve">Food &amp; Coff</v>
      </c>
      <c r="K1525" t="s">
        <v>3084</v>
      </c>
      <c r="L1525" s="10" t="str">
        <f>VLOOKUP(K1525,Accounts!A:B,2,FALSE)</f>
        <v xml:space="preserve">t money</v>
      </c>
      <c r="M1525" t="s">
        <v>124</v>
      </c>
      <c r="N1525" s="10"/>
      <c r="O1525" t="s">
        <v>3130</v>
      </c>
      <c r="Q1525" t="s">
        <v>126</v>
      </c>
      <c r="R1525" t="s">
        <v>124</v>
      </c>
      <c r="S1525" t="b">
        <v>0</v>
      </c>
      <c r="T1525" t="s">
        <v>124</v>
      </c>
    </row>
    <row r="1526">
      <c r="A1526" t="s">
        <v>3131</v>
      </c>
      <c r="B1526" t="s">
        <v>3132</v>
      </c>
      <c r="C1526" s="2">
        <v>2023</v>
      </c>
      <c r="D1526" s="10">
        <v>6</v>
      </c>
      <c r="E1526" s="10">
        <v>18</v>
      </c>
      <c r="F1526" t="s">
        <v>3133</v>
      </c>
      <c r="G1526">
        <v>408</v>
      </c>
      <c r="H1526" t="s">
        <v>69</v>
      </c>
      <c r="I1526" t="s">
        <v>338</v>
      </c>
      <c r="J1526" s="10" t="str">
        <f>VLOOKUP(I1526,Categories!A:B,2,FALSE)</f>
        <v>Trips</v>
      </c>
      <c r="K1526" t="s">
        <v>2317</v>
      </c>
      <c r="L1526" s="10" t="str">
        <f>VLOOKUP(K1526,Accounts!A:B,2,FALSE)</f>
        <v xml:space="preserve">Marriage account</v>
      </c>
      <c r="M1526" t="s">
        <v>124</v>
      </c>
      <c r="N1526" s="10"/>
      <c r="O1526" t="s">
        <v>3134</v>
      </c>
      <c r="Q1526" t="s">
        <v>126</v>
      </c>
      <c r="R1526" t="s">
        <v>124</v>
      </c>
      <c r="S1526" t="b">
        <v>0</v>
      </c>
      <c r="T1526" t="s">
        <v>124</v>
      </c>
    </row>
    <row r="1527">
      <c r="A1527" t="s">
        <v>3135</v>
      </c>
      <c r="B1527" t="s">
        <v>3132</v>
      </c>
      <c r="C1527" s="2">
        <v>2023</v>
      </c>
      <c r="D1527" s="10">
        <v>6</v>
      </c>
      <c r="E1527" s="10">
        <v>18</v>
      </c>
      <c r="F1527" t="s">
        <v>3136</v>
      </c>
      <c r="G1527">
        <v>108.25</v>
      </c>
      <c r="H1527" t="s">
        <v>69</v>
      </c>
      <c r="I1527" t="s">
        <v>338</v>
      </c>
      <c r="J1527" s="10" t="str">
        <f>VLOOKUP(I1527,Categories!A:B,2,FALSE)</f>
        <v>Trips</v>
      </c>
      <c r="K1527" t="s">
        <v>2504</v>
      </c>
      <c r="L1527" s="10" t="str">
        <f>VLOOKUP(K1527,Accounts!A:B,2,FALSE)</f>
        <v xml:space="preserve">krw cash</v>
      </c>
      <c r="M1527" t="s">
        <v>124</v>
      </c>
      <c r="N1527" s="10"/>
      <c r="O1527" t="s">
        <v>3137</v>
      </c>
      <c r="Q1527" t="s">
        <v>126</v>
      </c>
      <c r="R1527" t="s">
        <v>124</v>
      </c>
      <c r="S1527" t="b">
        <v>0</v>
      </c>
      <c r="T1527" t="s">
        <v>124</v>
      </c>
    </row>
    <row r="1528">
      <c r="A1528" t="s">
        <v>3138</v>
      </c>
      <c r="B1528" t="s">
        <v>3132</v>
      </c>
      <c r="C1528" s="2">
        <v>2023</v>
      </c>
      <c r="D1528" s="10">
        <v>6</v>
      </c>
      <c r="E1528" s="10">
        <v>18</v>
      </c>
      <c r="F1528" t="s">
        <v>2921</v>
      </c>
      <c r="G1528">
        <v>1353.1099999999999</v>
      </c>
      <c r="H1528" t="s">
        <v>128</v>
      </c>
      <c r="I1528" t="s">
        <v>136</v>
      </c>
      <c r="J1528" s="10" t="str">
        <f>VLOOKUP(I1528,Categories!A:B,2,FALSE)</f>
        <v>อื่นๆ</v>
      </c>
      <c r="K1528" t="s">
        <v>2504</v>
      </c>
      <c r="L1528" s="10" t="str">
        <f>VLOOKUP(K1528,Accounts!A:B,2,FALSE)</f>
        <v xml:space="preserve">krw cash</v>
      </c>
      <c r="M1528" t="s">
        <v>3084</v>
      </c>
      <c r="N1528" s="10" t="str">
        <f>VLOOKUP(M1528,Accounts!A:B,2,FALSE)</f>
        <v xml:space="preserve">t money</v>
      </c>
      <c r="O1528" t="s">
        <v>125</v>
      </c>
      <c r="Q1528" t="s">
        <v>126</v>
      </c>
      <c r="R1528" t="s">
        <v>124</v>
      </c>
      <c r="S1528" t="b">
        <v>0</v>
      </c>
      <c r="T1528" t="s">
        <v>124</v>
      </c>
    </row>
    <row r="1529">
      <c r="A1529" t="s">
        <v>3139</v>
      </c>
      <c r="B1529" t="s">
        <v>3132</v>
      </c>
      <c r="C1529" s="2">
        <v>2023</v>
      </c>
      <c r="D1529" s="10">
        <v>6</v>
      </c>
      <c r="E1529" s="10">
        <v>18</v>
      </c>
      <c r="F1529" t="s">
        <v>3008</v>
      </c>
      <c r="G1529">
        <v>33.829999999999998</v>
      </c>
      <c r="H1529" t="s">
        <v>69</v>
      </c>
      <c r="I1529" t="s">
        <v>338</v>
      </c>
      <c r="J1529" s="10" t="str">
        <f>VLOOKUP(I1529,Categories!A:B,2,FALSE)</f>
        <v>Trips</v>
      </c>
      <c r="K1529" t="s">
        <v>3084</v>
      </c>
      <c r="L1529" s="10" t="str">
        <f>VLOOKUP(K1529,Accounts!A:B,2,FALSE)</f>
        <v xml:space="preserve">t money</v>
      </c>
      <c r="M1529" t="s">
        <v>124</v>
      </c>
      <c r="N1529" s="10"/>
      <c r="O1529" t="s">
        <v>3140</v>
      </c>
      <c r="Q1529" t="s">
        <v>126</v>
      </c>
      <c r="R1529" t="s">
        <v>124</v>
      </c>
      <c r="S1529" t="b">
        <v>0</v>
      </c>
      <c r="T1529" t="s">
        <v>124</v>
      </c>
    </row>
    <row r="1530">
      <c r="A1530" t="s">
        <v>3141</v>
      </c>
      <c r="B1530" t="s">
        <v>3132</v>
      </c>
      <c r="C1530" s="2">
        <v>2023</v>
      </c>
      <c r="D1530" s="10">
        <v>6</v>
      </c>
      <c r="E1530" s="10">
        <v>18</v>
      </c>
      <c r="F1530" t="s">
        <v>2822</v>
      </c>
      <c r="G1530">
        <v>33.829999999999998</v>
      </c>
      <c r="H1530" t="s">
        <v>69</v>
      </c>
      <c r="I1530" t="s">
        <v>338</v>
      </c>
      <c r="J1530" s="10" t="str">
        <f>VLOOKUP(I1530,Categories!A:B,2,FALSE)</f>
        <v>Trips</v>
      </c>
      <c r="K1530" t="s">
        <v>3084</v>
      </c>
      <c r="L1530" s="10" t="str">
        <f>VLOOKUP(K1530,Accounts!A:B,2,FALSE)</f>
        <v xml:space="preserve">t money</v>
      </c>
      <c r="M1530" t="s">
        <v>124</v>
      </c>
      <c r="N1530" s="10"/>
      <c r="O1530" t="s">
        <v>3142</v>
      </c>
      <c r="Q1530" t="s">
        <v>126</v>
      </c>
      <c r="R1530" t="s">
        <v>124</v>
      </c>
      <c r="S1530" t="b">
        <v>0</v>
      </c>
      <c r="T1530" t="s">
        <v>124</v>
      </c>
    </row>
    <row r="1531">
      <c r="A1531" t="s">
        <v>3143</v>
      </c>
      <c r="B1531" t="s">
        <v>3132</v>
      </c>
      <c r="C1531" s="2">
        <v>2023</v>
      </c>
      <c r="D1531" s="10">
        <v>6</v>
      </c>
      <c r="E1531" s="10">
        <v>18</v>
      </c>
      <c r="F1531" t="s">
        <v>2967</v>
      </c>
      <c r="G1531">
        <v>81.189999999999998</v>
      </c>
      <c r="H1531" t="s">
        <v>69</v>
      </c>
      <c r="I1531" t="s">
        <v>150</v>
      </c>
      <c r="J1531" s="10" t="str">
        <f>VLOOKUP(I1531,Categories!A:B,2,FALSE)</f>
        <v xml:space="preserve">Food &amp; Coff</v>
      </c>
      <c r="K1531" t="s">
        <v>2504</v>
      </c>
      <c r="L1531" s="10" t="str">
        <f>VLOOKUP(K1531,Accounts!A:B,2,FALSE)</f>
        <v xml:space="preserve">krw cash</v>
      </c>
      <c r="M1531" t="s">
        <v>124</v>
      </c>
      <c r="N1531" s="10"/>
      <c r="O1531" t="s">
        <v>3144</v>
      </c>
      <c r="Q1531" t="s">
        <v>126</v>
      </c>
      <c r="R1531" t="s">
        <v>124</v>
      </c>
      <c r="S1531" t="b">
        <v>0</v>
      </c>
      <c r="T1531" t="s">
        <v>124</v>
      </c>
    </row>
    <row r="1532">
      <c r="A1532" t="s">
        <v>3145</v>
      </c>
      <c r="B1532" t="s">
        <v>3132</v>
      </c>
      <c r="C1532" s="2">
        <v>2023</v>
      </c>
      <c r="D1532" s="10">
        <v>6</v>
      </c>
      <c r="E1532" s="10">
        <v>18</v>
      </c>
      <c r="F1532" t="s">
        <v>1613</v>
      </c>
      <c r="G1532">
        <v>36.530000000000001</v>
      </c>
      <c r="H1532" t="s">
        <v>69</v>
      </c>
      <c r="I1532" t="s">
        <v>338</v>
      </c>
      <c r="J1532" s="10" t="str">
        <f>VLOOKUP(I1532,Categories!A:B,2,FALSE)</f>
        <v>Trips</v>
      </c>
      <c r="K1532" t="s">
        <v>3084</v>
      </c>
      <c r="L1532" s="10" t="str">
        <f>VLOOKUP(K1532,Accounts!A:B,2,FALSE)</f>
        <v xml:space="preserve">t money</v>
      </c>
      <c r="M1532" t="s">
        <v>124</v>
      </c>
      <c r="N1532" s="10"/>
      <c r="O1532" t="s">
        <v>3146</v>
      </c>
      <c r="Q1532" t="s">
        <v>126</v>
      </c>
      <c r="R1532" t="s">
        <v>124</v>
      </c>
      <c r="S1532" t="b">
        <v>0</v>
      </c>
      <c r="T1532" t="s">
        <v>124</v>
      </c>
    </row>
    <row r="1533">
      <c r="A1533" t="s">
        <v>3147</v>
      </c>
      <c r="B1533" t="s">
        <v>3132</v>
      </c>
      <c r="C1533" s="2">
        <v>2023</v>
      </c>
      <c r="D1533" s="10">
        <v>6</v>
      </c>
      <c r="E1533" s="10">
        <v>18</v>
      </c>
      <c r="F1533" t="s">
        <v>1026</v>
      </c>
      <c r="G1533">
        <v>77.400000000000006</v>
      </c>
      <c r="H1533" t="s">
        <v>69</v>
      </c>
      <c r="I1533" t="s">
        <v>338</v>
      </c>
      <c r="J1533" s="10" t="str">
        <f>VLOOKUP(I1533,Categories!A:B,2,FALSE)</f>
        <v>Trips</v>
      </c>
      <c r="K1533" t="s">
        <v>3084</v>
      </c>
      <c r="L1533" s="10" t="str">
        <f>VLOOKUP(K1533,Accounts!A:B,2,FALSE)</f>
        <v xml:space="preserve">t money</v>
      </c>
      <c r="M1533" t="s">
        <v>124</v>
      </c>
      <c r="N1533" s="10"/>
      <c r="O1533" t="s">
        <v>3148</v>
      </c>
      <c r="Q1533" t="s">
        <v>126</v>
      </c>
      <c r="R1533" t="s">
        <v>124</v>
      </c>
      <c r="S1533" t="b">
        <v>0</v>
      </c>
      <c r="T1533" t="s">
        <v>124</v>
      </c>
    </row>
    <row r="1534">
      <c r="A1534" t="s">
        <v>3149</v>
      </c>
      <c r="B1534" t="s">
        <v>3132</v>
      </c>
      <c r="C1534" s="2">
        <v>2023</v>
      </c>
      <c r="D1534" s="10">
        <v>6</v>
      </c>
      <c r="E1534" s="10">
        <v>18</v>
      </c>
      <c r="F1534" t="s">
        <v>3150</v>
      </c>
      <c r="G1534">
        <v>27.059999999999999</v>
      </c>
      <c r="H1534" t="s">
        <v>69</v>
      </c>
      <c r="I1534" t="s">
        <v>338</v>
      </c>
      <c r="J1534" s="10" t="str">
        <f>VLOOKUP(I1534,Categories!A:B,2,FALSE)</f>
        <v>Trips</v>
      </c>
      <c r="K1534" t="s">
        <v>3084</v>
      </c>
      <c r="L1534" s="10" t="str">
        <f>VLOOKUP(K1534,Accounts!A:B,2,FALSE)</f>
        <v xml:space="preserve">t money</v>
      </c>
      <c r="M1534" t="s">
        <v>124</v>
      </c>
      <c r="N1534" s="10"/>
      <c r="O1534" t="s">
        <v>3151</v>
      </c>
      <c r="Q1534" t="s">
        <v>126</v>
      </c>
      <c r="R1534" t="s">
        <v>124</v>
      </c>
      <c r="S1534" t="b">
        <v>0</v>
      </c>
      <c r="T1534" t="s">
        <v>124</v>
      </c>
    </row>
    <row r="1535">
      <c r="A1535" t="s">
        <v>3152</v>
      </c>
      <c r="B1535" t="s">
        <v>3132</v>
      </c>
      <c r="C1535" s="2">
        <v>2023</v>
      </c>
      <c r="D1535" s="10">
        <v>6</v>
      </c>
      <c r="E1535" s="10">
        <v>18</v>
      </c>
      <c r="F1535" t="s">
        <v>3153</v>
      </c>
      <c r="G1535">
        <v>36.530000000000001</v>
      </c>
      <c r="H1535" t="s">
        <v>69</v>
      </c>
      <c r="I1535" t="s">
        <v>338</v>
      </c>
      <c r="J1535" s="10" t="str">
        <f>VLOOKUP(I1535,Categories!A:B,2,FALSE)</f>
        <v>Trips</v>
      </c>
      <c r="K1535" t="s">
        <v>3084</v>
      </c>
      <c r="L1535" s="10" t="str">
        <f>VLOOKUP(K1535,Accounts!A:B,2,FALSE)</f>
        <v xml:space="preserve">t money</v>
      </c>
      <c r="M1535" t="s">
        <v>124</v>
      </c>
      <c r="N1535" s="10"/>
      <c r="O1535" t="s">
        <v>3154</v>
      </c>
      <c r="Q1535" t="s">
        <v>126</v>
      </c>
      <c r="R1535" t="s">
        <v>124</v>
      </c>
      <c r="S1535" t="b">
        <v>0</v>
      </c>
      <c r="T1535" t="s">
        <v>124</v>
      </c>
    </row>
    <row r="1536">
      <c r="A1536" t="s">
        <v>3155</v>
      </c>
      <c r="B1536" t="s">
        <v>3132</v>
      </c>
      <c r="C1536" s="2">
        <v>2023</v>
      </c>
      <c r="D1536" s="10">
        <v>6</v>
      </c>
      <c r="E1536" s="10">
        <v>18</v>
      </c>
      <c r="F1536" t="s">
        <v>827</v>
      </c>
      <c r="G1536">
        <v>690.09000000000003</v>
      </c>
      <c r="H1536" t="s">
        <v>69</v>
      </c>
      <c r="I1536" t="s">
        <v>150</v>
      </c>
      <c r="J1536" s="10" t="str">
        <f>VLOOKUP(I1536,Categories!A:B,2,FALSE)</f>
        <v xml:space="preserve">Food &amp; Coff</v>
      </c>
      <c r="K1536" t="s">
        <v>2516</v>
      </c>
      <c r="L1536" s="10" t="str">
        <f>VLOOKUP(K1536,Accounts!A:B,2,FALSE)</f>
        <v>Travelcard</v>
      </c>
      <c r="M1536" t="s">
        <v>124</v>
      </c>
      <c r="N1536" s="10"/>
      <c r="O1536" t="s">
        <v>3156</v>
      </c>
      <c r="Q1536" t="s">
        <v>126</v>
      </c>
      <c r="R1536" t="s">
        <v>124</v>
      </c>
      <c r="S1536" t="b">
        <v>0</v>
      </c>
      <c r="T1536" t="s">
        <v>124</v>
      </c>
    </row>
    <row r="1537">
      <c r="A1537" t="s">
        <v>3157</v>
      </c>
      <c r="B1537" t="s">
        <v>3132</v>
      </c>
      <c r="C1537" s="2">
        <v>2023</v>
      </c>
      <c r="D1537" s="10">
        <v>6</v>
      </c>
      <c r="E1537" s="10">
        <v>18</v>
      </c>
      <c r="F1537" t="s">
        <v>476</v>
      </c>
      <c r="G1537">
        <v>81.189999999999998</v>
      </c>
      <c r="H1537" t="s">
        <v>69</v>
      </c>
      <c r="I1537" t="s">
        <v>150</v>
      </c>
      <c r="J1537" s="10" t="str">
        <f>VLOOKUP(I1537,Categories!A:B,2,FALSE)</f>
        <v xml:space="preserve">Food &amp; Coff</v>
      </c>
      <c r="K1537" t="s">
        <v>2504</v>
      </c>
      <c r="L1537" s="10" t="str">
        <f>VLOOKUP(K1537,Accounts!A:B,2,FALSE)</f>
        <v xml:space="preserve">krw cash</v>
      </c>
      <c r="M1537" t="s">
        <v>124</v>
      </c>
      <c r="N1537" s="10"/>
      <c r="O1537" t="s">
        <v>3158</v>
      </c>
      <c r="Q1537" t="s">
        <v>126</v>
      </c>
      <c r="R1537" t="s">
        <v>124</v>
      </c>
      <c r="S1537" t="b">
        <v>0</v>
      </c>
      <c r="T1537" t="s">
        <v>124</v>
      </c>
    </row>
    <row r="1538">
      <c r="A1538" t="s">
        <v>3159</v>
      </c>
      <c r="B1538" t="s">
        <v>3160</v>
      </c>
      <c r="C1538" s="2">
        <v>2023</v>
      </c>
      <c r="D1538" s="10">
        <v>6</v>
      </c>
      <c r="E1538" s="10">
        <v>17</v>
      </c>
      <c r="F1538" t="s">
        <v>1513</v>
      </c>
      <c r="G1538">
        <v>6500</v>
      </c>
      <c r="H1538" t="s">
        <v>128</v>
      </c>
      <c r="I1538" t="s">
        <v>136</v>
      </c>
      <c r="J1538" s="10" t="str">
        <f>VLOOKUP(I1538,Categories!A:B,2,FALSE)</f>
        <v>อื่นๆ</v>
      </c>
      <c r="K1538" t="s">
        <v>178</v>
      </c>
      <c r="L1538" s="10" t="str">
        <f>VLOOKUP(K1538,Accounts!A:B,2,FALSE)</f>
        <v>SCB</v>
      </c>
      <c r="M1538" t="s">
        <v>425</v>
      </c>
      <c r="N1538" s="10" t="str">
        <f>VLOOKUP(M1538,Accounts!A:B,2,FALSE)</f>
        <v>Cash</v>
      </c>
      <c r="O1538" t="s">
        <v>125</v>
      </c>
      <c r="Q1538" t="s">
        <v>126</v>
      </c>
      <c r="R1538" t="s">
        <v>124</v>
      </c>
      <c r="S1538" t="b">
        <v>0</v>
      </c>
      <c r="T1538" t="s">
        <v>124</v>
      </c>
    </row>
    <row r="1539">
      <c r="A1539" t="s">
        <v>3161</v>
      </c>
      <c r="B1539" t="s">
        <v>3160</v>
      </c>
      <c r="C1539" s="2">
        <v>2023</v>
      </c>
      <c r="D1539" s="10">
        <v>6</v>
      </c>
      <c r="E1539" s="10">
        <v>17</v>
      </c>
      <c r="F1539" t="s">
        <v>582</v>
      </c>
      <c r="G1539">
        <v>798</v>
      </c>
      <c r="H1539" t="s">
        <v>128</v>
      </c>
      <c r="I1539" t="s">
        <v>136</v>
      </c>
      <c r="J1539" s="10" t="str">
        <f>VLOOKUP(I1539,Categories!A:B,2,FALSE)</f>
        <v>อื่นๆ</v>
      </c>
      <c r="K1539" t="s">
        <v>1308</v>
      </c>
      <c r="L1539" s="10" t="str">
        <f>VLOOKUP(K1539,Accounts!A:B,2,FALSE)</f>
        <v xml:space="preserve">UOB Privilages</v>
      </c>
      <c r="M1539" t="s">
        <v>131</v>
      </c>
      <c r="N1539" s="10" t="str">
        <f>VLOOKUP(M1539,Accounts!A:B,2,FALSE)</f>
        <v xml:space="preserve">Advance Paid</v>
      </c>
      <c r="O1539" t="s">
        <v>3162</v>
      </c>
      <c r="Q1539" t="s">
        <v>126</v>
      </c>
      <c r="R1539" t="s">
        <v>124</v>
      </c>
      <c r="S1539" t="b">
        <v>0</v>
      </c>
      <c r="T1539" t="s">
        <v>124</v>
      </c>
    </row>
    <row r="1540">
      <c r="A1540" t="s">
        <v>3163</v>
      </c>
      <c r="B1540" t="s">
        <v>3160</v>
      </c>
      <c r="C1540" s="2">
        <v>2023</v>
      </c>
      <c r="D1540" s="10">
        <v>6</v>
      </c>
      <c r="E1540" s="10">
        <v>17</v>
      </c>
      <c r="F1540" t="s">
        <v>3164</v>
      </c>
      <c r="G1540">
        <v>39</v>
      </c>
      <c r="H1540" t="s">
        <v>69</v>
      </c>
      <c r="I1540" t="s">
        <v>150</v>
      </c>
      <c r="J1540" s="10" t="str">
        <f>VLOOKUP(I1540,Categories!A:B,2,FALSE)</f>
        <v xml:space="preserve">Food &amp; Coff</v>
      </c>
      <c r="K1540" t="s">
        <v>123</v>
      </c>
      <c r="L1540" s="10" t="str">
        <f>VLOOKUP(K1540,Accounts!A:B,2,FALSE)</f>
        <v>KBank</v>
      </c>
      <c r="M1540" t="s">
        <v>124</v>
      </c>
      <c r="N1540" s="10"/>
      <c r="O1540" t="s">
        <v>125</v>
      </c>
      <c r="Q1540" t="s">
        <v>126</v>
      </c>
      <c r="R1540" t="s">
        <v>124</v>
      </c>
      <c r="S1540" t="b">
        <v>0</v>
      </c>
      <c r="T1540" t="s">
        <v>124</v>
      </c>
    </row>
    <row r="1541">
      <c r="A1541" t="s">
        <v>3165</v>
      </c>
      <c r="B1541" t="s">
        <v>3160</v>
      </c>
      <c r="C1541" s="2">
        <v>2023</v>
      </c>
      <c r="D1541" s="10">
        <v>6</v>
      </c>
      <c r="E1541" s="10">
        <v>17</v>
      </c>
      <c r="F1541" t="s">
        <v>3166</v>
      </c>
      <c r="G1541">
        <v>8089</v>
      </c>
      <c r="H1541" t="s">
        <v>128</v>
      </c>
      <c r="I1541" t="s">
        <v>136</v>
      </c>
      <c r="J1541" s="10" t="str">
        <f>VLOOKUP(I1541,Categories!A:B,2,FALSE)</f>
        <v>อื่นๆ</v>
      </c>
      <c r="K1541" t="s">
        <v>425</v>
      </c>
      <c r="L1541" s="10" t="str">
        <f>VLOOKUP(K1541,Accounts!A:B,2,FALSE)</f>
        <v>Cash</v>
      </c>
      <c r="M1541" t="s">
        <v>2504</v>
      </c>
      <c r="N1541" s="10" t="str">
        <f>VLOOKUP(M1541,Accounts!A:B,2,FALSE)</f>
        <v xml:space="preserve">krw cash</v>
      </c>
      <c r="O1541" t="s">
        <v>3167</v>
      </c>
      <c r="Q1541" t="s">
        <v>126</v>
      </c>
      <c r="R1541" t="s">
        <v>124</v>
      </c>
      <c r="S1541" t="b">
        <v>0</v>
      </c>
      <c r="T1541" t="s">
        <v>124</v>
      </c>
    </row>
    <row r="1542">
      <c r="A1542" t="s">
        <v>3168</v>
      </c>
      <c r="B1542" t="s">
        <v>3160</v>
      </c>
      <c r="C1542" s="2">
        <v>2023</v>
      </c>
      <c r="D1542" s="10">
        <v>6</v>
      </c>
      <c r="E1542" s="10">
        <v>17</v>
      </c>
      <c r="F1542" t="s">
        <v>431</v>
      </c>
      <c r="G1542">
        <v>7911</v>
      </c>
      <c r="H1542" t="s">
        <v>128</v>
      </c>
      <c r="I1542" t="s">
        <v>136</v>
      </c>
      <c r="J1542" s="10" t="str">
        <f>VLOOKUP(I1542,Categories!A:B,2,FALSE)</f>
        <v>อื่นๆ</v>
      </c>
      <c r="K1542" t="s">
        <v>425</v>
      </c>
      <c r="L1542" s="10" t="str">
        <f>VLOOKUP(K1542,Accounts!A:B,2,FALSE)</f>
        <v>Cash</v>
      </c>
      <c r="M1542" t="s">
        <v>131</v>
      </c>
      <c r="N1542" s="10" t="str">
        <f>VLOOKUP(M1542,Accounts!A:B,2,FALSE)</f>
        <v xml:space="preserve">Advance Paid</v>
      </c>
      <c r="O1542" t="s">
        <v>125</v>
      </c>
      <c r="Q1542" t="s">
        <v>126</v>
      </c>
      <c r="R1542" t="s">
        <v>124</v>
      </c>
      <c r="S1542" t="b">
        <v>0</v>
      </c>
      <c r="T1542" t="s">
        <v>124</v>
      </c>
    </row>
    <row r="1543">
      <c r="A1543" t="s">
        <v>3169</v>
      </c>
      <c r="B1543" t="s">
        <v>3160</v>
      </c>
      <c r="C1543" s="2">
        <v>2023</v>
      </c>
      <c r="D1543" s="10">
        <v>6</v>
      </c>
      <c r="E1543" s="10">
        <v>17</v>
      </c>
      <c r="F1543" t="s">
        <v>1922</v>
      </c>
      <c r="G1543">
        <v>3000</v>
      </c>
      <c r="H1543" t="s">
        <v>69</v>
      </c>
      <c r="I1543" t="s">
        <v>259</v>
      </c>
      <c r="J1543" s="10" t="str">
        <f>VLOOKUP(I1543,Categories!A:B,2,FALSE)</f>
        <v xml:space="preserve">Team BOT</v>
      </c>
      <c r="K1543" t="s">
        <v>425</v>
      </c>
      <c r="L1543" s="10" t="str">
        <f>VLOOKUP(K1543,Accounts!A:B,2,FALSE)</f>
        <v>Cash</v>
      </c>
      <c r="M1543" t="s">
        <v>124</v>
      </c>
      <c r="N1543" s="10"/>
      <c r="O1543" t="s">
        <v>3170</v>
      </c>
      <c r="Q1543" t="s">
        <v>126</v>
      </c>
      <c r="R1543" t="s">
        <v>124</v>
      </c>
      <c r="S1543" t="b">
        <v>0</v>
      </c>
      <c r="T1543" t="s">
        <v>124</v>
      </c>
    </row>
    <row r="1544">
      <c r="A1544" t="s">
        <v>3171</v>
      </c>
      <c r="B1544" t="s">
        <v>3160</v>
      </c>
      <c r="C1544" s="2">
        <v>2023</v>
      </c>
      <c r="D1544" s="10">
        <v>6</v>
      </c>
      <c r="E1544" s="10">
        <v>17</v>
      </c>
      <c r="F1544" t="s">
        <v>2045</v>
      </c>
      <c r="G1544">
        <v>2500</v>
      </c>
      <c r="H1544" t="s">
        <v>128</v>
      </c>
      <c r="I1544" t="s">
        <v>136</v>
      </c>
      <c r="J1544" s="10" t="str">
        <f>VLOOKUP(I1544,Categories!A:B,2,FALSE)</f>
        <v>อื่นๆ</v>
      </c>
      <c r="K1544" t="s">
        <v>425</v>
      </c>
      <c r="L1544" s="10" t="str">
        <f>VLOOKUP(K1544,Accounts!A:B,2,FALSE)</f>
        <v>Cash</v>
      </c>
      <c r="M1544" t="s">
        <v>178</v>
      </c>
      <c r="N1544" s="10" t="str">
        <f>VLOOKUP(M1544,Accounts!A:B,2,FALSE)</f>
        <v>SCB</v>
      </c>
      <c r="O1544" t="s">
        <v>125</v>
      </c>
      <c r="Q1544" t="s">
        <v>126</v>
      </c>
      <c r="R1544" t="s">
        <v>124</v>
      </c>
      <c r="S1544" t="b">
        <v>0</v>
      </c>
      <c r="T1544" t="s">
        <v>124</v>
      </c>
    </row>
    <row r="1545">
      <c r="A1545" t="s">
        <v>3172</v>
      </c>
      <c r="B1545" t="s">
        <v>3173</v>
      </c>
      <c r="C1545" s="2">
        <v>2023</v>
      </c>
      <c r="D1545" s="10">
        <v>6</v>
      </c>
      <c r="E1545" s="10">
        <v>16</v>
      </c>
      <c r="F1545" t="s">
        <v>2638</v>
      </c>
      <c r="G1545">
        <v>1157</v>
      </c>
      <c r="H1545" t="s">
        <v>69</v>
      </c>
      <c r="I1545" t="s">
        <v>150</v>
      </c>
      <c r="J1545" s="10" t="str">
        <f>VLOOKUP(I1545,Categories!A:B,2,FALSE)</f>
        <v xml:space="preserve">Food &amp; Coff</v>
      </c>
      <c r="K1545" t="s">
        <v>2317</v>
      </c>
      <c r="L1545" s="10" t="str">
        <f>VLOOKUP(K1545,Accounts!A:B,2,FALSE)</f>
        <v xml:space="preserve">Marriage account</v>
      </c>
      <c r="M1545" t="s">
        <v>124</v>
      </c>
      <c r="N1545" s="10"/>
      <c r="O1545" t="s">
        <v>3174</v>
      </c>
      <c r="Q1545" t="s">
        <v>126</v>
      </c>
      <c r="R1545" t="s">
        <v>124</v>
      </c>
      <c r="S1545" t="b">
        <v>0</v>
      </c>
      <c r="T1545" t="s">
        <v>124</v>
      </c>
    </row>
    <row r="1546">
      <c r="A1546" t="s">
        <v>3175</v>
      </c>
      <c r="B1546" t="s">
        <v>3173</v>
      </c>
      <c r="C1546" s="2">
        <v>2023</v>
      </c>
      <c r="D1546" s="10">
        <v>6</v>
      </c>
      <c r="E1546" s="10">
        <v>16</v>
      </c>
      <c r="F1546" t="s">
        <v>3176</v>
      </c>
      <c r="G1546">
        <v>38.100000000000001</v>
      </c>
      <c r="H1546" t="s">
        <v>69</v>
      </c>
      <c r="I1546" t="s">
        <v>150</v>
      </c>
      <c r="J1546" s="10" t="str">
        <f>VLOOKUP(I1546,Categories!A:B,2,FALSE)</f>
        <v xml:space="preserve">Food &amp; Coff</v>
      </c>
      <c r="K1546" t="s">
        <v>123</v>
      </c>
      <c r="L1546" s="10" t="str">
        <f>VLOOKUP(K1546,Accounts!A:B,2,FALSE)</f>
        <v>KBank</v>
      </c>
      <c r="M1546" t="s">
        <v>124</v>
      </c>
      <c r="N1546" s="10"/>
      <c r="O1546" t="s">
        <v>125</v>
      </c>
      <c r="Q1546" t="s">
        <v>126</v>
      </c>
      <c r="R1546" t="s">
        <v>124</v>
      </c>
      <c r="S1546" t="b">
        <v>0</v>
      </c>
      <c r="T1546" t="s">
        <v>124</v>
      </c>
    </row>
    <row r="1547">
      <c r="A1547" t="s">
        <v>3177</v>
      </c>
      <c r="B1547" t="s">
        <v>3173</v>
      </c>
      <c r="C1547" s="2">
        <v>2023</v>
      </c>
      <c r="D1547" s="10">
        <v>6</v>
      </c>
      <c r="E1547" s="10">
        <v>16</v>
      </c>
      <c r="F1547" t="s">
        <v>2436</v>
      </c>
      <c r="G1547">
        <v>30000</v>
      </c>
      <c r="H1547" t="s">
        <v>128</v>
      </c>
      <c r="I1547" t="s">
        <v>136</v>
      </c>
      <c r="J1547" s="10" t="str">
        <f>VLOOKUP(I1547,Categories!A:B,2,FALSE)</f>
        <v>อื่นๆ</v>
      </c>
      <c r="K1547" t="s">
        <v>178</v>
      </c>
      <c r="L1547" s="10" t="str">
        <f>VLOOKUP(K1547,Accounts!A:B,2,FALSE)</f>
        <v>SCB</v>
      </c>
      <c r="M1547" t="s">
        <v>213</v>
      </c>
      <c r="N1547" s="10" t="str">
        <f>VLOOKUP(M1547,Accounts!A:B,2,FALSE)</f>
        <v xml:space="preserve">Krungthai Next</v>
      </c>
      <c r="O1547" t="s">
        <v>125</v>
      </c>
      <c r="Q1547" t="s">
        <v>126</v>
      </c>
      <c r="R1547" t="s">
        <v>124</v>
      </c>
      <c r="S1547" t="b">
        <v>0</v>
      </c>
      <c r="T1547" t="s">
        <v>124</v>
      </c>
    </row>
    <row r="1548">
      <c r="A1548" t="s">
        <v>3178</v>
      </c>
      <c r="B1548" t="s">
        <v>3179</v>
      </c>
      <c r="C1548" s="2">
        <v>2023</v>
      </c>
      <c r="D1548" s="10">
        <v>6</v>
      </c>
      <c r="E1548" s="10">
        <v>15</v>
      </c>
      <c r="F1548" t="s">
        <v>3176</v>
      </c>
      <c r="G1548">
        <v>72</v>
      </c>
      <c r="H1548" t="s">
        <v>69</v>
      </c>
      <c r="I1548" t="s">
        <v>150</v>
      </c>
      <c r="J1548" s="10" t="str">
        <f>VLOOKUP(I1548,Categories!A:B,2,FALSE)</f>
        <v xml:space="preserve">Food &amp; Coff</v>
      </c>
      <c r="K1548" t="s">
        <v>123</v>
      </c>
      <c r="L1548" s="10" t="str">
        <f>VLOOKUP(K1548,Accounts!A:B,2,FALSE)</f>
        <v>KBank</v>
      </c>
      <c r="M1548" t="s">
        <v>124</v>
      </c>
      <c r="N1548" s="10"/>
      <c r="O1548" t="s">
        <v>125</v>
      </c>
      <c r="Q1548" t="s">
        <v>126</v>
      </c>
      <c r="R1548" t="s">
        <v>124</v>
      </c>
      <c r="S1548" t="b">
        <v>0</v>
      </c>
      <c r="T1548" t="s">
        <v>124</v>
      </c>
    </row>
    <row r="1549">
      <c r="A1549" t="s">
        <v>3180</v>
      </c>
      <c r="B1549" t="s">
        <v>3181</v>
      </c>
      <c r="C1549" s="2">
        <v>2023</v>
      </c>
      <c r="D1549" s="10">
        <v>6</v>
      </c>
      <c r="E1549" s="10">
        <v>14</v>
      </c>
      <c r="F1549" t="s">
        <v>3182</v>
      </c>
      <c r="G1549">
        <v>580</v>
      </c>
      <c r="H1549" t="s">
        <v>69</v>
      </c>
      <c r="I1549" t="s">
        <v>150</v>
      </c>
      <c r="J1549" s="10" t="str">
        <f>VLOOKUP(I1549,Categories!A:B,2,FALSE)</f>
        <v xml:space="preserve">Food &amp; Coff</v>
      </c>
      <c r="K1549" t="s">
        <v>123</v>
      </c>
      <c r="L1549" s="10" t="str">
        <f>VLOOKUP(K1549,Accounts!A:B,2,FALSE)</f>
        <v>KBank</v>
      </c>
      <c r="M1549" t="s">
        <v>124</v>
      </c>
      <c r="N1549" s="10"/>
      <c r="O1549" t="s">
        <v>125</v>
      </c>
      <c r="Q1549" t="s">
        <v>126</v>
      </c>
      <c r="R1549" t="s">
        <v>124</v>
      </c>
      <c r="S1549" t="b">
        <v>0</v>
      </c>
      <c r="T1549" t="s">
        <v>124</v>
      </c>
    </row>
    <row r="1550">
      <c r="A1550" t="s">
        <v>3183</v>
      </c>
      <c r="B1550" t="s">
        <v>3181</v>
      </c>
      <c r="C1550" s="2">
        <v>2023</v>
      </c>
      <c r="D1550" s="10">
        <v>6</v>
      </c>
      <c r="E1550" s="10">
        <v>14</v>
      </c>
      <c r="F1550" t="s">
        <v>1009</v>
      </c>
      <c r="G1550">
        <v>500</v>
      </c>
      <c r="H1550" t="s">
        <v>128</v>
      </c>
      <c r="I1550" t="s">
        <v>136</v>
      </c>
      <c r="J1550" s="10" t="str">
        <f>VLOOKUP(I1550,Categories!A:B,2,FALSE)</f>
        <v>อื่นๆ</v>
      </c>
      <c r="K1550" t="s">
        <v>123</v>
      </c>
      <c r="L1550" s="10" t="str">
        <f>VLOOKUP(K1550,Accounts!A:B,2,FALSE)</f>
        <v>KBank</v>
      </c>
      <c r="M1550" t="s">
        <v>425</v>
      </c>
      <c r="N1550" s="10" t="str">
        <f>VLOOKUP(M1550,Accounts!A:B,2,FALSE)</f>
        <v>Cash</v>
      </c>
      <c r="O1550" t="s">
        <v>125</v>
      </c>
      <c r="Q1550" t="s">
        <v>126</v>
      </c>
      <c r="R1550" t="s">
        <v>124</v>
      </c>
      <c r="S1550" t="b">
        <v>0</v>
      </c>
      <c r="T1550" t="s">
        <v>124</v>
      </c>
    </row>
    <row r="1551">
      <c r="A1551" t="s">
        <v>3184</v>
      </c>
      <c r="B1551" t="s">
        <v>3181</v>
      </c>
      <c r="C1551" s="2">
        <v>2023</v>
      </c>
      <c r="D1551" s="10">
        <v>6</v>
      </c>
      <c r="E1551" s="10">
        <v>14</v>
      </c>
      <c r="F1551" t="s">
        <v>3185</v>
      </c>
      <c r="G1551">
        <v>419</v>
      </c>
      <c r="H1551" t="s">
        <v>128</v>
      </c>
      <c r="I1551" t="s">
        <v>136</v>
      </c>
      <c r="J1551" s="10" t="str">
        <f>VLOOKUP(I1551,Categories!A:B,2,FALSE)</f>
        <v>อื่นๆ</v>
      </c>
      <c r="K1551" t="s">
        <v>178</v>
      </c>
      <c r="L1551" s="10" t="str">
        <f>VLOOKUP(K1551,Accounts!A:B,2,FALSE)</f>
        <v>SCB</v>
      </c>
      <c r="M1551" t="s">
        <v>747</v>
      </c>
      <c r="N1551" s="10" t="str">
        <f>VLOOKUP(M1551,Accounts!A:B,2,FALSE)</f>
        <v xml:space="preserve">UOB world</v>
      </c>
      <c r="O1551" t="s">
        <v>125</v>
      </c>
      <c r="Q1551" t="s">
        <v>126</v>
      </c>
      <c r="R1551" t="s">
        <v>124</v>
      </c>
      <c r="S1551" t="b">
        <v>0</v>
      </c>
      <c r="T1551" t="s">
        <v>124</v>
      </c>
    </row>
    <row r="1552">
      <c r="A1552" t="s">
        <v>3186</v>
      </c>
      <c r="B1552" t="s">
        <v>3181</v>
      </c>
      <c r="C1552" s="2">
        <v>2023</v>
      </c>
      <c r="D1552" s="10">
        <v>6</v>
      </c>
      <c r="E1552" s="10">
        <v>14</v>
      </c>
      <c r="F1552" t="s">
        <v>3176</v>
      </c>
      <c r="G1552">
        <v>115</v>
      </c>
      <c r="H1552" t="s">
        <v>69</v>
      </c>
      <c r="I1552" t="s">
        <v>150</v>
      </c>
      <c r="J1552" s="10" t="str">
        <f>VLOOKUP(I1552,Categories!A:B,2,FALSE)</f>
        <v xml:space="preserve">Food &amp; Coff</v>
      </c>
      <c r="K1552" t="s">
        <v>123</v>
      </c>
      <c r="L1552" s="10" t="str">
        <f>VLOOKUP(K1552,Accounts!A:B,2,FALSE)</f>
        <v>KBank</v>
      </c>
      <c r="M1552" t="s">
        <v>124</v>
      </c>
      <c r="N1552" s="10"/>
      <c r="O1552" t="s">
        <v>125</v>
      </c>
      <c r="Q1552" t="s">
        <v>126</v>
      </c>
      <c r="R1552" t="s">
        <v>124</v>
      </c>
      <c r="S1552" t="b">
        <v>0</v>
      </c>
      <c r="T1552" t="s">
        <v>124</v>
      </c>
    </row>
    <row r="1553">
      <c r="A1553" t="s">
        <v>3187</v>
      </c>
      <c r="B1553" t="s">
        <v>3188</v>
      </c>
      <c r="C1553" s="2">
        <v>2023</v>
      </c>
      <c r="D1553" s="10">
        <v>6</v>
      </c>
      <c r="E1553" s="10">
        <v>13</v>
      </c>
      <c r="F1553" t="s">
        <v>765</v>
      </c>
      <c r="G1553">
        <v>180</v>
      </c>
      <c r="H1553" t="s">
        <v>69</v>
      </c>
      <c r="I1553" t="s">
        <v>150</v>
      </c>
      <c r="J1553" s="10" t="str">
        <f>VLOOKUP(I1553,Categories!A:B,2,FALSE)</f>
        <v xml:space="preserve">Food &amp; Coff</v>
      </c>
      <c r="K1553" t="s">
        <v>123</v>
      </c>
      <c r="L1553" s="10" t="str">
        <f>VLOOKUP(K1553,Accounts!A:B,2,FALSE)</f>
        <v>KBank</v>
      </c>
      <c r="M1553" t="s">
        <v>124</v>
      </c>
      <c r="N1553" s="10"/>
      <c r="O1553" t="s">
        <v>125</v>
      </c>
      <c r="Q1553" t="s">
        <v>126</v>
      </c>
      <c r="R1553" t="s">
        <v>124</v>
      </c>
      <c r="S1553" t="b">
        <v>0</v>
      </c>
      <c r="T1553" t="s">
        <v>124</v>
      </c>
    </row>
    <row r="1554">
      <c r="A1554" t="s">
        <v>3189</v>
      </c>
      <c r="B1554" t="s">
        <v>3188</v>
      </c>
      <c r="C1554" s="2">
        <v>2023</v>
      </c>
      <c r="D1554" s="10">
        <v>6</v>
      </c>
      <c r="E1554" s="10">
        <v>13</v>
      </c>
      <c r="F1554" t="s">
        <v>1806</v>
      </c>
      <c r="G1554">
        <v>419</v>
      </c>
      <c r="H1554" t="s">
        <v>69</v>
      </c>
      <c r="I1554" t="s">
        <v>1903</v>
      </c>
      <c r="J1554" s="10" t="str">
        <f>VLOOKUP(I1554,Categories!A:B,2,FALSE)</f>
        <v xml:space="preserve">Monthly subscription</v>
      </c>
      <c r="K1554" t="s">
        <v>747</v>
      </c>
      <c r="L1554" s="10" t="str">
        <f>VLOOKUP(K1554,Accounts!A:B,2,FALSE)</f>
        <v xml:space="preserve">UOB world</v>
      </c>
      <c r="M1554" t="s">
        <v>124</v>
      </c>
      <c r="N1554" s="10"/>
      <c r="O1554" t="s">
        <v>125</v>
      </c>
      <c r="Q1554" t="s">
        <v>126</v>
      </c>
      <c r="R1554" t="s">
        <v>124</v>
      </c>
      <c r="S1554" t="b">
        <v>0</v>
      </c>
      <c r="T1554" t="s">
        <v>124</v>
      </c>
    </row>
    <row r="1555">
      <c r="A1555" t="s">
        <v>3190</v>
      </c>
      <c r="B1555" t="s">
        <v>3191</v>
      </c>
      <c r="C1555" s="2">
        <v>2023</v>
      </c>
      <c r="D1555" s="10">
        <v>6</v>
      </c>
      <c r="E1555" s="10">
        <v>12</v>
      </c>
      <c r="F1555" t="s">
        <v>1513</v>
      </c>
      <c r="G1555">
        <v>170</v>
      </c>
      <c r="H1555" t="s">
        <v>69</v>
      </c>
      <c r="I1555" t="s">
        <v>150</v>
      </c>
      <c r="J1555" s="10" t="str">
        <f>VLOOKUP(I1555,Categories!A:B,2,FALSE)</f>
        <v xml:space="preserve">Food &amp; Coff</v>
      </c>
      <c r="K1555" t="s">
        <v>178</v>
      </c>
      <c r="L1555" s="10" t="str">
        <f>VLOOKUP(K1555,Accounts!A:B,2,FALSE)</f>
        <v>SCB</v>
      </c>
      <c r="M1555" t="s">
        <v>124</v>
      </c>
      <c r="N1555" s="10"/>
      <c r="O1555" t="s">
        <v>125</v>
      </c>
      <c r="Q1555" t="s">
        <v>126</v>
      </c>
      <c r="R1555" t="s">
        <v>124</v>
      </c>
      <c r="S1555" t="b">
        <v>0</v>
      </c>
      <c r="T1555" t="s">
        <v>124</v>
      </c>
    </row>
    <row r="1556">
      <c r="A1556" t="s">
        <v>3192</v>
      </c>
      <c r="B1556" t="s">
        <v>3191</v>
      </c>
      <c r="C1556" s="2">
        <v>2023</v>
      </c>
      <c r="D1556" s="10">
        <v>6</v>
      </c>
      <c r="E1556" s="10">
        <v>12</v>
      </c>
      <c r="F1556" t="s">
        <v>582</v>
      </c>
      <c r="G1556">
        <v>166.5</v>
      </c>
      <c r="H1556" t="s">
        <v>206</v>
      </c>
      <c r="I1556" t="s">
        <v>281</v>
      </c>
      <c r="J1556" s="10" t="str">
        <f>VLOOKUP(I1556,Categories!A:B,2,FALSE)</f>
        <v>Others</v>
      </c>
      <c r="K1556" t="s">
        <v>1308</v>
      </c>
      <c r="L1556" s="10" t="str">
        <f>VLOOKUP(K1556,Accounts!A:B,2,FALSE)</f>
        <v xml:space="preserve">UOB Privilages</v>
      </c>
      <c r="M1556" t="s">
        <v>124</v>
      </c>
      <c r="N1556" s="10"/>
      <c r="O1556" t="s">
        <v>3193</v>
      </c>
      <c r="Q1556" t="s">
        <v>126</v>
      </c>
      <c r="R1556" t="s">
        <v>124</v>
      </c>
      <c r="S1556" t="b">
        <v>0</v>
      </c>
      <c r="T1556" t="s">
        <v>124</v>
      </c>
    </row>
    <row r="1557">
      <c r="A1557" t="s">
        <v>3194</v>
      </c>
      <c r="B1557" t="s">
        <v>3191</v>
      </c>
      <c r="C1557" s="2">
        <v>2023</v>
      </c>
      <c r="D1557" s="10">
        <v>6</v>
      </c>
      <c r="E1557" s="10">
        <v>12</v>
      </c>
      <c r="F1557" t="s">
        <v>765</v>
      </c>
      <c r="G1557">
        <v>55</v>
      </c>
      <c r="H1557" t="s">
        <v>69</v>
      </c>
      <c r="I1557" t="s">
        <v>150</v>
      </c>
      <c r="J1557" s="10" t="str">
        <f>VLOOKUP(I1557,Categories!A:B,2,FALSE)</f>
        <v xml:space="preserve">Food &amp; Coff</v>
      </c>
      <c r="K1557" t="s">
        <v>123</v>
      </c>
      <c r="L1557" s="10" t="str">
        <f>VLOOKUP(K1557,Accounts!A:B,2,FALSE)</f>
        <v>KBank</v>
      </c>
      <c r="M1557" t="s">
        <v>124</v>
      </c>
      <c r="N1557" s="10"/>
      <c r="O1557" t="s">
        <v>125</v>
      </c>
      <c r="Q1557" t="s">
        <v>126</v>
      </c>
      <c r="R1557" t="s">
        <v>124</v>
      </c>
      <c r="S1557" t="b">
        <v>0</v>
      </c>
      <c r="T1557" t="s">
        <v>124</v>
      </c>
    </row>
    <row r="1558">
      <c r="A1558" t="s">
        <v>3195</v>
      </c>
      <c r="B1558" t="s">
        <v>3196</v>
      </c>
      <c r="C1558" s="2">
        <v>2023</v>
      </c>
      <c r="D1558" s="10">
        <v>6</v>
      </c>
      <c r="E1558" s="10">
        <v>11</v>
      </c>
      <c r="F1558" t="s">
        <v>3197</v>
      </c>
      <c r="G1558">
        <v>200</v>
      </c>
      <c r="H1558" t="s">
        <v>69</v>
      </c>
      <c r="I1558" t="s">
        <v>160</v>
      </c>
      <c r="J1558" s="10" t="str">
        <f>VLOOKUP(I1558,Categories!A:B,2,FALSE)</f>
        <v>Fashion</v>
      </c>
      <c r="K1558" t="s">
        <v>178</v>
      </c>
      <c r="L1558" s="10" t="str">
        <f>VLOOKUP(K1558,Accounts!A:B,2,FALSE)</f>
        <v>SCB</v>
      </c>
      <c r="M1558" t="s">
        <v>124</v>
      </c>
      <c r="N1558" s="10"/>
      <c r="O1558" t="s">
        <v>377</v>
      </c>
      <c r="Q1558" t="s">
        <v>126</v>
      </c>
      <c r="R1558" t="s">
        <v>124</v>
      </c>
      <c r="S1558" t="b">
        <v>0</v>
      </c>
      <c r="T1558" t="s">
        <v>124</v>
      </c>
    </row>
    <row r="1559">
      <c r="A1559" t="s">
        <v>3198</v>
      </c>
      <c r="B1559" t="s">
        <v>3196</v>
      </c>
      <c r="C1559" s="2">
        <v>2023</v>
      </c>
      <c r="D1559" s="10">
        <v>6</v>
      </c>
      <c r="E1559" s="10">
        <v>11</v>
      </c>
      <c r="F1559" t="s">
        <v>1066</v>
      </c>
      <c r="G1559">
        <v>16000</v>
      </c>
      <c r="H1559" t="s">
        <v>128</v>
      </c>
      <c r="I1559" t="s">
        <v>136</v>
      </c>
      <c r="J1559" s="10" t="str">
        <f>VLOOKUP(I1559,Categories!A:B,2,FALSE)</f>
        <v>อื่นๆ</v>
      </c>
      <c r="K1559" t="s">
        <v>178</v>
      </c>
      <c r="L1559" s="10" t="str">
        <f>VLOOKUP(K1559,Accounts!A:B,2,FALSE)</f>
        <v>SCB</v>
      </c>
      <c r="M1559" t="s">
        <v>425</v>
      </c>
      <c r="N1559" s="10" t="str">
        <f>VLOOKUP(M1559,Accounts!A:B,2,FALSE)</f>
        <v>Cash</v>
      </c>
      <c r="O1559" t="s">
        <v>125</v>
      </c>
      <c r="Q1559" t="s">
        <v>126</v>
      </c>
      <c r="R1559" t="s">
        <v>124</v>
      </c>
      <c r="S1559" t="b">
        <v>0</v>
      </c>
      <c r="T1559" t="s">
        <v>124</v>
      </c>
    </row>
    <row r="1560">
      <c r="A1560" t="s">
        <v>3199</v>
      </c>
      <c r="B1560" t="s">
        <v>3196</v>
      </c>
      <c r="C1560" s="2">
        <v>2023</v>
      </c>
      <c r="D1560" s="10">
        <v>6</v>
      </c>
      <c r="E1560" s="10">
        <v>11</v>
      </c>
      <c r="F1560" t="s">
        <v>308</v>
      </c>
      <c r="G1560">
        <v>449</v>
      </c>
      <c r="H1560" t="s">
        <v>69</v>
      </c>
      <c r="I1560" t="s">
        <v>150</v>
      </c>
      <c r="J1560" s="10" t="str">
        <f>VLOOKUP(I1560,Categories!A:B,2,FALSE)</f>
        <v xml:space="preserve">Food &amp; Coff</v>
      </c>
      <c r="K1560" t="s">
        <v>2317</v>
      </c>
      <c r="L1560" s="10" t="str">
        <f>VLOOKUP(K1560,Accounts!A:B,2,FALSE)</f>
        <v xml:space="preserve">Marriage account</v>
      </c>
      <c r="M1560" t="s">
        <v>124</v>
      </c>
      <c r="N1560" s="10"/>
      <c r="O1560" t="s">
        <v>3200</v>
      </c>
      <c r="Q1560" t="s">
        <v>126</v>
      </c>
      <c r="R1560" t="s">
        <v>124</v>
      </c>
      <c r="S1560" t="b">
        <v>0</v>
      </c>
      <c r="T1560" t="s">
        <v>124</v>
      </c>
    </row>
    <row r="1561">
      <c r="A1561" t="s">
        <v>3201</v>
      </c>
      <c r="B1561" t="s">
        <v>3202</v>
      </c>
      <c r="C1561" s="2">
        <v>2023</v>
      </c>
      <c r="D1561" s="10">
        <v>6</v>
      </c>
      <c r="E1561" s="10">
        <v>10</v>
      </c>
      <c r="F1561" t="s">
        <v>3203</v>
      </c>
      <c r="G1561">
        <v>300</v>
      </c>
      <c r="H1561" t="s">
        <v>128</v>
      </c>
      <c r="I1561" t="s">
        <v>136</v>
      </c>
      <c r="J1561" s="10" t="str">
        <f>VLOOKUP(I1561,Categories!A:B,2,FALSE)</f>
        <v>อื่นๆ</v>
      </c>
      <c r="K1561" t="s">
        <v>178</v>
      </c>
      <c r="L1561" s="10" t="str">
        <f>VLOOKUP(K1561,Accounts!A:B,2,FALSE)</f>
        <v>SCB</v>
      </c>
      <c r="M1561" t="s">
        <v>893</v>
      </c>
      <c r="N1561" s="10" t="str">
        <f>VLOOKUP(M1561,Accounts!A:B,2,FALSE)</f>
        <v>Shopee</v>
      </c>
      <c r="O1561" t="s">
        <v>125</v>
      </c>
      <c r="Q1561" t="s">
        <v>126</v>
      </c>
      <c r="R1561" t="s">
        <v>124</v>
      </c>
      <c r="S1561" t="b">
        <v>0</v>
      </c>
      <c r="T1561" t="s">
        <v>124</v>
      </c>
    </row>
    <row r="1562">
      <c r="A1562" t="s">
        <v>3204</v>
      </c>
      <c r="B1562" t="s">
        <v>3202</v>
      </c>
      <c r="C1562" s="2">
        <v>2023</v>
      </c>
      <c r="D1562" s="10">
        <v>6</v>
      </c>
      <c r="E1562" s="10">
        <v>10</v>
      </c>
      <c r="F1562" t="s">
        <v>765</v>
      </c>
      <c r="G1562">
        <v>279</v>
      </c>
      <c r="H1562" t="s">
        <v>69</v>
      </c>
      <c r="I1562" t="s">
        <v>150</v>
      </c>
      <c r="J1562" s="10" t="str">
        <f>VLOOKUP(I1562,Categories!A:B,2,FALSE)</f>
        <v xml:space="preserve">Food &amp; Coff</v>
      </c>
      <c r="K1562" t="s">
        <v>123</v>
      </c>
      <c r="L1562" s="10" t="str">
        <f>VLOOKUP(K1562,Accounts!A:B,2,FALSE)</f>
        <v>KBank</v>
      </c>
      <c r="M1562" t="s">
        <v>124</v>
      </c>
      <c r="N1562" s="10"/>
      <c r="O1562" t="s">
        <v>3205</v>
      </c>
      <c r="Q1562" t="s">
        <v>126</v>
      </c>
      <c r="R1562" t="s">
        <v>124</v>
      </c>
      <c r="S1562" t="b">
        <v>0</v>
      </c>
      <c r="T1562" t="s">
        <v>124</v>
      </c>
    </row>
    <row r="1563">
      <c r="A1563" t="s">
        <v>3206</v>
      </c>
      <c r="B1563" t="s">
        <v>3207</v>
      </c>
      <c r="C1563" s="2">
        <v>2023</v>
      </c>
      <c r="D1563" s="10">
        <v>6</v>
      </c>
      <c r="E1563" s="10">
        <v>8</v>
      </c>
      <c r="F1563" t="s">
        <v>3208</v>
      </c>
      <c r="G1563">
        <v>6608</v>
      </c>
      <c r="H1563" t="s">
        <v>69</v>
      </c>
      <c r="I1563" t="s">
        <v>139</v>
      </c>
      <c r="J1563" s="10" t="str">
        <f>VLOOKUP(I1563,Categories!A:B,2,FALSE)</f>
        <v>Condo</v>
      </c>
      <c r="K1563" t="s">
        <v>178</v>
      </c>
      <c r="L1563" s="10" t="str">
        <f>VLOOKUP(K1563,Accounts!A:B,2,FALSE)</f>
        <v>SCB</v>
      </c>
      <c r="M1563" t="s">
        <v>124</v>
      </c>
      <c r="N1563" s="10"/>
      <c r="O1563" t="s">
        <v>125</v>
      </c>
      <c r="Q1563" t="s">
        <v>126</v>
      </c>
      <c r="R1563" t="s">
        <v>124</v>
      </c>
      <c r="S1563" t="b">
        <v>0</v>
      </c>
      <c r="T1563" t="s">
        <v>124</v>
      </c>
    </row>
    <row r="1564">
      <c r="A1564" t="s">
        <v>3209</v>
      </c>
      <c r="B1564" t="s">
        <v>3207</v>
      </c>
      <c r="C1564" s="2">
        <v>2023</v>
      </c>
      <c r="D1564" s="10">
        <v>6</v>
      </c>
      <c r="E1564" s="10">
        <v>8</v>
      </c>
      <c r="F1564" t="s">
        <v>212</v>
      </c>
      <c r="G1564">
        <v>62</v>
      </c>
      <c r="H1564" t="s">
        <v>69</v>
      </c>
      <c r="I1564" t="s">
        <v>150</v>
      </c>
      <c r="J1564" s="10" t="str">
        <f>VLOOKUP(I1564,Categories!A:B,2,FALSE)</f>
        <v xml:space="preserve">Food &amp; Coff</v>
      </c>
      <c r="K1564" t="s">
        <v>123</v>
      </c>
      <c r="L1564" s="10" t="str">
        <f>VLOOKUP(K1564,Accounts!A:B,2,FALSE)</f>
        <v>KBank</v>
      </c>
      <c r="M1564" t="s">
        <v>124</v>
      </c>
      <c r="N1564" s="10"/>
      <c r="O1564" t="s">
        <v>125</v>
      </c>
      <c r="Q1564" t="s">
        <v>126</v>
      </c>
      <c r="R1564" t="s">
        <v>124</v>
      </c>
      <c r="S1564" t="b">
        <v>0</v>
      </c>
      <c r="T1564" t="s">
        <v>124</v>
      </c>
    </row>
    <row r="1565">
      <c r="A1565" t="s">
        <v>3210</v>
      </c>
      <c r="B1565" t="s">
        <v>3211</v>
      </c>
      <c r="C1565" s="2">
        <v>2023</v>
      </c>
      <c r="D1565" s="10">
        <v>6</v>
      </c>
      <c r="E1565" s="10">
        <v>7</v>
      </c>
      <c r="F1565" t="s">
        <v>1012</v>
      </c>
      <c r="G1565">
        <v>255</v>
      </c>
      <c r="H1565" t="s">
        <v>69</v>
      </c>
      <c r="I1565" t="s">
        <v>150</v>
      </c>
      <c r="J1565" s="10" t="str">
        <f>VLOOKUP(I1565,Categories!A:B,2,FALSE)</f>
        <v xml:space="preserve">Food &amp; Coff</v>
      </c>
      <c r="K1565" t="s">
        <v>123</v>
      </c>
      <c r="L1565" s="10" t="str">
        <f>VLOOKUP(K1565,Accounts!A:B,2,FALSE)</f>
        <v>KBank</v>
      </c>
      <c r="M1565" t="s">
        <v>124</v>
      </c>
      <c r="N1565" s="10"/>
      <c r="O1565" t="s">
        <v>125</v>
      </c>
      <c r="Q1565" t="s">
        <v>126</v>
      </c>
      <c r="R1565" t="s">
        <v>124</v>
      </c>
      <c r="S1565" t="b">
        <v>0</v>
      </c>
      <c r="T1565" t="s">
        <v>124</v>
      </c>
    </row>
    <row r="1566">
      <c r="A1566" t="s">
        <v>3212</v>
      </c>
      <c r="B1566" t="s">
        <v>3211</v>
      </c>
      <c r="C1566" s="2">
        <v>2023</v>
      </c>
      <c r="D1566" s="10">
        <v>6</v>
      </c>
      <c r="E1566" s="10">
        <v>7</v>
      </c>
      <c r="F1566" t="s">
        <v>3213</v>
      </c>
      <c r="G1566">
        <v>300</v>
      </c>
      <c r="H1566" t="s">
        <v>69</v>
      </c>
      <c r="I1566" t="s">
        <v>259</v>
      </c>
      <c r="J1566" s="10" t="str">
        <f>VLOOKUP(I1566,Categories!A:B,2,FALSE)</f>
        <v xml:space="preserve">Team BOT</v>
      </c>
      <c r="K1566" t="s">
        <v>123</v>
      </c>
      <c r="L1566" s="10" t="str">
        <f>VLOOKUP(K1566,Accounts!A:B,2,FALSE)</f>
        <v>KBank</v>
      </c>
      <c r="M1566" t="s">
        <v>124</v>
      </c>
      <c r="N1566" s="10"/>
      <c r="O1566" t="s">
        <v>125</v>
      </c>
      <c r="Q1566" t="s">
        <v>126</v>
      </c>
      <c r="R1566" t="s">
        <v>124</v>
      </c>
      <c r="S1566" t="b">
        <v>0</v>
      </c>
      <c r="T1566" t="s">
        <v>124</v>
      </c>
    </row>
    <row r="1567">
      <c r="A1567" t="s">
        <v>3214</v>
      </c>
      <c r="B1567" t="s">
        <v>3215</v>
      </c>
      <c r="C1567" s="2">
        <v>2023</v>
      </c>
      <c r="D1567" s="10">
        <v>6</v>
      </c>
      <c r="E1567" s="10">
        <v>6</v>
      </c>
      <c r="F1567" t="s">
        <v>3216</v>
      </c>
      <c r="G1567">
        <v>115</v>
      </c>
      <c r="H1567" t="s">
        <v>69</v>
      </c>
      <c r="I1567" t="s">
        <v>150</v>
      </c>
      <c r="J1567" s="10" t="str">
        <f>VLOOKUP(I1567,Categories!A:B,2,FALSE)</f>
        <v xml:space="preserve">Food &amp; Coff</v>
      </c>
      <c r="K1567" t="s">
        <v>123</v>
      </c>
      <c r="L1567" s="10" t="str">
        <f>VLOOKUP(K1567,Accounts!A:B,2,FALSE)</f>
        <v>KBank</v>
      </c>
      <c r="M1567" t="s">
        <v>124</v>
      </c>
      <c r="N1567" s="10"/>
      <c r="O1567" t="s">
        <v>125</v>
      </c>
      <c r="Q1567" t="s">
        <v>126</v>
      </c>
      <c r="R1567" t="s">
        <v>124</v>
      </c>
      <c r="S1567" t="b">
        <v>0</v>
      </c>
      <c r="T1567" t="s">
        <v>124</v>
      </c>
    </row>
    <row r="1568">
      <c r="A1568" t="s">
        <v>3217</v>
      </c>
      <c r="B1568" t="s">
        <v>3218</v>
      </c>
      <c r="C1568" s="2">
        <v>2023</v>
      </c>
      <c r="D1568" s="10">
        <v>6</v>
      </c>
      <c r="E1568" s="10">
        <v>5</v>
      </c>
      <c r="F1568" t="s">
        <v>1045</v>
      </c>
      <c r="G1568">
        <v>207</v>
      </c>
      <c r="H1568" t="s">
        <v>69</v>
      </c>
      <c r="I1568" t="s">
        <v>157</v>
      </c>
      <c r="J1568" s="10" t="str">
        <f>VLOOKUP(I1568,Categories!A:B,2,FALSE)</f>
        <v>Boardgame</v>
      </c>
      <c r="K1568" t="s">
        <v>123</v>
      </c>
      <c r="L1568" s="10" t="str">
        <f>VLOOKUP(K1568,Accounts!A:B,2,FALSE)</f>
        <v>KBank</v>
      </c>
      <c r="M1568" t="s">
        <v>124</v>
      </c>
      <c r="N1568" s="10"/>
      <c r="O1568" t="s">
        <v>3219</v>
      </c>
      <c r="Q1568" t="s">
        <v>126</v>
      </c>
      <c r="R1568" t="s">
        <v>124</v>
      </c>
      <c r="S1568" t="b">
        <v>0</v>
      </c>
      <c r="T1568" t="s">
        <v>124</v>
      </c>
    </row>
    <row r="1569">
      <c r="A1569" t="s">
        <v>3220</v>
      </c>
      <c r="B1569" t="s">
        <v>3218</v>
      </c>
      <c r="C1569" s="2">
        <v>2023</v>
      </c>
      <c r="D1569" s="10">
        <v>6</v>
      </c>
      <c r="E1569" s="10">
        <v>5</v>
      </c>
      <c r="F1569" t="s">
        <v>1045</v>
      </c>
      <c r="G1569">
        <v>109</v>
      </c>
      <c r="H1569" t="s">
        <v>69</v>
      </c>
      <c r="I1569" t="s">
        <v>1679</v>
      </c>
      <c r="J1569" s="10" t="str">
        <f>VLOOKUP(I1569,Categories!A:B,2,FALSE)</f>
        <v xml:space="preserve">Condo stuff</v>
      </c>
      <c r="K1569" t="s">
        <v>2317</v>
      </c>
      <c r="L1569" s="10" t="str">
        <f>VLOOKUP(K1569,Accounts!A:B,2,FALSE)</f>
        <v xml:space="preserve">Marriage account</v>
      </c>
      <c r="M1569" t="s">
        <v>124</v>
      </c>
      <c r="N1569" s="10"/>
      <c r="O1569" t="s">
        <v>125</v>
      </c>
      <c r="Q1569" t="s">
        <v>126</v>
      </c>
      <c r="R1569" t="s">
        <v>124</v>
      </c>
      <c r="S1569" t="b">
        <v>0</v>
      </c>
      <c r="T1569" t="s">
        <v>124</v>
      </c>
    </row>
    <row r="1570">
      <c r="A1570" t="s">
        <v>3221</v>
      </c>
      <c r="B1570" t="s">
        <v>3222</v>
      </c>
      <c r="C1570" s="2">
        <v>2023</v>
      </c>
      <c r="D1570" s="10">
        <v>6</v>
      </c>
      <c r="E1570" s="10">
        <v>3</v>
      </c>
      <c r="F1570" t="s">
        <v>3223</v>
      </c>
      <c r="G1570">
        <v>2349</v>
      </c>
      <c r="H1570" t="s">
        <v>69</v>
      </c>
      <c r="I1570" t="s">
        <v>144</v>
      </c>
      <c r="J1570" s="10" t="str">
        <f>VLOOKUP(I1570,Categories!A:B,2,FALSE)</f>
        <v xml:space="preserve">Family paid</v>
      </c>
      <c r="K1570" t="s">
        <v>178</v>
      </c>
      <c r="L1570" s="10" t="str">
        <f>VLOOKUP(K1570,Accounts!A:B,2,FALSE)</f>
        <v>SCB</v>
      </c>
      <c r="M1570" t="s">
        <v>124</v>
      </c>
      <c r="N1570" s="10"/>
      <c r="O1570" t="s">
        <v>3224</v>
      </c>
      <c r="Q1570" t="s">
        <v>126</v>
      </c>
      <c r="R1570" t="s">
        <v>124</v>
      </c>
      <c r="S1570" t="b">
        <v>0</v>
      </c>
      <c r="T1570" t="s">
        <v>124</v>
      </c>
    </row>
    <row r="1571">
      <c r="A1571" t="s">
        <v>3225</v>
      </c>
      <c r="B1571" t="s">
        <v>3222</v>
      </c>
      <c r="C1571" s="2">
        <v>2023</v>
      </c>
      <c r="D1571" s="10">
        <v>6</v>
      </c>
      <c r="E1571" s="10">
        <v>3</v>
      </c>
      <c r="F1571" t="s">
        <v>320</v>
      </c>
      <c r="G1571">
        <v>5000</v>
      </c>
      <c r="H1571" t="s">
        <v>69</v>
      </c>
      <c r="I1571" t="s">
        <v>144</v>
      </c>
      <c r="J1571" s="10" t="str">
        <f>VLOOKUP(I1571,Categories!A:B,2,FALSE)</f>
        <v xml:space="preserve">Family paid</v>
      </c>
      <c r="K1571" t="s">
        <v>178</v>
      </c>
      <c r="L1571" s="10" t="str">
        <f>VLOOKUP(K1571,Accounts!A:B,2,FALSE)</f>
        <v>SCB</v>
      </c>
      <c r="M1571" t="s">
        <v>124</v>
      </c>
      <c r="N1571" s="10"/>
      <c r="O1571" t="s">
        <v>125</v>
      </c>
      <c r="Q1571" t="s">
        <v>126</v>
      </c>
      <c r="R1571" t="s">
        <v>124</v>
      </c>
      <c r="S1571" t="b">
        <v>0</v>
      </c>
      <c r="T1571" t="s">
        <v>124</v>
      </c>
    </row>
    <row r="1572">
      <c r="A1572" t="s">
        <v>3226</v>
      </c>
      <c r="B1572" t="s">
        <v>3222</v>
      </c>
      <c r="C1572" s="2">
        <v>2023</v>
      </c>
      <c r="D1572" s="10">
        <v>6</v>
      </c>
      <c r="E1572" s="10">
        <v>3</v>
      </c>
      <c r="F1572" t="s">
        <v>1766</v>
      </c>
      <c r="G1572">
        <v>8269</v>
      </c>
      <c r="H1572" t="s">
        <v>128</v>
      </c>
      <c r="I1572" t="s">
        <v>136</v>
      </c>
      <c r="J1572" s="10" t="str">
        <f>VLOOKUP(I1572,Categories!A:B,2,FALSE)</f>
        <v>อื่นๆ</v>
      </c>
      <c r="K1572" t="s">
        <v>131</v>
      </c>
      <c r="L1572" s="10" t="str">
        <f>VLOOKUP(K1572,Accounts!A:B,2,FALSE)</f>
        <v xml:space="preserve">Advance Paid</v>
      </c>
      <c r="M1572" t="s">
        <v>178</v>
      </c>
      <c r="N1572" s="10" t="str">
        <f>VLOOKUP(M1572,Accounts!A:B,2,FALSE)</f>
        <v>SCB</v>
      </c>
      <c r="O1572" t="s">
        <v>125</v>
      </c>
      <c r="Q1572" t="s">
        <v>126</v>
      </c>
      <c r="R1572" t="s">
        <v>124</v>
      </c>
      <c r="S1572" t="b">
        <v>0</v>
      </c>
      <c r="T1572" t="s">
        <v>124</v>
      </c>
    </row>
    <row r="1573">
      <c r="A1573" t="s">
        <v>3227</v>
      </c>
      <c r="B1573" t="s">
        <v>3222</v>
      </c>
      <c r="C1573" s="2">
        <v>2023</v>
      </c>
      <c r="D1573" s="10">
        <v>6</v>
      </c>
      <c r="E1573" s="10">
        <v>3</v>
      </c>
      <c r="F1573" t="s">
        <v>1778</v>
      </c>
      <c r="G1573">
        <v>8269</v>
      </c>
      <c r="H1573" t="s">
        <v>69</v>
      </c>
      <c r="I1573" t="s">
        <v>1882</v>
      </c>
      <c r="J1573" s="10" t="str">
        <f>VLOOKUP(I1573,Categories!A:B,2,FALSE)</f>
        <v>utility</v>
      </c>
      <c r="K1573" t="s">
        <v>131</v>
      </c>
      <c r="L1573" s="10" t="str">
        <f>VLOOKUP(K1573,Accounts!A:B,2,FALSE)</f>
        <v xml:space="preserve">Advance Paid</v>
      </c>
      <c r="M1573" t="s">
        <v>124</v>
      </c>
      <c r="N1573" s="10"/>
      <c r="O1573" t="s">
        <v>3228</v>
      </c>
      <c r="Q1573" t="s">
        <v>126</v>
      </c>
      <c r="R1573" t="s">
        <v>124</v>
      </c>
      <c r="S1573" t="b">
        <v>0</v>
      </c>
      <c r="T1573" t="s">
        <v>124</v>
      </c>
    </row>
    <row r="1574">
      <c r="A1574" t="s">
        <v>3229</v>
      </c>
      <c r="B1574" t="s">
        <v>3222</v>
      </c>
      <c r="C1574" s="2">
        <v>2023</v>
      </c>
      <c r="D1574" s="10">
        <v>6</v>
      </c>
      <c r="E1574" s="10">
        <v>3</v>
      </c>
      <c r="F1574" t="s">
        <v>984</v>
      </c>
      <c r="G1574">
        <v>3135</v>
      </c>
      <c r="H1574" t="s">
        <v>128</v>
      </c>
      <c r="I1574" t="s">
        <v>136</v>
      </c>
      <c r="J1574" s="10" t="str">
        <f>VLOOKUP(I1574,Categories!A:B,2,FALSE)</f>
        <v>อื่นๆ</v>
      </c>
      <c r="K1574" t="s">
        <v>131</v>
      </c>
      <c r="L1574" s="10" t="str">
        <f>VLOOKUP(K1574,Accounts!A:B,2,FALSE)</f>
        <v xml:space="preserve">Advance Paid</v>
      </c>
      <c r="M1574" t="s">
        <v>178</v>
      </c>
      <c r="N1574" s="10" t="str">
        <f>VLOOKUP(M1574,Accounts!A:B,2,FALSE)</f>
        <v>SCB</v>
      </c>
      <c r="O1574" t="s">
        <v>125</v>
      </c>
      <c r="Q1574" t="s">
        <v>126</v>
      </c>
      <c r="R1574" t="s">
        <v>124</v>
      </c>
      <c r="S1574" t="b">
        <v>0</v>
      </c>
      <c r="T1574" t="s">
        <v>124</v>
      </c>
    </row>
    <row r="1575">
      <c r="A1575" t="s">
        <v>3230</v>
      </c>
      <c r="B1575" t="s">
        <v>3222</v>
      </c>
      <c r="C1575" s="2">
        <v>2023</v>
      </c>
      <c r="D1575" s="10">
        <v>6</v>
      </c>
      <c r="E1575" s="10">
        <v>3</v>
      </c>
      <c r="F1575" t="s">
        <v>3231</v>
      </c>
      <c r="G1575">
        <v>3135</v>
      </c>
      <c r="H1575" t="s">
        <v>69</v>
      </c>
      <c r="I1575" t="s">
        <v>150</v>
      </c>
      <c r="J1575" s="10" t="str">
        <f>VLOOKUP(I1575,Categories!A:B,2,FALSE)</f>
        <v xml:space="preserve">Food &amp; Coff</v>
      </c>
      <c r="K1575" t="s">
        <v>2317</v>
      </c>
      <c r="L1575" s="10" t="str">
        <f>VLOOKUP(K1575,Accounts!A:B,2,FALSE)</f>
        <v xml:space="preserve">Marriage account</v>
      </c>
      <c r="M1575" t="s">
        <v>124</v>
      </c>
      <c r="N1575" s="10"/>
      <c r="O1575" t="s">
        <v>125</v>
      </c>
      <c r="Q1575" t="s">
        <v>126</v>
      </c>
      <c r="R1575" t="s">
        <v>124</v>
      </c>
      <c r="S1575" t="b">
        <v>0</v>
      </c>
      <c r="T1575" t="s">
        <v>124</v>
      </c>
    </row>
    <row r="1576">
      <c r="A1576" t="s">
        <v>3232</v>
      </c>
      <c r="B1576" t="s">
        <v>3222</v>
      </c>
      <c r="C1576" s="2">
        <v>2023</v>
      </c>
      <c r="D1576" s="10">
        <v>6</v>
      </c>
      <c r="E1576" s="10">
        <v>3</v>
      </c>
      <c r="F1576" t="s">
        <v>1768</v>
      </c>
      <c r="G1576">
        <v>1544</v>
      </c>
      <c r="H1576" t="s">
        <v>69</v>
      </c>
      <c r="I1576" t="s">
        <v>150</v>
      </c>
      <c r="J1576" s="10" t="str">
        <f>VLOOKUP(I1576,Categories!A:B,2,FALSE)</f>
        <v xml:space="preserve">Food &amp; Coff</v>
      </c>
      <c r="K1576" t="s">
        <v>2317</v>
      </c>
      <c r="L1576" s="10" t="str">
        <f>VLOOKUP(K1576,Accounts!A:B,2,FALSE)</f>
        <v xml:space="preserve">Marriage account</v>
      </c>
      <c r="M1576" t="s">
        <v>124</v>
      </c>
      <c r="N1576" s="10"/>
      <c r="O1576" t="s">
        <v>125</v>
      </c>
      <c r="Q1576" t="s">
        <v>126</v>
      </c>
      <c r="R1576" t="s">
        <v>124</v>
      </c>
      <c r="S1576" t="b">
        <v>0</v>
      </c>
      <c r="T1576" t="s">
        <v>124</v>
      </c>
    </row>
    <row r="1577">
      <c r="A1577" t="s">
        <v>3233</v>
      </c>
      <c r="B1577" t="s">
        <v>3222</v>
      </c>
      <c r="C1577" s="2">
        <v>2023</v>
      </c>
      <c r="D1577" s="10">
        <v>6</v>
      </c>
      <c r="E1577" s="10">
        <v>3</v>
      </c>
      <c r="F1577" t="s">
        <v>1768</v>
      </c>
      <c r="G1577">
        <v>1544</v>
      </c>
      <c r="H1577" t="s">
        <v>128</v>
      </c>
      <c r="I1577" t="s">
        <v>136</v>
      </c>
      <c r="J1577" s="10" t="str">
        <f>VLOOKUP(I1577,Categories!A:B,2,FALSE)</f>
        <v>อื่นๆ</v>
      </c>
      <c r="K1577" t="s">
        <v>131</v>
      </c>
      <c r="L1577" s="10" t="str">
        <f>VLOOKUP(K1577,Accounts!A:B,2,FALSE)</f>
        <v xml:space="preserve">Advance Paid</v>
      </c>
      <c r="M1577" t="s">
        <v>178</v>
      </c>
      <c r="N1577" s="10" t="str">
        <f>VLOOKUP(M1577,Accounts!A:B,2,FALSE)</f>
        <v>SCB</v>
      </c>
      <c r="O1577" t="s">
        <v>125</v>
      </c>
      <c r="Q1577" t="s">
        <v>126</v>
      </c>
      <c r="R1577" t="s">
        <v>124</v>
      </c>
      <c r="S1577" t="b">
        <v>0</v>
      </c>
      <c r="T1577" t="s">
        <v>124</v>
      </c>
    </row>
    <row r="1578">
      <c r="A1578" t="s">
        <v>3234</v>
      </c>
      <c r="B1578" t="s">
        <v>3222</v>
      </c>
      <c r="C1578" s="2">
        <v>2023</v>
      </c>
      <c r="D1578" s="10">
        <v>6</v>
      </c>
      <c r="E1578" s="10">
        <v>3</v>
      </c>
      <c r="F1578" t="s">
        <v>1862</v>
      </c>
      <c r="G1578">
        <v>2718</v>
      </c>
      <c r="H1578" t="s">
        <v>69</v>
      </c>
      <c r="I1578" t="s">
        <v>150</v>
      </c>
      <c r="J1578" s="10" t="str">
        <f>VLOOKUP(I1578,Categories!A:B,2,FALSE)</f>
        <v xml:space="preserve">Food &amp; Coff</v>
      </c>
      <c r="K1578" t="s">
        <v>2317</v>
      </c>
      <c r="L1578" s="10" t="str">
        <f>VLOOKUP(K1578,Accounts!A:B,2,FALSE)</f>
        <v xml:space="preserve">Marriage account</v>
      </c>
      <c r="M1578" t="s">
        <v>124</v>
      </c>
      <c r="N1578" s="10"/>
      <c r="O1578" t="s">
        <v>125</v>
      </c>
      <c r="Q1578" t="s">
        <v>126</v>
      </c>
      <c r="R1578" t="s">
        <v>124</v>
      </c>
      <c r="S1578" t="b">
        <v>0</v>
      </c>
      <c r="T1578" t="s">
        <v>124</v>
      </c>
    </row>
    <row r="1579">
      <c r="A1579" t="s">
        <v>3235</v>
      </c>
      <c r="B1579" t="s">
        <v>3222</v>
      </c>
      <c r="C1579" s="2">
        <v>2023</v>
      </c>
      <c r="D1579" s="10">
        <v>6</v>
      </c>
      <c r="E1579" s="10">
        <v>3</v>
      </c>
      <c r="F1579" t="s">
        <v>1862</v>
      </c>
      <c r="G1579">
        <v>2718</v>
      </c>
      <c r="H1579" t="s">
        <v>128</v>
      </c>
      <c r="I1579" t="s">
        <v>136</v>
      </c>
      <c r="J1579" s="10" t="str">
        <f>VLOOKUP(I1579,Categories!A:B,2,FALSE)</f>
        <v>อื่นๆ</v>
      </c>
      <c r="K1579" t="s">
        <v>131</v>
      </c>
      <c r="L1579" s="10" t="str">
        <f>VLOOKUP(K1579,Accounts!A:B,2,FALSE)</f>
        <v xml:space="preserve">Advance Paid</v>
      </c>
      <c r="M1579" t="s">
        <v>178</v>
      </c>
      <c r="N1579" s="10" t="str">
        <f>VLOOKUP(M1579,Accounts!A:B,2,FALSE)</f>
        <v>SCB</v>
      </c>
      <c r="O1579" t="s">
        <v>125</v>
      </c>
      <c r="Q1579" t="s">
        <v>126</v>
      </c>
      <c r="R1579" t="s">
        <v>124</v>
      </c>
      <c r="S1579" t="b">
        <v>0</v>
      </c>
      <c r="T1579" t="s">
        <v>124</v>
      </c>
    </row>
    <row r="1580">
      <c r="A1580" t="s">
        <v>3236</v>
      </c>
      <c r="B1580" t="s">
        <v>3222</v>
      </c>
      <c r="C1580" s="2">
        <v>2023</v>
      </c>
      <c r="D1580" s="10">
        <v>6</v>
      </c>
      <c r="E1580" s="10">
        <v>3</v>
      </c>
      <c r="F1580" t="s">
        <v>183</v>
      </c>
      <c r="G1580">
        <v>11145</v>
      </c>
      <c r="H1580" t="s">
        <v>69</v>
      </c>
      <c r="I1580" t="s">
        <v>338</v>
      </c>
      <c r="J1580" s="10" t="str">
        <f>VLOOKUP(I1580,Categories!A:B,2,FALSE)</f>
        <v>Trips</v>
      </c>
      <c r="K1580" t="s">
        <v>131</v>
      </c>
      <c r="L1580" s="10" t="str">
        <f>VLOOKUP(K1580,Accounts!A:B,2,FALSE)</f>
        <v xml:space="preserve">Advance Paid</v>
      </c>
      <c r="M1580" t="s">
        <v>124</v>
      </c>
      <c r="N1580" s="10"/>
      <c r="O1580" t="s">
        <v>3237</v>
      </c>
      <c r="Q1580" t="s">
        <v>126</v>
      </c>
      <c r="R1580" t="s">
        <v>124</v>
      </c>
      <c r="S1580" t="b">
        <v>0</v>
      </c>
      <c r="T1580" t="s">
        <v>124</v>
      </c>
    </row>
    <row r="1581">
      <c r="A1581" t="s">
        <v>3238</v>
      </c>
      <c r="B1581" t="s">
        <v>3222</v>
      </c>
      <c r="C1581" s="2">
        <v>2023</v>
      </c>
      <c r="D1581" s="10">
        <v>6</v>
      </c>
      <c r="E1581" s="10">
        <v>3</v>
      </c>
      <c r="F1581" t="s">
        <v>556</v>
      </c>
      <c r="G1581">
        <v>11145</v>
      </c>
      <c r="H1581" t="s">
        <v>128</v>
      </c>
      <c r="I1581" t="s">
        <v>136</v>
      </c>
      <c r="J1581" s="10" t="str">
        <f>VLOOKUP(I1581,Categories!A:B,2,FALSE)</f>
        <v>อื่นๆ</v>
      </c>
      <c r="K1581" t="s">
        <v>131</v>
      </c>
      <c r="L1581" s="10" t="str">
        <f>VLOOKUP(K1581,Accounts!A:B,2,FALSE)</f>
        <v xml:space="preserve">Advance Paid</v>
      </c>
      <c r="M1581" t="s">
        <v>131</v>
      </c>
      <c r="N1581" s="10" t="str">
        <f>VLOOKUP(M1581,Accounts!A:B,2,FALSE)</f>
        <v xml:space="preserve">Advance Paid</v>
      </c>
      <c r="O1581" t="s">
        <v>3237</v>
      </c>
      <c r="Q1581" t="s">
        <v>126</v>
      </c>
      <c r="R1581" t="s">
        <v>124</v>
      </c>
      <c r="S1581" t="b">
        <v>0</v>
      </c>
      <c r="T1581" t="s">
        <v>124</v>
      </c>
    </row>
    <row r="1582">
      <c r="A1582" t="s">
        <v>3239</v>
      </c>
      <c r="B1582" t="s">
        <v>3222</v>
      </c>
      <c r="C1582" s="2">
        <v>2023</v>
      </c>
      <c r="D1582" s="10">
        <v>6</v>
      </c>
      <c r="E1582" s="10">
        <v>3</v>
      </c>
      <c r="F1582" t="s">
        <v>1834</v>
      </c>
      <c r="G1582">
        <v>12451.629999999999</v>
      </c>
      <c r="H1582" t="s">
        <v>128</v>
      </c>
      <c r="I1582" t="s">
        <v>136</v>
      </c>
      <c r="J1582" s="10" t="str">
        <f>VLOOKUP(I1582,Categories!A:B,2,FALSE)</f>
        <v>อื่นๆ</v>
      </c>
      <c r="K1582" t="s">
        <v>131</v>
      </c>
      <c r="L1582" s="10" t="str">
        <f>VLOOKUP(K1582,Accounts!A:B,2,FALSE)</f>
        <v xml:space="preserve">Advance Paid</v>
      </c>
      <c r="M1582" t="s">
        <v>131</v>
      </c>
      <c r="N1582" s="10" t="str">
        <f>VLOOKUP(M1582,Accounts!A:B,2,FALSE)</f>
        <v xml:space="preserve">Advance Paid</v>
      </c>
      <c r="O1582" t="s">
        <v>3240</v>
      </c>
      <c r="Q1582" t="s">
        <v>126</v>
      </c>
      <c r="R1582" t="s">
        <v>124</v>
      </c>
      <c r="S1582" t="b">
        <v>0</v>
      </c>
      <c r="T1582" t="s">
        <v>124</v>
      </c>
    </row>
    <row r="1583">
      <c r="A1583" t="s">
        <v>3241</v>
      </c>
      <c r="B1583" t="s">
        <v>3222</v>
      </c>
      <c r="C1583" s="2">
        <v>2023</v>
      </c>
      <c r="D1583" s="10">
        <v>6</v>
      </c>
      <c r="E1583" s="10">
        <v>3</v>
      </c>
      <c r="F1583" t="s">
        <v>1834</v>
      </c>
      <c r="G1583">
        <v>12451.5</v>
      </c>
      <c r="H1583" t="s">
        <v>69</v>
      </c>
      <c r="I1583" t="s">
        <v>338</v>
      </c>
      <c r="J1583" s="10" t="str">
        <f>VLOOKUP(I1583,Categories!A:B,2,FALSE)</f>
        <v>Trips</v>
      </c>
      <c r="K1583" t="s">
        <v>131</v>
      </c>
      <c r="L1583" s="10" t="str">
        <f>VLOOKUP(K1583,Accounts!A:B,2,FALSE)</f>
        <v xml:space="preserve">Advance Paid</v>
      </c>
      <c r="M1583" t="s">
        <v>124</v>
      </c>
      <c r="N1583" s="10"/>
      <c r="O1583" t="s">
        <v>3240</v>
      </c>
      <c r="Q1583" t="s">
        <v>126</v>
      </c>
      <c r="R1583" t="s">
        <v>124</v>
      </c>
      <c r="S1583" t="b">
        <v>0</v>
      </c>
      <c r="T1583" t="s">
        <v>124</v>
      </c>
    </row>
    <row r="1584">
      <c r="A1584" t="s">
        <v>3242</v>
      </c>
      <c r="B1584" t="s">
        <v>3243</v>
      </c>
      <c r="C1584" s="2">
        <v>2023</v>
      </c>
      <c r="D1584" s="10">
        <v>6</v>
      </c>
      <c r="E1584" s="10">
        <v>2</v>
      </c>
      <c r="F1584" t="s">
        <v>1957</v>
      </c>
      <c r="G1584">
        <v>290</v>
      </c>
      <c r="H1584" t="s">
        <v>69</v>
      </c>
      <c r="I1584" t="s">
        <v>150</v>
      </c>
      <c r="J1584" s="10" t="str">
        <f>VLOOKUP(I1584,Categories!A:B,2,FALSE)</f>
        <v xml:space="preserve">Food &amp; Coff</v>
      </c>
      <c r="K1584" t="s">
        <v>123</v>
      </c>
      <c r="L1584" s="10" t="str">
        <f>VLOOKUP(K1584,Accounts!A:B,2,FALSE)</f>
        <v>KBank</v>
      </c>
      <c r="M1584" t="s">
        <v>124</v>
      </c>
      <c r="N1584" s="10"/>
      <c r="O1584" t="s">
        <v>125</v>
      </c>
      <c r="Q1584" t="s">
        <v>126</v>
      </c>
      <c r="R1584" t="s">
        <v>124</v>
      </c>
      <c r="S1584" t="b">
        <v>0</v>
      </c>
      <c r="T1584" t="s">
        <v>124</v>
      </c>
    </row>
    <row r="1585">
      <c r="A1585" t="s">
        <v>3244</v>
      </c>
      <c r="B1585" t="s">
        <v>3243</v>
      </c>
      <c r="C1585" s="2">
        <v>2023</v>
      </c>
      <c r="D1585" s="10">
        <v>6</v>
      </c>
      <c r="E1585" s="10">
        <v>2</v>
      </c>
      <c r="F1585" t="s">
        <v>1773</v>
      </c>
      <c r="G1585">
        <v>332</v>
      </c>
      <c r="H1585" t="s">
        <v>69</v>
      </c>
      <c r="I1585" t="s">
        <v>150</v>
      </c>
      <c r="J1585" s="10" t="str">
        <f>VLOOKUP(I1585,Categories!A:B,2,FALSE)</f>
        <v xml:space="preserve">Food &amp; Coff</v>
      </c>
      <c r="K1585" t="s">
        <v>178</v>
      </c>
      <c r="L1585" s="10" t="str">
        <f>VLOOKUP(K1585,Accounts!A:B,2,FALSE)</f>
        <v>SCB</v>
      </c>
      <c r="M1585" t="s">
        <v>124</v>
      </c>
      <c r="N1585" s="10"/>
      <c r="O1585" t="s">
        <v>125</v>
      </c>
      <c r="Q1585" t="s">
        <v>126</v>
      </c>
      <c r="R1585" t="s">
        <v>124</v>
      </c>
      <c r="S1585" t="b">
        <v>0</v>
      </c>
      <c r="T1585" t="s">
        <v>124</v>
      </c>
    </row>
    <row r="1586">
      <c r="A1586" t="s">
        <v>3245</v>
      </c>
      <c r="B1586" t="s">
        <v>3246</v>
      </c>
      <c r="C1586" s="2">
        <v>2023</v>
      </c>
      <c r="D1586" s="10">
        <v>6</v>
      </c>
      <c r="E1586" s="10">
        <v>1</v>
      </c>
      <c r="F1586" t="s">
        <v>3247</v>
      </c>
      <c r="G1586">
        <v>5000</v>
      </c>
      <c r="H1586" t="s">
        <v>128</v>
      </c>
      <c r="I1586" t="s">
        <v>136</v>
      </c>
      <c r="J1586" s="10" t="str">
        <f>VLOOKUP(I1586,Categories!A:B,2,FALSE)</f>
        <v>อื่นๆ</v>
      </c>
      <c r="K1586" t="s">
        <v>3248</v>
      </c>
      <c r="L1586" s="10" t="str">
        <f>VLOOKUP(K1586,Accounts!A:B,2,FALSE)</f>
        <v>Loan</v>
      </c>
      <c r="M1586" t="s">
        <v>178</v>
      </c>
      <c r="N1586" s="10" t="str">
        <f>VLOOKUP(M1586,Accounts!A:B,2,FALSE)</f>
        <v>SCB</v>
      </c>
      <c r="O1586" t="s">
        <v>3249</v>
      </c>
      <c r="Q1586" t="s">
        <v>126</v>
      </c>
      <c r="R1586" t="s">
        <v>124</v>
      </c>
      <c r="S1586" t="b">
        <v>0</v>
      </c>
      <c r="T1586" t="s">
        <v>124</v>
      </c>
    </row>
    <row r="1587">
      <c r="A1587" t="s">
        <v>3250</v>
      </c>
      <c r="B1587" t="s">
        <v>3246</v>
      </c>
      <c r="C1587" s="2">
        <v>2023</v>
      </c>
      <c r="D1587" s="10">
        <v>6</v>
      </c>
      <c r="E1587" s="10">
        <v>1</v>
      </c>
      <c r="F1587" t="s">
        <v>928</v>
      </c>
      <c r="G1587">
        <v>3135</v>
      </c>
      <c r="H1587" t="s">
        <v>128</v>
      </c>
      <c r="I1587" t="s">
        <v>136</v>
      </c>
      <c r="J1587" s="10" t="str">
        <f>VLOOKUP(I1587,Categories!A:B,2,FALSE)</f>
        <v>อื่นๆ</v>
      </c>
      <c r="K1587" t="s">
        <v>123</v>
      </c>
      <c r="L1587" s="10" t="str">
        <f>VLOOKUP(K1587,Accounts!A:B,2,FALSE)</f>
        <v>KBank</v>
      </c>
      <c r="M1587" t="s">
        <v>131</v>
      </c>
      <c r="N1587" s="10" t="str">
        <f>VLOOKUP(M1587,Accounts!A:B,2,FALSE)</f>
        <v xml:space="preserve">Advance Paid</v>
      </c>
      <c r="O1587" t="s">
        <v>3251</v>
      </c>
      <c r="Q1587" t="s">
        <v>126</v>
      </c>
      <c r="R1587" t="s">
        <v>124</v>
      </c>
      <c r="S1587" t="b">
        <v>0</v>
      </c>
      <c r="T1587" t="s">
        <v>124</v>
      </c>
    </row>
    <row r="1588">
      <c r="A1588" t="s">
        <v>3252</v>
      </c>
      <c r="B1588" t="s">
        <v>3253</v>
      </c>
      <c r="C1588" s="2">
        <v>2023</v>
      </c>
      <c r="D1588" s="10">
        <v>5</v>
      </c>
      <c r="E1588" s="10">
        <v>31</v>
      </c>
      <c r="F1588" t="s">
        <v>1955</v>
      </c>
      <c r="G1588">
        <v>764</v>
      </c>
      <c r="H1588" t="s">
        <v>69</v>
      </c>
      <c r="I1588" t="s">
        <v>150</v>
      </c>
      <c r="J1588" s="10" t="str">
        <f>VLOOKUP(I1588,Categories!A:B,2,FALSE)</f>
        <v xml:space="preserve">Food &amp; Coff</v>
      </c>
      <c r="K1588" t="s">
        <v>123</v>
      </c>
      <c r="L1588" s="10" t="str">
        <f>VLOOKUP(K1588,Accounts!A:B,2,FALSE)</f>
        <v>KBank</v>
      </c>
      <c r="M1588" t="s">
        <v>124</v>
      </c>
      <c r="N1588" s="10"/>
      <c r="O1588" t="s">
        <v>125</v>
      </c>
      <c r="Q1588" t="s">
        <v>126</v>
      </c>
      <c r="R1588" t="s">
        <v>124</v>
      </c>
      <c r="S1588" t="b">
        <v>0</v>
      </c>
      <c r="T1588" t="s">
        <v>124</v>
      </c>
    </row>
    <row r="1589">
      <c r="A1589" t="s">
        <v>3254</v>
      </c>
      <c r="B1589" t="s">
        <v>3255</v>
      </c>
      <c r="C1589" s="2">
        <v>2023</v>
      </c>
      <c r="D1589" s="10">
        <v>5</v>
      </c>
      <c r="E1589" s="10">
        <v>30</v>
      </c>
      <c r="F1589" t="s">
        <v>234</v>
      </c>
      <c r="G1589">
        <v>3190</v>
      </c>
      <c r="H1589" t="s">
        <v>69</v>
      </c>
      <c r="I1589" t="s">
        <v>141</v>
      </c>
      <c r="J1589" s="10" t="str">
        <f>VLOOKUP(I1589,Categories!A:B,2,FALSE)</f>
        <v>Other</v>
      </c>
      <c r="K1589" t="s">
        <v>2862</v>
      </c>
      <c r="L1589" s="10" t="str">
        <f>VLOOKUP(K1589,Accounts!A:B,2,FALSE)</f>
        <v xml:space="preserve">Kbank onesiam</v>
      </c>
      <c r="M1589" t="s">
        <v>124</v>
      </c>
      <c r="N1589" s="10"/>
      <c r="O1589" t="s">
        <v>3256</v>
      </c>
      <c r="Q1589" t="s">
        <v>126</v>
      </c>
      <c r="R1589" t="s">
        <v>124</v>
      </c>
      <c r="S1589" t="b">
        <v>0</v>
      </c>
      <c r="T1589" t="s">
        <v>124</v>
      </c>
    </row>
    <row r="1590">
      <c r="A1590" t="s">
        <v>3257</v>
      </c>
      <c r="B1590" t="s">
        <v>3258</v>
      </c>
      <c r="C1590" s="2">
        <v>2023</v>
      </c>
      <c r="D1590" s="10">
        <v>5</v>
      </c>
      <c r="E1590" s="10">
        <v>25</v>
      </c>
      <c r="F1590" t="s">
        <v>121</v>
      </c>
      <c r="G1590">
        <v>2537.21</v>
      </c>
      <c r="H1590" t="s">
        <v>69</v>
      </c>
      <c r="I1590" t="s">
        <v>199</v>
      </c>
      <c r="J1590" s="10" t="str">
        <f>VLOOKUP(I1590,Categories!A:B,2,FALSE)</f>
        <v xml:space="preserve">Home Chomthong Interest</v>
      </c>
      <c r="K1590" t="s">
        <v>178</v>
      </c>
      <c r="L1590" s="10" t="str">
        <f>VLOOKUP(K1590,Accounts!A:B,2,FALSE)</f>
        <v>SCB</v>
      </c>
      <c r="M1590" t="s">
        <v>124</v>
      </c>
      <c r="N1590" s="10"/>
      <c r="O1590" t="s">
        <v>125</v>
      </c>
      <c r="Q1590" t="s">
        <v>126</v>
      </c>
      <c r="R1590" t="s">
        <v>124</v>
      </c>
      <c r="S1590" t="b">
        <v>0</v>
      </c>
      <c r="T1590" t="s">
        <v>124</v>
      </c>
    </row>
    <row r="1591">
      <c r="A1591" t="s">
        <v>3259</v>
      </c>
      <c r="B1591" t="s">
        <v>3258</v>
      </c>
      <c r="C1591" s="2">
        <v>2023</v>
      </c>
      <c r="D1591" s="10">
        <v>5</v>
      </c>
      <c r="E1591" s="10">
        <v>25</v>
      </c>
      <c r="F1591" t="s">
        <v>121</v>
      </c>
      <c r="G1591">
        <v>380.33999999999997</v>
      </c>
      <c r="H1591" t="s">
        <v>69</v>
      </c>
      <c r="I1591" t="s">
        <v>443</v>
      </c>
      <c r="J1591" s="10" t="str">
        <f>VLOOKUP(I1591,Categories!A:B,2,FALSE)</f>
        <v xml:space="preserve">City SV Interest</v>
      </c>
      <c r="K1591" t="s">
        <v>178</v>
      </c>
      <c r="L1591" s="10" t="str">
        <f>VLOOKUP(K1591,Accounts!A:B,2,FALSE)</f>
        <v>SCB</v>
      </c>
      <c r="M1591" t="s">
        <v>124</v>
      </c>
      <c r="N1591" s="10"/>
      <c r="O1591" t="s">
        <v>125</v>
      </c>
      <c r="Q1591" t="s">
        <v>126</v>
      </c>
      <c r="R1591" t="s">
        <v>124</v>
      </c>
      <c r="S1591" t="b">
        <v>0</v>
      </c>
      <c r="T1591" t="s">
        <v>124</v>
      </c>
    </row>
    <row r="1592">
      <c r="A1592" t="s">
        <v>3260</v>
      </c>
      <c r="B1592" t="s">
        <v>3258</v>
      </c>
      <c r="C1592" s="2">
        <v>2023</v>
      </c>
      <c r="D1592" s="10">
        <v>5</v>
      </c>
      <c r="E1592" s="10">
        <v>25</v>
      </c>
      <c r="F1592" t="s">
        <v>121</v>
      </c>
      <c r="G1592">
        <v>9240</v>
      </c>
      <c r="H1592" t="s">
        <v>128</v>
      </c>
      <c r="I1592" t="s">
        <v>136</v>
      </c>
      <c r="J1592" s="10" t="str">
        <f>VLOOKUP(I1592,Categories!A:B,2,FALSE)</f>
        <v>อื่นๆ</v>
      </c>
      <c r="K1592" t="s">
        <v>178</v>
      </c>
      <c r="L1592" s="10" t="str">
        <f>VLOOKUP(K1592,Accounts!A:B,2,FALSE)</f>
        <v>SCB</v>
      </c>
      <c r="M1592" t="s">
        <v>1246</v>
      </c>
      <c r="N1592" s="10" t="str">
        <f>VLOOKUP(M1592,Accounts!A:B,2,FALSE)</f>
        <v xml:space="preserve">Car Loan</v>
      </c>
      <c r="O1592" t="s">
        <v>125</v>
      </c>
      <c r="Q1592" t="s">
        <v>126</v>
      </c>
      <c r="R1592" t="s">
        <v>124</v>
      </c>
      <c r="S1592" t="b">
        <v>0</v>
      </c>
      <c r="T1592" t="s">
        <v>124</v>
      </c>
    </row>
    <row r="1593">
      <c r="A1593" t="s">
        <v>3261</v>
      </c>
      <c r="B1593" t="s">
        <v>3258</v>
      </c>
      <c r="C1593" s="2">
        <v>2023</v>
      </c>
      <c r="D1593" s="10">
        <v>5</v>
      </c>
      <c r="E1593" s="10">
        <v>25</v>
      </c>
      <c r="F1593" t="s">
        <v>121</v>
      </c>
      <c r="G1593">
        <v>500</v>
      </c>
      <c r="H1593" t="s">
        <v>128</v>
      </c>
      <c r="I1593" t="s">
        <v>136</v>
      </c>
      <c r="J1593" s="10" t="str">
        <f>VLOOKUP(I1593,Categories!A:B,2,FALSE)</f>
        <v>อื่นๆ</v>
      </c>
      <c r="K1593" t="s">
        <v>178</v>
      </c>
      <c r="L1593" s="10" t="str">
        <f>VLOOKUP(K1593,Accounts!A:B,2,FALSE)</f>
        <v>SCB</v>
      </c>
      <c r="M1593" t="s">
        <v>201</v>
      </c>
      <c r="N1593" s="10" t="str">
        <f>VLOOKUP(M1593,Accounts!A:B,2,FALSE)</f>
        <v>Coop</v>
      </c>
      <c r="O1593" t="s">
        <v>125</v>
      </c>
      <c r="Q1593" t="s">
        <v>126</v>
      </c>
      <c r="R1593" t="s">
        <v>124</v>
      </c>
      <c r="S1593" t="b">
        <v>0</v>
      </c>
      <c r="T1593" t="s">
        <v>124</v>
      </c>
    </row>
    <row r="1594">
      <c r="A1594" t="s">
        <v>3262</v>
      </c>
      <c r="B1594" t="s">
        <v>3258</v>
      </c>
      <c r="C1594" s="2">
        <v>2023</v>
      </c>
      <c r="D1594" s="10">
        <v>5</v>
      </c>
      <c r="E1594" s="10">
        <v>25</v>
      </c>
      <c r="F1594" t="s">
        <v>121</v>
      </c>
      <c r="G1594">
        <v>7915</v>
      </c>
      <c r="H1594" t="s">
        <v>128</v>
      </c>
      <c r="I1594" t="s">
        <v>136</v>
      </c>
      <c r="J1594" s="10" t="str">
        <f>VLOOKUP(I1594,Categories!A:B,2,FALSE)</f>
        <v>อื่นๆ</v>
      </c>
      <c r="K1594" t="s">
        <v>178</v>
      </c>
      <c r="L1594" s="10" t="str">
        <f>VLOOKUP(K1594,Accounts!A:B,2,FALSE)</f>
        <v>SCB</v>
      </c>
      <c r="M1594" t="s">
        <v>1244</v>
      </c>
      <c r="N1594" s="10" t="str">
        <f>VLOOKUP(M1594,Accounts!A:B,2,FALSE)</f>
        <v xml:space="preserve">Home chomthong Loan</v>
      </c>
      <c r="O1594" t="s">
        <v>125</v>
      </c>
      <c r="Q1594" t="s">
        <v>126</v>
      </c>
      <c r="R1594" t="s">
        <v>124</v>
      </c>
      <c r="S1594" t="b">
        <v>0</v>
      </c>
      <c r="T1594" t="s">
        <v>124</v>
      </c>
    </row>
    <row r="1595">
      <c r="A1595" t="s">
        <v>3263</v>
      </c>
      <c r="B1595" t="s">
        <v>3258</v>
      </c>
      <c r="C1595" s="2">
        <v>2023</v>
      </c>
      <c r="D1595" s="10">
        <v>5</v>
      </c>
      <c r="E1595" s="10">
        <v>25</v>
      </c>
      <c r="F1595" t="s">
        <v>121</v>
      </c>
      <c r="G1595">
        <v>2242</v>
      </c>
      <c r="H1595" t="s">
        <v>128</v>
      </c>
      <c r="I1595" t="s">
        <v>136</v>
      </c>
      <c r="J1595" s="10" t="str">
        <f>VLOOKUP(I1595,Categories!A:B,2,FALSE)</f>
        <v>อื่นๆ</v>
      </c>
      <c r="K1595" t="s">
        <v>178</v>
      </c>
      <c r="L1595" s="10" t="str">
        <f>VLOOKUP(K1595,Accounts!A:B,2,FALSE)</f>
        <v>SCB</v>
      </c>
      <c r="M1595" t="s">
        <v>203</v>
      </c>
      <c r="N1595" s="10" t="str">
        <f>VLOOKUP(M1595,Accounts!A:B,2,FALSE)</f>
        <v xml:space="preserve">Provident Fund</v>
      </c>
      <c r="O1595" t="s">
        <v>125</v>
      </c>
      <c r="Q1595" t="s">
        <v>126</v>
      </c>
      <c r="R1595" t="s">
        <v>124</v>
      </c>
      <c r="S1595" t="b">
        <v>0</v>
      </c>
      <c r="T1595" t="s">
        <v>124</v>
      </c>
    </row>
    <row r="1596">
      <c r="A1596" t="s">
        <v>3264</v>
      </c>
      <c r="B1596" t="s">
        <v>3258</v>
      </c>
      <c r="C1596" s="2">
        <v>2023</v>
      </c>
      <c r="D1596" s="10">
        <v>5</v>
      </c>
      <c r="E1596" s="10">
        <v>25</v>
      </c>
      <c r="F1596" t="s">
        <v>121</v>
      </c>
      <c r="G1596">
        <v>1027.03</v>
      </c>
      <c r="H1596" t="s">
        <v>69</v>
      </c>
      <c r="I1596" t="s">
        <v>195</v>
      </c>
      <c r="J1596" s="10" t="str">
        <f>VLOOKUP(I1596,Categories!A:B,2,FALSE)</f>
        <v>Tax</v>
      </c>
      <c r="K1596" t="s">
        <v>178</v>
      </c>
      <c r="L1596" s="10" t="str">
        <f>VLOOKUP(K1596,Accounts!A:B,2,FALSE)</f>
        <v>SCB</v>
      </c>
      <c r="M1596" t="s">
        <v>124</v>
      </c>
      <c r="N1596" s="10"/>
      <c r="O1596" t="s">
        <v>125</v>
      </c>
      <c r="Q1596" t="s">
        <v>126</v>
      </c>
      <c r="R1596" t="s">
        <v>124</v>
      </c>
      <c r="S1596" t="b">
        <v>0</v>
      </c>
      <c r="T1596" t="s">
        <v>124</v>
      </c>
    </row>
    <row r="1597">
      <c r="A1597" t="s">
        <v>3265</v>
      </c>
      <c r="B1597" t="s">
        <v>3258</v>
      </c>
      <c r="C1597" s="2">
        <v>2023</v>
      </c>
      <c r="D1597" s="10">
        <v>5</v>
      </c>
      <c r="E1597" s="10">
        <v>25</v>
      </c>
      <c r="F1597" t="s">
        <v>121</v>
      </c>
      <c r="G1597">
        <v>112100</v>
      </c>
      <c r="H1597" t="s">
        <v>206</v>
      </c>
      <c r="I1597" t="s">
        <v>207</v>
      </c>
      <c r="J1597" s="10" t="str">
        <f>VLOOKUP(I1597,Categories!A:B,2,FALSE)</f>
        <v>Salary</v>
      </c>
      <c r="K1597" t="s">
        <v>178</v>
      </c>
      <c r="L1597" s="10" t="str">
        <f>VLOOKUP(K1597,Accounts!A:B,2,FALSE)</f>
        <v>SCB</v>
      </c>
      <c r="M1597" t="s">
        <v>124</v>
      </c>
      <c r="N1597" s="10"/>
      <c r="O1597" t="s">
        <v>125</v>
      </c>
      <c r="Q1597" t="s">
        <v>126</v>
      </c>
      <c r="R1597" t="s">
        <v>124</v>
      </c>
      <c r="S1597" t="b">
        <v>0</v>
      </c>
      <c r="T1597" t="s">
        <v>124</v>
      </c>
    </row>
    <row r="1598">
      <c r="A1598" t="s">
        <v>3266</v>
      </c>
      <c r="B1598" t="s">
        <v>3267</v>
      </c>
      <c r="C1598" s="2">
        <v>2023</v>
      </c>
      <c r="D1598" s="10">
        <v>5</v>
      </c>
      <c r="E1598" s="10">
        <v>21</v>
      </c>
      <c r="F1598" t="s">
        <v>306</v>
      </c>
      <c r="G1598">
        <v>867.76999999999998</v>
      </c>
      <c r="H1598" t="s">
        <v>128</v>
      </c>
      <c r="I1598" t="s">
        <v>136</v>
      </c>
      <c r="J1598" s="10" t="str">
        <f>VLOOKUP(I1598,Categories!A:B,2,FALSE)</f>
        <v>อื่นๆ</v>
      </c>
      <c r="K1598" t="s">
        <v>1308</v>
      </c>
      <c r="L1598" s="10" t="str">
        <f>VLOOKUP(K1598,Accounts!A:B,2,FALSE)</f>
        <v xml:space="preserve">UOB Privilages</v>
      </c>
      <c r="M1598" t="s">
        <v>131</v>
      </c>
      <c r="N1598" s="10" t="str">
        <f>VLOOKUP(M1598,Accounts!A:B,2,FALSE)</f>
        <v xml:space="preserve">Advance Paid</v>
      </c>
      <c r="O1598" t="s">
        <v>3268</v>
      </c>
      <c r="Q1598" t="s">
        <v>126</v>
      </c>
      <c r="R1598" t="s">
        <v>124</v>
      </c>
      <c r="S1598" t="b">
        <v>0</v>
      </c>
      <c r="T1598" t="s">
        <v>124</v>
      </c>
    </row>
    <row r="1599">
      <c r="A1599" t="s">
        <v>3269</v>
      </c>
      <c r="B1599" t="s">
        <v>3267</v>
      </c>
      <c r="C1599" s="2">
        <v>2023</v>
      </c>
      <c r="D1599" s="10">
        <v>5</v>
      </c>
      <c r="E1599" s="10">
        <v>21</v>
      </c>
      <c r="F1599" t="s">
        <v>2267</v>
      </c>
      <c r="G1599">
        <v>3190</v>
      </c>
      <c r="H1599" t="s">
        <v>128</v>
      </c>
      <c r="I1599" t="s">
        <v>136</v>
      </c>
      <c r="J1599" s="10" t="str">
        <f>VLOOKUP(I1599,Categories!A:B,2,FALSE)</f>
        <v>อื่นๆ</v>
      </c>
      <c r="K1599" t="s">
        <v>123</v>
      </c>
      <c r="L1599" s="10" t="str">
        <f>VLOOKUP(K1599,Accounts!A:B,2,FALSE)</f>
        <v>KBank</v>
      </c>
      <c r="M1599" t="s">
        <v>2862</v>
      </c>
      <c r="N1599" s="10" t="str">
        <f>VLOOKUP(M1599,Accounts!A:B,2,FALSE)</f>
        <v xml:space="preserve">Kbank onesiam</v>
      </c>
      <c r="O1599" t="s">
        <v>125</v>
      </c>
      <c r="Q1599" t="s">
        <v>126</v>
      </c>
      <c r="R1599" t="s">
        <v>124</v>
      </c>
      <c r="S1599" t="b">
        <v>0</v>
      </c>
      <c r="T1599" t="s">
        <v>124</v>
      </c>
    </row>
    <row r="1600">
      <c r="A1600" t="s">
        <v>3270</v>
      </c>
      <c r="B1600" t="s">
        <v>3267</v>
      </c>
      <c r="C1600" s="2">
        <v>2023</v>
      </c>
      <c r="D1600" s="10">
        <v>5</v>
      </c>
      <c r="E1600" s="10">
        <v>21</v>
      </c>
      <c r="F1600" t="s">
        <v>3271</v>
      </c>
      <c r="G1600">
        <v>16538.200000000001</v>
      </c>
      <c r="H1600" t="s">
        <v>128</v>
      </c>
      <c r="I1600" t="s">
        <v>136</v>
      </c>
      <c r="J1600" s="10" t="str">
        <f>VLOOKUP(I1600,Categories!A:B,2,FALSE)</f>
        <v>อื่นๆ</v>
      </c>
      <c r="K1600" t="s">
        <v>178</v>
      </c>
      <c r="L1600" s="10" t="str">
        <f>VLOOKUP(K1600,Accounts!A:B,2,FALSE)</f>
        <v>SCB</v>
      </c>
      <c r="M1600" t="s">
        <v>131</v>
      </c>
      <c r="N1600" s="10" t="str">
        <f>VLOOKUP(M1600,Accounts!A:B,2,FALSE)</f>
        <v xml:space="preserve">Advance Paid</v>
      </c>
      <c r="O1600" t="s">
        <v>125</v>
      </c>
      <c r="Q1600" t="s">
        <v>126</v>
      </c>
      <c r="R1600" t="s">
        <v>124</v>
      </c>
      <c r="S1600" t="b">
        <v>0</v>
      </c>
      <c r="T1600" t="s">
        <v>124</v>
      </c>
    </row>
    <row r="1601">
      <c r="A1601" t="s">
        <v>3272</v>
      </c>
      <c r="B1601" t="s">
        <v>3267</v>
      </c>
      <c r="C1601" s="2">
        <v>2023</v>
      </c>
      <c r="D1601" s="10">
        <v>5</v>
      </c>
      <c r="E1601" s="10">
        <v>21</v>
      </c>
      <c r="F1601" t="s">
        <v>3273</v>
      </c>
      <c r="G1601">
        <v>500</v>
      </c>
      <c r="H1601" t="s">
        <v>128</v>
      </c>
      <c r="I1601" t="s">
        <v>136</v>
      </c>
      <c r="J1601" s="10" t="str">
        <f>VLOOKUP(I1601,Categories!A:B,2,FALSE)</f>
        <v>อื่นๆ</v>
      </c>
      <c r="K1601" t="s">
        <v>425</v>
      </c>
      <c r="L1601" s="10" t="str">
        <f>VLOOKUP(K1601,Accounts!A:B,2,FALSE)</f>
        <v>Cash</v>
      </c>
      <c r="M1601" t="s">
        <v>178</v>
      </c>
      <c r="N1601" s="10" t="str">
        <f>VLOOKUP(M1601,Accounts!A:B,2,FALSE)</f>
        <v>SCB</v>
      </c>
      <c r="O1601" t="s">
        <v>125</v>
      </c>
      <c r="Q1601" t="s">
        <v>126</v>
      </c>
      <c r="R1601" t="s">
        <v>124</v>
      </c>
      <c r="S1601" t="b">
        <v>0</v>
      </c>
      <c r="T1601" t="s">
        <v>124</v>
      </c>
    </row>
    <row r="1602">
      <c r="A1602" t="s">
        <v>3274</v>
      </c>
      <c r="B1602" t="s">
        <v>3267</v>
      </c>
      <c r="C1602" s="2">
        <v>2023</v>
      </c>
      <c r="D1602" s="10">
        <v>5</v>
      </c>
      <c r="E1602" s="10">
        <v>21</v>
      </c>
      <c r="F1602" t="s">
        <v>3275</v>
      </c>
      <c r="G1602">
        <v>1150</v>
      </c>
      <c r="H1602" t="s">
        <v>69</v>
      </c>
      <c r="I1602" t="s">
        <v>3276</v>
      </c>
      <c r="J1602" s="10" t="str">
        <f>VLOOKUP(I1602,Categories!A:B,2,FALSE)</f>
        <v>Fuel</v>
      </c>
      <c r="K1602" t="s">
        <v>2317</v>
      </c>
      <c r="L1602" s="10" t="str">
        <f>VLOOKUP(K1602,Accounts!A:B,2,FALSE)</f>
        <v xml:space="preserve">Marriage account</v>
      </c>
      <c r="M1602" t="s">
        <v>124</v>
      </c>
      <c r="N1602" s="10"/>
      <c r="O1602" t="s">
        <v>125</v>
      </c>
      <c r="Q1602" t="s">
        <v>126</v>
      </c>
      <c r="R1602" t="s">
        <v>124</v>
      </c>
      <c r="S1602" t="b">
        <v>0</v>
      </c>
      <c r="T1602" t="s">
        <v>124</v>
      </c>
    </row>
    <row r="1603">
      <c r="A1603" t="s">
        <v>3277</v>
      </c>
      <c r="B1603" t="s">
        <v>3267</v>
      </c>
      <c r="C1603" s="2">
        <v>2023</v>
      </c>
      <c r="D1603" s="10">
        <v>5</v>
      </c>
      <c r="E1603" s="10">
        <v>21</v>
      </c>
      <c r="F1603" t="s">
        <v>1218</v>
      </c>
      <c r="G1603">
        <v>781</v>
      </c>
      <c r="H1603" t="s">
        <v>128</v>
      </c>
      <c r="I1603" t="s">
        <v>136</v>
      </c>
      <c r="J1603" s="10" t="str">
        <f>VLOOKUP(I1603,Categories!A:B,2,FALSE)</f>
        <v>อื่นๆ</v>
      </c>
      <c r="K1603" t="s">
        <v>178</v>
      </c>
      <c r="L1603" s="10" t="str">
        <f>VLOOKUP(K1603,Accounts!A:B,2,FALSE)</f>
        <v>SCB</v>
      </c>
      <c r="M1603" t="s">
        <v>130</v>
      </c>
      <c r="N1603" s="10" t="str">
        <f>VLOOKUP(M1603,Accounts!A:B,2,FALSE)</f>
        <v xml:space="preserve">KTC JCB</v>
      </c>
      <c r="O1603" t="s">
        <v>125</v>
      </c>
      <c r="Q1603" t="s">
        <v>126</v>
      </c>
      <c r="R1603" t="s">
        <v>124</v>
      </c>
      <c r="S1603" t="b">
        <v>0</v>
      </c>
      <c r="T1603" t="s">
        <v>124</v>
      </c>
    </row>
    <row r="1604">
      <c r="A1604" t="s">
        <v>3278</v>
      </c>
      <c r="B1604" t="s">
        <v>3279</v>
      </c>
      <c r="C1604" s="2">
        <v>2023</v>
      </c>
      <c r="D1604" s="10">
        <v>5</v>
      </c>
      <c r="E1604" s="10">
        <v>18</v>
      </c>
      <c r="F1604" t="s">
        <v>2387</v>
      </c>
      <c r="G1604">
        <v>500</v>
      </c>
      <c r="H1604" t="s">
        <v>69</v>
      </c>
      <c r="I1604" t="s">
        <v>3276</v>
      </c>
      <c r="J1604" s="10" t="str">
        <f>VLOOKUP(I1604,Categories!A:B,2,FALSE)</f>
        <v>Fuel</v>
      </c>
      <c r="K1604" t="s">
        <v>2317</v>
      </c>
      <c r="L1604" s="10" t="str">
        <f>VLOOKUP(K1604,Accounts!A:B,2,FALSE)</f>
        <v xml:space="preserve">Marriage account</v>
      </c>
      <c r="M1604" t="s">
        <v>124</v>
      </c>
      <c r="N1604" s="10"/>
      <c r="O1604" t="s">
        <v>125</v>
      </c>
      <c r="Q1604" t="s">
        <v>126</v>
      </c>
      <c r="R1604" t="s">
        <v>124</v>
      </c>
      <c r="S1604" t="b">
        <v>0</v>
      </c>
      <c r="T1604" t="s">
        <v>124</v>
      </c>
    </row>
    <row r="1605">
      <c r="A1605" t="s">
        <v>3280</v>
      </c>
      <c r="B1605" t="s">
        <v>3281</v>
      </c>
      <c r="C1605" s="2">
        <v>2023</v>
      </c>
      <c r="D1605" s="10">
        <v>5</v>
      </c>
      <c r="E1605" s="10">
        <v>16</v>
      </c>
      <c r="F1605" t="s">
        <v>3282</v>
      </c>
      <c r="G1605">
        <v>110</v>
      </c>
      <c r="H1605" t="s">
        <v>69</v>
      </c>
      <c r="I1605" t="s">
        <v>150</v>
      </c>
      <c r="J1605" s="10" t="str">
        <f>VLOOKUP(I1605,Categories!A:B,2,FALSE)</f>
        <v xml:space="preserve">Food &amp; Coff</v>
      </c>
      <c r="K1605" t="s">
        <v>2317</v>
      </c>
      <c r="L1605" s="10" t="str">
        <f>VLOOKUP(K1605,Accounts!A:B,2,FALSE)</f>
        <v xml:space="preserve">Marriage account</v>
      </c>
      <c r="M1605" t="s">
        <v>124</v>
      </c>
      <c r="N1605" s="10"/>
      <c r="O1605" t="s">
        <v>125</v>
      </c>
      <c r="Q1605" t="s">
        <v>126</v>
      </c>
      <c r="R1605" t="s">
        <v>124</v>
      </c>
      <c r="S1605" t="b">
        <v>0</v>
      </c>
      <c r="T1605" t="s">
        <v>124</v>
      </c>
    </row>
    <row r="1606">
      <c r="A1606" t="s">
        <v>3283</v>
      </c>
      <c r="B1606" t="s">
        <v>3281</v>
      </c>
      <c r="C1606" s="2">
        <v>2023</v>
      </c>
      <c r="D1606" s="10">
        <v>5</v>
      </c>
      <c r="E1606" s="10">
        <v>16</v>
      </c>
      <c r="F1606" t="s">
        <v>3282</v>
      </c>
      <c r="G1606">
        <v>100</v>
      </c>
      <c r="H1606" t="s">
        <v>69</v>
      </c>
      <c r="I1606" t="s">
        <v>150</v>
      </c>
      <c r="J1606" s="10" t="str">
        <f>VLOOKUP(I1606,Categories!A:B,2,FALSE)</f>
        <v xml:space="preserve">Food &amp; Coff</v>
      </c>
      <c r="K1606" t="s">
        <v>2317</v>
      </c>
      <c r="L1606" s="10" t="str">
        <f>VLOOKUP(K1606,Accounts!A:B,2,FALSE)</f>
        <v xml:space="preserve">Marriage account</v>
      </c>
      <c r="M1606" t="s">
        <v>124</v>
      </c>
      <c r="N1606" s="10"/>
      <c r="O1606" t="s">
        <v>125</v>
      </c>
      <c r="Q1606" t="s">
        <v>126</v>
      </c>
      <c r="R1606" t="s">
        <v>124</v>
      </c>
      <c r="S1606" t="b">
        <v>0</v>
      </c>
      <c r="T1606" t="s">
        <v>124</v>
      </c>
    </row>
    <row r="1607">
      <c r="A1607" t="s">
        <v>3284</v>
      </c>
      <c r="B1607" t="s">
        <v>3281</v>
      </c>
      <c r="C1607" s="2">
        <v>2023</v>
      </c>
      <c r="D1607" s="10">
        <v>5</v>
      </c>
      <c r="E1607" s="10">
        <v>16</v>
      </c>
      <c r="F1607" t="s">
        <v>1206</v>
      </c>
      <c r="G1607">
        <v>2233</v>
      </c>
      <c r="H1607" t="s">
        <v>128</v>
      </c>
      <c r="I1607" t="s">
        <v>136</v>
      </c>
      <c r="J1607" s="10" t="str">
        <f>VLOOKUP(I1607,Categories!A:B,2,FALSE)</f>
        <v>อื่นๆ</v>
      </c>
      <c r="K1607" t="s">
        <v>1308</v>
      </c>
      <c r="L1607" s="10" t="str">
        <f>VLOOKUP(K1607,Accounts!A:B,2,FALSE)</f>
        <v xml:space="preserve">UOB Privilages</v>
      </c>
      <c r="M1607" t="s">
        <v>131</v>
      </c>
      <c r="N1607" s="10" t="str">
        <f>VLOOKUP(M1607,Accounts!A:B,2,FALSE)</f>
        <v xml:space="preserve">Advance Paid</v>
      </c>
      <c r="O1607" t="s">
        <v>3285</v>
      </c>
      <c r="Q1607" t="s">
        <v>126</v>
      </c>
      <c r="R1607" t="s">
        <v>124</v>
      </c>
      <c r="S1607" t="b">
        <v>0</v>
      </c>
      <c r="T1607" t="s">
        <v>124</v>
      </c>
    </row>
    <row r="1608">
      <c r="A1608" t="s">
        <v>3286</v>
      </c>
      <c r="B1608" t="s">
        <v>3287</v>
      </c>
      <c r="C1608" s="2">
        <v>2023</v>
      </c>
      <c r="D1608" s="10">
        <v>5</v>
      </c>
      <c r="E1608" s="10">
        <v>15</v>
      </c>
      <c r="F1608" t="s">
        <v>1353</v>
      </c>
      <c r="G1608">
        <v>700</v>
      </c>
      <c r="H1608" t="s">
        <v>69</v>
      </c>
      <c r="I1608" t="s">
        <v>259</v>
      </c>
      <c r="J1608" s="10" t="str">
        <f>VLOOKUP(I1608,Categories!A:B,2,FALSE)</f>
        <v xml:space="preserve">Team BOT</v>
      </c>
      <c r="K1608" t="s">
        <v>178</v>
      </c>
      <c r="L1608" s="10" t="str">
        <f>VLOOKUP(K1608,Accounts!A:B,2,FALSE)</f>
        <v>SCB</v>
      </c>
      <c r="M1608" t="s">
        <v>124</v>
      </c>
      <c r="N1608" s="10"/>
      <c r="O1608" t="s">
        <v>125</v>
      </c>
      <c r="Q1608" t="s">
        <v>126</v>
      </c>
      <c r="R1608" t="s">
        <v>124</v>
      </c>
      <c r="S1608" t="b">
        <v>0</v>
      </c>
      <c r="T1608" t="s">
        <v>124</v>
      </c>
    </row>
    <row r="1609">
      <c r="A1609" t="s">
        <v>3288</v>
      </c>
      <c r="B1609" t="s">
        <v>3287</v>
      </c>
      <c r="C1609" s="2">
        <v>2023</v>
      </c>
      <c r="D1609" s="10">
        <v>5</v>
      </c>
      <c r="E1609" s="10">
        <v>15</v>
      </c>
      <c r="F1609" t="s">
        <v>3289</v>
      </c>
      <c r="G1609">
        <v>22290</v>
      </c>
      <c r="H1609" t="s">
        <v>128</v>
      </c>
      <c r="I1609" t="s">
        <v>136</v>
      </c>
      <c r="J1609" s="10" t="str">
        <f>VLOOKUP(I1609,Categories!A:B,2,FALSE)</f>
        <v>อื่นๆ</v>
      </c>
      <c r="K1609" t="s">
        <v>178</v>
      </c>
      <c r="L1609" s="10" t="str">
        <f>VLOOKUP(K1609,Accounts!A:B,2,FALSE)</f>
        <v>SCB</v>
      </c>
      <c r="M1609" t="s">
        <v>131</v>
      </c>
      <c r="N1609" s="10" t="str">
        <f>VLOOKUP(M1609,Accounts!A:B,2,FALSE)</f>
        <v xml:space="preserve">Advance Paid</v>
      </c>
      <c r="O1609" t="s">
        <v>3290</v>
      </c>
      <c r="Q1609" t="s">
        <v>126</v>
      </c>
      <c r="R1609" t="s">
        <v>124</v>
      </c>
      <c r="S1609" t="b">
        <v>0</v>
      </c>
      <c r="T1609" t="s">
        <v>124</v>
      </c>
    </row>
    <row r="1610">
      <c r="A1610" t="s">
        <v>3291</v>
      </c>
      <c r="B1610" t="s">
        <v>3292</v>
      </c>
      <c r="C1610" s="2">
        <v>2023</v>
      </c>
      <c r="D1610" s="10">
        <v>5</v>
      </c>
      <c r="E1610" s="10">
        <v>14</v>
      </c>
      <c r="F1610" t="s">
        <v>121</v>
      </c>
      <c r="G1610">
        <v>419</v>
      </c>
      <c r="H1610" t="s">
        <v>69</v>
      </c>
      <c r="I1610" t="s">
        <v>1903</v>
      </c>
      <c r="J1610" s="10" t="str">
        <f>VLOOKUP(I1610,Categories!A:B,2,FALSE)</f>
        <v xml:space="preserve">Monthly subscription</v>
      </c>
      <c r="K1610" t="s">
        <v>747</v>
      </c>
      <c r="L1610" s="10" t="str">
        <f>VLOOKUP(K1610,Accounts!A:B,2,FALSE)</f>
        <v xml:space="preserve">UOB world</v>
      </c>
      <c r="M1610" t="s">
        <v>124</v>
      </c>
      <c r="N1610" s="10"/>
      <c r="O1610" t="s">
        <v>125</v>
      </c>
      <c r="Q1610" t="s">
        <v>126</v>
      </c>
      <c r="R1610" t="s">
        <v>124</v>
      </c>
      <c r="S1610" t="b">
        <v>0</v>
      </c>
      <c r="T1610" t="s">
        <v>124</v>
      </c>
    </row>
    <row r="1611">
      <c r="A1611" t="s">
        <v>3293</v>
      </c>
      <c r="B1611" t="s">
        <v>3292</v>
      </c>
      <c r="C1611" s="2">
        <v>2023</v>
      </c>
      <c r="D1611" s="10">
        <v>5</v>
      </c>
      <c r="E1611" s="10">
        <v>14</v>
      </c>
      <c r="F1611" t="s">
        <v>2992</v>
      </c>
      <c r="G1611">
        <v>50.609999999999999</v>
      </c>
      <c r="H1611" t="s">
        <v>69</v>
      </c>
      <c r="I1611" t="s">
        <v>254</v>
      </c>
      <c r="J1611" s="10" t="str">
        <f>VLOOKUP(I1611,Categories!A:B,2,FALSE)</f>
        <v xml:space="preserve">Modified Bal.</v>
      </c>
      <c r="K1611" t="s">
        <v>2317</v>
      </c>
      <c r="L1611" s="10" t="str">
        <f>VLOOKUP(K1611,Accounts!A:B,2,FALSE)</f>
        <v xml:space="preserve">Marriage account</v>
      </c>
      <c r="M1611" t="s">
        <v>124</v>
      </c>
      <c r="N1611" s="10"/>
      <c r="O1611" t="s">
        <v>255</v>
      </c>
      <c r="Q1611" t="s">
        <v>126</v>
      </c>
      <c r="R1611" t="s">
        <v>124</v>
      </c>
      <c r="S1611" t="b">
        <v>0</v>
      </c>
      <c r="T1611" t="s">
        <v>124</v>
      </c>
    </row>
    <row r="1612">
      <c r="A1612" t="s">
        <v>3294</v>
      </c>
      <c r="B1612" t="s">
        <v>3292</v>
      </c>
      <c r="C1612" s="2">
        <v>2023</v>
      </c>
      <c r="D1612" s="10">
        <v>5</v>
      </c>
      <c r="E1612" s="10">
        <v>14</v>
      </c>
      <c r="F1612" t="s">
        <v>3295</v>
      </c>
      <c r="G1612">
        <v>1536.25</v>
      </c>
      <c r="H1612" t="s">
        <v>69</v>
      </c>
      <c r="I1612" t="s">
        <v>134</v>
      </c>
      <c r="J1612" s="10" t="str">
        <f>VLOOKUP(I1612,Categories!A:B,2,FALSE)</f>
        <v>Hong</v>
      </c>
      <c r="K1612" t="s">
        <v>123</v>
      </c>
      <c r="L1612" s="10" t="str">
        <f>VLOOKUP(K1612,Accounts!A:B,2,FALSE)</f>
        <v>KBank</v>
      </c>
      <c r="M1612" t="s">
        <v>124</v>
      </c>
      <c r="N1612" s="10"/>
      <c r="O1612" t="s">
        <v>1589</v>
      </c>
      <c r="Q1612" t="s">
        <v>126</v>
      </c>
      <c r="R1612" t="s">
        <v>124</v>
      </c>
      <c r="S1612" t="b">
        <v>0</v>
      </c>
      <c r="T1612" t="s">
        <v>124</v>
      </c>
    </row>
    <row r="1613">
      <c r="A1613" t="s">
        <v>3296</v>
      </c>
      <c r="B1613" t="s">
        <v>3292</v>
      </c>
      <c r="C1613" s="2">
        <v>2023</v>
      </c>
      <c r="D1613" s="10">
        <v>5</v>
      </c>
      <c r="E1613" s="10">
        <v>14</v>
      </c>
      <c r="F1613" t="s">
        <v>1193</v>
      </c>
      <c r="G1613">
        <v>419</v>
      </c>
      <c r="H1613" t="s">
        <v>128</v>
      </c>
      <c r="I1613" t="s">
        <v>136</v>
      </c>
      <c r="J1613" s="10" t="str">
        <f>VLOOKUP(I1613,Categories!A:B,2,FALSE)</f>
        <v>อื่นๆ</v>
      </c>
      <c r="K1613" t="s">
        <v>178</v>
      </c>
      <c r="L1613" s="10" t="str">
        <f>VLOOKUP(K1613,Accounts!A:B,2,FALSE)</f>
        <v>SCB</v>
      </c>
      <c r="M1613" t="s">
        <v>747</v>
      </c>
      <c r="N1613" s="10" t="str">
        <f>VLOOKUP(M1613,Accounts!A:B,2,FALSE)</f>
        <v xml:space="preserve">UOB world</v>
      </c>
      <c r="O1613" t="s">
        <v>125</v>
      </c>
      <c r="Q1613" t="s">
        <v>126</v>
      </c>
      <c r="R1613" t="s">
        <v>124</v>
      </c>
      <c r="S1613" t="b">
        <v>0</v>
      </c>
      <c r="T1613" t="s">
        <v>124</v>
      </c>
    </row>
    <row r="1614">
      <c r="A1614" t="s">
        <v>3297</v>
      </c>
      <c r="B1614" t="s">
        <v>3298</v>
      </c>
      <c r="C1614" s="2">
        <v>2023</v>
      </c>
      <c r="D1614" s="10">
        <v>5</v>
      </c>
      <c r="E1614" s="10">
        <v>13</v>
      </c>
      <c r="F1614" t="s">
        <v>3299</v>
      </c>
      <c r="G1614">
        <v>300</v>
      </c>
      <c r="H1614" t="s">
        <v>128</v>
      </c>
      <c r="I1614" t="s">
        <v>136</v>
      </c>
      <c r="J1614" s="10" t="str">
        <f>VLOOKUP(I1614,Categories!A:B,2,FALSE)</f>
        <v>อื่นๆ</v>
      </c>
      <c r="K1614" t="s">
        <v>178</v>
      </c>
      <c r="L1614" s="10" t="str">
        <f>VLOOKUP(K1614,Accounts!A:B,2,FALSE)</f>
        <v>SCB</v>
      </c>
      <c r="M1614" t="s">
        <v>893</v>
      </c>
      <c r="N1614" s="10" t="str">
        <f>VLOOKUP(M1614,Accounts!A:B,2,FALSE)</f>
        <v>Shopee</v>
      </c>
      <c r="O1614" t="s">
        <v>125</v>
      </c>
      <c r="Q1614" t="s">
        <v>126</v>
      </c>
      <c r="R1614" t="s">
        <v>124</v>
      </c>
      <c r="S1614" t="b">
        <v>0</v>
      </c>
      <c r="T1614" t="s">
        <v>124</v>
      </c>
    </row>
    <row r="1615">
      <c r="A1615" t="s">
        <v>3300</v>
      </c>
      <c r="B1615" t="s">
        <v>3298</v>
      </c>
      <c r="C1615" s="2">
        <v>2023</v>
      </c>
      <c r="D1615" s="10">
        <v>5</v>
      </c>
      <c r="E1615" s="10">
        <v>13</v>
      </c>
      <c r="F1615" t="s">
        <v>3301</v>
      </c>
      <c r="G1615">
        <v>750</v>
      </c>
      <c r="H1615" t="s">
        <v>69</v>
      </c>
      <c r="I1615" t="s">
        <v>150</v>
      </c>
      <c r="J1615" s="10" t="str">
        <f>VLOOKUP(I1615,Categories!A:B,2,FALSE)</f>
        <v xml:space="preserve">Food &amp; Coff</v>
      </c>
      <c r="K1615" t="s">
        <v>2317</v>
      </c>
      <c r="L1615" s="10" t="str">
        <f>VLOOKUP(K1615,Accounts!A:B,2,FALSE)</f>
        <v xml:space="preserve">Marriage account</v>
      </c>
      <c r="M1615" t="s">
        <v>124</v>
      </c>
      <c r="N1615" s="10"/>
      <c r="O1615" t="s">
        <v>125</v>
      </c>
      <c r="Q1615" t="s">
        <v>126</v>
      </c>
      <c r="R1615" t="s">
        <v>124</v>
      </c>
      <c r="S1615" t="b">
        <v>0</v>
      </c>
      <c r="T1615" t="s">
        <v>124</v>
      </c>
    </row>
    <row r="1616">
      <c r="A1616" t="s">
        <v>3302</v>
      </c>
      <c r="B1616" t="s">
        <v>3303</v>
      </c>
      <c r="C1616" s="2">
        <v>2023</v>
      </c>
      <c r="D1616" s="10">
        <v>5</v>
      </c>
      <c r="E1616" s="10">
        <v>12</v>
      </c>
      <c r="F1616" t="s">
        <v>2387</v>
      </c>
      <c r="G1616">
        <v>365</v>
      </c>
      <c r="H1616" t="s">
        <v>69</v>
      </c>
      <c r="I1616" t="s">
        <v>150</v>
      </c>
      <c r="J1616" s="10" t="str">
        <f>VLOOKUP(I1616,Categories!A:B,2,FALSE)</f>
        <v xml:space="preserve">Food &amp; Coff</v>
      </c>
      <c r="K1616" t="s">
        <v>2317</v>
      </c>
      <c r="L1616" s="10" t="str">
        <f>VLOOKUP(K1616,Accounts!A:B,2,FALSE)</f>
        <v xml:space="preserve">Marriage account</v>
      </c>
      <c r="M1616" t="s">
        <v>124</v>
      </c>
      <c r="N1616" s="10"/>
      <c r="O1616" t="s">
        <v>125</v>
      </c>
      <c r="Q1616" t="s">
        <v>126</v>
      </c>
      <c r="R1616" t="s">
        <v>124</v>
      </c>
      <c r="S1616" t="b">
        <v>0</v>
      </c>
      <c r="T1616" t="s">
        <v>124</v>
      </c>
    </row>
    <row r="1617">
      <c r="A1617" t="s">
        <v>3304</v>
      </c>
      <c r="B1617" t="s">
        <v>3303</v>
      </c>
      <c r="C1617" s="2">
        <v>2023</v>
      </c>
      <c r="D1617" s="10">
        <v>5</v>
      </c>
      <c r="E1617" s="10">
        <v>12</v>
      </c>
      <c r="F1617" t="s">
        <v>3305</v>
      </c>
      <c r="G1617">
        <v>129</v>
      </c>
      <c r="H1617" t="s">
        <v>69</v>
      </c>
      <c r="I1617" t="s">
        <v>150</v>
      </c>
      <c r="J1617" s="10" t="str">
        <f>VLOOKUP(I1617,Categories!A:B,2,FALSE)</f>
        <v xml:space="preserve">Food &amp; Coff</v>
      </c>
      <c r="K1617" t="s">
        <v>123</v>
      </c>
      <c r="L1617" s="10" t="str">
        <f>VLOOKUP(K1617,Accounts!A:B,2,FALSE)</f>
        <v>KBank</v>
      </c>
      <c r="M1617" t="s">
        <v>124</v>
      </c>
      <c r="N1617" s="10"/>
      <c r="O1617" t="s">
        <v>125</v>
      </c>
      <c r="Q1617" t="s">
        <v>126</v>
      </c>
      <c r="R1617" t="s">
        <v>124</v>
      </c>
      <c r="S1617" t="b">
        <v>0</v>
      </c>
      <c r="T1617" t="s">
        <v>124</v>
      </c>
    </row>
    <row r="1618">
      <c r="A1618" t="s">
        <v>3306</v>
      </c>
      <c r="B1618" t="s">
        <v>3307</v>
      </c>
      <c r="C1618" s="2">
        <v>2023</v>
      </c>
      <c r="D1618" s="10">
        <v>5</v>
      </c>
      <c r="E1618" s="10">
        <v>11</v>
      </c>
      <c r="F1618" t="s">
        <v>2554</v>
      </c>
      <c r="G1618">
        <v>220</v>
      </c>
      <c r="H1618" t="s">
        <v>69</v>
      </c>
      <c r="I1618" t="s">
        <v>150</v>
      </c>
      <c r="J1618" s="10" t="str">
        <f>VLOOKUP(I1618,Categories!A:B,2,FALSE)</f>
        <v xml:space="preserve">Food &amp; Coff</v>
      </c>
      <c r="K1618" t="s">
        <v>2317</v>
      </c>
      <c r="L1618" s="10" t="str">
        <f>VLOOKUP(K1618,Accounts!A:B,2,FALSE)</f>
        <v xml:space="preserve">Marriage account</v>
      </c>
      <c r="M1618" t="s">
        <v>124</v>
      </c>
      <c r="N1618" s="10"/>
      <c r="O1618" t="s">
        <v>125</v>
      </c>
      <c r="Q1618" t="s">
        <v>126</v>
      </c>
      <c r="R1618" t="s">
        <v>124</v>
      </c>
      <c r="S1618" t="b">
        <v>0</v>
      </c>
      <c r="T1618" t="s">
        <v>124</v>
      </c>
    </row>
    <row r="1619">
      <c r="A1619" t="s">
        <v>3308</v>
      </c>
      <c r="B1619" t="s">
        <v>3307</v>
      </c>
      <c r="C1619" s="2">
        <v>2023</v>
      </c>
      <c r="D1619" s="10">
        <v>5</v>
      </c>
      <c r="E1619" s="10">
        <v>11</v>
      </c>
      <c r="F1619" t="s">
        <v>3309</v>
      </c>
      <c r="G1619">
        <v>171</v>
      </c>
      <c r="H1619" t="s">
        <v>69</v>
      </c>
      <c r="I1619" t="s">
        <v>150</v>
      </c>
      <c r="J1619" s="10" t="str">
        <f>VLOOKUP(I1619,Categories!A:B,2,FALSE)</f>
        <v xml:space="preserve">Food &amp; Coff</v>
      </c>
      <c r="K1619" t="s">
        <v>130</v>
      </c>
      <c r="L1619" s="10" t="str">
        <f>VLOOKUP(K1619,Accounts!A:B,2,FALSE)</f>
        <v xml:space="preserve">KTC JCB</v>
      </c>
      <c r="M1619" t="s">
        <v>124</v>
      </c>
      <c r="N1619" s="10"/>
      <c r="O1619" t="s">
        <v>125</v>
      </c>
      <c r="Q1619" t="s">
        <v>126</v>
      </c>
      <c r="R1619" t="s">
        <v>124</v>
      </c>
      <c r="S1619" t="b">
        <v>0</v>
      </c>
      <c r="T1619" t="s">
        <v>124</v>
      </c>
    </row>
    <row r="1620">
      <c r="A1620" t="s">
        <v>3310</v>
      </c>
      <c r="B1620" t="s">
        <v>3307</v>
      </c>
      <c r="C1620" s="2">
        <v>2023</v>
      </c>
      <c r="D1620" s="10">
        <v>5</v>
      </c>
      <c r="E1620" s="10">
        <v>11</v>
      </c>
      <c r="F1620" t="s">
        <v>2638</v>
      </c>
      <c r="G1620">
        <v>610</v>
      </c>
      <c r="H1620" t="s">
        <v>128</v>
      </c>
      <c r="I1620" t="s">
        <v>136</v>
      </c>
      <c r="J1620" s="10" t="str">
        <f>VLOOKUP(I1620,Categories!A:B,2,FALSE)</f>
        <v>อื่นๆ</v>
      </c>
      <c r="K1620" t="s">
        <v>130</v>
      </c>
      <c r="L1620" s="10" t="str">
        <f>VLOOKUP(K1620,Accounts!A:B,2,FALSE)</f>
        <v xml:space="preserve">KTC JCB</v>
      </c>
      <c r="M1620" t="s">
        <v>178</v>
      </c>
      <c r="N1620" s="10" t="str">
        <f>VLOOKUP(M1620,Accounts!A:B,2,FALSE)</f>
        <v>SCB</v>
      </c>
      <c r="O1620" t="s">
        <v>125</v>
      </c>
      <c r="Q1620" t="s">
        <v>126</v>
      </c>
      <c r="R1620" t="s">
        <v>124</v>
      </c>
      <c r="S1620" t="b">
        <v>0</v>
      </c>
      <c r="T1620" t="s">
        <v>124</v>
      </c>
    </row>
    <row r="1621">
      <c r="A1621" t="s">
        <v>3311</v>
      </c>
      <c r="B1621" t="s">
        <v>3307</v>
      </c>
      <c r="C1621" s="2">
        <v>2023</v>
      </c>
      <c r="D1621" s="10">
        <v>5</v>
      </c>
      <c r="E1621" s="10">
        <v>11</v>
      </c>
      <c r="F1621" t="s">
        <v>1537</v>
      </c>
      <c r="G1621">
        <v>60</v>
      </c>
      <c r="H1621" t="s">
        <v>69</v>
      </c>
      <c r="I1621" t="s">
        <v>150</v>
      </c>
      <c r="J1621" s="10" t="str">
        <f>VLOOKUP(I1621,Categories!A:B,2,FALSE)</f>
        <v xml:space="preserve">Food &amp; Coff</v>
      </c>
      <c r="K1621" t="s">
        <v>123</v>
      </c>
      <c r="L1621" s="10" t="str">
        <f>VLOOKUP(K1621,Accounts!A:B,2,FALSE)</f>
        <v>KBank</v>
      </c>
      <c r="M1621" t="s">
        <v>124</v>
      </c>
      <c r="N1621" s="10"/>
      <c r="O1621" t="s">
        <v>125</v>
      </c>
      <c r="Q1621" t="s">
        <v>126</v>
      </c>
      <c r="R1621" t="s">
        <v>124</v>
      </c>
      <c r="S1621" t="b">
        <v>0</v>
      </c>
      <c r="T1621" t="s">
        <v>124</v>
      </c>
    </row>
    <row r="1622">
      <c r="A1622" t="s">
        <v>3312</v>
      </c>
      <c r="B1622" t="s">
        <v>3313</v>
      </c>
      <c r="C1622" s="2">
        <v>2023</v>
      </c>
      <c r="D1622" s="10">
        <v>5</v>
      </c>
      <c r="E1622" s="10">
        <v>10</v>
      </c>
      <c r="F1622" t="s">
        <v>3314</v>
      </c>
      <c r="G1622">
        <v>128</v>
      </c>
      <c r="H1622" t="s">
        <v>69</v>
      </c>
      <c r="I1622" t="s">
        <v>150</v>
      </c>
      <c r="J1622" s="10" t="str">
        <f>VLOOKUP(I1622,Categories!A:B,2,FALSE)</f>
        <v xml:space="preserve">Food &amp; Coff</v>
      </c>
      <c r="K1622" t="s">
        <v>2317</v>
      </c>
      <c r="L1622" s="10" t="str">
        <f>VLOOKUP(K1622,Accounts!A:B,2,FALSE)</f>
        <v xml:space="preserve">Marriage account</v>
      </c>
      <c r="M1622" t="s">
        <v>124</v>
      </c>
      <c r="N1622" s="10"/>
      <c r="O1622" t="s">
        <v>125</v>
      </c>
      <c r="Q1622" t="s">
        <v>126</v>
      </c>
      <c r="R1622" t="s">
        <v>124</v>
      </c>
      <c r="S1622" t="b">
        <v>0</v>
      </c>
      <c r="T1622" t="s">
        <v>124</v>
      </c>
    </row>
    <row r="1623">
      <c r="A1623" t="s">
        <v>3315</v>
      </c>
      <c r="B1623" t="s">
        <v>3313</v>
      </c>
      <c r="C1623" s="2">
        <v>2023</v>
      </c>
      <c r="D1623" s="10">
        <v>5</v>
      </c>
      <c r="E1623" s="10">
        <v>10</v>
      </c>
      <c r="F1623" t="s">
        <v>2179</v>
      </c>
      <c r="G1623">
        <v>260</v>
      </c>
      <c r="H1623" t="s">
        <v>69</v>
      </c>
      <c r="I1623" t="s">
        <v>150</v>
      </c>
      <c r="J1623" s="10" t="str">
        <f>VLOOKUP(I1623,Categories!A:B,2,FALSE)</f>
        <v xml:space="preserve">Food &amp; Coff</v>
      </c>
      <c r="K1623" t="s">
        <v>2317</v>
      </c>
      <c r="L1623" s="10" t="str">
        <f>VLOOKUP(K1623,Accounts!A:B,2,FALSE)</f>
        <v xml:space="preserve">Marriage account</v>
      </c>
      <c r="M1623" t="s">
        <v>124</v>
      </c>
      <c r="N1623" s="10"/>
      <c r="O1623" t="s">
        <v>125</v>
      </c>
      <c r="Q1623" t="s">
        <v>126</v>
      </c>
      <c r="R1623" t="s">
        <v>124</v>
      </c>
      <c r="S1623" t="b">
        <v>0</v>
      </c>
      <c r="T1623" t="s">
        <v>124</v>
      </c>
    </row>
    <row r="1624">
      <c r="A1624" t="s">
        <v>3316</v>
      </c>
      <c r="B1624" t="s">
        <v>3313</v>
      </c>
      <c r="C1624" s="2">
        <v>2023</v>
      </c>
      <c r="D1624" s="10">
        <v>5</v>
      </c>
      <c r="E1624" s="10">
        <v>10</v>
      </c>
      <c r="F1624" t="s">
        <v>3295</v>
      </c>
      <c r="G1624">
        <v>170</v>
      </c>
      <c r="H1624" t="s">
        <v>69</v>
      </c>
      <c r="I1624" t="s">
        <v>150</v>
      </c>
      <c r="J1624" s="10" t="str">
        <f>VLOOKUP(I1624,Categories!A:B,2,FALSE)</f>
        <v xml:space="preserve">Food &amp; Coff</v>
      </c>
      <c r="K1624" t="s">
        <v>123</v>
      </c>
      <c r="L1624" s="10" t="str">
        <f>VLOOKUP(K1624,Accounts!A:B,2,FALSE)</f>
        <v>KBank</v>
      </c>
      <c r="M1624" t="s">
        <v>124</v>
      </c>
      <c r="N1624" s="10"/>
      <c r="O1624" t="s">
        <v>125</v>
      </c>
      <c r="Q1624" t="s">
        <v>126</v>
      </c>
      <c r="R1624" t="s">
        <v>124</v>
      </c>
      <c r="S1624" t="b">
        <v>0</v>
      </c>
      <c r="T1624" t="s">
        <v>124</v>
      </c>
    </row>
    <row r="1625">
      <c r="A1625" t="s">
        <v>3317</v>
      </c>
      <c r="B1625" t="s">
        <v>3318</v>
      </c>
      <c r="C1625" s="2">
        <v>2023</v>
      </c>
      <c r="D1625" s="10">
        <v>5</v>
      </c>
      <c r="E1625" s="10">
        <v>9</v>
      </c>
      <c r="F1625" t="s">
        <v>2403</v>
      </c>
      <c r="G1625">
        <v>300</v>
      </c>
      <c r="H1625" t="s">
        <v>69</v>
      </c>
      <c r="I1625" t="s">
        <v>150</v>
      </c>
      <c r="J1625" s="10" t="str">
        <f>VLOOKUP(I1625,Categories!A:B,2,FALSE)</f>
        <v xml:space="preserve">Food &amp; Coff</v>
      </c>
      <c r="K1625" t="s">
        <v>2317</v>
      </c>
      <c r="L1625" s="10" t="str">
        <f>VLOOKUP(K1625,Accounts!A:B,2,FALSE)</f>
        <v xml:space="preserve">Marriage account</v>
      </c>
      <c r="M1625" t="s">
        <v>124</v>
      </c>
      <c r="N1625" s="10"/>
      <c r="O1625" t="s">
        <v>125</v>
      </c>
      <c r="Q1625" t="s">
        <v>126</v>
      </c>
      <c r="R1625" t="s">
        <v>124</v>
      </c>
      <c r="S1625" t="b">
        <v>0</v>
      </c>
      <c r="T1625" t="s">
        <v>124</v>
      </c>
    </row>
    <row r="1626">
      <c r="A1626" t="s">
        <v>3319</v>
      </c>
      <c r="B1626" t="s">
        <v>3320</v>
      </c>
      <c r="C1626" s="2">
        <v>2023</v>
      </c>
      <c r="D1626" s="10">
        <v>5</v>
      </c>
      <c r="E1626" s="10">
        <v>8</v>
      </c>
      <c r="F1626" t="s">
        <v>3321</v>
      </c>
      <c r="G1626">
        <v>70</v>
      </c>
      <c r="H1626" t="s">
        <v>69</v>
      </c>
      <c r="I1626" t="s">
        <v>150</v>
      </c>
      <c r="J1626" s="10" t="str">
        <f>VLOOKUP(I1626,Categories!A:B,2,FALSE)</f>
        <v xml:space="preserve">Food &amp; Coff</v>
      </c>
      <c r="K1626" t="s">
        <v>123</v>
      </c>
      <c r="L1626" s="10" t="str">
        <f>VLOOKUP(K1626,Accounts!A:B,2,FALSE)</f>
        <v>KBank</v>
      </c>
      <c r="M1626" t="s">
        <v>124</v>
      </c>
      <c r="N1626" s="10"/>
      <c r="O1626" t="s">
        <v>125</v>
      </c>
      <c r="Q1626" t="s">
        <v>126</v>
      </c>
      <c r="R1626" t="s">
        <v>124</v>
      </c>
      <c r="S1626" t="b">
        <v>0</v>
      </c>
      <c r="T1626" t="s">
        <v>124</v>
      </c>
    </row>
    <row r="1627">
      <c r="A1627" t="s">
        <v>3322</v>
      </c>
      <c r="B1627" t="s">
        <v>3320</v>
      </c>
      <c r="C1627" s="2">
        <v>2023</v>
      </c>
      <c r="D1627" s="10">
        <v>5</v>
      </c>
      <c r="E1627" s="10">
        <v>8</v>
      </c>
      <c r="F1627" t="s">
        <v>3001</v>
      </c>
      <c r="G1627">
        <v>500</v>
      </c>
      <c r="H1627" t="s">
        <v>128</v>
      </c>
      <c r="I1627" t="s">
        <v>136</v>
      </c>
      <c r="J1627" s="10" t="str">
        <f>VLOOKUP(I1627,Categories!A:B,2,FALSE)</f>
        <v>อื่นๆ</v>
      </c>
      <c r="K1627" t="s">
        <v>178</v>
      </c>
      <c r="L1627" s="10" t="str">
        <f>VLOOKUP(K1627,Accounts!A:B,2,FALSE)</f>
        <v>SCB</v>
      </c>
      <c r="M1627" t="s">
        <v>2518</v>
      </c>
      <c r="N1627" s="10" t="str">
        <f>VLOOKUP(M1627,Accounts!A:B,2,FALSE)</f>
        <v>CBDC</v>
      </c>
      <c r="O1627" t="s">
        <v>125</v>
      </c>
      <c r="Q1627" t="s">
        <v>126</v>
      </c>
      <c r="R1627" t="s">
        <v>124</v>
      </c>
      <c r="S1627" t="b">
        <v>0</v>
      </c>
      <c r="T1627" t="s">
        <v>124</v>
      </c>
    </row>
    <row r="1628">
      <c r="A1628" t="s">
        <v>3323</v>
      </c>
      <c r="B1628" t="s">
        <v>3320</v>
      </c>
      <c r="C1628" s="2">
        <v>2023</v>
      </c>
      <c r="D1628" s="10">
        <v>5</v>
      </c>
      <c r="E1628" s="10">
        <v>8</v>
      </c>
      <c r="F1628" t="s">
        <v>2403</v>
      </c>
      <c r="G1628">
        <v>228</v>
      </c>
      <c r="H1628" t="s">
        <v>69</v>
      </c>
      <c r="I1628" t="s">
        <v>150</v>
      </c>
      <c r="J1628" s="10" t="str">
        <f>VLOOKUP(I1628,Categories!A:B,2,FALSE)</f>
        <v xml:space="preserve">Food &amp; Coff</v>
      </c>
      <c r="K1628" t="s">
        <v>2317</v>
      </c>
      <c r="L1628" s="10" t="str">
        <f>VLOOKUP(K1628,Accounts!A:B,2,FALSE)</f>
        <v xml:space="preserve">Marriage account</v>
      </c>
      <c r="M1628" t="s">
        <v>124</v>
      </c>
      <c r="N1628" s="10"/>
      <c r="O1628" t="s">
        <v>125</v>
      </c>
      <c r="Q1628" t="s">
        <v>126</v>
      </c>
      <c r="R1628" t="s">
        <v>124</v>
      </c>
      <c r="S1628" t="b">
        <v>0</v>
      </c>
      <c r="T1628" t="s">
        <v>124</v>
      </c>
    </row>
    <row r="1629">
      <c r="A1629" t="s">
        <v>3324</v>
      </c>
      <c r="B1629" t="s">
        <v>3325</v>
      </c>
      <c r="C1629" s="2">
        <v>2023</v>
      </c>
      <c r="D1629" s="10">
        <v>5</v>
      </c>
      <c r="E1629" s="10">
        <v>7</v>
      </c>
      <c r="F1629" t="s">
        <v>2584</v>
      </c>
      <c r="G1629">
        <v>1544</v>
      </c>
      <c r="H1629" t="s">
        <v>128</v>
      </c>
      <c r="I1629" t="s">
        <v>136</v>
      </c>
      <c r="J1629" s="10" t="str">
        <f>VLOOKUP(I1629,Categories!A:B,2,FALSE)</f>
        <v>อื่นๆ</v>
      </c>
      <c r="K1629" t="s">
        <v>123</v>
      </c>
      <c r="L1629" s="10" t="str">
        <f>VLOOKUP(K1629,Accounts!A:B,2,FALSE)</f>
        <v>KBank</v>
      </c>
      <c r="M1629" t="s">
        <v>131</v>
      </c>
      <c r="N1629" s="10" t="str">
        <f>VLOOKUP(M1629,Accounts!A:B,2,FALSE)</f>
        <v xml:space="preserve">Advance Paid</v>
      </c>
      <c r="O1629" t="s">
        <v>3251</v>
      </c>
      <c r="Q1629" t="s">
        <v>126</v>
      </c>
      <c r="R1629" t="s">
        <v>124</v>
      </c>
      <c r="S1629" t="b">
        <v>0</v>
      </c>
      <c r="T1629" t="s">
        <v>124</v>
      </c>
    </row>
    <row r="1630">
      <c r="A1630" t="s">
        <v>3326</v>
      </c>
      <c r="B1630" t="s">
        <v>3327</v>
      </c>
      <c r="C1630" s="2">
        <v>2023</v>
      </c>
      <c r="D1630" s="10">
        <v>5</v>
      </c>
      <c r="E1630" s="10">
        <v>6</v>
      </c>
      <c r="F1630" t="s">
        <v>329</v>
      </c>
      <c r="G1630">
        <v>1090</v>
      </c>
      <c r="H1630" t="s">
        <v>69</v>
      </c>
      <c r="I1630" t="s">
        <v>150</v>
      </c>
      <c r="J1630" s="10" t="str">
        <f>VLOOKUP(I1630,Categories!A:B,2,FALSE)</f>
        <v xml:space="preserve">Food &amp; Coff</v>
      </c>
      <c r="K1630" t="s">
        <v>2317</v>
      </c>
      <c r="L1630" s="10" t="str">
        <f>VLOOKUP(K1630,Accounts!A:B,2,FALSE)</f>
        <v xml:space="preserve">Marriage account</v>
      </c>
      <c r="M1630" t="s">
        <v>124</v>
      </c>
      <c r="N1630" s="10"/>
      <c r="O1630" t="s">
        <v>3328</v>
      </c>
      <c r="Q1630" t="s">
        <v>126</v>
      </c>
      <c r="R1630" t="s">
        <v>124</v>
      </c>
      <c r="S1630" t="b">
        <v>0</v>
      </c>
      <c r="T1630" t="s">
        <v>124</v>
      </c>
    </row>
    <row r="1631">
      <c r="A1631" t="s">
        <v>3329</v>
      </c>
      <c r="B1631" t="s">
        <v>3327</v>
      </c>
      <c r="C1631" s="2">
        <v>2023</v>
      </c>
      <c r="D1631" s="10">
        <v>5</v>
      </c>
      <c r="E1631" s="10">
        <v>6</v>
      </c>
      <c r="F1631" t="s">
        <v>504</v>
      </c>
      <c r="G1631">
        <v>65</v>
      </c>
      <c r="H1631" t="s">
        <v>69</v>
      </c>
      <c r="I1631" t="s">
        <v>150</v>
      </c>
      <c r="J1631" s="10" t="str">
        <f>VLOOKUP(I1631,Categories!A:B,2,FALSE)</f>
        <v xml:space="preserve">Food &amp; Coff</v>
      </c>
      <c r="K1631" t="s">
        <v>2317</v>
      </c>
      <c r="L1631" s="10" t="str">
        <f>VLOOKUP(K1631,Accounts!A:B,2,FALSE)</f>
        <v xml:space="preserve">Marriage account</v>
      </c>
      <c r="M1631" t="s">
        <v>124</v>
      </c>
      <c r="N1631" s="10"/>
      <c r="O1631" t="s">
        <v>125</v>
      </c>
      <c r="Q1631" t="s">
        <v>126</v>
      </c>
      <c r="R1631" t="s">
        <v>124</v>
      </c>
      <c r="S1631" t="b">
        <v>0</v>
      </c>
      <c r="T1631" t="s">
        <v>124</v>
      </c>
    </row>
    <row r="1632">
      <c r="A1632" t="s">
        <v>3330</v>
      </c>
      <c r="B1632" t="s">
        <v>3331</v>
      </c>
      <c r="C1632" s="2">
        <v>2023</v>
      </c>
      <c r="D1632" s="10">
        <v>5</v>
      </c>
      <c r="E1632" s="10">
        <v>5</v>
      </c>
      <c r="F1632" t="s">
        <v>3332</v>
      </c>
      <c r="G1632">
        <v>15000</v>
      </c>
      <c r="H1632" t="s">
        <v>206</v>
      </c>
      <c r="I1632" t="s">
        <v>207</v>
      </c>
      <c r="J1632" s="10" t="str">
        <f>VLOOKUP(I1632,Categories!A:B,2,FALSE)</f>
        <v>Salary</v>
      </c>
      <c r="K1632" t="s">
        <v>2317</v>
      </c>
      <c r="L1632" s="10" t="str">
        <f>VLOOKUP(K1632,Accounts!A:B,2,FALSE)</f>
        <v xml:space="preserve">Marriage account</v>
      </c>
      <c r="M1632" t="s">
        <v>124</v>
      </c>
      <c r="N1632" s="10"/>
      <c r="O1632" t="s">
        <v>125</v>
      </c>
      <c r="Q1632" t="s">
        <v>126</v>
      </c>
      <c r="R1632" t="s">
        <v>124</v>
      </c>
      <c r="S1632" t="b">
        <v>0</v>
      </c>
      <c r="T1632" t="s">
        <v>124</v>
      </c>
    </row>
    <row r="1633">
      <c r="A1633" t="s">
        <v>3333</v>
      </c>
      <c r="B1633" t="s">
        <v>3331</v>
      </c>
      <c r="C1633" s="2">
        <v>2023</v>
      </c>
      <c r="D1633" s="10">
        <v>5</v>
      </c>
      <c r="E1633" s="10">
        <v>5</v>
      </c>
      <c r="F1633" t="s">
        <v>3332</v>
      </c>
      <c r="G1633">
        <v>421</v>
      </c>
      <c r="H1633" t="s">
        <v>69</v>
      </c>
      <c r="I1633" t="s">
        <v>150</v>
      </c>
      <c r="J1633" s="10" t="str">
        <f>VLOOKUP(I1633,Categories!A:B,2,FALSE)</f>
        <v xml:space="preserve">Food &amp; Coff</v>
      </c>
      <c r="K1633" t="s">
        <v>2317</v>
      </c>
      <c r="L1633" s="10" t="str">
        <f>VLOOKUP(K1633,Accounts!A:B,2,FALSE)</f>
        <v xml:space="preserve">Marriage account</v>
      </c>
      <c r="M1633" t="s">
        <v>124</v>
      </c>
      <c r="N1633" s="10"/>
      <c r="O1633" t="s">
        <v>125</v>
      </c>
      <c r="Q1633" t="s">
        <v>126</v>
      </c>
      <c r="R1633" t="s">
        <v>124</v>
      </c>
      <c r="S1633" t="b">
        <v>0</v>
      </c>
      <c r="T1633" t="s">
        <v>124</v>
      </c>
    </row>
    <row r="1634">
      <c r="A1634" t="s">
        <v>3334</v>
      </c>
      <c r="B1634" t="s">
        <v>3331</v>
      </c>
      <c r="C1634" s="2">
        <v>2023</v>
      </c>
      <c r="D1634" s="10">
        <v>5</v>
      </c>
      <c r="E1634" s="10">
        <v>5</v>
      </c>
      <c r="F1634" t="s">
        <v>2131</v>
      </c>
      <c r="G1634">
        <v>6347.5299999999997</v>
      </c>
      <c r="H1634" t="s">
        <v>69</v>
      </c>
      <c r="I1634" t="s">
        <v>139</v>
      </c>
      <c r="J1634" s="10" t="str">
        <f>VLOOKUP(I1634,Categories!A:B,2,FALSE)</f>
        <v>Condo</v>
      </c>
      <c r="K1634" t="s">
        <v>178</v>
      </c>
      <c r="L1634" s="10" t="str">
        <f>VLOOKUP(K1634,Accounts!A:B,2,FALSE)</f>
        <v>SCB</v>
      </c>
      <c r="M1634" t="s">
        <v>124</v>
      </c>
      <c r="N1634" s="10"/>
      <c r="O1634" t="s">
        <v>125</v>
      </c>
      <c r="Q1634" t="s">
        <v>126</v>
      </c>
      <c r="R1634" t="s">
        <v>124</v>
      </c>
      <c r="S1634" t="b">
        <v>0</v>
      </c>
      <c r="T1634" t="s">
        <v>124</v>
      </c>
    </row>
    <row r="1635">
      <c r="A1635" t="s">
        <v>3335</v>
      </c>
      <c r="B1635" t="s">
        <v>3331</v>
      </c>
      <c r="C1635" s="2">
        <v>2023</v>
      </c>
      <c r="D1635" s="10">
        <v>5</v>
      </c>
      <c r="E1635" s="10">
        <v>5</v>
      </c>
      <c r="F1635" t="s">
        <v>3336</v>
      </c>
      <c r="G1635">
        <v>85</v>
      </c>
      <c r="H1635" t="s">
        <v>69</v>
      </c>
      <c r="I1635" t="s">
        <v>150</v>
      </c>
      <c r="J1635" s="10" t="str">
        <f>VLOOKUP(I1635,Categories!A:B,2,FALSE)</f>
        <v xml:space="preserve">Food &amp; Coff</v>
      </c>
      <c r="K1635" t="s">
        <v>2317</v>
      </c>
      <c r="L1635" s="10" t="str">
        <f>VLOOKUP(K1635,Accounts!A:B,2,FALSE)</f>
        <v xml:space="preserve">Marriage account</v>
      </c>
      <c r="M1635" t="s">
        <v>124</v>
      </c>
      <c r="N1635" s="10"/>
      <c r="O1635" t="s">
        <v>125</v>
      </c>
      <c r="Q1635" t="s">
        <v>126</v>
      </c>
      <c r="R1635" t="s">
        <v>124</v>
      </c>
      <c r="S1635" t="b">
        <v>0</v>
      </c>
      <c r="T1635" t="s">
        <v>124</v>
      </c>
    </row>
    <row r="1636">
      <c r="A1636" t="s">
        <v>3337</v>
      </c>
      <c r="B1636" t="s">
        <v>3331</v>
      </c>
      <c r="C1636" s="2">
        <v>2023</v>
      </c>
      <c r="D1636" s="10">
        <v>5</v>
      </c>
      <c r="E1636" s="10">
        <v>5</v>
      </c>
      <c r="F1636" t="s">
        <v>468</v>
      </c>
      <c r="G1636">
        <v>60</v>
      </c>
      <c r="H1636" t="s">
        <v>69</v>
      </c>
      <c r="I1636" t="s">
        <v>150</v>
      </c>
      <c r="J1636" s="10" t="str">
        <f>VLOOKUP(I1636,Categories!A:B,2,FALSE)</f>
        <v xml:space="preserve">Food &amp; Coff</v>
      </c>
      <c r="K1636" t="s">
        <v>123</v>
      </c>
      <c r="L1636" s="10" t="str">
        <f>VLOOKUP(K1636,Accounts!A:B,2,FALSE)</f>
        <v>KBank</v>
      </c>
      <c r="M1636" t="s">
        <v>124</v>
      </c>
      <c r="N1636" s="10"/>
      <c r="O1636" t="s">
        <v>125</v>
      </c>
      <c r="Q1636" t="s">
        <v>126</v>
      </c>
      <c r="R1636" t="s">
        <v>124</v>
      </c>
      <c r="S1636" t="b">
        <v>0</v>
      </c>
      <c r="T1636" t="s">
        <v>124</v>
      </c>
    </row>
    <row r="1637">
      <c r="A1637" t="s">
        <v>3338</v>
      </c>
      <c r="B1637" t="s">
        <v>3339</v>
      </c>
      <c r="C1637" s="2">
        <v>2023</v>
      </c>
      <c r="D1637" s="10">
        <v>5</v>
      </c>
      <c r="E1637" s="10">
        <v>4</v>
      </c>
      <c r="F1637" t="s">
        <v>1269</v>
      </c>
      <c r="G1637">
        <v>16</v>
      </c>
      <c r="H1637" t="s">
        <v>69</v>
      </c>
      <c r="I1637" t="s">
        <v>1508</v>
      </c>
      <c r="J1637" s="10" t="str">
        <f>VLOOKUP(I1637,Categories!A:B,2,FALSE)</f>
        <v>Other</v>
      </c>
      <c r="K1637" t="s">
        <v>123</v>
      </c>
      <c r="L1637" s="10" t="str">
        <f>VLOOKUP(K1637,Accounts!A:B,2,FALSE)</f>
        <v>KBank</v>
      </c>
      <c r="M1637" t="s">
        <v>124</v>
      </c>
      <c r="N1637" s="10"/>
      <c r="O1637" t="s">
        <v>125</v>
      </c>
      <c r="Q1637" t="s">
        <v>126</v>
      </c>
      <c r="R1637" t="s">
        <v>124</v>
      </c>
      <c r="S1637" t="b">
        <v>0</v>
      </c>
      <c r="T1637" t="s">
        <v>124</v>
      </c>
    </row>
    <row r="1638">
      <c r="A1638" t="s">
        <v>3340</v>
      </c>
      <c r="B1638" t="s">
        <v>3339</v>
      </c>
      <c r="C1638" s="2">
        <v>2023</v>
      </c>
      <c r="D1638" s="10">
        <v>5</v>
      </c>
      <c r="E1638" s="10">
        <v>4</v>
      </c>
      <c r="F1638" t="s">
        <v>2082</v>
      </c>
      <c r="G1638">
        <v>40</v>
      </c>
      <c r="H1638" t="s">
        <v>69</v>
      </c>
      <c r="I1638" t="s">
        <v>150</v>
      </c>
      <c r="J1638" s="10" t="str">
        <f>VLOOKUP(I1638,Categories!A:B,2,FALSE)</f>
        <v xml:space="preserve">Food &amp; Coff</v>
      </c>
      <c r="K1638" t="s">
        <v>2317</v>
      </c>
      <c r="L1638" s="10" t="str">
        <f>VLOOKUP(K1638,Accounts!A:B,2,FALSE)</f>
        <v xml:space="preserve">Marriage account</v>
      </c>
      <c r="M1638" t="s">
        <v>124</v>
      </c>
      <c r="N1638" s="10"/>
      <c r="O1638" t="s">
        <v>125</v>
      </c>
      <c r="Q1638" t="s">
        <v>126</v>
      </c>
      <c r="R1638" t="s">
        <v>124</v>
      </c>
      <c r="S1638" t="b">
        <v>0</v>
      </c>
      <c r="T1638" t="s">
        <v>124</v>
      </c>
    </row>
    <row r="1639">
      <c r="A1639" t="s">
        <v>3341</v>
      </c>
      <c r="B1639" t="s">
        <v>3339</v>
      </c>
      <c r="C1639" s="2">
        <v>2023</v>
      </c>
      <c r="D1639" s="10">
        <v>5</v>
      </c>
      <c r="E1639" s="10">
        <v>4</v>
      </c>
      <c r="F1639" t="s">
        <v>3342</v>
      </c>
      <c r="G1639">
        <v>1800</v>
      </c>
      <c r="H1639" t="s">
        <v>69</v>
      </c>
      <c r="I1639" t="s">
        <v>150</v>
      </c>
      <c r="J1639" s="10" t="str">
        <f>VLOOKUP(I1639,Categories!A:B,2,FALSE)</f>
        <v xml:space="preserve">Food &amp; Coff</v>
      </c>
      <c r="K1639" t="s">
        <v>123</v>
      </c>
      <c r="L1639" s="10" t="str">
        <f>VLOOKUP(K1639,Accounts!A:B,2,FALSE)</f>
        <v>KBank</v>
      </c>
      <c r="M1639" t="s">
        <v>124</v>
      </c>
      <c r="N1639" s="10"/>
      <c r="O1639" t="s">
        <v>3343</v>
      </c>
      <c r="Q1639" t="s">
        <v>126</v>
      </c>
      <c r="R1639" t="s">
        <v>124</v>
      </c>
      <c r="S1639" t="b">
        <v>0</v>
      </c>
      <c r="T1639" t="s">
        <v>124</v>
      </c>
    </row>
    <row r="1640">
      <c r="A1640" t="s">
        <v>3344</v>
      </c>
      <c r="B1640" t="s">
        <v>3339</v>
      </c>
      <c r="C1640" s="2">
        <v>2023</v>
      </c>
      <c r="D1640" s="10">
        <v>5</v>
      </c>
      <c r="E1640" s="10">
        <v>4</v>
      </c>
      <c r="F1640" t="s">
        <v>2075</v>
      </c>
      <c r="G1640">
        <v>57</v>
      </c>
      <c r="H1640" t="s">
        <v>69</v>
      </c>
      <c r="I1640" t="s">
        <v>1508</v>
      </c>
      <c r="J1640" s="10" t="str">
        <f>VLOOKUP(I1640,Categories!A:B,2,FALSE)</f>
        <v>Other</v>
      </c>
      <c r="K1640" t="s">
        <v>123</v>
      </c>
      <c r="L1640" s="10" t="str">
        <f>VLOOKUP(K1640,Accounts!A:B,2,FALSE)</f>
        <v>KBank</v>
      </c>
      <c r="M1640" t="s">
        <v>124</v>
      </c>
      <c r="N1640" s="10"/>
      <c r="O1640" t="s">
        <v>3345</v>
      </c>
      <c r="Q1640" t="s">
        <v>126</v>
      </c>
      <c r="R1640" t="s">
        <v>124</v>
      </c>
      <c r="S1640" t="b">
        <v>0</v>
      </c>
      <c r="T1640" t="s">
        <v>124</v>
      </c>
    </row>
    <row r="1641">
      <c r="A1641" t="s">
        <v>3346</v>
      </c>
      <c r="B1641" t="s">
        <v>3339</v>
      </c>
      <c r="C1641" s="2">
        <v>2023</v>
      </c>
      <c r="D1641" s="10">
        <v>5</v>
      </c>
      <c r="E1641" s="10">
        <v>4</v>
      </c>
      <c r="F1641" t="s">
        <v>1654</v>
      </c>
      <c r="G1641">
        <v>60</v>
      </c>
      <c r="H1641" t="s">
        <v>128</v>
      </c>
      <c r="I1641" t="s">
        <v>136</v>
      </c>
      <c r="J1641" s="10" t="str">
        <f>VLOOKUP(I1641,Categories!A:B,2,FALSE)</f>
        <v>อื่นๆ</v>
      </c>
      <c r="K1641" t="s">
        <v>123</v>
      </c>
      <c r="L1641" s="10" t="str">
        <f>VLOOKUP(K1641,Accounts!A:B,2,FALSE)</f>
        <v>KBank</v>
      </c>
      <c r="M1641" t="s">
        <v>178</v>
      </c>
      <c r="N1641" s="10" t="str">
        <f>VLOOKUP(M1641,Accounts!A:B,2,FALSE)</f>
        <v>SCB</v>
      </c>
      <c r="O1641" t="s">
        <v>125</v>
      </c>
      <c r="Q1641" t="s">
        <v>126</v>
      </c>
      <c r="R1641" t="s">
        <v>124</v>
      </c>
      <c r="S1641" t="b">
        <v>0</v>
      </c>
      <c r="T1641" t="s">
        <v>124</v>
      </c>
    </row>
    <row r="1642">
      <c r="A1642" t="s">
        <v>3347</v>
      </c>
      <c r="B1642" t="s">
        <v>3339</v>
      </c>
      <c r="C1642" s="2">
        <v>2023</v>
      </c>
      <c r="D1642" s="10">
        <v>5</v>
      </c>
      <c r="E1642" s="10">
        <v>4</v>
      </c>
      <c r="F1642" t="s">
        <v>2004</v>
      </c>
      <c r="G1642">
        <v>211</v>
      </c>
      <c r="H1642" t="s">
        <v>69</v>
      </c>
      <c r="I1642" t="s">
        <v>150</v>
      </c>
      <c r="J1642" s="10" t="str">
        <f>VLOOKUP(I1642,Categories!A:B,2,FALSE)</f>
        <v xml:space="preserve">Food &amp; Coff</v>
      </c>
      <c r="K1642" t="s">
        <v>123</v>
      </c>
      <c r="L1642" s="10" t="str">
        <f>VLOOKUP(K1642,Accounts!A:B,2,FALSE)</f>
        <v>KBank</v>
      </c>
      <c r="M1642" t="s">
        <v>124</v>
      </c>
      <c r="N1642" s="10"/>
      <c r="O1642" t="s">
        <v>125</v>
      </c>
      <c r="Q1642" t="s">
        <v>126</v>
      </c>
      <c r="R1642" t="s">
        <v>124</v>
      </c>
      <c r="S1642" t="b">
        <v>0</v>
      </c>
      <c r="T1642" t="s">
        <v>124</v>
      </c>
    </row>
    <row r="1643">
      <c r="A1643" t="s">
        <v>3348</v>
      </c>
      <c r="B1643" t="s">
        <v>3349</v>
      </c>
      <c r="C1643" s="2">
        <v>2023</v>
      </c>
      <c r="D1643" s="10">
        <v>5</v>
      </c>
      <c r="E1643" s="10">
        <v>3</v>
      </c>
      <c r="F1643" t="s">
        <v>3321</v>
      </c>
      <c r="G1643">
        <v>73</v>
      </c>
      <c r="H1643" t="s">
        <v>69</v>
      </c>
      <c r="I1643" t="s">
        <v>150</v>
      </c>
      <c r="J1643" s="10" t="str">
        <f>VLOOKUP(I1643,Categories!A:B,2,FALSE)</f>
        <v xml:space="preserve">Food &amp; Coff</v>
      </c>
      <c r="K1643" t="s">
        <v>123</v>
      </c>
      <c r="L1643" s="10" t="str">
        <f>VLOOKUP(K1643,Accounts!A:B,2,FALSE)</f>
        <v>KBank</v>
      </c>
      <c r="M1643" t="s">
        <v>124</v>
      </c>
      <c r="N1643" s="10"/>
      <c r="O1643" t="s">
        <v>125</v>
      </c>
      <c r="Q1643" t="s">
        <v>126</v>
      </c>
      <c r="R1643" t="s">
        <v>124</v>
      </c>
      <c r="S1643" t="b">
        <v>0</v>
      </c>
      <c r="T1643" t="s">
        <v>124</v>
      </c>
    </row>
    <row r="1644">
      <c r="A1644" t="s">
        <v>3350</v>
      </c>
      <c r="B1644" t="s">
        <v>3349</v>
      </c>
      <c r="C1644" s="2">
        <v>2023</v>
      </c>
      <c r="D1644" s="10">
        <v>5</v>
      </c>
      <c r="E1644" s="10">
        <v>3</v>
      </c>
      <c r="F1644" t="s">
        <v>2699</v>
      </c>
      <c r="G1644">
        <v>50</v>
      </c>
      <c r="H1644" t="s">
        <v>69</v>
      </c>
      <c r="I1644" t="s">
        <v>150</v>
      </c>
      <c r="J1644" s="10" t="str">
        <f>VLOOKUP(I1644,Categories!A:B,2,FALSE)</f>
        <v xml:space="preserve">Food &amp; Coff</v>
      </c>
      <c r="K1644" t="s">
        <v>123</v>
      </c>
      <c r="L1644" s="10" t="str">
        <f>VLOOKUP(K1644,Accounts!A:B,2,FALSE)</f>
        <v>KBank</v>
      </c>
      <c r="M1644" t="s">
        <v>124</v>
      </c>
      <c r="N1644" s="10"/>
      <c r="O1644" t="s">
        <v>125</v>
      </c>
      <c r="Q1644" t="s">
        <v>126</v>
      </c>
      <c r="R1644" t="s">
        <v>124</v>
      </c>
      <c r="S1644" t="b">
        <v>0</v>
      </c>
      <c r="T1644" t="s">
        <v>124</v>
      </c>
    </row>
    <row r="1645">
      <c r="A1645" t="s">
        <v>3351</v>
      </c>
      <c r="B1645" t="s">
        <v>3349</v>
      </c>
      <c r="C1645" s="2">
        <v>2023</v>
      </c>
      <c r="D1645" s="10">
        <v>5</v>
      </c>
      <c r="E1645" s="10">
        <v>3</v>
      </c>
      <c r="F1645" t="s">
        <v>2495</v>
      </c>
      <c r="G1645">
        <v>120</v>
      </c>
      <c r="H1645" t="s">
        <v>69</v>
      </c>
      <c r="I1645" t="s">
        <v>150</v>
      </c>
      <c r="J1645" s="10" t="str">
        <f>VLOOKUP(I1645,Categories!A:B,2,FALSE)</f>
        <v xml:space="preserve">Food &amp; Coff</v>
      </c>
      <c r="K1645" t="s">
        <v>2317</v>
      </c>
      <c r="L1645" s="10" t="str">
        <f>VLOOKUP(K1645,Accounts!A:B,2,FALSE)</f>
        <v xml:space="preserve">Marriage account</v>
      </c>
      <c r="M1645" t="s">
        <v>124</v>
      </c>
      <c r="N1645" s="10"/>
      <c r="O1645" t="s">
        <v>125</v>
      </c>
      <c r="Q1645" t="s">
        <v>126</v>
      </c>
      <c r="R1645" t="s">
        <v>124</v>
      </c>
      <c r="S1645" t="b">
        <v>0</v>
      </c>
      <c r="T1645" t="s">
        <v>124</v>
      </c>
    </row>
    <row r="1646">
      <c r="A1646" t="s">
        <v>3352</v>
      </c>
      <c r="B1646" t="s">
        <v>3349</v>
      </c>
      <c r="C1646" s="2">
        <v>2023</v>
      </c>
      <c r="D1646" s="10">
        <v>5</v>
      </c>
      <c r="E1646" s="10">
        <v>3</v>
      </c>
      <c r="F1646" t="s">
        <v>2495</v>
      </c>
      <c r="G1646">
        <v>120</v>
      </c>
      <c r="H1646" t="s">
        <v>69</v>
      </c>
      <c r="I1646" t="s">
        <v>150</v>
      </c>
      <c r="J1646" s="10" t="str">
        <f>VLOOKUP(I1646,Categories!A:B,2,FALSE)</f>
        <v xml:space="preserve">Food &amp; Coff</v>
      </c>
      <c r="K1646" t="s">
        <v>2317</v>
      </c>
      <c r="L1646" s="10" t="str">
        <f>VLOOKUP(K1646,Accounts!A:B,2,FALSE)</f>
        <v xml:space="preserve">Marriage account</v>
      </c>
      <c r="M1646" t="s">
        <v>124</v>
      </c>
      <c r="N1646" s="10"/>
      <c r="O1646" t="s">
        <v>125</v>
      </c>
      <c r="Q1646" t="s">
        <v>126</v>
      </c>
      <c r="R1646" t="s">
        <v>124</v>
      </c>
      <c r="S1646" t="b">
        <v>0</v>
      </c>
      <c r="T1646" t="s">
        <v>124</v>
      </c>
    </row>
    <row r="1647">
      <c r="A1647" t="s">
        <v>3353</v>
      </c>
      <c r="B1647" t="s">
        <v>3349</v>
      </c>
      <c r="C1647" s="2">
        <v>2023</v>
      </c>
      <c r="D1647" s="10">
        <v>5</v>
      </c>
      <c r="E1647" s="10">
        <v>3</v>
      </c>
      <c r="F1647" t="s">
        <v>668</v>
      </c>
      <c r="G1647">
        <v>264</v>
      </c>
      <c r="H1647" t="s">
        <v>69</v>
      </c>
      <c r="I1647" t="s">
        <v>150</v>
      </c>
      <c r="J1647" s="10" t="str">
        <f>VLOOKUP(I1647,Categories!A:B,2,FALSE)</f>
        <v xml:space="preserve">Food &amp; Coff</v>
      </c>
      <c r="K1647" t="s">
        <v>2317</v>
      </c>
      <c r="L1647" s="10" t="str">
        <f>VLOOKUP(K1647,Accounts!A:B,2,FALSE)</f>
        <v xml:space="preserve">Marriage account</v>
      </c>
      <c r="M1647" t="s">
        <v>124</v>
      </c>
      <c r="N1647" s="10"/>
      <c r="O1647" t="s">
        <v>125</v>
      </c>
      <c r="Q1647" t="s">
        <v>126</v>
      </c>
      <c r="R1647" t="s">
        <v>124</v>
      </c>
      <c r="S1647" t="b">
        <v>0</v>
      </c>
      <c r="T1647" t="s">
        <v>124</v>
      </c>
    </row>
    <row r="1648">
      <c r="A1648" t="s">
        <v>3354</v>
      </c>
      <c r="B1648" t="s">
        <v>3355</v>
      </c>
      <c r="C1648" s="2">
        <v>2023</v>
      </c>
      <c r="D1648" s="10">
        <v>5</v>
      </c>
      <c r="E1648" s="10">
        <v>2</v>
      </c>
      <c r="F1648" t="s">
        <v>2842</v>
      </c>
      <c r="G1648">
        <v>150</v>
      </c>
      <c r="H1648" t="s">
        <v>69</v>
      </c>
      <c r="I1648" t="s">
        <v>150</v>
      </c>
      <c r="J1648" s="10" t="str">
        <f>VLOOKUP(I1648,Categories!A:B,2,FALSE)</f>
        <v xml:space="preserve">Food &amp; Coff</v>
      </c>
      <c r="K1648" t="s">
        <v>2317</v>
      </c>
      <c r="L1648" s="10" t="str">
        <f>VLOOKUP(K1648,Accounts!A:B,2,FALSE)</f>
        <v xml:space="preserve">Marriage account</v>
      </c>
      <c r="M1648" t="s">
        <v>124</v>
      </c>
      <c r="N1648" s="10"/>
      <c r="O1648" t="s">
        <v>125</v>
      </c>
      <c r="Q1648" t="s">
        <v>126</v>
      </c>
      <c r="R1648" t="s">
        <v>124</v>
      </c>
      <c r="S1648" t="b">
        <v>0</v>
      </c>
      <c r="T1648" t="s">
        <v>124</v>
      </c>
    </row>
    <row r="1649">
      <c r="A1649" t="s">
        <v>3356</v>
      </c>
      <c r="B1649" t="s">
        <v>3355</v>
      </c>
      <c r="C1649" s="2">
        <v>2023</v>
      </c>
      <c r="D1649" s="10">
        <v>5</v>
      </c>
      <c r="E1649" s="10">
        <v>2</v>
      </c>
      <c r="F1649" t="s">
        <v>2150</v>
      </c>
      <c r="G1649">
        <v>72</v>
      </c>
      <c r="H1649" t="s">
        <v>69</v>
      </c>
      <c r="I1649" t="s">
        <v>150</v>
      </c>
      <c r="J1649" s="10" t="str">
        <f>VLOOKUP(I1649,Categories!A:B,2,FALSE)</f>
        <v xml:space="preserve">Food &amp; Coff</v>
      </c>
      <c r="K1649" t="s">
        <v>123</v>
      </c>
      <c r="L1649" s="10" t="str">
        <f>VLOOKUP(K1649,Accounts!A:B,2,FALSE)</f>
        <v>KBank</v>
      </c>
      <c r="M1649" t="s">
        <v>124</v>
      </c>
      <c r="N1649" s="10"/>
      <c r="O1649" t="s">
        <v>125</v>
      </c>
      <c r="Q1649" t="s">
        <v>126</v>
      </c>
      <c r="R1649" t="s">
        <v>124</v>
      </c>
      <c r="S1649" t="b">
        <v>0</v>
      </c>
      <c r="T1649" t="s">
        <v>124</v>
      </c>
    </row>
    <row r="1650">
      <c r="A1650" t="s">
        <v>3357</v>
      </c>
      <c r="B1650" t="s">
        <v>3355</v>
      </c>
      <c r="C1650" s="2">
        <v>2023</v>
      </c>
      <c r="D1650" s="10">
        <v>5</v>
      </c>
      <c r="E1650" s="10">
        <v>2</v>
      </c>
      <c r="F1650" t="s">
        <v>599</v>
      </c>
      <c r="G1650">
        <v>50</v>
      </c>
      <c r="H1650" t="s">
        <v>69</v>
      </c>
      <c r="I1650" t="s">
        <v>150</v>
      </c>
      <c r="J1650" s="10" t="str">
        <f>VLOOKUP(I1650,Categories!A:B,2,FALSE)</f>
        <v xml:space="preserve">Food &amp; Coff</v>
      </c>
      <c r="K1650" t="s">
        <v>123</v>
      </c>
      <c r="L1650" s="10" t="str">
        <f>VLOOKUP(K1650,Accounts!A:B,2,FALSE)</f>
        <v>KBank</v>
      </c>
      <c r="M1650" t="s">
        <v>124</v>
      </c>
      <c r="N1650" s="10"/>
      <c r="O1650" t="s">
        <v>125</v>
      </c>
      <c r="Q1650" t="s">
        <v>126</v>
      </c>
      <c r="R1650" t="s">
        <v>124</v>
      </c>
      <c r="S1650" t="b">
        <v>0</v>
      </c>
      <c r="T1650" t="s">
        <v>124</v>
      </c>
    </row>
    <row r="1651">
      <c r="A1651" t="s">
        <v>3358</v>
      </c>
      <c r="B1651" t="s">
        <v>3355</v>
      </c>
      <c r="C1651" s="2">
        <v>2023</v>
      </c>
      <c r="D1651" s="10">
        <v>5</v>
      </c>
      <c r="E1651" s="10">
        <v>2</v>
      </c>
      <c r="F1651" t="s">
        <v>1759</v>
      </c>
      <c r="G1651">
        <v>110</v>
      </c>
      <c r="H1651" t="s">
        <v>69</v>
      </c>
      <c r="I1651" t="s">
        <v>150</v>
      </c>
      <c r="J1651" s="10" t="str">
        <f>VLOOKUP(I1651,Categories!A:B,2,FALSE)</f>
        <v xml:space="preserve">Food &amp; Coff</v>
      </c>
      <c r="K1651" t="s">
        <v>2317</v>
      </c>
      <c r="L1651" s="10" t="str">
        <f>VLOOKUP(K1651,Accounts!A:B,2,FALSE)</f>
        <v xml:space="preserve">Marriage account</v>
      </c>
      <c r="M1651" t="s">
        <v>124</v>
      </c>
      <c r="N1651" s="10"/>
      <c r="O1651" t="s">
        <v>125</v>
      </c>
      <c r="Q1651" t="s">
        <v>126</v>
      </c>
      <c r="R1651" t="s">
        <v>124</v>
      </c>
      <c r="S1651" t="b">
        <v>0</v>
      </c>
      <c r="T1651" t="s">
        <v>124</v>
      </c>
    </row>
    <row r="1652">
      <c r="A1652" t="s">
        <v>3359</v>
      </c>
      <c r="B1652" t="s">
        <v>3360</v>
      </c>
      <c r="C1652" s="2">
        <v>2023</v>
      </c>
      <c r="D1652" s="10">
        <v>5</v>
      </c>
      <c r="E1652" s="10">
        <v>1</v>
      </c>
      <c r="F1652" t="s">
        <v>1137</v>
      </c>
      <c r="G1652">
        <v>89</v>
      </c>
      <c r="H1652" t="s">
        <v>69</v>
      </c>
      <c r="I1652" t="s">
        <v>150</v>
      </c>
      <c r="J1652" s="10" t="str">
        <f>VLOOKUP(I1652,Categories!A:B,2,FALSE)</f>
        <v xml:space="preserve">Food &amp; Coff</v>
      </c>
      <c r="K1652" t="s">
        <v>123</v>
      </c>
      <c r="L1652" s="10" t="str">
        <f>VLOOKUP(K1652,Accounts!A:B,2,FALSE)</f>
        <v>KBank</v>
      </c>
      <c r="M1652" t="s">
        <v>124</v>
      </c>
      <c r="N1652" s="10"/>
      <c r="O1652" t="s">
        <v>3361</v>
      </c>
      <c r="Q1652" t="s">
        <v>126</v>
      </c>
      <c r="R1652" t="s">
        <v>124</v>
      </c>
      <c r="S1652" t="b">
        <v>0</v>
      </c>
      <c r="T1652" t="s">
        <v>124</v>
      </c>
    </row>
    <row r="1653">
      <c r="A1653" t="s">
        <v>3362</v>
      </c>
      <c r="B1653" t="s">
        <v>3360</v>
      </c>
      <c r="C1653" s="2">
        <v>2023</v>
      </c>
      <c r="D1653" s="10">
        <v>5</v>
      </c>
      <c r="E1653" s="10">
        <v>1</v>
      </c>
      <c r="F1653" t="s">
        <v>2246</v>
      </c>
      <c r="G1653">
        <v>199</v>
      </c>
      <c r="H1653" t="s">
        <v>69</v>
      </c>
      <c r="I1653" t="s">
        <v>160</v>
      </c>
      <c r="J1653" s="10" t="str">
        <f>VLOOKUP(I1653,Categories!A:B,2,FALSE)</f>
        <v>Fashion</v>
      </c>
      <c r="K1653" t="s">
        <v>178</v>
      </c>
      <c r="L1653" s="10" t="str">
        <f>VLOOKUP(K1653,Accounts!A:B,2,FALSE)</f>
        <v>SCB</v>
      </c>
      <c r="M1653" t="s">
        <v>124</v>
      </c>
      <c r="N1653" s="10"/>
      <c r="O1653" t="s">
        <v>3363</v>
      </c>
      <c r="Q1653" t="s">
        <v>126</v>
      </c>
      <c r="R1653" t="s">
        <v>124</v>
      </c>
      <c r="S1653" t="b">
        <v>0</v>
      </c>
      <c r="T1653" t="s">
        <v>124</v>
      </c>
    </row>
    <row r="1654">
      <c r="A1654" t="s">
        <v>3364</v>
      </c>
      <c r="B1654" t="s">
        <v>3360</v>
      </c>
      <c r="C1654" s="2">
        <v>2023</v>
      </c>
      <c r="D1654" s="10">
        <v>5</v>
      </c>
      <c r="E1654" s="10">
        <v>1</v>
      </c>
      <c r="F1654" t="s">
        <v>3365</v>
      </c>
      <c r="G1654">
        <v>297</v>
      </c>
      <c r="H1654" t="s">
        <v>69</v>
      </c>
      <c r="I1654" t="s">
        <v>150</v>
      </c>
      <c r="J1654" s="10" t="str">
        <f>VLOOKUP(I1654,Categories!A:B,2,FALSE)</f>
        <v xml:space="preserve">Food &amp; Coff</v>
      </c>
      <c r="K1654" t="s">
        <v>178</v>
      </c>
      <c r="L1654" s="10" t="str">
        <f>VLOOKUP(K1654,Accounts!A:B,2,FALSE)</f>
        <v>SCB</v>
      </c>
      <c r="M1654" t="s">
        <v>124</v>
      </c>
      <c r="N1654" s="10"/>
      <c r="O1654" t="s">
        <v>3366</v>
      </c>
      <c r="Q1654" t="s">
        <v>126</v>
      </c>
      <c r="R1654" t="s">
        <v>124</v>
      </c>
      <c r="S1654" t="b">
        <v>0</v>
      </c>
      <c r="T1654" t="s">
        <v>124</v>
      </c>
    </row>
    <row r="1655">
      <c r="A1655" t="s">
        <v>3367</v>
      </c>
      <c r="B1655" t="s">
        <v>3360</v>
      </c>
      <c r="C1655" s="2">
        <v>2023</v>
      </c>
      <c r="D1655" s="10">
        <v>5</v>
      </c>
      <c r="E1655" s="10">
        <v>1</v>
      </c>
      <c r="F1655" t="s">
        <v>3368</v>
      </c>
      <c r="G1655">
        <v>5000</v>
      </c>
      <c r="H1655" t="s">
        <v>128</v>
      </c>
      <c r="I1655" t="s">
        <v>136</v>
      </c>
      <c r="J1655" s="10" t="str">
        <f>VLOOKUP(I1655,Categories!A:B,2,FALSE)</f>
        <v>อื่นๆ</v>
      </c>
      <c r="K1655" t="s">
        <v>3248</v>
      </c>
      <c r="L1655" s="10" t="str">
        <f>VLOOKUP(K1655,Accounts!A:B,2,FALSE)</f>
        <v>Loan</v>
      </c>
      <c r="M1655" t="s">
        <v>178</v>
      </c>
      <c r="N1655" s="10" t="str">
        <f>VLOOKUP(M1655,Accounts!A:B,2,FALSE)</f>
        <v>SCB</v>
      </c>
      <c r="O1655" t="s">
        <v>3249</v>
      </c>
      <c r="Q1655" t="s">
        <v>126</v>
      </c>
      <c r="R1655" t="s">
        <v>124</v>
      </c>
      <c r="S1655" t="b">
        <v>0</v>
      </c>
      <c r="T1655" t="s">
        <v>124</v>
      </c>
    </row>
    <row r="1656">
      <c r="A1656" t="s">
        <v>3369</v>
      </c>
      <c r="B1656" t="s">
        <v>3360</v>
      </c>
      <c r="C1656" s="2">
        <v>2023</v>
      </c>
      <c r="D1656" s="10">
        <v>5</v>
      </c>
      <c r="E1656" s="10">
        <v>1</v>
      </c>
      <c r="F1656" t="s">
        <v>476</v>
      </c>
      <c r="G1656">
        <v>13500</v>
      </c>
      <c r="H1656" t="s">
        <v>128</v>
      </c>
      <c r="I1656" t="s">
        <v>136</v>
      </c>
      <c r="J1656" s="10" t="str">
        <f>VLOOKUP(I1656,Categories!A:B,2,FALSE)</f>
        <v>อื่นๆ</v>
      </c>
      <c r="K1656" t="s">
        <v>178</v>
      </c>
      <c r="L1656" s="10" t="str">
        <f>VLOOKUP(K1656,Accounts!A:B,2,FALSE)</f>
        <v>SCB</v>
      </c>
      <c r="M1656" t="s">
        <v>2317</v>
      </c>
      <c r="N1656" s="10" t="str">
        <f>VLOOKUP(M1656,Accounts!A:B,2,FALSE)</f>
        <v xml:space="preserve">Marriage account</v>
      </c>
      <c r="O1656" t="s">
        <v>125</v>
      </c>
      <c r="Q1656" t="s">
        <v>126</v>
      </c>
      <c r="R1656" t="s">
        <v>124</v>
      </c>
      <c r="S1656" t="b">
        <v>0</v>
      </c>
      <c r="T1656" t="s">
        <v>124</v>
      </c>
    </row>
    <row r="1657">
      <c r="A1657" t="s">
        <v>3370</v>
      </c>
      <c r="B1657" t="s">
        <v>3371</v>
      </c>
      <c r="C1657" s="2">
        <v>2023</v>
      </c>
      <c r="D1657" s="10">
        <v>4</v>
      </c>
      <c r="E1657" s="10">
        <v>30</v>
      </c>
      <c r="F1657" t="s">
        <v>2842</v>
      </c>
      <c r="G1657">
        <v>40</v>
      </c>
      <c r="H1657" t="s">
        <v>69</v>
      </c>
      <c r="I1657" t="s">
        <v>150</v>
      </c>
      <c r="J1657" s="10" t="str">
        <f>VLOOKUP(I1657,Categories!A:B,2,FALSE)</f>
        <v xml:space="preserve">Food &amp; Coff</v>
      </c>
      <c r="K1657" t="s">
        <v>178</v>
      </c>
      <c r="L1657" s="10" t="str">
        <f>VLOOKUP(K1657,Accounts!A:B,2,FALSE)</f>
        <v>SCB</v>
      </c>
      <c r="M1657" t="s">
        <v>124</v>
      </c>
      <c r="N1657" s="10"/>
      <c r="O1657" t="s">
        <v>125</v>
      </c>
      <c r="Q1657" t="s">
        <v>126</v>
      </c>
      <c r="R1657" t="s">
        <v>124</v>
      </c>
      <c r="S1657" t="b">
        <v>0</v>
      </c>
      <c r="T1657" t="s">
        <v>124</v>
      </c>
    </row>
    <row r="1658">
      <c r="A1658" t="s">
        <v>3372</v>
      </c>
      <c r="B1658" t="s">
        <v>3371</v>
      </c>
      <c r="C1658" s="2">
        <v>2023</v>
      </c>
      <c r="D1658" s="10">
        <v>4</v>
      </c>
      <c r="E1658" s="10">
        <v>30</v>
      </c>
      <c r="F1658" t="s">
        <v>1645</v>
      </c>
      <c r="G1658">
        <v>4964</v>
      </c>
      <c r="H1658" t="s">
        <v>69</v>
      </c>
      <c r="I1658" t="s">
        <v>1679</v>
      </c>
      <c r="J1658" s="10" t="str">
        <f>VLOOKUP(I1658,Categories!A:B,2,FALSE)</f>
        <v xml:space="preserve">Condo stuff</v>
      </c>
      <c r="K1658" t="s">
        <v>2317</v>
      </c>
      <c r="L1658" s="10" t="str">
        <f>VLOOKUP(K1658,Accounts!A:B,2,FALSE)</f>
        <v xml:space="preserve">Marriage account</v>
      </c>
      <c r="M1658" t="s">
        <v>124</v>
      </c>
      <c r="N1658" s="10"/>
      <c r="O1658" t="s">
        <v>125</v>
      </c>
      <c r="Q1658" t="s">
        <v>126</v>
      </c>
      <c r="R1658" t="s">
        <v>124</v>
      </c>
      <c r="S1658" t="b">
        <v>0</v>
      </c>
      <c r="T1658" t="s">
        <v>124</v>
      </c>
    </row>
    <row r="1659">
      <c r="A1659" t="s">
        <v>3373</v>
      </c>
      <c r="B1659" t="s">
        <v>3371</v>
      </c>
      <c r="C1659" s="2">
        <v>2023</v>
      </c>
      <c r="D1659" s="10">
        <v>4</v>
      </c>
      <c r="E1659" s="10">
        <v>30</v>
      </c>
      <c r="F1659" t="s">
        <v>1094</v>
      </c>
      <c r="G1659">
        <v>920</v>
      </c>
      <c r="H1659" t="s">
        <v>69</v>
      </c>
      <c r="I1659" t="s">
        <v>150</v>
      </c>
      <c r="J1659" s="10" t="str">
        <f>VLOOKUP(I1659,Categories!A:B,2,FALSE)</f>
        <v xml:space="preserve">Food &amp; Coff</v>
      </c>
      <c r="K1659" t="s">
        <v>2317</v>
      </c>
      <c r="L1659" s="10" t="str">
        <f>VLOOKUP(K1659,Accounts!A:B,2,FALSE)</f>
        <v xml:space="preserve">Marriage account</v>
      </c>
      <c r="M1659" t="s">
        <v>124</v>
      </c>
      <c r="N1659" s="10"/>
      <c r="O1659" t="s">
        <v>125</v>
      </c>
      <c r="Q1659" t="s">
        <v>126</v>
      </c>
      <c r="R1659" t="s">
        <v>124</v>
      </c>
      <c r="S1659" t="b">
        <v>0</v>
      </c>
      <c r="T1659" t="s">
        <v>124</v>
      </c>
    </row>
    <row r="1660">
      <c r="A1660" t="s">
        <v>3374</v>
      </c>
      <c r="B1660" t="s">
        <v>3371</v>
      </c>
      <c r="C1660" s="2">
        <v>2023</v>
      </c>
      <c r="D1660" s="10">
        <v>4</v>
      </c>
      <c r="E1660" s="10">
        <v>30</v>
      </c>
      <c r="F1660" t="s">
        <v>1670</v>
      </c>
      <c r="G1660">
        <v>4019</v>
      </c>
      <c r="H1660" t="s">
        <v>128</v>
      </c>
      <c r="I1660" t="s">
        <v>136</v>
      </c>
      <c r="J1660" s="10" t="str">
        <f>VLOOKUP(I1660,Categories!A:B,2,FALSE)</f>
        <v>อื่นๆ</v>
      </c>
      <c r="K1660" t="s">
        <v>178</v>
      </c>
      <c r="L1660" s="10" t="str">
        <f>VLOOKUP(K1660,Accounts!A:B,2,FALSE)</f>
        <v>SCB</v>
      </c>
      <c r="M1660" t="s">
        <v>130</v>
      </c>
      <c r="N1660" s="10" t="str">
        <f>VLOOKUP(M1660,Accounts!A:B,2,FALSE)</f>
        <v xml:space="preserve">KTC JCB</v>
      </c>
      <c r="O1660" t="s">
        <v>3375</v>
      </c>
      <c r="Q1660" t="s">
        <v>126</v>
      </c>
      <c r="R1660" t="s">
        <v>124</v>
      </c>
      <c r="S1660" t="b">
        <v>0</v>
      </c>
      <c r="T1660" t="s">
        <v>124</v>
      </c>
    </row>
    <row r="1661">
      <c r="A1661" t="s">
        <v>3376</v>
      </c>
      <c r="B1661" t="s">
        <v>3371</v>
      </c>
      <c r="C1661" s="2">
        <v>2023</v>
      </c>
      <c r="D1661" s="10">
        <v>4</v>
      </c>
      <c r="E1661" s="10">
        <v>30</v>
      </c>
      <c r="F1661" t="s">
        <v>3377</v>
      </c>
      <c r="G1661">
        <v>569</v>
      </c>
      <c r="H1661" t="s">
        <v>128</v>
      </c>
      <c r="I1661" t="s">
        <v>136</v>
      </c>
      <c r="J1661" s="10" t="str">
        <f>VLOOKUP(I1661,Categories!A:B,2,FALSE)</f>
        <v>อื่นๆ</v>
      </c>
      <c r="K1661" t="s">
        <v>178</v>
      </c>
      <c r="L1661" s="10" t="str">
        <f>VLOOKUP(K1661,Accounts!A:B,2,FALSE)</f>
        <v>SCB</v>
      </c>
      <c r="M1661" t="s">
        <v>131</v>
      </c>
      <c r="N1661" s="10" t="str">
        <f>VLOOKUP(M1661,Accounts!A:B,2,FALSE)</f>
        <v xml:space="preserve">Advance Paid</v>
      </c>
      <c r="O1661" t="s">
        <v>3378</v>
      </c>
      <c r="Q1661" t="s">
        <v>126</v>
      </c>
      <c r="R1661" t="s">
        <v>124</v>
      </c>
      <c r="S1661" t="b">
        <v>0</v>
      </c>
      <c r="T1661" t="s">
        <v>124</v>
      </c>
    </row>
    <row r="1662">
      <c r="A1662" t="s">
        <v>3379</v>
      </c>
      <c r="B1662" t="s">
        <v>3371</v>
      </c>
      <c r="C1662" s="2">
        <v>2023</v>
      </c>
      <c r="D1662" s="10">
        <v>4</v>
      </c>
      <c r="E1662" s="10">
        <v>30</v>
      </c>
      <c r="F1662" t="s">
        <v>2445</v>
      </c>
      <c r="G1662">
        <v>1277</v>
      </c>
      <c r="H1662" t="s">
        <v>69</v>
      </c>
      <c r="I1662" t="s">
        <v>122</v>
      </c>
      <c r="J1662" s="10" t="str">
        <f>VLOOKUP(I1662,Categories!A:B,2,FALSE)</f>
        <v>Other</v>
      </c>
      <c r="K1662" t="s">
        <v>178</v>
      </c>
      <c r="L1662" s="10" t="str">
        <f>VLOOKUP(K1662,Accounts!A:B,2,FALSE)</f>
        <v>SCB</v>
      </c>
      <c r="M1662" t="s">
        <v>124</v>
      </c>
      <c r="N1662" s="10"/>
      <c r="O1662" t="s">
        <v>3380</v>
      </c>
      <c r="Q1662" t="s">
        <v>126</v>
      </c>
      <c r="R1662" t="s">
        <v>124</v>
      </c>
      <c r="S1662" t="b">
        <v>0</v>
      </c>
      <c r="T1662" t="s">
        <v>124</v>
      </c>
    </row>
    <row r="1663">
      <c r="A1663" t="s">
        <v>3381</v>
      </c>
      <c r="B1663" t="s">
        <v>3371</v>
      </c>
      <c r="C1663" s="2">
        <v>2023</v>
      </c>
      <c r="D1663" s="10">
        <v>4</v>
      </c>
      <c r="E1663" s="10">
        <v>30</v>
      </c>
      <c r="F1663" t="s">
        <v>2884</v>
      </c>
      <c r="G1663">
        <v>1215</v>
      </c>
      <c r="H1663" t="s">
        <v>69</v>
      </c>
      <c r="I1663" t="s">
        <v>614</v>
      </c>
      <c r="J1663" s="10" t="str">
        <f>VLOOKUP(I1663,Categories!A:B,2,FALSE)</f>
        <v>Books</v>
      </c>
      <c r="K1663" t="s">
        <v>178</v>
      </c>
      <c r="L1663" s="10" t="str">
        <f>VLOOKUP(K1663,Accounts!A:B,2,FALSE)</f>
        <v>SCB</v>
      </c>
      <c r="M1663" t="s">
        <v>124</v>
      </c>
      <c r="N1663" s="10"/>
      <c r="O1663" t="s">
        <v>3382</v>
      </c>
      <c r="Q1663" t="s">
        <v>126</v>
      </c>
      <c r="R1663" t="s">
        <v>124</v>
      </c>
      <c r="S1663" t="b">
        <v>0</v>
      </c>
      <c r="T1663" t="s">
        <v>124</v>
      </c>
    </row>
    <row r="1664">
      <c r="A1664" t="s">
        <v>3383</v>
      </c>
      <c r="B1664" t="s">
        <v>3371</v>
      </c>
      <c r="C1664" s="2">
        <v>2023</v>
      </c>
      <c r="D1664" s="10">
        <v>4</v>
      </c>
      <c r="E1664" s="10">
        <v>30</v>
      </c>
      <c r="F1664" t="s">
        <v>3150</v>
      </c>
      <c r="G1664">
        <v>420</v>
      </c>
      <c r="H1664" t="s">
        <v>128</v>
      </c>
      <c r="I1664" t="s">
        <v>136</v>
      </c>
      <c r="J1664" s="10" t="str">
        <f>VLOOKUP(I1664,Categories!A:B,2,FALSE)</f>
        <v>อื่นๆ</v>
      </c>
      <c r="K1664" t="s">
        <v>766</v>
      </c>
      <c r="L1664" s="10" t="str">
        <f>VLOOKUP(K1664,Accounts!A:B,2,FALSE)</f>
        <v>KRUNGSRI</v>
      </c>
      <c r="M1664" t="s">
        <v>743</v>
      </c>
      <c r="N1664" s="10" t="str">
        <f>VLOOKUP(M1664,Accounts!A:B,2,FALSE)</f>
        <v>HOMEPRO</v>
      </c>
      <c r="O1664" t="s">
        <v>125</v>
      </c>
      <c r="Q1664" t="s">
        <v>126</v>
      </c>
      <c r="R1664" t="s">
        <v>124</v>
      </c>
      <c r="S1664" t="b">
        <v>0</v>
      </c>
      <c r="T1664" t="s">
        <v>124</v>
      </c>
    </row>
    <row r="1665">
      <c r="A1665" t="s">
        <v>3384</v>
      </c>
      <c r="B1665" t="s">
        <v>3371</v>
      </c>
      <c r="C1665" s="2">
        <v>2023</v>
      </c>
      <c r="D1665" s="10">
        <v>4</v>
      </c>
      <c r="E1665" s="10">
        <v>30</v>
      </c>
      <c r="F1665" t="s">
        <v>2447</v>
      </c>
      <c r="G1665">
        <v>231</v>
      </c>
      <c r="H1665" t="s">
        <v>69</v>
      </c>
      <c r="I1665" t="s">
        <v>1903</v>
      </c>
      <c r="J1665" s="10" t="str">
        <f>VLOOKUP(I1665,Categories!A:B,2,FALSE)</f>
        <v xml:space="preserve">Monthly subscription</v>
      </c>
      <c r="K1665" t="s">
        <v>743</v>
      </c>
      <c r="L1665" s="10" t="str">
        <f>VLOOKUP(K1665,Accounts!A:B,2,FALSE)</f>
        <v>HOMEPRO</v>
      </c>
      <c r="M1665" t="s">
        <v>124</v>
      </c>
      <c r="N1665" s="10"/>
      <c r="O1665" t="s">
        <v>125</v>
      </c>
      <c r="Q1665" t="s">
        <v>126</v>
      </c>
      <c r="R1665" t="s">
        <v>124</v>
      </c>
      <c r="S1665" t="b">
        <v>0</v>
      </c>
      <c r="T1665" t="s">
        <v>124</v>
      </c>
    </row>
    <row r="1666">
      <c r="A1666" t="s">
        <v>3385</v>
      </c>
      <c r="B1666" t="s">
        <v>3371</v>
      </c>
      <c r="C1666" s="2">
        <v>2023</v>
      </c>
      <c r="D1666" s="10">
        <v>4</v>
      </c>
      <c r="E1666" s="10">
        <v>30</v>
      </c>
      <c r="F1666" t="s">
        <v>603</v>
      </c>
      <c r="G1666">
        <v>3000</v>
      </c>
      <c r="H1666" t="s">
        <v>128</v>
      </c>
      <c r="I1666" t="s">
        <v>136</v>
      </c>
      <c r="J1666" s="10" t="str">
        <f>VLOOKUP(I1666,Categories!A:B,2,FALSE)</f>
        <v>อื่นๆ</v>
      </c>
      <c r="K1666" t="s">
        <v>178</v>
      </c>
      <c r="L1666" s="10" t="str">
        <f>VLOOKUP(K1666,Accounts!A:B,2,FALSE)</f>
        <v>SCB</v>
      </c>
      <c r="M1666" t="s">
        <v>2317</v>
      </c>
      <c r="N1666" s="10" t="str">
        <f>VLOOKUP(M1666,Accounts!A:B,2,FALSE)</f>
        <v xml:space="preserve">Marriage account</v>
      </c>
      <c r="O1666" t="s">
        <v>125</v>
      </c>
      <c r="Q1666" t="s">
        <v>126</v>
      </c>
      <c r="R1666" t="s">
        <v>124</v>
      </c>
      <c r="S1666" t="b">
        <v>0</v>
      </c>
      <c r="T1666" t="s">
        <v>124</v>
      </c>
    </row>
    <row r="1667">
      <c r="A1667" t="s">
        <v>3386</v>
      </c>
      <c r="B1667" t="s">
        <v>3371</v>
      </c>
      <c r="C1667" s="2">
        <v>2023</v>
      </c>
      <c r="D1667" s="10">
        <v>4</v>
      </c>
      <c r="E1667" s="10">
        <v>30</v>
      </c>
      <c r="F1667" t="s">
        <v>603</v>
      </c>
      <c r="G1667">
        <v>1600</v>
      </c>
      <c r="H1667" t="s">
        <v>69</v>
      </c>
      <c r="I1667" t="s">
        <v>3276</v>
      </c>
      <c r="J1667" s="10" t="str">
        <f>VLOOKUP(I1667,Categories!A:B,2,FALSE)</f>
        <v>Fuel</v>
      </c>
      <c r="K1667" t="s">
        <v>2317</v>
      </c>
      <c r="L1667" s="10" t="str">
        <f>VLOOKUP(K1667,Accounts!A:B,2,FALSE)</f>
        <v xml:space="preserve">Marriage account</v>
      </c>
      <c r="M1667" t="s">
        <v>124</v>
      </c>
      <c r="N1667" s="10"/>
      <c r="O1667" t="s">
        <v>125</v>
      </c>
      <c r="Q1667" t="s">
        <v>126</v>
      </c>
      <c r="R1667" t="s">
        <v>124</v>
      </c>
      <c r="S1667" t="b">
        <v>0</v>
      </c>
      <c r="T1667" t="s">
        <v>124</v>
      </c>
    </row>
    <row r="1668">
      <c r="A1668" t="s">
        <v>3387</v>
      </c>
      <c r="B1668" t="s">
        <v>3371</v>
      </c>
      <c r="C1668" s="2">
        <v>2023</v>
      </c>
      <c r="D1668" s="10">
        <v>4</v>
      </c>
      <c r="E1668" s="10">
        <v>30</v>
      </c>
      <c r="F1668" t="s">
        <v>280</v>
      </c>
      <c r="G1668">
        <v>30000</v>
      </c>
      <c r="H1668" t="s">
        <v>128</v>
      </c>
      <c r="I1668" t="s">
        <v>136</v>
      </c>
      <c r="J1668" s="10" t="str">
        <f>VLOOKUP(I1668,Categories!A:B,2,FALSE)</f>
        <v>อื่นๆ</v>
      </c>
      <c r="K1668" t="s">
        <v>178</v>
      </c>
      <c r="L1668" s="10" t="str">
        <f>VLOOKUP(K1668,Accounts!A:B,2,FALSE)</f>
        <v>SCB</v>
      </c>
      <c r="M1668" t="s">
        <v>123</v>
      </c>
      <c r="N1668" s="10" t="str">
        <f>VLOOKUP(M1668,Accounts!A:B,2,FALSE)</f>
        <v>KBank</v>
      </c>
      <c r="O1668" t="s">
        <v>125</v>
      </c>
      <c r="Q1668" t="s">
        <v>126</v>
      </c>
      <c r="R1668" t="s">
        <v>124</v>
      </c>
      <c r="S1668" t="b">
        <v>0</v>
      </c>
      <c r="T1668" t="s">
        <v>124</v>
      </c>
    </row>
    <row r="1669">
      <c r="A1669" t="s">
        <v>3388</v>
      </c>
      <c r="B1669" t="s">
        <v>3371</v>
      </c>
      <c r="C1669" s="2">
        <v>2023</v>
      </c>
      <c r="D1669" s="10">
        <v>4</v>
      </c>
      <c r="E1669" s="10">
        <v>30</v>
      </c>
      <c r="F1669" t="s">
        <v>280</v>
      </c>
      <c r="G1669">
        <v>3190</v>
      </c>
      <c r="H1669" t="s">
        <v>128</v>
      </c>
      <c r="I1669" t="s">
        <v>136</v>
      </c>
      <c r="J1669" s="10" t="str">
        <f>VLOOKUP(I1669,Categories!A:B,2,FALSE)</f>
        <v>อื่นๆ</v>
      </c>
      <c r="K1669" t="s">
        <v>123</v>
      </c>
      <c r="L1669" s="10" t="str">
        <f>VLOOKUP(K1669,Accounts!A:B,2,FALSE)</f>
        <v>KBank</v>
      </c>
      <c r="M1669" t="s">
        <v>2862</v>
      </c>
      <c r="N1669" s="10" t="str">
        <f>VLOOKUP(M1669,Accounts!A:B,2,FALSE)</f>
        <v xml:space="preserve">Kbank onesiam</v>
      </c>
      <c r="O1669" t="s">
        <v>125</v>
      </c>
      <c r="Q1669" t="s">
        <v>126</v>
      </c>
      <c r="R1669" t="s">
        <v>124</v>
      </c>
      <c r="S1669" t="b">
        <v>0</v>
      </c>
      <c r="T1669" t="s">
        <v>124</v>
      </c>
    </row>
    <row r="1670">
      <c r="A1670" t="s">
        <v>3389</v>
      </c>
      <c r="B1670" t="s">
        <v>3371</v>
      </c>
      <c r="C1670" s="2">
        <v>2023</v>
      </c>
      <c r="D1670" s="10">
        <v>4</v>
      </c>
      <c r="E1670" s="10">
        <v>30</v>
      </c>
      <c r="F1670" t="s">
        <v>3390</v>
      </c>
      <c r="G1670">
        <v>657</v>
      </c>
      <c r="H1670" t="s">
        <v>69</v>
      </c>
      <c r="I1670" t="s">
        <v>152</v>
      </c>
      <c r="J1670" s="10" t="str">
        <f>VLOOKUP(I1670,Categories!A:B,2,FALSE)</f>
        <v xml:space="preserve">Office Suit</v>
      </c>
      <c r="K1670" t="s">
        <v>178</v>
      </c>
      <c r="L1670" s="10" t="str">
        <f>VLOOKUP(K1670,Accounts!A:B,2,FALSE)</f>
        <v>SCB</v>
      </c>
      <c r="M1670" t="s">
        <v>124</v>
      </c>
      <c r="N1670" s="10"/>
      <c r="O1670" t="s">
        <v>125</v>
      </c>
      <c r="Q1670" t="s">
        <v>126</v>
      </c>
      <c r="R1670" t="s">
        <v>124</v>
      </c>
      <c r="S1670" t="b">
        <v>0</v>
      </c>
      <c r="T1670" t="s">
        <v>124</v>
      </c>
    </row>
    <row r="1671">
      <c r="A1671" t="s">
        <v>3391</v>
      </c>
      <c r="B1671" t="s">
        <v>3371</v>
      </c>
      <c r="C1671" s="2">
        <v>2023</v>
      </c>
      <c r="D1671" s="10">
        <v>4</v>
      </c>
      <c r="E1671" s="10">
        <v>30</v>
      </c>
      <c r="F1671" t="s">
        <v>3392</v>
      </c>
      <c r="G1671">
        <v>1819.9300000000001</v>
      </c>
      <c r="H1671" t="s">
        <v>206</v>
      </c>
      <c r="I1671" t="s">
        <v>254</v>
      </c>
      <c r="J1671" s="10" t="str">
        <f>VLOOKUP(I1671,Categories!A:B,2,FALSE)</f>
        <v xml:space="preserve">Modified Bal.</v>
      </c>
      <c r="K1671" t="s">
        <v>747</v>
      </c>
      <c r="L1671" s="10" t="str">
        <f>VLOOKUP(K1671,Accounts!A:B,2,FALSE)</f>
        <v xml:space="preserve">UOB world</v>
      </c>
      <c r="M1671" t="s">
        <v>124</v>
      </c>
      <c r="N1671" s="10"/>
      <c r="O1671" t="s">
        <v>255</v>
      </c>
      <c r="Q1671" t="s">
        <v>126</v>
      </c>
      <c r="R1671" t="s">
        <v>124</v>
      </c>
      <c r="S1671" t="b">
        <v>0</v>
      </c>
      <c r="T1671" t="s">
        <v>124</v>
      </c>
    </row>
    <row r="1672">
      <c r="A1672" t="s">
        <v>3393</v>
      </c>
      <c r="B1672" t="s">
        <v>3371</v>
      </c>
      <c r="C1672" s="2">
        <v>2023</v>
      </c>
      <c r="D1672" s="10">
        <v>4</v>
      </c>
      <c r="E1672" s="10">
        <v>30</v>
      </c>
      <c r="F1672" t="s">
        <v>2152</v>
      </c>
      <c r="G1672">
        <v>368.93000000000001</v>
      </c>
      <c r="H1672" t="s">
        <v>69</v>
      </c>
      <c r="I1672" t="s">
        <v>144</v>
      </c>
      <c r="J1672" s="10" t="str">
        <f>VLOOKUP(I1672,Categories!A:B,2,FALSE)</f>
        <v xml:space="preserve">Family paid</v>
      </c>
      <c r="K1672" t="s">
        <v>178</v>
      </c>
      <c r="L1672" s="10" t="str">
        <f>VLOOKUP(K1672,Accounts!A:B,2,FALSE)</f>
        <v>SCB</v>
      </c>
      <c r="M1672" t="s">
        <v>124</v>
      </c>
      <c r="N1672" s="10"/>
      <c r="O1672" t="s">
        <v>125</v>
      </c>
      <c r="Q1672" t="s">
        <v>126</v>
      </c>
      <c r="R1672" t="s">
        <v>124</v>
      </c>
      <c r="S1672" t="b">
        <v>0</v>
      </c>
      <c r="T1672" t="s">
        <v>124</v>
      </c>
    </row>
    <row r="1673">
      <c r="A1673" t="s">
        <v>3394</v>
      </c>
      <c r="B1673" t="s">
        <v>3371</v>
      </c>
      <c r="C1673" s="2">
        <v>2023</v>
      </c>
      <c r="D1673" s="10">
        <v>4</v>
      </c>
      <c r="E1673" s="10">
        <v>30</v>
      </c>
      <c r="F1673" t="s">
        <v>2972</v>
      </c>
      <c r="G1673">
        <v>361.35000000000002</v>
      </c>
      <c r="H1673" t="s">
        <v>69</v>
      </c>
      <c r="I1673" t="s">
        <v>1903</v>
      </c>
      <c r="J1673" s="10" t="str">
        <f>VLOOKUP(I1673,Categories!A:B,2,FALSE)</f>
        <v xml:space="preserve">Monthly subscription</v>
      </c>
      <c r="K1673" t="s">
        <v>178</v>
      </c>
      <c r="L1673" s="10" t="str">
        <f>VLOOKUP(K1673,Accounts!A:B,2,FALSE)</f>
        <v>SCB</v>
      </c>
      <c r="M1673" t="s">
        <v>124</v>
      </c>
      <c r="N1673" s="10"/>
      <c r="O1673" t="s">
        <v>125</v>
      </c>
      <c r="Q1673" t="s">
        <v>126</v>
      </c>
      <c r="R1673" t="s">
        <v>124</v>
      </c>
      <c r="S1673" t="b">
        <v>0</v>
      </c>
      <c r="T1673" t="s">
        <v>124</v>
      </c>
    </row>
    <row r="1674">
      <c r="A1674" t="s">
        <v>3395</v>
      </c>
      <c r="B1674" t="s">
        <v>3371</v>
      </c>
      <c r="C1674" s="2">
        <v>2023</v>
      </c>
      <c r="D1674" s="10">
        <v>4</v>
      </c>
      <c r="E1674" s="10">
        <v>30</v>
      </c>
      <c r="F1674" t="s">
        <v>2972</v>
      </c>
      <c r="G1674">
        <v>1000</v>
      </c>
      <c r="H1674" t="s">
        <v>128</v>
      </c>
      <c r="I1674" t="s">
        <v>136</v>
      </c>
      <c r="J1674" s="10" t="str">
        <f>VLOOKUP(I1674,Categories!A:B,2,FALSE)</f>
        <v>อื่นๆ</v>
      </c>
      <c r="K1674" t="s">
        <v>178</v>
      </c>
      <c r="L1674" s="10" t="str">
        <f>VLOOKUP(K1674,Accounts!A:B,2,FALSE)</f>
        <v>SCB</v>
      </c>
      <c r="M1674" t="s">
        <v>2317</v>
      </c>
      <c r="N1674" s="10" t="str">
        <f>VLOOKUP(M1674,Accounts!A:B,2,FALSE)</f>
        <v xml:space="preserve">Marriage account</v>
      </c>
      <c r="O1674" t="s">
        <v>125</v>
      </c>
      <c r="Q1674" t="s">
        <v>126</v>
      </c>
      <c r="R1674" t="s">
        <v>124</v>
      </c>
      <c r="S1674" t="b">
        <v>0</v>
      </c>
      <c r="T1674" t="s">
        <v>124</v>
      </c>
    </row>
    <row r="1675">
      <c r="A1675" t="s">
        <v>3396</v>
      </c>
      <c r="B1675" t="s">
        <v>3371</v>
      </c>
      <c r="C1675" s="2">
        <v>2023</v>
      </c>
      <c r="D1675" s="10">
        <v>4</v>
      </c>
      <c r="E1675" s="10">
        <v>30</v>
      </c>
      <c r="F1675" t="s">
        <v>3397</v>
      </c>
      <c r="G1675">
        <v>1439</v>
      </c>
      <c r="H1675" t="s">
        <v>69</v>
      </c>
      <c r="I1675" t="s">
        <v>150</v>
      </c>
      <c r="J1675" s="10" t="str">
        <f>VLOOKUP(I1675,Categories!A:B,2,FALSE)</f>
        <v xml:space="preserve">Food &amp; Coff</v>
      </c>
      <c r="K1675" t="s">
        <v>2317</v>
      </c>
      <c r="L1675" s="10" t="str">
        <f>VLOOKUP(K1675,Accounts!A:B,2,FALSE)</f>
        <v xml:space="preserve">Marriage account</v>
      </c>
      <c r="M1675" t="s">
        <v>124</v>
      </c>
      <c r="N1675" s="10"/>
      <c r="O1675" t="s">
        <v>125</v>
      </c>
      <c r="Q1675" t="s">
        <v>126</v>
      </c>
      <c r="R1675" t="s">
        <v>124</v>
      </c>
      <c r="S1675" t="b">
        <v>0</v>
      </c>
      <c r="T1675" t="s">
        <v>124</v>
      </c>
    </row>
    <row r="1676">
      <c r="A1676" t="s">
        <v>3398</v>
      </c>
      <c r="B1676" t="s">
        <v>3371</v>
      </c>
      <c r="C1676" s="2">
        <v>2023</v>
      </c>
      <c r="D1676" s="10">
        <v>4</v>
      </c>
      <c r="E1676" s="10">
        <v>30</v>
      </c>
      <c r="F1676" t="s">
        <v>3397</v>
      </c>
      <c r="G1676">
        <v>500</v>
      </c>
      <c r="H1676" t="s">
        <v>69</v>
      </c>
      <c r="I1676" t="s">
        <v>1882</v>
      </c>
      <c r="J1676" s="10" t="str">
        <f>VLOOKUP(I1676,Categories!A:B,2,FALSE)</f>
        <v>utility</v>
      </c>
      <c r="K1676" t="s">
        <v>2317</v>
      </c>
      <c r="L1676" s="10" t="str">
        <f>VLOOKUP(K1676,Accounts!A:B,2,FALSE)</f>
        <v xml:space="preserve">Marriage account</v>
      </c>
      <c r="M1676" t="s">
        <v>124</v>
      </c>
      <c r="N1676" s="10"/>
      <c r="O1676" t="s">
        <v>125</v>
      </c>
      <c r="Q1676" t="s">
        <v>126</v>
      </c>
      <c r="R1676" t="s">
        <v>124</v>
      </c>
      <c r="S1676" t="b">
        <v>0</v>
      </c>
      <c r="T1676" t="s">
        <v>124</v>
      </c>
    </row>
    <row r="1677">
      <c r="A1677" t="s">
        <v>3399</v>
      </c>
      <c r="B1677" t="s">
        <v>3371</v>
      </c>
      <c r="C1677" s="2">
        <v>2023</v>
      </c>
      <c r="D1677" s="10">
        <v>4</v>
      </c>
      <c r="E1677" s="10">
        <v>30</v>
      </c>
      <c r="F1677" t="s">
        <v>3397</v>
      </c>
      <c r="G1677">
        <v>599.85000000000002</v>
      </c>
      <c r="H1677" t="s">
        <v>69</v>
      </c>
      <c r="I1677" t="s">
        <v>150</v>
      </c>
      <c r="J1677" s="10" t="str">
        <f>VLOOKUP(I1677,Categories!A:B,2,FALSE)</f>
        <v xml:space="preserve">Food &amp; Coff</v>
      </c>
      <c r="K1677" t="s">
        <v>2317</v>
      </c>
      <c r="L1677" s="10" t="str">
        <f>VLOOKUP(K1677,Accounts!A:B,2,FALSE)</f>
        <v xml:space="preserve">Marriage account</v>
      </c>
      <c r="M1677" t="s">
        <v>124</v>
      </c>
      <c r="N1677" s="10"/>
      <c r="O1677" t="s">
        <v>125</v>
      </c>
      <c r="Q1677" t="s">
        <v>126</v>
      </c>
      <c r="R1677" t="s">
        <v>124</v>
      </c>
      <c r="S1677" t="b">
        <v>0</v>
      </c>
      <c r="T1677" t="s">
        <v>124</v>
      </c>
    </row>
    <row r="1678">
      <c r="A1678" t="s">
        <v>3400</v>
      </c>
      <c r="B1678" t="s">
        <v>3371</v>
      </c>
      <c r="C1678" s="2">
        <v>2023</v>
      </c>
      <c r="D1678" s="10">
        <v>4</v>
      </c>
      <c r="E1678" s="10">
        <v>30</v>
      </c>
      <c r="F1678" t="s">
        <v>1108</v>
      </c>
      <c r="G1678">
        <v>552</v>
      </c>
      <c r="H1678" t="s">
        <v>69</v>
      </c>
      <c r="I1678" t="s">
        <v>150</v>
      </c>
      <c r="J1678" s="10" t="str">
        <f>VLOOKUP(I1678,Categories!A:B,2,FALSE)</f>
        <v xml:space="preserve">Food &amp; Coff</v>
      </c>
      <c r="K1678" t="s">
        <v>2317</v>
      </c>
      <c r="L1678" s="10" t="str">
        <f>VLOOKUP(K1678,Accounts!A:B,2,FALSE)</f>
        <v xml:space="preserve">Marriage account</v>
      </c>
      <c r="M1678" t="s">
        <v>124</v>
      </c>
      <c r="N1678" s="10"/>
      <c r="O1678" t="s">
        <v>125</v>
      </c>
      <c r="Q1678" t="s">
        <v>126</v>
      </c>
      <c r="R1678" t="s">
        <v>124</v>
      </c>
      <c r="S1678" t="b">
        <v>0</v>
      </c>
      <c r="T1678" t="s">
        <v>124</v>
      </c>
    </row>
    <row r="1679">
      <c r="A1679" t="s">
        <v>3401</v>
      </c>
      <c r="B1679" t="s">
        <v>3371</v>
      </c>
      <c r="C1679" s="2">
        <v>2023</v>
      </c>
      <c r="D1679" s="10">
        <v>4</v>
      </c>
      <c r="E1679" s="10">
        <v>30</v>
      </c>
      <c r="F1679" t="s">
        <v>3402</v>
      </c>
      <c r="G1679">
        <v>405</v>
      </c>
      <c r="H1679" t="s">
        <v>69</v>
      </c>
      <c r="I1679" t="s">
        <v>150</v>
      </c>
      <c r="J1679" s="10" t="str">
        <f>VLOOKUP(I1679,Categories!A:B,2,FALSE)</f>
        <v xml:space="preserve">Food &amp; Coff</v>
      </c>
      <c r="K1679" t="s">
        <v>123</v>
      </c>
      <c r="L1679" s="10" t="str">
        <f>VLOOKUP(K1679,Accounts!A:B,2,FALSE)</f>
        <v>KBank</v>
      </c>
      <c r="M1679" t="s">
        <v>124</v>
      </c>
      <c r="N1679" s="10"/>
      <c r="O1679" t="s">
        <v>3403</v>
      </c>
      <c r="Q1679" t="s">
        <v>126</v>
      </c>
      <c r="R1679" t="s">
        <v>124</v>
      </c>
      <c r="S1679" t="b">
        <v>0</v>
      </c>
      <c r="T1679" t="s">
        <v>124</v>
      </c>
    </row>
    <row r="1680">
      <c r="A1680" t="s">
        <v>3404</v>
      </c>
      <c r="B1680" t="s">
        <v>3371</v>
      </c>
      <c r="C1680" s="2">
        <v>2023</v>
      </c>
      <c r="D1680" s="10">
        <v>4</v>
      </c>
      <c r="E1680" s="10">
        <v>30</v>
      </c>
      <c r="F1680" t="s">
        <v>234</v>
      </c>
      <c r="G1680">
        <v>3190</v>
      </c>
      <c r="H1680" t="s">
        <v>69</v>
      </c>
      <c r="I1680" t="s">
        <v>141</v>
      </c>
      <c r="J1680" s="10" t="str">
        <f>VLOOKUP(I1680,Categories!A:B,2,FALSE)</f>
        <v>Other</v>
      </c>
      <c r="K1680" t="s">
        <v>2862</v>
      </c>
      <c r="L1680" s="10" t="str">
        <f>VLOOKUP(K1680,Accounts!A:B,2,FALSE)</f>
        <v xml:space="preserve">Kbank onesiam</v>
      </c>
      <c r="M1680" t="s">
        <v>124</v>
      </c>
      <c r="N1680" s="10"/>
      <c r="O1680" t="s">
        <v>3405</v>
      </c>
      <c r="Q1680" t="s">
        <v>126</v>
      </c>
      <c r="R1680" t="s">
        <v>124</v>
      </c>
      <c r="S1680" t="b">
        <v>0</v>
      </c>
      <c r="T1680" t="s">
        <v>124</v>
      </c>
    </row>
    <row r="1681">
      <c r="A1681" t="s">
        <v>3406</v>
      </c>
      <c r="B1681" t="s">
        <v>3407</v>
      </c>
      <c r="C1681" s="2">
        <v>2023</v>
      </c>
      <c r="D1681" s="10">
        <v>4</v>
      </c>
      <c r="E1681" s="10">
        <v>29</v>
      </c>
      <c r="F1681" t="s">
        <v>3408</v>
      </c>
      <c r="G1681">
        <v>60</v>
      </c>
      <c r="H1681" t="s">
        <v>69</v>
      </c>
      <c r="I1681" t="s">
        <v>150</v>
      </c>
      <c r="J1681" s="10" t="str">
        <f>VLOOKUP(I1681,Categories!A:B,2,FALSE)</f>
        <v xml:space="preserve">Food &amp; Coff</v>
      </c>
      <c r="K1681" t="s">
        <v>178</v>
      </c>
      <c r="L1681" s="10" t="str">
        <f>VLOOKUP(K1681,Accounts!A:B,2,FALSE)</f>
        <v>SCB</v>
      </c>
      <c r="M1681" t="s">
        <v>124</v>
      </c>
      <c r="N1681" s="10"/>
      <c r="O1681" t="s">
        <v>125</v>
      </c>
      <c r="Q1681" t="s">
        <v>126</v>
      </c>
      <c r="R1681" t="s">
        <v>124</v>
      </c>
      <c r="S1681" t="b">
        <v>0</v>
      </c>
      <c r="T1681" t="s">
        <v>124</v>
      </c>
    </row>
    <row r="1682">
      <c r="A1682" t="s">
        <v>3409</v>
      </c>
      <c r="B1682" t="s">
        <v>3407</v>
      </c>
      <c r="C1682" s="2">
        <v>2023</v>
      </c>
      <c r="D1682" s="10">
        <v>4</v>
      </c>
      <c r="E1682" s="10">
        <v>29</v>
      </c>
      <c r="F1682" t="s">
        <v>2677</v>
      </c>
      <c r="G1682">
        <v>635</v>
      </c>
      <c r="H1682" t="s">
        <v>69</v>
      </c>
      <c r="I1682" t="s">
        <v>150</v>
      </c>
      <c r="J1682" s="10" t="str">
        <f>VLOOKUP(I1682,Categories!A:B,2,FALSE)</f>
        <v xml:space="preserve">Food &amp; Coff</v>
      </c>
      <c r="K1682" t="s">
        <v>2317</v>
      </c>
      <c r="L1682" s="10" t="str">
        <f>VLOOKUP(K1682,Accounts!A:B,2,FALSE)</f>
        <v xml:space="preserve">Marriage account</v>
      </c>
      <c r="M1682" t="s">
        <v>124</v>
      </c>
      <c r="N1682" s="10"/>
      <c r="O1682" t="s">
        <v>125</v>
      </c>
      <c r="Q1682" t="s">
        <v>126</v>
      </c>
      <c r="R1682" t="s">
        <v>124</v>
      </c>
      <c r="S1682" t="b">
        <v>0</v>
      </c>
      <c r="T1682" t="s">
        <v>124</v>
      </c>
    </row>
    <row r="1683">
      <c r="A1683" t="s">
        <v>3410</v>
      </c>
      <c r="B1683" t="s">
        <v>3407</v>
      </c>
      <c r="C1683" s="2">
        <v>2023</v>
      </c>
      <c r="D1683" s="10">
        <v>4</v>
      </c>
      <c r="E1683" s="10">
        <v>29</v>
      </c>
      <c r="F1683" t="s">
        <v>1012</v>
      </c>
      <c r="G1683">
        <v>94</v>
      </c>
      <c r="H1683" t="s">
        <v>69</v>
      </c>
      <c r="I1683" t="s">
        <v>150</v>
      </c>
      <c r="J1683" s="10" t="str">
        <f>VLOOKUP(I1683,Categories!A:B,2,FALSE)</f>
        <v xml:space="preserve">Food &amp; Coff</v>
      </c>
      <c r="K1683" t="s">
        <v>2317</v>
      </c>
      <c r="L1683" s="10" t="str">
        <f>VLOOKUP(K1683,Accounts!A:B,2,FALSE)</f>
        <v xml:space="preserve">Marriage account</v>
      </c>
      <c r="M1683" t="s">
        <v>124</v>
      </c>
      <c r="N1683" s="10"/>
      <c r="O1683" t="s">
        <v>125</v>
      </c>
      <c r="Q1683" t="s">
        <v>126</v>
      </c>
      <c r="R1683" t="s">
        <v>124</v>
      </c>
      <c r="S1683" t="b">
        <v>0</v>
      </c>
      <c r="T1683" t="s">
        <v>124</v>
      </c>
    </row>
    <row r="1684">
      <c r="A1684" t="s">
        <v>3411</v>
      </c>
      <c r="B1684" t="s">
        <v>3407</v>
      </c>
      <c r="C1684" s="2">
        <v>2023</v>
      </c>
      <c r="D1684" s="10">
        <v>4</v>
      </c>
      <c r="E1684" s="10">
        <v>29</v>
      </c>
      <c r="F1684" t="s">
        <v>3223</v>
      </c>
      <c r="G1684">
        <v>5000</v>
      </c>
      <c r="H1684" t="s">
        <v>69</v>
      </c>
      <c r="I1684" t="s">
        <v>144</v>
      </c>
      <c r="J1684" s="10" t="str">
        <f>VLOOKUP(I1684,Categories!A:B,2,FALSE)</f>
        <v xml:space="preserve">Family paid</v>
      </c>
      <c r="K1684" t="s">
        <v>178</v>
      </c>
      <c r="L1684" s="10" t="str">
        <f>VLOOKUP(K1684,Accounts!A:B,2,FALSE)</f>
        <v>SCB</v>
      </c>
      <c r="M1684" t="s">
        <v>124</v>
      </c>
      <c r="N1684" s="10"/>
      <c r="O1684" t="s">
        <v>125</v>
      </c>
      <c r="Q1684" t="s">
        <v>126</v>
      </c>
      <c r="R1684" t="s">
        <v>124</v>
      </c>
      <c r="S1684" t="b">
        <v>0</v>
      </c>
      <c r="T1684" t="s">
        <v>124</v>
      </c>
    </row>
    <row r="1685">
      <c r="A1685" t="s">
        <v>3412</v>
      </c>
      <c r="B1685" t="s">
        <v>3413</v>
      </c>
      <c r="C1685" s="2">
        <v>2023</v>
      </c>
      <c r="D1685" s="10">
        <v>4</v>
      </c>
      <c r="E1685" s="10">
        <v>28</v>
      </c>
      <c r="F1685" t="s">
        <v>3114</v>
      </c>
      <c r="G1685">
        <v>55</v>
      </c>
      <c r="H1685" t="s">
        <v>69</v>
      </c>
      <c r="I1685" t="s">
        <v>150</v>
      </c>
      <c r="J1685" s="10" t="str">
        <f>VLOOKUP(I1685,Categories!A:B,2,FALSE)</f>
        <v xml:space="preserve">Food &amp; Coff</v>
      </c>
      <c r="K1685" t="s">
        <v>178</v>
      </c>
      <c r="L1685" s="10" t="str">
        <f>VLOOKUP(K1685,Accounts!A:B,2,FALSE)</f>
        <v>SCB</v>
      </c>
      <c r="M1685" t="s">
        <v>124</v>
      </c>
      <c r="N1685" s="10"/>
      <c r="O1685" t="s">
        <v>125</v>
      </c>
      <c r="Q1685" t="s">
        <v>126</v>
      </c>
      <c r="R1685" t="s">
        <v>124</v>
      </c>
      <c r="S1685" t="b">
        <v>0</v>
      </c>
      <c r="T1685" t="s">
        <v>124</v>
      </c>
    </row>
    <row r="1686">
      <c r="A1686" t="s">
        <v>3414</v>
      </c>
      <c r="B1686" t="s">
        <v>3413</v>
      </c>
      <c r="C1686" s="2">
        <v>2023</v>
      </c>
      <c r="D1686" s="10">
        <v>4</v>
      </c>
      <c r="E1686" s="10">
        <v>28</v>
      </c>
      <c r="F1686" t="s">
        <v>3390</v>
      </c>
      <c r="G1686">
        <v>100</v>
      </c>
      <c r="H1686" t="s">
        <v>69</v>
      </c>
      <c r="I1686" t="s">
        <v>152</v>
      </c>
      <c r="J1686" s="10" t="str">
        <f>VLOOKUP(I1686,Categories!A:B,2,FALSE)</f>
        <v xml:space="preserve">Office Suit</v>
      </c>
      <c r="K1686" t="s">
        <v>178</v>
      </c>
      <c r="L1686" s="10" t="str">
        <f>VLOOKUP(K1686,Accounts!A:B,2,FALSE)</f>
        <v>SCB</v>
      </c>
      <c r="M1686" t="s">
        <v>124</v>
      </c>
      <c r="N1686" s="10"/>
      <c r="O1686" t="s">
        <v>3415</v>
      </c>
      <c r="Q1686" t="s">
        <v>126</v>
      </c>
      <c r="R1686" t="s">
        <v>124</v>
      </c>
      <c r="S1686" t="b">
        <v>0</v>
      </c>
      <c r="T1686" t="s">
        <v>124</v>
      </c>
    </row>
    <row r="1687">
      <c r="A1687" t="s">
        <v>3416</v>
      </c>
      <c r="B1687" t="s">
        <v>3413</v>
      </c>
      <c r="C1687" s="2">
        <v>2023</v>
      </c>
      <c r="D1687" s="10">
        <v>4</v>
      </c>
      <c r="E1687" s="10">
        <v>28</v>
      </c>
      <c r="F1687" t="s">
        <v>3392</v>
      </c>
      <c r="G1687">
        <v>332</v>
      </c>
      <c r="H1687" t="s">
        <v>69</v>
      </c>
      <c r="I1687" t="s">
        <v>150</v>
      </c>
      <c r="J1687" s="10" t="str">
        <f>VLOOKUP(I1687,Categories!A:B,2,FALSE)</f>
        <v xml:space="preserve">Food &amp; Coff</v>
      </c>
      <c r="K1687" t="s">
        <v>178</v>
      </c>
      <c r="L1687" s="10" t="str">
        <f>VLOOKUP(K1687,Accounts!A:B,2,FALSE)</f>
        <v>SCB</v>
      </c>
      <c r="M1687" t="s">
        <v>124</v>
      </c>
      <c r="N1687" s="10"/>
      <c r="O1687" t="s">
        <v>3417</v>
      </c>
      <c r="Q1687" t="s">
        <v>126</v>
      </c>
      <c r="R1687" t="s">
        <v>124</v>
      </c>
      <c r="S1687" t="b">
        <v>0</v>
      </c>
      <c r="T1687" t="s">
        <v>124</v>
      </c>
    </row>
    <row r="1688">
      <c r="A1688" t="s">
        <v>3418</v>
      </c>
      <c r="B1688" t="s">
        <v>3419</v>
      </c>
      <c r="C1688" s="2">
        <v>2023</v>
      </c>
      <c r="D1688" s="10">
        <v>4</v>
      </c>
      <c r="E1688" s="10">
        <v>27</v>
      </c>
      <c r="F1688" t="s">
        <v>3420</v>
      </c>
      <c r="G1688">
        <v>170</v>
      </c>
      <c r="H1688" t="s">
        <v>69</v>
      </c>
      <c r="I1688" t="s">
        <v>150</v>
      </c>
      <c r="J1688" s="10" t="str">
        <f>VLOOKUP(I1688,Categories!A:B,2,FALSE)</f>
        <v xml:space="preserve">Food &amp; Coff</v>
      </c>
      <c r="K1688" t="s">
        <v>2317</v>
      </c>
      <c r="L1688" s="10" t="str">
        <f>VLOOKUP(K1688,Accounts!A:B,2,FALSE)</f>
        <v xml:space="preserve">Marriage account</v>
      </c>
      <c r="M1688" t="s">
        <v>124</v>
      </c>
      <c r="N1688" s="10"/>
      <c r="O1688" t="s">
        <v>125</v>
      </c>
      <c r="Q1688" t="s">
        <v>126</v>
      </c>
      <c r="R1688" t="s">
        <v>124</v>
      </c>
      <c r="S1688" t="b">
        <v>0</v>
      </c>
      <c r="T1688" t="s">
        <v>124</v>
      </c>
    </row>
    <row r="1689">
      <c r="A1689" t="s">
        <v>3421</v>
      </c>
      <c r="B1689" t="s">
        <v>3419</v>
      </c>
      <c r="C1689" s="2">
        <v>2023</v>
      </c>
      <c r="D1689" s="10">
        <v>4</v>
      </c>
      <c r="E1689" s="10">
        <v>27</v>
      </c>
      <c r="F1689" t="s">
        <v>389</v>
      </c>
      <c r="G1689">
        <v>50</v>
      </c>
      <c r="H1689" t="s">
        <v>69</v>
      </c>
      <c r="I1689" t="s">
        <v>150</v>
      </c>
      <c r="J1689" s="10" t="str">
        <f>VLOOKUP(I1689,Categories!A:B,2,FALSE)</f>
        <v xml:space="preserve">Food &amp; Coff</v>
      </c>
      <c r="K1689" t="s">
        <v>178</v>
      </c>
      <c r="L1689" s="10" t="str">
        <f>VLOOKUP(K1689,Accounts!A:B,2,FALSE)</f>
        <v>SCB</v>
      </c>
      <c r="M1689" t="s">
        <v>124</v>
      </c>
      <c r="N1689" s="10"/>
      <c r="O1689" t="s">
        <v>125</v>
      </c>
      <c r="Q1689" t="s">
        <v>126</v>
      </c>
      <c r="R1689" t="s">
        <v>124</v>
      </c>
      <c r="S1689" t="b">
        <v>0</v>
      </c>
      <c r="T1689" t="s">
        <v>124</v>
      </c>
    </row>
    <row r="1690">
      <c r="A1690" t="s">
        <v>3422</v>
      </c>
      <c r="B1690" t="s">
        <v>3419</v>
      </c>
      <c r="C1690" s="2">
        <v>2023</v>
      </c>
      <c r="D1690" s="10">
        <v>4</v>
      </c>
      <c r="E1690" s="10">
        <v>27</v>
      </c>
      <c r="F1690" t="s">
        <v>3423</v>
      </c>
      <c r="G1690">
        <v>70</v>
      </c>
      <c r="H1690" t="s">
        <v>69</v>
      </c>
      <c r="I1690" t="s">
        <v>150</v>
      </c>
      <c r="J1690" s="10" t="str">
        <f>VLOOKUP(I1690,Categories!A:B,2,FALSE)</f>
        <v xml:space="preserve">Food &amp; Coff</v>
      </c>
      <c r="K1690" t="s">
        <v>178</v>
      </c>
      <c r="L1690" s="10" t="str">
        <f>VLOOKUP(K1690,Accounts!A:B,2,FALSE)</f>
        <v>SCB</v>
      </c>
      <c r="M1690" t="s">
        <v>124</v>
      </c>
      <c r="N1690" s="10"/>
      <c r="O1690" t="s">
        <v>125</v>
      </c>
      <c r="Q1690" t="s">
        <v>126</v>
      </c>
      <c r="R1690" t="s">
        <v>124</v>
      </c>
      <c r="S1690" t="b">
        <v>0</v>
      </c>
      <c r="T1690" t="s">
        <v>124</v>
      </c>
    </row>
    <row r="1691">
      <c r="A1691" t="s">
        <v>3424</v>
      </c>
      <c r="B1691" t="s">
        <v>3419</v>
      </c>
      <c r="C1691" s="2">
        <v>2023</v>
      </c>
      <c r="D1691" s="10">
        <v>4</v>
      </c>
      <c r="E1691" s="10">
        <v>27</v>
      </c>
      <c r="F1691" t="s">
        <v>2093</v>
      </c>
      <c r="G1691">
        <v>300</v>
      </c>
      <c r="H1691" t="s">
        <v>128</v>
      </c>
      <c r="I1691" t="s">
        <v>136</v>
      </c>
      <c r="J1691" s="10" t="str">
        <f>VLOOKUP(I1691,Categories!A:B,2,FALSE)</f>
        <v>อื่นๆ</v>
      </c>
      <c r="K1691" t="s">
        <v>178</v>
      </c>
      <c r="L1691" s="10" t="str">
        <f>VLOOKUP(K1691,Accounts!A:B,2,FALSE)</f>
        <v>SCB</v>
      </c>
      <c r="M1691" t="s">
        <v>893</v>
      </c>
      <c r="N1691" s="10" t="str">
        <f>VLOOKUP(M1691,Accounts!A:B,2,FALSE)</f>
        <v>Shopee</v>
      </c>
      <c r="O1691" t="s">
        <v>125</v>
      </c>
      <c r="Q1691" t="s">
        <v>126</v>
      </c>
      <c r="R1691" t="s">
        <v>124</v>
      </c>
      <c r="S1691" t="b">
        <v>0</v>
      </c>
      <c r="T1691" t="s">
        <v>124</v>
      </c>
    </row>
    <row r="1692">
      <c r="A1692" t="s">
        <v>3425</v>
      </c>
      <c r="B1692" t="s">
        <v>3426</v>
      </c>
      <c r="C1692" s="2">
        <v>2023</v>
      </c>
      <c r="D1692" s="10">
        <v>4</v>
      </c>
      <c r="E1692" s="10">
        <v>26</v>
      </c>
      <c r="F1692" t="s">
        <v>1790</v>
      </c>
      <c r="G1692">
        <v>220</v>
      </c>
      <c r="H1692" t="s">
        <v>69</v>
      </c>
      <c r="I1692" t="s">
        <v>150</v>
      </c>
      <c r="J1692" s="10" t="str">
        <f>VLOOKUP(I1692,Categories!A:B,2,FALSE)</f>
        <v xml:space="preserve">Food &amp; Coff</v>
      </c>
      <c r="K1692" t="s">
        <v>2317</v>
      </c>
      <c r="L1692" s="10" t="str">
        <f>VLOOKUP(K1692,Accounts!A:B,2,FALSE)</f>
        <v xml:space="preserve">Marriage account</v>
      </c>
      <c r="M1692" t="s">
        <v>124</v>
      </c>
      <c r="N1692" s="10"/>
      <c r="O1692" t="s">
        <v>125</v>
      </c>
      <c r="Q1692" t="s">
        <v>126</v>
      </c>
      <c r="R1692" t="s">
        <v>124</v>
      </c>
      <c r="S1692" t="b">
        <v>0</v>
      </c>
      <c r="T1692" t="s">
        <v>124</v>
      </c>
    </row>
    <row r="1693">
      <c r="A1693" t="s">
        <v>3427</v>
      </c>
      <c r="B1693" t="s">
        <v>3428</v>
      </c>
      <c r="C1693" s="2">
        <v>2023</v>
      </c>
      <c r="D1693" s="10">
        <v>4</v>
      </c>
      <c r="E1693" s="10">
        <v>25</v>
      </c>
      <c r="F1693" t="s">
        <v>121</v>
      </c>
      <c r="G1693">
        <v>353.94999999999999</v>
      </c>
      <c r="H1693" t="s">
        <v>69</v>
      </c>
      <c r="I1693" t="s">
        <v>443</v>
      </c>
      <c r="J1693" s="10" t="str">
        <f>VLOOKUP(I1693,Categories!A:B,2,FALSE)</f>
        <v xml:space="preserve">City SV Interest</v>
      </c>
      <c r="K1693" t="s">
        <v>178</v>
      </c>
      <c r="L1693" s="10" t="str">
        <f>VLOOKUP(K1693,Accounts!A:B,2,FALSE)</f>
        <v>SCB</v>
      </c>
      <c r="M1693" t="s">
        <v>124</v>
      </c>
      <c r="N1693" s="10"/>
      <c r="O1693" t="s">
        <v>125</v>
      </c>
      <c r="Q1693" t="s">
        <v>126</v>
      </c>
      <c r="R1693" t="s">
        <v>124</v>
      </c>
      <c r="S1693" t="b">
        <v>0</v>
      </c>
      <c r="T1693" t="s">
        <v>124</v>
      </c>
    </row>
    <row r="1694">
      <c r="A1694" t="s">
        <v>3429</v>
      </c>
      <c r="B1694" t="s">
        <v>3428</v>
      </c>
      <c r="C1694" s="2">
        <v>2023</v>
      </c>
      <c r="D1694" s="10">
        <v>4</v>
      </c>
      <c r="E1694" s="10">
        <v>25</v>
      </c>
      <c r="F1694" t="s">
        <v>121</v>
      </c>
      <c r="G1694">
        <v>2300.5999999999999</v>
      </c>
      <c r="H1694" t="s">
        <v>69</v>
      </c>
      <c r="I1694" t="s">
        <v>199</v>
      </c>
      <c r="J1694" s="10" t="str">
        <f>VLOOKUP(I1694,Categories!A:B,2,FALSE)</f>
        <v xml:space="preserve">Home Chomthong Interest</v>
      </c>
      <c r="K1694" t="s">
        <v>178</v>
      </c>
      <c r="L1694" s="10" t="str">
        <f>VLOOKUP(K1694,Accounts!A:B,2,FALSE)</f>
        <v>SCB</v>
      </c>
      <c r="M1694" t="s">
        <v>124</v>
      </c>
      <c r="N1694" s="10"/>
      <c r="O1694" t="s">
        <v>125</v>
      </c>
      <c r="Q1694" t="s">
        <v>126</v>
      </c>
      <c r="R1694" t="s">
        <v>124</v>
      </c>
      <c r="S1694" t="b">
        <v>0</v>
      </c>
      <c r="T1694" t="s">
        <v>124</v>
      </c>
    </row>
    <row r="1695">
      <c r="A1695" t="s">
        <v>3430</v>
      </c>
      <c r="B1695" t="s">
        <v>3428</v>
      </c>
      <c r="C1695" s="2">
        <v>2023</v>
      </c>
      <c r="D1695" s="10">
        <v>4</v>
      </c>
      <c r="E1695" s="10">
        <v>25</v>
      </c>
      <c r="F1695" t="s">
        <v>121</v>
      </c>
      <c r="G1695">
        <v>7915</v>
      </c>
      <c r="H1695" t="s">
        <v>128</v>
      </c>
      <c r="I1695" t="s">
        <v>136</v>
      </c>
      <c r="J1695" s="10" t="str">
        <f>VLOOKUP(I1695,Categories!A:B,2,FALSE)</f>
        <v>อื่นๆ</v>
      </c>
      <c r="K1695" t="s">
        <v>178</v>
      </c>
      <c r="L1695" s="10" t="str">
        <f>VLOOKUP(K1695,Accounts!A:B,2,FALSE)</f>
        <v>SCB</v>
      </c>
      <c r="M1695" t="s">
        <v>1244</v>
      </c>
      <c r="N1695" s="10" t="str">
        <f>VLOOKUP(M1695,Accounts!A:B,2,FALSE)</f>
        <v xml:space="preserve">Home chomthong Loan</v>
      </c>
      <c r="O1695" t="s">
        <v>125</v>
      </c>
      <c r="Q1695" t="s">
        <v>126</v>
      </c>
      <c r="R1695" t="s">
        <v>124</v>
      </c>
      <c r="S1695" t="b">
        <v>0</v>
      </c>
      <c r="T1695" t="s">
        <v>124</v>
      </c>
    </row>
    <row r="1696">
      <c r="A1696" t="s">
        <v>3431</v>
      </c>
      <c r="B1696" t="s">
        <v>3428</v>
      </c>
      <c r="C1696" s="2">
        <v>2023</v>
      </c>
      <c r="D1696" s="10">
        <v>4</v>
      </c>
      <c r="E1696" s="10">
        <v>25</v>
      </c>
      <c r="F1696" t="s">
        <v>121</v>
      </c>
      <c r="G1696">
        <v>2242</v>
      </c>
      <c r="H1696" t="s">
        <v>128</v>
      </c>
      <c r="I1696" t="s">
        <v>136</v>
      </c>
      <c r="J1696" s="10" t="str">
        <f>VLOOKUP(I1696,Categories!A:B,2,FALSE)</f>
        <v>อื่นๆ</v>
      </c>
      <c r="K1696" t="s">
        <v>178</v>
      </c>
      <c r="L1696" s="10" t="str">
        <f>VLOOKUP(K1696,Accounts!A:B,2,FALSE)</f>
        <v>SCB</v>
      </c>
      <c r="M1696" t="s">
        <v>203</v>
      </c>
      <c r="N1696" s="10" t="str">
        <f>VLOOKUP(M1696,Accounts!A:B,2,FALSE)</f>
        <v xml:space="preserve">Provident Fund</v>
      </c>
      <c r="O1696" t="s">
        <v>125</v>
      </c>
      <c r="Q1696" t="s">
        <v>126</v>
      </c>
      <c r="R1696" t="s">
        <v>124</v>
      </c>
      <c r="S1696" t="b">
        <v>0</v>
      </c>
      <c r="T1696" t="s">
        <v>124</v>
      </c>
    </row>
    <row r="1697">
      <c r="A1697" t="s">
        <v>3432</v>
      </c>
      <c r="B1697" t="s">
        <v>3428</v>
      </c>
      <c r="C1697" s="2">
        <v>2023</v>
      </c>
      <c r="D1697" s="10">
        <v>4</v>
      </c>
      <c r="E1697" s="10">
        <v>25</v>
      </c>
      <c r="F1697" t="s">
        <v>121</v>
      </c>
      <c r="G1697">
        <v>1027.03</v>
      </c>
      <c r="H1697" t="s">
        <v>69</v>
      </c>
      <c r="I1697" t="s">
        <v>195</v>
      </c>
      <c r="J1697" s="10" t="str">
        <f>VLOOKUP(I1697,Categories!A:B,2,FALSE)</f>
        <v>Tax</v>
      </c>
      <c r="K1697" t="s">
        <v>178</v>
      </c>
      <c r="L1697" s="10" t="str">
        <f>VLOOKUP(K1697,Accounts!A:B,2,FALSE)</f>
        <v>SCB</v>
      </c>
      <c r="M1697" t="s">
        <v>124</v>
      </c>
      <c r="N1697" s="10"/>
      <c r="O1697" t="s">
        <v>125</v>
      </c>
      <c r="Q1697" t="s">
        <v>126</v>
      </c>
      <c r="R1697" t="s">
        <v>124</v>
      </c>
      <c r="S1697" t="b">
        <v>0</v>
      </c>
      <c r="T1697" t="s">
        <v>124</v>
      </c>
    </row>
    <row r="1698">
      <c r="A1698" t="s">
        <v>3433</v>
      </c>
      <c r="B1698" t="s">
        <v>3428</v>
      </c>
      <c r="C1698" s="2">
        <v>2023</v>
      </c>
      <c r="D1698" s="10">
        <v>4</v>
      </c>
      <c r="E1698" s="10">
        <v>25</v>
      </c>
      <c r="F1698" t="s">
        <v>121</v>
      </c>
      <c r="G1698">
        <v>112100</v>
      </c>
      <c r="H1698" t="s">
        <v>206</v>
      </c>
      <c r="I1698" t="s">
        <v>207</v>
      </c>
      <c r="J1698" s="10" t="str">
        <f>VLOOKUP(I1698,Categories!A:B,2,FALSE)</f>
        <v>Salary</v>
      </c>
      <c r="K1698" t="s">
        <v>178</v>
      </c>
      <c r="L1698" s="10" t="str">
        <f>VLOOKUP(K1698,Accounts!A:B,2,FALSE)</f>
        <v>SCB</v>
      </c>
      <c r="M1698" t="s">
        <v>124</v>
      </c>
      <c r="N1698" s="10"/>
      <c r="O1698" t="s">
        <v>125</v>
      </c>
      <c r="Q1698" t="s">
        <v>126</v>
      </c>
      <c r="R1698" t="s">
        <v>124</v>
      </c>
      <c r="S1698" t="b">
        <v>0</v>
      </c>
      <c r="T1698" t="s">
        <v>124</v>
      </c>
    </row>
    <row r="1699">
      <c r="A1699" t="s">
        <v>3434</v>
      </c>
      <c r="B1699" t="s">
        <v>3428</v>
      </c>
      <c r="C1699" s="2">
        <v>2023</v>
      </c>
      <c r="D1699" s="10">
        <v>4</v>
      </c>
      <c r="E1699" s="10">
        <v>25</v>
      </c>
      <c r="F1699" t="s">
        <v>121</v>
      </c>
      <c r="G1699">
        <v>9240</v>
      </c>
      <c r="H1699" t="s">
        <v>128</v>
      </c>
      <c r="I1699" t="s">
        <v>136</v>
      </c>
      <c r="J1699" s="10" t="str">
        <f>VLOOKUP(I1699,Categories!A:B,2,FALSE)</f>
        <v>อื่นๆ</v>
      </c>
      <c r="K1699" t="s">
        <v>178</v>
      </c>
      <c r="L1699" s="10" t="str">
        <f>VLOOKUP(K1699,Accounts!A:B,2,FALSE)</f>
        <v>SCB</v>
      </c>
      <c r="M1699" t="s">
        <v>1246</v>
      </c>
      <c r="N1699" s="10" t="str">
        <f>VLOOKUP(M1699,Accounts!A:B,2,FALSE)</f>
        <v xml:space="preserve">Car Loan</v>
      </c>
      <c r="O1699" t="s">
        <v>125</v>
      </c>
      <c r="Q1699" t="s">
        <v>126</v>
      </c>
      <c r="R1699" t="s">
        <v>124</v>
      </c>
      <c r="S1699" t="b">
        <v>0</v>
      </c>
      <c r="T1699" t="s">
        <v>124</v>
      </c>
    </row>
    <row r="1700">
      <c r="A1700" t="s">
        <v>3435</v>
      </c>
      <c r="B1700" t="s">
        <v>3428</v>
      </c>
      <c r="C1700" s="2">
        <v>2023</v>
      </c>
      <c r="D1700" s="10">
        <v>4</v>
      </c>
      <c r="E1700" s="10">
        <v>25</v>
      </c>
      <c r="F1700" t="s">
        <v>121</v>
      </c>
      <c r="G1700">
        <v>500</v>
      </c>
      <c r="H1700" t="s">
        <v>128</v>
      </c>
      <c r="I1700" t="s">
        <v>136</v>
      </c>
      <c r="J1700" s="10" t="str">
        <f>VLOOKUP(I1700,Categories!A:B,2,FALSE)</f>
        <v>อื่นๆ</v>
      </c>
      <c r="K1700" t="s">
        <v>178</v>
      </c>
      <c r="L1700" s="10" t="str">
        <f>VLOOKUP(K1700,Accounts!A:B,2,FALSE)</f>
        <v>SCB</v>
      </c>
      <c r="M1700" t="s">
        <v>201</v>
      </c>
      <c r="N1700" s="10" t="str">
        <f>VLOOKUP(M1700,Accounts!A:B,2,FALSE)</f>
        <v>Coop</v>
      </c>
      <c r="O1700" t="s">
        <v>125</v>
      </c>
      <c r="Q1700" t="s">
        <v>126</v>
      </c>
      <c r="R1700" t="s">
        <v>124</v>
      </c>
      <c r="S1700" t="b">
        <v>0</v>
      </c>
      <c r="T1700" t="s">
        <v>124</v>
      </c>
    </row>
    <row r="1701">
      <c r="A1701" t="s">
        <v>3436</v>
      </c>
      <c r="B1701" t="s">
        <v>3428</v>
      </c>
      <c r="C1701" s="2">
        <v>2023</v>
      </c>
      <c r="D1701" s="10">
        <v>4</v>
      </c>
      <c r="E1701" s="10">
        <v>25</v>
      </c>
      <c r="F1701" t="s">
        <v>722</v>
      </c>
      <c r="G1701">
        <v>354</v>
      </c>
      <c r="H1701" t="s">
        <v>69</v>
      </c>
      <c r="I1701" t="s">
        <v>150</v>
      </c>
      <c r="J1701" s="10" t="str">
        <f>VLOOKUP(I1701,Categories!A:B,2,FALSE)</f>
        <v xml:space="preserve">Food &amp; Coff</v>
      </c>
      <c r="K1701" t="s">
        <v>2317</v>
      </c>
      <c r="L1701" s="10" t="str">
        <f>VLOOKUP(K1701,Accounts!A:B,2,FALSE)</f>
        <v xml:space="preserve">Marriage account</v>
      </c>
      <c r="M1701" t="s">
        <v>124</v>
      </c>
      <c r="N1701" s="10"/>
      <c r="O1701" t="s">
        <v>125</v>
      </c>
      <c r="Q1701" t="s">
        <v>126</v>
      </c>
      <c r="R1701" t="s">
        <v>124</v>
      </c>
      <c r="S1701" t="b">
        <v>0</v>
      </c>
      <c r="T1701" t="s">
        <v>124</v>
      </c>
    </row>
    <row r="1702">
      <c r="A1702" t="s">
        <v>3437</v>
      </c>
      <c r="B1702" t="s">
        <v>3428</v>
      </c>
      <c r="C1702" s="2">
        <v>2023</v>
      </c>
      <c r="D1702" s="10">
        <v>4</v>
      </c>
      <c r="E1702" s="10">
        <v>25</v>
      </c>
      <c r="F1702" t="s">
        <v>221</v>
      </c>
      <c r="G1702">
        <v>62</v>
      </c>
      <c r="H1702" t="s">
        <v>69</v>
      </c>
      <c r="I1702" t="s">
        <v>150</v>
      </c>
      <c r="J1702" s="10" t="str">
        <f>VLOOKUP(I1702,Categories!A:B,2,FALSE)</f>
        <v xml:space="preserve">Food &amp; Coff</v>
      </c>
      <c r="K1702" t="s">
        <v>178</v>
      </c>
      <c r="L1702" s="10" t="str">
        <f>VLOOKUP(K1702,Accounts!A:B,2,FALSE)</f>
        <v>SCB</v>
      </c>
      <c r="M1702" t="s">
        <v>124</v>
      </c>
      <c r="N1702" s="10"/>
      <c r="O1702" t="s">
        <v>125</v>
      </c>
      <c r="Q1702" t="s">
        <v>126</v>
      </c>
      <c r="R1702" t="s">
        <v>124</v>
      </c>
      <c r="S1702" t="b">
        <v>0</v>
      </c>
      <c r="T1702" t="s">
        <v>124</v>
      </c>
    </row>
    <row r="1703">
      <c r="A1703" t="s">
        <v>3438</v>
      </c>
      <c r="B1703" t="s">
        <v>3428</v>
      </c>
      <c r="C1703" s="2">
        <v>2023</v>
      </c>
      <c r="D1703" s="10">
        <v>4</v>
      </c>
      <c r="E1703" s="10">
        <v>25</v>
      </c>
      <c r="F1703" t="s">
        <v>389</v>
      </c>
      <c r="G1703">
        <v>50</v>
      </c>
      <c r="H1703" t="s">
        <v>69</v>
      </c>
      <c r="I1703" t="s">
        <v>150</v>
      </c>
      <c r="J1703" s="10" t="str">
        <f>VLOOKUP(I1703,Categories!A:B,2,FALSE)</f>
        <v xml:space="preserve">Food &amp; Coff</v>
      </c>
      <c r="K1703" t="s">
        <v>178</v>
      </c>
      <c r="L1703" s="10" t="str">
        <f>VLOOKUP(K1703,Accounts!A:B,2,FALSE)</f>
        <v>SCB</v>
      </c>
      <c r="M1703" t="s">
        <v>124</v>
      </c>
      <c r="N1703" s="10"/>
      <c r="O1703" t="s">
        <v>125</v>
      </c>
      <c r="Q1703" t="s">
        <v>126</v>
      </c>
      <c r="R1703" t="s">
        <v>124</v>
      </c>
      <c r="S1703" t="b">
        <v>0</v>
      </c>
      <c r="T1703" t="s">
        <v>124</v>
      </c>
    </row>
    <row r="1704">
      <c r="A1704" t="s">
        <v>3439</v>
      </c>
      <c r="B1704" t="s">
        <v>3440</v>
      </c>
      <c r="C1704" s="2">
        <v>2023</v>
      </c>
      <c r="D1704" s="10">
        <v>4</v>
      </c>
      <c r="E1704" s="10">
        <v>24</v>
      </c>
      <c r="F1704" t="s">
        <v>3203</v>
      </c>
      <c r="G1704">
        <v>55</v>
      </c>
      <c r="H1704" t="s">
        <v>69</v>
      </c>
      <c r="I1704" t="s">
        <v>150</v>
      </c>
      <c r="J1704" s="10" t="str">
        <f>VLOOKUP(I1704,Categories!A:B,2,FALSE)</f>
        <v xml:space="preserve">Food &amp; Coff</v>
      </c>
      <c r="K1704" t="s">
        <v>178</v>
      </c>
      <c r="L1704" s="10" t="str">
        <f>VLOOKUP(K1704,Accounts!A:B,2,FALSE)</f>
        <v>SCB</v>
      </c>
      <c r="M1704" t="s">
        <v>124</v>
      </c>
      <c r="N1704" s="10"/>
      <c r="O1704" t="s">
        <v>125</v>
      </c>
      <c r="Q1704" t="s">
        <v>126</v>
      </c>
      <c r="R1704" t="s">
        <v>124</v>
      </c>
      <c r="S1704" t="b">
        <v>0</v>
      </c>
      <c r="T1704" t="s">
        <v>124</v>
      </c>
    </row>
    <row r="1705">
      <c r="A1705" t="s">
        <v>3441</v>
      </c>
      <c r="B1705" t="s">
        <v>3440</v>
      </c>
      <c r="C1705" s="2">
        <v>2023</v>
      </c>
      <c r="D1705" s="10">
        <v>4</v>
      </c>
      <c r="E1705" s="10">
        <v>24</v>
      </c>
      <c r="F1705" t="s">
        <v>1659</v>
      </c>
      <c r="G1705">
        <v>55</v>
      </c>
      <c r="H1705" t="s">
        <v>69</v>
      </c>
      <c r="I1705" t="s">
        <v>150</v>
      </c>
      <c r="J1705" s="10" t="str">
        <f>VLOOKUP(I1705,Categories!A:B,2,FALSE)</f>
        <v xml:space="preserve">Food &amp; Coff</v>
      </c>
      <c r="K1705" t="s">
        <v>178</v>
      </c>
      <c r="L1705" s="10" t="str">
        <f>VLOOKUP(K1705,Accounts!A:B,2,FALSE)</f>
        <v>SCB</v>
      </c>
      <c r="M1705" t="s">
        <v>124</v>
      </c>
      <c r="N1705" s="10"/>
      <c r="O1705" t="s">
        <v>125</v>
      </c>
      <c r="Q1705" t="s">
        <v>126</v>
      </c>
      <c r="R1705" t="s">
        <v>124</v>
      </c>
      <c r="S1705" t="b">
        <v>0</v>
      </c>
      <c r="T1705" t="s">
        <v>124</v>
      </c>
    </row>
    <row r="1706">
      <c r="A1706" t="s">
        <v>3442</v>
      </c>
      <c r="B1706" t="s">
        <v>3440</v>
      </c>
      <c r="C1706" s="2">
        <v>2023</v>
      </c>
      <c r="D1706" s="10">
        <v>4</v>
      </c>
      <c r="E1706" s="10">
        <v>24</v>
      </c>
      <c r="F1706" t="s">
        <v>276</v>
      </c>
      <c r="G1706">
        <v>25</v>
      </c>
      <c r="H1706" t="s">
        <v>69</v>
      </c>
      <c r="I1706" t="s">
        <v>150</v>
      </c>
      <c r="J1706" s="10" t="str">
        <f>VLOOKUP(I1706,Categories!A:B,2,FALSE)</f>
        <v xml:space="preserve">Food &amp; Coff</v>
      </c>
      <c r="K1706" t="s">
        <v>178</v>
      </c>
      <c r="L1706" s="10" t="str">
        <f>VLOOKUP(K1706,Accounts!A:B,2,FALSE)</f>
        <v>SCB</v>
      </c>
      <c r="M1706" t="s">
        <v>124</v>
      </c>
      <c r="N1706" s="10"/>
      <c r="O1706" t="s">
        <v>125</v>
      </c>
      <c r="Q1706" t="s">
        <v>126</v>
      </c>
      <c r="R1706" t="s">
        <v>124</v>
      </c>
      <c r="S1706" t="b">
        <v>0</v>
      </c>
      <c r="T1706" t="s">
        <v>124</v>
      </c>
    </row>
    <row r="1707">
      <c r="A1707" t="s">
        <v>3443</v>
      </c>
      <c r="B1707" t="s">
        <v>3440</v>
      </c>
      <c r="C1707" s="2">
        <v>2023</v>
      </c>
      <c r="D1707" s="10">
        <v>4</v>
      </c>
      <c r="E1707" s="10">
        <v>24</v>
      </c>
      <c r="F1707" t="s">
        <v>3444</v>
      </c>
      <c r="G1707">
        <v>2359</v>
      </c>
      <c r="H1707" t="s">
        <v>128</v>
      </c>
      <c r="I1707" t="s">
        <v>136</v>
      </c>
      <c r="J1707" s="10" t="str">
        <f>VLOOKUP(I1707,Categories!A:B,2,FALSE)</f>
        <v>อื่นๆ</v>
      </c>
      <c r="K1707" t="s">
        <v>131</v>
      </c>
      <c r="L1707" s="10" t="str">
        <f>VLOOKUP(K1707,Accounts!A:B,2,FALSE)</f>
        <v xml:space="preserve">Advance Paid</v>
      </c>
      <c r="M1707" t="s">
        <v>178</v>
      </c>
      <c r="N1707" s="10" t="str">
        <f>VLOOKUP(M1707,Accounts!A:B,2,FALSE)</f>
        <v>SCB</v>
      </c>
      <c r="O1707" t="s">
        <v>125</v>
      </c>
      <c r="Q1707" t="s">
        <v>126</v>
      </c>
      <c r="R1707" t="s">
        <v>124</v>
      </c>
      <c r="S1707" t="b">
        <v>0</v>
      </c>
      <c r="T1707" t="s">
        <v>124</v>
      </c>
    </row>
    <row r="1708">
      <c r="A1708" t="s">
        <v>3445</v>
      </c>
      <c r="B1708" t="s">
        <v>3446</v>
      </c>
      <c r="C1708" s="2">
        <v>2023</v>
      </c>
      <c r="D1708" s="10">
        <v>4</v>
      </c>
      <c r="E1708" s="10">
        <v>23</v>
      </c>
      <c r="F1708" t="s">
        <v>3447</v>
      </c>
      <c r="G1708">
        <v>3446</v>
      </c>
      <c r="H1708" t="s">
        <v>128</v>
      </c>
      <c r="I1708" t="s">
        <v>136</v>
      </c>
      <c r="J1708" s="10" t="str">
        <f>VLOOKUP(I1708,Categories!A:B,2,FALSE)</f>
        <v>อื่นๆ</v>
      </c>
      <c r="K1708" t="s">
        <v>131</v>
      </c>
      <c r="L1708" s="10" t="str">
        <f>VLOOKUP(K1708,Accounts!A:B,2,FALSE)</f>
        <v xml:space="preserve">Advance Paid</v>
      </c>
      <c r="M1708" t="s">
        <v>178</v>
      </c>
      <c r="N1708" s="10" t="str">
        <f>VLOOKUP(M1708,Accounts!A:B,2,FALSE)</f>
        <v>SCB</v>
      </c>
      <c r="O1708" t="s">
        <v>125</v>
      </c>
      <c r="Q1708" t="s">
        <v>126</v>
      </c>
      <c r="R1708" t="s">
        <v>124</v>
      </c>
      <c r="S1708" t="b">
        <v>0</v>
      </c>
      <c r="T1708" t="s">
        <v>124</v>
      </c>
    </row>
    <row r="1709">
      <c r="A1709" t="s">
        <v>3448</v>
      </c>
      <c r="B1709" t="s">
        <v>3446</v>
      </c>
      <c r="C1709" s="2">
        <v>2023</v>
      </c>
      <c r="D1709" s="10">
        <v>4</v>
      </c>
      <c r="E1709" s="10">
        <v>23</v>
      </c>
      <c r="F1709" t="s">
        <v>2131</v>
      </c>
      <c r="G1709">
        <v>255</v>
      </c>
      <c r="H1709" t="s">
        <v>69</v>
      </c>
      <c r="I1709" t="s">
        <v>150</v>
      </c>
      <c r="J1709" s="10" t="str">
        <f>VLOOKUP(I1709,Categories!A:B,2,FALSE)</f>
        <v xml:space="preserve">Food &amp; Coff</v>
      </c>
      <c r="K1709" t="s">
        <v>2317</v>
      </c>
      <c r="L1709" s="10" t="str">
        <f>VLOOKUP(K1709,Accounts!A:B,2,FALSE)</f>
        <v xml:space="preserve">Marriage account</v>
      </c>
      <c r="M1709" t="s">
        <v>124</v>
      </c>
      <c r="N1709" s="10"/>
      <c r="O1709" t="s">
        <v>125</v>
      </c>
      <c r="Q1709" t="s">
        <v>126</v>
      </c>
      <c r="R1709" t="s">
        <v>124</v>
      </c>
      <c r="S1709" t="b">
        <v>0</v>
      </c>
      <c r="T1709" t="s">
        <v>124</v>
      </c>
    </row>
    <row r="1710">
      <c r="A1710" t="s">
        <v>3449</v>
      </c>
      <c r="B1710" t="s">
        <v>3446</v>
      </c>
      <c r="C1710" s="2">
        <v>2023</v>
      </c>
      <c r="D1710" s="10">
        <v>4</v>
      </c>
      <c r="E1710" s="10">
        <v>23</v>
      </c>
      <c r="F1710" t="s">
        <v>3450</v>
      </c>
      <c r="G1710">
        <v>4000</v>
      </c>
      <c r="H1710" t="s">
        <v>128</v>
      </c>
      <c r="I1710" t="s">
        <v>136</v>
      </c>
      <c r="J1710" s="10" t="str">
        <f>VLOOKUP(I1710,Categories!A:B,2,FALSE)</f>
        <v>อื่นๆ</v>
      </c>
      <c r="K1710" t="s">
        <v>213</v>
      </c>
      <c r="L1710" s="10" t="str">
        <f>VLOOKUP(K1710,Accounts!A:B,2,FALSE)</f>
        <v xml:space="preserve">Krungthai Next</v>
      </c>
      <c r="M1710" t="s">
        <v>2513</v>
      </c>
      <c r="N1710" s="10" t="str">
        <f>VLOOKUP(M1710,Accounts!A:B,2,FALSE)</f>
        <v xml:space="preserve">Pao tung</v>
      </c>
      <c r="O1710" t="s">
        <v>125</v>
      </c>
      <c r="Q1710" t="s">
        <v>126</v>
      </c>
      <c r="R1710" t="s">
        <v>124</v>
      </c>
      <c r="S1710" t="b">
        <v>0</v>
      </c>
      <c r="T1710" t="s">
        <v>124</v>
      </c>
    </row>
    <row r="1711">
      <c r="A1711" t="s">
        <v>3451</v>
      </c>
      <c r="B1711" t="s">
        <v>3446</v>
      </c>
      <c r="C1711" s="2">
        <v>2023</v>
      </c>
      <c r="D1711" s="10">
        <v>4</v>
      </c>
      <c r="E1711" s="10">
        <v>23</v>
      </c>
      <c r="F1711" t="s">
        <v>3452</v>
      </c>
      <c r="G1711">
        <v>12</v>
      </c>
      <c r="H1711" t="s">
        <v>69</v>
      </c>
      <c r="I1711" t="s">
        <v>150</v>
      </c>
      <c r="J1711" s="10" t="str">
        <f>VLOOKUP(I1711,Categories!A:B,2,FALSE)</f>
        <v xml:space="preserve">Food &amp; Coff</v>
      </c>
      <c r="K1711" t="s">
        <v>178</v>
      </c>
      <c r="L1711" s="10" t="str">
        <f>VLOOKUP(K1711,Accounts!A:B,2,FALSE)</f>
        <v>SCB</v>
      </c>
      <c r="M1711" t="s">
        <v>124</v>
      </c>
      <c r="N1711" s="10"/>
      <c r="O1711" t="s">
        <v>125</v>
      </c>
      <c r="Q1711" t="s">
        <v>126</v>
      </c>
      <c r="R1711" t="s">
        <v>124</v>
      </c>
      <c r="S1711" t="b">
        <v>0</v>
      </c>
      <c r="T1711" t="s">
        <v>124</v>
      </c>
    </row>
    <row r="1712">
      <c r="A1712" t="s">
        <v>3453</v>
      </c>
      <c r="B1712" t="s">
        <v>3446</v>
      </c>
      <c r="C1712" s="2">
        <v>2023</v>
      </c>
      <c r="D1712" s="10">
        <v>4</v>
      </c>
      <c r="E1712" s="10">
        <v>23</v>
      </c>
      <c r="F1712" t="s">
        <v>3454</v>
      </c>
      <c r="G1712">
        <v>565</v>
      </c>
      <c r="H1712" t="s">
        <v>69</v>
      </c>
      <c r="I1712" t="s">
        <v>134</v>
      </c>
      <c r="J1712" s="10" t="str">
        <f>VLOOKUP(I1712,Categories!A:B,2,FALSE)</f>
        <v>Hong</v>
      </c>
      <c r="K1712" t="s">
        <v>123</v>
      </c>
      <c r="L1712" s="10" t="str">
        <f>VLOOKUP(K1712,Accounts!A:B,2,FALSE)</f>
        <v>KBank</v>
      </c>
      <c r="M1712" t="s">
        <v>124</v>
      </c>
      <c r="N1712" s="10"/>
      <c r="O1712" t="s">
        <v>125</v>
      </c>
      <c r="Q1712" t="s">
        <v>126</v>
      </c>
      <c r="R1712" t="s">
        <v>124</v>
      </c>
      <c r="S1712" t="b">
        <v>0</v>
      </c>
      <c r="T1712" t="s">
        <v>124</v>
      </c>
    </row>
    <row r="1713">
      <c r="A1713" t="s">
        <v>3455</v>
      </c>
      <c r="B1713" t="s">
        <v>3456</v>
      </c>
      <c r="C1713" s="2">
        <v>2023</v>
      </c>
      <c r="D1713" s="10">
        <v>4</v>
      </c>
      <c r="E1713" s="10">
        <v>22</v>
      </c>
      <c r="F1713" t="s">
        <v>2131</v>
      </c>
      <c r="G1713">
        <v>260</v>
      </c>
      <c r="H1713" t="s">
        <v>69</v>
      </c>
      <c r="I1713" t="s">
        <v>150</v>
      </c>
      <c r="J1713" s="10" t="str">
        <f>VLOOKUP(I1713,Categories!A:B,2,FALSE)</f>
        <v xml:space="preserve">Food &amp; Coff</v>
      </c>
      <c r="K1713" t="s">
        <v>2317</v>
      </c>
      <c r="L1713" s="10" t="str">
        <f>VLOOKUP(K1713,Accounts!A:B,2,FALSE)</f>
        <v xml:space="preserve">Marriage account</v>
      </c>
      <c r="M1713" t="s">
        <v>124</v>
      </c>
      <c r="N1713" s="10"/>
      <c r="O1713" t="s">
        <v>125</v>
      </c>
      <c r="Q1713" t="s">
        <v>126</v>
      </c>
      <c r="R1713" t="s">
        <v>124</v>
      </c>
      <c r="S1713" t="b">
        <v>0</v>
      </c>
      <c r="T1713" t="s">
        <v>124</v>
      </c>
    </row>
    <row r="1714">
      <c r="A1714" t="s">
        <v>3457</v>
      </c>
      <c r="B1714" t="s">
        <v>3458</v>
      </c>
      <c r="C1714" s="2">
        <v>2023</v>
      </c>
      <c r="D1714" s="10">
        <v>4</v>
      </c>
      <c r="E1714" s="10">
        <v>20</v>
      </c>
      <c r="F1714" t="s">
        <v>639</v>
      </c>
      <c r="G1714">
        <v>11957</v>
      </c>
      <c r="H1714" t="s">
        <v>128</v>
      </c>
      <c r="I1714" t="s">
        <v>136</v>
      </c>
      <c r="J1714" s="10" t="str">
        <f>VLOOKUP(I1714,Categories!A:B,2,FALSE)</f>
        <v>อื่นๆ</v>
      </c>
      <c r="K1714" t="s">
        <v>131</v>
      </c>
      <c r="L1714" s="10" t="str">
        <f>VLOOKUP(K1714,Accounts!A:B,2,FALSE)</f>
        <v xml:space="preserve">Advance Paid</v>
      </c>
      <c r="M1714" t="s">
        <v>178</v>
      </c>
      <c r="N1714" s="10" t="str">
        <f>VLOOKUP(M1714,Accounts!A:B,2,FALSE)</f>
        <v>SCB</v>
      </c>
      <c r="O1714" t="s">
        <v>125</v>
      </c>
      <c r="Q1714" t="s">
        <v>126</v>
      </c>
      <c r="R1714" t="s">
        <v>124</v>
      </c>
      <c r="S1714" t="b">
        <v>0</v>
      </c>
      <c r="T1714" t="s">
        <v>124</v>
      </c>
    </row>
    <row r="1715">
      <c r="A1715" t="s">
        <v>3459</v>
      </c>
      <c r="B1715" t="s">
        <v>3458</v>
      </c>
      <c r="C1715" s="2">
        <v>2023</v>
      </c>
      <c r="D1715" s="10">
        <v>4</v>
      </c>
      <c r="E1715" s="10">
        <v>20</v>
      </c>
      <c r="F1715" t="s">
        <v>226</v>
      </c>
      <c r="G1715">
        <v>65</v>
      </c>
      <c r="H1715" t="s">
        <v>69</v>
      </c>
      <c r="I1715" t="s">
        <v>150</v>
      </c>
      <c r="J1715" s="10" t="str">
        <f>VLOOKUP(I1715,Categories!A:B,2,FALSE)</f>
        <v xml:space="preserve">Food &amp; Coff</v>
      </c>
      <c r="K1715" t="s">
        <v>178</v>
      </c>
      <c r="L1715" s="10" t="str">
        <f>VLOOKUP(K1715,Accounts!A:B,2,FALSE)</f>
        <v>SCB</v>
      </c>
      <c r="M1715" t="s">
        <v>124</v>
      </c>
      <c r="N1715" s="10"/>
      <c r="O1715" t="s">
        <v>125</v>
      </c>
      <c r="Q1715" t="s">
        <v>126</v>
      </c>
      <c r="R1715" t="s">
        <v>124</v>
      </c>
      <c r="S1715" t="b">
        <v>0</v>
      </c>
      <c r="T1715" t="s">
        <v>124</v>
      </c>
    </row>
    <row r="1716">
      <c r="A1716" t="s">
        <v>3460</v>
      </c>
      <c r="B1716" t="s">
        <v>3458</v>
      </c>
      <c r="C1716" s="2">
        <v>2023</v>
      </c>
      <c r="D1716" s="10">
        <v>4</v>
      </c>
      <c r="E1716" s="10">
        <v>20</v>
      </c>
      <c r="F1716" t="s">
        <v>599</v>
      </c>
      <c r="G1716">
        <v>55</v>
      </c>
      <c r="H1716" t="s">
        <v>69</v>
      </c>
      <c r="I1716" t="s">
        <v>150</v>
      </c>
      <c r="J1716" s="10" t="str">
        <f>VLOOKUP(I1716,Categories!A:B,2,FALSE)</f>
        <v xml:space="preserve">Food &amp; Coff</v>
      </c>
      <c r="K1716" t="s">
        <v>178</v>
      </c>
      <c r="L1716" s="10" t="str">
        <f>VLOOKUP(K1716,Accounts!A:B,2,FALSE)</f>
        <v>SCB</v>
      </c>
      <c r="M1716" t="s">
        <v>124</v>
      </c>
      <c r="N1716" s="10"/>
      <c r="O1716" t="s">
        <v>125</v>
      </c>
      <c r="Q1716" t="s">
        <v>126</v>
      </c>
      <c r="R1716" t="s">
        <v>124</v>
      </c>
      <c r="S1716" t="b">
        <v>0</v>
      </c>
      <c r="T1716" t="s">
        <v>124</v>
      </c>
    </row>
    <row r="1717">
      <c r="A1717" t="s">
        <v>3461</v>
      </c>
      <c r="B1717" t="s">
        <v>3458</v>
      </c>
      <c r="C1717" s="2">
        <v>2023</v>
      </c>
      <c r="D1717" s="10">
        <v>4</v>
      </c>
      <c r="E1717" s="10">
        <v>20</v>
      </c>
      <c r="F1717" t="s">
        <v>470</v>
      </c>
      <c r="G1717">
        <v>359</v>
      </c>
      <c r="H1717" t="s">
        <v>69</v>
      </c>
      <c r="I1717" t="s">
        <v>150</v>
      </c>
      <c r="J1717" s="10" t="str">
        <f>VLOOKUP(I1717,Categories!A:B,2,FALSE)</f>
        <v xml:space="preserve">Food &amp; Coff</v>
      </c>
      <c r="K1717" t="s">
        <v>2317</v>
      </c>
      <c r="L1717" s="10" t="str">
        <f>VLOOKUP(K1717,Accounts!A:B,2,FALSE)</f>
        <v xml:space="preserve">Marriage account</v>
      </c>
      <c r="M1717" t="s">
        <v>124</v>
      </c>
      <c r="N1717" s="10"/>
      <c r="O1717" t="s">
        <v>125</v>
      </c>
      <c r="Q1717" t="s">
        <v>126</v>
      </c>
      <c r="R1717" t="s">
        <v>124</v>
      </c>
      <c r="S1717" t="b">
        <v>0</v>
      </c>
      <c r="T1717" t="s">
        <v>124</v>
      </c>
    </row>
    <row r="1718">
      <c r="A1718" t="s">
        <v>3462</v>
      </c>
      <c r="B1718" t="s">
        <v>3463</v>
      </c>
      <c r="C1718" s="2">
        <v>2023</v>
      </c>
      <c r="D1718" s="10">
        <v>4</v>
      </c>
      <c r="E1718" s="10">
        <v>19</v>
      </c>
      <c r="F1718" t="s">
        <v>2937</v>
      </c>
      <c r="G1718">
        <v>70</v>
      </c>
      <c r="H1718" t="s">
        <v>69</v>
      </c>
      <c r="I1718" t="s">
        <v>150</v>
      </c>
      <c r="J1718" s="10" t="str">
        <f>VLOOKUP(I1718,Categories!A:B,2,FALSE)</f>
        <v xml:space="preserve">Food &amp; Coff</v>
      </c>
      <c r="K1718" t="s">
        <v>178</v>
      </c>
      <c r="L1718" s="10" t="str">
        <f>VLOOKUP(K1718,Accounts!A:B,2,FALSE)</f>
        <v>SCB</v>
      </c>
      <c r="M1718" t="s">
        <v>124</v>
      </c>
      <c r="N1718" s="10"/>
      <c r="O1718" t="s">
        <v>125</v>
      </c>
      <c r="Q1718" t="s">
        <v>126</v>
      </c>
      <c r="R1718" t="s">
        <v>124</v>
      </c>
      <c r="S1718" t="b">
        <v>0</v>
      </c>
      <c r="T1718" t="s">
        <v>124</v>
      </c>
    </row>
    <row r="1719">
      <c r="A1719" t="s">
        <v>3464</v>
      </c>
      <c r="B1719" t="s">
        <v>3463</v>
      </c>
      <c r="C1719" s="2">
        <v>2023</v>
      </c>
      <c r="D1719" s="10">
        <v>4</v>
      </c>
      <c r="E1719" s="10">
        <v>19</v>
      </c>
      <c r="F1719" t="s">
        <v>2063</v>
      </c>
      <c r="G1719">
        <v>128</v>
      </c>
      <c r="H1719" t="s">
        <v>69</v>
      </c>
      <c r="I1719" t="s">
        <v>150</v>
      </c>
      <c r="J1719" s="10" t="str">
        <f>VLOOKUP(I1719,Categories!A:B,2,FALSE)</f>
        <v xml:space="preserve">Food &amp; Coff</v>
      </c>
      <c r="K1719" t="s">
        <v>2317</v>
      </c>
      <c r="L1719" s="10" t="str">
        <f>VLOOKUP(K1719,Accounts!A:B,2,FALSE)</f>
        <v xml:space="preserve">Marriage account</v>
      </c>
      <c r="M1719" t="s">
        <v>124</v>
      </c>
      <c r="N1719" s="10"/>
      <c r="O1719" t="s">
        <v>125</v>
      </c>
      <c r="Q1719" t="s">
        <v>126</v>
      </c>
      <c r="R1719" t="s">
        <v>124</v>
      </c>
      <c r="S1719" t="b">
        <v>0</v>
      </c>
      <c r="T1719" t="s">
        <v>124</v>
      </c>
    </row>
    <row r="1720">
      <c r="A1720" t="s">
        <v>3465</v>
      </c>
      <c r="B1720" t="s">
        <v>3463</v>
      </c>
      <c r="C1720" s="2">
        <v>2023</v>
      </c>
      <c r="D1720" s="10">
        <v>4</v>
      </c>
      <c r="E1720" s="10">
        <v>19</v>
      </c>
      <c r="F1720" t="s">
        <v>599</v>
      </c>
      <c r="G1720">
        <v>170</v>
      </c>
      <c r="H1720" t="s">
        <v>69</v>
      </c>
      <c r="I1720" t="s">
        <v>150</v>
      </c>
      <c r="J1720" s="10" t="str">
        <f>VLOOKUP(I1720,Categories!A:B,2,FALSE)</f>
        <v xml:space="preserve">Food &amp; Coff</v>
      </c>
      <c r="K1720" t="s">
        <v>178</v>
      </c>
      <c r="L1720" s="10" t="str">
        <f>VLOOKUP(K1720,Accounts!A:B,2,FALSE)</f>
        <v>SCB</v>
      </c>
      <c r="M1720" t="s">
        <v>124</v>
      </c>
      <c r="N1720" s="10"/>
      <c r="O1720" t="s">
        <v>125</v>
      </c>
      <c r="Q1720" t="s">
        <v>126</v>
      </c>
      <c r="R1720" t="s">
        <v>124</v>
      </c>
      <c r="S1720" t="b">
        <v>0</v>
      </c>
      <c r="T1720" t="s">
        <v>124</v>
      </c>
    </row>
    <row r="1721">
      <c r="A1721" t="s">
        <v>3466</v>
      </c>
      <c r="B1721" t="s">
        <v>3463</v>
      </c>
      <c r="C1721" s="2">
        <v>2023</v>
      </c>
      <c r="D1721" s="10">
        <v>4</v>
      </c>
      <c r="E1721" s="10">
        <v>19</v>
      </c>
      <c r="F1721" t="s">
        <v>380</v>
      </c>
      <c r="G1721">
        <v>20</v>
      </c>
      <c r="H1721" t="s">
        <v>69</v>
      </c>
      <c r="I1721" t="s">
        <v>150</v>
      </c>
      <c r="J1721" s="10" t="str">
        <f>VLOOKUP(I1721,Categories!A:B,2,FALSE)</f>
        <v xml:space="preserve">Food &amp; Coff</v>
      </c>
      <c r="K1721" t="s">
        <v>178</v>
      </c>
      <c r="L1721" s="10" t="str">
        <f>VLOOKUP(K1721,Accounts!A:B,2,FALSE)</f>
        <v>SCB</v>
      </c>
      <c r="M1721" t="s">
        <v>124</v>
      </c>
      <c r="N1721" s="10"/>
      <c r="O1721" t="s">
        <v>125</v>
      </c>
      <c r="Q1721" t="s">
        <v>126</v>
      </c>
      <c r="R1721" t="s">
        <v>124</v>
      </c>
      <c r="S1721" t="b">
        <v>0</v>
      </c>
      <c r="T1721" t="s">
        <v>124</v>
      </c>
    </row>
    <row r="1722">
      <c r="A1722" t="s">
        <v>3467</v>
      </c>
      <c r="B1722" t="s">
        <v>3468</v>
      </c>
      <c r="C1722" s="2">
        <v>2023</v>
      </c>
      <c r="D1722" s="10">
        <v>4</v>
      </c>
      <c r="E1722" s="10">
        <v>18</v>
      </c>
      <c r="F1722" t="s">
        <v>247</v>
      </c>
      <c r="G1722">
        <v>65</v>
      </c>
      <c r="H1722" t="s">
        <v>69</v>
      </c>
      <c r="I1722" t="s">
        <v>150</v>
      </c>
      <c r="J1722" s="10" t="str">
        <f>VLOOKUP(I1722,Categories!A:B,2,FALSE)</f>
        <v xml:space="preserve">Food &amp; Coff</v>
      </c>
      <c r="K1722" t="s">
        <v>178</v>
      </c>
      <c r="L1722" s="10" t="str">
        <f>VLOOKUP(K1722,Accounts!A:B,2,FALSE)</f>
        <v>SCB</v>
      </c>
      <c r="M1722" t="s">
        <v>124</v>
      </c>
      <c r="N1722" s="10"/>
      <c r="O1722" t="s">
        <v>125</v>
      </c>
      <c r="Q1722" t="s">
        <v>126</v>
      </c>
      <c r="R1722" t="s">
        <v>124</v>
      </c>
      <c r="S1722" t="b">
        <v>0</v>
      </c>
      <c r="T1722" t="s">
        <v>124</v>
      </c>
    </row>
    <row r="1723">
      <c r="A1723" t="s">
        <v>3469</v>
      </c>
      <c r="B1723" t="s">
        <v>3468</v>
      </c>
      <c r="C1723" s="2">
        <v>2023</v>
      </c>
      <c r="D1723" s="10">
        <v>4</v>
      </c>
      <c r="E1723" s="10">
        <v>18</v>
      </c>
      <c r="F1723" t="s">
        <v>1773</v>
      </c>
      <c r="G1723">
        <v>325</v>
      </c>
      <c r="H1723" t="s">
        <v>128</v>
      </c>
      <c r="I1723" t="s">
        <v>136</v>
      </c>
      <c r="J1723" s="10" t="str">
        <f>VLOOKUP(I1723,Categories!A:B,2,FALSE)</f>
        <v>อื่นๆ</v>
      </c>
      <c r="K1723" t="s">
        <v>178</v>
      </c>
      <c r="L1723" s="10" t="str">
        <f>VLOOKUP(K1723,Accounts!A:B,2,FALSE)</f>
        <v>SCB</v>
      </c>
      <c r="M1723" t="s">
        <v>131</v>
      </c>
      <c r="N1723" s="10" t="str">
        <f>VLOOKUP(M1723,Accounts!A:B,2,FALSE)</f>
        <v xml:space="preserve">Advance Paid</v>
      </c>
      <c r="O1723" t="s">
        <v>125</v>
      </c>
      <c r="Q1723" t="s">
        <v>126</v>
      </c>
      <c r="R1723" t="s">
        <v>124</v>
      </c>
      <c r="S1723" t="b">
        <v>0</v>
      </c>
      <c r="T1723" t="s">
        <v>124</v>
      </c>
    </row>
    <row r="1724">
      <c r="A1724" t="s">
        <v>3470</v>
      </c>
      <c r="B1724" t="s">
        <v>3471</v>
      </c>
      <c r="C1724" s="2">
        <v>2023</v>
      </c>
      <c r="D1724" s="10">
        <v>4</v>
      </c>
      <c r="E1724" s="10">
        <v>17</v>
      </c>
      <c r="F1724" t="s">
        <v>1079</v>
      </c>
      <c r="G1724">
        <v>55</v>
      </c>
      <c r="H1724" t="s">
        <v>69</v>
      </c>
      <c r="I1724" t="s">
        <v>150</v>
      </c>
      <c r="J1724" s="10" t="str">
        <f>VLOOKUP(I1724,Categories!A:B,2,FALSE)</f>
        <v xml:space="preserve">Food &amp; Coff</v>
      </c>
      <c r="K1724" t="s">
        <v>178</v>
      </c>
      <c r="L1724" s="10" t="str">
        <f>VLOOKUP(K1724,Accounts!A:B,2,FALSE)</f>
        <v>SCB</v>
      </c>
      <c r="M1724" t="s">
        <v>124</v>
      </c>
      <c r="N1724" s="10"/>
      <c r="O1724" t="s">
        <v>125</v>
      </c>
      <c r="Q1724" t="s">
        <v>126</v>
      </c>
      <c r="R1724" t="s">
        <v>124</v>
      </c>
      <c r="S1724" t="b">
        <v>0</v>
      </c>
      <c r="T1724" t="s">
        <v>124</v>
      </c>
    </row>
    <row r="1725">
      <c r="A1725" t="s">
        <v>3472</v>
      </c>
      <c r="B1725" t="s">
        <v>3471</v>
      </c>
      <c r="C1725" s="2">
        <v>2023</v>
      </c>
      <c r="D1725" s="10">
        <v>4</v>
      </c>
      <c r="E1725" s="10">
        <v>17</v>
      </c>
      <c r="F1725" t="s">
        <v>1797</v>
      </c>
      <c r="G1725">
        <v>60</v>
      </c>
      <c r="H1725" t="s">
        <v>69</v>
      </c>
      <c r="I1725" t="s">
        <v>150</v>
      </c>
      <c r="J1725" s="10" t="str">
        <f>VLOOKUP(I1725,Categories!A:B,2,FALSE)</f>
        <v xml:space="preserve">Food &amp; Coff</v>
      </c>
      <c r="K1725" t="s">
        <v>178</v>
      </c>
      <c r="L1725" s="10" t="str">
        <f>VLOOKUP(K1725,Accounts!A:B,2,FALSE)</f>
        <v>SCB</v>
      </c>
      <c r="M1725" t="s">
        <v>124</v>
      </c>
      <c r="N1725" s="10"/>
      <c r="O1725" t="s">
        <v>125</v>
      </c>
      <c r="Q1725" t="s">
        <v>126</v>
      </c>
      <c r="R1725" t="s">
        <v>124</v>
      </c>
      <c r="S1725" t="b">
        <v>0</v>
      </c>
      <c r="T1725" t="s">
        <v>124</v>
      </c>
    </row>
    <row r="1726">
      <c r="A1726" t="s">
        <v>3473</v>
      </c>
      <c r="B1726" t="s">
        <v>3471</v>
      </c>
      <c r="C1726" s="2">
        <v>2023</v>
      </c>
      <c r="D1726" s="10">
        <v>4</v>
      </c>
      <c r="E1726" s="10">
        <v>17</v>
      </c>
      <c r="F1726" t="s">
        <v>289</v>
      </c>
      <c r="G1726">
        <v>99</v>
      </c>
      <c r="H1726" t="s">
        <v>69</v>
      </c>
      <c r="I1726" t="s">
        <v>150</v>
      </c>
      <c r="J1726" s="10" t="str">
        <f>VLOOKUP(I1726,Categories!A:B,2,FALSE)</f>
        <v xml:space="preserve">Food &amp; Coff</v>
      </c>
      <c r="K1726" t="s">
        <v>178</v>
      </c>
      <c r="L1726" s="10" t="str">
        <f>VLOOKUP(K1726,Accounts!A:B,2,FALSE)</f>
        <v>SCB</v>
      </c>
      <c r="M1726" t="s">
        <v>124</v>
      </c>
      <c r="N1726" s="10"/>
      <c r="O1726" t="s">
        <v>125</v>
      </c>
      <c r="Q1726" t="s">
        <v>126</v>
      </c>
      <c r="R1726" t="s">
        <v>124</v>
      </c>
      <c r="S1726" t="b">
        <v>0</v>
      </c>
      <c r="T1726" t="s">
        <v>124</v>
      </c>
    </row>
    <row r="1727">
      <c r="A1727" t="s">
        <v>3474</v>
      </c>
      <c r="B1727" t="s">
        <v>3471</v>
      </c>
      <c r="C1727" s="2">
        <v>2023</v>
      </c>
      <c r="D1727" s="10">
        <v>4</v>
      </c>
      <c r="E1727" s="10">
        <v>17</v>
      </c>
      <c r="F1727" t="s">
        <v>289</v>
      </c>
      <c r="G1727">
        <v>89</v>
      </c>
      <c r="H1727" t="s">
        <v>69</v>
      </c>
      <c r="I1727" t="s">
        <v>150</v>
      </c>
      <c r="J1727" s="10" t="str">
        <f>VLOOKUP(I1727,Categories!A:B,2,FALSE)</f>
        <v xml:space="preserve">Food &amp; Coff</v>
      </c>
      <c r="K1727" t="s">
        <v>178</v>
      </c>
      <c r="L1727" s="10" t="str">
        <f>VLOOKUP(K1727,Accounts!A:B,2,FALSE)</f>
        <v>SCB</v>
      </c>
      <c r="M1727" t="s">
        <v>124</v>
      </c>
      <c r="N1727" s="10"/>
      <c r="O1727" t="s">
        <v>125</v>
      </c>
      <c r="Q1727" t="s">
        <v>126</v>
      </c>
      <c r="R1727" t="s">
        <v>124</v>
      </c>
      <c r="S1727" t="b">
        <v>0</v>
      </c>
      <c r="T1727" t="s">
        <v>124</v>
      </c>
    </row>
    <row r="1728">
      <c r="A1728" t="s">
        <v>3475</v>
      </c>
      <c r="B1728" t="s">
        <v>3476</v>
      </c>
      <c r="C1728" s="2">
        <v>2023</v>
      </c>
      <c r="D1728" s="10">
        <v>4</v>
      </c>
      <c r="E1728" s="10">
        <v>16</v>
      </c>
      <c r="F1728" t="s">
        <v>3477</v>
      </c>
      <c r="G1728">
        <v>940</v>
      </c>
      <c r="H1728" t="s">
        <v>69</v>
      </c>
      <c r="I1728" t="s">
        <v>3276</v>
      </c>
      <c r="J1728" s="10" t="str">
        <f>VLOOKUP(I1728,Categories!A:B,2,FALSE)</f>
        <v>Fuel</v>
      </c>
      <c r="K1728" t="s">
        <v>2317</v>
      </c>
      <c r="L1728" s="10" t="str">
        <f>VLOOKUP(K1728,Accounts!A:B,2,FALSE)</f>
        <v xml:space="preserve">Marriage account</v>
      </c>
      <c r="M1728" t="s">
        <v>124</v>
      </c>
      <c r="N1728" s="10"/>
      <c r="O1728" t="s">
        <v>125</v>
      </c>
      <c r="Q1728" t="s">
        <v>126</v>
      </c>
      <c r="R1728" t="s">
        <v>124</v>
      </c>
      <c r="S1728" t="b">
        <v>0</v>
      </c>
      <c r="T1728" t="s">
        <v>124</v>
      </c>
    </row>
    <row r="1729">
      <c r="A1729" t="s">
        <v>3478</v>
      </c>
      <c r="B1729" t="s">
        <v>3476</v>
      </c>
      <c r="C1729" s="2">
        <v>2023</v>
      </c>
      <c r="D1729" s="10">
        <v>4</v>
      </c>
      <c r="E1729" s="10">
        <v>16</v>
      </c>
      <c r="F1729" t="s">
        <v>2967</v>
      </c>
      <c r="G1729">
        <v>300</v>
      </c>
      <c r="H1729" t="s">
        <v>69</v>
      </c>
      <c r="I1729" t="s">
        <v>150</v>
      </c>
      <c r="J1729" s="10" t="str">
        <f>VLOOKUP(I1729,Categories!A:B,2,FALSE)</f>
        <v xml:space="preserve">Food &amp; Coff</v>
      </c>
      <c r="K1729" t="s">
        <v>178</v>
      </c>
      <c r="L1729" s="10" t="str">
        <f>VLOOKUP(K1729,Accounts!A:B,2,FALSE)</f>
        <v>SCB</v>
      </c>
      <c r="M1729" t="s">
        <v>124</v>
      </c>
      <c r="N1729" s="10"/>
      <c r="O1729" t="s">
        <v>3479</v>
      </c>
      <c r="Q1729" t="s">
        <v>126</v>
      </c>
      <c r="R1729" t="s">
        <v>124</v>
      </c>
      <c r="S1729" t="b">
        <v>0</v>
      </c>
      <c r="T1729" t="s">
        <v>124</v>
      </c>
    </row>
    <row r="1730">
      <c r="A1730" t="s">
        <v>3480</v>
      </c>
      <c r="B1730" t="s">
        <v>3476</v>
      </c>
      <c r="C1730" s="2">
        <v>2023</v>
      </c>
      <c r="D1730" s="10">
        <v>4</v>
      </c>
      <c r="E1730" s="10">
        <v>16</v>
      </c>
      <c r="F1730" t="s">
        <v>2786</v>
      </c>
      <c r="G1730">
        <v>1235</v>
      </c>
      <c r="H1730" t="s">
        <v>69</v>
      </c>
      <c r="I1730" t="s">
        <v>150</v>
      </c>
      <c r="J1730" s="10" t="str">
        <f>VLOOKUP(I1730,Categories!A:B,2,FALSE)</f>
        <v xml:space="preserve">Food &amp; Coff</v>
      </c>
      <c r="K1730" t="s">
        <v>2317</v>
      </c>
      <c r="L1730" s="10" t="str">
        <f>VLOOKUP(K1730,Accounts!A:B,2,FALSE)</f>
        <v xml:space="preserve">Marriage account</v>
      </c>
      <c r="M1730" t="s">
        <v>124</v>
      </c>
      <c r="N1730" s="10"/>
      <c r="O1730" t="s">
        <v>125</v>
      </c>
      <c r="Q1730" t="s">
        <v>126</v>
      </c>
      <c r="R1730" t="s">
        <v>124</v>
      </c>
      <c r="S1730" t="b">
        <v>0</v>
      </c>
      <c r="T1730" t="s">
        <v>124</v>
      </c>
    </row>
    <row r="1731">
      <c r="A1731" t="s">
        <v>3481</v>
      </c>
      <c r="B1731" t="s">
        <v>3476</v>
      </c>
      <c r="C1731" s="2">
        <v>2023</v>
      </c>
      <c r="D1731" s="10">
        <v>4</v>
      </c>
      <c r="E1731" s="10">
        <v>16</v>
      </c>
      <c r="F1731" t="s">
        <v>424</v>
      </c>
      <c r="G1731">
        <v>788</v>
      </c>
      <c r="H1731" t="s">
        <v>128</v>
      </c>
      <c r="I1731" t="s">
        <v>136</v>
      </c>
      <c r="J1731" s="10" t="str">
        <f>VLOOKUP(I1731,Categories!A:B,2,FALSE)</f>
        <v>อื่นๆ</v>
      </c>
      <c r="K1731" t="s">
        <v>131</v>
      </c>
      <c r="L1731" s="10" t="str">
        <f>VLOOKUP(K1731,Accounts!A:B,2,FALSE)</f>
        <v xml:space="preserve">Advance Paid</v>
      </c>
      <c r="M1731" t="s">
        <v>178</v>
      </c>
      <c r="N1731" s="10" t="str">
        <f>VLOOKUP(M1731,Accounts!A:B,2,FALSE)</f>
        <v>SCB</v>
      </c>
      <c r="O1731" t="s">
        <v>125</v>
      </c>
      <c r="Q1731" t="s">
        <v>126</v>
      </c>
      <c r="R1731" t="s">
        <v>124</v>
      </c>
      <c r="S1731" t="b">
        <v>0</v>
      </c>
      <c r="T1731" t="s">
        <v>124</v>
      </c>
    </row>
    <row r="1732">
      <c r="A1732" t="s">
        <v>3482</v>
      </c>
      <c r="B1732" t="s">
        <v>3483</v>
      </c>
      <c r="C1732" s="2">
        <v>2023</v>
      </c>
      <c r="D1732" s="10">
        <v>4</v>
      </c>
      <c r="E1732" s="10">
        <v>15</v>
      </c>
      <c r="F1732" t="s">
        <v>1132</v>
      </c>
      <c r="G1732">
        <v>45</v>
      </c>
      <c r="H1732" t="s">
        <v>69</v>
      </c>
      <c r="I1732" t="s">
        <v>150</v>
      </c>
      <c r="J1732" s="10" t="str">
        <f>VLOOKUP(I1732,Categories!A:B,2,FALSE)</f>
        <v xml:space="preserve">Food &amp; Coff</v>
      </c>
      <c r="K1732" t="s">
        <v>178</v>
      </c>
      <c r="L1732" s="10" t="str">
        <f>VLOOKUP(K1732,Accounts!A:B,2,FALSE)</f>
        <v>SCB</v>
      </c>
      <c r="M1732" t="s">
        <v>124</v>
      </c>
      <c r="N1732" s="10"/>
      <c r="O1732" t="s">
        <v>125</v>
      </c>
      <c r="Q1732" t="s">
        <v>126</v>
      </c>
      <c r="R1732" t="s">
        <v>124</v>
      </c>
      <c r="S1732" t="b">
        <v>0</v>
      </c>
      <c r="T1732" t="s">
        <v>124</v>
      </c>
    </row>
    <row r="1733">
      <c r="A1733" t="s">
        <v>3484</v>
      </c>
      <c r="B1733" t="s">
        <v>3483</v>
      </c>
      <c r="C1733" s="2">
        <v>2023</v>
      </c>
      <c r="D1733" s="10">
        <v>4</v>
      </c>
      <c r="E1733" s="10">
        <v>15</v>
      </c>
      <c r="F1733" t="s">
        <v>955</v>
      </c>
      <c r="G1733">
        <v>760</v>
      </c>
      <c r="H1733" t="s">
        <v>69</v>
      </c>
      <c r="I1733" t="s">
        <v>134</v>
      </c>
      <c r="J1733" s="10" t="str">
        <f>VLOOKUP(I1733,Categories!A:B,2,FALSE)</f>
        <v>Hong</v>
      </c>
      <c r="K1733" t="s">
        <v>2317</v>
      </c>
      <c r="L1733" s="10" t="str">
        <f>VLOOKUP(K1733,Accounts!A:B,2,FALSE)</f>
        <v xml:space="preserve">Marriage account</v>
      </c>
      <c r="M1733" t="s">
        <v>124</v>
      </c>
      <c r="N1733" s="10"/>
      <c r="O1733" t="s">
        <v>125</v>
      </c>
      <c r="Q1733" t="s">
        <v>126</v>
      </c>
      <c r="R1733" t="s">
        <v>124</v>
      </c>
      <c r="S1733" t="b">
        <v>0</v>
      </c>
      <c r="T1733" t="s">
        <v>124</v>
      </c>
    </row>
    <row r="1734">
      <c r="A1734" t="s">
        <v>3485</v>
      </c>
      <c r="B1734" t="s">
        <v>3483</v>
      </c>
      <c r="C1734" s="2">
        <v>2023</v>
      </c>
      <c r="D1734" s="10">
        <v>4</v>
      </c>
      <c r="E1734" s="10">
        <v>15</v>
      </c>
      <c r="F1734" t="s">
        <v>955</v>
      </c>
      <c r="G1734">
        <v>1122.8699999999999</v>
      </c>
      <c r="H1734" t="s">
        <v>69</v>
      </c>
      <c r="I1734" t="s">
        <v>122</v>
      </c>
      <c r="J1734" s="10" t="str">
        <f>VLOOKUP(I1734,Categories!A:B,2,FALSE)</f>
        <v>Other</v>
      </c>
      <c r="K1734" t="s">
        <v>2317</v>
      </c>
      <c r="L1734" s="10" t="str">
        <f>VLOOKUP(K1734,Accounts!A:B,2,FALSE)</f>
        <v xml:space="preserve">Marriage account</v>
      </c>
      <c r="M1734" t="s">
        <v>124</v>
      </c>
      <c r="N1734" s="10"/>
      <c r="O1734" t="s">
        <v>125</v>
      </c>
      <c r="Q1734" t="s">
        <v>126</v>
      </c>
      <c r="R1734" t="s">
        <v>124</v>
      </c>
      <c r="S1734" t="b">
        <v>0</v>
      </c>
      <c r="T1734" t="s">
        <v>124</v>
      </c>
    </row>
    <row r="1735">
      <c r="A1735" t="s">
        <v>3486</v>
      </c>
      <c r="B1735" t="s">
        <v>3487</v>
      </c>
      <c r="C1735" s="2">
        <v>2023</v>
      </c>
      <c r="D1735" s="10">
        <v>4</v>
      </c>
      <c r="E1735" s="10">
        <v>14</v>
      </c>
      <c r="F1735" t="s">
        <v>121</v>
      </c>
      <c r="G1735">
        <v>419</v>
      </c>
      <c r="H1735" t="s">
        <v>69</v>
      </c>
      <c r="I1735" t="s">
        <v>1903</v>
      </c>
      <c r="J1735" s="10" t="str">
        <f>VLOOKUP(I1735,Categories!A:B,2,FALSE)</f>
        <v xml:space="preserve">Monthly subscription</v>
      </c>
      <c r="K1735" t="s">
        <v>747</v>
      </c>
      <c r="L1735" s="10" t="str">
        <f>VLOOKUP(K1735,Accounts!A:B,2,FALSE)</f>
        <v xml:space="preserve">UOB world</v>
      </c>
      <c r="M1735" t="s">
        <v>124</v>
      </c>
      <c r="N1735" s="10"/>
      <c r="O1735" t="s">
        <v>125</v>
      </c>
      <c r="Q1735" t="s">
        <v>126</v>
      </c>
      <c r="R1735" t="s">
        <v>124</v>
      </c>
      <c r="S1735" t="b">
        <v>0</v>
      </c>
      <c r="T1735" t="s">
        <v>124</v>
      </c>
    </row>
    <row r="1736">
      <c r="A1736" t="s">
        <v>3488</v>
      </c>
      <c r="B1736" t="s">
        <v>3487</v>
      </c>
      <c r="C1736" s="2">
        <v>2023</v>
      </c>
      <c r="D1736" s="10">
        <v>4</v>
      </c>
      <c r="E1736" s="10">
        <v>14</v>
      </c>
      <c r="F1736" t="s">
        <v>2699</v>
      </c>
      <c r="G1736">
        <v>64</v>
      </c>
      <c r="H1736" t="s">
        <v>69</v>
      </c>
      <c r="I1736" t="s">
        <v>1508</v>
      </c>
      <c r="J1736" s="10" t="str">
        <f>VLOOKUP(I1736,Categories!A:B,2,FALSE)</f>
        <v>Other</v>
      </c>
      <c r="K1736" t="s">
        <v>2317</v>
      </c>
      <c r="L1736" s="10" t="str">
        <f>VLOOKUP(K1736,Accounts!A:B,2,FALSE)</f>
        <v xml:space="preserve">Marriage account</v>
      </c>
      <c r="M1736" t="s">
        <v>124</v>
      </c>
      <c r="N1736" s="10"/>
      <c r="O1736" t="s">
        <v>3489</v>
      </c>
      <c r="Q1736" t="s">
        <v>126</v>
      </c>
      <c r="R1736" t="s">
        <v>124</v>
      </c>
      <c r="S1736" t="b">
        <v>0</v>
      </c>
      <c r="T1736" t="s">
        <v>124</v>
      </c>
    </row>
    <row r="1737">
      <c r="A1737" t="s">
        <v>3490</v>
      </c>
      <c r="B1737" t="s">
        <v>3487</v>
      </c>
      <c r="C1737" s="2">
        <v>2023</v>
      </c>
      <c r="D1737" s="10">
        <v>4</v>
      </c>
      <c r="E1737" s="10">
        <v>14</v>
      </c>
      <c r="F1737" t="s">
        <v>2696</v>
      </c>
      <c r="G1737">
        <v>419</v>
      </c>
      <c r="H1737" t="s">
        <v>128</v>
      </c>
      <c r="I1737" t="s">
        <v>136</v>
      </c>
      <c r="J1737" s="10" t="str">
        <f>VLOOKUP(I1737,Categories!A:B,2,FALSE)</f>
        <v>อื่นๆ</v>
      </c>
      <c r="K1737" t="s">
        <v>178</v>
      </c>
      <c r="L1737" s="10" t="str">
        <f>VLOOKUP(K1737,Accounts!A:B,2,FALSE)</f>
        <v>SCB</v>
      </c>
      <c r="M1737" t="s">
        <v>747</v>
      </c>
      <c r="N1737" s="10" t="str">
        <f>VLOOKUP(M1737,Accounts!A:B,2,FALSE)</f>
        <v xml:space="preserve">UOB world</v>
      </c>
      <c r="O1737" t="s">
        <v>125</v>
      </c>
      <c r="Q1737" t="s">
        <v>126</v>
      </c>
      <c r="R1737" t="s">
        <v>124</v>
      </c>
      <c r="S1737" t="b">
        <v>0</v>
      </c>
      <c r="T1737" t="s">
        <v>124</v>
      </c>
    </row>
    <row r="1738">
      <c r="A1738" t="s">
        <v>3491</v>
      </c>
      <c r="B1738" t="s">
        <v>3487</v>
      </c>
      <c r="C1738" s="2">
        <v>2023</v>
      </c>
      <c r="D1738" s="10">
        <v>4</v>
      </c>
      <c r="E1738" s="10">
        <v>14</v>
      </c>
      <c r="F1738" t="s">
        <v>1047</v>
      </c>
      <c r="G1738">
        <v>155</v>
      </c>
      <c r="H1738" t="s">
        <v>69</v>
      </c>
      <c r="I1738" t="s">
        <v>150</v>
      </c>
      <c r="J1738" s="10" t="str">
        <f>VLOOKUP(I1738,Categories!A:B,2,FALSE)</f>
        <v xml:space="preserve">Food &amp; Coff</v>
      </c>
      <c r="K1738" t="s">
        <v>2317</v>
      </c>
      <c r="L1738" s="10" t="str">
        <f>VLOOKUP(K1738,Accounts!A:B,2,FALSE)</f>
        <v xml:space="preserve">Marriage account</v>
      </c>
      <c r="M1738" t="s">
        <v>124</v>
      </c>
      <c r="N1738" s="10"/>
      <c r="O1738" t="s">
        <v>125</v>
      </c>
      <c r="Q1738" t="s">
        <v>126</v>
      </c>
      <c r="R1738" t="s">
        <v>124</v>
      </c>
      <c r="S1738" t="b">
        <v>0</v>
      </c>
      <c r="T1738" t="s">
        <v>124</v>
      </c>
    </row>
    <row r="1739">
      <c r="A1739" t="s">
        <v>3492</v>
      </c>
      <c r="B1739" t="s">
        <v>3487</v>
      </c>
      <c r="C1739" s="2">
        <v>2023</v>
      </c>
      <c r="D1739" s="10">
        <v>4</v>
      </c>
      <c r="E1739" s="10">
        <v>14</v>
      </c>
      <c r="F1739" t="s">
        <v>1105</v>
      </c>
      <c r="G1739">
        <v>90</v>
      </c>
      <c r="H1739" t="s">
        <v>69</v>
      </c>
      <c r="I1739" t="s">
        <v>150</v>
      </c>
      <c r="J1739" s="10" t="str">
        <f>VLOOKUP(I1739,Categories!A:B,2,FALSE)</f>
        <v xml:space="preserve">Food &amp; Coff</v>
      </c>
      <c r="K1739" t="s">
        <v>2317</v>
      </c>
      <c r="L1739" s="10" t="str">
        <f>VLOOKUP(K1739,Accounts!A:B,2,FALSE)</f>
        <v xml:space="preserve">Marriage account</v>
      </c>
      <c r="M1739" t="s">
        <v>124</v>
      </c>
      <c r="N1739" s="10"/>
      <c r="O1739" t="s">
        <v>3493</v>
      </c>
      <c r="Q1739" t="s">
        <v>126</v>
      </c>
      <c r="R1739" t="s">
        <v>124</v>
      </c>
      <c r="S1739" t="b">
        <v>0</v>
      </c>
      <c r="T1739" t="s">
        <v>124</v>
      </c>
    </row>
    <row r="1740">
      <c r="A1740" t="s">
        <v>3494</v>
      </c>
      <c r="B1740" t="s">
        <v>3487</v>
      </c>
      <c r="C1740" s="2">
        <v>2023</v>
      </c>
      <c r="D1740" s="10">
        <v>4</v>
      </c>
      <c r="E1740" s="10">
        <v>14</v>
      </c>
      <c r="F1740" t="s">
        <v>3495</v>
      </c>
      <c r="G1740">
        <v>858</v>
      </c>
      <c r="H1740" t="s">
        <v>69</v>
      </c>
      <c r="I1740" t="s">
        <v>150</v>
      </c>
      <c r="J1740" s="10" t="str">
        <f>VLOOKUP(I1740,Categories!A:B,2,FALSE)</f>
        <v xml:space="preserve">Food &amp; Coff</v>
      </c>
      <c r="K1740" t="s">
        <v>2317</v>
      </c>
      <c r="L1740" s="10" t="str">
        <f>VLOOKUP(K1740,Accounts!A:B,2,FALSE)</f>
        <v xml:space="preserve">Marriage account</v>
      </c>
      <c r="M1740" t="s">
        <v>124</v>
      </c>
      <c r="N1740" s="10"/>
      <c r="O1740" t="s">
        <v>3496</v>
      </c>
      <c r="Q1740" t="s">
        <v>126</v>
      </c>
      <c r="R1740" t="s">
        <v>124</v>
      </c>
      <c r="S1740" t="b">
        <v>0</v>
      </c>
      <c r="T1740" t="s">
        <v>124</v>
      </c>
    </row>
    <row r="1741">
      <c r="A1741" t="s">
        <v>3497</v>
      </c>
      <c r="B1741" t="s">
        <v>3487</v>
      </c>
      <c r="C1741" s="2">
        <v>2023</v>
      </c>
      <c r="D1741" s="10">
        <v>4</v>
      </c>
      <c r="E1741" s="10">
        <v>14</v>
      </c>
      <c r="F1741" t="s">
        <v>1464</v>
      </c>
      <c r="G1741">
        <v>300</v>
      </c>
      <c r="H1741" t="s">
        <v>69</v>
      </c>
      <c r="I1741" t="s">
        <v>150</v>
      </c>
      <c r="J1741" s="10" t="str">
        <f>VLOOKUP(I1741,Categories!A:B,2,FALSE)</f>
        <v xml:space="preserve">Food &amp; Coff</v>
      </c>
      <c r="K1741" t="s">
        <v>2317</v>
      </c>
      <c r="L1741" s="10" t="str">
        <f>VLOOKUP(K1741,Accounts!A:B,2,FALSE)</f>
        <v xml:space="preserve">Marriage account</v>
      </c>
      <c r="M1741" t="s">
        <v>124</v>
      </c>
      <c r="N1741" s="10"/>
      <c r="O1741" t="s">
        <v>3498</v>
      </c>
      <c r="Q1741" t="s">
        <v>126</v>
      </c>
      <c r="R1741" t="s">
        <v>124</v>
      </c>
      <c r="S1741" t="b">
        <v>0</v>
      </c>
      <c r="T1741" t="s">
        <v>124</v>
      </c>
    </row>
    <row r="1742">
      <c r="A1742" t="s">
        <v>3499</v>
      </c>
      <c r="B1742" t="s">
        <v>3487</v>
      </c>
      <c r="C1742" s="2">
        <v>2023</v>
      </c>
      <c r="D1742" s="10">
        <v>4</v>
      </c>
      <c r="E1742" s="10">
        <v>14</v>
      </c>
      <c r="F1742" t="s">
        <v>798</v>
      </c>
      <c r="G1742">
        <v>295</v>
      </c>
      <c r="H1742" t="s">
        <v>69</v>
      </c>
      <c r="I1742" t="s">
        <v>150</v>
      </c>
      <c r="J1742" s="10" t="str">
        <f>VLOOKUP(I1742,Categories!A:B,2,FALSE)</f>
        <v xml:space="preserve">Food &amp; Coff</v>
      </c>
      <c r="K1742" t="s">
        <v>2317</v>
      </c>
      <c r="L1742" s="10" t="str">
        <f>VLOOKUP(K1742,Accounts!A:B,2,FALSE)</f>
        <v xml:space="preserve">Marriage account</v>
      </c>
      <c r="M1742" t="s">
        <v>124</v>
      </c>
      <c r="N1742" s="10"/>
      <c r="O1742" t="s">
        <v>3500</v>
      </c>
      <c r="Q1742" t="s">
        <v>126</v>
      </c>
      <c r="R1742" t="s">
        <v>124</v>
      </c>
      <c r="S1742" t="b">
        <v>0</v>
      </c>
      <c r="T1742" t="s">
        <v>124</v>
      </c>
    </row>
    <row r="1743">
      <c r="A1743" t="s">
        <v>3501</v>
      </c>
      <c r="B1743" t="s">
        <v>3502</v>
      </c>
      <c r="C1743" s="2">
        <v>2023</v>
      </c>
      <c r="D1743" s="10">
        <v>4</v>
      </c>
      <c r="E1743" s="10">
        <v>13</v>
      </c>
      <c r="F1743" t="s">
        <v>3503</v>
      </c>
      <c r="G1743">
        <v>405</v>
      </c>
      <c r="H1743" t="s">
        <v>69</v>
      </c>
      <c r="I1743" t="s">
        <v>3504</v>
      </c>
      <c r="J1743" s="10" t="str">
        <f>VLOOKUP(I1743,Categories!A:B,2,FALSE)</f>
        <v xml:space="preserve">Condo suppliers</v>
      </c>
      <c r="K1743" t="s">
        <v>2317</v>
      </c>
      <c r="L1743" s="10" t="str">
        <f>VLOOKUP(K1743,Accounts!A:B,2,FALSE)</f>
        <v xml:space="preserve">Marriage account</v>
      </c>
      <c r="M1743" t="s">
        <v>124</v>
      </c>
      <c r="N1743" s="10"/>
      <c r="O1743" t="s">
        <v>3505</v>
      </c>
      <c r="Q1743" t="s">
        <v>126</v>
      </c>
      <c r="R1743" t="s">
        <v>124</v>
      </c>
      <c r="S1743" t="b">
        <v>0</v>
      </c>
      <c r="T1743" t="s">
        <v>124</v>
      </c>
    </row>
    <row r="1744">
      <c r="A1744" t="s">
        <v>3506</v>
      </c>
      <c r="B1744" t="s">
        <v>3502</v>
      </c>
      <c r="C1744" s="2">
        <v>2023</v>
      </c>
      <c r="D1744" s="10">
        <v>4</v>
      </c>
      <c r="E1744" s="10">
        <v>13</v>
      </c>
      <c r="F1744" t="s">
        <v>1369</v>
      </c>
      <c r="G1744">
        <v>35</v>
      </c>
      <c r="H1744" t="s">
        <v>69</v>
      </c>
      <c r="I1744" t="s">
        <v>150</v>
      </c>
      <c r="J1744" s="10" t="str">
        <f>VLOOKUP(I1744,Categories!A:B,2,FALSE)</f>
        <v xml:space="preserve">Food &amp; Coff</v>
      </c>
      <c r="K1744" t="s">
        <v>2317</v>
      </c>
      <c r="L1744" s="10" t="str">
        <f>VLOOKUP(K1744,Accounts!A:B,2,FALSE)</f>
        <v xml:space="preserve">Marriage account</v>
      </c>
      <c r="M1744" t="s">
        <v>124</v>
      </c>
      <c r="N1744" s="10"/>
      <c r="O1744" t="s">
        <v>125</v>
      </c>
      <c r="Q1744" t="s">
        <v>126</v>
      </c>
      <c r="R1744" t="s">
        <v>124</v>
      </c>
      <c r="S1744" t="b">
        <v>0</v>
      </c>
      <c r="T1744" t="s">
        <v>124</v>
      </c>
    </row>
    <row r="1745">
      <c r="A1745" t="s">
        <v>3507</v>
      </c>
      <c r="B1745" t="s">
        <v>3502</v>
      </c>
      <c r="C1745" s="2">
        <v>2023</v>
      </c>
      <c r="D1745" s="10">
        <v>4</v>
      </c>
      <c r="E1745" s="10">
        <v>13</v>
      </c>
      <c r="F1745" t="s">
        <v>3508</v>
      </c>
      <c r="G1745">
        <v>200</v>
      </c>
      <c r="H1745" t="s">
        <v>69</v>
      </c>
      <c r="I1745" t="s">
        <v>3504</v>
      </c>
      <c r="J1745" s="10" t="str">
        <f>VLOOKUP(I1745,Categories!A:B,2,FALSE)</f>
        <v xml:space="preserve">Condo suppliers</v>
      </c>
      <c r="K1745" t="s">
        <v>2317</v>
      </c>
      <c r="L1745" s="10" t="str">
        <f>VLOOKUP(K1745,Accounts!A:B,2,FALSE)</f>
        <v xml:space="preserve">Marriage account</v>
      </c>
      <c r="M1745" t="s">
        <v>124</v>
      </c>
      <c r="N1745" s="10"/>
      <c r="O1745" t="s">
        <v>3509</v>
      </c>
      <c r="Q1745" t="s">
        <v>126</v>
      </c>
      <c r="R1745" t="s">
        <v>124</v>
      </c>
      <c r="S1745" t="b">
        <v>0</v>
      </c>
      <c r="T1745" t="s">
        <v>124</v>
      </c>
    </row>
    <row r="1746">
      <c r="A1746" t="s">
        <v>3510</v>
      </c>
      <c r="B1746" t="s">
        <v>3511</v>
      </c>
      <c r="C1746" s="2">
        <v>2023</v>
      </c>
      <c r="D1746" s="10">
        <v>4</v>
      </c>
      <c r="E1746" s="10">
        <v>12</v>
      </c>
      <c r="F1746" t="s">
        <v>2937</v>
      </c>
      <c r="G1746">
        <v>112</v>
      </c>
      <c r="H1746" t="s">
        <v>69</v>
      </c>
      <c r="I1746" t="s">
        <v>150</v>
      </c>
      <c r="J1746" s="10" t="str">
        <f>VLOOKUP(I1746,Categories!A:B,2,FALSE)</f>
        <v xml:space="preserve">Food &amp; Coff</v>
      </c>
      <c r="K1746" t="s">
        <v>2317</v>
      </c>
      <c r="L1746" s="10" t="str">
        <f>VLOOKUP(K1746,Accounts!A:B,2,FALSE)</f>
        <v xml:space="preserve">Marriage account</v>
      </c>
      <c r="M1746" t="s">
        <v>124</v>
      </c>
      <c r="N1746" s="10"/>
      <c r="O1746" t="s">
        <v>125</v>
      </c>
      <c r="Q1746" t="s">
        <v>126</v>
      </c>
      <c r="R1746" t="s">
        <v>124</v>
      </c>
      <c r="S1746" t="b">
        <v>0</v>
      </c>
      <c r="T1746" t="s">
        <v>124</v>
      </c>
    </row>
    <row r="1747">
      <c r="A1747" t="s">
        <v>3512</v>
      </c>
      <c r="B1747" t="s">
        <v>3511</v>
      </c>
      <c r="C1747" s="2">
        <v>2023</v>
      </c>
      <c r="D1747" s="10">
        <v>4</v>
      </c>
      <c r="E1747" s="10">
        <v>12</v>
      </c>
      <c r="F1747" t="s">
        <v>3513</v>
      </c>
      <c r="G1747">
        <v>105</v>
      </c>
      <c r="H1747" t="s">
        <v>69</v>
      </c>
      <c r="I1747" t="s">
        <v>150</v>
      </c>
      <c r="J1747" s="10" t="str">
        <f>VLOOKUP(I1747,Categories!A:B,2,FALSE)</f>
        <v xml:space="preserve">Food &amp; Coff</v>
      </c>
      <c r="K1747" t="s">
        <v>178</v>
      </c>
      <c r="L1747" s="10" t="str">
        <f>VLOOKUP(K1747,Accounts!A:B,2,FALSE)</f>
        <v>SCB</v>
      </c>
      <c r="M1747" t="s">
        <v>124</v>
      </c>
      <c r="N1747" s="10"/>
      <c r="O1747" t="s">
        <v>125</v>
      </c>
      <c r="Q1747" t="s">
        <v>126</v>
      </c>
      <c r="R1747" t="s">
        <v>124</v>
      </c>
      <c r="S1747" t="b">
        <v>0</v>
      </c>
      <c r="T1747" t="s">
        <v>124</v>
      </c>
    </row>
    <row r="1748">
      <c r="A1748" t="s">
        <v>3514</v>
      </c>
      <c r="B1748" t="s">
        <v>3511</v>
      </c>
      <c r="C1748" s="2">
        <v>2023</v>
      </c>
      <c r="D1748" s="10">
        <v>4</v>
      </c>
      <c r="E1748" s="10">
        <v>12</v>
      </c>
      <c r="F1748" t="s">
        <v>2909</v>
      </c>
      <c r="G1748">
        <v>550</v>
      </c>
      <c r="H1748" t="s">
        <v>69</v>
      </c>
      <c r="I1748" t="s">
        <v>150</v>
      </c>
      <c r="J1748" s="10" t="str">
        <f>VLOOKUP(I1748,Categories!A:B,2,FALSE)</f>
        <v xml:space="preserve">Food &amp; Coff</v>
      </c>
      <c r="K1748" t="s">
        <v>178</v>
      </c>
      <c r="L1748" s="10" t="str">
        <f>VLOOKUP(K1748,Accounts!A:B,2,FALSE)</f>
        <v>SCB</v>
      </c>
      <c r="M1748" t="s">
        <v>124</v>
      </c>
      <c r="N1748" s="10"/>
      <c r="O1748" t="s">
        <v>125</v>
      </c>
      <c r="Q1748" t="s">
        <v>126</v>
      </c>
      <c r="R1748" t="s">
        <v>124</v>
      </c>
      <c r="S1748" t="b">
        <v>0</v>
      </c>
      <c r="T1748" t="s">
        <v>124</v>
      </c>
    </row>
    <row r="1749">
      <c r="A1749" t="s">
        <v>3515</v>
      </c>
      <c r="B1749" t="s">
        <v>3511</v>
      </c>
      <c r="C1749" s="2">
        <v>2023</v>
      </c>
      <c r="D1749" s="10">
        <v>4</v>
      </c>
      <c r="E1749" s="10">
        <v>12</v>
      </c>
      <c r="F1749" t="s">
        <v>2909</v>
      </c>
      <c r="G1749">
        <v>200</v>
      </c>
      <c r="H1749" t="s">
        <v>128</v>
      </c>
      <c r="I1749" t="s">
        <v>136</v>
      </c>
      <c r="J1749" s="10" t="str">
        <f>VLOOKUP(I1749,Categories!A:B,2,FALSE)</f>
        <v>อื่นๆ</v>
      </c>
      <c r="K1749" t="s">
        <v>425</v>
      </c>
      <c r="L1749" s="10" t="str">
        <f>VLOOKUP(K1749,Accounts!A:B,2,FALSE)</f>
        <v>Cash</v>
      </c>
      <c r="M1749" t="s">
        <v>178</v>
      </c>
      <c r="N1749" s="10" t="str">
        <f>VLOOKUP(M1749,Accounts!A:B,2,FALSE)</f>
        <v>SCB</v>
      </c>
      <c r="O1749" t="s">
        <v>125</v>
      </c>
      <c r="Q1749" t="s">
        <v>126</v>
      </c>
      <c r="R1749" t="s">
        <v>124</v>
      </c>
      <c r="S1749" t="b">
        <v>0</v>
      </c>
      <c r="T1749" t="s">
        <v>124</v>
      </c>
    </row>
    <row r="1750">
      <c r="A1750" t="s">
        <v>3516</v>
      </c>
      <c r="B1750" t="s">
        <v>3511</v>
      </c>
      <c r="C1750" s="2">
        <v>2023</v>
      </c>
      <c r="D1750" s="10">
        <v>4</v>
      </c>
      <c r="E1750" s="10">
        <v>12</v>
      </c>
      <c r="F1750" t="s">
        <v>247</v>
      </c>
      <c r="G1750">
        <v>200</v>
      </c>
      <c r="H1750" t="s">
        <v>128</v>
      </c>
      <c r="I1750" t="s">
        <v>136</v>
      </c>
      <c r="J1750" s="10" t="str">
        <f>VLOOKUP(I1750,Categories!A:B,2,FALSE)</f>
        <v>อื่นๆ</v>
      </c>
      <c r="K1750" t="s">
        <v>131</v>
      </c>
      <c r="L1750" s="10" t="str">
        <f>VLOOKUP(K1750,Accounts!A:B,2,FALSE)</f>
        <v xml:space="preserve">Advance Paid</v>
      </c>
      <c r="M1750" t="s">
        <v>178</v>
      </c>
      <c r="N1750" s="10" t="str">
        <f>VLOOKUP(M1750,Accounts!A:B,2,FALSE)</f>
        <v>SCB</v>
      </c>
      <c r="O1750" t="s">
        <v>3517</v>
      </c>
      <c r="Q1750" t="s">
        <v>126</v>
      </c>
      <c r="R1750" t="s">
        <v>124</v>
      </c>
      <c r="S1750" t="b">
        <v>0</v>
      </c>
      <c r="T1750" t="s">
        <v>124</v>
      </c>
    </row>
    <row r="1751">
      <c r="A1751" t="s">
        <v>3518</v>
      </c>
      <c r="B1751" t="s">
        <v>3519</v>
      </c>
      <c r="C1751" s="2">
        <v>2023</v>
      </c>
      <c r="D1751" s="10">
        <v>4</v>
      </c>
      <c r="E1751" s="10">
        <v>11</v>
      </c>
      <c r="F1751" t="s">
        <v>3392</v>
      </c>
      <c r="G1751">
        <v>85</v>
      </c>
      <c r="H1751" t="s">
        <v>69</v>
      </c>
      <c r="I1751" t="s">
        <v>150</v>
      </c>
      <c r="J1751" s="10" t="str">
        <f>VLOOKUP(I1751,Categories!A:B,2,FALSE)</f>
        <v xml:space="preserve">Food &amp; Coff</v>
      </c>
      <c r="K1751" t="s">
        <v>178</v>
      </c>
      <c r="L1751" s="10" t="str">
        <f>VLOOKUP(K1751,Accounts!A:B,2,FALSE)</f>
        <v>SCB</v>
      </c>
      <c r="M1751" t="s">
        <v>124</v>
      </c>
      <c r="N1751" s="10"/>
      <c r="O1751" t="s">
        <v>125</v>
      </c>
      <c r="Q1751" t="s">
        <v>126</v>
      </c>
      <c r="R1751" t="s">
        <v>124</v>
      </c>
      <c r="S1751" t="b">
        <v>0</v>
      </c>
      <c r="T1751" t="s">
        <v>124</v>
      </c>
    </row>
    <row r="1752">
      <c r="A1752" t="s">
        <v>3520</v>
      </c>
      <c r="B1752" t="s">
        <v>3519</v>
      </c>
      <c r="C1752" s="2">
        <v>2023</v>
      </c>
      <c r="D1752" s="10">
        <v>4</v>
      </c>
      <c r="E1752" s="10">
        <v>11</v>
      </c>
      <c r="F1752" t="s">
        <v>3392</v>
      </c>
      <c r="G1752">
        <v>55</v>
      </c>
      <c r="H1752" t="s">
        <v>69</v>
      </c>
      <c r="I1752" t="s">
        <v>150</v>
      </c>
      <c r="J1752" s="10" t="str">
        <f>VLOOKUP(I1752,Categories!A:B,2,FALSE)</f>
        <v xml:space="preserve">Food &amp; Coff</v>
      </c>
      <c r="K1752" t="s">
        <v>178</v>
      </c>
      <c r="L1752" s="10" t="str">
        <f>VLOOKUP(K1752,Accounts!A:B,2,FALSE)</f>
        <v>SCB</v>
      </c>
      <c r="M1752" t="s">
        <v>124</v>
      </c>
      <c r="N1752" s="10"/>
      <c r="O1752" t="s">
        <v>125</v>
      </c>
      <c r="Q1752" t="s">
        <v>126</v>
      </c>
      <c r="R1752" t="s">
        <v>124</v>
      </c>
      <c r="S1752" t="b">
        <v>0</v>
      </c>
      <c r="T1752" t="s">
        <v>124</v>
      </c>
    </row>
    <row r="1753">
      <c r="A1753" t="s">
        <v>3521</v>
      </c>
      <c r="B1753" t="s">
        <v>3522</v>
      </c>
      <c r="C1753" s="2">
        <v>2023</v>
      </c>
      <c r="D1753" s="10">
        <v>4</v>
      </c>
      <c r="E1753" s="10">
        <v>10</v>
      </c>
      <c r="F1753" t="s">
        <v>3523</v>
      </c>
      <c r="G1753">
        <v>300</v>
      </c>
      <c r="H1753" t="s">
        <v>69</v>
      </c>
      <c r="I1753" t="s">
        <v>259</v>
      </c>
      <c r="J1753" s="10" t="str">
        <f>VLOOKUP(I1753,Categories!A:B,2,FALSE)</f>
        <v xml:space="preserve">Team BOT</v>
      </c>
      <c r="K1753" t="s">
        <v>178</v>
      </c>
      <c r="L1753" s="10" t="str">
        <f>VLOOKUP(K1753,Accounts!A:B,2,FALSE)</f>
        <v>SCB</v>
      </c>
      <c r="M1753" t="s">
        <v>124</v>
      </c>
      <c r="N1753" s="10"/>
      <c r="O1753" t="s">
        <v>125</v>
      </c>
      <c r="Q1753" t="s">
        <v>126</v>
      </c>
      <c r="R1753" t="s">
        <v>124</v>
      </c>
      <c r="S1753" t="b">
        <v>0</v>
      </c>
      <c r="T1753" t="s">
        <v>124</v>
      </c>
    </row>
    <row r="1754">
      <c r="A1754" t="s">
        <v>3524</v>
      </c>
      <c r="B1754" t="s">
        <v>3522</v>
      </c>
      <c r="C1754" s="2">
        <v>2023</v>
      </c>
      <c r="D1754" s="10">
        <v>4</v>
      </c>
      <c r="E1754" s="10">
        <v>10</v>
      </c>
      <c r="F1754" t="s">
        <v>3525</v>
      </c>
      <c r="G1754">
        <v>127</v>
      </c>
      <c r="H1754" t="s">
        <v>69</v>
      </c>
      <c r="I1754" t="s">
        <v>150</v>
      </c>
      <c r="J1754" s="10" t="str">
        <f>VLOOKUP(I1754,Categories!A:B,2,FALSE)</f>
        <v xml:space="preserve">Food &amp; Coff</v>
      </c>
      <c r="K1754" t="s">
        <v>178</v>
      </c>
      <c r="L1754" s="10" t="str">
        <f>VLOOKUP(K1754,Accounts!A:B,2,FALSE)</f>
        <v>SCB</v>
      </c>
      <c r="M1754" t="s">
        <v>124</v>
      </c>
      <c r="N1754" s="10"/>
      <c r="O1754" t="s">
        <v>125</v>
      </c>
      <c r="Q1754" t="s">
        <v>126</v>
      </c>
      <c r="R1754" t="s">
        <v>124</v>
      </c>
      <c r="S1754" t="b">
        <v>0</v>
      </c>
      <c r="T1754" t="s">
        <v>124</v>
      </c>
    </row>
    <row r="1755">
      <c r="A1755" t="s">
        <v>3526</v>
      </c>
      <c r="B1755" t="s">
        <v>3522</v>
      </c>
      <c r="C1755" s="2">
        <v>2023</v>
      </c>
      <c r="D1755" s="10">
        <v>4</v>
      </c>
      <c r="E1755" s="10">
        <v>10</v>
      </c>
      <c r="F1755" t="s">
        <v>2619</v>
      </c>
      <c r="G1755">
        <v>50</v>
      </c>
      <c r="H1755" t="s">
        <v>69</v>
      </c>
      <c r="I1755" t="s">
        <v>150</v>
      </c>
      <c r="J1755" s="10" t="str">
        <f>VLOOKUP(I1755,Categories!A:B,2,FALSE)</f>
        <v xml:space="preserve">Food &amp; Coff</v>
      </c>
      <c r="K1755" t="s">
        <v>178</v>
      </c>
      <c r="L1755" s="10" t="str">
        <f>VLOOKUP(K1755,Accounts!A:B,2,FALSE)</f>
        <v>SCB</v>
      </c>
      <c r="M1755" t="s">
        <v>124</v>
      </c>
      <c r="N1755" s="10"/>
      <c r="O1755" t="s">
        <v>125</v>
      </c>
      <c r="Q1755" t="s">
        <v>126</v>
      </c>
      <c r="R1755" t="s">
        <v>124</v>
      </c>
      <c r="S1755" t="b">
        <v>0</v>
      </c>
      <c r="T1755" t="s">
        <v>124</v>
      </c>
    </row>
    <row r="1756">
      <c r="A1756" t="s">
        <v>3527</v>
      </c>
      <c r="B1756" t="s">
        <v>3522</v>
      </c>
      <c r="C1756" s="2">
        <v>2023</v>
      </c>
      <c r="D1756" s="10">
        <v>4</v>
      </c>
      <c r="E1756" s="10">
        <v>10</v>
      </c>
      <c r="F1756" t="s">
        <v>2054</v>
      </c>
      <c r="G1756">
        <v>55</v>
      </c>
      <c r="H1756" t="s">
        <v>69</v>
      </c>
      <c r="I1756" t="s">
        <v>150</v>
      </c>
      <c r="J1756" s="10" t="str">
        <f>VLOOKUP(I1756,Categories!A:B,2,FALSE)</f>
        <v xml:space="preserve">Food &amp; Coff</v>
      </c>
      <c r="K1756" t="s">
        <v>178</v>
      </c>
      <c r="L1756" s="10" t="str">
        <f>VLOOKUP(K1756,Accounts!A:B,2,FALSE)</f>
        <v>SCB</v>
      </c>
      <c r="M1756" t="s">
        <v>124</v>
      </c>
      <c r="N1756" s="10"/>
      <c r="O1756" t="s">
        <v>125</v>
      </c>
      <c r="Q1756" t="s">
        <v>126</v>
      </c>
      <c r="R1756" t="s">
        <v>124</v>
      </c>
      <c r="S1756" t="b">
        <v>0</v>
      </c>
      <c r="T1756" t="s">
        <v>124</v>
      </c>
    </row>
    <row r="1757">
      <c r="A1757" t="s">
        <v>3528</v>
      </c>
      <c r="B1757" t="s">
        <v>3529</v>
      </c>
      <c r="C1757" s="2">
        <v>2023</v>
      </c>
      <c r="D1757" s="10">
        <v>4</v>
      </c>
      <c r="E1757" s="10">
        <v>9</v>
      </c>
      <c r="F1757" t="s">
        <v>3530</v>
      </c>
      <c r="G1757">
        <v>85</v>
      </c>
      <c r="H1757" t="s">
        <v>69</v>
      </c>
      <c r="I1757" t="s">
        <v>150</v>
      </c>
      <c r="J1757" s="10" t="str">
        <f>VLOOKUP(I1757,Categories!A:B,2,FALSE)</f>
        <v xml:space="preserve">Food &amp; Coff</v>
      </c>
      <c r="K1757" t="s">
        <v>178</v>
      </c>
      <c r="L1757" s="10" t="str">
        <f>VLOOKUP(K1757,Accounts!A:B,2,FALSE)</f>
        <v>SCB</v>
      </c>
      <c r="M1757" t="s">
        <v>124</v>
      </c>
      <c r="N1757" s="10"/>
      <c r="O1757" t="s">
        <v>125</v>
      </c>
      <c r="Q1757" t="s">
        <v>126</v>
      </c>
      <c r="R1757" t="s">
        <v>124</v>
      </c>
      <c r="S1757" t="b">
        <v>0</v>
      </c>
      <c r="T1757" t="s">
        <v>124</v>
      </c>
    </row>
    <row r="1758">
      <c r="A1758" t="s">
        <v>3531</v>
      </c>
      <c r="B1758" t="s">
        <v>3529</v>
      </c>
      <c r="C1758" s="2">
        <v>2023</v>
      </c>
      <c r="D1758" s="10">
        <v>4</v>
      </c>
      <c r="E1758" s="10">
        <v>9</v>
      </c>
      <c r="F1758" t="s">
        <v>958</v>
      </c>
      <c r="G1758">
        <v>315</v>
      </c>
      <c r="H1758" t="s">
        <v>69</v>
      </c>
      <c r="I1758" t="s">
        <v>150</v>
      </c>
      <c r="J1758" s="10" t="str">
        <f>VLOOKUP(I1758,Categories!A:B,2,FALSE)</f>
        <v xml:space="preserve">Food &amp; Coff</v>
      </c>
      <c r="K1758" t="s">
        <v>2317</v>
      </c>
      <c r="L1758" s="10" t="str">
        <f>VLOOKUP(K1758,Accounts!A:B,2,FALSE)</f>
        <v xml:space="preserve">Marriage account</v>
      </c>
      <c r="M1758" t="s">
        <v>124</v>
      </c>
      <c r="N1758" s="10"/>
      <c r="O1758" t="s">
        <v>125</v>
      </c>
      <c r="Q1758" t="s">
        <v>126</v>
      </c>
      <c r="R1758" t="s">
        <v>124</v>
      </c>
      <c r="S1758" t="b">
        <v>0</v>
      </c>
      <c r="T1758" t="s">
        <v>124</v>
      </c>
    </row>
    <row r="1759">
      <c r="A1759" t="s">
        <v>3532</v>
      </c>
      <c r="B1759" t="s">
        <v>3529</v>
      </c>
      <c r="C1759" s="2">
        <v>2023</v>
      </c>
      <c r="D1759" s="10">
        <v>4</v>
      </c>
      <c r="E1759" s="10">
        <v>9</v>
      </c>
      <c r="F1759" t="s">
        <v>3533</v>
      </c>
      <c r="G1759">
        <v>497</v>
      </c>
      <c r="H1759" t="s">
        <v>69</v>
      </c>
      <c r="I1759" t="s">
        <v>150</v>
      </c>
      <c r="J1759" s="10" t="str">
        <f>VLOOKUP(I1759,Categories!A:B,2,FALSE)</f>
        <v xml:space="preserve">Food &amp; Coff</v>
      </c>
      <c r="K1759" t="s">
        <v>2317</v>
      </c>
      <c r="L1759" s="10" t="str">
        <f>VLOOKUP(K1759,Accounts!A:B,2,FALSE)</f>
        <v xml:space="preserve">Marriage account</v>
      </c>
      <c r="M1759" t="s">
        <v>124</v>
      </c>
      <c r="N1759" s="10"/>
      <c r="O1759" t="s">
        <v>125</v>
      </c>
      <c r="Q1759" t="s">
        <v>126</v>
      </c>
      <c r="R1759" t="s">
        <v>124</v>
      </c>
      <c r="S1759" t="b">
        <v>0</v>
      </c>
      <c r="T1759" t="s">
        <v>124</v>
      </c>
    </row>
    <row r="1760">
      <c r="A1760" t="s">
        <v>3534</v>
      </c>
      <c r="B1760" t="s">
        <v>3535</v>
      </c>
      <c r="C1760" s="2">
        <v>2023</v>
      </c>
      <c r="D1760" s="10">
        <v>4</v>
      </c>
      <c r="E1760" s="10">
        <v>8</v>
      </c>
      <c r="F1760" t="s">
        <v>1510</v>
      </c>
      <c r="G1760">
        <v>2718</v>
      </c>
      <c r="H1760" t="s">
        <v>128</v>
      </c>
      <c r="I1760" t="s">
        <v>136</v>
      </c>
      <c r="J1760" s="10" t="str">
        <f>VLOOKUP(I1760,Categories!A:B,2,FALSE)</f>
        <v>อื่นๆ</v>
      </c>
      <c r="K1760" t="s">
        <v>178</v>
      </c>
      <c r="L1760" s="10" t="str">
        <f>VLOOKUP(K1760,Accounts!A:B,2,FALSE)</f>
        <v>SCB</v>
      </c>
      <c r="M1760" t="s">
        <v>131</v>
      </c>
      <c r="N1760" s="10" t="str">
        <f>VLOOKUP(M1760,Accounts!A:B,2,FALSE)</f>
        <v xml:space="preserve">Advance Paid</v>
      </c>
      <c r="O1760" t="s">
        <v>3536</v>
      </c>
      <c r="Q1760" t="s">
        <v>126</v>
      </c>
      <c r="R1760" t="s">
        <v>124</v>
      </c>
      <c r="S1760" t="b">
        <v>0</v>
      </c>
      <c r="T1760" t="s">
        <v>124</v>
      </c>
    </row>
    <row r="1761">
      <c r="A1761" t="s">
        <v>3537</v>
      </c>
      <c r="B1761" t="s">
        <v>3535</v>
      </c>
      <c r="C1761" s="2">
        <v>2023</v>
      </c>
      <c r="D1761" s="10">
        <v>4</v>
      </c>
      <c r="E1761" s="10">
        <v>8</v>
      </c>
      <c r="F1761" t="s">
        <v>496</v>
      </c>
      <c r="G1761">
        <v>788</v>
      </c>
      <c r="H1761" t="s">
        <v>69</v>
      </c>
      <c r="I1761" t="s">
        <v>150</v>
      </c>
      <c r="J1761" s="10" t="str">
        <f>VLOOKUP(I1761,Categories!A:B,2,FALSE)</f>
        <v xml:space="preserve">Food &amp; Coff</v>
      </c>
      <c r="K1761" t="s">
        <v>2317</v>
      </c>
      <c r="L1761" s="10" t="str">
        <f>VLOOKUP(K1761,Accounts!A:B,2,FALSE)</f>
        <v xml:space="preserve">Marriage account</v>
      </c>
      <c r="M1761" t="s">
        <v>124</v>
      </c>
      <c r="N1761" s="10"/>
      <c r="O1761" t="s">
        <v>125</v>
      </c>
      <c r="Q1761" t="s">
        <v>126</v>
      </c>
      <c r="R1761" t="s">
        <v>124</v>
      </c>
      <c r="S1761" t="b">
        <v>0</v>
      </c>
      <c r="T1761" t="s">
        <v>124</v>
      </c>
    </row>
    <row r="1762">
      <c r="A1762" t="s">
        <v>3538</v>
      </c>
      <c r="B1762" t="s">
        <v>3535</v>
      </c>
      <c r="C1762" s="2">
        <v>2023</v>
      </c>
      <c r="D1762" s="10">
        <v>4</v>
      </c>
      <c r="E1762" s="10">
        <v>8</v>
      </c>
      <c r="F1762" t="s">
        <v>1513</v>
      </c>
      <c r="G1762">
        <v>788</v>
      </c>
      <c r="H1762" t="s">
        <v>128</v>
      </c>
      <c r="I1762" t="s">
        <v>136</v>
      </c>
      <c r="J1762" s="10" t="str">
        <f>VLOOKUP(I1762,Categories!A:B,2,FALSE)</f>
        <v>อื่นๆ</v>
      </c>
      <c r="K1762" t="s">
        <v>178</v>
      </c>
      <c r="L1762" s="10" t="str">
        <f>VLOOKUP(K1762,Accounts!A:B,2,FALSE)</f>
        <v>SCB</v>
      </c>
      <c r="M1762" t="s">
        <v>131</v>
      </c>
      <c r="N1762" s="10" t="str">
        <f>VLOOKUP(M1762,Accounts!A:B,2,FALSE)</f>
        <v xml:space="preserve">Advance Paid</v>
      </c>
      <c r="O1762" t="s">
        <v>125</v>
      </c>
      <c r="Q1762" t="s">
        <v>126</v>
      </c>
      <c r="R1762" t="s">
        <v>124</v>
      </c>
      <c r="S1762" t="b">
        <v>0</v>
      </c>
      <c r="T1762" t="s">
        <v>124</v>
      </c>
    </row>
    <row r="1763">
      <c r="A1763" t="s">
        <v>3539</v>
      </c>
      <c r="B1763" t="s">
        <v>3535</v>
      </c>
      <c r="C1763" s="2">
        <v>2023</v>
      </c>
      <c r="D1763" s="10">
        <v>4</v>
      </c>
      <c r="E1763" s="10">
        <v>8</v>
      </c>
      <c r="F1763" t="s">
        <v>551</v>
      </c>
      <c r="G1763">
        <v>733</v>
      </c>
      <c r="H1763" t="s">
        <v>69</v>
      </c>
      <c r="I1763" t="s">
        <v>150</v>
      </c>
      <c r="J1763" s="10" t="str">
        <f>VLOOKUP(I1763,Categories!A:B,2,FALSE)</f>
        <v xml:space="preserve">Food &amp; Coff</v>
      </c>
      <c r="K1763" t="s">
        <v>2317</v>
      </c>
      <c r="L1763" s="10" t="str">
        <f>VLOOKUP(K1763,Accounts!A:B,2,FALSE)</f>
        <v xml:space="preserve">Marriage account</v>
      </c>
      <c r="M1763" t="s">
        <v>124</v>
      </c>
      <c r="N1763" s="10"/>
      <c r="O1763" t="s">
        <v>3328</v>
      </c>
      <c r="Q1763" t="s">
        <v>126</v>
      </c>
      <c r="R1763" t="s">
        <v>124</v>
      </c>
      <c r="S1763" t="b">
        <v>0</v>
      </c>
      <c r="T1763" t="s">
        <v>124</v>
      </c>
    </row>
    <row r="1764">
      <c r="A1764" t="s">
        <v>3540</v>
      </c>
      <c r="B1764" t="s">
        <v>3535</v>
      </c>
      <c r="C1764" s="2">
        <v>2023</v>
      </c>
      <c r="D1764" s="10">
        <v>4</v>
      </c>
      <c r="E1764" s="10">
        <v>8</v>
      </c>
      <c r="F1764" t="s">
        <v>798</v>
      </c>
      <c r="G1764">
        <v>70</v>
      </c>
      <c r="H1764" t="s">
        <v>69</v>
      </c>
      <c r="I1764" t="s">
        <v>150</v>
      </c>
      <c r="J1764" s="10" t="str">
        <f>VLOOKUP(I1764,Categories!A:B,2,FALSE)</f>
        <v xml:space="preserve">Food &amp; Coff</v>
      </c>
      <c r="K1764" t="s">
        <v>178</v>
      </c>
      <c r="L1764" s="10" t="str">
        <f>VLOOKUP(K1764,Accounts!A:B,2,FALSE)</f>
        <v>SCB</v>
      </c>
      <c r="M1764" t="s">
        <v>124</v>
      </c>
      <c r="N1764" s="10"/>
      <c r="O1764" t="s">
        <v>125</v>
      </c>
      <c r="Q1764" t="s">
        <v>126</v>
      </c>
      <c r="R1764" t="s">
        <v>124</v>
      </c>
      <c r="S1764" t="b">
        <v>0</v>
      </c>
      <c r="T1764" t="s">
        <v>124</v>
      </c>
    </row>
    <row r="1765">
      <c r="A1765" t="s">
        <v>3541</v>
      </c>
      <c r="B1765" t="s">
        <v>3535</v>
      </c>
      <c r="C1765" s="2">
        <v>2023</v>
      </c>
      <c r="D1765" s="10">
        <v>4</v>
      </c>
      <c r="E1765" s="10">
        <v>8</v>
      </c>
      <c r="F1765" t="s">
        <v>651</v>
      </c>
      <c r="G1765">
        <v>582</v>
      </c>
      <c r="H1765" t="s">
        <v>69</v>
      </c>
      <c r="I1765" t="s">
        <v>160</v>
      </c>
      <c r="J1765" s="10" t="str">
        <f>VLOOKUP(I1765,Categories!A:B,2,FALSE)</f>
        <v>Fashion</v>
      </c>
      <c r="K1765" t="s">
        <v>178</v>
      </c>
      <c r="L1765" s="10" t="str">
        <f>VLOOKUP(K1765,Accounts!A:B,2,FALSE)</f>
        <v>SCB</v>
      </c>
      <c r="M1765" t="s">
        <v>124</v>
      </c>
      <c r="N1765" s="10"/>
      <c r="O1765" t="s">
        <v>125</v>
      </c>
      <c r="Q1765" t="s">
        <v>126</v>
      </c>
      <c r="R1765" t="s">
        <v>124</v>
      </c>
      <c r="S1765" t="b">
        <v>0</v>
      </c>
      <c r="T1765" t="s">
        <v>124</v>
      </c>
    </row>
    <row r="1766">
      <c r="A1766" t="s">
        <v>3542</v>
      </c>
      <c r="B1766" t="s">
        <v>3543</v>
      </c>
      <c r="C1766" s="2">
        <v>2023</v>
      </c>
      <c r="D1766" s="10">
        <v>4</v>
      </c>
      <c r="E1766" s="10">
        <v>7</v>
      </c>
      <c r="F1766" t="s">
        <v>763</v>
      </c>
      <c r="G1766">
        <v>26</v>
      </c>
      <c r="H1766" t="s">
        <v>69</v>
      </c>
      <c r="I1766" t="s">
        <v>150</v>
      </c>
      <c r="J1766" s="10" t="str">
        <f>VLOOKUP(I1766,Categories!A:B,2,FALSE)</f>
        <v xml:space="preserve">Food &amp; Coff</v>
      </c>
      <c r="K1766" t="s">
        <v>178</v>
      </c>
      <c r="L1766" s="10" t="str">
        <f>VLOOKUP(K1766,Accounts!A:B,2,FALSE)</f>
        <v>SCB</v>
      </c>
      <c r="M1766" t="s">
        <v>124</v>
      </c>
      <c r="N1766" s="10"/>
      <c r="O1766" t="s">
        <v>125</v>
      </c>
      <c r="Q1766" t="s">
        <v>126</v>
      </c>
      <c r="R1766" t="s">
        <v>124</v>
      </c>
      <c r="S1766" t="b">
        <v>0</v>
      </c>
      <c r="T1766" t="s">
        <v>124</v>
      </c>
    </row>
    <row r="1767">
      <c r="A1767" t="s">
        <v>3544</v>
      </c>
      <c r="B1767" t="s">
        <v>3543</v>
      </c>
      <c r="C1767" s="2">
        <v>2023</v>
      </c>
      <c r="D1767" s="10">
        <v>4</v>
      </c>
      <c r="E1767" s="10">
        <v>7</v>
      </c>
      <c r="F1767" t="s">
        <v>3176</v>
      </c>
      <c r="G1767">
        <v>770</v>
      </c>
      <c r="H1767" t="s">
        <v>69</v>
      </c>
      <c r="I1767" t="s">
        <v>150</v>
      </c>
      <c r="J1767" s="10" t="str">
        <f>VLOOKUP(I1767,Categories!A:B,2,FALSE)</f>
        <v xml:space="preserve">Food &amp; Coff</v>
      </c>
      <c r="K1767" t="s">
        <v>2317</v>
      </c>
      <c r="L1767" s="10" t="str">
        <f>VLOOKUP(K1767,Accounts!A:B,2,FALSE)</f>
        <v xml:space="preserve">Marriage account</v>
      </c>
      <c r="M1767" t="s">
        <v>124</v>
      </c>
      <c r="N1767" s="10"/>
      <c r="O1767" t="s">
        <v>125</v>
      </c>
      <c r="Q1767" t="s">
        <v>126</v>
      </c>
      <c r="R1767" t="s">
        <v>124</v>
      </c>
      <c r="S1767" t="b">
        <v>0</v>
      </c>
      <c r="T1767" t="s">
        <v>124</v>
      </c>
    </row>
    <row r="1768">
      <c r="A1768" t="s">
        <v>3545</v>
      </c>
      <c r="B1768" t="s">
        <v>3543</v>
      </c>
      <c r="C1768" s="2">
        <v>2023</v>
      </c>
      <c r="D1768" s="10">
        <v>4</v>
      </c>
      <c r="E1768" s="10">
        <v>7</v>
      </c>
      <c r="F1768" t="s">
        <v>933</v>
      </c>
      <c r="G1768">
        <v>49952</v>
      </c>
      <c r="H1768" t="s">
        <v>69</v>
      </c>
      <c r="I1768" t="s">
        <v>195</v>
      </c>
      <c r="J1768" s="10" t="str">
        <f>VLOOKUP(I1768,Categories!A:B,2,FALSE)</f>
        <v>Tax</v>
      </c>
      <c r="K1768" t="s">
        <v>123</v>
      </c>
      <c r="L1768" s="10" t="str">
        <f>VLOOKUP(K1768,Accounts!A:B,2,FALSE)</f>
        <v>KBank</v>
      </c>
      <c r="M1768" t="s">
        <v>124</v>
      </c>
      <c r="N1768" s="10"/>
      <c r="O1768" t="s">
        <v>125</v>
      </c>
      <c r="Q1768" t="s">
        <v>126</v>
      </c>
      <c r="R1768" t="s">
        <v>124</v>
      </c>
      <c r="S1768" t="b">
        <v>0</v>
      </c>
      <c r="T1768" t="s">
        <v>124</v>
      </c>
    </row>
    <row r="1769">
      <c r="A1769" t="s">
        <v>3546</v>
      </c>
      <c r="B1769" t="s">
        <v>3543</v>
      </c>
      <c r="C1769" s="2">
        <v>2023</v>
      </c>
      <c r="D1769" s="10">
        <v>4</v>
      </c>
      <c r="E1769" s="10">
        <v>7</v>
      </c>
      <c r="F1769" t="s">
        <v>2860</v>
      </c>
      <c r="G1769">
        <v>638</v>
      </c>
      <c r="H1769" t="s">
        <v>69</v>
      </c>
      <c r="I1769" t="s">
        <v>150</v>
      </c>
      <c r="J1769" s="10" t="str">
        <f>VLOOKUP(I1769,Categories!A:B,2,FALSE)</f>
        <v xml:space="preserve">Food &amp; Coff</v>
      </c>
      <c r="K1769" t="s">
        <v>2317</v>
      </c>
      <c r="L1769" s="10" t="str">
        <f>VLOOKUP(K1769,Accounts!A:B,2,FALSE)</f>
        <v xml:space="preserve">Marriage account</v>
      </c>
      <c r="M1769" t="s">
        <v>124</v>
      </c>
      <c r="N1769" s="10"/>
      <c r="O1769" t="s">
        <v>125</v>
      </c>
      <c r="Q1769" t="s">
        <v>126</v>
      </c>
      <c r="R1769" t="s">
        <v>124</v>
      </c>
      <c r="S1769" t="b">
        <v>0</v>
      </c>
      <c r="T1769" t="s">
        <v>124</v>
      </c>
    </row>
    <row r="1770">
      <c r="A1770" t="s">
        <v>3547</v>
      </c>
      <c r="B1770" t="s">
        <v>3543</v>
      </c>
      <c r="C1770" s="2">
        <v>2023</v>
      </c>
      <c r="D1770" s="10">
        <v>4</v>
      </c>
      <c r="E1770" s="10">
        <v>7</v>
      </c>
      <c r="F1770" t="s">
        <v>1214</v>
      </c>
      <c r="G1770">
        <v>242</v>
      </c>
      <c r="H1770" t="s">
        <v>69</v>
      </c>
      <c r="I1770" t="s">
        <v>150</v>
      </c>
      <c r="J1770" s="10" t="str">
        <f>VLOOKUP(I1770,Categories!A:B,2,FALSE)</f>
        <v xml:space="preserve">Food &amp; Coff</v>
      </c>
      <c r="K1770" t="s">
        <v>2317</v>
      </c>
      <c r="L1770" s="10" t="str">
        <f>VLOOKUP(K1770,Accounts!A:B,2,FALSE)</f>
        <v xml:space="preserve">Marriage account</v>
      </c>
      <c r="M1770" t="s">
        <v>124</v>
      </c>
      <c r="N1770" s="10"/>
      <c r="O1770" t="s">
        <v>125</v>
      </c>
      <c r="Q1770" t="s">
        <v>126</v>
      </c>
      <c r="R1770" t="s">
        <v>124</v>
      </c>
      <c r="S1770" t="b">
        <v>0</v>
      </c>
      <c r="T1770" t="s">
        <v>124</v>
      </c>
    </row>
    <row r="1771">
      <c r="A1771" t="s">
        <v>3548</v>
      </c>
      <c r="B1771" t="s">
        <v>3549</v>
      </c>
      <c r="C1771" s="2">
        <v>2023</v>
      </c>
      <c r="D1771" s="10">
        <v>4</v>
      </c>
      <c r="E1771" s="10">
        <v>6</v>
      </c>
      <c r="F1771" t="s">
        <v>820</v>
      </c>
      <c r="G1771">
        <v>368</v>
      </c>
      <c r="H1771" t="s">
        <v>69</v>
      </c>
      <c r="I1771" t="s">
        <v>150</v>
      </c>
      <c r="J1771" s="10" t="str">
        <f>VLOOKUP(I1771,Categories!A:B,2,FALSE)</f>
        <v xml:space="preserve">Food &amp; Coff</v>
      </c>
      <c r="K1771" t="s">
        <v>2317</v>
      </c>
      <c r="L1771" s="10" t="str">
        <f>VLOOKUP(K1771,Accounts!A:B,2,FALSE)</f>
        <v xml:space="preserve">Marriage account</v>
      </c>
      <c r="M1771" t="s">
        <v>124</v>
      </c>
      <c r="N1771" s="10"/>
      <c r="O1771" t="s">
        <v>125</v>
      </c>
      <c r="Q1771" t="s">
        <v>126</v>
      </c>
      <c r="R1771" t="s">
        <v>124</v>
      </c>
      <c r="S1771" t="b">
        <v>0</v>
      </c>
      <c r="T1771" t="s">
        <v>124</v>
      </c>
    </row>
    <row r="1772">
      <c r="A1772" t="s">
        <v>3550</v>
      </c>
      <c r="B1772" t="s">
        <v>3551</v>
      </c>
      <c r="C1772" s="2">
        <v>2023</v>
      </c>
      <c r="D1772" s="10">
        <v>4</v>
      </c>
      <c r="E1772" s="10">
        <v>5</v>
      </c>
      <c r="F1772" t="s">
        <v>1002</v>
      </c>
      <c r="G1772">
        <v>100</v>
      </c>
      <c r="H1772" t="s">
        <v>69</v>
      </c>
      <c r="I1772" t="s">
        <v>150</v>
      </c>
      <c r="J1772" s="10" t="str">
        <f>VLOOKUP(I1772,Categories!A:B,2,FALSE)</f>
        <v xml:space="preserve">Food &amp; Coff</v>
      </c>
      <c r="K1772" t="s">
        <v>2317</v>
      </c>
      <c r="L1772" s="10" t="str">
        <f>VLOOKUP(K1772,Accounts!A:B,2,FALSE)</f>
        <v xml:space="preserve">Marriage account</v>
      </c>
      <c r="M1772" t="s">
        <v>124</v>
      </c>
      <c r="N1772" s="10"/>
      <c r="O1772" t="s">
        <v>125</v>
      </c>
      <c r="Q1772" t="s">
        <v>126</v>
      </c>
      <c r="R1772" t="s">
        <v>124</v>
      </c>
      <c r="S1772" t="b">
        <v>0</v>
      </c>
      <c r="T1772" t="s">
        <v>124</v>
      </c>
    </row>
    <row r="1773">
      <c r="A1773" t="s">
        <v>3552</v>
      </c>
      <c r="B1773" t="s">
        <v>3551</v>
      </c>
      <c r="C1773" s="2">
        <v>2023</v>
      </c>
      <c r="D1773" s="10">
        <v>4</v>
      </c>
      <c r="E1773" s="10">
        <v>5</v>
      </c>
      <c r="F1773" t="s">
        <v>1790</v>
      </c>
      <c r="G1773">
        <v>73</v>
      </c>
      <c r="H1773" t="s">
        <v>69</v>
      </c>
      <c r="I1773" t="s">
        <v>150</v>
      </c>
      <c r="J1773" s="10" t="str">
        <f>VLOOKUP(I1773,Categories!A:B,2,FALSE)</f>
        <v xml:space="preserve">Food &amp; Coff</v>
      </c>
      <c r="K1773" t="s">
        <v>178</v>
      </c>
      <c r="L1773" s="10" t="str">
        <f>VLOOKUP(K1773,Accounts!A:B,2,FALSE)</f>
        <v>SCB</v>
      </c>
      <c r="M1773" t="s">
        <v>124</v>
      </c>
      <c r="N1773" s="10"/>
      <c r="O1773" t="s">
        <v>125</v>
      </c>
      <c r="Q1773" t="s">
        <v>126</v>
      </c>
      <c r="R1773" t="s">
        <v>124</v>
      </c>
      <c r="S1773" t="b">
        <v>0</v>
      </c>
      <c r="T1773" t="s">
        <v>124</v>
      </c>
    </row>
    <row r="1774">
      <c r="A1774" t="s">
        <v>3553</v>
      </c>
      <c r="B1774" t="s">
        <v>3551</v>
      </c>
      <c r="C1774" s="2">
        <v>2023</v>
      </c>
      <c r="D1774" s="10">
        <v>4</v>
      </c>
      <c r="E1774" s="10">
        <v>5</v>
      </c>
      <c r="F1774" t="s">
        <v>1790</v>
      </c>
      <c r="G1774">
        <v>5793.3599999999997</v>
      </c>
      <c r="H1774" t="s">
        <v>69</v>
      </c>
      <c r="I1774" t="s">
        <v>139</v>
      </c>
      <c r="J1774" s="10" t="str">
        <f>VLOOKUP(I1774,Categories!A:B,2,FALSE)</f>
        <v>Condo</v>
      </c>
      <c r="K1774" t="s">
        <v>178</v>
      </c>
      <c r="L1774" s="10" t="str">
        <f>VLOOKUP(K1774,Accounts!A:B,2,FALSE)</f>
        <v>SCB</v>
      </c>
      <c r="M1774" t="s">
        <v>124</v>
      </c>
      <c r="N1774" s="10"/>
      <c r="O1774" t="s">
        <v>125</v>
      </c>
      <c r="Q1774" t="s">
        <v>126</v>
      </c>
      <c r="R1774" t="s">
        <v>124</v>
      </c>
      <c r="S1774" t="b">
        <v>0</v>
      </c>
      <c r="T1774" t="s">
        <v>124</v>
      </c>
    </row>
    <row r="1775">
      <c r="A1775" t="s">
        <v>3554</v>
      </c>
      <c r="B1775" t="s">
        <v>3551</v>
      </c>
      <c r="C1775" s="2">
        <v>2023</v>
      </c>
      <c r="D1775" s="10">
        <v>4</v>
      </c>
      <c r="E1775" s="10">
        <v>5</v>
      </c>
      <c r="F1775" t="s">
        <v>496</v>
      </c>
      <c r="G1775">
        <v>10000</v>
      </c>
      <c r="H1775" t="s">
        <v>206</v>
      </c>
      <c r="I1775" t="s">
        <v>207</v>
      </c>
      <c r="J1775" s="10" t="str">
        <f>VLOOKUP(I1775,Categories!A:B,2,FALSE)</f>
        <v>Salary</v>
      </c>
      <c r="K1775" t="s">
        <v>2317</v>
      </c>
      <c r="L1775" s="10" t="str">
        <f>VLOOKUP(K1775,Accounts!A:B,2,FALSE)</f>
        <v xml:space="preserve">Marriage account</v>
      </c>
      <c r="M1775" t="s">
        <v>124</v>
      </c>
      <c r="N1775" s="10"/>
      <c r="O1775" t="s">
        <v>125</v>
      </c>
      <c r="Q1775" t="s">
        <v>126</v>
      </c>
      <c r="R1775" t="s">
        <v>124</v>
      </c>
      <c r="S1775" t="b">
        <v>0</v>
      </c>
      <c r="T1775" t="s">
        <v>124</v>
      </c>
    </row>
    <row r="1776">
      <c r="A1776" t="s">
        <v>3555</v>
      </c>
      <c r="B1776" t="s">
        <v>3551</v>
      </c>
      <c r="C1776" s="2">
        <v>2023</v>
      </c>
      <c r="D1776" s="10">
        <v>4</v>
      </c>
      <c r="E1776" s="10">
        <v>5</v>
      </c>
      <c r="F1776" t="s">
        <v>258</v>
      </c>
      <c r="G1776">
        <v>90</v>
      </c>
      <c r="H1776" t="s">
        <v>69</v>
      </c>
      <c r="I1776" t="s">
        <v>150</v>
      </c>
      <c r="J1776" s="10" t="str">
        <f>VLOOKUP(I1776,Categories!A:B,2,FALSE)</f>
        <v xml:space="preserve">Food &amp; Coff</v>
      </c>
      <c r="K1776" t="s">
        <v>178</v>
      </c>
      <c r="L1776" s="10" t="str">
        <f>VLOOKUP(K1776,Accounts!A:B,2,FALSE)</f>
        <v>SCB</v>
      </c>
      <c r="M1776" t="s">
        <v>124</v>
      </c>
      <c r="N1776" s="10"/>
      <c r="O1776" t="s">
        <v>125</v>
      </c>
      <c r="Q1776" t="s">
        <v>126</v>
      </c>
      <c r="R1776" t="s">
        <v>124</v>
      </c>
      <c r="S1776" t="b">
        <v>0</v>
      </c>
      <c r="T1776" t="s">
        <v>124</v>
      </c>
    </row>
    <row r="1777">
      <c r="A1777" t="s">
        <v>3556</v>
      </c>
      <c r="B1777" t="s">
        <v>3551</v>
      </c>
      <c r="C1777" s="2">
        <v>2023</v>
      </c>
      <c r="D1777" s="10">
        <v>4</v>
      </c>
      <c r="E1777" s="10">
        <v>5</v>
      </c>
      <c r="F1777" t="s">
        <v>1119</v>
      </c>
      <c r="G1777">
        <v>55</v>
      </c>
      <c r="H1777" t="s">
        <v>69</v>
      </c>
      <c r="I1777" t="s">
        <v>150</v>
      </c>
      <c r="J1777" s="10" t="str">
        <f>VLOOKUP(I1777,Categories!A:B,2,FALSE)</f>
        <v xml:space="preserve">Food &amp; Coff</v>
      </c>
      <c r="K1777" t="s">
        <v>178</v>
      </c>
      <c r="L1777" s="10" t="str">
        <f>VLOOKUP(K1777,Accounts!A:B,2,FALSE)</f>
        <v>SCB</v>
      </c>
      <c r="M1777" t="s">
        <v>124</v>
      </c>
      <c r="N1777" s="10"/>
      <c r="O1777" t="s">
        <v>125</v>
      </c>
      <c r="Q1777" t="s">
        <v>126</v>
      </c>
      <c r="R1777" t="s">
        <v>124</v>
      </c>
      <c r="S1777" t="b">
        <v>0</v>
      </c>
      <c r="T1777" t="s">
        <v>124</v>
      </c>
    </row>
    <row r="1778">
      <c r="A1778" t="s">
        <v>3557</v>
      </c>
      <c r="B1778" t="s">
        <v>3551</v>
      </c>
      <c r="C1778" s="2">
        <v>2023</v>
      </c>
      <c r="D1778" s="10">
        <v>4</v>
      </c>
      <c r="E1778" s="10">
        <v>5</v>
      </c>
      <c r="F1778" t="s">
        <v>3558</v>
      </c>
      <c r="G1778">
        <v>30</v>
      </c>
      <c r="H1778" t="s">
        <v>69</v>
      </c>
      <c r="I1778" t="s">
        <v>150</v>
      </c>
      <c r="J1778" s="10" t="str">
        <f>VLOOKUP(I1778,Categories!A:B,2,FALSE)</f>
        <v xml:space="preserve">Food &amp; Coff</v>
      </c>
      <c r="K1778" t="s">
        <v>178</v>
      </c>
      <c r="L1778" s="10" t="str">
        <f>VLOOKUP(K1778,Accounts!A:B,2,FALSE)</f>
        <v>SCB</v>
      </c>
      <c r="M1778" t="s">
        <v>124</v>
      </c>
      <c r="N1778" s="10"/>
      <c r="O1778" t="s">
        <v>125</v>
      </c>
      <c r="Q1778" t="s">
        <v>126</v>
      </c>
      <c r="R1778" t="s">
        <v>124</v>
      </c>
      <c r="S1778" t="b">
        <v>0</v>
      </c>
      <c r="T1778" t="s">
        <v>124</v>
      </c>
    </row>
    <row r="1779">
      <c r="A1779" t="s">
        <v>3559</v>
      </c>
      <c r="B1779" t="s">
        <v>3551</v>
      </c>
      <c r="C1779" s="2">
        <v>2023</v>
      </c>
      <c r="D1779" s="10">
        <v>4</v>
      </c>
      <c r="E1779" s="10">
        <v>5</v>
      </c>
      <c r="F1779" t="s">
        <v>1214</v>
      </c>
      <c r="G1779">
        <v>463</v>
      </c>
      <c r="H1779" t="s">
        <v>69</v>
      </c>
      <c r="I1779" t="s">
        <v>150</v>
      </c>
      <c r="J1779" s="10" t="str">
        <f>VLOOKUP(I1779,Categories!A:B,2,FALSE)</f>
        <v xml:space="preserve">Food &amp; Coff</v>
      </c>
      <c r="K1779" t="s">
        <v>2317</v>
      </c>
      <c r="L1779" s="10" t="str">
        <f>VLOOKUP(K1779,Accounts!A:B,2,FALSE)</f>
        <v xml:space="preserve">Marriage account</v>
      </c>
      <c r="M1779" t="s">
        <v>124</v>
      </c>
      <c r="N1779" s="10"/>
      <c r="O1779" t="s">
        <v>3560</v>
      </c>
      <c r="Q1779" t="s">
        <v>126</v>
      </c>
      <c r="R1779" t="s">
        <v>124</v>
      </c>
      <c r="S1779" t="b">
        <v>0</v>
      </c>
      <c r="T1779" t="s">
        <v>124</v>
      </c>
    </row>
    <row r="1780">
      <c r="A1780" t="s">
        <v>3561</v>
      </c>
      <c r="B1780" t="s">
        <v>3551</v>
      </c>
      <c r="C1780" s="2">
        <v>2023</v>
      </c>
      <c r="D1780" s="10">
        <v>4</v>
      </c>
      <c r="E1780" s="10">
        <v>5</v>
      </c>
      <c r="F1780" t="s">
        <v>3562</v>
      </c>
      <c r="G1780">
        <v>2217</v>
      </c>
      <c r="H1780" t="s">
        <v>69</v>
      </c>
      <c r="I1780" t="s">
        <v>157</v>
      </c>
      <c r="J1780" s="10" t="str">
        <f>VLOOKUP(I1780,Categories!A:B,2,FALSE)</f>
        <v>Boardgame</v>
      </c>
      <c r="K1780" t="s">
        <v>178</v>
      </c>
      <c r="L1780" s="10" t="str">
        <f>VLOOKUP(K1780,Accounts!A:B,2,FALSE)</f>
        <v>SCB</v>
      </c>
      <c r="M1780" t="s">
        <v>124</v>
      </c>
      <c r="N1780" s="10"/>
      <c r="O1780" t="s">
        <v>125</v>
      </c>
      <c r="Q1780" t="s">
        <v>126</v>
      </c>
      <c r="R1780" t="s">
        <v>124</v>
      </c>
      <c r="S1780" t="b">
        <v>0</v>
      </c>
      <c r="T1780" t="s">
        <v>124</v>
      </c>
    </row>
    <row r="1781">
      <c r="A1781" t="s">
        <v>3563</v>
      </c>
      <c r="B1781" t="s">
        <v>3564</v>
      </c>
      <c r="C1781" s="2">
        <v>2023</v>
      </c>
      <c r="D1781" s="10">
        <v>4</v>
      </c>
      <c r="E1781" s="10">
        <v>4</v>
      </c>
      <c r="F1781" t="s">
        <v>1002</v>
      </c>
      <c r="G1781">
        <v>230</v>
      </c>
      <c r="H1781" t="s">
        <v>69</v>
      </c>
      <c r="I1781" t="s">
        <v>150</v>
      </c>
      <c r="J1781" s="10" t="str">
        <f>VLOOKUP(I1781,Categories!A:B,2,FALSE)</f>
        <v xml:space="preserve">Food &amp; Coff</v>
      </c>
      <c r="K1781" t="s">
        <v>2317</v>
      </c>
      <c r="L1781" s="10" t="str">
        <f>VLOOKUP(K1781,Accounts!A:B,2,FALSE)</f>
        <v xml:space="preserve">Marriage account</v>
      </c>
      <c r="M1781" t="s">
        <v>124</v>
      </c>
      <c r="N1781" s="10"/>
      <c r="O1781" t="s">
        <v>125</v>
      </c>
      <c r="Q1781" t="s">
        <v>126</v>
      </c>
      <c r="R1781" t="s">
        <v>124</v>
      </c>
      <c r="S1781" t="b">
        <v>0</v>
      </c>
      <c r="T1781" t="s">
        <v>124</v>
      </c>
    </row>
    <row r="1782">
      <c r="A1782" t="s">
        <v>3565</v>
      </c>
      <c r="B1782" t="s">
        <v>3564</v>
      </c>
      <c r="C1782" s="2">
        <v>2023</v>
      </c>
      <c r="D1782" s="10">
        <v>4</v>
      </c>
      <c r="E1782" s="10">
        <v>4</v>
      </c>
      <c r="F1782" t="s">
        <v>270</v>
      </c>
      <c r="G1782">
        <v>130</v>
      </c>
      <c r="H1782" t="s">
        <v>69</v>
      </c>
      <c r="I1782" t="s">
        <v>150</v>
      </c>
      <c r="J1782" s="10" t="str">
        <f>VLOOKUP(I1782,Categories!A:B,2,FALSE)</f>
        <v xml:space="preserve">Food &amp; Coff</v>
      </c>
      <c r="K1782" t="s">
        <v>178</v>
      </c>
      <c r="L1782" s="10" t="str">
        <f>VLOOKUP(K1782,Accounts!A:B,2,FALSE)</f>
        <v>SCB</v>
      </c>
      <c r="M1782" t="s">
        <v>124</v>
      </c>
      <c r="N1782" s="10"/>
      <c r="O1782" t="s">
        <v>125</v>
      </c>
      <c r="Q1782" t="s">
        <v>126</v>
      </c>
      <c r="R1782" t="s">
        <v>124</v>
      </c>
      <c r="S1782" t="b">
        <v>0</v>
      </c>
      <c r="T1782" t="s">
        <v>124</v>
      </c>
    </row>
    <row r="1783">
      <c r="A1783" t="s">
        <v>3566</v>
      </c>
      <c r="B1783" t="s">
        <v>3564</v>
      </c>
      <c r="C1783" s="2">
        <v>2023</v>
      </c>
      <c r="D1783" s="10">
        <v>4</v>
      </c>
      <c r="E1783" s="10">
        <v>4</v>
      </c>
      <c r="F1783" t="s">
        <v>1513</v>
      </c>
      <c r="G1783">
        <v>50</v>
      </c>
      <c r="H1783" t="s">
        <v>69</v>
      </c>
      <c r="I1783" t="s">
        <v>150</v>
      </c>
      <c r="J1783" s="10" t="str">
        <f>VLOOKUP(I1783,Categories!A:B,2,FALSE)</f>
        <v xml:space="preserve">Food &amp; Coff</v>
      </c>
      <c r="K1783" t="s">
        <v>178</v>
      </c>
      <c r="L1783" s="10" t="str">
        <f>VLOOKUP(K1783,Accounts!A:B,2,FALSE)</f>
        <v>SCB</v>
      </c>
      <c r="M1783" t="s">
        <v>124</v>
      </c>
      <c r="N1783" s="10"/>
      <c r="O1783" t="s">
        <v>125</v>
      </c>
      <c r="Q1783" t="s">
        <v>126</v>
      </c>
      <c r="R1783" t="s">
        <v>124</v>
      </c>
      <c r="S1783" t="b">
        <v>0</v>
      </c>
      <c r="T1783" t="s">
        <v>124</v>
      </c>
    </row>
    <row r="1784">
      <c r="A1784" t="s">
        <v>3567</v>
      </c>
      <c r="B1784" t="s">
        <v>3568</v>
      </c>
      <c r="C1784" s="2">
        <v>2023</v>
      </c>
      <c r="D1784" s="10">
        <v>4</v>
      </c>
      <c r="E1784" s="10">
        <v>3</v>
      </c>
      <c r="F1784" t="s">
        <v>3314</v>
      </c>
      <c r="G1784">
        <v>105</v>
      </c>
      <c r="H1784" t="s">
        <v>69</v>
      </c>
      <c r="I1784" t="s">
        <v>150</v>
      </c>
      <c r="J1784" s="10" t="str">
        <f>VLOOKUP(I1784,Categories!A:B,2,FALSE)</f>
        <v xml:space="preserve">Food &amp; Coff</v>
      </c>
      <c r="K1784" t="s">
        <v>2317</v>
      </c>
      <c r="L1784" s="10" t="str">
        <f>VLOOKUP(K1784,Accounts!A:B,2,FALSE)</f>
        <v xml:space="preserve">Marriage account</v>
      </c>
      <c r="M1784" t="s">
        <v>124</v>
      </c>
      <c r="N1784" s="10"/>
      <c r="O1784" t="s">
        <v>125</v>
      </c>
      <c r="Q1784" t="s">
        <v>126</v>
      </c>
      <c r="R1784" t="s">
        <v>124</v>
      </c>
      <c r="S1784" t="b">
        <v>0</v>
      </c>
      <c r="T1784" t="s">
        <v>124</v>
      </c>
    </row>
    <row r="1785">
      <c r="A1785" t="s">
        <v>3569</v>
      </c>
      <c r="B1785" t="s">
        <v>3568</v>
      </c>
      <c r="C1785" s="2">
        <v>2023</v>
      </c>
      <c r="D1785" s="10">
        <v>4</v>
      </c>
      <c r="E1785" s="10">
        <v>3</v>
      </c>
      <c r="F1785" t="s">
        <v>765</v>
      </c>
      <c r="G1785">
        <v>368.93000000000001</v>
      </c>
      <c r="H1785" t="s">
        <v>69</v>
      </c>
      <c r="I1785" t="s">
        <v>144</v>
      </c>
      <c r="J1785" s="10" t="str">
        <f>VLOOKUP(I1785,Categories!A:B,2,FALSE)</f>
        <v xml:space="preserve">Family paid</v>
      </c>
      <c r="K1785" t="s">
        <v>747</v>
      </c>
      <c r="L1785" s="10" t="str">
        <f>VLOOKUP(K1785,Accounts!A:B,2,FALSE)</f>
        <v xml:space="preserve">UOB world</v>
      </c>
      <c r="M1785" t="s">
        <v>124</v>
      </c>
      <c r="N1785" s="10"/>
      <c r="O1785" t="s">
        <v>125</v>
      </c>
      <c r="Q1785" t="s">
        <v>126</v>
      </c>
      <c r="R1785" t="s">
        <v>124</v>
      </c>
      <c r="S1785" t="b">
        <v>0</v>
      </c>
      <c r="T1785" t="s">
        <v>124</v>
      </c>
    </row>
    <row r="1786">
      <c r="A1786" t="s">
        <v>3570</v>
      </c>
      <c r="B1786" t="s">
        <v>3571</v>
      </c>
      <c r="C1786" s="2">
        <v>2023</v>
      </c>
      <c r="D1786" s="10">
        <v>4</v>
      </c>
      <c r="E1786" s="10">
        <v>2</v>
      </c>
      <c r="F1786" t="s">
        <v>554</v>
      </c>
      <c r="G1786">
        <v>1980</v>
      </c>
      <c r="H1786" t="s">
        <v>69</v>
      </c>
      <c r="I1786" t="s">
        <v>144</v>
      </c>
      <c r="J1786" s="10" t="str">
        <f>VLOOKUP(I1786,Categories!A:B,2,FALSE)</f>
        <v xml:space="preserve">Family paid</v>
      </c>
      <c r="K1786" t="s">
        <v>178</v>
      </c>
      <c r="L1786" s="10" t="str">
        <f>VLOOKUP(K1786,Accounts!A:B,2,FALSE)</f>
        <v>SCB</v>
      </c>
      <c r="M1786" t="s">
        <v>124</v>
      </c>
      <c r="N1786" s="10"/>
      <c r="O1786" t="s">
        <v>3572</v>
      </c>
      <c r="Q1786" t="s">
        <v>126</v>
      </c>
      <c r="R1786" t="s">
        <v>124</v>
      </c>
      <c r="S1786" t="b">
        <v>0</v>
      </c>
      <c r="T1786" t="s">
        <v>124</v>
      </c>
    </row>
    <row r="1787">
      <c r="A1787" t="s">
        <v>3573</v>
      </c>
      <c r="B1787" t="s">
        <v>3571</v>
      </c>
      <c r="C1787" s="2">
        <v>2023</v>
      </c>
      <c r="D1787" s="10">
        <v>4</v>
      </c>
      <c r="E1787" s="10">
        <v>2</v>
      </c>
      <c r="F1787" t="s">
        <v>815</v>
      </c>
      <c r="G1787">
        <v>1160</v>
      </c>
      <c r="H1787" t="s">
        <v>69</v>
      </c>
      <c r="I1787" t="s">
        <v>3276</v>
      </c>
      <c r="J1787" s="10" t="str">
        <f>VLOOKUP(I1787,Categories!A:B,2,FALSE)</f>
        <v>Fuel</v>
      </c>
      <c r="K1787" t="s">
        <v>2317</v>
      </c>
      <c r="L1787" s="10" t="str">
        <f>VLOOKUP(K1787,Accounts!A:B,2,FALSE)</f>
        <v xml:space="preserve">Marriage account</v>
      </c>
      <c r="M1787" t="s">
        <v>124</v>
      </c>
      <c r="N1787" s="10"/>
      <c r="O1787" t="s">
        <v>125</v>
      </c>
      <c r="Q1787" t="s">
        <v>126</v>
      </c>
      <c r="R1787" t="s">
        <v>124</v>
      </c>
      <c r="S1787" t="b">
        <v>0</v>
      </c>
      <c r="T1787" t="s">
        <v>124</v>
      </c>
    </row>
    <row r="1788">
      <c r="A1788" t="s">
        <v>3574</v>
      </c>
      <c r="B1788" t="s">
        <v>3571</v>
      </c>
      <c r="C1788" s="2">
        <v>2023</v>
      </c>
      <c r="D1788" s="10">
        <v>4</v>
      </c>
      <c r="E1788" s="10">
        <v>2</v>
      </c>
      <c r="F1788" t="s">
        <v>815</v>
      </c>
      <c r="G1788">
        <v>5000</v>
      </c>
      <c r="H1788" t="s">
        <v>69</v>
      </c>
      <c r="I1788" t="s">
        <v>144</v>
      </c>
      <c r="J1788" s="10" t="str">
        <f>VLOOKUP(I1788,Categories!A:B,2,FALSE)</f>
        <v xml:space="preserve">Family paid</v>
      </c>
      <c r="K1788" t="s">
        <v>123</v>
      </c>
      <c r="L1788" s="10" t="str">
        <f>VLOOKUP(K1788,Accounts!A:B,2,FALSE)</f>
        <v>KBank</v>
      </c>
      <c r="M1788" t="s">
        <v>124</v>
      </c>
      <c r="N1788" s="10"/>
      <c r="O1788" t="s">
        <v>125</v>
      </c>
      <c r="Q1788" t="s">
        <v>126</v>
      </c>
      <c r="R1788" t="s">
        <v>124</v>
      </c>
      <c r="S1788" t="b">
        <v>0</v>
      </c>
      <c r="T1788" t="s">
        <v>124</v>
      </c>
    </row>
    <row r="1789">
      <c r="A1789" t="s">
        <v>3575</v>
      </c>
      <c r="B1789" t="s">
        <v>3571</v>
      </c>
      <c r="C1789" s="2">
        <v>2023</v>
      </c>
      <c r="D1789" s="10">
        <v>4</v>
      </c>
      <c r="E1789" s="10">
        <v>2</v>
      </c>
      <c r="F1789" t="s">
        <v>807</v>
      </c>
      <c r="G1789">
        <v>129</v>
      </c>
      <c r="H1789" t="s">
        <v>69</v>
      </c>
      <c r="I1789" t="s">
        <v>150</v>
      </c>
      <c r="J1789" s="10" t="str">
        <f>VLOOKUP(I1789,Categories!A:B,2,FALSE)</f>
        <v xml:space="preserve">Food &amp; Coff</v>
      </c>
      <c r="K1789" t="s">
        <v>178</v>
      </c>
      <c r="L1789" s="10" t="str">
        <f>VLOOKUP(K1789,Accounts!A:B,2,FALSE)</f>
        <v>SCB</v>
      </c>
      <c r="M1789" t="s">
        <v>124</v>
      </c>
      <c r="N1789" s="10"/>
      <c r="O1789" t="s">
        <v>125</v>
      </c>
      <c r="Q1789" t="s">
        <v>126</v>
      </c>
      <c r="R1789" t="s">
        <v>124</v>
      </c>
      <c r="S1789" t="b">
        <v>0</v>
      </c>
      <c r="T1789" t="s">
        <v>124</v>
      </c>
    </row>
    <row r="1790">
      <c r="A1790" t="s">
        <v>3576</v>
      </c>
      <c r="B1790" t="s">
        <v>3571</v>
      </c>
      <c r="C1790" s="2">
        <v>2023</v>
      </c>
      <c r="D1790" s="10">
        <v>4</v>
      </c>
      <c r="E1790" s="10">
        <v>2</v>
      </c>
      <c r="F1790" t="s">
        <v>1982</v>
      </c>
      <c r="G1790">
        <v>2242</v>
      </c>
      <c r="H1790" t="s">
        <v>69</v>
      </c>
      <c r="I1790" t="s">
        <v>150</v>
      </c>
      <c r="J1790" s="10" t="str">
        <f>VLOOKUP(I1790,Categories!A:B,2,FALSE)</f>
        <v xml:space="preserve">Food &amp; Coff</v>
      </c>
      <c r="K1790" t="s">
        <v>131</v>
      </c>
      <c r="L1790" s="10" t="str">
        <f>VLOOKUP(K1790,Accounts!A:B,2,FALSE)</f>
        <v xml:space="preserve">Advance Paid</v>
      </c>
      <c r="M1790" t="s">
        <v>124</v>
      </c>
      <c r="N1790" s="10"/>
      <c r="O1790" t="s">
        <v>125</v>
      </c>
      <c r="Q1790" t="s">
        <v>126</v>
      </c>
      <c r="R1790" t="s">
        <v>124</v>
      </c>
      <c r="S1790" t="b">
        <v>0</v>
      </c>
      <c r="T1790" t="s">
        <v>124</v>
      </c>
    </row>
    <row r="1791">
      <c r="A1791" t="s">
        <v>3577</v>
      </c>
      <c r="B1791" t="s">
        <v>3571</v>
      </c>
      <c r="C1791" s="2">
        <v>2023</v>
      </c>
      <c r="D1791" s="10">
        <v>4</v>
      </c>
      <c r="E1791" s="10">
        <v>2</v>
      </c>
      <c r="F1791" t="s">
        <v>1982</v>
      </c>
      <c r="G1791">
        <v>2758</v>
      </c>
      <c r="H1791" t="s">
        <v>128</v>
      </c>
      <c r="I1791" t="s">
        <v>136</v>
      </c>
      <c r="J1791" s="10" t="str">
        <f>VLOOKUP(I1791,Categories!A:B,2,FALSE)</f>
        <v>อื่นๆ</v>
      </c>
      <c r="K1791" t="s">
        <v>131</v>
      </c>
      <c r="L1791" s="10" t="str">
        <f>VLOOKUP(K1791,Accounts!A:B,2,FALSE)</f>
        <v xml:space="preserve">Advance Paid</v>
      </c>
      <c r="M1791" t="s">
        <v>178</v>
      </c>
      <c r="N1791" s="10" t="str">
        <f>VLOOKUP(M1791,Accounts!A:B,2,FALSE)</f>
        <v>SCB</v>
      </c>
      <c r="O1791" t="s">
        <v>125</v>
      </c>
      <c r="Q1791" t="s">
        <v>126</v>
      </c>
      <c r="R1791" t="s">
        <v>124</v>
      </c>
      <c r="S1791" t="b">
        <v>0</v>
      </c>
      <c r="T1791" t="s">
        <v>124</v>
      </c>
    </row>
    <row r="1792">
      <c r="A1792" t="s">
        <v>3578</v>
      </c>
      <c r="B1792" t="s">
        <v>3571</v>
      </c>
      <c r="C1792" s="2">
        <v>2023</v>
      </c>
      <c r="D1792" s="10">
        <v>4</v>
      </c>
      <c r="E1792" s="10">
        <v>2</v>
      </c>
      <c r="F1792" t="s">
        <v>857</v>
      </c>
      <c r="G1792">
        <v>4806</v>
      </c>
      <c r="H1792" t="s">
        <v>69</v>
      </c>
      <c r="I1792" t="s">
        <v>150</v>
      </c>
      <c r="J1792" s="10" t="str">
        <f>VLOOKUP(I1792,Categories!A:B,2,FALSE)</f>
        <v xml:space="preserve">Food &amp; Coff</v>
      </c>
      <c r="K1792" t="s">
        <v>2317</v>
      </c>
      <c r="L1792" s="10" t="str">
        <f>VLOOKUP(K1792,Accounts!A:B,2,FALSE)</f>
        <v xml:space="preserve">Marriage account</v>
      </c>
      <c r="M1792" t="s">
        <v>124</v>
      </c>
      <c r="N1792" s="10"/>
      <c r="O1792" t="s">
        <v>125</v>
      </c>
      <c r="Q1792" t="s">
        <v>126</v>
      </c>
      <c r="R1792" t="s">
        <v>124</v>
      </c>
      <c r="S1792" t="b">
        <v>0</v>
      </c>
      <c r="T1792" t="s">
        <v>124</v>
      </c>
    </row>
    <row r="1793">
      <c r="A1793" t="s">
        <v>3579</v>
      </c>
      <c r="B1793" t="s">
        <v>3571</v>
      </c>
      <c r="C1793" s="2">
        <v>2023</v>
      </c>
      <c r="D1793" s="10">
        <v>4</v>
      </c>
      <c r="E1793" s="10">
        <v>2</v>
      </c>
      <c r="F1793" t="s">
        <v>3580</v>
      </c>
      <c r="G1793">
        <v>315.64999999999998</v>
      </c>
      <c r="H1793" t="s">
        <v>69</v>
      </c>
      <c r="I1793" t="s">
        <v>254</v>
      </c>
      <c r="J1793" s="10" t="str">
        <f>VLOOKUP(I1793,Categories!A:B,2,FALSE)</f>
        <v xml:space="preserve">Modified Bal.</v>
      </c>
      <c r="K1793" t="s">
        <v>893</v>
      </c>
      <c r="L1793" s="10" t="str">
        <f>VLOOKUP(K1793,Accounts!A:B,2,FALSE)</f>
        <v>Shopee</v>
      </c>
      <c r="M1793" t="s">
        <v>124</v>
      </c>
      <c r="N1793" s="10"/>
      <c r="O1793" t="s">
        <v>255</v>
      </c>
      <c r="Q1793" t="s">
        <v>126</v>
      </c>
      <c r="R1793" t="s">
        <v>124</v>
      </c>
      <c r="S1793" t="b">
        <v>0</v>
      </c>
      <c r="T1793" t="s">
        <v>124</v>
      </c>
    </row>
    <row r="1794">
      <c r="A1794" t="s">
        <v>3581</v>
      </c>
      <c r="B1794" t="s">
        <v>3582</v>
      </c>
      <c r="C1794" s="2">
        <v>2023</v>
      </c>
      <c r="D1794" s="10">
        <v>4</v>
      </c>
      <c r="E1794" s="10">
        <v>1</v>
      </c>
      <c r="F1794" t="s">
        <v>3583</v>
      </c>
      <c r="G1794">
        <v>100000</v>
      </c>
      <c r="H1794" t="s">
        <v>128</v>
      </c>
      <c r="I1794" t="s">
        <v>136</v>
      </c>
      <c r="J1794" s="10" t="str">
        <f>VLOOKUP(I1794,Categories!A:B,2,FALSE)</f>
        <v>อื่นๆ</v>
      </c>
      <c r="K1794" t="s">
        <v>178</v>
      </c>
      <c r="L1794" s="10" t="str">
        <f>VLOOKUP(K1794,Accounts!A:B,2,FALSE)</f>
        <v>SCB</v>
      </c>
      <c r="M1794" t="s">
        <v>123</v>
      </c>
      <c r="N1794" s="10" t="str">
        <f>VLOOKUP(M1794,Accounts!A:B,2,FALSE)</f>
        <v>KBank</v>
      </c>
      <c r="O1794" t="s">
        <v>125</v>
      </c>
      <c r="Q1794" t="s">
        <v>126</v>
      </c>
      <c r="R1794" t="s">
        <v>124</v>
      </c>
      <c r="S1794" t="b">
        <v>0</v>
      </c>
      <c r="T1794" t="s">
        <v>124</v>
      </c>
    </row>
    <row r="1795">
      <c r="A1795" t="s">
        <v>3584</v>
      </c>
      <c r="B1795" t="s">
        <v>3582</v>
      </c>
      <c r="C1795" s="2">
        <v>2023</v>
      </c>
      <c r="D1795" s="10">
        <v>4</v>
      </c>
      <c r="E1795" s="10">
        <v>1</v>
      </c>
      <c r="F1795" t="s">
        <v>3150</v>
      </c>
      <c r="G1795">
        <v>920</v>
      </c>
      <c r="H1795" t="s">
        <v>69</v>
      </c>
      <c r="I1795" t="s">
        <v>3276</v>
      </c>
      <c r="J1795" s="10" t="str">
        <f>VLOOKUP(I1795,Categories!A:B,2,FALSE)</f>
        <v>Fuel</v>
      </c>
      <c r="K1795" t="s">
        <v>2317</v>
      </c>
      <c r="L1795" s="10" t="str">
        <f>VLOOKUP(K1795,Accounts!A:B,2,FALSE)</f>
        <v xml:space="preserve">Marriage account</v>
      </c>
      <c r="M1795" t="s">
        <v>124</v>
      </c>
      <c r="N1795" s="10"/>
      <c r="O1795" t="s">
        <v>125</v>
      </c>
      <c r="Q1795" t="s">
        <v>126</v>
      </c>
      <c r="R1795" t="s">
        <v>124</v>
      </c>
      <c r="S1795" t="b">
        <v>0</v>
      </c>
      <c r="T1795" t="s">
        <v>124</v>
      </c>
    </row>
    <row r="1796">
      <c r="A1796" t="s">
        <v>3585</v>
      </c>
      <c r="B1796" t="s">
        <v>3582</v>
      </c>
      <c r="C1796" s="2">
        <v>2023</v>
      </c>
      <c r="D1796" s="10">
        <v>4</v>
      </c>
      <c r="E1796" s="10">
        <v>1</v>
      </c>
      <c r="F1796" t="s">
        <v>226</v>
      </c>
      <c r="G1796">
        <v>4103</v>
      </c>
      <c r="H1796" t="s">
        <v>128</v>
      </c>
      <c r="I1796" t="s">
        <v>136</v>
      </c>
      <c r="J1796" s="10" t="str">
        <f>VLOOKUP(I1796,Categories!A:B,2,FALSE)</f>
        <v>อื่นๆ</v>
      </c>
      <c r="K1796" t="s">
        <v>178</v>
      </c>
      <c r="L1796" s="10" t="str">
        <f>VLOOKUP(K1796,Accounts!A:B,2,FALSE)</f>
        <v>SCB</v>
      </c>
      <c r="M1796" t="s">
        <v>130</v>
      </c>
      <c r="N1796" s="10" t="str">
        <f>VLOOKUP(M1796,Accounts!A:B,2,FALSE)</f>
        <v xml:space="preserve">KTC JCB</v>
      </c>
      <c r="O1796" t="s">
        <v>125</v>
      </c>
      <c r="Q1796" t="s">
        <v>126</v>
      </c>
      <c r="R1796" t="s">
        <v>124</v>
      </c>
      <c r="S1796" t="b">
        <v>0</v>
      </c>
      <c r="T1796" t="s">
        <v>124</v>
      </c>
    </row>
    <row r="1797">
      <c r="A1797" t="s">
        <v>3586</v>
      </c>
      <c r="B1797" t="s">
        <v>3582</v>
      </c>
      <c r="C1797" s="2">
        <v>2023</v>
      </c>
      <c r="D1797" s="10">
        <v>4</v>
      </c>
      <c r="E1797" s="10">
        <v>1</v>
      </c>
      <c r="F1797" t="s">
        <v>228</v>
      </c>
      <c r="G1797">
        <v>3190</v>
      </c>
      <c r="H1797" t="s">
        <v>128</v>
      </c>
      <c r="I1797" t="s">
        <v>136</v>
      </c>
      <c r="J1797" s="10" t="str">
        <f>VLOOKUP(I1797,Categories!A:B,2,FALSE)</f>
        <v>อื่นๆ</v>
      </c>
      <c r="K1797" t="s">
        <v>123</v>
      </c>
      <c r="L1797" s="10" t="str">
        <f>VLOOKUP(K1797,Accounts!A:B,2,FALSE)</f>
        <v>KBank</v>
      </c>
      <c r="M1797" t="s">
        <v>2862</v>
      </c>
      <c r="N1797" s="10" t="str">
        <f>VLOOKUP(M1797,Accounts!A:B,2,FALSE)</f>
        <v xml:space="preserve">Kbank onesiam</v>
      </c>
      <c r="O1797" t="s">
        <v>125</v>
      </c>
      <c r="Q1797" t="s">
        <v>126</v>
      </c>
      <c r="R1797" t="s">
        <v>124</v>
      </c>
      <c r="S1797" t="b">
        <v>0</v>
      </c>
      <c r="T1797" t="s">
        <v>124</v>
      </c>
    </row>
    <row r="1798">
      <c r="A1798" t="s">
        <v>3587</v>
      </c>
      <c r="B1798" t="s">
        <v>3582</v>
      </c>
      <c r="C1798" s="2">
        <v>2023</v>
      </c>
      <c r="D1798" s="10">
        <v>4</v>
      </c>
      <c r="E1798" s="10">
        <v>1</v>
      </c>
      <c r="F1798" t="s">
        <v>1513</v>
      </c>
      <c r="G1798">
        <v>50000</v>
      </c>
      <c r="H1798" t="s">
        <v>69</v>
      </c>
      <c r="I1798" t="s">
        <v>195</v>
      </c>
      <c r="J1798" s="10" t="str">
        <f>VLOOKUP(I1798,Categories!A:B,2,FALSE)</f>
        <v>Tax</v>
      </c>
      <c r="K1798" t="s">
        <v>123</v>
      </c>
      <c r="L1798" s="10" t="str">
        <f>VLOOKUP(K1798,Accounts!A:B,2,FALSE)</f>
        <v>KBank</v>
      </c>
      <c r="M1798" t="s">
        <v>124</v>
      </c>
      <c r="N1798" s="10"/>
      <c r="O1798" t="s">
        <v>125</v>
      </c>
      <c r="Q1798" t="s">
        <v>126</v>
      </c>
      <c r="R1798" t="s">
        <v>124</v>
      </c>
      <c r="S1798" t="b">
        <v>0</v>
      </c>
      <c r="T1798" t="s">
        <v>124</v>
      </c>
    </row>
    <row r="1799">
      <c r="A1799" t="s">
        <v>3588</v>
      </c>
      <c r="B1799" t="s">
        <v>3582</v>
      </c>
      <c r="C1799" s="2">
        <v>2023</v>
      </c>
      <c r="D1799" s="10">
        <v>4</v>
      </c>
      <c r="E1799" s="10">
        <v>1</v>
      </c>
      <c r="F1799" t="s">
        <v>2319</v>
      </c>
      <c r="G1799">
        <v>1837</v>
      </c>
      <c r="H1799" t="s">
        <v>128</v>
      </c>
      <c r="I1799" t="s">
        <v>136</v>
      </c>
      <c r="J1799" s="10" t="str">
        <f>VLOOKUP(I1799,Categories!A:B,2,FALSE)</f>
        <v>อื่นๆ</v>
      </c>
      <c r="K1799" t="s">
        <v>2513</v>
      </c>
      <c r="L1799" s="10" t="str">
        <f>VLOOKUP(K1799,Accounts!A:B,2,FALSE)</f>
        <v xml:space="preserve">Pao tung</v>
      </c>
      <c r="M1799" t="s">
        <v>178</v>
      </c>
      <c r="N1799" s="10" t="str">
        <f>VLOOKUP(M1799,Accounts!A:B,2,FALSE)</f>
        <v>SCB</v>
      </c>
      <c r="O1799" t="s">
        <v>125</v>
      </c>
      <c r="Q1799" t="s">
        <v>126</v>
      </c>
      <c r="R1799" t="s">
        <v>124</v>
      </c>
      <c r="S1799" t="b">
        <v>0</v>
      </c>
      <c r="T1799" t="s">
        <v>124</v>
      </c>
    </row>
    <row r="1800">
      <c r="A1800" t="s">
        <v>3589</v>
      </c>
      <c r="B1800" t="s">
        <v>3582</v>
      </c>
      <c r="C1800" s="2">
        <v>2023</v>
      </c>
      <c r="D1800" s="10">
        <v>4</v>
      </c>
      <c r="E1800" s="10">
        <v>1</v>
      </c>
      <c r="F1800" t="s">
        <v>3590</v>
      </c>
      <c r="G1800">
        <v>1110</v>
      </c>
      <c r="H1800" t="s">
        <v>69</v>
      </c>
      <c r="I1800" t="s">
        <v>150</v>
      </c>
      <c r="J1800" s="10" t="str">
        <f>VLOOKUP(I1800,Categories!A:B,2,FALSE)</f>
        <v xml:space="preserve">Food &amp; Coff</v>
      </c>
      <c r="K1800" t="s">
        <v>178</v>
      </c>
      <c r="L1800" s="10" t="str">
        <f>VLOOKUP(K1800,Accounts!A:B,2,FALSE)</f>
        <v>SCB</v>
      </c>
      <c r="M1800" t="s">
        <v>124</v>
      </c>
      <c r="N1800" s="10"/>
      <c r="O1800" t="s">
        <v>3591</v>
      </c>
      <c r="Q1800" t="s">
        <v>126</v>
      </c>
      <c r="R1800" t="s">
        <v>124</v>
      </c>
      <c r="S1800" t="b">
        <v>0</v>
      </c>
      <c r="T1800" t="s">
        <v>124</v>
      </c>
    </row>
    <row r="1801">
      <c r="A1801" t="s">
        <v>3592</v>
      </c>
      <c r="B1801" t="s">
        <v>3582</v>
      </c>
      <c r="C1801" s="2">
        <v>2023</v>
      </c>
      <c r="D1801" s="10">
        <v>4</v>
      </c>
      <c r="E1801" s="10">
        <v>1</v>
      </c>
      <c r="F1801" t="s">
        <v>3593</v>
      </c>
      <c r="G1801">
        <v>508</v>
      </c>
      <c r="H1801" t="s">
        <v>128</v>
      </c>
      <c r="I1801" t="s">
        <v>136</v>
      </c>
      <c r="J1801" s="10" t="str">
        <f>VLOOKUP(I1801,Categories!A:B,2,FALSE)</f>
        <v>อื่นๆ</v>
      </c>
      <c r="K1801" t="s">
        <v>178</v>
      </c>
      <c r="L1801" s="10" t="str">
        <f>VLOOKUP(K1801,Accounts!A:B,2,FALSE)</f>
        <v>SCB</v>
      </c>
      <c r="M1801" t="s">
        <v>131</v>
      </c>
      <c r="N1801" s="10" t="str">
        <f>VLOOKUP(M1801,Accounts!A:B,2,FALSE)</f>
        <v xml:space="preserve">Advance Paid</v>
      </c>
      <c r="O1801" t="s">
        <v>125</v>
      </c>
      <c r="Q1801" t="s">
        <v>126</v>
      </c>
      <c r="R1801" t="s">
        <v>124</v>
      </c>
      <c r="S1801" t="b">
        <v>0</v>
      </c>
      <c r="T1801" t="s">
        <v>124</v>
      </c>
    </row>
    <row r="1802">
      <c r="A1802" t="s">
        <v>3594</v>
      </c>
      <c r="B1802" t="s">
        <v>3582</v>
      </c>
      <c r="C1802" s="2">
        <v>2023</v>
      </c>
      <c r="D1802" s="10">
        <v>4</v>
      </c>
      <c r="E1802" s="10">
        <v>1</v>
      </c>
      <c r="F1802" t="s">
        <v>3595</v>
      </c>
      <c r="G1802">
        <v>3633</v>
      </c>
      <c r="H1802" t="s">
        <v>69</v>
      </c>
      <c r="I1802" t="s">
        <v>150</v>
      </c>
      <c r="J1802" s="10" t="str">
        <f>VLOOKUP(I1802,Categories!A:B,2,FALSE)</f>
        <v xml:space="preserve">Food &amp; Coff</v>
      </c>
      <c r="K1802" t="s">
        <v>2317</v>
      </c>
      <c r="L1802" s="10" t="str">
        <f>VLOOKUP(K1802,Accounts!A:B,2,FALSE)</f>
        <v xml:space="preserve">Marriage account</v>
      </c>
      <c r="M1802" t="s">
        <v>124</v>
      </c>
      <c r="N1802" s="10"/>
      <c r="O1802" t="s">
        <v>125</v>
      </c>
      <c r="Q1802" t="s">
        <v>126</v>
      </c>
      <c r="R1802" t="s">
        <v>124</v>
      </c>
      <c r="S1802" t="b">
        <v>0</v>
      </c>
      <c r="T1802" t="s">
        <v>124</v>
      </c>
    </row>
    <row r="1803">
      <c r="A1803" t="s">
        <v>3596</v>
      </c>
      <c r="B1803" t="s">
        <v>3582</v>
      </c>
      <c r="C1803" s="2">
        <v>2023</v>
      </c>
      <c r="D1803" s="10">
        <v>4</v>
      </c>
      <c r="E1803" s="10">
        <v>1</v>
      </c>
      <c r="F1803" t="s">
        <v>1843</v>
      </c>
      <c r="G1803">
        <v>200</v>
      </c>
      <c r="H1803" t="s">
        <v>69</v>
      </c>
      <c r="I1803" t="s">
        <v>150</v>
      </c>
      <c r="J1803" s="10" t="str">
        <f>VLOOKUP(I1803,Categories!A:B,2,FALSE)</f>
        <v xml:space="preserve">Food &amp; Coff</v>
      </c>
      <c r="K1803" t="s">
        <v>2317</v>
      </c>
      <c r="L1803" s="10" t="str">
        <f>VLOOKUP(K1803,Accounts!A:B,2,FALSE)</f>
        <v xml:space="preserve">Marriage account</v>
      </c>
      <c r="M1803" t="s">
        <v>124</v>
      </c>
      <c r="N1803" s="10"/>
      <c r="O1803" t="s">
        <v>3597</v>
      </c>
      <c r="Q1803" t="s">
        <v>126</v>
      </c>
      <c r="R1803" t="s">
        <v>124</v>
      </c>
      <c r="S1803" t="b">
        <v>0</v>
      </c>
      <c r="T1803" t="s">
        <v>124</v>
      </c>
    </row>
    <row r="1804">
      <c r="A1804" t="s">
        <v>3598</v>
      </c>
      <c r="B1804" t="s">
        <v>3582</v>
      </c>
      <c r="C1804" s="2">
        <v>2023</v>
      </c>
      <c r="D1804" s="10">
        <v>4</v>
      </c>
      <c r="E1804" s="10">
        <v>1</v>
      </c>
      <c r="F1804" t="s">
        <v>3273</v>
      </c>
      <c r="G1804">
        <v>10000</v>
      </c>
      <c r="H1804" t="s">
        <v>128</v>
      </c>
      <c r="I1804" t="s">
        <v>136</v>
      </c>
      <c r="J1804" s="10" t="str">
        <f>VLOOKUP(I1804,Categories!A:B,2,FALSE)</f>
        <v>อื่นๆ</v>
      </c>
      <c r="K1804" t="s">
        <v>178</v>
      </c>
      <c r="L1804" s="10" t="str">
        <f>VLOOKUP(K1804,Accounts!A:B,2,FALSE)</f>
        <v>SCB</v>
      </c>
      <c r="M1804" t="s">
        <v>2317</v>
      </c>
      <c r="N1804" s="10" t="str">
        <f>VLOOKUP(M1804,Accounts!A:B,2,FALSE)</f>
        <v xml:space="preserve">Marriage account</v>
      </c>
      <c r="O1804" t="s">
        <v>125</v>
      </c>
      <c r="Q1804" t="s">
        <v>126</v>
      </c>
      <c r="R1804" t="s">
        <v>124</v>
      </c>
      <c r="S1804" t="b">
        <v>0</v>
      </c>
      <c r="T1804" t="s">
        <v>124</v>
      </c>
    </row>
    <row r="1805">
      <c r="A1805" t="s">
        <v>3599</v>
      </c>
      <c r="B1805" t="s">
        <v>3582</v>
      </c>
      <c r="C1805" s="2">
        <v>2023</v>
      </c>
      <c r="D1805" s="10">
        <v>4</v>
      </c>
      <c r="E1805" s="10">
        <v>1</v>
      </c>
      <c r="F1805" t="s">
        <v>3600</v>
      </c>
      <c r="G1805">
        <v>239</v>
      </c>
      <c r="H1805" t="s">
        <v>69</v>
      </c>
      <c r="I1805" t="s">
        <v>169</v>
      </c>
      <c r="J1805" s="10" t="str">
        <f>VLOOKUP(I1805,Categories!A:B,2,FALSE)</f>
        <v xml:space="preserve">App &amp; Game</v>
      </c>
      <c r="K1805" t="s">
        <v>178</v>
      </c>
      <c r="L1805" s="10" t="str">
        <f>VLOOKUP(K1805,Accounts!A:B,2,FALSE)</f>
        <v>SCB</v>
      </c>
      <c r="M1805" t="s">
        <v>124</v>
      </c>
      <c r="N1805" s="10"/>
      <c r="O1805" t="s">
        <v>125</v>
      </c>
      <c r="Q1805" t="s">
        <v>126</v>
      </c>
      <c r="R1805" t="s">
        <v>124</v>
      </c>
      <c r="S1805" t="b">
        <v>0</v>
      </c>
      <c r="T1805" t="s">
        <v>124</v>
      </c>
    </row>
    <row r="1806">
      <c r="A1806" t="s">
        <v>3601</v>
      </c>
      <c r="B1806" t="s">
        <v>3582</v>
      </c>
      <c r="C1806" s="2">
        <v>2023</v>
      </c>
      <c r="D1806" s="10">
        <v>4</v>
      </c>
      <c r="E1806" s="10">
        <v>1</v>
      </c>
      <c r="F1806" t="s">
        <v>1301</v>
      </c>
      <c r="G1806">
        <v>371</v>
      </c>
      <c r="H1806" t="s">
        <v>69</v>
      </c>
      <c r="I1806" t="s">
        <v>144</v>
      </c>
      <c r="J1806" s="10" t="str">
        <f>VLOOKUP(I1806,Categories!A:B,2,FALSE)</f>
        <v xml:space="preserve">Family paid</v>
      </c>
      <c r="K1806" t="s">
        <v>178</v>
      </c>
      <c r="L1806" s="10" t="str">
        <f>VLOOKUP(K1806,Accounts!A:B,2,FALSE)</f>
        <v>SCB</v>
      </c>
      <c r="M1806" t="s">
        <v>124</v>
      </c>
      <c r="N1806" s="10"/>
      <c r="O1806" t="s">
        <v>125</v>
      </c>
      <c r="Q1806" t="s">
        <v>126</v>
      </c>
      <c r="R1806" t="s">
        <v>124</v>
      </c>
      <c r="S1806" t="b">
        <v>0</v>
      </c>
      <c r="T1806" t="s">
        <v>124</v>
      </c>
    </row>
    <row r="1807">
      <c r="A1807" t="s">
        <v>3602</v>
      </c>
      <c r="B1807" t="s">
        <v>3582</v>
      </c>
      <c r="C1807" s="2">
        <v>2023</v>
      </c>
      <c r="D1807" s="10">
        <v>4</v>
      </c>
      <c r="E1807" s="10">
        <v>1</v>
      </c>
      <c r="F1807" t="s">
        <v>1363</v>
      </c>
      <c r="G1807">
        <v>1000</v>
      </c>
      <c r="H1807" t="s">
        <v>69</v>
      </c>
      <c r="I1807" t="s">
        <v>3276</v>
      </c>
      <c r="J1807" s="10" t="str">
        <f>VLOOKUP(I1807,Categories!A:B,2,FALSE)</f>
        <v>Fuel</v>
      </c>
      <c r="K1807" t="s">
        <v>2317</v>
      </c>
      <c r="L1807" s="10" t="str">
        <f>VLOOKUP(K1807,Accounts!A:B,2,FALSE)</f>
        <v xml:space="preserve">Marriage account</v>
      </c>
      <c r="M1807" t="s">
        <v>124</v>
      </c>
      <c r="N1807" s="10"/>
      <c r="O1807" t="s">
        <v>3603</v>
      </c>
      <c r="Q1807" t="s">
        <v>126</v>
      </c>
      <c r="R1807" t="s">
        <v>124</v>
      </c>
      <c r="S1807" t="b">
        <v>0</v>
      </c>
      <c r="T1807" t="s">
        <v>124</v>
      </c>
    </row>
    <row r="1808">
      <c r="A1808" t="s">
        <v>3604</v>
      </c>
      <c r="B1808" t="s">
        <v>3582</v>
      </c>
      <c r="C1808" s="2">
        <v>2023</v>
      </c>
      <c r="D1808" s="10">
        <v>4</v>
      </c>
      <c r="E1808" s="10">
        <v>1</v>
      </c>
      <c r="F1808" t="s">
        <v>1396</v>
      </c>
      <c r="G1808">
        <v>511</v>
      </c>
      <c r="H1808" t="s">
        <v>69</v>
      </c>
      <c r="I1808" t="s">
        <v>150</v>
      </c>
      <c r="J1808" s="10" t="str">
        <f>VLOOKUP(I1808,Categories!A:B,2,FALSE)</f>
        <v xml:space="preserve">Food &amp; Coff</v>
      </c>
      <c r="K1808" t="s">
        <v>2317</v>
      </c>
      <c r="L1808" s="10" t="str">
        <f>VLOOKUP(K1808,Accounts!A:B,2,FALSE)</f>
        <v xml:space="preserve">Marriage account</v>
      </c>
      <c r="M1808" t="s">
        <v>124</v>
      </c>
      <c r="N1808" s="10"/>
      <c r="O1808" t="s">
        <v>125</v>
      </c>
      <c r="Q1808" t="s">
        <v>126</v>
      </c>
      <c r="R1808" t="s">
        <v>124</v>
      </c>
      <c r="S1808" t="b">
        <v>0</v>
      </c>
      <c r="T1808" t="s">
        <v>124</v>
      </c>
    </row>
    <row r="1809">
      <c r="A1809" t="s">
        <v>3605</v>
      </c>
      <c r="B1809" t="s">
        <v>3582</v>
      </c>
      <c r="C1809" s="2">
        <v>2023</v>
      </c>
      <c r="D1809" s="10">
        <v>4</v>
      </c>
      <c r="E1809" s="10">
        <v>1</v>
      </c>
      <c r="F1809" t="s">
        <v>1922</v>
      </c>
      <c r="G1809">
        <v>1317</v>
      </c>
      <c r="H1809" t="s">
        <v>69</v>
      </c>
      <c r="I1809" t="s">
        <v>150</v>
      </c>
      <c r="J1809" s="10" t="str">
        <f>VLOOKUP(I1809,Categories!A:B,2,FALSE)</f>
        <v xml:space="preserve">Food &amp; Coff</v>
      </c>
      <c r="K1809" t="s">
        <v>2317</v>
      </c>
      <c r="L1809" s="10" t="str">
        <f>VLOOKUP(K1809,Accounts!A:B,2,FALSE)</f>
        <v xml:space="preserve">Marriage account</v>
      </c>
      <c r="M1809" t="s">
        <v>124</v>
      </c>
      <c r="N1809" s="10"/>
      <c r="O1809" t="s">
        <v>125</v>
      </c>
      <c r="Q1809" t="s">
        <v>126</v>
      </c>
      <c r="R1809" t="s">
        <v>124</v>
      </c>
      <c r="S1809" t="b">
        <v>0</v>
      </c>
      <c r="T1809" t="s">
        <v>124</v>
      </c>
    </row>
    <row r="1810">
      <c r="A1810" t="s">
        <v>3606</v>
      </c>
      <c r="B1810" t="s">
        <v>3582</v>
      </c>
      <c r="C1810" s="2">
        <v>2023</v>
      </c>
      <c r="D1810" s="10">
        <v>4</v>
      </c>
      <c r="E1810" s="10">
        <v>1</v>
      </c>
      <c r="F1810" t="s">
        <v>2426</v>
      </c>
      <c r="G1810">
        <v>967</v>
      </c>
      <c r="H1810" t="s">
        <v>128</v>
      </c>
      <c r="I1810" t="s">
        <v>136</v>
      </c>
      <c r="J1810" s="10" t="str">
        <f>VLOOKUP(I1810,Categories!A:B,2,FALSE)</f>
        <v>อื่นๆ</v>
      </c>
      <c r="K1810" t="s">
        <v>178</v>
      </c>
      <c r="L1810" s="10" t="str">
        <f>VLOOKUP(K1810,Accounts!A:B,2,FALSE)</f>
        <v>SCB</v>
      </c>
      <c r="M1810" t="s">
        <v>130</v>
      </c>
      <c r="N1810" s="10" t="str">
        <f>VLOOKUP(M1810,Accounts!A:B,2,FALSE)</f>
        <v xml:space="preserve">KTC JCB</v>
      </c>
      <c r="O1810" t="s">
        <v>125</v>
      </c>
      <c r="Q1810" t="s">
        <v>126</v>
      </c>
      <c r="R1810" t="s">
        <v>124</v>
      </c>
      <c r="S1810" t="b">
        <v>0</v>
      </c>
      <c r="T1810" t="s">
        <v>124</v>
      </c>
    </row>
    <row r="1811">
      <c r="A1811" t="s">
        <v>3607</v>
      </c>
      <c r="B1811" t="s">
        <v>3582</v>
      </c>
      <c r="C1811" s="2">
        <v>2023</v>
      </c>
      <c r="D1811" s="10">
        <v>4</v>
      </c>
      <c r="E1811" s="10">
        <v>1</v>
      </c>
      <c r="F1811" t="s">
        <v>3608</v>
      </c>
      <c r="G1811">
        <v>1910</v>
      </c>
      <c r="H1811" t="s">
        <v>69</v>
      </c>
      <c r="I1811" t="s">
        <v>1679</v>
      </c>
      <c r="J1811" s="10" t="str">
        <f>VLOOKUP(I1811,Categories!A:B,2,FALSE)</f>
        <v xml:space="preserve">Condo stuff</v>
      </c>
      <c r="K1811" t="s">
        <v>2317</v>
      </c>
      <c r="L1811" s="10" t="str">
        <f>VLOOKUP(K1811,Accounts!A:B,2,FALSE)</f>
        <v xml:space="preserve">Marriage account</v>
      </c>
      <c r="M1811" t="s">
        <v>124</v>
      </c>
      <c r="N1811" s="10"/>
      <c r="O1811" t="s">
        <v>125</v>
      </c>
      <c r="Q1811" t="s">
        <v>126</v>
      </c>
      <c r="R1811" t="s">
        <v>124</v>
      </c>
      <c r="S1811" t="b">
        <v>0</v>
      </c>
      <c r="T1811" t="s">
        <v>124</v>
      </c>
    </row>
    <row r="1812">
      <c r="A1812" t="s">
        <v>3609</v>
      </c>
      <c r="B1812" t="s">
        <v>3610</v>
      </c>
      <c r="C1812" s="2">
        <v>2023</v>
      </c>
      <c r="D1812" s="10">
        <v>3</v>
      </c>
      <c r="E1812" s="10">
        <v>31</v>
      </c>
      <c r="F1812" t="s">
        <v>1002</v>
      </c>
      <c r="G1812">
        <v>140</v>
      </c>
      <c r="H1812" t="s">
        <v>69</v>
      </c>
      <c r="I1812" t="s">
        <v>150</v>
      </c>
      <c r="J1812" s="10" t="str">
        <f>VLOOKUP(I1812,Categories!A:B,2,FALSE)</f>
        <v xml:space="preserve">Food &amp; Coff</v>
      </c>
      <c r="K1812" t="s">
        <v>2317</v>
      </c>
      <c r="L1812" s="10" t="str">
        <f>VLOOKUP(K1812,Accounts!A:B,2,FALSE)</f>
        <v xml:space="preserve">Marriage account</v>
      </c>
      <c r="M1812" t="s">
        <v>124</v>
      </c>
      <c r="N1812" s="10"/>
      <c r="O1812" t="s">
        <v>125</v>
      </c>
      <c r="Q1812" t="s">
        <v>126</v>
      </c>
      <c r="R1812" t="s">
        <v>124</v>
      </c>
      <c r="S1812" t="b">
        <v>0</v>
      </c>
      <c r="T1812" t="s">
        <v>124</v>
      </c>
    </row>
    <row r="1813">
      <c r="A1813" t="s">
        <v>3611</v>
      </c>
      <c r="B1813" t="s">
        <v>3610</v>
      </c>
      <c r="C1813" s="2">
        <v>2023</v>
      </c>
      <c r="D1813" s="10">
        <v>3</v>
      </c>
      <c r="E1813" s="10">
        <v>31</v>
      </c>
      <c r="F1813" t="s">
        <v>3282</v>
      </c>
      <c r="G1813">
        <v>110</v>
      </c>
      <c r="H1813" t="s">
        <v>69</v>
      </c>
      <c r="I1813" t="s">
        <v>150</v>
      </c>
      <c r="J1813" s="10" t="str">
        <f>VLOOKUP(I1813,Categories!A:B,2,FALSE)</f>
        <v xml:space="preserve">Food &amp; Coff</v>
      </c>
      <c r="K1813" t="s">
        <v>2317</v>
      </c>
      <c r="L1813" s="10" t="str">
        <f>VLOOKUP(K1813,Accounts!A:B,2,FALSE)</f>
        <v xml:space="preserve">Marriage account</v>
      </c>
      <c r="M1813" t="s">
        <v>124</v>
      </c>
      <c r="N1813" s="10"/>
      <c r="O1813" t="s">
        <v>125</v>
      </c>
      <c r="Q1813" t="s">
        <v>126</v>
      </c>
      <c r="R1813" t="s">
        <v>124</v>
      </c>
      <c r="S1813" t="b">
        <v>0</v>
      </c>
      <c r="T1813" t="s">
        <v>124</v>
      </c>
    </row>
    <row r="1814">
      <c r="A1814" t="s">
        <v>3612</v>
      </c>
      <c r="B1814" t="s">
        <v>3610</v>
      </c>
      <c r="C1814" s="2">
        <v>2023</v>
      </c>
      <c r="D1814" s="10">
        <v>3</v>
      </c>
      <c r="E1814" s="10">
        <v>31</v>
      </c>
      <c r="F1814" t="s">
        <v>3613</v>
      </c>
      <c r="G1814">
        <v>480</v>
      </c>
      <c r="H1814" t="s">
        <v>69</v>
      </c>
      <c r="I1814" t="s">
        <v>614</v>
      </c>
      <c r="J1814" s="10" t="str">
        <f>VLOOKUP(I1814,Categories!A:B,2,FALSE)</f>
        <v>Books</v>
      </c>
      <c r="K1814" t="s">
        <v>178</v>
      </c>
      <c r="L1814" s="10" t="str">
        <f>VLOOKUP(K1814,Accounts!A:B,2,FALSE)</f>
        <v>SCB</v>
      </c>
      <c r="M1814" t="s">
        <v>124</v>
      </c>
      <c r="N1814" s="10"/>
      <c r="O1814" t="s">
        <v>125</v>
      </c>
      <c r="Q1814" t="s">
        <v>126</v>
      </c>
      <c r="R1814" t="s">
        <v>124</v>
      </c>
      <c r="S1814" t="b">
        <v>0</v>
      </c>
      <c r="T1814" t="s">
        <v>124</v>
      </c>
    </row>
    <row r="1815">
      <c r="A1815" t="s">
        <v>3614</v>
      </c>
      <c r="B1815" t="s">
        <v>3615</v>
      </c>
      <c r="C1815" s="2">
        <v>2023</v>
      </c>
      <c r="D1815" s="10">
        <v>3</v>
      </c>
      <c r="E1815" s="10">
        <v>30</v>
      </c>
      <c r="F1815" t="s">
        <v>1002</v>
      </c>
      <c r="G1815">
        <v>180</v>
      </c>
      <c r="H1815" t="s">
        <v>69</v>
      </c>
      <c r="I1815" t="s">
        <v>150</v>
      </c>
      <c r="J1815" s="10" t="str">
        <f>VLOOKUP(I1815,Categories!A:B,2,FALSE)</f>
        <v xml:space="preserve">Food &amp; Coff</v>
      </c>
      <c r="K1815" t="s">
        <v>2317</v>
      </c>
      <c r="L1815" s="10" t="str">
        <f>VLOOKUP(K1815,Accounts!A:B,2,FALSE)</f>
        <v xml:space="preserve">Marriage account</v>
      </c>
      <c r="M1815" t="s">
        <v>124</v>
      </c>
      <c r="N1815" s="10"/>
      <c r="O1815" t="s">
        <v>125</v>
      </c>
      <c r="Q1815" t="s">
        <v>126</v>
      </c>
      <c r="R1815" t="s">
        <v>124</v>
      </c>
      <c r="S1815" t="b">
        <v>0</v>
      </c>
      <c r="T1815" t="s">
        <v>124</v>
      </c>
    </row>
    <row r="1816">
      <c r="A1816" t="s">
        <v>3616</v>
      </c>
      <c r="B1816" t="s">
        <v>3615</v>
      </c>
      <c r="C1816" s="2">
        <v>2023</v>
      </c>
      <c r="D1816" s="10">
        <v>3</v>
      </c>
      <c r="E1816" s="10">
        <v>30</v>
      </c>
      <c r="F1816" t="s">
        <v>234</v>
      </c>
      <c r="G1816">
        <v>3190</v>
      </c>
      <c r="H1816" t="s">
        <v>69</v>
      </c>
      <c r="I1816" t="s">
        <v>141</v>
      </c>
      <c r="J1816" s="10" t="str">
        <f>VLOOKUP(I1816,Categories!A:B,2,FALSE)</f>
        <v>Other</v>
      </c>
      <c r="K1816" t="s">
        <v>2862</v>
      </c>
      <c r="L1816" s="10" t="str">
        <f>VLOOKUP(K1816,Accounts!A:B,2,FALSE)</f>
        <v xml:space="preserve">Kbank onesiam</v>
      </c>
      <c r="M1816" t="s">
        <v>124</v>
      </c>
      <c r="N1816" s="10"/>
      <c r="O1816" t="s">
        <v>3617</v>
      </c>
      <c r="Q1816" t="s">
        <v>126</v>
      </c>
      <c r="R1816" t="s">
        <v>124</v>
      </c>
      <c r="S1816" t="b">
        <v>0</v>
      </c>
      <c r="T1816" t="s">
        <v>124</v>
      </c>
    </row>
    <row r="1817">
      <c r="A1817" t="s">
        <v>3618</v>
      </c>
      <c r="B1817" t="s">
        <v>3619</v>
      </c>
      <c r="C1817" s="2">
        <v>2023</v>
      </c>
      <c r="D1817" s="10">
        <v>3</v>
      </c>
      <c r="E1817" s="10">
        <v>29</v>
      </c>
      <c r="F1817" t="s">
        <v>3620</v>
      </c>
      <c r="G1817">
        <v>958</v>
      </c>
      <c r="H1817" t="s">
        <v>69</v>
      </c>
      <c r="I1817" t="s">
        <v>150</v>
      </c>
      <c r="J1817" s="10" t="str">
        <f>VLOOKUP(I1817,Categories!A:B,2,FALSE)</f>
        <v xml:space="preserve">Food &amp; Coff</v>
      </c>
      <c r="K1817" t="s">
        <v>178</v>
      </c>
      <c r="L1817" s="10" t="str">
        <f>VLOOKUP(K1817,Accounts!A:B,2,FALSE)</f>
        <v>SCB</v>
      </c>
      <c r="M1817" t="s">
        <v>124</v>
      </c>
      <c r="N1817" s="10"/>
      <c r="O1817" t="s">
        <v>125</v>
      </c>
      <c r="Q1817" t="s">
        <v>126</v>
      </c>
      <c r="R1817" t="s">
        <v>124</v>
      </c>
      <c r="S1817" t="b">
        <v>0</v>
      </c>
      <c r="T1817" t="s">
        <v>124</v>
      </c>
    </row>
    <row r="1818">
      <c r="A1818" t="s">
        <v>3621</v>
      </c>
      <c r="B1818" t="s">
        <v>3622</v>
      </c>
      <c r="C1818" s="2">
        <v>2023</v>
      </c>
      <c r="D1818" s="10">
        <v>3</v>
      </c>
      <c r="E1818" s="10">
        <v>28</v>
      </c>
      <c r="F1818" t="s">
        <v>3623</v>
      </c>
      <c r="G1818">
        <v>95</v>
      </c>
      <c r="H1818" t="s">
        <v>69</v>
      </c>
      <c r="I1818" t="s">
        <v>150</v>
      </c>
      <c r="J1818" s="10" t="str">
        <f>VLOOKUP(I1818,Categories!A:B,2,FALSE)</f>
        <v xml:space="preserve">Food &amp; Coff</v>
      </c>
      <c r="K1818" t="s">
        <v>178</v>
      </c>
      <c r="L1818" s="10" t="str">
        <f>VLOOKUP(K1818,Accounts!A:B,2,FALSE)</f>
        <v>SCB</v>
      </c>
      <c r="M1818" t="s">
        <v>124</v>
      </c>
      <c r="N1818" s="10"/>
      <c r="O1818" t="s">
        <v>125</v>
      </c>
      <c r="Q1818" t="s">
        <v>126</v>
      </c>
      <c r="R1818" t="s">
        <v>124</v>
      </c>
      <c r="S1818" t="b">
        <v>0</v>
      </c>
      <c r="T1818" t="s">
        <v>124</v>
      </c>
    </row>
    <row r="1819">
      <c r="A1819" t="s">
        <v>3624</v>
      </c>
      <c r="B1819" t="s">
        <v>3622</v>
      </c>
      <c r="C1819" s="2">
        <v>2023</v>
      </c>
      <c r="D1819" s="10">
        <v>3</v>
      </c>
      <c r="E1819" s="10">
        <v>28</v>
      </c>
      <c r="F1819" t="s">
        <v>367</v>
      </c>
      <c r="G1819">
        <v>2711</v>
      </c>
      <c r="H1819" t="s">
        <v>69</v>
      </c>
      <c r="I1819" t="s">
        <v>157</v>
      </c>
      <c r="J1819" s="10" t="str">
        <f>VLOOKUP(I1819,Categories!A:B,2,FALSE)</f>
        <v>Boardgame</v>
      </c>
      <c r="K1819" t="s">
        <v>130</v>
      </c>
      <c r="L1819" s="10" t="str">
        <f>VLOOKUP(K1819,Accounts!A:B,2,FALSE)</f>
        <v xml:space="preserve">KTC JCB</v>
      </c>
      <c r="M1819" t="s">
        <v>124</v>
      </c>
      <c r="N1819" s="10"/>
      <c r="O1819" t="s">
        <v>125</v>
      </c>
      <c r="Q1819" t="s">
        <v>126</v>
      </c>
      <c r="R1819" t="s">
        <v>124</v>
      </c>
      <c r="S1819" t="b">
        <v>0</v>
      </c>
      <c r="T1819" t="s">
        <v>124</v>
      </c>
    </row>
    <row r="1820">
      <c r="A1820" t="s">
        <v>3625</v>
      </c>
      <c r="B1820" t="s">
        <v>3626</v>
      </c>
      <c r="C1820" s="2">
        <v>2023</v>
      </c>
      <c r="D1820" s="10">
        <v>3</v>
      </c>
      <c r="E1820" s="10">
        <v>27</v>
      </c>
      <c r="F1820" t="s">
        <v>376</v>
      </c>
      <c r="G1820">
        <v>659</v>
      </c>
      <c r="H1820" t="s">
        <v>128</v>
      </c>
      <c r="I1820" t="s">
        <v>136</v>
      </c>
      <c r="J1820" s="10" t="str">
        <f>VLOOKUP(I1820,Categories!A:B,2,FALSE)</f>
        <v>อื่นๆ</v>
      </c>
      <c r="K1820" t="s">
        <v>123</v>
      </c>
      <c r="L1820" s="10" t="str">
        <f>VLOOKUP(K1820,Accounts!A:B,2,FALSE)</f>
        <v>KBank</v>
      </c>
      <c r="M1820" t="s">
        <v>131</v>
      </c>
      <c r="N1820" s="10" t="str">
        <f>VLOOKUP(M1820,Accounts!A:B,2,FALSE)</f>
        <v xml:space="preserve">Advance Paid</v>
      </c>
      <c r="O1820" t="s">
        <v>3627</v>
      </c>
      <c r="Q1820" t="s">
        <v>126</v>
      </c>
      <c r="R1820" t="s">
        <v>124</v>
      </c>
      <c r="S1820" t="b">
        <v>0</v>
      </c>
      <c r="T1820" t="s">
        <v>124</v>
      </c>
    </row>
    <row r="1821">
      <c r="A1821" t="s">
        <v>3628</v>
      </c>
      <c r="B1821" t="s">
        <v>3626</v>
      </c>
      <c r="C1821" s="2">
        <v>2023</v>
      </c>
      <c r="D1821" s="10">
        <v>3</v>
      </c>
      <c r="E1821" s="10">
        <v>27</v>
      </c>
      <c r="F1821" t="s">
        <v>1759</v>
      </c>
      <c r="G1821">
        <v>115</v>
      </c>
      <c r="H1821" t="s">
        <v>69</v>
      </c>
      <c r="I1821" t="s">
        <v>150</v>
      </c>
      <c r="J1821" s="10" t="str">
        <f>VLOOKUP(I1821,Categories!A:B,2,FALSE)</f>
        <v xml:space="preserve">Food &amp; Coff</v>
      </c>
      <c r="K1821" t="s">
        <v>178</v>
      </c>
      <c r="L1821" s="10" t="str">
        <f>VLOOKUP(K1821,Accounts!A:B,2,FALSE)</f>
        <v>SCB</v>
      </c>
      <c r="M1821" t="s">
        <v>124</v>
      </c>
      <c r="N1821" s="10"/>
      <c r="O1821" t="s">
        <v>3629</v>
      </c>
      <c r="Q1821" t="s">
        <v>126</v>
      </c>
      <c r="R1821" t="s">
        <v>124</v>
      </c>
      <c r="S1821" t="b">
        <v>0</v>
      </c>
      <c r="T1821" t="s">
        <v>124</v>
      </c>
    </row>
    <row r="1822">
      <c r="A1822" t="s">
        <v>3630</v>
      </c>
      <c r="B1822" t="s">
        <v>3631</v>
      </c>
      <c r="C1822" s="2">
        <v>2023</v>
      </c>
      <c r="D1822" s="10">
        <v>3</v>
      </c>
      <c r="E1822" s="10">
        <v>26</v>
      </c>
      <c r="F1822" t="s">
        <v>689</v>
      </c>
      <c r="G1822">
        <v>24</v>
      </c>
      <c r="H1822" t="s">
        <v>69</v>
      </c>
      <c r="I1822" t="s">
        <v>150</v>
      </c>
      <c r="J1822" s="10" t="str">
        <f>VLOOKUP(I1822,Categories!A:B,2,FALSE)</f>
        <v xml:space="preserve">Food &amp; Coff</v>
      </c>
      <c r="K1822" t="s">
        <v>2317</v>
      </c>
      <c r="L1822" s="10" t="str">
        <f>VLOOKUP(K1822,Accounts!A:B,2,FALSE)</f>
        <v xml:space="preserve">Marriage account</v>
      </c>
      <c r="M1822" t="s">
        <v>124</v>
      </c>
      <c r="N1822" s="10"/>
      <c r="O1822" t="s">
        <v>125</v>
      </c>
      <c r="Q1822" t="s">
        <v>126</v>
      </c>
      <c r="R1822" t="s">
        <v>124</v>
      </c>
      <c r="S1822" t="b">
        <v>0</v>
      </c>
      <c r="T1822" t="s">
        <v>124</v>
      </c>
    </row>
    <row r="1823">
      <c r="A1823" t="s">
        <v>3632</v>
      </c>
      <c r="B1823" t="s">
        <v>3631</v>
      </c>
      <c r="C1823" s="2">
        <v>2023</v>
      </c>
      <c r="D1823" s="10">
        <v>3</v>
      </c>
      <c r="E1823" s="10">
        <v>26</v>
      </c>
      <c r="F1823" t="s">
        <v>2498</v>
      </c>
      <c r="G1823">
        <v>250</v>
      </c>
      <c r="H1823" t="s">
        <v>69</v>
      </c>
      <c r="I1823" t="s">
        <v>150</v>
      </c>
      <c r="J1823" s="10" t="str">
        <f>VLOOKUP(I1823,Categories!A:B,2,FALSE)</f>
        <v xml:space="preserve">Food &amp; Coff</v>
      </c>
      <c r="K1823" t="s">
        <v>2317</v>
      </c>
      <c r="L1823" s="10" t="str">
        <f>VLOOKUP(K1823,Accounts!A:B,2,FALSE)</f>
        <v xml:space="preserve">Marriage account</v>
      </c>
      <c r="M1823" t="s">
        <v>124</v>
      </c>
      <c r="N1823" s="10"/>
      <c r="O1823" t="s">
        <v>3633</v>
      </c>
      <c r="Q1823" t="s">
        <v>126</v>
      </c>
      <c r="R1823" t="s">
        <v>124</v>
      </c>
      <c r="S1823" t="b">
        <v>0</v>
      </c>
      <c r="T1823" t="s">
        <v>124</v>
      </c>
    </row>
    <row r="1824">
      <c r="A1824" t="s">
        <v>3634</v>
      </c>
      <c r="B1824" t="s">
        <v>3631</v>
      </c>
      <c r="C1824" s="2">
        <v>2023</v>
      </c>
      <c r="D1824" s="10">
        <v>3</v>
      </c>
      <c r="E1824" s="10">
        <v>26</v>
      </c>
      <c r="F1824" t="s">
        <v>3635</v>
      </c>
      <c r="G1824">
        <v>410</v>
      </c>
      <c r="H1824" t="s">
        <v>69</v>
      </c>
      <c r="I1824" t="s">
        <v>150</v>
      </c>
      <c r="J1824" s="10" t="str">
        <f>VLOOKUP(I1824,Categories!A:B,2,FALSE)</f>
        <v xml:space="preserve">Food &amp; Coff</v>
      </c>
      <c r="K1824" t="s">
        <v>2317</v>
      </c>
      <c r="L1824" s="10" t="str">
        <f>VLOOKUP(K1824,Accounts!A:B,2,FALSE)</f>
        <v xml:space="preserve">Marriage account</v>
      </c>
      <c r="M1824" t="s">
        <v>124</v>
      </c>
      <c r="N1824" s="10"/>
      <c r="O1824" t="s">
        <v>125</v>
      </c>
      <c r="Q1824" t="s">
        <v>126</v>
      </c>
      <c r="R1824" t="s">
        <v>124</v>
      </c>
      <c r="S1824" t="b">
        <v>0</v>
      </c>
      <c r="T1824" t="s">
        <v>124</v>
      </c>
    </row>
    <row r="1825">
      <c r="A1825" t="s">
        <v>3636</v>
      </c>
      <c r="B1825" t="s">
        <v>3631</v>
      </c>
      <c r="C1825" s="2">
        <v>2023</v>
      </c>
      <c r="D1825" s="10">
        <v>3</v>
      </c>
      <c r="E1825" s="10">
        <v>26</v>
      </c>
      <c r="F1825" t="s">
        <v>2253</v>
      </c>
      <c r="G1825">
        <v>68</v>
      </c>
      <c r="H1825" t="s">
        <v>69</v>
      </c>
      <c r="I1825" t="s">
        <v>150</v>
      </c>
      <c r="J1825" s="10" t="str">
        <f>VLOOKUP(I1825,Categories!A:B,2,FALSE)</f>
        <v xml:space="preserve">Food &amp; Coff</v>
      </c>
      <c r="K1825" t="s">
        <v>178</v>
      </c>
      <c r="L1825" s="10" t="str">
        <f>VLOOKUP(K1825,Accounts!A:B,2,FALSE)</f>
        <v>SCB</v>
      </c>
      <c r="M1825" t="s">
        <v>124</v>
      </c>
      <c r="N1825" s="10"/>
      <c r="O1825" t="s">
        <v>125</v>
      </c>
      <c r="Q1825" t="s">
        <v>126</v>
      </c>
      <c r="R1825" t="s">
        <v>124</v>
      </c>
      <c r="S1825" t="b">
        <v>0</v>
      </c>
      <c r="T1825" t="s">
        <v>124</v>
      </c>
    </row>
    <row r="1826">
      <c r="A1826" t="s">
        <v>3637</v>
      </c>
      <c r="B1826" t="s">
        <v>3631</v>
      </c>
      <c r="C1826" s="2">
        <v>2023</v>
      </c>
      <c r="D1826" s="10">
        <v>3</v>
      </c>
      <c r="E1826" s="10">
        <v>26</v>
      </c>
      <c r="F1826" t="s">
        <v>320</v>
      </c>
      <c r="G1826">
        <v>105</v>
      </c>
      <c r="H1826" t="s">
        <v>69</v>
      </c>
      <c r="I1826" t="s">
        <v>150</v>
      </c>
      <c r="J1826" s="10" t="str">
        <f>VLOOKUP(I1826,Categories!A:B,2,FALSE)</f>
        <v xml:space="preserve">Food &amp; Coff</v>
      </c>
      <c r="K1826" t="s">
        <v>2317</v>
      </c>
      <c r="L1826" s="10" t="str">
        <f>VLOOKUP(K1826,Accounts!A:B,2,FALSE)</f>
        <v xml:space="preserve">Marriage account</v>
      </c>
      <c r="M1826" t="s">
        <v>124</v>
      </c>
      <c r="N1826" s="10"/>
      <c r="O1826" t="s">
        <v>125</v>
      </c>
      <c r="Q1826" t="s">
        <v>126</v>
      </c>
      <c r="R1826" t="s">
        <v>124</v>
      </c>
      <c r="S1826" t="b">
        <v>0</v>
      </c>
      <c r="T1826" t="s">
        <v>124</v>
      </c>
    </row>
    <row r="1827">
      <c r="A1827" t="s">
        <v>3638</v>
      </c>
      <c r="B1827" t="s">
        <v>3639</v>
      </c>
      <c r="C1827" s="2">
        <v>2023</v>
      </c>
      <c r="D1827" s="10">
        <v>3</v>
      </c>
      <c r="E1827" s="10">
        <v>25</v>
      </c>
      <c r="F1827" t="s">
        <v>121</v>
      </c>
      <c r="G1827">
        <v>1629.46</v>
      </c>
      <c r="H1827" t="s">
        <v>69</v>
      </c>
      <c r="I1827" t="s">
        <v>199</v>
      </c>
      <c r="J1827" s="10" t="str">
        <f>VLOOKUP(I1827,Categories!A:B,2,FALSE)</f>
        <v xml:space="preserve">Home Chomthong Interest</v>
      </c>
      <c r="K1827" t="s">
        <v>178</v>
      </c>
      <c r="L1827" s="10" t="str">
        <f>VLOOKUP(K1827,Accounts!A:B,2,FALSE)</f>
        <v>SCB</v>
      </c>
      <c r="M1827" t="s">
        <v>124</v>
      </c>
      <c r="N1827" s="10"/>
      <c r="O1827" t="s">
        <v>125</v>
      </c>
      <c r="Q1827" t="s">
        <v>126</v>
      </c>
      <c r="R1827" t="s">
        <v>124</v>
      </c>
      <c r="S1827" t="b">
        <v>0</v>
      </c>
      <c r="T1827" t="s">
        <v>124</v>
      </c>
    </row>
    <row r="1828">
      <c r="A1828" t="s">
        <v>3640</v>
      </c>
      <c r="B1828" t="s">
        <v>3639</v>
      </c>
      <c r="C1828" s="2">
        <v>2023</v>
      </c>
      <c r="D1828" s="10">
        <v>3</v>
      </c>
      <c r="E1828" s="10">
        <v>25</v>
      </c>
      <c r="F1828" t="s">
        <v>121</v>
      </c>
      <c r="G1828">
        <v>2242</v>
      </c>
      <c r="H1828" t="s">
        <v>128</v>
      </c>
      <c r="I1828" t="s">
        <v>136</v>
      </c>
      <c r="J1828" s="10" t="str">
        <f>VLOOKUP(I1828,Categories!A:B,2,FALSE)</f>
        <v>อื่นๆ</v>
      </c>
      <c r="K1828" t="s">
        <v>178</v>
      </c>
      <c r="L1828" s="10" t="str">
        <f>VLOOKUP(K1828,Accounts!A:B,2,FALSE)</f>
        <v>SCB</v>
      </c>
      <c r="M1828" t="s">
        <v>203</v>
      </c>
      <c r="N1828" s="10" t="str">
        <f>VLOOKUP(M1828,Accounts!A:B,2,FALSE)</f>
        <v xml:space="preserve">Provident Fund</v>
      </c>
      <c r="O1828" t="s">
        <v>125</v>
      </c>
      <c r="Q1828" t="s">
        <v>126</v>
      </c>
      <c r="R1828" t="s">
        <v>124</v>
      </c>
      <c r="S1828" t="b">
        <v>0</v>
      </c>
      <c r="T1828" t="s">
        <v>124</v>
      </c>
    </row>
    <row r="1829">
      <c r="A1829" t="s">
        <v>3641</v>
      </c>
      <c r="B1829" t="s">
        <v>3639</v>
      </c>
      <c r="C1829" s="2">
        <v>2023</v>
      </c>
      <c r="D1829" s="10">
        <v>3</v>
      </c>
      <c r="E1829" s="10">
        <v>25</v>
      </c>
      <c r="F1829" t="s">
        <v>121</v>
      </c>
      <c r="G1829">
        <v>7915</v>
      </c>
      <c r="H1829" t="s">
        <v>128</v>
      </c>
      <c r="I1829" t="s">
        <v>136</v>
      </c>
      <c r="J1829" s="10" t="str">
        <f>VLOOKUP(I1829,Categories!A:B,2,FALSE)</f>
        <v>อื่นๆ</v>
      </c>
      <c r="K1829" t="s">
        <v>178</v>
      </c>
      <c r="L1829" s="10" t="str">
        <f>VLOOKUP(K1829,Accounts!A:B,2,FALSE)</f>
        <v>SCB</v>
      </c>
      <c r="M1829" t="s">
        <v>1244</v>
      </c>
      <c r="N1829" s="10" t="str">
        <f>VLOOKUP(M1829,Accounts!A:B,2,FALSE)</f>
        <v xml:space="preserve">Home chomthong Loan</v>
      </c>
      <c r="O1829" t="s">
        <v>125</v>
      </c>
      <c r="Q1829" t="s">
        <v>126</v>
      </c>
      <c r="R1829" t="s">
        <v>124</v>
      </c>
      <c r="S1829" t="b">
        <v>0</v>
      </c>
      <c r="T1829" t="s">
        <v>124</v>
      </c>
    </row>
    <row r="1830">
      <c r="A1830" t="s">
        <v>3642</v>
      </c>
      <c r="B1830" t="s">
        <v>3639</v>
      </c>
      <c r="C1830" s="2">
        <v>2023</v>
      </c>
      <c r="D1830" s="10">
        <v>3</v>
      </c>
      <c r="E1830" s="10">
        <v>25</v>
      </c>
      <c r="F1830" t="s">
        <v>121</v>
      </c>
      <c r="G1830">
        <v>257.07999999999998</v>
      </c>
      <c r="H1830" t="s">
        <v>69</v>
      </c>
      <c r="I1830" t="s">
        <v>443</v>
      </c>
      <c r="J1830" s="10" t="str">
        <f>VLOOKUP(I1830,Categories!A:B,2,FALSE)</f>
        <v xml:space="preserve">City SV Interest</v>
      </c>
      <c r="K1830" t="s">
        <v>178</v>
      </c>
      <c r="L1830" s="10" t="str">
        <f>VLOOKUP(K1830,Accounts!A:B,2,FALSE)</f>
        <v>SCB</v>
      </c>
      <c r="M1830" t="s">
        <v>124</v>
      </c>
      <c r="N1830" s="10"/>
      <c r="O1830" t="s">
        <v>125</v>
      </c>
      <c r="Q1830" t="s">
        <v>126</v>
      </c>
      <c r="R1830" t="s">
        <v>124</v>
      </c>
      <c r="S1830" t="b">
        <v>0</v>
      </c>
      <c r="T1830" t="s">
        <v>124</v>
      </c>
    </row>
    <row r="1831">
      <c r="A1831" t="s">
        <v>3643</v>
      </c>
      <c r="B1831" t="s">
        <v>3639</v>
      </c>
      <c r="C1831" s="2">
        <v>2023</v>
      </c>
      <c r="D1831" s="10">
        <v>3</v>
      </c>
      <c r="E1831" s="10">
        <v>25</v>
      </c>
      <c r="F1831" t="s">
        <v>121</v>
      </c>
      <c r="G1831">
        <v>112100</v>
      </c>
      <c r="H1831" t="s">
        <v>206</v>
      </c>
      <c r="I1831" t="s">
        <v>207</v>
      </c>
      <c r="J1831" s="10" t="str">
        <f>VLOOKUP(I1831,Categories!A:B,2,FALSE)</f>
        <v>Salary</v>
      </c>
      <c r="K1831" t="s">
        <v>178</v>
      </c>
      <c r="L1831" s="10" t="str">
        <f>VLOOKUP(K1831,Accounts!A:B,2,FALSE)</f>
        <v>SCB</v>
      </c>
      <c r="M1831" t="s">
        <v>124</v>
      </c>
      <c r="N1831" s="10"/>
      <c r="O1831" t="s">
        <v>125</v>
      </c>
      <c r="Q1831" t="s">
        <v>126</v>
      </c>
      <c r="R1831" t="s">
        <v>124</v>
      </c>
      <c r="S1831" t="b">
        <v>0</v>
      </c>
      <c r="T1831" t="s">
        <v>124</v>
      </c>
    </row>
    <row r="1832">
      <c r="A1832" t="s">
        <v>3644</v>
      </c>
      <c r="B1832" t="s">
        <v>3639</v>
      </c>
      <c r="C1832" s="2">
        <v>2023</v>
      </c>
      <c r="D1832" s="10">
        <v>3</v>
      </c>
      <c r="E1832" s="10">
        <v>25</v>
      </c>
      <c r="F1832" t="s">
        <v>121</v>
      </c>
      <c r="G1832">
        <v>9240</v>
      </c>
      <c r="H1832" t="s">
        <v>128</v>
      </c>
      <c r="I1832" t="s">
        <v>136</v>
      </c>
      <c r="J1832" s="10" t="str">
        <f>VLOOKUP(I1832,Categories!A:B,2,FALSE)</f>
        <v>อื่นๆ</v>
      </c>
      <c r="K1832" t="s">
        <v>178</v>
      </c>
      <c r="L1832" s="10" t="str">
        <f>VLOOKUP(K1832,Accounts!A:B,2,FALSE)</f>
        <v>SCB</v>
      </c>
      <c r="M1832" t="s">
        <v>1246</v>
      </c>
      <c r="N1832" s="10" t="str">
        <f>VLOOKUP(M1832,Accounts!A:B,2,FALSE)</f>
        <v xml:space="preserve">Car Loan</v>
      </c>
      <c r="O1832" t="s">
        <v>125</v>
      </c>
      <c r="Q1832" t="s">
        <v>126</v>
      </c>
      <c r="R1832" t="s">
        <v>124</v>
      </c>
      <c r="S1832" t="b">
        <v>0</v>
      </c>
      <c r="T1832" t="s">
        <v>124</v>
      </c>
    </row>
    <row r="1833">
      <c r="A1833" t="s">
        <v>3645</v>
      </c>
      <c r="B1833" t="s">
        <v>3639</v>
      </c>
      <c r="C1833" s="2">
        <v>2023</v>
      </c>
      <c r="D1833" s="10">
        <v>3</v>
      </c>
      <c r="E1833" s="10">
        <v>25</v>
      </c>
      <c r="F1833" t="s">
        <v>121</v>
      </c>
      <c r="G1833">
        <v>500</v>
      </c>
      <c r="H1833" t="s">
        <v>128</v>
      </c>
      <c r="I1833" t="s">
        <v>136</v>
      </c>
      <c r="J1833" s="10" t="str">
        <f>VLOOKUP(I1833,Categories!A:B,2,FALSE)</f>
        <v>อื่นๆ</v>
      </c>
      <c r="K1833" t="s">
        <v>178</v>
      </c>
      <c r="L1833" s="10" t="str">
        <f>VLOOKUP(K1833,Accounts!A:B,2,FALSE)</f>
        <v>SCB</v>
      </c>
      <c r="M1833" t="s">
        <v>201</v>
      </c>
      <c r="N1833" s="10" t="str">
        <f>VLOOKUP(M1833,Accounts!A:B,2,FALSE)</f>
        <v>Coop</v>
      </c>
      <c r="O1833" t="s">
        <v>125</v>
      </c>
      <c r="Q1833" t="s">
        <v>126</v>
      </c>
      <c r="R1833" t="s">
        <v>124</v>
      </c>
      <c r="S1833" t="b">
        <v>0</v>
      </c>
      <c r="T1833" t="s">
        <v>124</v>
      </c>
    </row>
    <row r="1834">
      <c r="A1834" t="s">
        <v>3646</v>
      </c>
      <c r="B1834" t="s">
        <v>3639</v>
      </c>
      <c r="C1834" s="2">
        <v>2023</v>
      </c>
      <c r="D1834" s="10">
        <v>3</v>
      </c>
      <c r="E1834" s="10">
        <v>25</v>
      </c>
      <c r="F1834" t="s">
        <v>3197</v>
      </c>
      <c r="G1834">
        <v>499</v>
      </c>
      <c r="H1834" t="s">
        <v>69</v>
      </c>
      <c r="I1834" t="s">
        <v>150</v>
      </c>
      <c r="J1834" s="10" t="str">
        <f>VLOOKUP(I1834,Categories!A:B,2,FALSE)</f>
        <v xml:space="preserve">Food &amp; Coff</v>
      </c>
      <c r="K1834" t="s">
        <v>2317</v>
      </c>
      <c r="L1834" s="10" t="str">
        <f>VLOOKUP(K1834,Accounts!A:B,2,FALSE)</f>
        <v xml:space="preserve">Marriage account</v>
      </c>
      <c r="M1834" t="s">
        <v>124</v>
      </c>
      <c r="N1834" s="10"/>
      <c r="O1834" t="s">
        <v>3597</v>
      </c>
      <c r="Q1834" t="s">
        <v>126</v>
      </c>
      <c r="R1834" t="s">
        <v>124</v>
      </c>
      <c r="S1834" t="b">
        <v>0</v>
      </c>
      <c r="T1834" t="s">
        <v>124</v>
      </c>
    </row>
    <row r="1835">
      <c r="A1835" t="s">
        <v>3647</v>
      </c>
      <c r="B1835" t="s">
        <v>3639</v>
      </c>
      <c r="C1835" s="2">
        <v>2023</v>
      </c>
      <c r="D1835" s="10">
        <v>3</v>
      </c>
      <c r="E1835" s="10">
        <v>25</v>
      </c>
      <c r="F1835" t="s">
        <v>3525</v>
      </c>
      <c r="G1835">
        <v>950</v>
      </c>
      <c r="H1835" t="s">
        <v>69</v>
      </c>
      <c r="I1835" t="s">
        <v>1882</v>
      </c>
      <c r="J1835" s="10" t="str">
        <f>VLOOKUP(I1835,Categories!A:B,2,FALSE)</f>
        <v>utility</v>
      </c>
      <c r="K1835" t="s">
        <v>123</v>
      </c>
      <c r="L1835" s="10" t="str">
        <f>VLOOKUP(K1835,Accounts!A:B,2,FALSE)</f>
        <v>KBank</v>
      </c>
      <c r="M1835" t="s">
        <v>124</v>
      </c>
      <c r="N1835" s="10"/>
      <c r="O1835" t="s">
        <v>125</v>
      </c>
      <c r="Q1835" t="s">
        <v>126</v>
      </c>
      <c r="R1835" t="s">
        <v>124</v>
      </c>
      <c r="S1835" t="b">
        <v>0</v>
      </c>
      <c r="T1835" t="s">
        <v>124</v>
      </c>
    </row>
    <row r="1836">
      <c r="A1836" t="s">
        <v>3648</v>
      </c>
      <c r="B1836" t="s">
        <v>3639</v>
      </c>
      <c r="C1836" s="2">
        <v>2023</v>
      </c>
      <c r="D1836" s="10">
        <v>3</v>
      </c>
      <c r="E1836" s="10">
        <v>25</v>
      </c>
      <c r="F1836" t="s">
        <v>3525</v>
      </c>
      <c r="G1836">
        <v>50</v>
      </c>
      <c r="H1836" t="s">
        <v>69</v>
      </c>
      <c r="I1836" t="s">
        <v>150</v>
      </c>
      <c r="J1836" s="10" t="str">
        <f>VLOOKUP(I1836,Categories!A:B,2,FALSE)</f>
        <v xml:space="preserve">Food &amp; Coff</v>
      </c>
      <c r="K1836" t="s">
        <v>123</v>
      </c>
      <c r="L1836" s="10" t="str">
        <f>VLOOKUP(K1836,Accounts!A:B,2,FALSE)</f>
        <v>KBank</v>
      </c>
      <c r="M1836" t="s">
        <v>124</v>
      </c>
      <c r="N1836" s="10"/>
      <c r="O1836" t="s">
        <v>125</v>
      </c>
      <c r="Q1836" t="s">
        <v>126</v>
      </c>
      <c r="R1836" t="s">
        <v>124</v>
      </c>
      <c r="S1836" t="b">
        <v>0</v>
      </c>
      <c r="T1836" t="s">
        <v>124</v>
      </c>
    </row>
    <row r="1837">
      <c r="A1837" t="s">
        <v>3649</v>
      </c>
      <c r="B1837" t="s">
        <v>3639</v>
      </c>
      <c r="C1837" s="2">
        <v>2023</v>
      </c>
      <c r="D1837" s="10">
        <v>3</v>
      </c>
      <c r="E1837" s="10">
        <v>25</v>
      </c>
      <c r="F1837" t="s">
        <v>507</v>
      </c>
      <c r="G1837">
        <v>1000</v>
      </c>
      <c r="H1837" t="s">
        <v>128</v>
      </c>
      <c r="I1837" t="s">
        <v>136</v>
      </c>
      <c r="J1837" s="10" t="str">
        <f>VLOOKUP(I1837,Categories!A:B,2,FALSE)</f>
        <v>อื่นๆ</v>
      </c>
      <c r="K1837" t="s">
        <v>213</v>
      </c>
      <c r="L1837" s="10" t="str">
        <f>VLOOKUP(K1837,Accounts!A:B,2,FALSE)</f>
        <v xml:space="preserve">Krungthai Next</v>
      </c>
      <c r="M1837" t="s">
        <v>2513</v>
      </c>
      <c r="N1837" s="10" t="str">
        <f>VLOOKUP(M1837,Accounts!A:B,2,FALSE)</f>
        <v xml:space="preserve">Pao tung</v>
      </c>
      <c r="O1837" t="s">
        <v>125</v>
      </c>
      <c r="Q1837" t="s">
        <v>126</v>
      </c>
      <c r="R1837" t="s">
        <v>124</v>
      </c>
      <c r="S1837" t="b">
        <v>0</v>
      </c>
      <c r="T1837" t="s">
        <v>124</v>
      </c>
    </row>
    <row r="1838">
      <c r="A1838" t="s">
        <v>3650</v>
      </c>
      <c r="B1838" t="s">
        <v>3639</v>
      </c>
      <c r="C1838" s="2">
        <v>2023</v>
      </c>
      <c r="D1838" s="10">
        <v>3</v>
      </c>
      <c r="E1838" s="10">
        <v>25</v>
      </c>
      <c r="F1838" t="s">
        <v>3295</v>
      </c>
      <c r="G1838">
        <v>40</v>
      </c>
      <c r="H1838" t="s">
        <v>69</v>
      </c>
      <c r="I1838" t="s">
        <v>150</v>
      </c>
      <c r="J1838" s="10" t="str">
        <f>VLOOKUP(I1838,Categories!A:B,2,FALSE)</f>
        <v xml:space="preserve">Food &amp; Coff</v>
      </c>
      <c r="K1838" t="s">
        <v>2317</v>
      </c>
      <c r="L1838" s="10" t="str">
        <f>VLOOKUP(K1838,Accounts!A:B,2,FALSE)</f>
        <v xml:space="preserve">Marriage account</v>
      </c>
      <c r="M1838" t="s">
        <v>124</v>
      </c>
      <c r="N1838" s="10"/>
      <c r="O1838" t="s">
        <v>125</v>
      </c>
      <c r="Q1838" t="s">
        <v>126</v>
      </c>
      <c r="R1838" t="s">
        <v>124</v>
      </c>
      <c r="S1838" t="b">
        <v>0</v>
      </c>
      <c r="T1838" t="s">
        <v>124</v>
      </c>
    </row>
    <row r="1839">
      <c r="A1839" t="s">
        <v>3651</v>
      </c>
      <c r="B1839" t="s">
        <v>3639</v>
      </c>
      <c r="C1839" s="2">
        <v>2023</v>
      </c>
      <c r="D1839" s="10">
        <v>3</v>
      </c>
      <c r="E1839" s="10">
        <v>25</v>
      </c>
      <c r="F1839" t="s">
        <v>675</v>
      </c>
      <c r="G1839">
        <v>1027</v>
      </c>
      <c r="H1839" t="s">
        <v>69</v>
      </c>
      <c r="I1839" t="s">
        <v>195</v>
      </c>
      <c r="J1839" s="10" t="str">
        <f>VLOOKUP(I1839,Categories!A:B,2,FALSE)</f>
        <v>Tax</v>
      </c>
      <c r="K1839" t="s">
        <v>178</v>
      </c>
      <c r="L1839" s="10" t="str">
        <f>VLOOKUP(K1839,Accounts!A:B,2,FALSE)</f>
        <v>SCB</v>
      </c>
      <c r="M1839" t="s">
        <v>124</v>
      </c>
      <c r="N1839" s="10"/>
      <c r="O1839" t="s">
        <v>125</v>
      </c>
      <c r="Q1839" t="s">
        <v>126</v>
      </c>
      <c r="R1839" t="s">
        <v>124</v>
      </c>
      <c r="S1839" t="b">
        <v>0</v>
      </c>
      <c r="T1839" t="s">
        <v>124</v>
      </c>
    </row>
    <row r="1840">
      <c r="A1840" t="s">
        <v>3652</v>
      </c>
      <c r="B1840" t="s">
        <v>3639</v>
      </c>
      <c r="C1840" s="2">
        <v>2023</v>
      </c>
      <c r="D1840" s="10">
        <v>3</v>
      </c>
      <c r="E1840" s="10">
        <v>25</v>
      </c>
      <c r="F1840" t="s">
        <v>3653</v>
      </c>
      <c r="G1840">
        <v>189</v>
      </c>
      <c r="H1840" t="s">
        <v>69</v>
      </c>
      <c r="I1840" t="s">
        <v>169</v>
      </c>
      <c r="J1840" s="10" t="str">
        <f>VLOOKUP(I1840,Categories!A:B,2,FALSE)</f>
        <v xml:space="preserve">App &amp; Game</v>
      </c>
      <c r="K1840" t="s">
        <v>743</v>
      </c>
      <c r="L1840" s="10" t="str">
        <f>VLOOKUP(K1840,Accounts!A:B,2,FALSE)</f>
        <v>HOMEPRO</v>
      </c>
      <c r="M1840" t="s">
        <v>124</v>
      </c>
      <c r="N1840" s="10"/>
      <c r="O1840" t="s">
        <v>125</v>
      </c>
      <c r="Q1840" t="s">
        <v>126</v>
      </c>
      <c r="R1840" t="s">
        <v>124</v>
      </c>
      <c r="S1840" t="b">
        <v>0</v>
      </c>
      <c r="T1840" t="s">
        <v>124</v>
      </c>
    </row>
    <row r="1841">
      <c r="A1841" t="s">
        <v>3654</v>
      </c>
      <c r="B1841" t="s">
        <v>3655</v>
      </c>
      <c r="C1841" s="2">
        <v>2023</v>
      </c>
      <c r="D1841" s="10">
        <v>3</v>
      </c>
      <c r="E1841" s="10">
        <v>24</v>
      </c>
      <c r="F1841" t="s">
        <v>2150</v>
      </c>
      <c r="G1841">
        <v>303</v>
      </c>
      <c r="H1841" t="s">
        <v>69</v>
      </c>
      <c r="I1841" t="s">
        <v>150</v>
      </c>
      <c r="J1841" s="10" t="str">
        <f>VLOOKUP(I1841,Categories!A:B,2,FALSE)</f>
        <v xml:space="preserve">Food &amp; Coff</v>
      </c>
      <c r="K1841" t="s">
        <v>178</v>
      </c>
      <c r="L1841" s="10" t="str">
        <f>VLOOKUP(K1841,Accounts!A:B,2,FALSE)</f>
        <v>SCB</v>
      </c>
      <c r="M1841" t="s">
        <v>124</v>
      </c>
      <c r="N1841" s="10"/>
      <c r="O1841" t="s">
        <v>125</v>
      </c>
      <c r="Q1841" t="s">
        <v>126</v>
      </c>
      <c r="R1841" t="s">
        <v>124</v>
      </c>
      <c r="S1841" t="b">
        <v>0</v>
      </c>
      <c r="T1841" t="s">
        <v>124</v>
      </c>
    </row>
    <row r="1842">
      <c r="A1842" t="s">
        <v>3656</v>
      </c>
      <c r="B1842" t="s">
        <v>3655</v>
      </c>
      <c r="C1842" s="2">
        <v>2023</v>
      </c>
      <c r="D1842" s="10">
        <v>3</v>
      </c>
      <c r="E1842" s="10">
        <v>24</v>
      </c>
      <c r="F1842" t="s">
        <v>2143</v>
      </c>
      <c r="G1842">
        <v>650</v>
      </c>
      <c r="H1842" t="s">
        <v>206</v>
      </c>
      <c r="I1842" t="s">
        <v>281</v>
      </c>
      <c r="J1842" s="10" t="str">
        <f>VLOOKUP(I1842,Categories!A:B,2,FALSE)</f>
        <v>Others</v>
      </c>
      <c r="K1842" t="s">
        <v>178</v>
      </c>
      <c r="L1842" s="10" t="str">
        <f>VLOOKUP(K1842,Accounts!A:B,2,FALSE)</f>
        <v>SCB</v>
      </c>
      <c r="M1842" t="s">
        <v>124</v>
      </c>
      <c r="N1842" s="10"/>
      <c r="O1842" t="s">
        <v>3657</v>
      </c>
      <c r="Q1842" t="s">
        <v>126</v>
      </c>
      <c r="R1842" t="s">
        <v>124</v>
      </c>
      <c r="S1842" t="b">
        <v>0</v>
      </c>
      <c r="T1842" t="s">
        <v>124</v>
      </c>
    </row>
    <row r="1843">
      <c r="A1843" t="s">
        <v>3658</v>
      </c>
      <c r="B1843" t="s">
        <v>3655</v>
      </c>
      <c r="C1843" s="2">
        <v>2023</v>
      </c>
      <c r="D1843" s="10">
        <v>3</v>
      </c>
      <c r="E1843" s="10">
        <v>24</v>
      </c>
      <c r="F1843" t="s">
        <v>376</v>
      </c>
      <c r="G1843">
        <v>967</v>
      </c>
      <c r="H1843" t="s">
        <v>69</v>
      </c>
      <c r="I1843" t="s">
        <v>259</v>
      </c>
      <c r="J1843" s="10" t="str">
        <f>VLOOKUP(I1843,Categories!A:B,2,FALSE)</f>
        <v xml:space="preserve">Team BOT</v>
      </c>
      <c r="K1843" t="s">
        <v>130</v>
      </c>
      <c r="L1843" s="10" t="str">
        <f>VLOOKUP(K1843,Accounts!A:B,2,FALSE)</f>
        <v xml:space="preserve">KTC JCB</v>
      </c>
      <c r="M1843" t="s">
        <v>124</v>
      </c>
      <c r="N1843" s="10"/>
      <c r="O1843" t="s">
        <v>125</v>
      </c>
      <c r="Q1843" t="s">
        <v>126</v>
      </c>
      <c r="R1843" t="s">
        <v>124</v>
      </c>
      <c r="S1843" t="b">
        <v>0</v>
      </c>
      <c r="T1843" t="s">
        <v>124</v>
      </c>
    </row>
    <row r="1844">
      <c r="A1844" t="s">
        <v>3659</v>
      </c>
      <c r="B1844" t="s">
        <v>3660</v>
      </c>
      <c r="C1844" s="2">
        <v>2023</v>
      </c>
      <c r="D1844" s="10">
        <v>3</v>
      </c>
      <c r="E1844" s="10">
        <v>22</v>
      </c>
      <c r="F1844" t="s">
        <v>3450</v>
      </c>
      <c r="G1844">
        <v>1308</v>
      </c>
      <c r="H1844" t="s">
        <v>69</v>
      </c>
      <c r="I1844" t="s">
        <v>157</v>
      </c>
      <c r="J1844" s="10" t="str">
        <f>VLOOKUP(I1844,Categories!A:B,2,FALSE)</f>
        <v>Boardgame</v>
      </c>
      <c r="K1844" t="s">
        <v>130</v>
      </c>
      <c r="L1844" s="10" t="str">
        <f>VLOOKUP(K1844,Accounts!A:B,2,FALSE)</f>
        <v xml:space="preserve">KTC JCB</v>
      </c>
      <c r="M1844" t="s">
        <v>124</v>
      </c>
      <c r="N1844" s="10"/>
      <c r="O1844" t="s">
        <v>125</v>
      </c>
      <c r="Q1844" t="s">
        <v>126</v>
      </c>
      <c r="R1844" t="s">
        <v>124</v>
      </c>
      <c r="S1844" t="b">
        <v>0</v>
      </c>
      <c r="T1844" t="s">
        <v>124</v>
      </c>
    </row>
    <row r="1845">
      <c r="A1845" t="s">
        <v>3661</v>
      </c>
      <c r="B1845" t="s">
        <v>3662</v>
      </c>
      <c r="C1845" s="2">
        <v>2023</v>
      </c>
      <c r="D1845" s="10">
        <v>3</v>
      </c>
      <c r="E1845" s="10">
        <v>18</v>
      </c>
      <c r="F1845" t="s">
        <v>2152</v>
      </c>
      <c r="G1845">
        <v>540</v>
      </c>
      <c r="H1845" t="s">
        <v>69</v>
      </c>
      <c r="I1845" t="s">
        <v>150</v>
      </c>
      <c r="J1845" s="10" t="str">
        <f>VLOOKUP(I1845,Categories!A:B,2,FALSE)</f>
        <v xml:space="preserve">Food &amp; Coff</v>
      </c>
      <c r="K1845" t="s">
        <v>130</v>
      </c>
      <c r="L1845" s="10" t="str">
        <f>VLOOKUP(K1845,Accounts!A:B,2,FALSE)</f>
        <v xml:space="preserve">KTC JCB</v>
      </c>
      <c r="M1845" t="s">
        <v>124</v>
      </c>
      <c r="N1845" s="10"/>
      <c r="O1845" t="s">
        <v>3663</v>
      </c>
      <c r="Q1845" t="s">
        <v>126</v>
      </c>
      <c r="R1845" t="s">
        <v>124</v>
      </c>
      <c r="S1845" t="b">
        <v>0</v>
      </c>
      <c r="T1845" t="s">
        <v>124</v>
      </c>
    </row>
    <row r="1846">
      <c r="A1846" t="s">
        <v>3664</v>
      </c>
      <c r="B1846" t="s">
        <v>3662</v>
      </c>
      <c r="C1846" s="2">
        <v>2023</v>
      </c>
      <c r="D1846" s="10">
        <v>3</v>
      </c>
      <c r="E1846" s="10">
        <v>18</v>
      </c>
      <c r="F1846" t="s">
        <v>3665</v>
      </c>
      <c r="G1846">
        <v>990</v>
      </c>
      <c r="H1846" t="s">
        <v>69</v>
      </c>
      <c r="I1846" t="s">
        <v>3276</v>
      </c>
      <c r="J1846" s="10" t="str">
        <f>VLOOKUP(I1846,Categories!A:B,2,FALSE)</f>
        <v>Fuel</v>
      </c>
      <c r="K1846" t="s">
        <v>2317</v>
      </c>
      <c r="L1846" s="10" t="str">
        <f>VLOOKUP(K1846,Accounts!A:B,2,FALSE)</f>
        <v xml:space="preserve">Marriage account</v>
      </c>
      <c r="M1846" t="s">
        <v>124</v>
      </c>
      <c r="N1846" s="10"/>
      <c r="O1846" t="s">
        <v>125</v>
      </c>
      <c r="Q1846" t="s">
        <v>126</v>
      </c>
      <c r="R1846" t="s">
        <v>124</v>
      </c>
      <c r="S1846" t="b">
        <v>0</v>
      </c>
      <c r="T1846" t="s">
        <v>124</v>
      </c>
    </row>
    <row r="1847">
      <c r="A1847" t="s">
        <v>3666</v>
      </c>
      <c r="B1847" t="s">
        <v>3667</v>
      </c>
      <c r="C1847" s="2">
        <v>2023</v>
      </c>
      <c r="D1847" s="10">
        <v>3</v>
      </c>
      <c r="E1847" s="10">
        <v>16</v>
      </c>
      <c r="F1847" t="s">
        <v>2972</v>
      </c>
      <c r="G1847">
        <v>3363</v>
      </c>
      <c r="H1847" t="s">
        <v>69</v>
      </c>
      <c r="I1847" t="s">
        <v>157</v>
      </c>
      <c r="J1847" s="10" t="str">
        <f>VLOOKUP(I1847,Categories!A:B,2,FALSE)</f>
        <v>Boardgame</v>
      </c>
      <c r="K1847" t="s">
        <v>130</v>
      </c>
      <c r="L1847" s="10" t="str">
        <f>VLOOKUP(K1847,Accounts!A:B,2,FALSE)</f>
        <v xml:space="preserve">KTC JCB</v>
      </c>
      <c r="M1847" t="s">
        <v>124</v>
      </c>
      <c r="N1847" s="10"/>
      <c r="O1847" t="s">
        <v>125</v>
      </c>
      <c r="Q1847" t="s">
        <v>126</v>
      </c>
      <c r="R1847" t="s">
        <v>124</v>
      </c>
      <c r="S1847" t="b">
        <v>0</v>
      </c>
      <c r="T1847" t="s">
        <v>124</v>
      </c>
    </row>
    <row r="1848">
      <c r="A1848" t="s">
        <v>3668</v>
      </c>
      <c r="B1848" t="s">
        <v>3667</v>
      </c>
      <c r="C1848" s="2">
        <v>2023</v>
      </c>
      <c r="D1848" s="10">
        <v>3</v>
      </c>
      <c r="E1848" s="10">
        <v>16</v>
      </c>
      <c r="F1848" t="s">
        <v>3665</v>
      </c>
      <c r="G1848">
        <v>5000</v>
      </c>
      <c r="H1848" t="s">
        <v>206</v>
      </c>
      <c r="I1848" t="s">
        <v>207</v>
      </c>
      <c r="J1848" s="10" t="str">
        <f>VLOOKUP(I1848,Categories!A:B,2,FALSE)</f>
        <v>Salary</v>
      </c>
      <c r="K1848" t="s">
        <v>2317</v>
      </c>
      <c r="L1848" s="10" t="str">
        <f>VLOOKUP(K1848,Accounts!A:B,2,FALSE)</f>
        <v xml:space="preserve">Marriage account</v>
      </c>
      <c r="M1848" t="s">
        <v>124</v>
      </c>
      <c r="N1848" s="10"/>
      <c r="O1848" t="s">
        <v>125</v>
      </c>
      <c r="Q1848" t="s">
        <v>126</v>
      </c>
      <c r="R1848" t="s">
        <v>124</v>
      </c>
      <c r="S1848" t="b">
        <v>0</v>
      </c>
      <c r="T1848" t="s">
        <v>124</v>
      </c>
    </row>
    <row r="1849">
      <c r="A1849" t="s">
        <v>3669</v>
      </c>
      <c r="B1849" t="s">
        <v>3670</v>
      </c>
      <c r="C1849" s="2">
        <v>2023</v>
      </c>
      <c r="D1849" s="10">
        <v>3</v>
      </c>
      <c r="E1849" s="10">
        <v>14</v>
      </c>
      <c r="F1849" t="s">
        <v>121</v>
      </c>
      <c r="G1849">
        <v>419</v>
      </c>
      <c r="H1849" t="s">
        <v>69</v>
      </c>
      <c r="I1849" t="s">
        <v>1903</v>
      </c>
      <c r="J1849" s="10" t="str">
        <f>VLOOKUP(I1849,Categories!A:B,2,FALSE)</f>
        <v xml:space="preserve">Monthly subscription</v>
      </c>
      <c r="K1849" t="s">
        <v>747</v>
      </c>
      <c r="L1849" s="10" t="str">
        <f>VLOOKUP(K1849,Accounts!A:B,2,FALSE)</f>
        <v xml:space="preserve">UOB world</v>
      </c>
      <c r="M1849" t="s">
        <v>124</v>
      </c>
      <c r="N1849" s="10"/>
      <c r="O1849" t="s">
        <v>125</v>
      </c>
      <c r="Q1849" t="s">
        <v>126</v>
      </c>
      <c r="R1849" t="s">
        <v>124</v>
      </c>
      <c r="S1849" t="b">
        <v>0</v>
      </c>
      <c r="T1849" t="s">
        <v>124</v>
      </c>
    </row>
    <row r="1850">
      <c r="A1850" t="s">
        <v>3671</v>
      </c>
      <c r="B1850" t="s">
        <v>3670</v>
      </c>
      <c r="C1850" s="2">
        <v>2023</v>
      </c>
      <c r="D1850" s="10">
        <v>3</v>
      </c>
      <c r="E1850" s="10">
        <v>14</v>
      </c>
      <c r="F1850" t="s">
        <v>698</v>
      </c>
      <c r="G1850">
        <v>419</v>
      </c>
      <c r="H1850" t="s">
        <v>69</v>
      </c>
      <c r="I1850" t="s">
        <v>1903</v>
      </c>
      <c r="J1850" s="10" t="str">
        <f>VLOOKUP(I1850,Categories!A:B,2,FALSE)</f>
        <v xml:space="preserve">Monthly subscription</v>
      </c>
      <c r="K1850" t="s">
        <v>178</v>
      </c>
      <c r="L1850" s="10" t="str">
        <f>VLOOKUP(K1850,Accounts!A:B,2,FALSE)</f>
        <v>SCB</v>
      </c>
      <c r="M1850" t="s">
        <v>124</v>
      </c>
      <c r="N1850" s="10"/>
      <c r="O1850" t="s">
        <v>125</v>
      </c>
      <c r="Q1850" t="s">
        <v>126</v>
      </c>
      <c r="R1850" t="s">
        <v>124</v>
      </c>
      <c r="S1850" t="b">
        <v>0</v>
      </c>
      <c r="T1850" t="s">
        <v>124</v>
      </c>
    </row>
    <row r="1851">
      <c r="A1851" t="s">
        <v>3672</v>
      </c>
      <c r="B1851" t="s">
        <v>3673</v>
      </c>
      <c r="C1851" s="2">
        <v>2023</v>
      </c>
      <c r="D1851" s="10">
        <v>3</v>
      </c>
      <c r="E1851" s="10">
        <v>12</v>
      </c>
      <c r="F1851" t="s">
        <v>3674</v>
      </c>
      <c r="G1851">
        <v>200</v>
      </c>
      <c r="H1851" t="s">
        <v>69</v>
      </c>
      <c r="I1851" t="s">
        <v>160</v>
      </c>
      <c r="J1851" s="10" t="str">
        <f>VLOOKUP(I1851,Categories!A:B,2,FALSE)</f>
        <v>Fashion</v>
      </c>
      <c r="K1851" t="s">
        <v>178</v>
      </c>
      <c r="L1851" s="10" t="str">
        <f>VLOOKUP(K1851,Accounts!A:B,2,FALSE)</f>
        <v>SCB</v>
      </c>
      <c r="M1851" t="s">
        <v>124</v>
      </c>
      <c r="N1851" s="10"/>
      <c r="O1851" t="s">
        <v>377</v>
      </c>
      <c r="Q1851" t="s">
        <v>126</v>
      </c>
      <c r="R1851" t="s">
        <v>124</v>
      </c>
      <c r="S1851" t="b">
        <v>0</v>
      </c>
      <c r="T1851" t="s">
        <v>124</v>
      </c>
    </row>
    <row r="1852">
      <c r="A1852" t="s">
        <v>3675</v>
      </c>
      <c r="B1852" t="s">
        <v>3673</v>
      </c>
      <c r="C1852" s="2">
        <v>2023</v>
      </c>
      <c r="D1852" s="10">
        <v>3</v>
      </c>
      <c r="E1852" s="10">
        <v>12</v>
      </c>
      <c r="F1852" t="s">
        <v>383</v>
      </c>
      <c r="G1852">
        <v>99</v>
      </c>
      <c r="H1852" t="s">
        <v>69</v>
      </c>
      <c r="I1852" t="s">
        <v>150</v>
      </c>
      <c r="J1852" s="10" t="str">
        <f>VLOOKUP(I1852,Categories!A:B,2,FALSE)</f>
        <v xml:space="preserve">Food &amp; Coff</v>
      </c>
      <c r="K1852" t="s">
        <v>2317</v>
      </c>
      <c r="L1852" s="10" t="str">
        <f>VLOOKUP(K1852,Accounts!A:B,2,FALSE)</f>
        <v xml:space="preserve">Marriage account</v>
      </c>
      <c r="M1852" t="s">
        <v>124</v>
      </c>
      <c r="N1852" s="10"/>
      <c r="O1852" t="s">
        <v>3676</v>
      </c>
      <c r="Q1852" t="s">
        <v>126</v>
      </c>
      <c r="R1852" t="s">
        <v>124</v>
      </c>
      <c r="S1852" t="b">
        <v>0</v>
      </c>
      <c r="T1852" t="s">
        <v>124</v>
      </c>
    </row>
    <row r="1853">
      <c r="A1853" t="s">
        <v>3677</v>
      </c>
      <c r="B1853" t="s">
        <v>3673</v>
      </c>
      <c r="C1853" s="2">
        <v>2023</v>
      </c>
      <c r="D1853" s="10">
        <v>3</v>
      </c>
      <c r="E1853" s="10">
        <v>12</v>
      </c>
      <c r="F1853" t="s">
        <v>3530</v>
      </c>
      <c r="G1853">
        <v>894</v>
      </c>
      <c r="H1853" t="s">
        <v>69</v>
      </c>
      <c r="I1853" t="s">
        <v>150</v>
      </c>
      <c r="J1853" s="10" t="str">
        <f>VLOOKUP(I1853,Categories!A:B,2,FALSE)</f>
        <v xml:space="preserve">Food &amp; Coff</v>
      </c>
      <c r="K1853" t="s">
        <v>2317</v>
      </c>
      <c r="L1853" s="10" t="str">
        <f>VLOOKUP(K1853,Accounts!A:B,2,FALSE)</f>
        <v xml:space="preserve">Marriage account</v>
      </c>
      <c r="M1853" t="s">
        <v>124</v>
      </c>
      <c r="N1853" s="10"/>
      <c r="O1853" t="s">
        <v>125</v>
      </c>
      <c r="Q1853" t="s">
        <v>126</v>
      </c>
      <c r="R1853" t="s">
        <v>124</v>
      </c>
      <c r="S1853" t="b">
        <v>0</v>
      </c>
      <c r="T1853" t="s">
        <v>124</v>
      </c>
    </row>
    <row r="1854">
      <c r="A1854" t="s">
        <v>3678</v>
      </c>
      <c r="B1854" t="s">
        <v>3673</v>
      </c>
      <c r="C1854" s="2">
        <v>2023</v>
      </c>
      <c r="D1854" s="10">
        <v>3</v>
      </c>
      <c r="E1854" s="10">
        <v>12</v>
      </c>
      <c r="F1854" t="s">
        <v>3679</v>
      </c>
      <c r="G1854">
        <v>1317.8</v>
      </c>
      <c r="H1854" t="s">
        <v>128</v>
      </c>
      <c r="I1854" t="s">
        <v>136</v>
      </c>
      <c r="J1854" s="10" t="str">
        <f>VLOOKUP(I1854,Categories!A:B,2,FALSE)</f>
        <v>อื่นๆ</v>
      </c>
      <c r="K1854" t="s">
        <v>766</v>
      </c>
      <c r="L1854" s="10" t="str">
        <f>VLOOKUP(K1854,Accounts!A:B,2,FALSE)</f>
        <v>KRUNGSRI</v>
      </c>
      <c r="M1854" t="s">
        <v>178</v>
      </c>
      <c r="N1854" s="10" t="str">
        <f>VLOOKUP(M1854,Accounts!A:B,2,FALSE)</f>
        <v>SCB</v>
      </c>
      <c r="O1854" t="s">
        <v>125</v>
      </c>
      <c r="Q1854" t="s">
        <v>126</v>
      </c>
      <c r="R1854" t="s">
        <v>124</v>
      </c>
      <c r="S1854" t="b">
        <v>0</v>
      </c>
      <c r="T1854" t="s">
        <v>124</v>
      </c>
    </row>
    <row r="1855">
      <c r="A1855" t="s">
        <v>3680</v>
      </c>
      <c r="B1855" t="s">
        <v>3673</v>
      </c>
      <c r="C1855" s="2">
        <v>2023</v>
      </c>
      <c r="D1855" s="10">
        <v>3</v>
      </c>
      <c r="E1855" s="10">
        <v>12</v>
      </c>
      <c r="F1855" t="s">
        <v>3681</v>
      </c>
      <c r="G1855">
        <v>1555</v>
      </c>
      <c r="H1855" t="s">
        <v>69</v>
      </c>
      <c r="I1855" t="s">
        <v>122</v>
      </c>
      <c r="J1855" s="10" t="str">
        <f>VLOOKUP(I1855,Categories!A:B,2,FALSE)</f>
        <v>Other</v>
      </c>
      <c r="K1855" t="s">
        <v>178</v>
      </c>
      <c r="L1855" s="10" t="str">
        <f>VLOOKUP(K1855,Accounts!A:B,2,FALSE)</f>
        <v>SCB</v>
      </c>
      <c r="M1855" t="s">
        <v>124</v>
      </c>
      <c r="N1855" s="10"/>
      <c r="O1855" t="s">
        <v>3682</v>
      </c>
      <c r="Q1855" t="s">
        <v>126</v>
      </c>
      <c r="R1855" t="s">
        <v>124</v>
      </c>
      <c r="S1855" t="b">
        <v>0</v>
      </c>
      <c r="T1855" t="s">
        <v>124</v>
      </c>
    </row>
    <row r="1856">
      <c r="A1856" t="s">
        <v>3683</v>
      </c>
      <c r="B1856" t="s">
        <v>3673</v>
      </c>
      <c r="C1856" s="2">
        <v>2023</v>
      </c>
      <c r="D1856" s="10">
        <v>3</v>
      </c>
      <c r="E1856" s="10">
        <v>12</v>
      </c>
      <c r="F1856" t="s">
        <v>773</v>
      </c>
      <c r="G1856">
        <v>205</v>
      </c>
      <c r="H1856" t="s">
        <v>69</v>
      </c>
      <c r="I1856" t="s">
        <v>3504</v>
      </c>
      <c r="J1856" s="10" t="str">
        <f>VLOOKUP(I1856,Categories!A:B,2,FALSE)</f>
        <v xml:space="preserve">Condo suppliers</v>
      </c>
      <c r="K1856" t="s">
        <v>2317</v>
      </c>
      <c r="L1856" s="10" t="str">
        <f>VLOOKUP(K1856,Accounts!A:B,2,FALSE)</f>
        <v xml:space="preserve">Marriage account</v>
      </c>
      <c r="M1856" t="s">
        <v>124</v>
      </c>
      <c r="N1856" s="10"/>
      <c r="O1856" t="s">
        <v>125</v>
      </c>
      <c r="Q1856" t="s">
        <v>126</v>
      </c>
      <c r="R1856" t="s">
        <v>124</v>
      </c>
      <c r="S1856" t="b">
        <v>0</v>
      </c>
      <c r="T1856" t="s">
        <v>124</v>
      </c>
    </row>
    <row r="1857">
      <c r="A1857" t="s">
        <v>3684</v>
      </c>
      <c r="B1857" t="s">
        <v>3685</v>
      </c>
      <c r="C1857" s="2">
        <v>2023</v>
      </c>
      <c r="D1857" s="10">
        <v>3</v>
      </c>
      <c r="E1857" s="10">
        <v>11</v>
      </c>
      <c r="F1857" t="s">
        <v>386</v>
      </c>
      <c r="G1857">
        <v>176</v>
      </c>
      <c r="H1857" t="s">
        <v>69</v>
      </c>
      <c r="I1857" t="s">
        <v>150</v>
      </c>
      <c r="J1857" s="10" t="str">
        <f>VLOOKUP(I1857,Categories!A:B,2,FALSE)</f>
        <v xml:space="preserve">Food &amp; Coff</v>
      </c>
      <c r="K1857" t="s">
        <v>2317</v>
      </c>
      <c r="L1857" s="10" t="str">
        <f>VLOOKUP(K1857,Accounts!A:B,2,FALSE)</f>
        <v xml:space="preserve">Marriage account</v>
      </c>
      <c r="M1857" t="s">
        <v>124</v>
      </c>
      <c r="N1857" s="10"/>
      <c r="O1857" t="s">
        <v>3686</v>
      </c>
      <c r="Q1857" t="s">
        <v>126</v>
      </c>
      <c r="R1857" t="s">
        <v>124</v>
      </c>
      <c r="S1857" t="b">
        <v>0</v>
      </c>
      <c r="T1857" t="s">
        <v>124</v>
      </c>
    </row>
    <row r="1858">
      <c r="A1858" t="s">
        <v>3687</v>
      </c>
      <c r="B1858" t="s">
        <v>3685</v>
      </c>
      <c r="C1858" s="2">
        <v>2023</v>
      </c>
      <c r="D1858" s="10">
        <v>3</v>
      </c>
      <c r="E1858" s="10">
        <v>11</v>
      </c>
      <c r="F1858" t="s">
        <v>897</v>
      </c>
      <c r="G1858">
        <v>945</v>
      </c>
      <c r="H1858" t="s">
        <v>69</v>
      </c>
      <c r="I1858" t="s">
        <v>157</v>
      </c>
      <c r="J1858" s="10" t="str">
        <f>VLOOKUP(I1858,Categories!A:B,2,FALSE)</f>
        <v>Boardgame</v>
      </c>
      <c r="K1858" t="s">
        <v>178</v>
      </c>
      <c r="L1858" s="10" t="str">
        <f>VLOOKUP(K1858,Accounts!A:B,2,FALSE)</f>
        <v>SCB</v>
      </c>
      <c r="M1858" t="s">
        <v>124</v>
      </c>
      <c r="N1858" s="10"/>
      <c r="O1858" t="s">
        <v>125</v>
      </c>
      <c r="Q1858" t="s">
        <v>126</v>
      </c>
      <c r="R1858" t="s">
        <v>124</v>
      </c>
      <c r="S1858" t="b">
        <v>0</v>
      </c>
      <c r="T1858" t="s">
        <v>124</v>
      </c>
    </row>
    <row r="1859">
      <c r="A1859" t="s">
        <v>3688</v>
      </c>
      <c r="B1859" t="s">
        <v>3685</v>
      </c>
      <c r="C1859" s="2">
        <v>2023</v>
      </c>
      <c r="D1859" s="10">
        <v>3</v>
      </c>
      <c r="E1859" s="10">
        <v>11</v>
      </c>
      <c r="F1859" t="s">
        <v>1369</v>
      </c>
      <c r="G1859">
        <v>1317.8</v>
      </c>
      <c r="H1859" t="s">
        <v>69</v>
      </c>
      <c r="I1859" t="s">
        <v>150</v>
      </c>
      <c r="J1859" s="10" t="str">
        <f>VLOOKUP(I1859,Categories!A:B,2,FALSE)</f>
        <v xml:space="preserve">Food &amp; Coff</v>
      </c>
      <c r="K1859" t="s">
        <v>2317</v>
      </c>
      <c r="L1859" s="10" t="str">
        <f>VLOOKUP(K1859,Accounts!A:B,2,FALSE)</f>
        <v xml:space="preserve">Marriage account</v>
      </c>
      <c r="M1859" t="s">
        <v>124</v>
      </c>
      <c r="N1859" s="10"/>
      <c r="O1859" t="s">
        <v>3689</v>
      </c>
      <c r="Q1859" t="s">
        <v>126</v>
      </c>
      <c r="R1859" t="s">
        <v>124</v>
      </c>
      <c r="S1859" t="b">
        <v>0</v>
      </c>
      <c r="T1859" t="s">
        <v>124</v>
      </c>
    </row>
    <row r="1860">
      <c r="A1860" t="s">
        <v>3690</v>
      </c>
      <c r="B1860" t="s">
        <v>3691</v>
      </c>
      <c r="C1860" s="2">
        <v>2023</v>
      </c>
      <c r="D1860" s="10">
        <v>3</v>
      </c>
      <c r="E1860" s="10">
        <v>9</v>
      </c>
      <c r="F1860" t="s">
        <v>2768</v>
      </c>
      <c r="G1860">
        <v>175</v>
      </c>
      <c r="H1860" t="s">
        <v>69</v>
      </c>
      <c r="I1860" t="s">
        <v>150</v>
      </c>
      <c r="J1860" s="10" t="str">
        <f>VLOOKUP(I1860,Categories!A:B,2,FALSE)</f>
        <v xml:space="preserve">Food &amp; Coff</v>
      </c>
      <c r="K1860" t="s">
        <v>2317</v>
      </c>
      <c r="L1860" s="10" t="str">
        <f>VLOOKUP(K1860,Accounts!A:B,2,FALSE)</f>
        <v xml:space="preserve">Marriage account</v>
      </c>
      <c r="M1860" t="s">
        <v>124</v>
      </c>
      <c r="N1860" s="10"/>
      <c r="O1860" t="s">
        <v>125</v>
      </c>
      <c r="Q1860" t="s">
        <v>126</v>
      </c>
      <c r="R1860" t="s">
        <v>124</v>
      </c>
      <c r="S1860" t="b">
        <v>0</v>
      </c>
      <c r="T1860" t="s">
        <v>124</v>
      </c>
    </row>
    <row r="1861">
      <c r="A1861" t="s">
        <v>3692</v>
      </c>
      <c r="B1861" t="s">
        <v>3691</v>
      </c>
      <c r="C1861" s="2">
        <v>2023</v>
      </c>
      <c r="D1861" s="10">
        <v>3</v>
      </c>
      <c r="E1861" s="10">
        <v>9</v>
      </c>
      <c r="F1861" t="s">
        <v>3693</v>
      </c>
      <c r="G1861">
        <v>800</v>
      </c>
      <c r="H1861" t="s">
        <v>69</v>
      </c>
      <c r="I1861" t="s">
        <v>150</v>
      </c>
      <c r="J1861" s="10" t="str">
        <f>VLOOKUP(I1861,Categories!A:B,2,FALSE)</f>
        <v xml:space="preserve">Food &amp; Coff</v>
      </c>
      <c r="K1861" t="s">
        <v>178</v>
      </c>
      <c r="L1861" s="10" t="str">
        <f>VLOOKUP(K1861,Accounts!A:B,2,FALSE)</f>
        <v>SCB</v>
      </c>
      <c r="M1861" t="s">
        <v>124</v>
      </c>
      <c r="N1861" s="10"/>
      <c r="O1861" t="s">
        <v>125</v>
      </c>
      <c r="Q1861" t="s">
        <v>126</v>
      </c>
      <c r="R1861" t="s">
        <v>124</v>
      </c>
      <c r="S1861" t="b">
        <v>0</v>
      </c>
      <c r="T1861" t="s">
        <v>124</v>
      </c>
    </row>
    <row r="1862">
      <c r="A1862" t="s">
        <v>3694</v>
      </c>
      <c r="B1862" t="s">
        <v>38</v>
      </c>
      <c r="C1862" s="2">
        <v>2023</v>
      </c>
      <c r="D1862" s="10">
        <v>3</v>
      </c>
      <c r="E1862" s="10">
        <v>8</v>
      </c>
      <c r="F1862" t="s">
        <v>3197</v>
      </c>
      <c r="G1862">
        <v>100000</v>
      </c>
      <c r="H1862" t="s">
        <v>128</v>
      </c>
      <c r="I1862" t="s">
        <v>136</v>
      </c>
      <c r="J1862" s="10" t="str">
        <f>VLOOKUP(I1862,Categories!A:B,2,FALSE)</f>
        <v>อื่นๆ</v>
      </c>
      <c r="K1862" t="s">
        <v>178</v>
      </c>
      <c r="L1862" s="10" t="str">
        <f>VLOOKUP(K1862,Accounts!A:B,2,FALSE)</f>
        <v>SCB</v>
      </c>
      <c r="M1862" t="s">
        <v>215</v>
      </c>
      <c r="N1862" s="10" t="str">
        <f>VLOOKUP(M1862,Accounts!A:B,2,FALSE)</f>
        <v>Investment</v>
      </c>
      <c r="O1862" t="s">
        <v>125</v>
      </c>
      <c r="Q1862" t="s">
        <v>126</v>
      </c>
      <c r="R1862" t="s">
        <v>124</v>
      </c>
      <c r="S1862" t="b">
        <v>0</v>
      </c>
      <c r="T1862" t="s">
        <v>124</v>
      </c>
    </row>
    <row r="1863">
      <c r="A1863" t="s">
        <v>3695</v>
      </c>
      <c r="B1863" t="s">
        <v>38</v>
      </c>
      <c r="C1863" s="2">
        <v>2023</v>
      </c>
      <c r="D1863" s="10">
        <v>3</v>
      </c>
      <c r="E1863" s="10">
        <v>8</v>
      </c>
      <c r="F1863" t="s">
        <v>1889</v>
      </c>
      <c r="G1863">
        <v>99</v>
      </c>
      <c r="H1863" t="s">
        <v>69</v>
      </c>
      <c r="I1863" t="s">
        <v>150</v>
      </c>
      <c r="J1863" s="10" t="str">
        <f>VLOOKUP(I1863,Categories!A:B,2,FALSE)</f>
        <v xml:space="preserve">Food &amp; Coff</v>
      </c>
      <c r="K1863" t="s">
        <v>178</v>
      </c>
      <c r="L1863" s="10" t="str">
        <f>VLOOKUP(K1863,Accounts!A:B,2,FALSE)</f>
        <v>SCB</v>
      </c>
      <c r="M1863" t="s">
        <v>124</v>
      </c>
      <c r="N1863" s="10"/>
      <c r="O1863" t="s">
        <v>125</v>
      </c>
      <c r="Q1863" t="s">
        <v>126</v>
      </c>
      <c r="R1863" t="s">
        <v>124</v>
      </c>
      <c r="S1863" t="b">
        <v>0</v>
      </c>
      <c r="T1863" t="s">
        <v>124</v>
      </c>
    </row>
    <row r="1864">
      <c r="A1864" t="s">
        <v>3696</v>
      </c>
      <c r="B1864" t="s">
        <v>38</v>
      </c>
      <c r="C1864" s="2">
        <v>2023</v>
      </c>
      <c r="D1864" s="10">
        <v>3</v>
      </c>
      <c r="E1864" s="10">
        <v>8</v>
      </c>
      <c r="F1864" t="s">
        <v>1865</v>
      </c>
      <c r="G1864">
        <v>100000</v>
      </c>
      <c r="H1864" t="s">
        <v>128</v>
      </c>
      <c r="I1864" t="s">
        <v>136</v>
      </c>
      <c r="J1864" s="10" t="str">
        <f>VLOOKUP(I1864,Categories!A:B,2,FALSE)</f>
        <v>อื่นๆ</v>
      </c>
      <c r="K1864" t="s">
        <v>178</v>
      </c>
      <c r="L1864" s="10" t="str">
        <f>VLOOKUP(K1864,Accounts!A:B,2,FALSE)</f>
        <v>SCB</v>
      </c>
      <c r="M1864" t="s">
        <v>844</v>
      </c>
      <c r="N1864" s="10" t="str">
        <f>VLOOKUP(M1864,Accounts!A:B,2,FALSE)</f>
        <v>BBL</v>
      </c>
      <c r="O1864" t="s">
        <v>125</v>
      </c>
      <c r="Q1864" t="s">
        <v>126</v>
      </c>
      <c r="R1864" t="s">
        <v>124</v>
      </c>
      <c r="S1864" t="b">
        <v>0</v>
      </c>
      <c r="T1864" t="s">
        <v>124</v>
      </c>
    </row>
    <row r="1865">
      <c r="A1865" t="s">
        <v>3697</v>
      </c>
      <c r="B1865" t="s">
        <v>38</v>
      </c>
      <c r="C1865" s="2">
        <v>2023</v>
      </c>
      <c r="D1865" s="10">
        <v>3</v>
      </c>
      <c r="E1865" s="10">
        <v>8</v>
      </c>
      <c r="F1865" t="s">
        <v>3698</v>
      </c>
      <c r="G1865">
        <v>5000</v>
      </c>
      <c r="H1865" t="s">
        <v>128</v>
      </c>
      <c r="I1865" t="s">
        <v>136</v>
      </c>
      <c r="J1865" s="10" t="str">
        <f>VLOOKUP(I1865,Categories!A:B,2,FALSE)</f>
        <v>อื่นๆ</v>
      </c>
      <c r="K1865" t="s">
        <v>178</v>
      </c>
      <c r="L1865" s="10" t="str">
        <f>VLOOKUP(K1865,Accounts!A:B,2,FALSE)</f>
        <v>SCB</v>
      </c>
      <c r="M1865" t="s">
        <v>2513</v>
      </c>
      <c r="N1865" s="10" t="str">
        <f>VLOOKUP(M1865,Accounts!A:B,2,FALSE)</f>
        <v xml:space="preserve">Pao tung</v>
      </c>
      <c r="O1865" t="s">
        <v>125</v>
      </c>
      <c r="Q1865" t="s">
        <v>126</v>
      </c>
      <c r="R1865" t="s">
        <v>124</v>
      </c>
      <c r="S1865" t="b">
        <v>0</v>
      </c>
      <c r="T1865" t="s">
        <v>124</v>
      </c>
    </row>
    <row r="1866">
      <c r="A1866" t="s">
        <v>3699</v>
      </c>
      <c r="B1866" t="s">
        <v>3700</v>
      </c>
      <c r="C1866" s="2">
        <v>2023</v>
      </c>
      <c r="D1866" s="10">
        <v>3</v>
      </c>
      <c r="E1866" s="10">
        <v>7</v>
      </c>
      <c r="F1866" t="s">
        <v>3701</v>
      </c>
      <c r="G1866">
        <v>100</v>
      </c>
      <c r="H1866" t="s">
        <v>69</v>
      </c>
      <c r="I1866" t="s">
        <v>150</v>
      </c>
      <c r="J1866" s="10" t="str">
        <f>VLOOKUP(I1866,Categories!A:B,2,FALSE)</f>
        <v xml:space="preserve">Food &amp; Coff</v>
      </c>
      <c r="K1866" t="s">
        <v>2317</v>
      </c>
      <c r="L1866" s="10" t="str">
        <f>VLOOKUP(K1866,Accounts!A:B,2,FALSE)</f>
        <v xml:space="preserve">Marriage account</v>
      </c>
      <c r="M1866" t="s">
        <v>124</v>
      </c>
      <c r="N1866" s="10"/>
      <c r="O1866" t="s">
        <v>125</v>
      </c>
      <c r="Q1866" t="s">
        <v>126</v>
      </c>
      <c r="R1866" t="s">
        <v>124</v>
      </c>
      <c r="S1866" t="b">
        <v>0</v>
      </c>
      <c r="T1866" t="s">
        <v>124</v>
      </c>
    </row>
    <row r="1867">
      <c r="A1867" t="s">
        <v>3702</v>
      </c>
      <c r="B1867" t="s">
        <v>3700</v>
      </c>
      <c r="C1867" s="2">
        <v>2023</v>
      </c>
      <c r="D1867" s="10">
        <v>3</v>
      </c>
      <c r="E1867" s="10">
        <v>7</v>
      </c>
      <c r="F1867" t="s">
        <v>1281</v>
      </c>
      <c r="G1867">
        <v>300</v>
      </c>
      <c r="H1867" t="s">
        <v>69</v>
      </c>
      <c r="I1867" t="s">
        <v>259</v>
      </c>
      <c r="J1867" s="10" t="str">
        <f>VLOOKUP(I1867,Categories!A:B,2,FALSE)</f>
        <v xml:space="preserve">Team BOT</v>
      </c>
      <c r="K1867" t="s">
        <v>178</v>
      </c>
      <c r="L1867" s="10" t="str">
        <f>VLOOKUP(K1867,Accounts!A:B,2,FALSE)</f>
        <v>SCB</v>
      </c>
      <c r="M1867" t="s">
        <v>124</v>
      </c>
      <c r="N1867" s="10"/>
      <c r="O1867" t="s">
        <v>1575</v>
      </c>
      <c r="Q1867" t="s">
        <v>126</v>
      </c>
      <c r="R1867" t="s">
        <v>124</v>
      </c>
      <c r="S1867" t="b">
        <v>0</v>
      </c>
      <c r="T1867" t="s">
        <v>124</v>
      </c>
    </row>
    <row r="1868">
      <c r="A1868" t="s">
        <v>3703</v>
      </c>
      <c r="B1868" t="s">
        <v>3700</v>
      </c>
      <c r="C1868" s="2">
        <v>2023</v>
      </c>
      <c r="D1868" s="10">
        <v>3</v>
      </c>
      <c r="E1868" s="10">
        <v>7</v>
      </c>
      <c r="F1868" t="s">
        <v>3704</v>
      </c>
      <c r="G1868">
        <v>270</v>
      </c>
      <c r="H1868" t="s">
        <v>69</v>
      </c>
      <c r="I1868" t="s">
        <v>150</v>
      </c>
      <c r="J1868" s="10" t="str">
        <f>VLOOKUP(I1868,Categories!A:B,2,FALSE)</f>
        <v xml:space="preserve">Food &amp; Coff</v>
      </c>
      <c r="K1868" t="s">
        <v>123</v>
      </c>
      <c r="L1868" s="10" t="str">
        <f>VLOOKUP(K1868,Accounts!A:B,2,FALSE)</f>
        <v>KBank</v>
      </c>
      <c r="M1868" t="s">
        <v>124</v>
      </c>
      <c r="N1868" s="10"/>
      <c r="O1868" t="s">
        <v>125</v>
      </c>
      <c r="Q1868" t="s">
        <v>126</v>
      </c>
      <c r="R1868" t="s">
        <v>124</v>
      </c>
      <c r="S1868" t="b">
        <v>0</v>
      </c>
      <c r="T1868" t="s">
        <v>124</v>
      </c>
    </row>
    <row r="1869">
      <c r="A1869" t="s">
        <v>3705</v>
      </c>
      <c r="B1869" t="s">
        <v>3706</v>
      </c>
      <c r="C1869" s="2">
        <v>2023</v>
      </c>
      <c r="D1869" s="10">
        <v>3</v>
      </c>
      <c r="E1869" s="10">
        <v>6</v>
      </c>
      <c r="F1869" t="s">
        <v>3707</v>
      </c>
      <c r="G1869">
        <v>230</v>
      </c>
      <c r="H1869" t="s">
        <v>69</v>
      </c>
      <c r="I1869" t="s">
        <v>144</v>
      </c>
      <c r="J1869" s="10" t="str">
        <f>VLOOKUP(I1869,Categories!A:B,2,FALSE)</f>
        <v xml:space="preserve">Family paid</v>
      </c>
      <c r="K1869" t="s">
        <v>178</v>
      </c>
      <c r="L1869" s="10" t="str">
        <f>VLOOKUP(K1869,Accounts!A:B,2,FALSE)</f>
        <v>SCB</v>
      </c>
      <c r="M1869" t="s">
        <v>124</v>
      </c>
      <c r="N1869" s="10"/>
      <c r="O1869" t="s">
        <v>125</v>
      </c>
      <c r="Q1869" t="s">
        <v>126</v>
      </c>
      <c r="R1869" t="s">
        <v>124</v>
      </c>
      <c r="S1869" t="b">
        <v>0</v>
      </c>
      <c r="T1869" t="s">
        <v>124</v>
      </c>
    </row>
    <row r="1870">
      <c r="A1870" t="s">
        <v>3708</v>
      </c>
      <c r="B1870" t="s">
        <v>3706</v>
      </c>
      <c r="C1870" s="2">
        <v>2023</v>
      </c>
      <c r="D1870" s="10">
        <v>3</v>
      </c>
      <c r="E1870" s="10">
        <v>6</v>
      </c>
      <c r="F1870" t="s">
        <v>3150</v>
      </c>
      <c r="G1870">
        <v>20000</v>
      </c>
      <c r="H1870" t="s">
        <v>128</v>
      </c>
      <c r="I1870" t="s">
        <v>136</v>
      </c>
      <c r="J1870" s="10" t="str">
        <f>VLOOKUP(I1870,Categories!A:B,2,FALSE)</f>
        <v>อื่นๆ</v>
      </c>
      <c r="K1870" t="s">
        <v>178</v>
      </c>
      <c r="L1870" s="10" t="str">
        <f>VLOOKUP(K1870,Accounts!A:B,2,FALSE)</f>
        <v>SCB</v>
      </c>
      <c r="M1870" t="s">
        <v>766</v>
      </c>
      <c r="N1870" s="10" t="str">
        <f>VLOOKUP(M1870,Accounts!A:B,2,FALSE)</f>
        <v>KRUNGSRI</v>
      </c>
      <c r="O1870" t="s">
        <v>125</v>
      </c>
      <c r="Q1870" t="s">
        <v>126</v>
      </c>
      <c r="R1870" t="s">
        <v>124</v>
      </c>
      <c r="S1870" t="b">
        <v>0</v>
      </c>
      <c r="T1870" t="s">
        <v>124</v>
      </c>
    </row>
    <row r="1871">
      <c r="A1871" t="s">
        <v>3709</v>
      </c>
      <c r="B1871" t="s">
        <v>3706</v>
      </c>
      <c r="C1871" s="2">
        <v>2023</v>
      </c>
      <c r="D1871" s="10">
        <v>3</v>
      </c>
      <c r="E1871" s="10">
        <v>6</v>
      </c>
      <c r="F1871" t="s">
        <v>613</v>
      </c>
      <c r="G1871">
        <v>13600</v>
      </c>
      <c r="H1871" t="s">
        <v>128</v>
      </c>
      <c r="I1871" t="s">
        <v>136</v>
      </c>
      <c r="J1871" s="10" t="str">
        <f>VLOOKUP(I1871,Categories!A:B,2,FALSE)</f>
        <v>อื่นๆ</v>
      </c>
      <c r="K1871" t="s">
        <v>766</v>
      </c>
      <c r="L1871" s="10" t="str">
        <f>VLOOKUP(K1871,Accounts!A:B,2,FALSE)</f>
        <v>KRUNGSRI</v>
      </c>
      <c r="M1871" t="s">
        <v>131</v>
      </c>
      <c r="N1871" s="10" t="str">
        <f>VLOOKUP(M1871,Accounts!A:B,2,FALSE)</f>
        <v xml:space="preserve">Advance Paid</v>
      </c>
      <c r="O1871" t="s">
        <v>3710</v>
      </c>
      <c r="Q1871" t="s">
        <v>126</v>
      </c>
      <c r="R1871" t="s">
        <v>124</v>
      </c>
      <c r="S1871" t="b">
        <v>0</v>
      </c>
      <c r="T1871" t="s">
        <v>124</v>
      </c>
    </row>
    <row r="1872">
      <c r="A1872" t="s">
        <v>3711</v>
      </c>
      <c r="B1872" t="s">
        <v>3706</v>
      </c>
      <c r="C1872" s="2">
        <v>2023</v>
      </c>
      <c r="D1872" s="10">
        <v>3</v>
      </c>
      <c r="E1872" s="10">
        <v>6</v>
      </c>
      <c r="F1872" t="s">
        <v>3712</v>
      </c>
      <c r="G1872">
        <v>189</v>
      </c>
      <c r="H1872" t="s">
        <v>69</v>
      </c>
      <c r="I1872" t="s">
        <v>150</v>
      </c>
      <c r="J1872" s="10" t="str">
        <f>VLOOKUP(I1872,Categories!A:B,2,FALSE)</f>
        <v xml:space="preserve">Food &amp; Coff</v>
      </c>
      <c r="K1872" t="s">
        <v>2317</v>
      </c>
      <c r="L1872" s="10" t="str">
        <f>VLOOKUP(K1872,Accounts!A:B,2,FALSE)</f>
        <v xml:space="preserve">Marriage account</v>
      </c>
      <c r="M1872" t="s">
        <v>124</v>
      </c>
      <c r="N1872" s="10"/>
      <c r="O1872" t="s">
        <v>125</v>
      </c>
      <c r="Q1872" t="s">
        <v>126</v>
      </c>
      <c r="R1872" t="s">
        <v>124</v>
      </c>
      <c r="S1872" t="b">
        <v>0</v>
      </c>
      <c r="T1872" t="s">
        <v>124</v>
      </c>
    </row>
    <row r="1873">
      <c r="A1873" t="s">
        <v>3713</v>
      </c>
      <c r="B1873" t="s">
        <v>3706</v>
      </c>
      <c r="C1873" s="2">
        <v>2023</v>
      </c>
      <c r="D1873" s="10">
        <v>3</v>
      </c>
      <c r="E1873" s="10">
        <v>6</v>
      </c>
      <c r="F1873" t="s">
        <v>686</v>
      </c>
      <c r="G1873">
        <v>5502.5299999999997</v>
      </c>
      <c r="H1873" t="s">
        <v>69</v>
      </c>
      <c r="I1873" t="s">
        <v>139</v>
      </c>
      <c r="J1873" s="10" t="str">
        <f>VLOOKUP(I1873,Categories!A:B,2,FALSE)</f>
        <v>Condo</v>
      </c>
      <c r="K1873" t="s">
        <v>178</v>
      </c>
      <c r="L1873" s="10" t="str">
        <f>VLOOKUP(K1873,Accounts!A:B,2,FALSE)</f>
        <v>SCB</v>
      </c>
      <c r="M1873" t="s">
        <v>124</v>
      </c>
      <c r="N1873" s="10"/>
      <c r="O1873" t="s">
        <v>125</v>
      </c>
      <c r="Q1873" t="s">
        <v>126</v>
      </c>
      <c r="R1873" t="s">
        <v>124</v>
      </c>
      <c r="S1873" t="b">
        <v>0</v>
      </c>
      <c r="T1873" t="s">
        <v>124</v>
      </c>
    </row>
    <row r="1874">
      <c r="A1874" t="s">
        <v>3714</v>
      </c>
      <c r="B1874" t="s">
        <v>3706</v>
      </c>
      <c r="C1874" s="2">
        <v>2023</v>
      </c>
      <c r="D1874" s="10">
        <v>3</v>
      </c>
      <c r="E1874" s="10">
        <v>6</v>
      </c>
      <c r="F1874" t="s">
        <v>649</v>
      </c>
      <c r="G1874">
        <v>10000</v>
      </c>
      <c r="H1874" t="s">
        <v>206</v>
      </c>
      <c r="I1874" t="s">
        <v>207</v>
      </c>
      <c r="J1874" s="10" t="str">
        <f>VLOOKUP(I1874,Categories!A:B,2,FALSE)</f>
        <v>Salary</v>
      </c>
      <c r="K1874" t="s">
        <v>2317</v>
      </c>
      <c r="L1874" s="10" t="str">
        <f>VLOOKUP(K1874,Accounts!A:B,2,FALSE)</f>
        <v xml:space="preserve">Marriage account</v>
      </c>
      <c r="M1874" t="s">
        <v>124</v>
      </c>
      <c r="N1874" s="10"/>
      <c r="O1874" t="s">
        <v>125</v>
      </c>
      <c r="Q1874" t="s">
        <v>126</v>
      </c>
      <c r="R1874" t="s">
        <v>124</v>
      </c>
      <c r="S1874" t="b">
        <v>0</v>
      </c>
      <c r="T1874" t="s">
        <v>124</v>
      </c>
    </row>
    <row r="1875">
      <c r="A1875" t="s">
        <v>3715</v>
      </c>
      <c r="B1875" t="s">
        <v>3706</v>
      </c>
      <c r="C1875" s="2">
        <v>2023</v>
      </c>
      <c r="D1875" s="10">
        <v>3</v>
      </c>
      <c r="E1875" s="10">
        <v>6</v>
      </c>
      <c r="F1875" t="s">
        <v>3423</v>
      </c>
      <c r="G1875">
        <v>60</v>
      </c>
      <c r="H1875" t="s">
        <v>69</v>
      </c>
      <c r="I1875" t="s">
        <v>150</v>
      </c>
      <c r="J1875" s="10" t="str">
        <f>VLOOKUP(I1875,Categories!A:B,2,FALSE)</f>
        <v xml:space="preserve">Food &amp; Coff</v>
      </c>
      <c r="K1875" t="s">
        <v>2317</v>
      </c>
      <c r="L1875" s="10" t="str">
        <f>VLOOKUP(K1875,Accounts!A:B,2,FALSE)</f>
        <v xml:space="preserve">Marriage account</v>
      </c>
      <c r="M1875" t="s">
        <v>124</v>
      </c>
      <c r="N1875" s="10"/>
      <c r="O1875" t="s">
        <v>125</v>
      </c>
      <c r="Q1875" t="s">
        <v>126</v>
      </c>
      <c r="R1875" t="s">
        <v>124</v>
      </c>
      <c r="S1875" t="b">
        <v>0</v>
      </c>
      <c r="T1875" t="s">
        <v>124</v>
      </c>
    </row>
    <row r="1876">
      <c r="A1876" t="s">
        <v>3716</v>
      </c>
      <c r="B1876" t="s">
        <v>3706</v>
      </c>
      <c r="C1876" s="2">
        <v>2023</v>
      </c>
      <c r="D1876" s="10">
        <v>3</v>
      </c>
      <c r="E1876" s="10">
        <v>6</v>
      </c>
      <c r="F1876" t="s">
        <v>291</v>
      </c>
      <c r="G1876">
        <v>10000</v>
      </c>
      <c r="H1876" t="s">
        <v>69</v>
      </c>
      <c r="I1876" t="s">
        <v>144</v>
      </c>
      <c r="J1876" s="10" t="str">
        <f>VLOOKUP(I1876,Categories!A:B,2,FALSE)</f>
        <v xml:space="preserve">Family paid</v>
      </c>
      <c r="K1876" t="s">
        <v>213</v>
      </c>
      <c r="L1876" s="10" t="str">
        <f>VLOOKUP(K1876,Accounts!A:B,2,FALSE)</f>
        <v xml:space="preserve">Krungthai Next</v>
      </c>
      <c r="M1876" t="s">
        <v>124</v>
      </c>
      <c r="N1876" s="10"/>
      <c r="O1876" t="s">
        <v>125</v>
      </c>
      <c r="Q1876" t="s">
        <v>126</v>
      </c>
      <c r="R1876" t="s">
        <v>124</v>
      </c>
      <c r="S1876" t="b">
        <v>0</v>
      </c>
      <c r="T1876" t="s">
        <v>124</v>
      </c>
    </row>
    <row r="1877">
      <c r="A1877" t="s">
        <v>3717</v>
      </c>
      <c r="B1877" t="s">
        <v>3718</v>
      </c>
      <c r="C1877" s="2">
        <v>2023</v>
      </c>
      <c r="D1877" s="10">
        <v>3</v>
      </c>
      <c r="E1877" s="10">
        <v>5</v>
      </c>
      <c r="F1877" t="s">
        <v>1703</v>
      </c>
      <c r="G1877">
        <v>2352</v>
      </c>
      <c r="H1877" t="s">
        <v>69</v>
      </c>
      <c r="I1877" t="s">
        <v>134</v>
      </c>
      <c r="J1877" s="10" t="str">
        <f>VLOOKUP(I1877,Categories!A:B,2,FALSE)</f>
        <v>Hong</v>
      </c>
      <c r="K1877" t="s">
        <v>178</v>
      </c>
      <c r="L1877" s="10" t="str">
        <f>VLOOKUP(K1877,Accounts!A:B,2,FALSE)</f>
        <v>SCB</v>
      </c>
      <c r="M1877" t="s">
        <v>124</v>
      </c>
      <c r="N1877" s="10"/>
      <c r="O1877" t="s">
        <v>3719</v>
      </c>
      <c r="Q1877" t="s">
        <v>126</v>
      </c>
      <c r="R1877" t="s">
        <v>124</v>
      </c>
      <c r="S1877" t="b">
        <v>0</v>
      </c>
      <c r="T1877" t="s">
        <v>124</v>
      </c>
    </row>
    <row r="1878">
      <c r="A1878" t="s">
        <v>3720</v>
      </c>
      <c r="B1878" t="s">
        <v>3718</v>
      </c>
      <c r="C1878" s="2">
        <v>2023</v>
      </c>
      <c r="D1878" s="10">
        <v>3</v>
      </c>
      <c r="E1878" s="10">
        <v>5</v>
      </c>
      <c r="F1878" t="s">
        <v>3674</v>
      </c>
      <c r="G1878">
        <v>1176</v>
      </c>
      <c r="H1878" t="s">
        <v>128</v>
      </c>
      <c r="I1878" t="s">
        <v>136</v>
      </c>
      <c r="J1878" s="10" t="str">
        <f>VLOOKUP(I1878,Categories!A:B,2,FALSE)</f>
        <v>อื่นๆ</v>
      </c>
      <c r="K1878" t="s">
        <v>178</v>
      </c>
      <c r="L1878" s="10" t="str">
        <f>VLOOKUP(K1878,Accounts!A:B,2,FALSE)</f>
        <v>SCB</v>
      </c>
      <c r="M1878" t="s">
        <v>425</v>
      </c>
      <c r="N1878" s="10" t="str">
        <f>VLOOKUP(M1878,Accounts!A:B,2,FALSE)</f>
        <v>Cash</v>
      </c>
      <c r="O1878" t="s">
        <v>125</v>
      </c>
      <c r="Q1878" t="s">
        <v>126</v>
      </c>
      <c r="R1878" t="s">
        <v>124</v>
      </c>
      <c r="S1878" t="b">
        <v>0</v>
      </c>
      <c r="T1878" t="s">
        <v>124</v>
      </c>
    </row>
    <row r="1879">
      <c r="A1879" t="s">
        <v>3721</v>
      </c>
      <c r="B1879" t="s">
        <v>3718</v>
      </c>
      <c r="C1879" s="2">
        <v>2023</v>
      </c>
      <c r="D1879" s="10">
        <v>3</v>
      </c>
      <c r="E1879" s="10">
        <v>5</v>
      </c>
      <c r="F1879" t="s">
        <v>2811</v>
      </c>
      <c r="G1879">
        <v>2352</v>
      </c>
      <c r="H1879" t="s">
        <v>128</v>
      </c>
      <c r="I1879" t="s">
        <v>136</v>
      </c>
      <c r="J1879" s="10" t="str">
        <f>VLOOKUP(I1879,Categories!A:B,2,FALSE)</f>
        <v>อื่นๆ</v>
      </c>
      <c r="K1879" t="s">
        <v>178</v>
      </c>
      <c r="L1879" s="10" t="str">
        <f>VLOOKUP(K1879,Accounts!A:B,2,FALSE)</f>
        <v>SCB</v>
      </c>
      <c r="M1879" t="s">
        <v>131</v>
      </c>
      <c r="N1879" s="10" t="str">
        <f>VLOOKUP(M1879,Accounts!A:B,2,FALSE)</f>
        <v xml:space="preserve">Advance Paid</v>
      </c>
      <c r="O1879" t="s">
        <v>3722</v>
      </c>
      <c r="Q1879" t="s">
        <v>126</v>
      </c>
      <c r="R1879" t="s">
        <v>124</v>
      </c>
      <c r="S1879" t="b">
        <v>0</v>
      </c>
      <c r="T1879" t="s">
        <v>124</v>
      </c>
    </row>
    <row r="1880">
      <c r="A1880" t="s">
        <v>3723</v>
      </c>
      <c r="B1880" t="s">
        <v>3724</v>
      </c>
      <c r="C1880" s="2">
        <v>2023</v>
      </c>
      <c r="D1880" s="10">
        <v>3</v>
      </c>
      <c r="E1880" s="10">
        <v>4</v>
      </c>
      <c r="F1880" t="s">
        <v>3725</v>
      </c>
      <c r="G1880">
        <v>87</v>
      </c>
      <c r="H1880" t="s">
        <v>69</v>
      </c>
      <c r="I1880" t="s">
        <v>150</v>
      </c>
      <c r="J1880" s="10" t="str">
        <f>VLOOKUP(I1880,Categories!A:B,2,FALSE)</f>
        <v xml:space="preserve">Food &amp; Coff</v>
      </c>
      <c r="K1880" t="s">
        <v>178</v>
      </c>
      <c r="L1880" s="10" t="str">
        <f>VLOOKUP(K1880,Accounts!A:B,2,FALSE)</f>
        <v>SCB</v>
      </c>
      <c r="M1880" t="s">
        <v>124</v>
      </c>
      <c r="N1880" s="10"/>
      <c r="O1880" t="s">
        <v>125</v>
      </c>
      <c r="Q1880" t="s">
        <v>126</v>
      </c>
      <c r="R1880" t="s">
        <v>124</v>
      </c>
      <c r="S1880" t="b">
        <v>0</v>
      </c>
      <c r="T1880" t="s">
        <v>124</v>
      </c>
    </row>
    <row r="1881">
      <c r="A1881" t="s">
        <v>3726</v>
      </c>
      <c r="B1881" t="s">
        <v>3724</v>
      </c>
      <c r="C1881" s="2">
        <v>2023</v>
      </c>
      <c r="D1881" s="10">
        <v>3</v>
      </c>
      <c r="E1881" s="10">
        <v>4</v>
      </c>
      <c r="F1881" t="s">
        <v>2014</v>
      </c>
      <c r="G1881">
        <v>508.25</v>
      </c>
      <c r="H1881" t="s">
        <v>128</v>
      </c>
      <c r="I1881" t="s">
        <v>136</v>
      </c>
      <c r="J1881" s="10" t="str">
        <f>VLOOKUP(I1881,Categories!A:B,2,FALSE)</f>
        <v>อื่นๆ</v>
      </c>
      <c r="K1881" t="s">
        <v>131</v>
      </c>
      <c r="L1881" s="10" t="str">
        <f>VLOOKUP(K1881,Accounts!A:B,2,FALSE)</f>
        <v xml:space="preserve">Advance Paid</v>
      </c>
      <c r="M1881" t="s">
        <v>178</v>
      </c>
      <c r="N1881" s="10" t="str">
        <f>VLOOKUP(M1881,Accounts!A:B,2,FALSE)</f>
        <v>SCB</v>
      </c>
      <c r="O1881" t="s">
        <v>3727</v>
      </c>
      <c r="Q1881" t="s">
        <v>126</v>
      </c>
      <c r="R1881" t="s">
        <v>124</v>
      </c>
      <c r="S1881" t="b">
        <v>0</v>
      </c>
      <c r="T1881" t="s">
        <v>124</v>
      </c>
    </row>
    <row r="1882">
      <c r="A1882" t="s">
        <v>3728</v>
      </c>
      <c r="B1882" t="s">
        <v>3729</v>
      </c>
      <c r="C1882" s="2">
        <v>2023</v>
      </c>
      <c r="D1882" s="10">
        <v>3</v>
      </c>
      <c r="E1882" s="10">
        <v>3</v>
      </c>
      <c r="F1882" t="s">
        <v>928</v>
      </c>
      <c r="G1882">
        <v>1600</v>
      </c>
      <c r="H1882" t="s">
        <v>69</v>
      </c>
      <c r="I1882" t="s">
        <v>150</v>
      </c>
      <c r="J1882" s="10" t="str">
        <f>VLOOKUP(I1882,Categories!A:B,2,FALSE)</f>
        <v xml:space="preserve">Food &amp; Coff</v>
      </c>
      <c r="K1882" t="s">
        <v>2317</v>
      </c>
      <c r="L1882" s="10" t="str">
        <f>VLOOKUP(K1882,Accounts!A:B,2,FALSE)</f>
        <v xml:space="preserve">Marriage account</v>
      </c>
      <c r="M1882" t="s">
        <v>124</v>
      </c>
      <c r="N1882" s="10"/>
      <c r="O1882" t="s">
        <v>125</v>
      </c>
      <c r="Q1882" t="s">
        <v>126</v>
      </c>
      <c r="R1882" t="s">
        <v>124</v>
      </c>
      <c r="S1882" t="b">
        <v>0</v>
      </c>
      <c r="T1882" t="s">
        <v>124</v>
      </c>
    </row>
    <row r="1883">
      <c r="A1883" t="s">
        <v>3730</v>
      </c>
      <c r="B1883" t="s">
        <v>3731</v>
      </c>
      <c r="C1883" s="2">
        <v>2023</v>
      </c>
      <c r="D1883" s="10">
        <v>3</v>
      </c>
      <c r="E1883" s="10">
        <v>2</v>
      </c>
      <c r="F1883" t="s">
        <v>3732</v>
      </c>
      <c r="G1883">
        <v>432</v>
      </c>
      <c r="H1883" t="s">
        <v>69</v>
      </c>
      <c r="I1883" t="s">
        <v>150</v>
      </c>
      <c r="J1883" s="10" t="str">
        <f>VLOOKUP(I1883,Categories!A:B,2,FALSE)</f>
        <v xml:space="preserve">Food &amp; Coff</v>
      </c>
      <c r="K1883" t="s">
        <v>2317</v>
      </c>
      <c r="L1883" s="10" t="str">
        <f>VLOOKUP(K1883,Accounts!A:B,2,FALSE)</f>
        <v xml:space="preserve">Marriage account</v>
      </c>
      <c r="M1883" t="s">
        <v>124</v>
      </c>
      <c r="N1883" s="10"/>
      <c r="O1883" t="s">
        <v>125</v>
      </c>
      <c r="Q1883" t="s">
        <v>126</v>
      </c>
      <c r="R1883" t="s">
        <v>124</v>
      </c>
      <c r="S1883" t="b">
        <v>0</v>
      </c>
      <c r="T1883" t="s">
        <v>124</v>
      </c>
    </row>
    <row r="1884">
      <c r="A1884" t="s">
        <v>3733</v>
      </c>
      <c r="B1884" t="s">
        <v>3731</v>
      </c>
      <c r="C1884" s="2">
        <v>2023</v>
      </c>
      <c r="D1884" s="10">
        <v>3</v>
      </c>
      <c r="E1884" s="10">
        <v>2</v>
      </c>
      <c r="F1884" t="s">
        <v>3071</v>
      </c>
      <c r="G1884">
        <v>900</v>
      </c>
      <c r="H1884" t="s">
        <v>69</v>
      </c>
      <c r="I1884" t="s">
        <v>1882</v>
      </c>
      <c r="J1884" s="10" t="str">
        <f>VLOOKUP(I1884,Categories!A:B,2,FALSE)</f>
        <v>utility</v>
      </c>
      <c r="K1884" t="s">
        <v>2317</v>
      </c>
      <c r="L1884" s="10" t="str">
        <f>VLOOKUP(K1884,Accounts!A:B,2,FALSE)</f>
        <v xml:space="preserve">Marriage account</v>
      </c>
      <c r="M1884" t="s">
        <v>124</v>
      </c>
      <c r="N1884" s="10"/>
      <c r="O1884" t="s">
        <v>3734</v>
      </c>
      <c r="Q1884" t="s">
        <v>126</v>
      </c>
      <c r="R1884" t="s">
        <v>124</v>
      </c>
      <c r="S1884" t="b">
        <v>0</v>
      </c>
      <c r="T1884" t="s">
        <v>124</v>
      </c>
    </row>
    <row r="1885">
      <c r="A1885" t="s">
        <v>3735</v>
      </c>
      <c r="B1885" t="s">
        <v>3736</v>
      </c>
      <c r="C1885" s="2">
        <v>2023</v>
      </c>
      <c r="D1885" s="10">
        <v>3</v>
      </c>
      <c r="E1885" s="10">
        <v>1</v>
      </c>
      <c r="F1885" t="s">
        <v>3737</v>
      </c>
      <c r="G1885">
        <v>100</v>
      </c>
      <c r="H1885" t="s">
        <v>69</v>
      </c>
      <c r="I1885" t="s">
        <v>150</v>
      </c>
      <c r="J1885" s="10" t="str">
        <f>VLOOKUP(I1885,Categories!A:B,2,FALSE)</f>
        <v xml:space="preserve">Food &amp; Coff</v>
      </c>
      <c r="K1885" t="s">
        <v>2317</v>
      </c>
      <c r="L1885" s="10" t="str">
        <f>VLOOKUP(K1885,Accounts!A:B,2,FALSE)</f>
        <v xml:space="preserve">Marriage account</v>
      </c>
      <c r="M1885" t="s">
        <v>124</v>
      </c>
      <c r="N1885" s="10"/>
      <c r="O1885" t="s">
        <v>125</v>
      </c>
      <c r="Q1885" t="s">
        <v>126</v>
      </c>
      <c r="R1885" t="s">
        <v>124</v>
      </c>
      <c r="S1885" t="b">
        <v>0</v>
      </c>
      <c r="T1885" t="s">
        <v>124</v>
      </c>
    </row>
    <row r="1886">
      <c r="A1886" t="s">
        <v>3738</v>
      </c>
      <c r="B1886" t="s">
        <v>3736</v>
      </c>
      <c r="C1886" s="2">
        <v>2023</v>
      </c>
      <c r="D1886" s="10">
        <v>3</v>
      </c>
      <c r="E1886" s="10">
        <v>1</v>
      </c>
      <c r="F1886" t="s">
        <v>1790</v>
      </c>
      <c r="G1886">
        <v>5000</v>
      </c>
      <c r="H1886" t="s">
        <v>128</v>
      </c>
      <c r="I1886" t="s">
        <v>136</v>
      </c>
      <c r="J1886" s="10" t="str">
        <f>VLOOKUP(I1886,Categories!A:B,2,FALSE)</f>
        <v>อื่นๆ</v>
      </c>
      <c r="K1886" t="s">
        <v>3248</v>
      </c>
      <c r="L1886" s="10" t="str">
        <f>VLOOKUP(K1886,Accounts!A:B,2,FALSE)</f>
        <v>Loan</v>
      </c>
      <c r="M1886" t="s">
        <v>178</v>
      </c>
      <c r="N1886" s="10" t="str">
        <f>VLOOKUP(M1886,Accounts!A:B,2,FALSE)</f>
        <v>SCB</v>
      </c>
      <c r="O1886" t="s">
        <v>3249</v>
      </c>
      <c r="Q1886" t="s">
        <v>126</v>
      </c>
      <c r="R1886" t="s">
        <v>124</v>
      </c>
      <c r="S1886" t="b">
        <v>0</v>
      </c>
      <c r="T1886" t="s">
        <v>124</v>
      </c>
    </row>
    <row r="1887">
      <c r="A1887" t="s">
        <v>3739</v>
      </c>
      <c r="B1887" t="s">
        <v>3736</v>
      </c>
      <c r="C1887" s="2">
        <v>2023</v>
      </c>
      <c r="D1887" s="10">
        <v>3</v>
      </c>
      <c r="E1887" s="10">
        <v>1</v>
      </c>
      <c r="F1887" t="s">
        <v>3397</v>
      </c>
      <c r="G1887">
        <v>200</v>
      </c>
      <c r="H1887" t="s">
        <v>128</v>
      </c>
      <c r="I1887" t="s">
        <v>136</v>
      </c>
      <c r="J1887" s="10" t="str">
        <f>VLOOKUP(I1887,Categories!A:B,2,FALSE)</f>
        <v>อื่นๆ</v>
      </c>
      <c r="K1887" t="s">
        <v>130</v>
      </c>
      <c r="L1887" s="10" t="str">
        <f>VLOOKUP(K1887,Accounts!A:B,2,FALSE)</f>
        <v xml:space="preserve">KTC JCB</v>
      </c>
      <c r="M1887" t="s">
        <v>131</v>
      </c>
      <c r="N1887" s="10" t="str">
        <f>VLOOKUP(M1887,Accounts!A:B,2,FALSE)</f>
        <v xml:space="preserve">Advance Paid</v>
      </c>
      <c r="O1887" t="s">
        <v>125</v>
      </c>
      <c r="Q1887" t="s">
        <v>126</v>
      </c>
      <c r="R1887" t="s">
        <v>124</v>
      </c>
      <c r="S1887" t="b">
        <v>0</v>
      </c>
      <c r="T1887" t="s">
        <v>124</v>
      </c>
    </row>
    <row r="1888">
      <c r="A1888" t="s">
        <v>3740</v>
      </c>
      <c r="B1888" t="s">
        <v>3736</v>
      </c>
      <c r="C1888" s="2">
        <v>2023</v>
      </c>
      <c r="D1888" s="10">
        <v>3</v>
      </c>
      <c r="E1888" s="10">
        <v>1</v>
      </c>
      <c r="F1888" t="s">
        <v>675</v>
      </c>
      <c r="G1888">
        <v>560</v>
      </c>
      <c r="H1888" t="s">
        <v>69</v>
      </c>
      <c r="I1888" t="s">
        <v>150</v>
      </c>
      <c r="J1888" s="10" t="str">
        <f>VLOOKUP(I1888,Categories!A:B,2,FALSE)</f>
        <v xml:space="preserve">Food &amp; Coff</v>
      </c>
      <c r="K1888" t="s">
        <v>2317</v>
      </c>
      <c r="L1888" s="10" t="str">
        <f>VLOOKUP(K1888,Accounts!A:B,2,FALSE)</f>
        <v xml:space="preserve">Marriage account</v>
      </c>
      <c r="M1888" t="s">
        <v>124</v>
      </c>
      <c r="N1888" s="10"/>
      <c r="O1888" t="s">
        <v>3741</v>
      </c>
      <c r="Q1888" t="s">
        <v>126</v>
      </c>
      <c r="R1888" t="s">
        <v>124</v>
      </c>
      <c r="S1888" t="b">
        <v>0</v>
      </c>
      <c r="T1888" t="s">
        <v>124</v>
      </c>
    </row>
    <row r="1889">
      <c r="A1889" t="s">
        <v>3742</v>
      </c>
      <c r="B1889" t="s">
        <v>3736</v>
      </c>
      <c r="C1889" s="2">
        <v>2023</v>
      </c>
      <c r="D1889" s="10">
        <v>3</v>
      </c>
      <c r="E1889" s="10">
        <v>1</v>
      </c>
      <c r="F1889" t="s">
        <v>3271</v>
      </c>
      <c r="G1889">
        <v>10000</v>
      </c>
      <c r="H1889" t="s">
        <v>128</v>
      </c>
      <c r="I1889" t="s">
        <v>136</v>
      </c>
      <c r="J1889" s="10" t="str">
        <f>VLOOKUP(I1889,Categories!A:B,2,FALSE)</f>
        <v>อื่นๆ</v>
      </c>
      <c r="K1889" t="s">
        <v>178</v>
      </c>
      <c r="L1889" s="10" t="str">
        <f>VLOOKUP(K1889,Accounts!A:B,2,FALSE)</f>
        <v>SCB</v>
      </c>
      <c r="M1889" t="s">
        <v>2317</v>
      </c>
      <c r="N1889" s="10" t="str">
        <f>VLOOKUP(M1889,Accounts!A:B,2,FALSE)</f>
        <v xml:space="preserve">Marriage account</v>
      </c>
      <c r="O1889" t="s">
        <v>125</v>
      </c>
      <c r="Q1889" t="s">
        <v>126</v>
      </c>
      <c r="R1889" t="s">
        <v>124</v>
      </c>
      <c r="S1889" t="b">
        <v>0</v>
      </c>
      <c r="T1889" t="s">
        <v>124</v>
      </c>
    </row>
    <row r="1890">
      <c r="A1890" t="s">
        <v>3743</v>
      </c>
      <c r="B1890" t="s">
        <v>3744</v>
      </c>
      <c r="C1890" s="2">
        <v>2023</v>
      </c>
      <c r="D1890" s="10">
        <v>2</v>
      </c>
      <c r="E1890" s="10">
        <v>28</v>
      </c>
      <c r="F1890" t="s">
        <v>234</v>
      </c>
      <c r="G1890">
        <v>3190</v>
      </c>
      <c r="H1890" t="s">
        <v>69</v>
      </c>
      <c r="I1890" t="s">
        <v>141</v>
      </c>
      <c r="J1890" s="10" t="str">
        <f>VLOOKUP(I1890,Categories!A:B,2,FALSE)</f>
        <v>Other</v>
      </c>
      <c r="K1890" t="s">
        <v>2862</v>
      </c>
      <c r="L1890" s="10" t="str">
        <f>VLOOKUP(K1890,Accounts!A:B,2,FALSE)</f>
        <v xml:space="preserve">Kbank onesiam</v>
      </c>
      <c r="M1890" t="s">
        <v>124</v>
      </c>
      <c r="N1890" s="10"/>
      <c r="O1890" t="s">
        <v>3745</v>
      </c>
      <c r="Q1890" t="s">
        <v>126</v>
      </c>
      <c r="R1890" t="s">
        <v>124</v>
      </c>
      <c r="S1890" t="b">
        <v>0</v>
      </c>
      <c r="T1890" t="s">
        <v>124</v>
      </c>
    </row>
    <row r="1891">
      <c r="A1891" t="s">
        <v>3746</v>
      </c>
      <c r="B1891" t="s">
        <v>3747</v>
      </c>
      <c r="C1891" s="2">
        <v>2023</v>
      </c>
      <c r="D1891" s="10">
        <v>2</v>
      </c>
      <c r="E1891" s="10">
        <v>27</v>
      </c>
      <c r="F1891" t="s">
        <v>3748</v>
      </c>
      <c r="G1891">
        <v>5000</v>
      </c>
      <c r="H1891" t="s">
        <v>128</v>
      </c>
      <c r="I1891" t="s">
        <v>136</v>
      </c>
      <c r="J1891" s="10" t="str">
        <f>VLOOKUP(I1891,Categories!A:B,2,FALSE)</f>
        <v>อื่นๆ</v>
      </c>
      <c r="K1891" t="s">
        <v>123</v>
      </c>
      <c r="L1891" s="10" t="str">
        <f>VLOOKUP(K1891,Accounts!A:B,2,FALSE)</f>
        <v>KBank</v>
      </c>
      <c r="M1891" t="s">
        <v>131</v>
      </c>
      <c r="N1891" s="10" t="str">
        <f>VLOOKUP(M1891,Accounts!A:B,2,FALSE)</f>
        <v xml:space="preserve">Advance Paid</v>
      </c>
      <c r="O1891" t="s">
        <v>3749</v>
      </c>
      <c r="Q1891" t="s">
        <v>126</v>
      </c>
      <c r="R1891" t="s">
        <v>124</v>
      </c>
      <c r="S1891" t="b">
        <v>0</v>
      </c>
      <c r="T1891" t="s">
        <v>124</v>
      </c>
    </row>
    <row r="1892">
      <c r="A1892" t="s">
        <v>3750</v>
      </c>
      <c r="B1892" t="s">
        <v>3751</v>
      </c>
      <c r="C1892" s="2">
        <v>2023</v>
      </c>
      <c r="D1892" s="10">
        <v>2</v>
      </c>
      <c r="E1892" s="10">
        <v>26</v>
      </c>
      <c r="F1892" t="s">
        <v>219</v>
      </c>
      <c r="G1892">
        <v>1147</v>
      </c>
      <c r="H1892" t="s">
        <v>69</v>
      </c>
      <c r="I1892" t="s">
        <v>150</v>
      </c>
      <c r="J1892" s="10" t="str">
        <f>VLOOKUP(I1892,Categories!A:B,2,FALSE)</f>
        <v xml:space="preserve">Food &amp; Coff</v>
      </c>
      <c r="K1892" t="s">
        <v>2317</v>
      </c>
      <c r="L1892" s="10" t="str">
        <f>VLOOKUP(K1892,Accounts!A:B,2,FALSE)</f>
        <v xml:space="preserve">Marriage account</v>
      </c>
      <c r="M1892" t="s">
        <v>124</v>
      </c>
      <c r="N1892" s="10"/>
      <c r="O1892" t="s">
        <v>125</v>
      </c>
      <c r="Q1892" t="s">
        <v>126</v>
      </c>
      <c r="R1892" t="s">
        <v>124</v>
      </c>
      <c r="S1892" t="b">
        <v>0</v>
      </c>
      <c r="T1892" t="s">
        <v>124</v>
      </c>
    </row>
    <row r="1893">
      <c r="A1893" t="s">
        <v>3752</v>
      </c>
      <c r="B1893" t="s">
        <v>3751</v>
      </c>
      <c r="C1893" s="2">
        <v>2023</v>
      </c>
      <c r="D1893" s="10">
        <v>2</v>
      </c>
      <c r="E1893" s="10">
        <v>26</v>
      </c>
      <c r="F1893" t="s">
        <v>2150</v>
      </c>
      <c r="G1893">
        <v>500</v>
      </c>
      <c r="H1893" t="s">
        <v>69</v>
      </c>
      <c r="I1893" t="s">
        <v>1882</v>
      </c>
      <c r="J1893" s="10" t="str">
        <f>VLOOKUP(I1893,Categories!A:B,2,FALSE)</f>
        <v>utility</v>
      </c>
      <c r="K1893" t="s">
        <v>2317</v>
      </c>
      <c r="L1893" s="10" t="str">
        <f>VLOOKUP(K1893,Accounts!A:B,2,FALSE)</f>
        <v xml:space="preserve">Marriage account</v>
      </c>
      <c r="M1893" t="s">
        <v>124</v>
      </c>
      <c r="N1893" s="10"/>
      <c r="O1893" t="s">
        <v>125</v>
      </c>
      <c r="Q1893" t="s">
        <v>126</v>
      </c>
      <c r="R1893" t="s">
        <v>124</v>
      </c>
      <c r="S1893" t="b">
        <v>0</v>
      </c>
      <c r="T1893" t="s">
        <v>124</v>
      </c>
    </row>
    <row r="1894">
      <c r="A1894" t="s">
        <v>3753</v>
      </c>
      <c r="B1894" t="s">
        <v>3751</v>
      </c>
      <c r="C1894" s="2">
        <v>2023</v>
      </c>
      <c r="D1894" s="10">
        <v>2</v>
      </c>
      <c r="E1894" s="10">
        <v>26</v>
      </c>
      <c r="F1894" t="s">
        <v>2134</v>
      </c>
      <c r="G1894">
        <v>354</v>
      </c>
      <c r="H1894" t="s">
        <v>69</v>
      </c>
      <c r="I1894" t="s">
        <v>1903</v>
      </c>
      <c r="J1894" s="10" t="str">
        <f>VLOOKUP(I1894,Categories!A:B,2,FALSE)</f>
        <v xml:space="preserve">Monthly subscription</v>
      </c>
      <c r="K1894" t="s">
        <v>178</v>
      </c>
      <c r="L1894" s="10" t="str">
        <f>VLOOKUP(K1894,Accounts!A:B,2,FALSE)</f>
        <v>SCB</v>
      </c>
      <c r="M1894" t="s">
        <v>124</v>
      </c>
      <c r="N1894" s="10"/>
      <c r="O1894" t="s">
        <v>125</v>
      </c>
      <c r="Q1894" t="s">
        <v>126</v>
      </c>
      <c r="R1894" t="s">
        <v>124</v>
      </c>
      <c r="S1894" t="b">
        <v>0</v>
      </c>
      <c r="T1894" t="s">
        <v>124</v>
      </c>
    </row>
    <row r="1895">
      <c r="A1895" t="s">
        <v>3754</v>
      </c>
      <c r="B1895" t="s">
        <v>3751</v>
      </c>
      <c r="C1895" s="2">
        <v>2023</v>
      </c>
      <c r="D1895" s="10">
        <v>2</v>
      </c>
      <c r="E1895" s="10">
        <v>26</v>
      </c>
      <c r="F1895" t="s">
        <v>3623</v>
      </c>
      <c r="G1895">
        <v>20000</v>
      </c>
      <c r="H1895" t="s">
        <v>128</v>
      </c>
      <c r="I1895" t="s">
        <v>136</v>
      </c>
      <c r="J1895" s="10" t="str">
        <f>VLOOKUP(I1895,Categories!A:B,2,FALSE)</f>
        <v>อื่นๆ</v>
      </c>
      <c r="K1895" t="s">
        <v>178</v>
      </c>
      <c r="L1895" s="10" t="str">
        <f>VLOOKUP(K1895,Accounts!A:B,2,FALSE)</f>
        <v>SCB</v>
      </c>
      <c r="M1895" t="s">
        <v>123</v>
      </c>
      <c r="N1895" s="10" t="str">
        <f>VLOOKUP(M1895,Accounts!A:B,2,FALSE)</f>
        <v>KBank</v>
      </c>
      <c r="O1895" t="s">
        <v>125</v>
      </c>
      <c r="Q1895" t="s">
        <v>126</v>
      </c>
      <c r="R1895" t="s">
        <v>124</v>
      </c>
      <c r="S1895" t="b">
        <v>0</v>
      </c>
      <c r="T1895" t="s">
        <v>124</v>
      </c>
    </row>
    <row r="1896">
      <c r="A1896" t="s">
        <v>3755</v>
      </c>
      <c r="B1896" t="s">
        <v>3751</v>
      </c>
      <c r="C1896" s="2">
        <v>2023</v>
      </c>
      <c r="D1896" s="10">
        <v>2</v>
      </c>
      <c r="E1896" s="10">
        <v>26</v>
      </c>
      <c r="F1896" t="s">
        <v>3620</v>
      </c>
      <c r="G1896">
        <v>3190</v>
      </c>
      <c r="H1896" t="s">
        <v>128</v>
      </c>
      <c r="I1896" t="s">
        <v>136</v>
      </c>
      <c r="J1896" s="10" t="str">
        <f>VLOOKUP(I1896,Categories!A:B,2,FALSE)</f>
        <v>อื่นๆ</v>
      </c>
      <c r="K1896" t="s">
        <v>123</v>
      </c>
      <c r="L1896" s="10" t="str">
        <f>VLOOKUP(K1896,Accounts!A:B,2,FALSE)</f>
        <v>KBank</v>
      </c>
      <c r="M1896" t="s">
        <v>2862</v>
      </c>
      <c r="N1896" s="10" t="str">
        <f>VLOOKUP(M1896,Accounts!A:B,2,FALSE)</f>
        <v xml:space="preserve">Kbank onesiam</v>
      </c>
      <c r="O1896" t="s">
        <v>125</v>
      </c>
      <c r="Q1896" t="s">
        <v>126</v>
      </c>
      <c r="R1896" t="s">
        <v>124</v>
      </c>
      <c r="S1896" t="b">
        <v>0</v>
      </c>
      <c r="T1896" t="s">
        <v>124</v>
      </c>
    </row>
    <row r="1897">
      <c r="A1897" t="s">
        <v>3756</v>
      </c>
      <c r="B1897" t="s">
        <v>3751</v>
      </c>
      <c r="C1897" s="2">
        <v>2023</v>
      </c>
      <c r="D1897" s="10">
        <v>2</v>
      </c>
      <c r="E1897" s="10">
        <v>26</v>
      </c>
      <c r="F1897" t="s">
        <v>3757</v>
      </c>
      <c r="G1897">
        <v>24903.259999999998</v>
      </c>
      <c r="H1897" t="s">
        <v>128</v>
      </c>
      <c r="I1897" t="s">
        <v>136</v>
      </c>
      <c r="J1897" s="10" t="str">
        <f>VLOOKUP(I1897,Categories!A:B,2,FALSE)</f>
        <v>อื่นๆ</v>
      </c>
      <c r="K1897" t="s">
        <v>1308</v>
      </c>
      <c r="L1897" s="10" t="str">
        <f>VLOOKUP(K1897,Accounts!A:B,2,FALSE)</f>
        <v xml:space="preserve">UOB Privilages</v>
      </c>
      <c r="M1897" t="s">
        <v>131</v>
      </c>
      <c r="N1897" s="10" t="str">
        <f>VLOOKUP(M1897,Accounts!A:B,2,FALSE)</f>
        <v xml:space="preserve">Advance Paid</v>
      </c>
      <c r="O1897" t="s">
        <v>3758</v>
      </c>
      <c r="Q1897" t="s">
        <v>126</v>
      </c>
      <c r="R1897" t="s">
        <v>124</v>
      </c>
      <c r="S1897" t="b">
        <v>0</v>
      </c>
      <c r="T1897" t="s">
        <v>124</v>
      </c>
    </row>
    <row r="1898">
      <c r="A1898" t="s">
        <v>3759</v>
      </c>
      <c r="B1898" t="s">
        <v>3751</v>
      </c>
      <c r="C1898" s="2">
        <v>2023</v>
      </c>
      <c r="D1898" s="10">
        <v>2</v>
      </c>
      <c r="E1898" s="10">
        <v>26</v>
      </c>
      <c r="F1898" t="s">
        <v>3760</v>
      </c>
      <c r="G1898">
        <v>2630.5999999999999</v>
      </c>
      <c r="H1898" t="s">
        <v>128</v>
      </c>
      <c r="I1898" t="s">
        <v>136</v>
      </c>
      <c r="J1898" s="10" t="str">
        <f>VLOOKUP(I1898,Categories!A:B,2,FALSE)</f>
        <v>อื่นๆ</v>
      </c>
      <c r="K1898" t="s">
        <v>1308</v>
      </c>
      <c r="L1898" s="10" t="str">
        <f>VLOOKUP(K1898,Accounts!A:B,2,FALSE)</f>
        <v xml:space="preserve">UOB Privilages</v>
      </c>
      <c r="M1898" t="s">
        <v>131</v>
      </c>
      <c r="N1898" s="10" t="str">
        <f>VLOOKUP(M1898,Accounts!A:B,2,FALSE)</f>
        <v xml:space="preserve">Advance Paid</v>
      </c>
      <c r="O1898" t="s">
        <v>3761</v>
      </c>
      <c r="Q1898" t="s">
        <v>126</v>
      </c>
      <c r="R1898" t="s">
        <v>124</v>
      </c>
      <c r="S1898" t="b">
        <v>0</v>
      </c>
      <c r="T1898" t="s">
        <v>124</v>
      </c>
    </row>
    <row r="1899">
      <c r="A1899" t="s">
        <v>3762</v>
      </c>
      <c r="B1899" t="s">
        <v>3751</v>
      </c>
      <c r="C1899" s="2">
        <v>2023</v>
      </c>
      <c r="D1899" s="10">
        <v>2</v>
      </c>
      <c r="E1899" s="10">
        <v>26</v>
      </c>
      <c r="F1899" t="s">
        <v>3760</v>
      </c>
      <c r="G1899">
        <v>690</v>
      </c>
      <c r="H1899" t="s">
        <v>128</v>
      </c>
      <c r="I1899" t="s">
        <v>136</v>
      </c>
      <c r="J1899" s="10" t="str">
        <f>VLOOKUP(I1899,Categories!A:B,2,FALSE)</f>
        <v>อื่นๆ</v>
      </c>
      <c r="K1899" t="s">
        <v>1308</v>
      </c>
      <c r="L1899" s="10" t="str">
        <f>VLOOKUP(K1899,Accounts!A:B,2,FALSE)</f>
        <v xml:space="preserve">UOB Privilages</v>
      </c>
      <c r="M1899" t="s">
        <v>131</v>
      </c>
      <c r="N1899" s="10" t="str">
        <f>VLOOKUP(M1899,Accounts!A:B,2,FALSE)</f>
        <v xml:space="preserve">Advance Paid</v>
      </c>
      <c r="O1899" t="s">
        <v>3763</v>
      </c>
      <c r="Q1899" t="s">
        <v>126</v>
      </c>
      <c r="R1899" t="s">
        <v>124</v>
      </c>
      <c r="S1899" t="b">
        <v>0</v>
      </c>
      <c r="T1899" t="s">
        <v>124</v>
      </c>
    </row>
    <row r="1900">
      <c r="A1900" t="s">
        <v>3764</v>
      </c>
      <c r="B1900" t="s">
        <v>3751</v>
      </c>
      <c r="C1900" s="2">
        <v>2023</v>
      </c>
      <c r="D1900" s="10">
        <v>2</v>
      </c>
      <c r="E1900" s="10">
        <v>26</v>
      </c>
      <c r="F1900" t="s">
        <v>2972</v>
      </c>
      <c r="G1900">
        <v>17146</v>
      </c>
      <c r="H1900" t="s">
        <v>69</v>
      </c>
      <c r="I1900" t="s">
        <v>1508</v>
      </c>
      <c r="J1900" s="10" t="str">
        <f>VLOOKUP(I1900,Categories!A:B,2,FALSE)</f>
        <v>Other</v>
      </c>
      <c r="K1900" t="s">
        <v>766</v>
      </c>
      <c r="L1900" s="10" t="str">
        <f>VLOOKUP(K1900,Accounts!A:B,2,FALSE)</f>
        <v>KRUNGSRI</v>
      </c>
      <c r="M1900" t="s">
        <v>124</v>
      </c>
      <c r="N1900" s="10"/>
      <c r="O1900" t="s">
        <v>125</v>
      </c>
      <c r="Q1900" t="s">
        <v>126</v>
      </c>
      <c r="R1900" t="s">
        <v>124</v>
      </c>
      <c r="S1900" t="b">
        <v>0</v>
      </c>
      <c r="T1900" t="s">
        <v>124</v>
      </c>
    </row>
    <row r="1901">
      <c r="A1901" t="s">
        <v>3765</v>
      </c>
      <c r="B1901" t="s">
        <v>3751</v>
      </c>
      <c r="C1901" s="2">
        <v>2023</v>
      </c>
      <c r="D1901" s="10">
        <v>2</v>
      </c>
      <c r="E1901" s="10">
        <v>26</v>
      </c>
      <c r="F1901" t="s">
        <v>3153</v>
      </c>
      <c r="G1901">
        <v>3134</v>
      </c>
      <c r="H1901" t="s">
        <v>69</v>
      </c>
      <c r="I1901" t="s">
        <v>150</v>
      </c>
      <c r="J1901" s="10" t="str">
        <f>VLOOKUP(I1901,Categories!A:B,2,FALSE)</f>
        <v xml:space="preserve">Food &amp; Coff</v>
      </c>
      <c r="K1901" t="s">
        <v>2317</v>
      </c>
      <c r="L1901" s="10" t="str">
        <f>VLOOKUP(K1901,Accounts!A:B,2,FALSE)</f>
        <v xml:space="preserve">Marriage account</v>
      </c>
      <c r="M1901" t="s">
        <v>124</v>
      </c>
      <c r="N1901" s="10"/>
      <c r="O1901" t="s">
        <v>125</v>
      </c>
      <c r="Q1901" t="s">
        <v>126</v>
      </c>
      <c r="R1901" t="s">
        <v>124</v>
      </c>
      <c r="S1901" t="b">
        <v>0</v>
      </c>
      <c r="T1901" t="s">
        <v>124</v>
      </c>
    </row>
    <row r="1902">
      <c r="A1902" t="s">
        <v>3766</v>
      </c>
      <c r="B1902" t="s">
        <v>3751</v>
      </c>
      <c r="C1902" s="2">
        <v>2023</v>
      </c>
      <c r="D1902" s="10">
        <v>2</v>
      </c>
      <c r="E1902" s="10">
        <v>26</v>
      </c>
      <c r="F1902" t="s">
        <v>3153</v>
      </c>
      <c r="G1902">
        <v>607</v>
      </c>
      <c r="H1902" t="s">
        <v>69</v>
      </c>
      <c r="I1902" t="s">
        <v>150</v>
      </c>
      <c r="J1902" s="10" t="str">
        <f>VLOOKUP(I1902,Categories!A:B,2,FALSE)</f>
        <v xml:space="preserve">Food &amp; Coff</v>
      </c>
      <c r="K1902" t="s">
        <v>123</v>
      </c>
      <c r="L1902" s="10" t="str">
        <f>VLOOKUP(K1902,Accounts!A:B,2,FALSE)</f>
        <v>KBank</v>
      </c>
      <c r="M1902" t="s">
        <v>124</v>
      </c>
      <c r="N1902" s="10"/>
      <c r="O1902" t="s">
        <v>125</v>
      </c>
      <c r="Q1902" t="s">
        <v>126</v>
      </c>
      <c r="R1902" t="s">
        <v>124</v>
      </c>
      <c r="S1902" t="b">
        <v>0</v>
      </c>
      <c r="T1902" t="s">
        <v>124</v>
      </c>
    </row>
    <row r="1903">
      <c r="A1903" t="s">
        <v>3767</v>
      </c>
      <c r="B1903" t="s">
        <v>3751</v>
      </c>
      <c r="C1903" s="2">
        <v>2023</v>
      </c>
      <c r="D1903" s="10">
        <v>2</v>
      </c>
      <c r="E1903" s="10">
        <v>26</v>
      </c>
      <c r="F1903" t="s">
        <v>383</v>
      </c>
      <c r="G1903">
        <v>5000</v>
      </c>
      <c r="H1903" t="s">
        <v>128</v>
      </c>
      <c r="I1903" t="s">
        <v>136</v>
      </c>
      <c r="J1903" s="10" t="str">
        <f>VLOOKUP(I1903,Categories!A:B,2,FALSE)</f>
        <v>อื่นๆ</v>
      </c>
      <c r="K1903" t="s">
        <v>178</v>
      </c>
      <c r="L1903" s="10" t="str">
        <f>VLOOKUP(K1903,Accounts!A:B,2,FALSE)</f>
        <v>SCB</v>
      </c>
      <c r="M1903" t="s">
        <v>2317</v>
      </c>
      <c r="N1903" s="10" t="str">
        <f>VLOOKUP(M1903,Accounts!A:B,2,FALSE)</f>
        <v xml:space="preserve">Marriage account</v>
      </c>
      <c r="O1903" t="s">
        <v>125</v>
      </c>
      <c r="Q1903" t="s">
        <v>126</v>
      </c>
      <c r="R1903" t="s">
        <v>124</v>
      </c>
      <c r="S1903" t="b">
        <v>0</v>
      </c>
      <c r="T1903" t="s">
        <v>124</v>
      </c>
    </row>
    <row r="1904">
      <c r="A1904" t="s">
        <v>3768</v>
      </c>
      <c r="B1904" t="s">
        <v>3751</v>
      </c>
      <c r="C1904" s="2">
        <v>2023</v>
      </c>
      <c r="D1904" s="10">
        <v>2</v>
      </c>
      <c r="E1904" s="10">
        <v>26</v>
      </c>
      <c r="F1904" t="s">
        <v>386</v>
      </c>
      <c r="G1904">
        <v>180</v>
      </c>
      <c r="H1904" t="s">
        <v>69</v>
      </c>
      <c r="I1904" t="s">
        <v>150</v>
      </c>
      <c r="J1904" s="10" t="str">
        <f>VLOOKUP(I1904,Categories!A:B,2,FALSE)</f>
        <v xml:space="preserve">Food &amp; Coff</v>
      </c>
      <c r="K1904" t="s">
        <v>2317</v>
      </c>
      <c r="L1904" s="10" t="str">
        <f>VLOOKUP(K1904,Accounts!A:B,2,FALSE)</f>
        <v xml:space="preserve">Marriage account</v>
      </c>
      <c r="M1904" t="s">
        <v>124</v>
      </c>
      <c r="N1904" s="10"/>
      <c r="O1904" t="s">
        <v>125</v>
      </c>
      <c r="Q1904" t="s">
        <v>126</v>
      </c>
      <c r="R1904" t="s">
        <v>124</v>
      </c>
      <c r="S1904" t="b">
        <v>0</v>
      </c>
      <c r="T1904" t="s">
        <v>124</v>
      </c>
    </row>
    <row r="1905">
      <c r="A1905" t="s">
        <v>3769</v>
      </c>
      <c r="B1905" t="s">
        <v>3751</v>
      </c>
      <c r="C1905" s="2">
        <v>2023</v>
      </c>
      <c r="D1905" s="10">
        <v>2</v>
      </c>
      <c r="E1905" s="10">
        <v>26</v>
      </c>
      <c r="F1905" t="s">
        <v>386</v>
      </c>
      <c r="G1905">
        <v>3000</v>
      </c>
      <c r="H1905" t="s">
        <v>69</v>
      </c>
      <c r="I1905" t="s">
        <v>150</v>
      </c>
      <c r="J1905" s="10" t="str">
        <f>VLOOKUP(I1905,Categories!A:B,2,FALSE)</f>
        <v xml:space="preserve">Food &amp; Coff</v>
      </c>
      <c r="K1905" t="s">
        <v>2317</v>
      </c>
      <c r="L1905" s="10" t="str">
        <f>VLOOKUP(K1905,Accounts!A:B,2,FALSE)</f>
        <v xml:space="preserve">Marriage account</v>
      </c>
      <c r="M1905" t="s">
        <v>124</v>
      </c>
      <c r="N1905" s="10"/>
      <c r="O1905" t="s">
        <v>3770</v>
      </c>
      <c r="Q1905" t="s">
        <v>126</v>
      </c>
      <c r="R1905" t="s">
        <v>124</v>
      </c>
      <c r="S1905" t="b">
        <v>0</v>
      </c>
      <c r="T1905" t="s">
        <v>124</v>
      </c>
    </row>
    <row r="1906">
      <c r="A1906" t="s">
        <v>3771</v>
      </c>
      <c r="B1906" t="s">
        <v>3751</v>
      </c>
      <c r="C1906" s="2">
        <v>2023</v>
      </c>
      <c r="D1906" s="10">
        <v>2</v>
      </c>
      <c r="E1906" s="10">
        <v>26</v>
      </c>
      <c r="F1906" t="s">
        <v>376</v>
      </c>
      <c r="G1906">
        <v>3000</v>
      </c>
      <c r="H1906" t="s">
        <v>128</v>
      </c>
      <c r="I1906" t="s">
        <v>136</v>
      </c>
      <c r="J1906" s="10" t="str">
        <f>VLOOKUP(I1906,Categories!A:B,2,FALSE)</f>
        <v>อื่นๆ</v>
      </c>
      <c r="K1906" t="s">
        <v>131</v>
      </c>
      <c r="L1906" s="10" t="str">
        <f>VLOOKUP(K1906,Accounts!A:B,2,FALSE)</f>
        <v xml:space="preserve">Advance Paid</v>
      </c>
      <c r="M1906" t="s">
        <v>178</v>
      </c>
      <c r="N1906" s="10" t="str">
        <f>VLOOKUP(M1906,Accounts!A:B,2,FALSE)</f>
        <v>SCB</v>
      </c>
      <c r="O1906" t="s">
        <v>125</v>
      </c>
      <c r="Q1906" t="s">
        <v>126</v>
      </c>
      <c r="R1906" t="s">
        <v>124</v>
      </c>
      <c r="S1906" t="b">
        <v>0</v>
      </c>
      <c r="T1906" t="s">
        <v>124</v>
      </c>
    </row>
    <row r="1907">
      <c r="A1907" t="s">
        <v>3772</v>
      </c>
      <c r="B1907" t="s">
        <v>3751</v>
      </c>
      <c r="C1907" s="2">
        <v>2023</v>
      </c>
      <c r="D1907" s="10">
        <v>2</v>
      </c>
      <c r="E1907" s="10">
        <v>26</v>
      </c>
      <c r="F1907" t="s">
        <v>355</v>
      </c>
      <c r="G1907">
        <v>1839</v>
      </c>
      <c r="H1907" t="s">
        <v>69</v>
      </c>
      <c r="I1907" t="s">
        <v>150</v>
      </c>
      <c r="J1907" s="10" t="str">
        <f>VLOOKUP(I1907,Categories!A:B,2,FALSE)</f>
        <v xml:space="preserve">Food &amp; Coff</v>
      </c>
      <c r="K1907" t="s">
        <v>2317</v>
      </c>
      <c r="L1907" s="10" t="str">
        <f>VLOOKUP(K1907,Accounts!A:B,2,FALSE)</f>
        <v xml:space="preserve">Marriage account</v>
      </c>
      <c r="M1907" t="s">
        <v>124</v>
      </c>
      <c r="N1907" s="10"/>
      <c r="O1907" t="s">
        <v>125</v>
      </c>
      <c r="Q1907" t="s">
        <v>126</v>
      </c>
      <c r="R1907" t="s">
        <v>124</v>
      </c>
      <c r="S1907" t="b">
        <v>0</v>
      </c>
      <c r="T1907" t="s">
        <v>124</v>
      </c>
    </row>
    <row r="1908">
      <c r="A1908" t="s">
        <v>3773</v>
      </c>
      <c r="B1908" t="s">
        <v>3751</v>
      </c>
      <c r="C1908" s="2">
        <v>2023</v>
      </c>
      <c r="D1908" s="10">
        <v>2</v>
      </c>
      <c r="E1908" s="10">
        <v>26</v>
      </c>
      <c r="F1908" t="s">
        <v>1859</v>
      </c>
      <c r="G1908">
        <v>59</v>
      </c>
      <c r="H1908" t="s">
        <v>69</v>
      </c>
      <c r="I1908" t="s">
        <v>150</v>
      </c>
      <c r="J1908" s="10" t="str">
        <f>VLOOKUP(I1908,Categories!A:B,2,FALSE)</f>
        <v xml:space="preserve">Food &amp; Coff</v>
      </c>
      <c r="K1908" t="s">
        <v>178</v>
      </c>
      <c r="L1908" s="10" t="str">
        <f>VLOOKUP(K1908,Accounts!A:B,2,FALSE)</f>
        <v>SCB</v>
      </c>
      <c r="M1908" t="s">
        <v>124</v>
      </c>
      <c r="N1908" s="10"/>
      <c r="O1908" t="s">
        <v>125</v>
      </c>
      <c r="Q1908" t="s">
        <v>126</v>
      </c>
      <c r="R1908" t="s">
        <v>124</v>
      </c>
      <c r="S1908" t="b">
        <v>0</v>
      </c>
      <c r="T1908" t="s">
        <v>124</v>
      </c>
    </row>
    <row r="1909">
      <c r="A1909" t="s">
        <v>3774</v>
      </c>
      <c r="B1909" t="s">
        <v>3751</v>
      </c>
      <c r="C1909" s="2">
        <v>2023</v>
      </c>
      <c r="D1909" s="10">
        <v>2</v>
      </c>
      <c r="E1909" s="10">
        <v>26</v>
      </c>
      <c r="F1909" t="s">
        <v>3775</v>
      </c>
      <c r="G1909">
        <v>249</v>
      </c>
      <c r="H1909" t="s">
        <v>69</v>
      </c>
      <c r="I1909" t="s">
        <v>150</v>
      </c>
      <c r="J1909" s="10" t="str">
        <f>VLOOKUP(I1909,Categories!A:B,2,FALSE)</f>
        <v xml:space="preserve">Food &amp; Coff</v>
      </c>
      <c r="K1909" t="s">
        <v>178</v>
      </c>
      <c r="L1909" s="10" t="str">
        <f>VLOOKUP(K1909,Accounts!A:B,2,FALSE)</f>
        <v>SCB</v>
      </c>
      <c r="M1909" t="s">
        <v>124</v>
      </c>
      <c r="N1909" s="10"/>
      <c r="O1909" t="s">
        <v>125</v>
      </c>
      <c r="Q1909" t="s">
        <v>126</v>
      </c>
      <c r="R1909" t="s">
        <v>124</v>
      </c>
      <c r="S1909" t="b">
        <v>0</v>
      </c>
      <c r="T1909" t="s">
        <v>124</v>
      </c>
    </row>
    <row r="1910">
      <c r="A1910" t="s">
        <v>3776</v>
      </c>
      <c r="B1910" t="s">
        <v>3751</v>
      </c>
      <c r="C1910" s="2">
        <v>2023</v>
      </c>
      <c r="D1910" s="10">
        <v>2</v>
      </c>
      <c r="E1910" s="10">
        <v>26</v>
      </c>
      <c r="F1910" t="s">
        <v>3775</v>
      </c>
      <c r="G1910">
        <v>552</v>
      </c>
      <c r="H1910" t="s">
        <v>69</v>
      </c>
      <c r="I1910" t="s">
        <v>150</v>
      </c>
      <c r="J1910" s="10" t="str">
        <f>VLOOKUP(I1910,Categories!A:B,2,FALSE)</f>
        <v xml:space="preserve">Food &amp; Coff</v>
      </c>
      <c r="K1910" t="s">
        <v>2317</v>
      </c>
      <c r="L1910" s="10" t="str">
        <f>VLOOKUP(K1910,Accounts!A:B,2,FALSE)</f>
        <v xml:space="preserve">Marriage account</v>
      </c>
      <c r="M1910" t="s">
        <v>124</v>
      </c>
      <c r="N1910" s="10"/>
      <c r="O1910" t="s">
        <v>125</v>
      </c>
      <c r="Q1910" t="s">
        <v>126</v>
      </c>
      <c r="R1910" t="s">
        <v>124</v>
      </c>
      <c r="S1910" t="b">
        <v>0</v>
      </c>
      <c r="T1910" t="s">
        <v>124</v>
      </c>
    </row>
    <row r="1911">
      <c r="A1911" t="s">
        <v>3777</v>
      </c>
      <c r="B1911" t="s">
        <v>3751</v>
      </c>
      <c r="C1911" s="2">
        <v>2023</v>
      </c>
      <c r="D1911" s="10">
        <v>2</v>
      </c>
      <c r="E1911" s="10">
        <v>26</v>
      </c>
      <c r="F1911" t="s">
        <v>3775</v>
      </c>
      <c r="G1911">
        <v>120</v>
      </c>
      <c r="H1911" t="s">
        <v>69</v>
      </c>
      <c r="I1911" t="s">
        <v>150</v>
      </c>
      <c r="J1911" s="10" t="str">
        <f>VLOOKUP(I1911,Categories!A:B,2,FALSE)</f>
        <v xml:space="preserve">Food &amp; Coff</v>
      </c>
      <c r="K1911" t="s">
        <v>2317</v>
      </c>
      <c r="L1911" s="10" t="str">
        <f>VLOOKUP(K1911,Accounts!A:B,2,FALSE)</f>
        <v xml:space="preserve">Marriage account</v>
      </c>
      <c r="M1911" t="s">
        <v>124</v>
      </c>
      <c r="N1911" s="10"/>
      <c r="O1911" t="s">
        <v>125</v>
      </c>
      <c r="Q1911" t="s">
        <v>126</v>
      </c>
      <c r="R1911" t="s">
        <v>124</v>
      </c>
      <c r="S1911" t="b">
        <v>0</v>
      </c>
      <c r="T1911" t="s">
        <v>124</v>
      </c>
    </row>
    <row r="1912">
      <c r="A1912" t="s">
        <v>3778</v>
      </c>
      <c r="B1912" t="s">
        <v>3779</v>
      </c>
      <c r="C1912" s="2">
        <v>2023</v>
      </c>
      <c r="D1912" s="10">
        <v>2</v>
      </c>
      <c r="E1912" s="10">
        <v>25</v>
      </c>
      <c r="F1912" t="s">
        <v>521</v>
      </c>
      <c r="G1912">
        <v>2199</v>
      </c>
      <c r="H1912" t="s">
        <v>69</v>
      </c>
      <c r="I1912" t="s">
        <v>3276</v>
      </c>
      <c r="J1912" s="10" t="str">
        <f>VLOOKUP(I1912,Categories!A:B,2,FALSE)</f>
        <v>Fuel</v>
      </c>
      <c r="K1912" t="s">
        <v>2317</v>
      </c>
      <c r="L1912" s="10" t="str">
        <f>VLOOKUP(K1912,Accounts!A:B,2,FALSE)</f>
        <v xml:space="preserve">Marriage account</v>
      </c>
      <c r="M1912" t="s">
        <v>124</v>
      </c>
      <c r="N1912" s="10"/>
      <c r="O1912" t="s">
        <v>125</v>
      </c>
      <c r="Q1912" t="s">
        <v>126</v>
      </c>
      <c r="R1912" t="s">
        <v>124</v>
      </c>
      <c r="S1912" t="b">
        <v>0</v>
      </c>
      <c r="T1912" t="s">
        <v>124</v>
      </c>
    </row>
    <row r="1913">
      <c r="A1913" t="s">
        <v>3780</v>
      </c>
      <c r="B1913" t="s">
        <v>3781</v>
      </c>
      <c r="C1913" s="2">
        <v>2023</v>
      </c>
      <c r="D1913" s="10">
        <v>2</v>
      </c>
      <c r="E1913" s="10">
        <v>24</v>
      </c>
      <c r="F1913" t="s">
        <v>3782</v>
      </c>
      <c r="G1913">
        <v>85</v>
      </c>
      <c r="H1913" t="s">
        <v>69</v>
      </c>
      <c r="I1913" t="s">
        <v>150</v>
      </c>
      <c r="J1913" s="10" t="str">
        <f>VLOOKUP(I1913,Categories!A:B,2,FALSE)</f>
        <v xml:space="preserve">Food &amp; Coff</v>
      </c>
      <c r="K1913" t="s">
        <v>178</v>
      </c>
      <c r="L1913" s="10" t="str">
        <f>VLOOKUP(K1913,Accounts!A:B,2,FALSE)</f>
        <v>SCB</v>
      </c>
      <c r="M1913" t="s">
        <v>124</v>
      </c>
      <c r="N1913" s="10"/>
      <c r="O1913" t="s">
        <v>125</v>
      </c>
      <c r="Q1913" t="s">
        <v>126</v>
      </c>
      <c r="R1913" t="s">
        <v>124</v>
      </c>
      <c r="S1913" t="b">
        <v>0</v>
      </c>
      <c r="T1913" t="s">
        <v>124</v>
      </c>
    </row>
    <row r="1914">
      <c r="A1914" t="s">
        <v>3783</v>
      </c>
      <c r="B1914" t="s">
        <v>3784</v>
      </c>
      <c r="C1914" s="2">
        <v>2023</v>
      </c>
      <c r="D1914" s="10">
        <v>2</v>
      </c>
      <c r="E1914" s="10">
        <v>23</v>
      </c>
      <c r="F1914" t="s">
        <v>121</v>
      </c>
      <c r="G1914">
        <v>500</v>
      </c>
      <c r="H1914" t="s">
        <v>128</v>
      </c>
      <c r="I1914" t="s">
        <v>136</v>
      </c>
      <c r="J1914" s="10" t="str">
        <f>VLOOKUP(I1914,Categories!A:B,2,FALSE)</f>
        <v>อื่นๆ</v>
      </c>
      <c r="K1914" t="s">
        <v>178</v>
      </c>
      <c r="L1914" s="10" t="str">
        <f>VLOOKUP(K1914,Accounts!A:B,2,FALSE)</f>
        <v>SCB</v>
      </c>
      <c r="M1914" t="s">
        <v>201</v>
      </c>
      <c r="N1914" s="10" t="str">
        <f>VLOOKUP(M1914,Accounts!A:B,2,FALSE)</f>
        <v>Coop</v>
      </c>
      <c r="O1914" t="s">
        <v>125</v>
      </c>
      <c r="Q1914" t="s">
        <v>126</v>
      </c>
      <c r="R1914" t="s">
        <v>124</v>
      </c>
      <c r="S1914" t="b">
        <v>0</v>
      </c>
      <c r="T1914" t="s">
        <v>124</v>
      </c>
    </row>
    <row r="1915">
      <c r="A1915" t="s">
        <v>3785</v>
      </c>
      <c r="B1915" t="s">
        <v>3784</v>
      </c>
      <c r="C1915" s="2">
        <v>2023</v>
      </c>
      <c r="D1915" s="10">
        <v>2</v>
      </c>
      <c r="E1915" s="10">
        <v>23</v>
      </c>
      <c r="F1915" t="s">
        <v>121</v>
      </c>
      <c r="G1915">
        <v>7915</v>
      </c>
      <c r="H1915" t="s">
        <v>128</v>
      </c>
      <c r="I1915" t="s">
        <v>136</v>
      </c>
      <c r="J1915" s="10" t="str">
        <f>VLOOKUP(I1915,Categories!A:B,2,FALSE)</f>
        <v>อื่นๆ</v>
      </c>
      <c r="K1915" t="s">
        <v>178</v>
      </c>
      <c r="L1915" s="10" t="str">
        <f>VLOOKUP(K1915,Accounts!A:B,2,FALSE)</f>
        <v>SCB</v>
      </c>
      <c r="M1915" t="s">
        <v>1244</v>
      </c>
      <c r="N1915" s="10" t="str">
        <f>VLOOKUP(M1915,Accounts!A:B,2,FALSE)</f>
        <v xml:space="preserve">Home chomthong Loan</v>
      </c>
      <c r="O1915" t="s">
        <v>125</v>
      </c>
      <c r="Q1915" t="s">
        <v>126</v>
      </c>
      <c r="R1915" t="s">
        <v>124</v>
      </c>
      <c r="S1915" t="b">
        <v>0</v>
      </c>
      <c r="T1915" t="s">
        <v>124</v>
      </c>
    </row>
    <row r="1916">
      <c r="A1916" t="s">
        <v>3786</v>
      </c>
      <c r="B1916" t="s">
        <v>3784</v>
      </c>
      <c r="C1916" s="2">
        <v>2023</v>
      </c>
      <c r="D1916" s="10">
        <v>2</v>
      </c>
      <c r="E1916" s="10">
        <v>23</v>
      </c>
      <c r="F1916" t="s">
        <v>121</v>
      </c>
      <c r="G1916">
        <v>2417.5999999999999</v>
      </c>
      <c r="H1916" t="s">
        <v>128</v>
      </c>
      <c r="I1916" t="s">
        <v>136</v>
      </c>
      <c r="J1916" s="10" t="str">
        <f>VLOOKUP(I1916,Categories!A:B,2,FALSE)</f>
        <v>อื่นๆ</v>
      </c>
      <c r="K1916" t="s">
        <v>178</v>
      </c>
      <c r="L1916" s="10" t="str">
        <f>VLOOKUP(K1916,Accounts!A:B,2,FALSE)</f>
        <v>SCB</v>
      </c>
      <c r="M1916" t="s">
        <v>203</v>
      </c>
      <c r="N1916" s="10" t="str">
        <f>VLOOKUP(M1916,Accounts!A:B,2,FALSE)</f>
        <v xml:space="preserve">Provident Fund</v>
      </c>
      <c r="O1916" t="s">
        <v>125</v>
      </c>
      <c r="Q1916" t="s">
        <v>126</v>
      </c>
      <c r="R1916" t="s">
        <v>124</v>
      </c>
      <c r="S1916" t="b">
        <v>0</v>
      </c>
      <c r="T1916" t="s">
        <v>124</v>
      </c>
    </row>
    <row r="1917">
      <c r="A1917" t="s">
        <v>3787</v>
      </c>
      <c r="B1917" t="s">
        <v>3784</v>
      </c>
      <c r="C1917" s="2">
        <v>2023</v>
      </c>
      <c r="D1917" s="10">
        <v>2</v>
      </c>
      <c r="E1917" s="10">
        <v>23</v>
      </c>
      <c r="F1917" t="s">
        <v>121</v>
      </c>
      <c r="G1917">
        <v>1387.9100000000001</v>
      </c>
      <c r="H1917" t="s">
        <v>69</v>
      </c>
      <c r="I1917" t="s">
        <v>199</v>
      </c>
      <c r="J1917" s="10" t="str">
        <f>VLOOKUP(I1917,Categories!A:B,2,FALSE)</f>
        <v xml:space="preserve">Home Chomthong Interest</v>
      </c>
      <c r="K1917" t="s">
        <v>178</v>
      </c>
      <c r="L1917" s="10" t="str">
        <f>VLOOKUP(K1917,Accounts!A:B,2,FALSE)</f>
        <v>SCB</v>
      </c>
      <c r="M1917" t="s">
        <v>124</v>
      </c>
      <c r="N1917" s="10"/>
      <c r="O1917" t="s">
        <v>125</v>
      </c>
      <c r="Q1917" t="s">
        <v>126</v>
      </c>
      <c r="R1917" t="s">
        <v>124</v>
      </c>
      <c r="S1917" t="b">
        <v>0</v>
      </c>
      <c r="T1917" t="s">
        <v>124</v>
      </c>
    </row>
    <row r="1918">
      <c r="A1918" t="s">
        <v>3788</v>
      </c>
      <c r="B1918" t="s">
        <v>3784</v>
      </c>
      <c r="C1918" s="2">
        <v>2023</v>
      </c>
      <c r="D1918" s="10">
        <v>2</v>
      </c>
      <c r="E1918" s="10">
        <v>23</v>
      </c>
      <c r="F1918" t="s">
        <v>121</v>
      </c>
      <c r="G1918">
        <v>9240</v>
      </c>
      <c r="H1918" t="s">
        <v>128</v>
      </c>
      <c r="I1918" t="s">
        <v>136</v>
      </c>
      <c r="J1918" s="10" t="str">
        <f>VLOOKUP(I1918,Categories!A:B,2,FALSE)</f>
        <v>อื่นๆ</v>
      </c>
      <c r="K1918" t="s">
        <v>178</v>
      </c>
      <c r="L1918" s="10" t="str">
        <f>VLOOKUP(K1918,Accounts!A:B,2,FALSE)</f>
        <v>SCB</v>
      </c>
      <c r="M1918" t="s">
        <v>1246</v>
      </c>
      <c r="N1918" s="10" t="str">
        <f>VLOOKUP(M1918,Accounts!A:B,2,FALSE)</f>
        <v xml:space="preserve">Car Loan</v>
      </c>
      <c r="O1918" t="s">
        <v>125</v>
      </c>
      <c r="Q1918" t="s">
        <v>126</v>
      </c>
      <c r="R1918" t="s">
        <v>124</v>
      </c>
      <c r="S1918" t="b">
        <v>0</v>
      </c>
      <c r="T1918" t="s">
        <v>124</v>
      </c>
    </row>
    <row r="1919">
      <c r="A1919" t="s">
        <v>3789</v>
      </c>
      <c r="B1919" t="s">
        <v>3784</v>
      </c>
      <c r="C1919" s="2">
        <v>2023</v>
      </c>
      <c r="D1919" s="10">
        <v>2</v>
      </c>
      <c r="E1919" s="10">
        <v>23</v>
      </c>
      <c r="F1919" t="s">
        <v>121</v>
      </c>
      <c r="G1919">
        <v>224.37</v>
      </c>
      <c r="H1919" t="s">
        <v>69</v>
      </c>
      <c r="I1919" t="s">
        <v>443</v>
      </c>
      <c r="J1919" s="10" t="str">
        <f>VLOOKUP(I1919,Categories!A:B,2,FALSE)</f>
        <v xml:space="preserve">City SV Interest</v>
      </c>
      <c r="K1919" t="s">
        <v>178</v>
      </c>
      <c r="L1919" s="10" t="str">
        <f>VLOOKUP(K1919,Accounts!A:B,2,FALSE)</f>
        <v>SCB</v>
      </c>
      <c r="M1919" t="s">
        <v>124</v>
      </c>
      <c r="N1919" s="10"/>
      <c r="O1919" t="s">
        <v>125</v>
      </c>
      <c r="Q1919" t="s">
        <v>126</v>
      </c>
      <c r="R1919" t="s">
        <v>124</v>
      </c>
      <c r="S1919" t="b">
        <v>0</v>
      </c>
      <c r="T1919" t="s">
        <v>124</v>
      </c>
    </row>
    <row r="1920">
      <c r="A1920" t="s">
        <v>3790</v>
      </c>
      <c r="B1920" t="s">
        <v>3784</v>
      </c>
      <c r="C1920" s="2">
        <v>2023</v>
      </c>
      <c r="D1920" s="10">
        <v>2</v>
      </c>
      <c r="E1920" s="10">
        <v>23</v>
      </c>
      <c r="F1920" t="s">
        <v>121</v>
      </c>
      <c r="G1920">
        <v>112100</v>
      </c>
      <c r="H1920" t="s">
        <v>206</v>
      </c>
      <c r="I1920" t="s">
        <v>207</v>
      </c>
      <c r="J1920" s="10" t="str">
        <f>VLOOKUP(I1920,Categories!A:B,2,FALSE)</f>
        <v>Salary</v>
      </c>
      <c r="K1920" t="s">
        <v>178</v>
      </c>
      <c r="L1920" s="10" t="str">
        <f>VLOOKUP(K1920,Accounts!A:B,2,FALSE)</f>
        <v>SCB</v>
      </c>
      <c r="M1920" t="s">
        <v>124</v>
      </c>
      <c r="N1920" s="10"/>
      <c r="O1920" t="s">
        <v>125</v>
      </c>
      <c r="Q1920" t="s">
        <v>126</v>
      </c>
      <c r="R1920" t="s">
        <v>124</v>
      </c>
      <c r="S1920" t="b">
        <v>0</v>
      </c>
      <c r="T1920" t="s">
        <v>124</v>
      </c>
    </row>
    <row r="1921">
      <c r="A1921" t="s">
        <v>3791</v>
      </c>
      <c r="B1921" t="s">
        <v>3784</v>
      </c>
      <c r="C1921" s="2">
        <v>2023</v>
      </c>
      <c r="D1921" s="10">
        <v>2</v>
      </c>
      <c r="E1921" s="10">
        <v>23</v>
      </c>
      <c r="F1921" t="s">
        <v>121</v>
      </c>
      <c r="G1921">
        <v>50000</v>
      </c>
      <c r="H1921" t="s">
        <v>128</v>
      </c>
      <c r="I1921" t="s">
        <v>136</v>
      </c>
      <c r="J1921" s="10" t="str">
        <f>VLOOKUP(I1921,Categories!A:B,2,FALSE)</f>
        <v>อื่นๆ</v>
      </c>
      <c r="K1921" t="s">
        <v>178</v>
      </c>
      <c r="L1921" s="10" t="str">
        <f>VLOOKUP(K1921,Accounts!A:B,2,FALSE)</f>
        <v>SCB</v>
      </c>
      <c r="M1921" t="s">
        <v>201</v>
      </c>
      <c r="N1921" s="10" t="str">
        <f>VLOOKUP(M1921,Accounts!A:B,2,FALSE)</f>
        <v>Coop</v>
      </c>
      <c r="O1921" t="s">
        <v>125</v>
      </c>
      <c r="Q1921" t="s">
        <v>126</v>
      </c>
      <c r="R1921" t="s">
        <v>124</v>
      </c>
      <c r="S1921" t="b">
        <v>0</v>
      </c>
      <c r="T1921" t="s">
        <v>124</v>
      </c>
    </row>
    <row r="1922">
      <c r="A1922" t="s">
        <v>3792</v>
      </c>
      <c r="B1922" t="s">
        <v>3784</v>
      </c>
      <c r="C1922" s="2">
        <v>2023</v>
      </c>
      <c r="D1922" s="10">
        <v>2</v>
      </c>
      <c r="E1922" s="10">
        <v>23</v>
      </c>
      <c r="F1922" t="s">
        <v>121</v>
      </c>
      <c r="G1922">
        <v>8780</v>
      </c>
      <c r="H1922" t="s">
        <v>206</v>
      </c>
      <c r="I1922" t="s">
        <v>207</v>
      </c>
      <c r="J1922" s="10" t="str">
        <f>VLOOKUP(I1922,Categories!A:B,2,FALSE)</f>
        <v>Salary</v>
      </c>
      <c r="K1922" t="s">
        <v>178</v>
      </c>
      <c r="L1922" s="10" t="str">
        <f>VLOOKUP(K1922,Accounts!A:B,2,FALSE)</f>
        <v>SCB</v>
      </c>
      <c r="M1922" t="s">
        <v>124</v>
      </c>
      <c r="N1922" s="10"/>
      <c r="O1922" t="s">
        <v>125</v>
      </c>
      <c r="Q1922" t="s">
        <v>126</v>
      </c>
      <c r="R1922" t="s">
        <v>124</v>
      </c>
      <c r="S1922" t="b">
        <v>0</v>
      </c>
      <c r="T1922" t="s">
        <v>124</v>
      </c>
    </row>
    <row r="1923">
      <c r="A1923" t="s">
        <v>3793</v>
      </c>
      <c r="B1923" t="s">
        <v>3784</v>
      </c>
      <c r="C1923" s="2">
        <v>2023</v>
      </c>
      <c r="D1923" s="10">
        <v>2</v>
      </c>
      <c r="E1923" s="10">
        <v>23</v>
      </c>
      <c r="F1923" t="s">
        <v>121</v>
      </c>
      <c r="G1923">
        <v>22237.849999999999</v>
      </c>
      <c r="H1923" t="s">
        <v>69</v>
      </c>
      <c r="I1923" t="s">
        <v>195</v>
      </c>
      <c r="J1923" s="10" t="str">
        <f>VLOOKUP(I1923,Categories!A:B,2,FALSE)</f>
        <v>Tax</v>
      </c>
      <c r="K1923" t="s">
        <v>178</v>
      </c>
      <c r="L1923" s="10" t="str">
        <f>VLOOKUP(K1923,Accounts!A:B,2,FALSE)</f>
        <v>SCB</v>
      </c>
      <c r="M1923" t="s">
        <v>124</v>
      </c>
      <c r="N1923" s="10"/>
      <c r="O1923" t="s">
        <v>125</v>
      </c>
      <c r="Q1923" t="s">
        <v>126</v>
      </c>
      <c r="R1923" t="s">
        <v>124</v>
      </c>
      <c r="S1923" t="b">
        <v>0</v>
      </c>
      <c r="T1923" t="s">
        <v>124</v>
      </c>
    </row>
    <row r="1924">
      <c r="A1924" t="s">
        <v>3794</v>
      </c>
      <c r="B1924" t="s">
        <v>3784</v>
      </c>
      <c r="C1924" s="2">
        <v>2023</v>
      </c>
      <c r="D1924" s="10">
        <v>2</v>
      </c>
      <c r="E1924" s="10">
        <v>23</v>
      </c>
      <c r="F1924" t="s">
        <v>121</v>
      </c>
      <c r="G1924">
        <v>309960</v>
      </c>
      <c r="H1924" t="s">
        <v>206</v>
      </c>
      <c r="I1924" t="s">
        <v>281</v>
      </c>
      <c r="J1924" s="10" t="str">
        <f>VLOOKUP(I1924,Categories!A:B,2,FALSE)</f>
        <v>Others</v>
      </c>
      <c r="K1924" t="s">
        <v>178</v>
      </c>
      <c r="L1924" s="10" t="str">
        <f>VLOOKUP(K1924,Accounts!A:B,2,FALSE)</f>
        <v>SCB</v>
      </c>
      <c r="M1924" t="s">
        <v>124</v>
      </c>
      <c r="N1924" s="10"/>
      <c r="O1924" t="s">
        <v>125</v>
      </c>
      <c r="Q1924" t="s">
        <v>126</v>
      </c>
      <c r="R1924" t="s">
        <v>124</v>
      </c>
      <c r="S1924" t="b">
        <v>0</v>
      </c>
      <c r="T1924" t="s">
        <v>124</v>
      </c>
    </row>
    <row r="1925">
      <c r="A1925" t="s">
        <v>3795</v>
      </c>
      <c r="B1925" t="s">
        <v>3784</v>
      </c>
      <c r="C1925" s="2">
        <v>2023</v>
      </c>
      <c r="D1925" s="10">
        <v>2</v>
      </c>
      <c r="E1925" s="10">
        <v>23</v>
      </c>
      <c r="F1925" t="s">
        <v>3796</v>
      </c>
      <c r="G1925">
        <v>2440.9000000000001</v>
      </c>
      <c r="H1925" t="s">
        <v>206</v>
      </c>
      <c r="I1925" t="s">
        <v>281</v>
      </c>
      <c r="J1925" s="10" t="str">
        <f>VLOOKUP(I1925,Categories!A:B,2,FALSE)</f>
        <v>Others</v>
      </c>
      <c r="K1925" t="s">
        <v>178</v>
      </c>
      <c r="L1925" s="10" t="str">
        <f>VLOOKUP(K1925,Accounts!A:B,2,FALSE)</f>
        <v>SCB</v>
      </c>
      <c r="M1925" t="s">
        <v>124</v>
      </c>
      <c r="N1925" s="10"/>
      <c r="O1925" t="s">
        <v>3797</v>
      </c>
      <c r="Q1925" t="s">
        <v>126</v>
      </c>
      <c r="R1925" t="s">
        <v>124</v>
      </c>
      <c r="S1925" t="b">
        <v>0</v>
      </c>
      <c r="T1925" t="s">
        <v>124</v>
      </c>
    </row>
    <row r="1926">
      <c r="A1926" t="s">
        <v>3798</v>
      </c>
      <c r="B1926" t="s">
        <v>3784</v>
      </c>
      <c r="C1926" s="2">
        <v>2023</v>
      </c>
      <c r="D1926" s="10">
        <v>2</v>
      </c>
      <c r="E1926" s="10">
        <v>23</v>
      </c>
      <c r="F1926" t="s">
        <v>2181</v>
      </c>
      <c r="G1926">
        <v>85</v>
      </c>
      <c r="H1926" t="s">
        <v>69</v>
      </c>
      <c r="I1926" t="s">
        <v>150</v>
      </c>
      <c r="J1926" s="10" t="str">
        <f>VLOOKUP(I1926,Categories!A:B,2,FALSE)</f>
        <v xml:space="preserve">Food &amp; Coff</v>
      </c>
      <c r="K1926" t="s">
        <v>178</v>
      </c>
      <c r="L1926" s="10" t="str">
        <f>VLOOKUP(K1926,Accounts!A:B,2,FALSE)</f>
        <v>SCB</v>
      </c>
      <c r="M1926" t="s">
        <v>124</v>
      </c>
      <c r="N1926" s="10"/>
      <c r="O1926" t="s">
        <v>125</v>
      </c>
      <c r="Q1926" t="s">
        <v>126</v>
      </c>
      <c r="R1926" t="s">
        <v>124</v>
      </c>
      <c r="S1926" t="b">
        <v>0</v>
      </c>
      <c r="T1926" t="s">
        <v>124</v>
      </c>
    </row>
    <row r="1927">
      <c r="A1927" t="s">
        <v>3799</v>
      </c>
      <c r="B1927" t="s">
        <v>3784</v>
      </c>
      <c r="C1927" s="2">
        <v>2023</v>
      </c>
      <c r="D1927" s="10">
        <v>2</v>
      </c>
      <c r="E1927" s="10">
        <v>23</v>
      </c>
      <c r="F1927" t="s">
        <v>2181</v>
      </c>
      <c r="G1927">
        <v>1500</v>
      </c>
      <c r="H1927" t="s">
        <v>69</v>
      </c>
      <c r="I1927" t="s">
        <v>144</v>
      </c>
      <c r="J1927" s="10" t="str">
        <f>VLOOKUP(I1927,Categories!A:B,2,FALSE)</f>
        <v xml:space="preserve">Family paid</v>
      </c>
      <c r="K1927" t="s">
        <v>178</v>
      </c>
      <c r="L1927" s="10" t="str">
        <f>VLOOKUP(K1927,Accounts!A:B,2,FALSE)</f>
        <v>SCB</v>
      </c>
      <c r="M1927" t="s">
        <v>124</v>
      </c>
      <c r="N1927" s="10"/>
      <c r="O1927" t="s">
        <v>125</v>
      </c>
      <c r="Q1927" t="s">
        <v>126</v>
      </c>
      <c r="R1927" t="s">
        <v>124</v>
      </c>
      <c r="S1927" t="b">
        <v>0</v>
      </c>
      <c r="T1927" t="s">
        <v>124</v>
      </c>
    </row>
    <row r="1928">
      <c r="A1928" t="s">
        <v>3800</v>
      </c>
      <c r="B1928" t="s">
        <v>3784</v>
      </c>
      <c r="C1928" s="2">
        <v>2023</v>
      </c>
      <c r="D1928" s="10">
        <v>2</v>
      </c>
      <c r="E1928" s="10">
        <v>23</v>
      </c>
      <c r="F1928" t="s">
        <v>540</v>
      </c>
      <c r="G1928">
        <v>55</v>
      </c>
      <c r="H1928" t="s">
        <v>69</v>
      </c>
      <c r="I1928" t="s">
        <v>150</v>
      </c>
      <c r="J1928" s="10" t="str">
        <f>VLOOKUP(I1928,Categories!A:B,2,FALSE)</f>
        <v xml:space="preserve">Food &amp; Coff</v>
      </c>
      <c r="K1928" t="s">
        <v>178</v>
      </c>
      <c r="L1928" s="10" t="str">
        <f>VLOOKUP(K1928,Accounts!A:B,2,FALSE)</f>
        <v>SCB</v>
      </c>
      <c r="M1928" t="s">
        <v>124</v>
      </c>
      <c r="N1928" s="10"/>
      <c r="O1928" t="s">
        <v>125</v>
      </c>
      <c r="Q1928" t="s">
        <v>126</v>
      </c>
      <c r="R1928" t="s">
        <v>124</v>
      </c>
      <c r="S1928" t="b">
        <v>0</v>
      </c>
      <c r="T1928" t="s">
        <v>124</v>
      </c>
    </row>
    <row r="1929">
      <c r="A1929" t="s">
        <v>3801</v>
      </c>
      <c r="B1929" t="s">
        <v>3802</v>
      </c>
      <c r="C1929" s="2">
        <v>2023</v>
      </c>
      <c r="D1929" s="10">
        <v>2</v>
      </c>
      <c r="E1929" s="10">
        <v>22</v>
      </c>
      <c r="F1929" t="s">
        <v>3803</v>
      </c>
      <c r="G1929">
        <v>48</v>
      </c>
      <c r="H1929" t="s">
        <v>69</v>
      </c>
      <c r="I1929" t="s">
        <v>150</v>
      </c>
      <c r="J1929" s="10" t="str">
        <f>VLOOKUP(I1929,Categories!A:B,2,FALSE)</f>
        <v xml:space="preserve">Food &amp; Coff</v>
      </c>
      <c r="K1929" t="s">
        <v>178</v>
      </c>
      <c r="L1929" s="10" t="str">
        <f>VLOOKUP(K1929,Accounts!A:B,2,FALSE)</f>
        <v>SCB</v>
      </c>
      <c r="M1929" t="s">
        <v>124</v>
      </c>
      <c r="N1929" s="10"/>
      <c r="O1929" t="s">
        <v>125</v>
      </c>
      <c r="Q1929" t="s">
        <v>126</v>
      </c>
      <c r="R1929" t="s">
        <v>124</v>
      </c>
      <c r="S1929" t="b">
        <v>0</v>
      </c>
      <c r="T1929" t="s">
        <v>124</v>
      </c>
    </row>
    <row r="1930">
      <c r="A1930" t="s">
        <v>3804</v>
      </c>
      <c r="B1930" t="s">
        <v>3802</v>
      </c>
      <c r="C1930" s="2">
        <v>2023</v>
      </c>
      <c r="D1930" s="10">
        <v>2</v>
      </c>
      <c r="E1930" s="10">
        <v>22</v>
      </c>
      <c r="F1930" t="s">
        <v>3737</v>
      </c>
      <c r="G1930">
        <v>55</v>
      </c>
      <c r="H1930" t="s">
        <v>69</v>
      </c>
      <c r="I1930" t="s">
        <v>150</v>
      </c>
      <c r="J1930" s="10" t="str">
        <f>VLOOKUP(I1930,Categories!A:B,2,FALSE)</f>
        <v xml:space="preserve">Food &amp; Coff</v>
      </c>
      <c r="K1930" t="s">
        <v>178</v>
      </c>
      <c r="L1930" s="10" t="str">
        <f>VLOOKUP(K1930,Accounts!A:B,2,FALSE)</f>
        <v>SCB</v>
      </c>
      <c r="M1930" t="s">
        <v>124</v>
      </c>
      <c r="N1930" s="10"/>
      <c r="O1930" t="s">
        <v>125</v>
      </c>
      <c r="Q1930" t="s">
        <v>126</v>
      </c>
      <c r="R1930" t="s">
        <v>124</v>
      </c>
      <c r="S1930" t="b">
        <v>0</v>
      </c>
      <c r="T1930" t="s">
        <v>124</v>
      </c>
    </row>
    <row r="1931">
      <c r="A1931" t="s">
        <v>3805</v>
      </c>
      <c r="B1931" t="s">
        <v>3802</v>
      </c>
      <c r="C1931" s="2">
        <v>2023</v>
      </c>
      <c r="D1931" s="10">
        <v>2</v>
      </c>
      <c r="E1931" s="10">
        <v>22</v>
      </c>
      <c r="F1931" t="s">
        <v>284</v>
      </c>
      <c r="G1931">
        <v>70</v>
      </c>
      <c r="H1931" t="s">
        <v>69</v>
      </c>
      <c r="I1931" t="s">
        <v>150</v>
      </c>
      <c r="J1931" s="10" t="str">
        <f>VLOOKUP(I1931,Categories!A:B,2,FALSE)</f>
        <v xml:space="preserve">Food &amp; Coff</v>
      </c>
      <c r="K1931" t="s">
        <v>178</v>
      </c>
      <c r="L1931" s="10" t="str">
        <f>VLOOKUP(K1931,Accounts!A:B,2,FALSE)</f>
        <v>SCB</v>
      </c>
      <c r="M1931" t="s">
        <v>124</v>
      </c>
      <c r="N1931" s="10"/>
      <c r="O1931" t="s">
        <v>125</v>
      </c>
      <c r="Q1931" t="s">
        <v>126</v>
      </c>
      <c r="R1931" t="s">
        <v>124</v>
      </c>
      <c r="S1931" t="b">
        <v>0</v>
      </c>
      <c r="T1931" t="s">
        <v>124</v>
      </c>
    </row>
    <row r="1932">
      <c r="A1932" t="s">
        <v>3806</v>
      </c>
      <c r="B1932" t="s">
        <v>3802</v>
      </c>
      <c r="C1932" s="2">
        <v>2023</v>
      </c>
      <c r="D1932" s="10">
        <v>2</v>
      </c>
      <c r="E1932" s="10">
        <v>22</v>
      </c>
      <c r="F1932" t="s">
        <v>280</v>
      </c>
      <c r="G1932">
        <v>17000</v>
      </c>
      <c r="H1932" t="s">
        <v>128</v>
      </c>
      <c r="I1932" t="s">
        <v>136</v>
      </c>
      <c r="J1932" s="10" t="str">
        <f>VLOOKUP(I1932,Categories!A:B,2,FALSE)</f>
        <v>อื่นๆ</v>
      </c>
      <c r="K1932" t="s">
        <v>178</v>
      </c>
      <c r="L1932" s="10" t="str">
        <f>VLOOKUP(K1932,Accounts!A:B,2,FALSE)</f>
        <v>SCB</v>
      </c>
      <c r="M1932" t="s">
        <v>766</v>
      </c>
      <c r="N1932" s="10" t="str">
        <f>VLOOKUP(M1932,Accounts!A:B,2,FALSE)</f>
        <v>KRUNGSRI</v>
      </c>
      <c r="O1932" t="s">
        <v>125</v>
      </c>
      <c r="Q1932" t="s">
        <v>126</v>
      </c>
      <c r="R1932" t="s">
        <v>124</v>
      </c>
      <c r="S1932" t="b">
        <v>0</v>
      </c>
      <c r="T1932" t="s">
        <v>124</v>
      </c>
    </row>
    <row r="1933">
      <c r="A1933" t="s">
        <v>3807</v>
      </c>
      <c r="B1933" t="s">
        <v>3802</v>
      </c>
      <c r="C1933" s="2">
        <v>2023</v>
      </c>
      <c r="D1933" s="10">
        <v>2</v>
      </c>
      <c r="E1933" s="10">
        <v>22</v>
      </c>
      <c r="F1933" t="s">
        <v>280</v>
      </c>
      <c r="G1933">
        <v>28224</v>
      </c>
      <c r="H1933" t="s">
        <v>128</v>
      </c>
      <c r="I1933" t="s">
        <v>136</v>
      </c>
      <c r="J1933" s="10" t="str">
        <f>VLOOKUP(I1933,Categories!A:B,2,FALSE)</f>
        <v>อื่นๆ</v>
      </c>
      <c r="K1933" t="s">
        <v>178</v>
      </c>
      <c r="L1933" s="10" t="str">
        <f>VLOOKUP(K1933,Accounts!A:B,2,FALSE)</f>
        <v>SCB</v>
      </c>
      <c r="M1933" t="s">
        <v>1308</v>
      </c>
      <c r="N1933" s="10" t="str">
        <f>VLOOKUP(M1933,Accounts!A:B,2,FALSE)</f>
        <v xml:space="preserve">UOB Privilages</v>
      </c>
      <c r="O1933" t="s">
        <v>125</v>
      </c>
      <c r="Q1933" t="s">
        <v>126</v>
      </c>
      <c r="R1933" t="s">
        <v>124</v>
      </c>
      <c r="S1933" t="b">
        <v>0</v>
      </c>
      <c r="T1933" t="s">
        <v>124</v>
      </c>
    </row>
    <row r="1934">
      <c r="A1934" t="s">
        <v>3808</v>
      </c>
      <c r="B1934" t="s">
        <v>3802</v>
      </c>
      <c r="C1934" s="2">
        <v>2023</v>
      </c>
      <c r="D1934" s="10">
        <v>2</v>
      </c>
      <c r="E1934" s="10">
        <v>22</v>
      </c>
      <c r="F1934" t="s">
        <v>3119</v>
      </c>
      <c r="G1934">
        <v>55</v>
      </c>
      <c r="H1934" t="s">
        <v>69</v>
      </c>
      <c r="I1934" t="s">
        <v>150</v>
      </c>
      <c r="J1934" s="10" t="str">
        <f>VLOOKUP(I1934,Categories!A:B,2,FALSE)</f>
        <v xml:space="preserve">Food &amp; Coff</v>
      </c>
      <c r="K1934" t="s">
        <v>123</v>
      </c>
      <c r="L1934" s="10" t="str">
        <f>VLOOKUP(K1934,Accounts!A:B,2,FALSE)</f>
        <v>KBank</v>
      </c>
      <c r="M1934" t="s">
        <v>124</v>
      </c>
      <c r="N1934" s="10"/>
      <c r="O1934" t="s">
        <v>125</v>
      </c>
      <c r="Q1934" t="s">
        <v>126</v>
      </c>
      <c r="R1934" t="s">
        <v>124</v>
      </c>
      <c r="S1934" t="b">
        <v>0</v>
      </c>
      <c r="T1934" t="s">
        <v>124</v>
      </c>
    </row>
    <row r="1935">
      <c r="A1935" t="s">
        <v>3809</v>
      </c>
      <c r="B1935" t="s">
        <v>3802</v>
      </c>
      <c r="C1935" s="2">
        <v>2023</v>
      </c>
      <c r="D1935" s="10">
        <v>2</v>
      </c>
      <c r="E1935" s="10">
        <v>22</v>
      </c>
      <c r="F1935" t="s">
        <v>3748</v>
      </c>
      <c r="G1935">
        <v>270</v>
      </c>
      <c r="H1935" t="s">
        <v>69</v>
      </c>
      <c r="I1935" t="s">
        <v>150</v>
      </c>
      <c r="J1935" s="10" t="str">
        <f>VLOOKUP(I1935,Categories!A:B,2,FALSE)</f>
        <v xml:space="preserve">Food &amp; Coff</v>
      </c>
      <c r="K1935" t="s">
        <v>178</v>
      </c>
      <c r="L1935" s="10" t="str">
        <f>VLOOKUP(K1935,Accounts!A:B,2,FALSE)</f>
        <v>SCB</v>
      </c>
      <c r="M1935" t="s">
        <v>124</v>
      </c>
      <c r="N1935" s="10"/>
      <c r="O1935" t="s">
        <v>125</v>
      </c>
      <c r="Q1935" t="s">
        <v>126</v>
      </c>
      <c r="R1935" t="s">
        <v>124</v>
      </c>
      <c r="S1935" t="b">
        <v>0</v>
      </c>
      <c r="T1935" t="s">
        <v>124</v>
      </c>
    </row>
    <row r="1936">
      <c r="A1936" t="s">
        <v>3810</v>
      </c>
      <c r="B1936" t="s">
        <v>3802</v>
      </c>
      <c r="C1936" s="2">
        <v>2023</v>
      </c>
      <c r="D1936" s="10">
        <v>2</v>
      </c>
      <c r="E1936" s="10">
        <v>22</v>
      </c>
      <c r="F1936" t="s">
        <v>3811</v>
      </c>
      <c r="G1936">
        <v>69</v>
      </c>
      <c r="H1936" t="s">
        <v>69</v>
      </c>
      <c r="I1936" t="s">
        <v>150</v>
      </c>
      <c r="J1936" s="10" t="str">
        <f>VLOOKUP(I1936,Categories!A:B,2,FALSE)</f>
        <v xml:space="preserve">Food &amp; Coff</v>
      </c>
      <c r="K1936" t="s">
        <v>178</v>
      </c>
      <c r="L1936" s="10" t="str">
        <f>VLOOKUP(K1936,Accounts!A:B,2,FALSE)</f>
        <v>SCB</v>
      </c>
      <c r="M1936" t="s">
        <v>124</v>
      </c>
      <c r="N1936" s="10"/>
      <c r="O1936" t="s">
        <v>125</v>
      </c>
      <c r="Q1936" t="s">
        <v>126</v>
      </c>
      <c r="R1936" t="s">
        <v>124</v>
      </c>
      <c r="S1936" t="b">
        <v>0</v>
      </c>
      <c r="T1936" t="s">
        <v>124</v>
      </c>
    </row>
    <row r="1937">
      <c r="A1937" t="s">
        <v>3812</v>
      </c>
      <c r="B1937" t="s">
        <v>3813</v>
      </c>
      <c r="C1937" s="2">
        <v>2023</v>
      </c>
      <c r="D1937" s="10">
        <v>2</v>
      </c>
      <c r="E1937" s="10">
        <v>21</v>
      </c>
      <c r="F1937" t="s">
        <v>597</v>
      </c>
      <c r="G1937">
        <v>80</v>
      </c>
      <c r="H1937" t="s">
        <v>69</v>
      </c>
      <c r="I1937" t="s">
        <v>150</v>
      </c>
      <c r="J1937" s="10" t="str">
        <f>VLOOKUP(I1937,Categories!A:B,2,FALSE)</f>
        <v xml:space="preserve">Food &amp; Coff</v>
      </c>
      <c r="K1937" t="s">
        <v>178</v>
      </c>
      <c r="L1937" s="10" t="str">
        <f>VLOOKUP(K1937,Accounts!A:B,2,FALSE)</f>
        <v>SCB</v>
      </c>
      <c r="M1937" t="s">
        <v>124</v>
      </c>
      <c r="N1937" s="10"/>
      <c r="O1937" t="s">
        <v>125</v>
      </c>
      <c r="Q1937" t="s">
        <v>126</v>
      </c>
      <c r="R1937" t="s">
        <v>124</v>
      </c>
      <c r="S1937" t="b">
        <v>0</v>
      </c>
      <c r="T1937" t="s">
        <v>124</v>
      </c>
    </row>
    <row r="1938">
      <c r="A1938" t="s">
        <v>3814</v>
      </c>
      <c r="B1938" t="s">
        <v>3815</v>
      </c>
      <c r="C1938" s="2">
        <v>2023</v>
      </c>
      <c r="D1938" s="10">
        <v>2</v>
      </c>
      <c r="E1938" s="10">
        <v>20</v>
      </c>
      <c r="F1938" t="s">
        <v>3816</v>
      </c>
      <c r="G1938">
        <v>55</v>
      </c>
      <c r="H1938" t="s">
        <v>69</v>
      </c>
      <c r="I1938" t="s">
        <v>150</v>
      </c>
      <c r="J1938" s="10" t="str">
        <f>VLOOKUP(I1938,Categories!A:B,2,FALSE)</f>
        <v xml:space="preserve">Food &amp; Coff</v>
      </c>
      <c r="K1938" t="s">
        <v>178</v>
      </c>
      <c r="L1938" s="10" t="str">
        <f>VLOOKUP(K1938,Accounts!A:B,2,FALSE)</f>
        <v>SCB</v>
      </c>
      <c r="M1938" t="s">
        <v>124</v>
      </c>
      <c r="N1938" s="10"/>
      <c r="O1938" t="s">
        <v>125</v>
      </c>
      <c r="Q1938" t="s">
        <v>126</v>
      </c>
      <c r="R1938" t="s">
        <v>124</v>
      </c>
      <c r="S1938" t="b">
        <v>0</v>
      </c>
      <c r="T1938" t="s">
        <v>124</v>
      </c>
    </row>
    <row r="1939">
      <c r="A1939" t="s">
        <v>3817</v>
      </c>
      <c r="B1939" t="s">
        <v>3815</v>
      </c>
      <c r="C1939" s="2">
        <v>2023</v>
      </c>
      <c r="D1939" s="10">
        <v>2</v>
      </c>
      <c r="E1939" s="10">
        <v>20</v>
      </c>
      <c r="F1939" t="s">
        <v>2203</v>
      </c>
      <c r="G1939">
        <v>132</v>
      </c>
      <c r="H1939" t="s">
        <v>69</v>
      </c>
      <c r="I1939" t="s">
        <v>150</v>
      </c>
      <c r="J1939" s="10" t="str">
        <f>VLOOKUP(I1939,Categories!A:B,2,FALSE)</f>
        <v xml:space="preserve">Food &amp; Coff</v>
      </c>
      <c r="K1939" t="s">
        <v>178</v>
      </c>
      <c r="L1939" s="10" t="str">
        <f>VLOOKUP(K1939,Accounts!A:B,2,FALSE)</f>
        <v>SCB</v>
      </c>
      <c r="M1939" t="s">
        <v>124</v>
      </c>
      <c r="N1939" s="10"/>
      <c r="O1939" t="s">
        <v>125</v>
      </c>
      <c r="Q1939" t="s">
        <v>126</v>
      </c>
      <c r="R1939" t="s">
        <v>124</v>
      </c>
      <c r="S1939" t="b">
        <v>0</v>
      </c>
      <c r="T1939" t="s">
        <v>124</v>
      </c>
    </row>
    <row r="1940">
      <c r="A1940" t="s">
        <v>3818</v>
      </c>
      <c r="B1940" t="s">
        <v>3815</v>
      </c>
      <c r="C1940" s="2">
        <v>2023</v>
      </c>
      <c r="D1940" s="10">
        <v>2</v>
      </c>
      <c r="E1940" s="10">
        <v>20</v>
      </c>
      <c r="F1940" t="s">
        <v>3119</v>
      </c>
      <c r="G1940">
        <v>5000</v>
      </c>
      <c r="H1940" t="s">
        <v>128</v>
      </c>
      <c r="I1940" t="s">
        <v>136</v>
      </c>
      <c r="J1940" s="10" t="str">
        <f>VLOOKUP(I1940,Categories!A:B,2,FALSE)</f>
        <v>อื่นๆ</v>
      </c>
      <c r="K1940" t="s">
        <v>123</v>
      </c>
      <c r="L1940" s="10" t="str">
        <f>VLOOKUP(K1940,Accounts!A:B,2,FALSE)</f>
        <v>KBank</v>
      </c>
      <c r="M1940" t="s">
        <v>2516</v>
      </c>
      <c r="N1940" s="10" t="str">
        <f>VLOOKUP(M1940,Accounts!A:B,2,FALSE)</f>
        <v>Travelcard</v>
      </c>
      <c r="O1940" t="s">
        <v>125</v>
      </c>
      <c r="Q1940" t="s">
        <v>126</v>
      </c>
      <c r="R1940" t="s">
        <v>124</v>
      </c>
      <c r="S1940" t="b">
        <v>0</v>
      </c>
      <c r="T1940" t="s">
        <v>124</v>
      </c>
    </row>
    <row r="1941">
      <c r="A1941" t="s">
        <v>3819</v>
      </c>
      <c r="B1941" t="s">
        <v>3820</v>
      </c>
      <c r="C1941" s="2">
        <v>2023</v>
      </c>
      <c r="D1941" s="10">
        <v>2</v>
      </c>
      <c r="E1941" s="10">
        <v>19</v>
      </c>
      <c r="F1941" t="s">
        <v>2495</v>
      </c>
      <c r="G1941">
        <v>680</v>
      </c>
      <c r="H1941" t="s">
        <v>69</v>
      </c>
      <c r="I1941" t="s">
        <v>150</v>
      </c>
      <c r="J1941" s="10" t="str">
        <f>VLOOKUP(I1941,Categories!A:B,2,FALSE)</f>
        <v xml:space="preserve">Food &amp; Coff</v>
      </c>
      <c r="K1941" t="s">
        <v>2317</v>
      </c>
      <c r="L1941" s="10" t="str">
        <f>VLOOKUP(K1941,Accounts!A:B,2,FALSE)</f>
        <v xml:space="preserve">Marriage account</v>
      </c>
      <c r="M1941" t="s">
        <v>124</v>
      </c>
      <c r="N1941" s="10"/>
      <c r="O1941" t="s">
        <v>125</v>
      </c>
      <c r="Q1941" t="s">
        <v>126</v>
      </c>
      <c r="R1941" t="s">
        <v>124</v>
      </c>
      <c r="S1941" t="b">
        <v>0</v>
      </c>
      <c r="T1941" t="s">
        <v>124</v>
      </c>
    </row>
    <row r="1942">
      <c r="A1942" t="s">
        <v>3821</v>
      </c>
      <c r="B1942" t="s">
        <v>3820</v>
      </c>
      <c r="C1942" s="2">
        <v>2023</v>
      </c>
      <c r="D1942" s="10">
        <v>2</v>
      </c>
      <c r="E1942" s="10">
        <v>19</v>
      </c>
      <c r="F1942" t="s">
        <v>737</v>
      </c>
      <c r="G1942">
        <v>1500</v>
      </c>
      <c r="H1942" t="s">
        <v>128</v>
      </c>
      <c r="I1942" t="s">
        <v>136</v>
      </c>
      <c r="J1942" s="10" t="str">
        <f>VLOOKUP(I1942,Categories!A:B,2,FALSE)</f>
        <v>อื่นๆ</v>
      </c>
      <c r="K1942" t="s">
        <v>131</v>
      </c>
      <c r="L1942" s="10" t="str">
        <f>VLOOKUP(K1942,Accounts!A:B,2,FALSE)</f>
        <v xml:space="preserve">Advance Paid</v>
      </c>
      <c r="M1942" t="s">
        <v>178</v>
      </c>
      <c r="N1942" s="10" t="str">
        <f>VLOOKUP(M1942,Accounts!A:B,2,FALSE)</f>
        <v>SCB</v>
      </c>
      <c r="O1942" t="s">
        <v>3822</v>
      </c>
      <c r="Q1942" t="s">
        <v>126</v>
      </c>
      <c r="R1942" t="s">
        <v>124</v>
      </c>
      <c r="S1942" t="b">
        <v>0</v>
      </c>
      <c r="T1942" t="s">
        <v>124</v>
      </c>
    </row>
    <row r="1943">
      <c r="A1943" t="s">
        <v>3823</v>
      </c>
      <c r="B1943" t="s">
        <v>3824</v>
      </c>
      <c r="C1943" s="2">
        <v>2023</v>
      </c>
      <c r="D1943" s="10">
        <v>2</v>
      </c>
      <c r="E1943" s="10">
        <v>16</v>
      </c>
      <c r="F1943" t="s">
        <v>595</v>
      </c>
      <c r="G1943">
        <v>110</v>
      </c>
      <c r="H1943" t="s">
        <v>69</v>
      </c>
      <c r="I1943" t="s">
        <v>150</v>
      </c>
      <c r="J1943" s="10" t="str">
        <f>VLOOKUP(I1943,Categories!A:B,2,FALSE)</f>
        <v xml:space="preserve">Food &amp; Coff</v>
      </c>
      <c r="K1943" t="s">
        <v>178</v>
      </c>
      <c r="L1943" s="10" t="str">
        <f>VLOOKUP(K1943,Accounts!A:B,2,FALSE)</f>
        <v>SCB</v>
      </c>
      <c r="M1943" t="s">
        <v>124</v>
      </c>
      <c r="N1943" s="10"/>
      <c r="O1943" t="s">
        <v>125</v>
      </c>
      <c r="Q1943" t="s">
        <v>126</v>
      </c>
      <c r="R1943" t="s">
        <v>124</v>
      </c>
      <c r="S1943" t="b">
        <v>0</v>
      </c>
      <c r="T1943" t="s">
        <v>124</v>
      </c>
    </row>
    <row r="1944">
      <c r="A1944" t="s">
        <v>3825</v>
      </c>
      <c r="B1944" t="s">
        <v>3824</v>
      </c>
      <c r="C1944" s="2">
        <v>2023</v>
      </c>
      <c r="D1944" s="10">
        <v>2</v>
      </c>
      <c r="E1944" s="10">
        <v>16</v>
      </c>
      <c r="F1944" t="s">
        <v>595</v>
      </c>
      <c r="G1944">
        <v>62</v>
      </c>
      <c r="H1944" t="s">
        <v>69</v>
      </c>
      <c r="I1944" t="s">
        <v>150</v>
      </c>
      <c r="J1944" s="10" t="str">
        <f>VLOOKUP(I1944,Categories!A:B,2,FALSE)</f>
        <v xml:space="preserve">Food &amp; Coff</v>
      </c>
      <c r="K1944" t="s">
        <v>178</v>
      </c>
      <c r="L1944" s="10" t="str">
        <f>VLOOKUP(K1944,Accounts!A:B,2,FALSE)</f>
        <v>SCB</v>
      </c>
      <c r="M1944" t="s">
        <v>124</v>
      </c>
      <c r="N1944" s="10"/>
      <c r="O1944" t="s">
        <v>125</v>
      </c>
      <c r="Q1944" t="s">
        <v>126</v>
      </c>
      <c r="R1944" t="s">
        <v>124</v>
      </c>
      <c r="S1944" t="b">
        <v>0</v>
      </c>
      <c r="T1944" t="s">
        <v>124</v>
      </c>
    </row>
    <row r="1945">
      <c r="A1945" t="s">
        <v>3826</v>
      </c>
      <c r="B1945" t="s">
        <v>3827</v>
      </c>
      <c r="C1945" s="2">
        <v>2023</v>
      </c>
      <c r="D1945" s="10">
        <v>2</v>
      </c>
      <c r="E1945" s="10">
        <v>15</v>
      </c>
      <c r="F1945" t="s">
        <v>603</v>
      </c>
      <c r="G1945">
        <v>125</v>
      </c>
      <c r="H1945" t="s">
        <v>69</v>
      </c>
      <c r="I1945" t="s">
        <v>150</v>
      </c>
      <c r="J1945" s="10" t="str">
        <f>VLOOKUP(I1945,Categories!A:B,2,FALSE)</f>
        <v xml:space="preserve">Food &amp; Coff</v>
      </c>
      <c r="K1945" t="s">
        <v>178</v>
      </c>
      <c r="L1945" s="10" t="str">
        <f>VLOOKUP(K1945,Accounts!A:B,2,FALSE)</f>
        <v>SCB</v>
      </c>
      <c r="M1945" t="s">
        <v>124</v>
      </c>
      <c r="N1945" s="10"/>
      <c r="O1945" t="s">
        <v>125</v>
      </c>
      <c r="Q1945" t="s">
        <v>126</v>
      </c>
      <c r="R1945" t="s">
        <v>124</v>
      </c>
      <c r="S1945" t="b">
        <v>0</v>
      </c>
      <c r="T1945" t="s">
        <v>124</v>
      </c>
    </row>
    <row r="1946">
      <c r="A1946" t="s">
        <v>3828</v>
      </c>
      <c r="B1946" t="s">
        <v>3827</v>
      </c>
      <c r="C1946" s="2">
        <v>2023</v>
      </c>
      <c r="D1946" s="10">
        <v>2</v>
      </c>
      <c r="E1946" s="10">
        <v>15</v>
      </c>
      <c r="F1946" t="s">
        <v>241</v>
      </c>
      <c r="G1946">
        <v>974</v>
      </c>
      <c r="H1946" t="s">
        <v>69</v>
      </c>
      <c r="I1946" t="s">
        <v>1882</v>
      </c>
      <c r="J1946" s="10" t="str">
        <f>VLOOKUP(I1946,Categories!A:B,2,FALSE)</f>
        <v>utility</v>
      </c>
      <c r="K1946" t="s">
        <v>2317</v>
      </c>
      <c r="L1946" s="10" t="str">
        <f>VLOOKUP(K1946,Accounts!A:B,2,FALSE)</f>
        <v xml:space="preserve">Marriage account</v>
      </c>
      <c r="M1946" t="s">
        <v>124</v>
      </c>
      <c r="N1946" s="10"/>
      <c r="O1946" t="s">
        <v>125</v>
      </c>
      <c r="Q1946" t="s">
        <v>126</v>
      </c>
      <c r="R1946" t="s">
        <v>124</v>
      </c>
      <c r="S1946" t="b">
        <v>0</v>
      </c>
      <c r="T1946" t="s">
        <v>124</v>
      </c>
    </row>
    <row r="1947">
      <c r="A1947" t="s">
        <v>3829</v>
      </c>
      <c r="B1947" t="s">
        <v>3827</v>
      </c>
      <c r="C1947" s="2">
        <v>2023</v>
      </c>
      <c r="D1947" s="10">
        <v>2</v>
      </c>
      <c r="E1947" s="10">
        <v>15</v>
      </c>
      <c r="F1947" t="s">
        <v>2894</v>
      </c>
      <c r="G1947">
        <v>235</v>
      </c>
      <c r="H1947" t="s">
        <v>69</v>
      </c>
      <c r="I1947" t="s">
        <v>150</v>
      </c>
      <c r="J1947" s="10" t="str">
        <f>VLOOKUP(I1947,Categories!A:B,2,FALSE)</f>
        <v xml:space="preserve">Food &amp; Coff</v>
      </c>
      <c r="K1947" t="s">
        <v>893</v>
      </c>
      <c r="L1947" s="10" t="str">
        <f>VLOOKUP(K1947,Accounts!A:B,2,FALSE)</f>
        <v>Shopee</v>
      </c>
      <c r="M1947" t="s">
        <v>124</v>
      </c>
      <c r="N1947" s="10"/>
      <c r="O1947" t="s">
        <v>125</v>
      </c>
      <c r="Q1947" t="s">
        <v>126</v>
      </c>
      <c r="R1947" t="s">
        <v>124</v>
      </c>
      <c r="S1947" t="b">
        <v>0</v>
      </c>
      <c r="T1947" t="s">
        <v>124</v>
      </c>
    </row>
    <row r="1948">
      <c r="A1948" t="s">
        <v>3830</v>
      </c>
      <c r="B1948" t="s">
        <v>3827</v>
      </c>
      <c r="C1948" s="2">
        <v>2023</v>
      </c>
      <c r="D1948" s="10">
        <v>2</v>
      </c>
      <c r="E1948" s="10">
        <v>15</v>
      </c>
      <c r="F1948" t="s">
        <v>1624</v>
      </c>
      <c r="G1948">
        <v>300</v>
      </c>
      <c r="H1948" t="s">
        <v>128</v>
      </c>
      <c r="I1948" t="s">
        <v>136</v>
      </c>
      <c r="J1948" s="10" t="str">
        <f>VLOOKUP(I1948,Categories!A:B,2,FALSE)</f>
        <v>อื่นๆ</v>
      </c>
      <c r="K1948" t="s">
        <v>178</v>
      </c>
      <c r="L1948" s="10" t="str">
        <f>VLOOKUP(K1948,Accounts!A:B,2,FALSE)</f>
        <v>SCB</v>
      </c>
      <c r="M1948" t="s">
        <v>893</v>
      </c>
      <c r="N1948" s="10" t="str">
        <f>VLOOKUP(M1948,Accounts!A:B,2,FALSE)</f>
        <v>Shopee</v>
      </c>
      <c r="O1948" t="s">
        <v>125</v>
      </c>
      <c r="Q1948" t="s">
        <v>126</v>
      </c>
      <c r="R1948" t="s">
        <v>124</v>
      </c>
      <c r="S1948" t="b">
        <v>0</v>
      </c>
      <c r="T1948" t="s">
        <v>124</v>
      </c>
    </row>
    <row r="1949">
      <c r="A1949" t="s">
        <v>3831</v>
      </c>
      <c r="B1949" t="s">
        <v>3832</v>
      </c>
      <c r="C1949" s="2">
        <v>2023</v>
      </c>
      <c r="D1949" s="10">
        <v>2</v>
      </c>
      <c r="E1949" s="10">
        <v>14</v>
      </c>
      <c r="F1949" t="s">
        <v>121</v>
      </c>
      <c r="G1949">
        <v>419</v>
      </c>
      <c r="H1949" t="s">
        <v>69</v>
      </c>
      <c r="I1949" t="s">
        <v>1903</v>
      </c>
      <c r="J1949" s="10" t="str">
        <f>VLOOKUP(I1949,Categories!A:B,2,FALSE)</f>
        <v xml:space="preserve">Monthly subscription</v>
      </c>
      <c r="K1949" t="s">
        <v>747</v>
      </c>
      <c r="L1949" s="10" t="str">
        <f>VLOOKUP(K1949,Accounts!A:B,2,FALSE)</f>
        <v xml:space="preserve">UOB world</v>
      </c>
      <c r="M1949" t="s">
        <v>124</v>
      </c>
      <c r="N1949" s="10"/>
      <c r="O1949" t="s">
        <v>125</v>
      </c>
      <c r="Q1949" t="s">
        <v>126</v>
      </c>
      <c r="R1949" t="s">
        <v>124</v>
      </c>
      <c r="S1949" t="b">
        <v>0</v>
      </c>
      <c r="T1949" t="s">
        <v>124</v>
      </c>
    </row>
    <row r="1950">
      <c r="A1950" t="s">
        <v>3833</v>
      </c>
      <c r="B1950" t="s">
        <v>3832</v>
      </c>
      <c r="C1950" s="2">
        <v>2023</v>
      </c>
      <c r="D1950" s="10">
        <v>2</v>
      </c>
      <c r="E1950" s="10">
        <v>14</v>
      </c>
      <c r="F1950" t="s">
        <v>2581</v>
      </c>
      <c r="G1950">
        <v>419</v>
      </c>
      <c r="H1950" t="s">
        <v>128</v>
      </c>
      <c r="I1950" t="s">
        <v>136</v>
      </c>
      <c r="J1950" s="10" t="str">
        <f>VLOOKUP(I1950,Categories!A:B,2,FALSE)</f>
        <v>อื่นๆ</v>
      </c>
      <c r="K1950" t="s">
        <v>178</v>
      </c>
      <c r="L1950" s="10" t="str">
        <f>VLOOKUP(K1950,Accounts!A:B,2,FALSE)</f>
        <v>SCB</v>
      </c>
      <c r="M1950" t="s">
        <v>1311</v>
      </c>
      <c r="N1950" s="10" t="str">
        <f>VLOOKUP(M1950,Accounts!A:B,2,FALSE)</f>
        <v xml:space="preserve">Netflix in Adv</v>
      </c>
      <c r="O1950" t="s">
        <v>125</v>
      </c>
      <c r="Q1950" t="s">
        <v>126</v>
      </c>
      <c r="R1950" t="s">
        <v>124</v>
      </c>
      <c r="S1950" t="b">
        <v>0</v>
      </c>
      <c r="T1950" t="s">
        <v>124</v>
      </c>
    </row>
    <row r="1951">
      <c r="A1951" t="s">
        <v>3834</v>
      </c>
      <c r="B1951" t="s">
        <v>3832</v>
      </c>
      <c r="C1951" s="2">
        <v>2023</v>
      </c>
      <c r="D1951" s="10">
        <v>2</v>
      </c>
      <c r="E1951" s="10">
        <v>14</v>
      </c>
      <c r="F1951" t="s">
        <v>2752</v>
      </c>
      <c r="G1951">
        <v>50</v>
      </c>
      <c r="H1951" t="s">
        <v>69</v>
      </c>
      <c r="I1951" t="s">
        <v>150</v>
      </c>
      <c r="J1951" s="10" t="str">
        <f>VLOOKUP(I1951,Categories!A:B,2,FALSE)</f>
        <v xml:space="preserve">Food &amp; Coff</v>
      </c>
      <c r="K1951" t="s">
        <v>178</v>
      </c>
      <c r="L1951" s="10" t="str">
        <f>VLOOKUP(K1951,Accounts!A:B,2,FALSE)</f>
        <v>SCB</v>
      </c>
      <c r="M1951" t="s">
        <v>124</v>
      </c>
      <c r="N1951" s="10"/>
      <c r="O1951" t="s">
        <v>125</v>
      </c>
      <c r="Q1951" t="s">
        <v>126</v>
      </c>
      <c r="R1951" t="s">
        <v>124</v>
      </c>
      <c r="S1951" t="b">
        <v>0</v>
      </c>
      <c r="T1951" t="s">
        <v>124</v>
      </c>
    </row>
    <row r="1952">
      <c r="A1952" t="s">
        <v>3835</v>
      </c>
      <c r="B1952" t="s">
        <v>3832</v>
      </c>
      <c r="C1952" s="2">
        <v>2023</v>
      </c>
      <c r="D1952" s="10">
        <v>2</v>
      </c>
      <c r="E1952" s="10">
        <v>14</v>
      </c>
      <c r="F1952" t="s">
        <v>994</v>
      </c>
      <c r="G1952">
        <v>70</v>
      </c>
      <c r="H1952" t="s">
        <v>69</v>
      </c>
      <c r="I1952" t="s">
        <v>150</v>
      </c>
      <c r="J1952" s="10" t="str">
        <f>VLOOKUP(I1952,Categories!A:B,2,FALSE)</f>
        <v xml:space="preserve">Food &amp; Coff</v>
      </c>
      <c r="K1952" t="s">
        <v>178</v>
      </c>
      <c r="L1952" s="10" t="str">
        <f>VLOOKUP(K1952,Accounts!A:B,2,FALSE)</f>
        <v>SCB</v>
      </c>
      <c r="M1952" t="s">
        <v>124</v>
      </c>
      <c r="N1952" s="10"/>
      <c r="O1952" t="s">
        <v>125</v>
      </c>
      <c r="Q1952" t="s">
        <v>126</v>
      </c>
      <c r="R1952" t="s">
        <v>124</v>
      </c>
      <c r="S1952" t="b">
        <v>0</v>
      </c>
      <c r="T1952" t="s">
        <v>124</v>
      </c>
    </row>
    <row r="1953">
      <c r="A1953" t="s">
        <v>3836</v>
      </c>
      <c r="B1953" t="s">
        <v>3832</v>
      </c>
      <c r="C1953" s="2">
        <v>2023</v>
      </c>
      <c r="D1953" s="10">
        <v>2</v>
      </c>
      <c r="E1953" s="10">
        <v>14</v>
      </c>
      <c r="F1953" t="s">
        <v>1902</v>
      </c>
      <c r="G1953">
        <v>724</v>
      </c>
      <c r="H1953" t="s">
        <v>69</v>
      </c>
      <c r="I1953" t="s">
        <v>134</v>
      </c>
      <c r="J1953" s="10" t="str">
        <f>VLOOKUP(I1953,Categories!A:B,2,FALSE)</f>
        <v>Hong</v>
      </c>
      <c r="K1953" t="s">
        <v>178</v>
      </c>
      <c r="L1953" s="10" t="str">
        <f>VLOOKUP(K1953,Accounts!A:B,2,FALSE)</f>
        <v>SCB</v>
      </c>
      <c r="M1953" t="s">
        <v>124</v>
      </c>
      <c r="N1953" s="10"/>
      <c r="O1953" t="s">
        <v>3837</v>
      </c>
      <c r="Q1953" t="s">
        <v>126</v>
      </c>
      <c r="R1953" t="s">
        <v>124</v>
      </c>
      <c r="S1953" t="b">
        <v>0</v>
      </c>
      <c r="T1953" t="s">
        <v>124</v>
      </c>
    </row>
    <row r="1954">
      <c r="A1954" t="s">
        <v>3838</v>
      </c>
      <c r="B1954" t="s">
        <v>3839</v>
      </c>
      <c r="C1954" s="2">
        <v>2023</v>
      </c>
      <c r="D1954" s="10">
        <v>2</v>
      </c>
      <c r="E1954" s="10">
        <v>13</v>
      </c>
      <c r="F1954" t="s">
        <v>3840</v>
      </c>
      <c r="G1954">
        <v>110</v>
      </c>
      <c r="H1954" t="s">
        <v>69</v>
      </c>
      <c r="I1954" t="s">
        <v>150</v>
      </c>
      <c r="J1954" s="10" t="str">
        <f>VLOOKUP(I1954,Categories!A:B,2,FALSE)</f>
        <v xml:space="preserve">Food &amp; Coff</v>
      </c>
      <c r="K1954" t="s">
        <v>178</v>
      </c>
      <c r="L1954" s="10" t="str">
        <f>VLOOKUP(K1954,Accounts!A:B,2,FALSE)</f>
        <v>SCB</v>
      </c>
      <c r="M1954" t="s">
        <v>124</v>
      </c>
      <c r="N1954" s="10"/>
      <c r="O1954" t="s">
        <v>125</v>
      </c>
      <c r="Q1954" t="s">
        <v>126</v>
      </c>
      <c r="R1954" t="s">
        <v>124</v>
      </c>
      <c r="S1954" t="b">
        <v>0</v>
      </c>
      <c r="T1954" t="s">
        <v>124</v>
      </c>
    </row>
    <row r="1955">
      <c r="A1955" t="s">
        <v>3841</v>
      </c>
      <c r="B1955" t="s">
        <v>3839</v>
      </c>
      <c r="C1955" s="2">
        <v>2023</v>
      </c>
      <c r="D1955" s="10">
        <v>2</v>
      </c>
      <c r="E1955" s="10">
        <v>13</v>
      </c>
      <c r="F1955" t="s">
        <v>608</v>
      </c>
      <c r="G1955">
        <v>60</v>
      </c>
      <c r="H1955" t="s">
        <v>69</v>
      </c>
      <c r="I1955" t="s">
        <v>150</v>
      </c>
      <c r="J1955" s="10" t="str">
        <f>VLOOKUP(I1955,Categories!A:B,2,FALSE)</f>
        <v xml:space="preserve">Food &amp; Coff</v>
      </c>
      <c r="K1955" t="s">
        <v>178</v>
      </c>
      <c r="L1955" s="10" t="str">
        <f>VLOOKUP(K1955,Accounts!A:B,2,FALSE)</f>
        <v>SCB</v>
      </c>
      <c r="M1955" t="s">
        <v>124</v>
      </c>
      <c r="N1955" s="10"/>
      <c r="O1955" t="s">
        <v>125</v>
      </c>
      <c r="Q1955" t="s">
        <v>126</v>
      </c>
      <c r="R1955" t="s">
        <v>124</v>
      </c>
      <c r="S1955" t="b">
        <v>0</v>
      </c>
      <c r="T1955" t="s">
        <v>124</v>
      </c>
    </row>
    <row r="1956">
      <c r="A1956" t="s">
        <v>3842</v>
      </c>
      <c r="B1956" t="s">
        <v>3839</v>
      </c>
      <c r="C1956" s="2">
        <v>2023</v>
      </c>
      <c r="D1956" s="10">
        <v>2</v>
      </c>
      <c r="E1956" s="10">
        <v>13</v>
      </c>
      <c r="F1956" t="s">
        <v>3843</v>
      </c>
      <c r="G1956">
        <v>11957</v>
      </c>
      <c r="H1956" t="s">
        <v>128</v>
      </c>
      <c r="I1956" t="s">
        <v>136</v>
      </c>
      <c r="J1956" s="10" t="str">
        <f>VLOOKUP(I1956,Categories!A:B,2,FALSE)</f>
        <v>อื่นๆ</v>
      </c>
      <c r="K1956" t="s">
        <v>178</v>
      </c>
      <c r="L1956" s="10" t="str">
        <f>VLOOKUP(K1956,Accounts!A:B,2,FALSE)</f>
        <v>SCB</v>
      </c>
      <c r="M1956" t="s">
        <v>131</v>
      </c>
      <c r="N1956" s="10" t="str">
        <f>VLOOKUP(M1956,Accounts!A:B,2,FALSE)</f>
        <v xml:space="preserve">Advance Paid</v>
      </c>
      <c r="O1956" t="s">
        <v>3844</v>
      </c>
      <c r="Q1956" t="s">
        <v>126</v>
      </c>
      <c r="R1956" t="s">
        <v>124</v>
      </c>
      <c r="S1956" t="b">
        <v>0</v>
      </c>
      <c r="T1956" t="s">
        <v>124</v>
      </c>
    </row>
    <row r="1957">
      <c r="A1957" t="s">
        <v>3845</v>
      </c>
      <c r="B1957" t="s">
        <v>3846</v>
      </c>
      <c r="C1957" s="2">
        <v>2023</v>
      </c>
      <c r="D1957" s="10">
        <v>2</v>
      </c>
      <c r="E1957" s="10">
        <v>12</v>
      </c>
      <c r="F1957" t="s">
        <v>3847</v>
      </c>
      <c r="G1957">
        <v>560</v>
      </c>
      <c r="H1957" t="s">
        <v>69</v>
      </c>
      <c r="I1957" t="s">
        <v>144</v>
      </c>
      <c r="J1957" s="10" t="str">
        <f>VLOOKUP(I1957,Categories!A:B,2,FALSE)</f>
        <v xml:space="preserve">Family paid</v>
      </c>
      <c r="K1957" t="s">
        <v>178</v>
      </c>
      <c r="L1957" s="10" t="str">
        <f>VLOOKUP(K1957,Accounts!A:B,2,FALSE)</f>
        <v>SCB</v>
      </c>
      <c r="M1957" t="s">
        <v>124</v>
      </c>
      <c r="N1957" s="10"/>
      <c r="O1957" t="s">
        <v>125</v>
      </c>
      <c r="Q1957" t="s">
        <v>126</v>
      </c>
      <c r="R1957" t="s">
        <v>124</v>
      </c>
      <c r="S1957" t="b">
        <v>0</v>
      </c>
      <c r="T1957" t="s">
        <v>124</v>
      </c>
    </row>
    <row r="1958">
      <c r="A1958" t="s">
        <v>3848</v>
      </c>
      <c r="B1958" t="s">
        <v>3846</v>
      </c>
      <c r="C1958" s="2">
        <v>2023</v>
      </c>
      <c r="D1958" s="10">
        <v>2</v>
      </c>
      <c r="E1958" s="10">
        <v>12</v>
      </c>
      <c r="F1958" t="s">
        <v>854</v>
      </c>
      <c r="G1958">
        <v>1049</v>
      </c>
      <c r="H1958" t="s">
        <v>128</v>
      </c>
      <c r="I1958" t="s">
        <v>136</v>
      </c>
      <c r="J1958" s="10" t="str">
        <f>VLOOKUP(I1958,Categories!A:B,2,FALSE)</f>
        <v>อื่นๆ</v>
      </c>
      <c r="K1958" t="s">
        <v>178</v>
      </c>
      <c r="L1958" s="10" t="str">
        <f>VLOOKUP(K1958,Accounts!A:B,2,FALSE)</f>
        <v>SCB</v>
      </c>
      <c r="M1958" t="s">
        <v>131</v>
      </c>
      <c r="N1958" s="10" t="str">
        <f>VLOOKUP(M1958,Accounts!A:B,2,FALSE)</f>
        <v xml:space="preserve">Advance Paid</v>
      </c>
      <c r="O1958" t="s">
        <v>3849</v>
      </c>
      <c r="Q1958" t="s">
        <v>126</v>
      </c>
      <c r="R1958" t="s">
        <v>124</v>
      </c>
      <c r="S1958" t="b">
        <v>0</v>
      </c>
      <c r="T1958" t="s">
        <v>124</v>
      </c>
    </row>
    <row r="1959">
      <c r="A1959" t="s">
        <v>3850</v>
      </c>
      <c r="B1959" t="s">
        <v>3851</v>
      </c>
      <c r="C1959" s="2">
        <v>2023</v>
      </c>
      <c r="D1959" s="10">
        <v>2</v>
      </c>
      <c r="E1959" s="10">
        <v>11</v>
      </c>
      <c r="F1959" t="s">
        <v>804</v>
      </c>
      <c r="G1959">
        <v>85</v>
      </c>
      <c r="H1959" t="s">
        <v>69</v>
      </c>
      <c r="I1959" t="s">
        <v>150</v>
      </c>
      <c r="J1959" s="10" t="str">
        <f>VLOOKUP(I1959,Categories!A:B,2,FALSE)</f>
        <v xml:space="preserve">Food &amp; Coff</v>
      </c>
      <c r="K1959" t="s">
        <v>178</v>
      </c>
      <c r="L1959" s="10" t="str">
        <f>VLOOKUP(K1959,Accounts!A:B,2,FALSE)</f>
        <v>SCB</v>
      </c>
      <c r="M1959" t="s">
        <v>124</v>
      </c>
      <c r="N1959" s="10"/>
      <c r="O1959" t="s">
        <v>3852</v>
      </c>
      <c r="Q1959" t="s">
        <v>126</v>
      </c>
      <c r="R1959" t="s">
        <v>124</v>
      </c>
      <c r="S1959" t="b">
        <v>0</v>
      </c>
      <c r="T1959" t="s">
        <v>124</v>
      </c>
    </row>
    <row r="1960">
      <c r="A1960" t="s">
        <v>3853</v>
      </c>
      <c r="B1960" t="s">
        <v>3851</v>
      </c>
      <c r="C1960" s="2">
        <v>2023</v>
      </c>
      <c r="D1960" s="10">
        <v>2</v>
      </c>
      <c r="E1960" s="10">
        <v>11</v>
      </c>
      <c r="F1960" t="s">
        <v>476</v>
      </c>
      <c r="G1960">
        <v>181</v>
      </c>
      <c r="H1960" t="s">
        <v>69</v>
      </c>
      <c r="I1960" t="s">
        <v>150</v>
      </c>
      <c r="J1960" s="10" t="str">
        <f>VLOOKUP(I1960,Categories!A:B,2,FALSE)</f>
        <v xml:space="preserve">Food &amp; Coff</v>
      </c>
      <c r="K1960" t="s">
        <v>2317</v>
      </c>
      <c r="L1960" s="10" t="str">
        <f>VLOOKUP(K1960,Accounts!A:B,2,FALSE)</f>
        <v xml:space="preserve">Marriage account</v>
      </c>
      <c r="M1960" t="s">
        <v>124</v>
      </c>
      <c r="N1960" s="10"/>
      <c r="O1960" t="s">
        <v>125</v>
      </c>
      <c r="Q1960" t="s">
        <v>126</v>
      </c>
      <c r="R1960" t="s">
        <v>124</v>
      </c>
      <c r="S1960" t="b">
        <v>0</v>
      </c>
      <c r="T1960" t="s">
        <v>124</v>
      </c>
    </row>
    <row r="1961">
      <c r="A1961" t="s">
        <v>3854</v>
      </c>
      <c r="B1961" t="s">
        <v>3851</v>
      </c>
      <c r="C1961" s="2">
        <v>2023</v>
      </c>
      <c r="D1961" s="10">
        <v>2</v>
      </c>
      <c r="E1961" s="10">
        <v>11</v>
      </c>
      <c r="F1961" t="s">
        <v>2267</v>
      </c>
      <c r="G1961">
        <v>1200</v>
      </c>
      <c r="H1961" t="s">
        <v>69</v>
      </c>
      <c r="I1961" t="s">
        <v>150</v>
      </c>
      <c r="J1961" s="10" t="str">
        <f>VLOOKUP(I1961,Categories!A:B,2,FALSE)</f>
        <v xml:space="preserve">Food &amp; Coff</v>
      </c>
      <c r="K1961" t="s">
        <v>178</v>
      </c>
      <c r="L1961" s="10" t="str">
        <f>VLOOKUP(K1961,Accounts!A:B,2,FALSE)</f>
        <v>SCB</v>
      </c>
      <c r="M1961" t="s">
        <v>124</v>
      </c>
      <c r="N1961" s="10"/>
      <c r="O1961" t="s">
        <v>125</v>
      </c>
      <c r="Q1961" t="s">
        <v>126</v>
      </c>
      <c r="R1961" t="s">
        <v>124</v>
      </c>
      <c r="S1961" t="b">
        <v>0</v>
      </c>
      <c r="T1961" t="s">
        <v>124</v>
      </c>
    </row>
    <row r="1962">
      <c r="A1962" t="s">
        <v>3855</v>
      </c>
      <c r="B1962" t="s">
        <v>3851</v>
      </c>
      <c r="C1962" s="2">
        <v>2023</v>
      </c>
      <c r="D1962" s="10">
        <v>2</v>
      </c>
      <c r="E1962" s="10">
        <v>11</v>
      </c>
      <c r="F1962" t="s">
        <v>3856</v>
      </c>
      <c r="G1962">
        <v>8900</v>
      </c>
      <c r="H1962" t="s">
        <v>69</v>
      </c>
      <c r="I1962" t="s">
        <v>338</v>
      </c>
      <c r="J1962" s="10" t="str">
        <f>VLOOKUP(I1962,Categories!A:B,2,FALSE)</f>
        <v>Trips</v>
      </c>
      <c r="K1962" t="s">
        <v>178</v>
      </c>
      <c r="L1962" s="10" t="str">
        <f>VLOOKUP(K1962,Accounts!A:B,2,FALSE)</f>
        <v>SCB</v>
      </c>
      <c r="M1962" t="s">
        <v>124</v>
      </c>
      <c r="N1962" s="10"/>
      <c r="O1962" t="s">
        <v>3857</v>
      </c>
      <c r="Q1962" t="s">
        <v>126</v>
      </c>
      <c r="R1962" t="s">
        <v>124</v>
      </c>
      <c r="S1962" t="b">
        <v>0</v>
      </c>
      <c r="T1962" t="s">
        <v>124</v>
      </c>
    </row>
    <row r="1963">
      <c r="A1963" t="s">
        <v>3858</v>
      </c>
      <c r="B1963" t="s">
        <v>3851</v>
      </c>
      <c r="C1963" s="2">
        <v>2023</v>
      </c>
      <c r="D1963" s="10">
        <v>2</v>
      </c>
      <c r="E1963" s="10">
        <v>11</v>
      </c>
      <c r="F1963" t="s">
        <v>984</v>
      </c>
      <c r="G1963">
        <v>394</v>
      </c>
      <c r="H1963" t="s">
        <v>69</v>
      </c>
      <c r="I1963" t="s">
        <v>150</v>
      </c>
      <c r="J1963" s="10" t="str">
        <f>VLOOKUP(I1963,Categories!A:B,2,FALSE)</f>
        <v xml:space="preserve">Food &amp; Coff</v>
      </c>
      <c r="K1963" t="s">
        <v>2317</v>
      </c>
      <c r="L1963" s="10" t="str">
        <f>VLOOKUP(K1963,Accounts!A:B,2,FALSE)</f>
        <v xml:space="preserve">Marriage account</v>
      </c>
      <c r="M1963" t="s">
        <v>124</v>
      </c>
      <c r="N1963" s="10"/>
      <c r="O1963" t="s">
        <v>125</v>
      </c>
      <c r="Q1963" t="s">
        <v>126</v>
      </c>
      <c r="R1963" t="s">
        <v>124</v>
      </c>
      <c r="S1963" t="b">
        <v>0</v>
      </c>
      <c r="T1963" t="s">
        <v>124</v>
      </c>
    </row>
    <row r="1964">
      <c r="A1964" t="s">
        <v>3859</v>
      </c>
      <c r="B1964" t="s">
        <v>3860</v>
      </c>
      <c r="C1964" s="2">
        <v>2023</v>
      </c>
      <c r="D1964" s="10">
        <v>2</v>
      </c>
      <c r="E1964" s="10">
        <v>9</v>
      </c>
      <c r="F1964" t="s">
        <v>1506</v>
      </c>
      <c r="G1964">
        <v>120</v>
      </c>
      <c r="H1964" t="s">
        <v>69</v>
      </c>
      <c r="I1964" t="s">
        <v>150</v>
      </c>
      <c r="J1964" s="10" t="str">
        <f>VLOOKUP(I1964,Categories!A:B,2,FALSE)</f>
        <v xml:space="preserve">Food &amp; Coff</v>
      </c>
      <c r="K1964" t="s">
        <v>2317</v>
      </c>
      <c r="L1964" s="10" t="str">
        <f>VLOOKUP(K1964,Accounts!A:B,2,FALSE)</f>
        <v xml:space="preserve">Marriage account</v>
      </c>
      <c r="M1964" t="s">
        <v>124</v>
      </c>
      <c r="N1964" s="10"/>
      <c r="O1964" t="s">
        <v>125</v>
      </c>
      <c r="Q1964" t="s">
        <v>126</v>
      </c>
      <c r="R1964" t="s">
        <v>124</v>
      </c>
      <c r="S1964" t="b">
        <v>0</v>
      </c>
      <c r="T1964" t="s">
        <v>124</v>
      </c>
    </row>
    <row r="1965">
      <c r="A1965" t="s">
        <v>3861</v>
      </c>
      <c r="B1965" t="s">
        <v>3860</v>
      </c>
      <c r="C1965" s="2">
        <v>2023</v>
      </c>
      <c r="D1965" s="10">
        <v>2</v>
      </c>
      <c r="E1965" s="10">
        <v>9</v>
      </c>
      <c r="F1965" t="s">
        <v>380</v>
      </c>
      <c r="G1965">
        <v>400</v>
      </c>
      <c r="H1965" t="s">
        <v>69</v>
      </c>
      <c r="I1965" t="s">
        <v>150</v>
      </c>
      <c r="J1965" s="10" t="str">
        <f>VLOOKUP(I1965,Categories!A:B,2,FALSE)</f>
        <v xml:space="preserve">Food &amp; Coff</v>
      </c>
      <c r="K1965" t="s">
        <v>178</v>
      </c>
      <c r="L1965" s="10" t="str">
        <f>VLOOKUP(K1965,Accounts!A:B,2,FALSE)</f>
        <v>SCB</v>
      </c>
      <c r="M1965" t="s">
        <v>124</v>
      </c>
      <c r="N1965" s="10"/>
      <c r="O1965" t="s">
        <v>3343</v>
      </c>
      <c r="Q1965" t="s">
        <v>126</v>
      </c>
      <c r="R1965" t="s">
        <v>124</v>
      </c>
      <c r="S1965" t="b">
        <v>0</v>
      </c>
      <c r="T1965" t="s">
        <v>124</v>
      </c>
    </row>
    <row r="1966">
      <c r="A1966" t="s">
        <v>3862</v>
      </c>
      <c r="B1966" t="s">
        <v>3860</v>
      </c>
      <c r="C1966" s="2">
        <v>2023</v>
      </c>
      <c r="D1966" s="10">
        <v>2</v>
      </c>
      <c r="E1966" s="10">
        <v>9</v>
      </c>
      <c r="F1966" t="s">
        <v>380</v>
      </c>
      <c r="G1966">
        <v>132</v>
      </c>
      <c r="H1966" t="s">
        <v>69</v>
      </c>
      <c r="I1966" t="s">
        <v>150</v>
      </c>
      <c r="J1966" s="10" t="str">
        <f>VLOOKUP(I1966,Categories!A:B,2,FALSE)</f>
        <v xml:space="preserve">Food &amp; Coff</v>
      </c>
      <c r="K1966" t="s">
        <v>178</v>
      </c>
      <c r="L1966" s="10" t="str">
        <f>VLOOKUP(K1966,Accounts!A:B,2,FALSE)</f>
        <v>SCB</v>
      </c>
      <c r="M1966" t="s">
        <v>124</v>
      </c>
      <c r="N1966" s="10"/>
      <c r="O1966" t="s">
        <v>125</v>
      </c>
      <c r="Q1966" t="s">
        <v>126</v>
      </c>
      <c r="R1966" t="s">
        <v>124</v>
      </c>
      <c r="S1966" t="b">
        <v>0</v>
      </c>
      <c r="T1966" t="s">
        <v>124</v>
      </c>
    </row>
    <row r="1967">
      <c r="A1967" t="s">
        <v>3863</v>
      </c>
      <c r="B1967" t="s">
        <v>3860</v>
      </c>
      <c r="C1967" s="2">
        <v>2023</v>
      </c>
      <c r="D1967" s="10">
        <v>2</v>
      </c>
      <c r="E1967" s="10">
        <v>9</v>
      </c>
      <c r="F1967" t="s">
        <v>380</v>
      </c>
      <c r="G1967">
        <v>132</v>
      </c>
      <c r="H1967" t="s">
        <v>128</v>
      </c>
      <c r="I1967" t="s">
        <v>136</v>
      </c>
      <c r="J1967" s="10" t="str">
        <f>VLOOKUP(I1967,Categories!A:B,2,FALSE)</f>
        <v>อื่นๆ</v>
      </c>
      <c r="K1967" t="s">
        <v>178</v>
      </c>
      <c r="L1967" s="10" t="str">
        <f>VLOOKUP(K1967,Accounts!A:B,2,FALSE)</f>
        <v>SCB</v>
      </c>
      <c r="M1967" t="s">
        <v>123</v>
      </c>
      <c r="N1967" s="10" t="str">
        <f>VLOOKUP(M1967,Accounts!A:B,2,FALSE)</f>
        <v>KBank</v>
      </c>
      <c r="O1967" t="s">
        <v>125</v>
      </c>
      <c r="Q1967" t="s">
        <v>126</v>
      </c>
      <c r="R1967" t="s">
        <v>124</v>
      </c>
      <c r="S1967" t="b">
        <v>0</v>
      </c>
      <c r="T1967" t="s">
        <v>124</v>
      </c>
    </row>
    <row r="1968">
      <c r="A1968" t="s">
        <v>3864</v>
      </c>
      <c r="B1968" t="s">
        <v>3860</v>
      </c>
      <c r="C1968" s="2">
        <v>2023</v>
      </c>
      <c r="D1968" s="10">
        <v>2</v>
      </c>
      <c r="E1968" s="10">
        <v>9</v>
      </c>
      <c r="F1968" t="s">
        <v>3223</v>
      </c>
      <c r="G1968">
        <v>55</v>
      </c>
      <c r="H1968" t="s">
        <v>69</v>
      </c>
      <c r="I1968" t="s">
        <v>150</v>
      </c>
      <c r="J1968" s="10" t="str">
        <f>VLOOKUP(I1968,Categories!A:B,2,FALSE)</f>
        <v xml:space="preserve">Food &amp; Coff</v>
      </c>
      <c r="K1968" t="s">
        <v>178</v>
      </c>
      <c r="L1968" s="10" t="str">
        <f>VLOOKUP(K1968,Accounts!A:B,2,FALSE)</f>
        <v>SCB</v>
      </c>
      <c r="M1968" t="s">
        <v>124</v>
      </c>
      <c r="N1968" s="10"/>
      <c r="O1968" t="s">
        <v>125</v>
      </c>
      <c r="Q1968" t="s">
        <v>126</v>
      </c>
      <c r="R1968" t="s">
        <v>124</v>
      </c>
      <c r="S1968" t="b">
        <v>0</v>
      </c>
      <c r="T1968" t="s">
        <v>124</v>
      </c>
    </row>
    <row r="1969">
      <c r="A1969" t="s">
        <v>3865</v>
      </c>
      <c r="B1969" t="s">
        <v>3866</v>
      </c>
      <c r="C1969" s="2">
        <v>2023</v>
      </c>
      <c r="D1969" s="10">
        <v>2</v>
      </c>
      <c r="E1969" s="10">
        <v>8</v>
      </c>
      <c r="F1969" t="s">
        <v>1158</v>
      </c>
      <c r="G1969">
        <v>395</v>
      </c>
      <c r="H1969" t="s">
        <v>69</v>
      </c>
      <c r="I1969" t="s">
        <v>150</v>
      </c>
      <c r="J1969" s="10" t="str">
        <f>VLOOKUP(I1969,Categories!A:B,2,FALSE)</f>
        <v xml:space="preserve">Food &amp; Coff</v>
      </c>
      <c r="K1969" t="s">
        <v>178</v>
      </c>
      <c r="L1969" s="10" t="str">
        <f>VLOOKUP(K1969,Accounts!A:B,2,FALSE)</f>
        <v>SCB</v>
      </c>
      <c r="M1969" t="s">
        <v>124</v>
      </c>
      <c r="N1969" s="10"/>
      <c r="O1969" t="s">
        <v>125</v>
      </c>
      <c r="Q1969" t="s">
        <v>126</v>
      </c>
      <c r="R1969" t="s">
        <v>124</v>
      </c>
      <c r="S1969" t="b">
        <v>0</v>
      </c>
      <c r="T1969" t="s">
        <v>124</v>
      </c>
    </row>
    <row r="1970">
      <c r="A1970" t="s">
        <v>3867</v>
      </c>
      <c r="B1970" t="s">
        <v>3868</v>
      </c>
      <c r="C1970" s="2">
        <v>2023</v>
      </c>
      <c r="D1970" s="10">
        <v>2</v>
      </c>
      <c r="E1970" s="10">
        <v>7</v>
      </c>
      <c r="F1970" t="s">
        <v>3869</v>
      </c>
      <c r="G1970">
        <v>125</v>
      </c>
      <c r="H1970" t="s">
        <v>69</v>
      </c>
      <c r="I1970" t="s">
        <v>150</v>
      </c>
      <c r="J1970" s="10" t="str">
        <f>VLOOKUP(I1970,Categories!A:B,2,FALSE)</f>
        <v xml:space="preserve">Food &amp; Coff</v>
      </c>
      <c r="K1970" t="s">
        <v>2317</v>
      </c>
      <c r="L1970" s="10" t="str">
        <f>VLOOKUP(K1970,Accounts!A:B,2,FALSE)</f>
        <v xml:space="preserve">Marriage account</v>
      </c>
      <c r="M1970" t="s">
        <v>124</v>
      </c>
      <c r="N1970" s="10"/>
      <c r="O1970" t="s">
        <v>125</v>
      </c>
      <c r="Q1970" t="s">
        <v>126</v>
      </c>
      <c r="R1970" t="s">
        <v>124</v>
      </c>
      <c r="S1970" t="b">
        <v>0</v>
      </c>
      <c r="T1970" t="s">
        <v>124</v>
      </c>
    </row>
    <row r="1971">
      <c r="A1971" t="s">
        <v>3870</v>
      </c>
      <c r="B1971" t="s">
        <v>3868</v>
      </c>
      <c r="C1971" s="2">
        <v>2023</v>
      </c>
      <c r="D1971" s="10">
        <v>2</v>
      </c>
      <c r="E1971" s="10">
        <v>7</v>
      </c>
      <c r="F1971" t="s">
        <v>3869</v>
      </c>
      <c r="G1971">
        <v>500</v>
      </c>
      <c r="H1971" t="s">
        <v>69</v>
      </c>
      <c r="I1971" t="s">
        <v>3504</v>
      </c>
      <c r="J1971" s="10" t="str">
        <f>VLOOKUP(I1971,Categories!A:B,2,FALSE)</f>
        <v xml:space="preserve">Condo suppliers</v>
      </c>
      <c r="K1971" t="s">
        <v>2317</v>
      </c>
      <c r="L1971" s="10" t="str">
        <f>VLOOKUP(K1971,Accounts!A:B,2,FALSE)</f>
        <v xml:space="preserve">Marriage account</v>
      </c>
      <c r="M1971" t="s">
        <v>124</v>
      </c>
      <c r="N1971" s="10"/>
      <c r="O1971" t="s">
        <v>3871</v>
      </c>
      <c r="Q1971" t="s">
        <v>126</v>
      </c>
      <c r="R1971" t="s">
        <v>124</v>
      </c>
      <c r="S1971" t="b">
        <v>0</v>
      </c>
      <c r="T1971" t="s">
        <v>124</v>
      </c>
    </row>
    <row r="1972">
      <c r="A1972" t="s">
        <v>3872</v>
      </c>
      <c r="B1972" t="s">
        <v>3873</v>
      </c>
      <c r="C1972" s="2">
        <v>2023</v>
      </c>
      <c r="D1972" s="10">
        <v>2</v>
      </c>
      <c r="E1972" s="10">
        <v>5</v>
      </c>
      <c r="F1972" t="s">
        <v>521</v>
      </c>
      <c r="G1972">
        <v>680</v>
      </c>
      <c r="H1972" t="s">
        <v>69</v>
      </c>
      <c r="I1972" t="s">
        <v>150</v>
      </c>
      <c r="J1972" s="10" t="str">
        <f>VLOOKUP(I1972,Categories!A:B,2,FALSE)</f>
        <v xml:space="preserve">Food &amp; Coff</v>
      </c>
      <c r="K1972" t="s">
        <v>2317</v>
      </c>
      <c r="L1972" s="10" t="str">
        <f>VLOOKUP(K1972,Accounts!A:B,2,FALSE)</f>
        <v xml:space="preserve">Marriage account</v>
      </c>
      <c r="M1972" t="s">
        <v>124</v>
      </c>
      <c r="N1972" s="10"/>
      <c r="O1972" t="s">
        <v>3874</v>
      </c>
      <c r="Q1972" t="s">
        <v>126</v>
      </c>
      <c r="R1972" t="s">
        <v>124</v>
      </c>
      <c r="S1972" t="b">
        <v>0</v>
      </c>
      <c r="T1972" t="s">
        <v>124</v>
      </c>
    </row>
    <row r="1973">
      <c r="A1973" t="s">
        <v>3875</v>
      </c>
      <c r="B1973" t="s">
        <v>3873</v>
      </c>
      <c r="C1973" s="2">
        <v>2023</v>
      </c>
      <c r="D1973" s="10">
        <v>2</v>
      </c>
      <c r="E1973" s="10">
        <v>5</v>
      </c>
      <c r="F1973" t="s">
        <v>798</v>
      </c>
      <c r="G1973">
        <v>45</v>
      </c>
      <c r="H1973" t="s">
        <v>69</v>
      </c>
      <c r="I1973" t="s">
        <v>150</v>
      </c>
      <c r="J1973" s="10" t="str">
        <f>VLOOKUP(I1973,Categories!A:B,2,FALSE)</f>
        <v xml:space="preserve">Food &amp; Coff</v>
      </c>
      <c r="K1973" t="s">
        <v>123</v>
      </c>
      <c r="L1973" s="10" t="str">
        <f>VLOOKUP(K1973,Accounts!A:B,2,FALSE)</f>
        <v>KBank</v>
      </c>
      <c r="M1973" t="s">
        <v>124</v>
      </c>
      <c r="N1973" s="10"/>
      <c r="O1973" t="s">
        <v>125</v>
      </c>
      <c r="Q1973" t="s">
        <v>126</v>
      </c>
      <c r="R1973" t="s">
        <v>124</v>
      </c>
      <c r="S1973" t="b">
        <v>0</v>
      </c>
      <c r="T1973" t="s">
        <v>124</v>
      </c>
    </row>
    <row r="1974">
      <c r="A1974" t="s">
        <v>3876</v>
      </c>
      <c r="B1974" t="s">
        <v>3873</v>
      </c>
      <c r="C1974" s="2">
        <v>2023</v>
      </c>
      <c r="D1974" s="10">
        <v>2</v>
      </c>
      <c r="E1974" s="10">
        <v>5</v>
      </c>
      <c r="F1974" t="s">
        <v>1859</v>
      </c>
      <c r="G1974">
        <v>364</v>
      </c>
      <c r="H1974" t="s">
        <v>69</v>
      </c>
      <c r="I1974" t="s">
        <v>150</v>
      </c>
      <c r="J1974" s="10" t="str">
        <f>VLOOKUP(I1974,Categories!A:B,2,FALSE)</f>
        <v xml:space="preserve">Food &amp; Coff</v>
      </c>
      <c r="K1974" t="s">
        <v>2317</v>
      </c>
      <c r="L1974" s="10" t="str">
        <f>VLOOKUP(K1974,Accounts!A:B,2,FALSE)</f>
        <v xml:space="preserve">Marriage account</v>
      </c>
      <c r="M1974" t="s">
        <v>124</v>
      </c>
      <c r="N1974" s="10"/>
      <c r="O1974" t="s">
        <v>3877</v>
      </c>
      <c r="Q1974" t="s">
        <v>126</v>
      </c>
      <c r="R1974" t="s">
        <v>124</v>
      </c>
      <c r="S1974" t="b">
        <v>0</v>
      </c>
      <c r="T1974" t="s">
        <v>124</v>
      </c>
    </row>
    <row r="1975">
      <c r="A1975" t="s">
        <v>3878</v>
      </c>
      <c r="B1975" t="s">
        <v>3879</v>
      </c>
      <c r="C1975" s="2">
        <v>2023</v>
      </c>
      <c r="D1975" s="10">
        <v>2</v>
      </c>
      <c r="E1975" s="10">
        <v>4</v>
      </c>
      <c r="F1975" t="s">
        <v>159</v>
      </c>
      <c r="G1975">
        <v>165</v>
      </c>
      <c r="H1975" t="s">
        <v>69</v>
      </c>
      <c r="I1975" t="s">
        <v>150</v>
      </c>
      <c r="J1975" s="10" t="str">
        <f>VLOOKUP(I1975,Categories!A:B,2,FALSE)</f>
        <v xml:space="preserve">Food &amp; Coff</v>
      </c>
      <c r="K1975" t="s">
        <v>2317</v>
      </c>
      <c r="L1975" s="10" t="str">
        <f>VLOOKUP(K1975,Accounts!A:B,2,FALSE)</f>
        <v xml:space="preserve">Marriage account</v>
      </c>
      <c r="M1975" t="s">
        <v>124</v>
      </c>
      <c r="N1975" s="10"/>
      <c r="O1975" t="s">
        <v>125</v>
      </c>
      <c r="Q1975" t="s">
        <v>126</v>
      </c>
      <c r="R1975" t="s">
        <v>124</v>
      </c>
      <c r="S1975" t="b">
        <v>0</v>
      </c>
      <c r="T1975" t="s">
        <v>124</v>
      </c>
    </row>
    <row r="1976">
      <c r="A1976" t="s">
        <v>3880</v>
      </c>
      <c r="B1976" t="s">
        <v>3879</v>
      </c>
      <c r="C1976" s="2">
        <v>2023</v>
      </c>
      <c r="D1976" s="10">
        <v>2</v>
      </c>
      <c r="E1976" s="10">
        <v>4</v>
      </c>
      <c r="F1976" t="s">
        <v>3881</v>
      </c>
      <c r="G1976">
        <v>140</v>
      </c>
      <c r="H1976" t="s">
        <v>69</v>
      </c>
      <c r="I1976" t="s">
        <v>1679</v>
      </c>
      <c r="J1976" s="10" t="str">
        <f>VLOOKUP(I1976,Categories!A:B,2,FALSE)</f>
        <v xml:space="preserve">Condo stuff</v>
      </c>
      <c r="K1976" t="s">
        <v>2317</v>
      </c>
      <c r="L1976" s="10" t="str">
        <f>VLOOKUP(K1976,Accounts!A:B,2,FALSE)</f>
        <v xml:space="preserve">Marriage account</v>
      </c>
      <c r="M1976" t="s">
        <v>124</v>
      </c>
      <c r="N1976" s="10"/>
      <c r="O1976" t="s">
        <v>3882</v>
      </c>
      <c r="Q1976" t="s">
        <v>126</v>
      </c>
      <c r="R1976" t="s">
        <v>124</v>
      </c>
      <c r="S1976" t="b">
        <v>0</v>
      </c>
      <c r="T1976" t="s">
        <v>124</v>
      </c>
    </row>
    <row r="1977">
      <c r="A1977" t="s">
        <v>3883</v>
      </c>
      <c r="B1977" t="s">
        <v>3879</v>
      </c>
      <c r="C1977" s="2">
        <v>2023</v>
      </c>
      <c r="D1977" s="10">
        <v>2</v>
      </c>
      <c r="E1977" s="10">
        <v>4</v>
      </c>
      <c r="F1977" t="s">
        <v>1452</v>
      </c>
      <c r="G1977">
        <v>5628.5200000000004</v>
      </c>
      <c r="H1977" t="s">
        <v>69</v>
      </c>
      <c r="I1977" t="s">
        <v>139</v>
      </c>
      <c r="J1977" s="10" t="str">
        <f>VLOOKUP(I1977,Categories!A:B,2,FALSE)</f>
        <v>Condo</v>
      </c>
      <c r="K1977" t="s">
        <v>123</v>
      </c>
      <c r="L1977" s="10" t="str">
        <f>VLOOKUP(K1977,Accounts!A:B,2,FALSE)</f>
        <v>KBank</v>
      </c>
      <c r="M1977" t="s">
        <v>124</v>
      </c>
      <c r="N1977" s="10"/>
      <c r="O1977" t="s">
        <v>125</v>
      </c>
      <c r="Q1977" t="s">
        <v>126</v>
      </c>
      <c r="R1977" t="s">
        <v>124</v>
      </c>
      <c r="S1977" t="b">
        <v>0</v>
      </c>
      <c r="T1977" t="s">
        <v>124</v>
      </c>
    </row>
    <row r="1978">
      <c r="A1978" t="s">
        <v>3884</v>
      </c>
      <c r="B1978" t="s">
        <v>3879</v>
      </c>
      <c r="C1978" s="2">
        <v>2023</v>
      </c>
      <c r="D1978" s="10">
        <v>2</v>
      </c>
      <c r="E1978" s="10">
        <v>4</v>
      </c>
      <c r="F1978" t="s">
        <v>2534</v>
      </c>
      <c r="G1978">
        <v>50</v>
      </c>
      <c r="H1978" t="s">
        <v>69</v>
      </c>
      <c r="I1978" t="s">
        <v>150</v>
      </c>
      <c r="J1978" s="10" t="str">
        <f>VLOOKUP(I1978,Categories!A:B,2,FALSE)</f>
        <v xml:space="preserve">Food &amp; Coff</v>
      </c>
      <c r="K1978" t="s">
        <v>2317</v>
      </c>
      <c r="L1978" s="10" t="str">
        <f>VLOOKUP(K1978,Accounts!A:B,2,FALSE)</f>
        <v xml:space="preserve">Marriage account</v>
      </c>
      <c r="M1978" t="s">
        <v>124</v>
      </c>
      <c r="N1978" s="10"/>
      <c r="O1978" t="s">
        <v>3493</v>
      </c>
      <c r="Q1978" t="s">
        <v>126</v>
      </c>
      <c r="R1978" t="s">
        <v>124</v>
      </c>
      <c r="S1978" t="b">
        <v>0</v>
      </c>
      <c r="T1978" t="s">
        <v>124</v>
      </c>
    </row>
    <row r="1979">
      <c r="A1979" t="s">
        <v>3885</v>
      </c>
      <c r="B1979" t="s">
        <v>3879</v>
      </c>
      <c r="C1979" s="2">
        <v>2023</v>
      </c>
      <c r="D1979" s="10">
        <v>2</v>
      </c>
      <c r="E1979" s="10">
        <v>4</v>
      </c>
      <c r="F1979" t="s">
        <v>3886</v>
      </c>
      <c r="G1979">
        <v>10000</v>
      </c>
      <c r="H1979" t="s">
        <v>206</v>
      </c>
      <c r="I1979" t="s">
        <v>281</v>
      </c>
      <c r="J1979" s="10" t="str">
        <f>VLOOKUP(I1979,Categories!A:B,2,FALSE)</f>
        <v>Others</v>
      </c>
      <c r="K1979" t="s">
        <v>2317</v>
      </c>
      <c r="L1979" s="10" t="str">
        <f>VLOOKUP(K1979,Accounts!A:B,2,FALSE)</f>
        <v xml:space="preserve">Marriage account</v>
      </c>
      <c r="M1979" t="s">
        <v>124</v>
      </c>
      <c r="N1979" s="10"/>
      <c r="O1979" t="s">
        <v>125</v>
      </c>
      <c r="Q1979" t="s">
        <v>126</v>
      </c>
      <c r="R1979" t="s">
        <v>124</v>
      </c>
      <c r="S1979" t="b">
        <v>0</v>
      </c>
      <c r="T1979" t="s">
        <v>124</v>
      </c>
    </row>
    <row r="1980">
      <c r="A1980" t="s">
        <v>3887</v>
      </c>
      <c r="B1980" t="s">
        <v>3879</v>
      </c>
      <c r="C1980" s="2">
        <v>2023</v>
      </c>
      <c r="D1980" s="10">
        <v>2</v>
      </c>
      <c r="E1980" s="10">
        <v>4</v>
      </c>
      <c r="F1980" t="s">
        <v>3888</v>
      </c>
      <c r="G1980">
        <v>1192</v>
      </c>
      <c r="H1980" t="s">
        <v>69</v>
      </c>
      <c r="I1980" t="s">
        <v>150</v>
      </c>
      <c r="J1980" s="10" t="str">
        <f>VLOOKUP(I1980,Categories!A:B,2,FALSE)</f>
        <v xml:space="preserve">Food &amp; Coff</v>
      </c>
      <c r="K1980" t="s">
        <v>2317</v>
      </c>
      <c r="L1980" s="10" t="str">
        <f>VLOOKUP(K1980,Accounts!A:B,2,FALSE)</f>
        <v xml:space="preserve">Marriage account</v>
      </c>
      <c r="M1980" t="s">
        <v>124</v>
      </c>
      <c r="N1980" s="10"/>
      <c r="O1980" t="s">
        <v>3889</v>
      </c>
      <c r="Q1980" t="s">
        <v>126</v>
      </c>
      <c r="R1980" t="s">
        <v>124</v>
      </c>
      <c r="S1980" t="b">
        <v>0</v>
      </c>
      <c r="T1980" t="s">
        <v>124</v>
      </c>
    </row>
    <row r="1981">
      <c r="A1981" t="s">
        <v>3890</v>
      </c>
      <c r="B1981" t="s">
        <v>3879</v>
      </c>
      <c r="C1981" s="2">
        <v>2023</v>
      </c>
      <c r="D1981" s="10">
        <v>2</v>
      </c>
      <c r="E1981" s="10">
        <v>4</v>
      </c>
      <c r="F1981" t="s">
        <v>3891</v>
      </c>
      <c r="G1981">
        <v>2805</v>
      </c>
      <c r="H1981" t="s">
        <v>69</v>
      </c>
      <c r="I1981" t="s">
        <v>157</v>
      </c>
      <c r="J1981" s="10" t="str">
        <f>VLOOKUP(I1981,Categories!A:B,2,FALSE)</f>
        <v>Boardgame</v>
      </c>
      <c r="K1981" t="s">
        <v>123</v>
      </c>
      <c r="L1981" s="10" t="str">
        <f>VLOOKUP(K1981,Accounts!A:B,2,FALSE)</f>
        <v>KBank</v>
      </c>
      <c r="M1981" t="s">
        <v>124</v>
      </c>
      <c r="N1981" s="10"/>
      <c r="O1981" t="s">
        <v>3892</v>
      </c>
      <c r="Q1981" t="s">
        <v>126</v>
      </c>
      <c r="R1981" t="s">
        <v>124</v>
      </c>
      <c r="S1981" t="b">
        <v>0</v>
      </c>
      <c r="T1981" t="s">
        <v>124</v>
      </c>
    </row>
    <row r="1982">
      <c r="A1982" t="s">
        <v>3893</v>
      </c>
      <c r="B1982" t="s">
        <v>3879</v>
      </c>
      <c r="C1982" s="2">
        <v>2023</v>
      </c>
      <c r="D1982" s="10">
        <v>2</v>
      </c>
      <c r="E1982" s="10">
        <v>4</v>
      </c>
      <c r="F1982" t="s">
        <v>2515</v>
      </c>
      <c r="G1982">
        <v>3776</v>
      </c>
      <c r="H1982" t="s">
        <v>69</v>
      </c>
      <c r="I1982" t="s">
        <v>157</v>
      </c>
      <c r="J1982" s="10" t="str">
        <f>VLOOKUP(I1982,Categories!A:B,2,FALSE)</f>
        <v>Boardgame</v>
      </c>
      <c r="K1982" t="s">
        <v>123</v>
      </c>
      <c r="L1982" s="10" t="str">
        <f>VLOOKUP(K1982,Accounts!A:B,2,FALSE)</f>
        <v>KBank</v>
      </c>
      <c r="M1982" t="s">
        <v>124</v>
      </c>
      <c r="N1982" s="10"/>
      <c r="O1982" t="s">
        <v>3894</v>
      </c>
      <c r="Q1982" t="s">
        <v>126</v>
      </c>
      <c r="R1982" t="s">
        <v>124</v>
      </c>
      <c r="S1982" t="b">
        <v>0</v>
      </c>
      <c r="T1982" t="s">
        <v>124</v>
      </c>
    </row>
    <row r="1983">
      <c r="A1983" t="s">
        <v>3895</v>
      </c>
      <c r="B1983" t="s">
        <v>3879</v>
      </c>
      <c r="C1983" s="2">
        <v>2023</v>
      </c>
      <c r="D1983" s="10">
        <v>2</v>
      </c>
      <c r="E1983" s="10">
        <v>4</v>
      </c>
      <c r="F1983" t="s">
        <v>3896</v>
      </c>
      <c r="G1983">
        <v>478</v>
      </c>
      <c r="H1983" t="s">
        <v>69</v>
      </c>
      <c r="I1983" t="s">
        <v>144</v>
      </c>
      <c r="J1983" s="10" t="str">
        <f>VLOOKUP(I1983,Categories!A:B,2,FALSE)</f>
        <v xml:space="preserve">Family paid</v>
      </c>
      <c r="K1983" t="s">
        <v>123</v>
      </c>
      <c r="L1983" s="10" t="str">
        <f>VLOOKUP(K1983,Accounts!A:B,2,FALSE)</f>
        <v>KBank</v>
      </c>
      <c r="M1983" t="s">
        <v>124</v>
      </c>
      <c r="N1983" s="10"/>
      <c r="O1983" t="s">
        <v>125</v>
      </c>
      <c r="Q1983" t="s">
        <v>126</v>
      </c>
      <c r="R1983" t="s">
        <v>124</v>
      </c>
      <c r="S1983" t="b">
        <v>0</v>
      </c>
      <c r="T1983" t="s">
        <v>124</v>
      </c>
    </row>
    <row r="1984">
      <c r="A1984" t="s">
        <v>3897</v>
      </c>
      <c r="B1984" t="s">
        <v>3879</v>
      </c>
      <c r="C1984" s="2">
        <v>2023</v>
      </c>
      <c r="D1984" s="10">
        <v>2</v>
      </c>
      <c r="E1984" s="10">
        <v>4</v>
      </c>
      <c r="F1984" t="s">
        <v>3898</v>
      </c>
      <c r="G1984">
        <v>1709</v>
      </c>
      <c r="H1984" t="s">
        <v>69</v>
      </c>
      <c r="I1984" t="s">
        <v>1882</v>
      </c>
      <c r="J1984" s="10" t="str">
        <f>VLOOKUP(I1984,Categories!A:B,2,FALSE)</f>
        <v>utility</v>
      </c>
      <c r="K1984" t="s">
        <v>2317</v>
      </c>
      <c r="L1984" s="10" t="str">
        <f>VLOOKUP(K1984,Accounts!A:B,2,FALSE)</f>
        <v xml:space="preserve">Marriage account</v>
      </c>
      <c r="M1984" t="s">
        <v>124</v>
      </c>
      <c r="N1984" s="10"/>
      <c r="O1984" t="s">
        <v>3899</v>
      </c>
      <c r="Q1984" t="s">
        <v>126</v>
      </c>
      <c r="R1984" t="s">
        <v>124</v>
      </c>
      <c r="S1984" t="b">
        <v>0</v>
      </c>
      <c r="T1984" t="s">
        <v>124</v>
      </c>
    </row>
    <row r="1985">
      <c r="A1985" t="s">
        <v>3900</v>
      </c>
      <c r="B1985" t="s">
        <v>3879</v>
      </c>
      <c r="C1985" s="2">
        <v>2023</v>
      </c>
      <c r="D1985" s="10">
        <v>2</v>
      </c>
      <c r="E1985" s="10">
        <v>4</v>
      </c>
      <c r="F1985" t="s">
        <v>3898</v>
      </c>
      <c r="G1985">
        <v>3487</v>
      </c>
      <c r="H1985" t="s">
        <v>69</v>
      </c>
      <c r="I1985" t="s">
        <v>150</v>
      </c>
      <c r="J1985" s="10" t="str">
        <f>VLOOKUP(I1985,Categories!A:B,2,FALSE)</f>
        <v xml:space="preserve">Food &amp; Coff</v>
      </c>
      <c r="K1985" t="s">
        <v>2317</v>
      </c>
      <c r="L1985" s="10" t="str">
        <f>VLOOKUP(K1985,Accounts!A:B,2,FALSE)</f>
        <v xml:space="preserve">Marriage account</v>
      </c>
      <c r="M1985" t="s">
        <v>124</v>
      </c>
      <c r="N1985" s="10"/>
      <c r="O1985" t="s">
        <v>3901</v>
      </c>
      <c r="Q1985" t="s">
        <v>126</v>
      </c>
      <c r="R1985" t="s">
        <v>124</v>
      </c>
      <c r="S1985" t="b">
        <v>0</v>
      </c>
      <c r="T1985" t="s">
        <v>124</v>
      </c>
    </row>
    <row r="1986">
      <c r="A1986" t="s">
        <v>3902</v>
      </c>
      <c r="B1986" t="s">
        <v>3879</v>
      </c>
      <c r="C1986" s="2">
        <v>2023</v>
      </c>
      <c r="D1986" s="10">
        <v>2</v>
      </c>
      <c r="E1986" s="10">
        <v>4</v>
      </c>
      <c r="F1986" t="s">
        <v>3903</v>
      </c>
      <c r="G1986">
        <v>1000</v>
      </c>
      <c r="H1986" t="s">
        <v>69</v>
      </c>
      <c r="I1986" t="s">
        <v>141</v>
      </c>
      <c r="J1986" s="10" t="str">
        <f>VLOOKUP(I1986,Categories!A:B,2,FALSE)</f>
        <v>Other</v>
      </c>
      <c r="K1986" t="s">
        <v>2317</v>
      </c>
      <c r="L1986" s="10" t="str">
        <f>VLOOKUP(K1986,Accounts!A:B,2,FALSE)</f>
        <v xml:space="preserve">Marriage account</v>
      </c>
      <c r="M1986" t="s">
        <v>124</v>
      </c>
      <c r="N1986" s="10"/>
      <c r="O1986" t="s">
        <v>3904</v>
      </c>
      <c r="Q1986" t="s">
        <v>126</v>
      </c>
      <c r="R1986" t="s">
        <v>124</v>
      </c>
      <c r="S1986" t="b">
        <v>0</v>
      </c>
      <c r="T1986" t="s">
        <v>124</v>
      </c>
    </row>
    <row r="1987">
      <c r="A1987" t="s">
        <v>3905</v>
      </c>
      <c r="B1987" t="s">
        <v>3879</v>
      </c>
      <c r="C1987" s="2">
        <v>2023</v>
      </c>
      <c r="D1987" s="10">
        <v>2</v>
      </c>
      <c r="E1987" s="10">
        <v>4</v>
      </c>
      <c r="F1987" t="s">
        <v>2802</v>
      </c>
      <c r="G1987">
        <v>2798</v>
      </c>
      <c r="H1987" t="s">
        <v>69</v>
      </c>
      <c r="I1987" t="s">
        <v>152</v>
      </c>
      <c r="J1987" s="10" t="str">
        <f>VLOOKUP(I1987,Categories!A:B,2,FALSE)</f>
        <v xml:space="preserve">Office Suit</v>
      </c>
      <c r="K1987" t="s">
        <v>178</v>
      </c>
      <c r="L1987" s="10" t="str">
        <f>VLOOKUP(K1987,Accounts!A:B,2,FALSE)</f>
        <v>SCB</v>
      </c>
      <c r="M1987" t="s">
        <v>124</v>
      </c>
      <c r="N1987" s="10"/>
      <c r="O1987" t="s">
        <v>3906</v>
      </c>
      <c r="Q1987" t="s">
        <v>126</v>
      </c>
      <c r="R1987" t="s">
        <v>124</v>
      </c>
      <c r="S1987" t="b">
        <v>0</v>
      </c>
      <c r="T1987" t="s">
        <v>124</v>
      </c>
    </row>
    <row r="1988">
      <c r="A1988" t="s">
        <v>3907</v>
      </c>
      <c r="B1988" t="s">
        <v>3879</v>
      </c>
      <c r="C1988" s="2">
        <v>2023</v>
      </c>
      <c r="D1988" s="10">
        <v>2</v>
      </c>
      <c r="E1988" s="10">
        <v>4</v>
      </c>
      <c r="F1988" t="s">
        <v>3908</v>
      </c>
      <c r="G1988">
        <v>8.9100000000000001</v>
      </c>
      <c r="H1988" t="s">
        <v>69</v>
      </c>
      <c r="I1988" t="s">
        <v>254</v>
      </c>
      <c r="J1988" s="10" t="str">
        <f>VLOOKUP(I1988,Categories!A:B,2,FALSE)</f>
        <v xml:space="preserve">Modified Bal.</v>
      </c>
      <c r="K1988" t="s">
        <v>178</v>
      </c>
      <c r="L1988" s="10" t="str">
        <f>VLOOKUP(K1988,Accounts!A:B,2,FALSE)</f>
        <v>SCB</v>
      </c>
      <c r="M1988" t="s">
        <v>124</v>
      </c>
      <c r="N1988" s="10"/>
      <c r="O1988" t="s">
        <v>255</v>
      </c>
      <c r="Q1988" t="s">
        <v>126</v>
      </c>
      <c r="R1988" t="s">
        <v>124</v>
      </c>
      <c r="S1988" t="b">
        <v>0</v>
      </c>
      <c r="T1988" t="s">
        <v>124</v>
      </c>
    </row>
    <row r="1989">
      <c r="A1989" t="s">
        <v>3909</v>
      </c>
      <c r="B1989" t="s">
        <v>3910</v>
      </c>
      <c r="C1989" s="2">
        <v>2023</v>
      </c>
      <c r="D1989" s="10">
        <v>2</v>
      </c>
      <c r="E1989" s="10">
        <v>3</v>
      </c>
      <c r="F1989" t="s">
        <v>3701</v>
      </c>
      <c r="G1989">
        <v>190</v>
      </c>
      <c r="H1989" t="s">
        <v>69</v>
      </c>
      <c r="I1989" t="s">
        <v>150</v>
      </c>
      <c r="J1989" s="10" t="str">
        <f>VLOOKUP(I1989,Categories!A:B,2,FALSE)</f>
        <v xml:space="preserve">Food &amp; Coff</v>
      </c>
      <c r="K1989" t="s">
        <v>2317</v>
      </c>
      <c r="L1989" s="10" t="str">
        <f>VLOOKUP(K1989,Accounts!A:B,2,FALSE)</f>
        <v xml:space="preserve">Marriage account</v>
      </c>
      <c r="M1989" t="s">
        <v>124</v>
      </c>
      <c r="N1989" s="10"/>
      <c r="O1989" t="s">
        <v>3911</v>
      </c>
      <c r="Q1989" t="s">
        <v>126</v>
      </c>
      <c r="R1989" t="s">
        <v>124</v>
      </c>
      <c r="S1989" t="b">
        <v>0</v>
      </c>
      <c r="T1989" t="s">
        <v>124</v>
      </c>
    </row>
    <row r="1990">
      <c r="A1990" t="s">
        <v>3912</v>
      </c>
      <c r="B1990" t="s">
        <v>3910</v>
      </c>
      <c r="C1990" s="2">
        <v>2023</v>
      </c>
      <c r="D1990" s="10">
        <v>2</v>
      </c>
      <c r="E1990" s="10">
        <v>3</v>
      </c>
      <c r="F1990" t="s">
        <v>276</v>
      </c>
      <c r="G1990">
        <v>60</v>
      </c>
      <c r="H1990" t="s">
        <v>69</v>
      </c>
      <c r="I1990" t="s">
        <v>150</v>
      </c>
      <c r="J1990" s="10" t="str">
        <f>VLOOKUP(I1990,Categories!A:B,2,FALSE)</f>
        <v xml:space="preserve">Food &amp; Coff</v>
      </c>
      <c r="K1990" t="s">
        <v>178</v>
      </c>
      <c r="L1990" s="10" t="str">
        <f>VLOOKUP(K1990,Accounts!A:B,2,FALSE)</f>
        <v>SCB</v>
      </c>
      <c r="M1990" t="s">
        <v>124</v>
      </c>
      <c r="N1990" s="10"/>
      <c r="O1990" t="s">
        <v>125</v>
      </c>
      <c r="Q1990" t="s">
        <v>126</v>
      </c>
      <c r="R1990" t="s">
        <v>124</v>
      </c>
      <c r="S1990" t="b">
        <v>0</v>
      </c>
      <c r="T1990" t="s">
        <v>124</v>
      </c>
    </row>
    <row r="1991">
      <c r="A1991" t="s">
        <v>3913</v>
      </c>
      <c r="B1991" t="s">
        <v>3914</v>
      </c>
      <c r="C1991" s="2">
        <v>2023</v>
      </c>
      <c r="D1991" s="10">
        <v>2</v>
      </c>
      <c r="E1991" s="10">
        <v>2</v>
      </c>
      <c r="F1991" t="s">
        <v>3203</v>
      </c>
      <c r="G1991">
        <v>175</v>
      </c>
      <c r="H1991" t="s">
        <v>69</v>
      </c>
      <c r="I1991" t="s">
        <v>150</v>
      </c>
      <c r="J1991" s="10" t="str">
        <f>VLOOKUP(I1991,Categories!A:B,2,FALSE)</f>
        <v xml:space="preserve">Food &amp; Coff</v>
      </c>
      <c r="K1991" t="s">
        <v>2317</v>
      </c>
      <c r="L1991" s="10" t="str">
        <f>VLOOKUP(K1991,Accounts!A:B,2,FALSE)</f>
        <v xml:space="preserve">Marriage account</v>
      </c>
      <c r="M1991" t="s">
        <v>124</v>
      </c>
      <c r="N1991" s="10"/>
      <c r="O1991" t="s">
        <v>125</v>
      </c>
      <c r="Q1991" t="s">
        <v>126</v>
      </c>
      <c r="R1991" t="s">
        <v>124</v>
      </c>
      <c r="S1991" t="b">
        <v>0</v>
      </c>
      <c r="T1991" t="s">
        <v>124</v>
      </c>
    </row>
    <row r="1992">
      <c r="A1992" t="s">
        <v>3915</v>
      </c>
      <c r="B1992" t="s">
        <v>3914</v>
      </c>
      <c r="C1992" s="2">
        <v>2023</v>
      </c>
      <c r="D1992" s="10">
        <v>2</v>
      </c>
      <c r="E1992" s="10">
        <v>2</v>
      </c>
      <c r="F1992" t="s">
        <v>2554</v>
      </c>
      <c r="G1992">
        <v>55</v>
      </c>
      <c r="H1992" t="s">
        <v>69</v>
      </c>
      <c r="I1992" t="s">
        <v>150</v>
      </c>
      <c r="J1992" s="10" t="str">
        <f>VLOOKUP(I1992,Categories!A:B,2,FALSE)</f>
        <v xml:space="preserve">Food &amp; Coff</v>
      </c>
      <c r="K1992" t="s">
        <v>178</v>
      </c>
      <c r="L1992" s="10" t="str">
        <f>VLOOKUP(K1992,Accounts!A:B,2,FALSE)</f>
        <v>SCB</v>
      </c>
      <c r="M1992" t="s">
        <v>124</v>
      </c>
      <c r="N1992" s="10"/>
      <c r="O1992" t="s">
        <v>125</v>
      </c>
      <c r="Q1992" t="s">
        <v>126</v>
      </c>
      <c r="R1992" t="s">
        <v>124</v>
      </c>
      <c r="S1992" t="b">
        <v>0</v>
      </c>
      <c r="T1992" t="s">
        <v>124</v>
      </c>
    </row>
    <row r="1993">
      <c r="A1993" t="s">
        <v>3916</v>
      </c>
      <c r="B1993" t="s">
        <v>3914</v>
      </c>
      <c r="C1993" s="2">
        <v>2023</v>
      </c>
      <c r="D1993" s="10">
        <v>2</v>
      </c>
      <c r="E1993" s="10">
        <v>2</v>
      </c>
      <c r="F1993" t="s">
        <v>2709</v>
      </c>
      <c r="G1993">
        <v>80</v>
      </c>
      <c r="H1993" t="s">
        <v>69</v>
      </c>
      <c r="I1993" t="s">
        <v>150</v>
      </c>
      <c r="J1993" s="10" t="str">
        <f>VLOOKUP(I1993,Categories!A:B,2,FALSE)</f>
        <v xml:space="preserve">Food &amp; Coff</v>
      </c>
      <c r="K1993" t="s">
        <v>178</v>
      </c>
      <c r="L1993" s="10" t="str">
        <f>VLOOKUP(K1993,Accounts!A:B,2,FALSE)</f>
        <v>SCB</v>
      </c>
      <c r="M1993" t="s">
        <v>124</v>
      </c>
      <c r="N1993" s="10"/>
      <c r="O1993" t="s">
        <v>125</v>
      </c>
      <c r="Q1993" t="s">
        <v>126</v>
      </c>
      <c r="R1993" t="s">
        <v>124</v>
      </c>
      <c r="S1993" t="b">
        <v>0</v>
      </c>
      <c r="T1993" t="s">
        <v>124</v>
      </c>
    </row>
    <row r="1994">
      <c r="A1994" t="s">
        <v>3917</v>
      </c>
      <c r="B1994" t="s">
        <v>3914</v>
      </c>
      <c r="C1994" s="2">
        <v>2023</v>
      </c>
      <c r="D1994" s="10">
        <v>2</v>
      </c>
      <c r="E1994" s="10">
        <v>2</v>
      </c>
      <c r="F1994" t="s">
        <v>3423</v>
      </c>
      <c r="G1994">
        <v>368</v>
      </c>
      <c r="H1994" t="s">
        <v>69</v>
      </c>
      <c r="I1994" t="s">
        <v>150</v>
      </c>
      <c r="J1994" s="10" t="str">
        <f>VLOOKUP(I1994,Categories!A:B,2,FALSE)</f>
        <v xml:space="preserve">Food &amp; Coff</v>
      </c>
      <c r="K1994" t="s">
        <v>178</v>
      </c>
      <c r="L1994" s="10" t="str">
        <f>VLOOKUP(K1994,Accounts!A:B,2,FALSE)</f>
        <v>SCB</v>
      </c>
      <c r="M1994" t="s">
        <v>124</v>
      </c>
      <c r="N1994" s="10"/>
      <c r="O1994" t="s">
        <v>3918</v>
      </c>
      <c r="Q1994" t="s">
        <v>126</v>
      </c>
      <c r="R1994" t="s">
        <v>124</v>
      </c>
      <c r="S1994" t="b">
        <v>0</v>
      </c>
      <c r="T1994" t="s">
        <v>124</v>
      </c>
    </row>
    <row r="1995">
      <c r="A1995" t="s">
        <v>3919</v>
      </c>
      <c r="B1995" t="s">
        <v>3920</v>
      </c>
      <c r="C1995" s="2">
        <v>2023</v>
      </c>
      <c r="D1995" s="10">
        <v>2</v>
      </c>
      <c r="E1995" s="10">
        <v>1</v>
      </c>
      <c r="F1995" t="s">
        <v>121</v>
      </c>
      <c r="G1995">
        <v>10000</v>
      </c>
      <c r="H1995" t="s">
        <v>128</v>
      </c>
      <c r="I1995" t="s">
        <v>136</v>
      </c>
      <c r="J1995" s="10" t="str">
        <f>VLOOKUP(I1995,Categories!A:B,2,FALSE)</f>
        <v>อื่นๆ</v>
      </c>
      <c r="K1995" t="s">
        <v>178</v>
      </c>
      <c r="L1995" s="10" t="str">
        <f>VLOOKUP(K1995,Accounts!A:B,2,FALSE)</f>
        <v>SCB</v>
      </c>
      <c r="M1995" t="s">
        <v>2317</v>
      </c>
      <c r="N1995" s="10" t="str">
        <f>VLOOKUP(M1995,Accounts!A:B,2,FALSE)</f>
        <v xml:space="preserve">Marriage account</v>
      </c>
      <c r="O1995" t="s">
        <v>125</v>
      </c>
      <c r="Q1995" t="s">
        <v>126</v>
      </c>
      <c r="R1995" t="s">
        <v>124</v>
      </c>
      <c r="S1995" t="b">
        <v>0</v>
      </c>
      <c r="T1995" t="s">
        <v>124</v>
      </c>
    </row>
    <row r="1996">
      <c r="A1996" t="s">
        <v>3921</v>
      </c>
      <c r="B1996" t="s">
        <v>3920</v>
      </c>
      <c r="C1996" s="2">
        <v>2023</v>
      </c>
      <c r="D1996" s="10">
        <v>2</v>
      </c>
      <c r="E1996" s="10">
        <v>1</v>
      </c>
      <c r="F1996" t="s">
        <v>3114</v>
      </c>
      <c r="G1996">
        <v>48</v>
      </c>
      <c r="H1996" t="s">
        <v>69</v>
      </c>
      <c r="I1996" t="s">
        <v>150</v>
      </c>
      <c r="J1996" s="10" t="str">
        <f>VLOOKUP(I1996,Categories!A:B,2,FALSE)</f>
        <v xml:space="preserve">Food &amp; Coff</v>
      </c>
      <c r="K1996" t="s">
        <v>178</v>
      </c>
      <c r="L1996" s="10" t="str">
        <f>VLOOKUP(K1996,Accounts!A:B,2,FALSE)</f>
        <v>SCB</v>
      </c>
      <c r="M1996" t="s">
        <v>124</v>
      </c>
      <c r="N1996" s="10"/>
      <c r="O1996" t="s">
        <v>125</v>
      </c>
      <c r="Q1996" t="s">
        <v>126</v>
      </c>
      <c r="R1996" t="s">
        <v>124</v>
      </c>
      <c r="S1996" t="b">
        <v>0</v>
      </c>
      <c r="T1996" t="s">
        <v>124</v>
      </c>
    </row>
    <row r="1997">
      <c r="A1997" t="s">
        <v>3922</v>
      </c>
      <c r="B1997" t="s">
        <v>3920</v>
      </c>
      <c r="C1997" s="2">
        <v>2023</v>
      </c>
      <c r="D1997" s="10">
        <v>2</v>
      </c>
      <c r="E1997" s="10">
        <v>1</v>
      </c>
      <c r="F1997" t="s">
        <v>3923</v>
      </c>
      <c r="G1997">
        <v>20000</v>
      </c>
      <c r="H1997" t="s">
        <v>128</v>
      </c>
      <c r="I1997" t="s">
        <v>136</v>
      </c>
      <c r="J1997" s="10" t="str">
        <f>VLOOKUP(I1997,Categories!A:B,2,FALSE)</f>
        <v>อื่นๆ</v>
      </c>
      <c r="K1997" t="s">
        <v>178</v>
      </c>
      <c r="L1997" s="10" t="str">
        <f>VLOOKUP(K1997,Accounts!A:B,2,FALSE)</f>
        <v>SCB</v>
      </c>
      <c r="M1997" t="s">
        <v>123</v>
      </c>
      <c r="N1997" s="10" t="str">
        <f>VLOOKUP(M1997,Accounts!A:B,2,FALSE)</f>
        <v>KBank</v>
      </c>
      <c r="O1997" t="s">
        <v>125</v>
      </c>
      <c r="Q1997" t="s">
        <v>126</v>
      </c>
      <c r="R1997" t="s">
        <v>124</v>
      </c>
      <c r="S1997" t="b">
        <v>0</v>
      </c>
      <c r="T1997" t="s">
        <v>124</v>
      </c>
    </row>
    <row r="1998">
      <c r="A1998" t="s">
        <v>3924</v>
      </c>
      <c r="B1998" t="s">
        <v>3920</v>
      </c>
      <c r="C1998" s="2">
        <v>2023</v>
      </c>
      <c r="D1998" s="10">
        <v>2</v>
      </c>
      <c r="E1998" s="10">
        <v>1</v>
      </c>
      <c r="F1998" t="s">
        <v>3008</v>
      </c>
      <c r="G1998">
        <v>55</v>
      </c>
      <c r="H1998" t="s">
        <v>69</v>
      </c>
      <c r="I1998" t="s">
        <v>150</v>
      </c>
      <c r="J1998" s="10" t="str">
        <f>VLOOKUP(I1998,Categories!A:B,2,FALSE)</f>
        <v xml:space="preserve">Food &amp; Coff</v>
      </c>
      <c r="K1998" t="s">
        <v>178</v>
      </c>
      <c r="L1998" s="10" t="str">
        <f>VLOOKUP(K1998,Accounts!A:B,2,FALSE)</f>
        <v>SCB</v>
      </c>
      <c r="M1998" t="s">
        <v>124</v>
      </c>
      <c r="N1998" s="10"/>
      <c r="O1998" t="s">
        <v>125</v>
      </c>
      <c r="Q1998" t="s">
        <v>126</v>
      </c>
      <c r="R1998" t="s">
        <v>124</v>
      </c>
      <c r="S1998" t="b">
        <v>0</v>
      </c>
      <c r="T1998" t="s">
        <v>124</v>
      </c>
    </row>
    <row r="1999">
      <c r="A1999" t="s">
        <v>3925</v>
      </c>
      <c r="B1999" t="s">
        <v>3920</v>
      </c>
      <c r="C1999" s="2">
        <v>2023</v>
      </c>
      <c r="D1999" s="10">
        <v>2</v>
      </c>
      <c r="E1999" s="10">
        <v>1</v>
      </c>
      <c r="F1999" t="s">
        <v>247</v>
      </c>
      <c r="G1999">
        <v>62</v>
      </c>
      <c r="H1999" t="s">
        <v>69</v>
      </c>
      <c r="I1999" t="s">
        <v>150</v>
      </c>
      <c r="J1999" s="10" t="str">
        <f>VLOOKUP(I1999,Categories!A:B,2,FALSE)</f>
        <v xml:space="preserve">Food &amp; Coff</v>
      </c>
      <c r="K1999" t="s">
        <v>178</v>
      </c>
      <c r="L1999" s="10" t="str">
        <f>VLOOKUP(K1999,Accounts!A:B,2,FALSE)</f>
        <v>SCB</v>
      </c>
      <c r="M1999" t="s">
        <v>124</v>
      </c>
      <c r="N1999" s="10"/>
      <c r="O1999" t="s">
        <v>125</v>
      </c>
      <c r="Q1999" t="s">
        <v>126</v>
      </c>
      <c r="R1999" t="s">
        <v>124</v>
      </c>
      <c r="S1999" t="b">
        <v>0</v>
      </c>
      <c r="T1999" t="s">
        <v>124</v>
      </c>
    </row>
    <row r="2000">
      <c r="A2000" t="s">
        <v>3926</v>
      </c>
      <c r="B2000" t="s">
        <v>3927</v>
      </c>
      <c r="C2000" s="2">
        <v>2023</v>
      </c>
      <c r="D2000" s="10">
        <v>1</v>
      </c>
      <c r="E2000" s="10">
        <v>31</v>
      </c>
      <c r="F2000" t="s">
        <v>3203</v>
      </c>
      <c r="G2000">
        <v>111</v>
      </c>
      <c r="H2000" t="s">
        <v>69</v>
      </c>
      <c r="I2000" t="s">
        <v>150</v>
      </c>
      <c r="J2000" s="10" t="str">
        <f>VLOOKUP(I2000,Categories!A:B,2,FALSE)</f>
        <v xml:space="preserve">Food &amp; Coff</v>
      </c>
      <c r="K2000" t="s">
        <v>2317</v>
      </c>
      <c r="L2000" s="10" t="str">
        <f>VLOOKUP(K2000,Accounts!A:B,2,FALSE)</f>
        <v xml:space="preserve">Marriage account</v>
      </c>
      <c r="M2000" t="s">
        <v>124</v>
      </c>
      <c r="N2000" s="10"/>
      <c r="O2000" t="s">
        <v>125</v>
      </c>
      <c r="Q2000" t="s">
        <v>126</v>
      </c>
      <c r="R2000" t="s">
        <v>124</v>
      </c>
      <c r="S2000" t="b">
        <v>0</v>
      </c>
      <c r="T2000" t="s">
        <v>124</v>
      </c>
    </row>
    <row r="2001">
      <c r="A2001" t="s">
        <v>3928</v>
      </c>
      <c r="B2001" t="s">
        <v>3927</v>
      </c>
      <c r="C2001" s="2">
        <v>2023</v>
      </c>
      <c r="D2001" s="10">
        <v>1</v>
      </c>
      <c r="E2001" s="10">
        <v>31</v>
      </c>
      <c r="F2001" t="s">
        <v>2699</v>
      </c>
      <c r="G2001">
        <v>65</v>
      </c>
      <c r="H2001" t="s">
        <v>69</v>
      </c>
      <c r="I2001" t="s">
        <v>150</v>
      </c>
      <c r="J2001" s="10" t="str">
        <f>VLOOKUP(I2001,Categories!A:B,2,FALSE)</f>
        <v xml:space="preserve">Food &amp; Coff</v>
      </c>
      <c r="K2001" t="s">
        <v>178</v>
      </c>
      <c r="L2001" s="10" t="str">
        <f>VLOOKUP(K2001,Accounts!A:B,2,FALSE)</f>
        <v>SCB</v>
      </c>
      <c r="M2001" t="s">
        <v>124</v>
      </c>
      <c r="N2001" s="10"/>
      <c r="O2001" t="s">
        <v>125</v>
      </c>
      <c r="Q2001" t="s">
        <v>126</v>
      </c>
      <c r="R2001" t="s">
        <v>124</v>
      </c>
      <c r="S2001" t="b">
        <v>0</v>
      </c>
      <c r="T2001" t="s">
        <v>124</v>
      </c>
    </row>
    <row r="2002">
      <c r="A2002" t="s">
        <v>3929</v>
      </c>
      <c r="B2002" t="s">
        <v>3927</v>
      </c>
      <c r="C2002" s="2">
        <v>2023</v>
      </c>
      <c r="D2002" s="10">
        <v>1</v>
      </c>
      <c r="E2002" s="10">
        <v>31</v>
      </c>
      <c r="F2002" t="s">
        <v>2909</v>
      </c>
      <c r="G2002">
        <v>72</v>
      </c>
      <c r="H2002" t="s">
        <v>69</v>
      </c>
      <c r="I2002" t="s">
        <v>150</v>
      </c>
      <c r="J2002" s="10" t="str">
        <f>VLOOKUP(I2002,Categories!A:B,2,FALSE)</f>
        <v xml:space="preserve">Food &amp; Coff</v>
      </c>
      <c r="K2002" t="s">
        <v>178</v>
      </c>
      <c r="L2002" s="10" t="str">
        <f>VLOOKUP(K2002,Accounts!A:B,2,FALSE)</f>
        <v>SCB</v>
      </c>
      <c r="M2002" t="s">
        <v>124</v>
      </c>
      <c r="N2002" s="10"/>
      <c r="O2002" t="s">
        <v>125</v>
      </c>
      <c r="Q2002" t="s">
        <v>126</v>
      </c>
      <c r="R2002" t="s">
        <v>124</v>
      </c>
      <c r="S2002" t="b">
        <v>0</v>
      </c>
      <c r="T2002" t="s">
        <v>124</v>
      </c>
    </row>
    <row r="2003">
      <c r="A2003" t="s">
        <v>3930</v>
      </c>
      <c r="B2003" t="s">
        <v>3931</v>
      </c>
      <c r="C2003" s="2">
        <v>2023</v>
      </c>
      <c r="D2003" s="10">
        <v>1</v>
      </c>
      <c r="E2003" s="10">
        <v>30</v>
      </c>
      <c r="F2003" t="s">
        <v>3932</v>
      </c>
      <c r="G2003">
        <v>50</v>
      </c>
      <c r="H2003" t="s">
        <v>69</v>
      </c>
      <c r="I2003" t="s">
        <v>150</v>
      </c>
      <c r="J2003" s="10" t="str">
        <f>VLOOKUP(I2003,Categories!A:B,2,FALSE)</f>
        <v xml:space="preserve">Food &amp; Coff</v>
      </c>
      <c r="K2003" t="s">
        <v>178</v>
      </c>
      <c r="L2003" s="10" t="str">
        <f>VLOOKUP(K2003,Accounts!A:B,2,FALSE)</f>
        <v>SCB</v>
      </c>
      <c r="M2003" t="s">
        <v>124</v>
      </c>
      <c r="N2003" s="10"/>
      <c r="O2003" t="s">
        <v>125</v>
      </c>
      <c r="Q2003" t="s">
        <v>126</v>
      </c>
      <c r="R2003" t="s">
        <v>124</v>
      </c>
      <c r="S2003" t="b">
        <v>0</v>
      </c>
      <c r="T2003" t="s">
        <v>124</v>
      </c>
    </row>
    <row r="2004">
      <c r="A2004" t="s">
        <v>3933</v>
      </c>
      <c r="B2004" t="s">
        <v>3931</v>
      </c>
      <c r="C2004" s="2">
        <v>2023</v>
      </c>
      <c r="D2004" s="10">
        <v>1</v>
      </c>
      <c r="E2004" s="10">
        <v>30</v>
      </c>
      <c r="F2004" t="s">
        <v>234</v>
      </c>
      <c r="G2004">
        <v>3190</v>
      </c>
      <c r="H2004" t="s">
        <v>69</v>
      </c>
      <c r="I2004" t="s">
        <v>141</v>
      </c>
      <c r="J2004" s="10" t="str">
        <f>VLOOKUP(I2004,Categories!A:B,2,FALSE)</f>
        <v>Other</v>
      </c>
      <c r="K2004" t="s">
        <v>2862</v>
      </c>
      <c r="L2004" s="10" t="str">
        <f>VLOOKUP(K2004,Accounts!A:B,2,FALSE)</f>
        <v xml:space="preserve">Kbank onesiam</v>
      </c>
      <c r="M2004" t="s">
        <v>124</v>
      </c>
      <c r="N2004" s="10"/>
      <c r="O2004" t="s">
        <v>3934</v>
      </c>
      <c r="Q2004" t="s">
        <v>126</v>
      </c>
      <c r="R2004" t="s">
        <v>124</v>
      </c>
      <c r="S2004" t="b">
        <v>0</v>
      </c>
      <c r="T2004" t="s">
        <v>124</v>
      </c>
    </row>
    <row r="2005">
      <c r="A2005" t="s">
        <v>3935</v>
      </c>
      <c r="B2005" t="s">
        <v>3936</v>
      </c>
      <c r="C2005" s="2">
        <v>2023</v>
      </c>
      <c r="D2005" s="10">
        <v>1</v>
      </c>
      <c r="E2005" s="10">
        <v>29</v>
      </c>
      <c r="F2005" t="s">
        <v>599</v>
      </c>
      <c r="G2005">
        <v>85</v>
      </c>
      <c r="H2005" t="s">
        <v>69</v>
      </c>
      <c r="I2005" t="s">
        <v>150</v>
      </c>
      <c r="J2005" s="10" t="str">
        <f>VLOOKUP(I2005,Categories!A:B,2,FALSE)</f>
        <v xml:space="preserve">Food &amp; Coff</v>
      </c>
      <c r="K2005" t="s">
        <v>178</v>
      </c>
      <c r="L2005" s="10" t="str">
        <f>VLOOKUP(K2005,Accounts!A:B,2,FALSE)</f>
        <v>SCB</v>
      </c>
      <c r="M2005" t="s">
        <v>124</v>
      </c>
      <c r="N2005" s="10"/>
      <c r="O2005" t="s">
        <v>125</v>
      </c>
      <c r="Q2005" t="s">
        <v>126</v>
      </c>
      <c r="R2005" t="s">
        <v>124</v>
      </c>
      <c r="S2005" t="b">
        <v>0</v>
      </c>
      <c r="T2005" t="s">
        <v>124</v>
      </c>
    </row>
    <row r="2006">
      <c r="A2006" t="s">
        <v>3937</v>
      </c>
      <c r="B2006" t="s">
        <v>3938</v>
      </c>
      <c r="C2006" s="2">
        <v>2023</v>
      </c>
      <c r="D2006" s="10">
        <v>1</v>
      </c>
      <c r="E2006" s="10">
        <v>28</v>
      </c>
      <c r="F2006" t="s">
        <v>3447</v>
      </c>
      <c r="G2006">
        <v>70</v>
      </c>
      <c r="H2006" t="s">
        <v>69</v>
      </c>
      <c r="I2006" t="s">
        <v>150</v>
      </c>
      <c r="J2006" s="10" t="str">
        <f>VLOOKUP(I2006,Categories!A:B,2,FALSE)</f>
        <v xml:space="preserve">Food &amp; Coff</v>
      </c>
      <c r="K2006" t="s">
        <v>2317</v>
      </c>
      <c r="L2006" s="10" t="str">
        <f>VLOOKUP(K2006,Accounts!A:B,2,FALSE)</f>
        <v xml:space="preserve">Marriage account</v>
      </c>
      <c r="M2006" t="s">
        <v>124</v>
      </c>
      <c r="N2006" s="10"/>
      <c r="O2006" t="s">
        <v>125</v>
      </c>
      <c r="Q2006" t="s">
        <v>126</v>
      </c>
      <c r="R2006" t="s">
        <v>124</v>
      </c>
      <c r="S2006" t="b">
        <v>0</v>
      </c>
      <c r="T2006" t="s">
        <v>124</v>
      </c>
    </row>
    <row r="2007">
      <c r="A2007" t="s">
        <v>3939</v>
      </c>
      <c r="B2007" t="s">
        <v>3938</v>
      </c>
      <c r="C2007" s="2">
        <v>2023</v>
      </c>
      <c r="D2007" s="10">
        <v>1</v>
      </c>
      <c r="E2007" s="10">
        <v>28</v>
      </c>
      <c r="F2007" t="s">
        <v>1066</v>
      </c>
      <c r="G2007">
        <v>885</v>
      </c>
      <c r="H2007" t="s">
        <v>69</v>
      </c>
      <c r="I2007" t="s">
        <v>150</v>
      </c>
      <c r="J2007" s="10" t="str">
        <f>VLOOKUP(I2007,Categories!A:B,2,FALSE)</f>
        <v xml:space="preserve">Food &amp; Coff</v>
      </c>
      <c r="K2007" t="s">
        <v>2317</v>
      </c>
      <c r="L2007" s="10" t="str">
        <f>VLOOKUP(K2007,Accounts!A:B,2,FALSE)</f>
        <v xml:space="preserve">Marriage account</v>
      </c>
      <c r="M2007" t="s">
        <v>124</v>
      </c>
      <c r="N2007" s="10"/>
      <c r="O2007" t="s">
        <v>3940</v>
      </c>
      <c r="Q2007" t="s">
        <v>126</v>
      </c>
      <c r="R2007" t="s">
        <v>124</v>
      </c>
      <c r="S2007" t="b">
        <v>0</v>
      </c>
      <c r="T2007" t="s">
        <v>124</v>
      </c>
    </row>
    <row r="2008">
      <c r="A2008" t="s">
        <v>3941</v>
      </c>
      <c r="B2008" t="s">
        <v>3938</v>
      </c>
      <c r="C2008" s="2">
        <v>2023</v>
      </c>
      <c r="D2008" s="10">
        <v>1</v>
      </c>
      <c r="E2008" s="10">
        <v>28</v>
      </c>
      <c r="F2008" t="s">
        <v>507</v>
      </c>
      <c r="G2008">
        <v>727</v>
      </c>
      <c r="H2008" t="s">
        <v>69</v>
      </c>
      <c r="I2008" t="s">
        <v>144</v>
      </c>
      <c r="J2008" s="10" t="str">
        <f>VLOOKUP(I2008,Categories!A:B,2,FALSE)</f>
        <v xml:space="preserve">Family paid</v>
      </c>
      <c r="K2008" t="s">
        <v>178</v>
      </c>
      <c r="L2008" s="10" t="str">
        <f>VLOOKUP(K2008,Accounts!A:B,2,FALSE)</f>
        <v>SCB</v>
      </c>
      <c r="M2008" t="s">
        <v>124</v>
      </c>
      <c r="N2008" s="10"/>
      <c r="O2008" t="s">
        <v>125</v>
      </c>
      <c r="Q2008" t="s">
        <v>126</v>
      </c>
      <c r="R2008" t="s">
        <v>124</v>
      </c>
      <c r="S2008" t="b">
        <v>0</v>
      </c>
      <c r="T2008" t="s">
        <v>124</v>
      </c>
    </row>
    <row r="2009">
      <c r="A2009" t="s">
        <v>3942</v>
      </c>
      <c r="B2009" t="s">
        <v>3938</v>
      </c>
      <c r="C2009" s="2">
        <v>2023</v>
      </c>
      <c r="D2009" s="10">
        <v>1</v>
      </c>
      <c r="E2009" s="10">
        <v>28</v>
      </c>
      <c r="F2009" t="s">
        <v>289</v>
      </c>
      <c r="G2009">
        <v>75810</v>
      </c>
      <c r="H2009" t="s">
        <v>128</v>
      </c>
      <c r="I2009" t="s">
        <v>136</v>
      </c>
      <c r="J2009" s="10" t="str">
        <f>VLOOKUP(I2009,Categories!A:B,2,FALSE)</f>
        <v>อื่นๆ</v>
      </c>
      <c r="K2009" t="s">
        <v>213</v>
      </c>
      <c r="L2009" s="10" t="str">
        <f>VLOOKUP(K2009,Accounts!A:B,2,FALSE)</f>
        <v xml:space="preserve">Krungthai Next</v>
      </c>
      <c r="M2009" t="s">
        <v>2516</v>
      </c>
      <c r="N2009" s="10" t="str">
        <f>VLOOKUP(M2009,Accounts!A:B,2,FALSE)</f>
        <v>Travelcard</v>
      </c>
      <c r="O2009" t="s">
        <v>125</v>
      </c>
      <c r="Q2009" t="s">
        <v>126</v>
      </c>
      <c r="R2009" t="s">
        <v>124</v>
      </c>
      <c r="S2009" t="b">
        <v>0</v>
      </c>
      <c r="T2009" t="s">
        <v>124</v>
      </c>
    </row>
    <row r="2010">
      <c r="A2010" t="s">
        <v>3943</v>
      </c>
      <c r="B2010" t="s">
        <v>3938</v>
      </c>
      <c r="C2010" s="2">
        <v>2023</v>
      </c>
      <c r="D2010" s="10">
        <v>1</v>
      </c>
      <c r="E2010" s="10">
        <v>28</v>
      </c>
      <c r="F2010" t="s">
        <v>2867</v>
      </c>
      <c r="G2010">
        <v>680</v>
      </c>
      <c r="H2010" t="s">
        <v>69</v>
      </c>
      <c r="I2010" t="s">
        <v>150</v>
      </c>
      <c r="J2010" s="10" t="str">
        <f>VLOOKUP(I2010,Categories!A:B,2,FALSE)</f>
        <v xml:space="preserve">Food &amp; Coff</v>
      </c>
      <c r="K2010" t="s">
        <v>2317</v>
      </c>
      <c r="L2010" s="10" t="str">
        <f>VLOOKUP(K2010,Accounts!A:B,2,FALSE)</f>
        <v xml:space="preserve">Marriage account</v>
      </c>
      <c r="M2010" t="s">
        <v>124</v>
      </c>
      <c r="N2010" s="10"/>
      <c r="O2010" t="s">
        <v>125</v>
      </c>
      <c r="Q2010" t="s">
        <v>126</v>
      </c>
      <c r="R2010" t="s">
        <v>124</v>
      </c>
      <c r="S2010" t="b">
        <v>0</v>
      </c>
      <c r="T2010" t="s">
        <v>124</v>
      </c>
    </row>
    <row r="2011">
      <c r="A2011" t="s">
        <v>3944</v>
      </c>
      <c r="B2011" t="s">
        <v>3938</v>
      </c>
      <c r="C2011" s="2">
        <v>2023</v>
      </c>
      <c r="D2011" s="10">
        <v>1</v>
      </c>
      <c r="E2011" s="10">
        <v>28</v>
      </c>
      <c r="F2011" t="s">
        <v>1420</v>
      </c>
      <c r="G2011">
        <v>176</v>
      </c>
      <c r="H2011" t="s">
        <v>69</v>
      </c>
      <c r="I2011" t="s">
        <v>150</v>
      </c>
      <c r="J2011" s="10" t="str">
        <f>VLOOKUP(I2011,Categories!A:B,2,FALSE)</f>
        <v xml:space="preserve">Food &amp; Coff</v>
      </c>
      <c r="K2011" t="s">
        <v>2317</v>
      </c>
      <c r="L2011" s="10" t="str">
        <f>VLOOKUP(K2011,Accounts!A:B,2,FALSE)</f>
        <v xml:space="preserve">Marriage account</v>
      </c>
      <c r="M2011" t="s">
        <v>124</v>
      </c>
      <c r="N2011" s="10"/>
      <c r="O2011" t="s">
        <v>125</v>
      </c>
      <c r="Q2011" t="s">
        <v>126</v>
      </c>
      <c r="R2011" t="s">
        <v>124</v>
      </c>
      <c r="S2011" t="b">
        <v>0</v>
      </c>
      <c r="T2011" t="s">
        <v>124</v>
      </c>
    </row>
    <row r="2012">
      <c r="A2012" t="s">
        <v>3945</v>
      </c>
      <c r="B2012" t="s">
        <v>3938</v>
      </c>
      <c r="C2012" s="2">
        <v>2023</v>
      </c>
      <c r="D2012" s="10">
        <v>1</v>
      </c>
      <c r="E2012" s="10">
        <v>28</v>
      </c>
      <c r="F2012" t="s">
        <v>3946</v>
      </c>
      <c r="G2012">
        <v>910</v>
      </c>
      <c r="H2012" t="s">
        <v>69</v>
      </c>
      <c r="I2012" t="s">
        <v>3276</v>
      </c>
      <c r="J2012" s="10" t="str">
        <f>VLOOKUP(I2012,Categories!A:B,2,FALSE)</f>
        <v>Fuel</v>
      </c>
      <c r="K2012" t="s">
        <v>2317</v>
      </c>
      <c r="L2012" s="10" t="str">
        <f>VLOOKUP(K2012,Accounts!A:B,2,FALSE)</f>
        <v xml:space="preserve">Marriage account</v>
      </c>
      <c r="M2012" t="s">
        <v>124</v>
      </c>
      <c r="N2012" s="10"/>
      <c r="O2012" t="s">
        <v>3947</v>
      </c>
      <c r="Q2012" t="s">
        <v>126</v>
      </c>
      <c r="R2012" t="s">
        <v>124</v>
      </c>
      <c r="S2012" t="b">
        <v>0</v>
      </c>
      <c r="T2012" t="s">
        <v>124</v>
      </c>
    </row>
    <row r="2013">
      <c r="A2013" t="s">
        <v>3948</v>
      </c>
      <c r="B2013" t="s">
        <v>3938</v>
      </c>
      <c r="C2013" s="2">
        <v>2023</v>
      </c>
      <c r="D2013" s="10">
        <v>1</v>
      </c>
      <c r="E2013" s="10">
        <v>28</v>
      </c>
      <c r="F2013" t="s">
        <v>1596</v>
      </c>
      <c r="G2013">
        <v>3190</v>
      </c>
      <c r="H2013" t="s">
        <v>128</v>
      </c>
      <c r="I2013" t="s">
        <v>136</v>
      </c>
      <c r="J2013" s="10" t="str">
        <f>VLOOKUP(I2013,Categories!A:B,2,FALSE)</f>
        <v>อื่นๆ</v>
      </c>
      <c r="K2013" t="s">
        <v>123</v>
      </c>
      <c r="L2013" s="10" t="str">
        <f>VLOOKUP(K2013,Accounts!A:B,2,FALSE)</f>
        <v>KBank</v>
      </c>
      <c r="M2013" t="s">
        <v>2862</v>
      </c>
      <c r="N2013" s="10" t="str">
        <f>VLOOKUP(M2013,Accounts!A:B,2,FALSE)</f>
        <v xml:space="preserve">Kbank onesiam</v>
      </c>
      <c r="O2013" t="s">
        <v>125</v>
      </c>
      <c r="Q2013" t="s">
        <v>126</v>
      </c>
      <c r="R2013" t="s">
        <v>124</v>
      </c>
      <c r="S2013" t="b">
        <v>0</v>
      </c>
      <c r="T2013" t="s">
        <v>124</v>
      </c>
    </row>
    <row r="2014">
      <c r="A2014" t="s">
        <v>3949</v>
      </c>
      <c r="B2014" t="s">
        <v>3938</v>
      </c>
      <c r="C2014" s="2">
        <v>2023</v>
      </c>
      <c r="D2014" s="10">
        <v>1</v>
      </c>
      <c r="E2014" s="10">
        <v>28</v>
      </c>
      <c r="F2014" t="s">
        <v>3950</v>
      </c>
      <c r="G2014">
        <v>990</v>
      </c>
      <c r="H2014" t="s">
        <v>69</v>
      </c>
      <c r="I2014" t="s">
        <v>152</v>
      </c>
      <c r="J2014" s="10" t="str">
        <f>VLOOKUP(I2014,Categories!A:B,2,FALSE)</f>
        <v xml:space="preserve">Office Suit</v>
      </c>
      <c r="K2014" t="s">
        <v>123</v>
      </c>
      <c r="L2014" s="10" t="str">
        <f>VLOOKUP(K2014,Accounts!A:B,2,FALSE)</f>
        <v>KBank</v>
      </c>
      <c r="M2014" t="s">
        <v>124</v>
      </c>
      <c r="N2014" s="10"/>
      <c r="O2014" t="s">
        <v>3951</v>
      </c>
      <c r="Q2014" t="s">
        <v>126</v>
      </c>
      <c r="R2014" t="s">
        <v>124</v>
      </c>
      <c r="S2014" t="b">
        <v>0</v>
      </c>
      <c r="T2014" t="s">
        <v>124</v>
      </c>
    </row>
    <row r="2015">
      <c r="A2015" t="s">
        <v>3952</v>
      </c>
      <c r="B2015" t="s">
        <v>3938</v>
      </c>
      <c r="C2015" s="2">
        <v>2023</v>
      </c>
      <c r="D2015" s="10">
        <v>1</v>
      </c>
      <c r="E2015" s="10">
        <v>28</v>
      </c>
      <c r="F2015" t="s">
        <v>3953</v>
      </c>
      <c r="G2015">
        <v>1214</v>
      </c>
      <c r="H2015" t="s">
        <v>128</v>
      </c>
      <c r="I2015" t="s">
        <v>136</v>
      </c>
      <c r="J2015" s="10" t="str">
        <f>VLOOKUP(I2015,Categories!A:B,2,FALSE)</f>
        <v>อื่นๆ</v>
      </c>
      <c r="K2015" t="s">
        <v>178</v>
      </c>
      <c r="L2015" s="10" t="str">
        <f>VLOOKUP(K2015,Accounts!A:B,2,FALSE)</f>
        <v>SCB</v>
      </c>
      <c r="M2015" t="s">
        <v>747</v>
      </c>
      <c r="N2015" s="10" t="str">
        <f>VLOOKUP(M2015,Accounts!A:B,2,FALSE)</f>
        <v xml:space="preserve">UOB world</v>
      </c>
      <c r="O2015" t="s">
        <v>125</v>
      </c>
      <c r="Q2015" t="s">
        <v>126</v>
      </c>
      <c r="R2015" t="s">
        <v>124</v>
      </c>
      <c r="S2015" t="b">
        <v>0</v>
      </c>
      <c r="T2015" t="s">
        <v>124</v>
      </c>
    </row>
    <row r="2016">
      <c r="A2016" t="s">
        <v>3954</v>
      </c>
      <c r="B2016" t="s">
        <v>3955</v>
      </c>
      <c r="C2016" s="2">
        <v>2023</v>
      </c>
      <c r="D2016" s="10">
        <v>1</v>
      </c>
      <c r="E2016" s="10">
        <v>27</v>
      </c>
      <c r="F2016" t="s">
        <v>2937</v>
      </c>
      <c r="G2016">
        <v>110</v>
      </c>
      <c r="H2016" t="s">
        <v>69</v>
      </c>
      <c r="I2016" t="s">
        <v>150</v>
      </c>
      <c r="J2016" s="10" t="str">
        <f>VLOOKUP(I2016,Categories!A:B,2,FALSE)</f>
        <v xml:space="preserve">Food &amp; Coff</v>
      </c>
      <c r="K2016" t="s">
        <v>178</v>
      </c>
      <c r="L2016" s="10" t="str">
        <f>VLOOKUP(K2016,Accounts!A:B,2,FALSE)</f>
        <v>SCB</v>
      </c>
      <c r="M2016" t="s">
        <v>124</v>
      </c>
      <c r="N2016" s="10"/>
      <c r="O2016" t="s">
        <v>125</v>
      </c>
      <c r="Q2016" t="s">
        <v>126</v>
      </c>
      <c r="R2016" t="s">
        <v>124</v>
      </c>
      <c r="S2016" t="b">
        <v>0</v>
      </c>
      <c r="T2016" t="s">
        <v>124</v>
      </c>
    </row>
    <row r="2017">
      <c r="A2017" t="s">
        <v>3956</v>
      </c>
      <c r="B2017" t="s">
        <v>3957</v>
      </c>
      <c r="C2017" s="2">
        <v>2023</v>
      </c>
      <c r="D2017" s="10">
        <v>1</v>
      </c>
      <c r="E2017" s="10">
        <v>26</v>
      </c>
      <c r="F2017" t="s">
        <v>121</v>
      </c>
      <c r="G2017">
        <v>7915</v>
      </c>
      <c r="H2017" t="s">
        <v>128</v>
      </c>
      <c r="I2017" t="s">
        <v>136</v>
      </c>
      <c r="J2017" s="10" t="str">
        <f>VLOOKUP(I2017,Categories!A:B,2,FALSE)</f>
        <v>อื่นๆ</v>
      </c>
      <c r="K2017" t="s">
        <v>178</v>
      </c>
      <c r="L2017" s="10" t="str">
        <f>VLOOKUP(K2017,Accounts!A:B,2,FALSE)</f>
        <v>SCB</v>
      </c>
      <c r="M2017" t="s">
        <v>1244</v>
      </c>
      <c r="N2017" s="10" t="str">
        <f>VLOOKUP(M2017,Accounts!A:B,2,FALSE)</f>
        <v xml:space="preserve">Home chomthong Loan</v>
      </c>
      <c r="O2017" t="s">
        <v>125</v>
      </c>
      <c r="Q2017" t="s">
        <v>126</v>
      </c>
      <c r="R2017" t="s">
        <v>124</v>
      </c>
      <c r="S2017" t="b">
        <v>0</v>
      </c>
      <c r="T2017" t="s">
        <v>124</v>
      </c>
    </row>
    <row r="2018">
      <c r="A2018" t="s">
        <v>3958</v>
      </c>
      <c r="B2018" t="s">
        <v>3957</v>
      </c>
      <c r="C2018" s="2">
        <v>2023</v>
      </c>
      <c r="D2018" s="10">
        <v>1</v>
      </c>
      <c r="E2018" s="10">
        <v>26</v>
      </c>
      <c r="F2018" t="s">
        <v>121</v>
      </c>
      <c r="G2018">
        <v>2066.4000000000001</v>
      </c>
      <c r="H2018" t="s">
        <v>128</v>
      </c>
      <c r="I2018" t="s">
        <v>136</v>
      </c>
      <c r="J2018" s="10" t="str">
        <f>VLOOKUP(I2018,Categories!A:B,2,FALSE)</f>
        <v>อื่นๆ</v>
      </c>
      <c r="K2018" t="s">
        <v>178</v>
      </c>
      <c r="L2018" s="10" t="str">
        <f>VLOOKUP(K2018,Accounts!A:B,2,FALSE)</f>
        <v>SCB</v>
      </c>
      <c r="M2018" t="s">
        <v>203</v>
      </c>
      <c r="N2018" s="10" t="str">
        <f>VLOOKUP(M2018,Accounts!A:B,2,FALSE)</f>
        <v xml:space="preserve">Provident Fund</v>
      </c>
      <c r="O2018" t="s">
        <v>125</v>
      </c>
      <c r="Q2018" t="s">
        <v>126</v>
      </c>
      <c r="R2018" t="s">
        <v>124</v>
      </c>
      <c r="S2018" t="b">
        <v>0</v>
      </c>
      <c r="T2018" t="s">
        <v>124</v>
      </c>
    </row>
    <row r="2019">
      <c r="A2019" t="s">
        <v>3959</v>
      </c>
      <c r="B2019" t="s">
        <v>3957</v>
      </c>
      <c r="C2019" s="2">
        <v>2023</v>
      </c>
      <c r="D2019" s="10">
        <v>1</v>
      </c>
      <c r="E2019" s="10">
        <v>26</v>
      </c>
      <c r="F2019" t="s">
        <v>121</v>
      </c>
      <c r="G2019">
        <v>500</v>
      </c>
      <c r="H2019" t="s">
        <v>128</v>
      </c>
      <c r="I2019" t="s">
        <v>136</v>
      </c>
      <c r="J2019" s="10" t="str">
        <f>VLOOKUP(I2019,Categories!A:B,2,FALSE)</f>
        <v>อื่นๆ</v>
      </c>
      <c r="K2019" t="s">
        <v>178</v>
      </c>
      <c r="L2019" s="10" t="str">
        <f>VLOOKUP(K2019,Accounts!A:B,2,FALSE)</f>
        <v>SCB</v>
      </c>
      <c r="M2019" t="s">
        <v>201</v>
      </c>
      <c r="N2019" s="10" t="str">
        <f>VLOOKUP(M2019,Accounts!A:B,2,FALSE)</f>
        <v>Coop</v>
      </c>
      <c r="O2019" t="s">
        <v>125</v>
      </c>
      <c r="Q2019" t="s">
        <v>126</v>
      </c>
      <c r="R2019" t="s">
        <v>124</v>
      </c>
      <c r="S2019" t="b">
        <v>0</v>
      </c>
      <c r="T2019" t="s">
        <v>124</v>
      </c>
    </row>
    <row r="2020">
      <c r="A2020" t="s">
        <v>3960</v>
      </c>
      <c r="B2020" t="s">
        <v>3957</v>
      </c>
      <c r="C2020" s="2">
        <v>2023</v>
      </c>
      <c r="D2020" s="10">
        <v>1</v>
      </c>
      <c r="E2020" s="10">
        <v>26</v>
      </c>
      <c r="F2020" t="s">
        <v>121</v>
      </c>
      <c r="G2020">
        <v>1492.78</v>
      </c>
      <c r="H2020" t="s">
        <v>69</v>
      </c>
      <c r="I2020" t="s">
        <v>199</v>
      </c>
      <c r="J2020" s="10" t="str">
        <f>VLOOKUP(I2020,Categories!A:B,2,FALSE)</f>
        <v xml:space="preserve">Home Chomthong Interest</v>
      </c>
      <c r="K2020" t="s">
        <v>178</v>
      </c>
      <c r="L2020" s="10" t="str">
        <f>VLOOKUP(K2020,Accounts!A:B,2,FALSE)</f>
        <v>SCB</v>
      </c>
      <c r="M2020" t="s">
        <v>124</v>
      </c>
      <c r="N2020" s="10"/>
      <c r="O2020" t="s">
        <v>125</v>
      </c>
      <c r="Q2020" t="s">
        <v>126</v>
      </c>
      <c r="R2020" t="s">
        <v>124</v>
      </c>
      <c r="S2020" t="b">
        <v>0</v>
      </c>
      <c r="T2020" t="s">
        <v>124</v>
      </c>
    </row>
    <row r="2021">
      <c r="A2021" t="s">
        <v>3961</v>
      </c>
      <c r="B2021" t="s">
        <v>3957</v>
      </c>
      <c r="C2021" s="2">
        <v>2023</v>
      </c>
      <c r="D2021" s="10">
        <v>1</v>
      </c>
      <c r="E2021" s="10">
        <v>26</v>
      </c>
      <c r="F2021" t="s">
        <v>121</v>
      </c>
      <c r="G2021">
        <v>9240</v>
      </c>
      <c r="H2021" t="s">
        <v>128</v>
      </c>
      <c r="I2021" t="s">
        <v>136</v>
      </c>
      <c r="J2021" s="10" t="str">
        <f>VLOOKUP(I2021,Categories!A:B,2,FALSE)</f>
        <v>อื่นๆ</v>
      </c>
      <c r="K2021" t="s">
        <v>178</v>
      </c>
      <c r="L2021" s="10" t="str">
        <f>VLOOKUP(K2021,Accounts!A:B,2,FALSE)</f>
        <v>SCB</v>
      </c>
      <c r="M2021" t="s">
        <v>1246</v>
      </c>
      <c r="N2021" s="10" t="str">
        <f>VLOOKUP(M2021,Accounts!A:B,2,FALSE)</f>
        <v xml:space="preserve">Car Loan</v>
      </c>
      <c r="O2021" t="s">
        <v>125</v>
      </c>
      <c r="Q2021" t="s">
        <v>126</v>
      </c>
      <c r="R2021" t="s">
        <v>124</v>
      </c>
      <c r="S2021" t="b">
        <v>0</v>
      </c>
      <c r="T2021" t="s">
        <v>124</v>
      </c>
    </row>
    <row r="2022">
      <c r="A2022" t="s">
        <v>3962</v>
      </c>
      <c r="B2022" t="s">
        <v>3957</v>
      </c>
      <c r="C2022" s="2">
        <v>2023</v>
      </c>
      <c r="D2022" s="10">
        <v>1</v>
      </c>
      <c r="E2022" s="10">
        <v>26</v>
      </c>
      <c r="F2022" t="s">
        <v>121</v>
      </c>
      <c r="G2022">
        <v>247.08000000000001</v>
      </c>
      <c r="H2022" t="s">
        <v>69</v>
      </c>
      <c r="I2022" t="s">
        <v>443</v>
      </c>
      <c r="J2022" s="10" t="str">
        <f>VLOOKUP(I2022,Categories!A:B,2,FALSE)</f>
        <v xml:space="preserve">City SV Interest</v>
      </c>
      <c r="K2022" t="s">
        <v>178</v>
      </c>
      <c r="L2022" s="10" t="str">
        <f>VLOOKUP(K2022,Accounts!A:B,2,FALSE)</f>
        <v>SCB</v>
      </c>
      <c r="M2022" t="s">
        <v>124</v>
      </c>
      <c r="N2022" s="10"/>
      <c r="O2022" t="s">
        <v>125</v>
      </c>
      <c r="Q2022" t="s">
        <v>126</v>
      </c>
      <c r="R2022" t="s">
        <v>124</v>
      </c>
      <c r="S2022" t="b">
        <v>0</v>
      </c>
      <c r="T2022" t="s">
        <v>124</v>
      </c>
    </row>
    <row r="2023">
      <c r="A2023" t="s">
        <v>3963</v>
      </c>
      <c r="B2023" t="s">
        <v>3957</v>
      </c>
      <c r="C2023" s="2">
        <v>2023</v>
      </c>
      <c r="D2023" s="10">
        <v>1</v>
      </c>
      <c r="E2023" s="10">
        <v>26</v>
      </c>
      <c r="F2023" t="s">
        <v>121</v>
      </c>
      <c r="G2023">
        <v>103320</v>
      </c>
      <c r="H2023" t="s">
        <v>206</v>
      </c>
      <c r="I2023" t="s">
        <v>207</v>
      </c>
      <c r="J2023" s="10" t="str">
        <f>VLOOKUP(I2023,Categories!A:B,2,FALSE)</f>
        <v>Salary</v>
      </c>
      <c r="K2023" t="s">
        <v>178</v>
      </c>
      <c r="L2023" s="10" t="str">
        <f>VLOOKUP(K2023,Accounts!A:B,2,FALSE)</f>
        <v>SCB</v>
      </c>
      <c r="M2023" t="s">
        <v>124</v>
      </c>
      <c r="N2023" s="10"/>
      <c r="O2023" t="s">
        <v>125</v>
      </c>
      <c r="Q2023" t="s">
        <v>126</v>
      </c>
      <c r="R2023" t="s">
        <v>124</v>
      </c>
      <c r="S2023" t="b">
        <v>0</v>
      </c>
      <c r="T2023" t="s">
        <v>124</v>
      </c>
    </row>
    <row r="2024">
      <c r="A2024" t="s">
        <v>3964</v>
      </c>
      <c r="B2024" t="s">
        <v>3957</v>
      </c>
      <c r="C2024" s="2">
        <v>2023</v>
      </c>
      <c r="D2024" s="10">
        <v>1</v>
      </c>
      <c r="E2024" s="10">
        <v>26</v>
      </c>
      <c r="F2024" t="s">
        <v>121</v>
      </c>
      <c r="G2024">
        <v>201.34</v>
      </c>
      <c r="H2024" t="s">
        <v>69</v>
      </c>
      <c r="I2024" t="s">
        <v>195</v>
      </c>
      <c r="J2024" s="10" t="str">
        <f>VLOOKUP(I2024,Categories!A:B,2,FALSE)</f>
        <v>Tax</v>
      </c>
      <c r="K2024" t="s">
        <v>178</v>
      </c>
      <c r="L2024" s="10" t="str">
        <f>VLOOKUP(K2024,Accounts!A:B,2,FALSE)</f>
        <v>SCB</v>
      </c>
      <c r="M2024" t="s">
        <v>124</v>
      </c>
      <c r="N2024" s="10"/>
      <c r="O2024" t="s">
        <v>125</v>
      </c>
      <c r="Q2024" t="s">
        <v>126</v>
      </c>
      <c r="R2024" t="s">
        <v>124</v>
      </c>
      <c r="S2024" t="b">
        <v>0</v>
      </c>
      <c r="T2024" t="s">
        <v>124</v>
      </c>
    </row>
    <row r="2025">
      <c r="A2025" t="s">
        <v>3965</v>
      </c>
      <c r="B2025" t="s">
        <v>3957</v>
      </c>
      <c r="C2025" s="2">
        <v>2023</v>
      </c>
      <c r="D2025" s="10">
        <v>1</v>
      </c>
      <c r="E2025" s="10">
        <v>26</v>
      </c>
      <c r="F2025" t="s">
        <v>3966</v>
      </c>
      <c r="G2025">
        <v>100</v>
      </c>
      <c r="H2025" t="s">
        <v>69</v>
      </c>
      <c r="I2025" t="s">
        <v>150</v>
      </c>
      <c r="J2025" s="10" t="str">
        <f>VLOOKUP(I2025,Categories!A:B,2,FALSE)</f>
        <v xml:space="preserve">Food &amp; Coff</v>
      </c>
      <c r="K2025" t="s">
        <v>2317</v>
      </c>
      <c r="L2025" s="10" t="str">
        <f>VLOOKUP(K2025,Accounts!A:B,2,FALSE)</f>
        <v xml:space="preserve">Marriage account</v>
      </c>
      <c r="M2025" t="s">
        <v>124</v>
      </c>
      <c r="N2025" s="10"/>
      <c r="O2025" t="s">
        <v>125</v>
      </c>
      <c r="Q2025" t="s">
        <v>126</v>
      </c>
      <c r="R2025" t="s">
        <v>124</v>
      </c>
      <c r="S2025" t="b">
        <v>0</v>
      </c>
      <c r="T2025" t="s">
        <v>124</v>
      </c>
    </row>
    <row r="2026">
      <c r="A2026" t="s">
        <v>3967</v>
      </c>
      <c r="B2026" t="s">
        <v>3957</v>
      </c>
      <c r="C2026" s="2">
        <v>2023</v>
      </c>
      <c r="D2026" s="10">
        <v>1</v>
      </c>
      <c r="E2026" s="10">
        <v>26</v>
      </c>
      <c r="F2026" t="s">
        <v>3968</v>
      </c>
      <c r="G2026">
        <v>55</v>
      </c>
      <c r="H2026" t="s">
        <v>69</v>
      </c>
      <c r="I2026" t="s">
        <v>150</v>
      </c>
      <c r="J2026" s="10" t="str">
        <f>VLOOKUP(I2026,Categories!A:B,2,FALSE)</f>
        <v xml:space="preserve">Food &amp; Coff</v>
      </c>
      <c r="K2026" t="s">
        <v>178</v>
      </c>
      <c r="L2026" s="10" t="str">
        <f>VLOOKUP(K2026,Accounts!A:B,2,FALSE)</f>
        <v>SCB</v>
      </c>
      <c r="M2026" t="s">
        <v>124</v>
      </c>
      <c r="N2026" s="10"/>
      <c r="O2026" t="s">
        <v>125</v>
      </c>
      <c r="Q2026" t="s">
        <v>126</v>
      </c>
      <c r="R2026" t="s">
        <v>124</v>
      </c>
      <c r="S2026" t="b">
        <v>0</v>
      </c>
      <c r="T2026" t="s">
        <v>124</v>
      </c>
    </row>
    <row r="2027">
      <c r="A2027" t="s">
        <v>3969</v>
      </c>
      <c r="B2027" t="s">
        <v>3957</v>
      </c>
      <c r="C2027" s="2">
        <v>2023</v>
      </c>
      <c r="D2027" s="10">
        <v>1</v>
      </c>
      <c r="E2027" s="10">
        <v>26</v>
      </c>
      <c r="F2027" t="s">
        <v>3968</v>
      </c>
      <c r="G2027">
        <v>1300</v>
      </c>
      <c r="H2027" t="s">
        <v>128</v>
      </c>
      <c r="I2027" t="s">
        <v>136</v>
      </c>
      <c r="J2027" s="10" t="str">
        <f>VLOOKUP(I2027,Categories!A:B,2,FALSE)</f>
        <v>อื่นๆ</v>
      </c>
      <c r="K2027" t="s">
        <v>178</v>
      </c>
      <c r="L2027" s="10" t="str">
        <f>VLOOKUP(K2027,Accounts!A:B,2,FALSE)</f>
        <v>SCB</v>
      </c>
      <c r="M2027" t="s">
        <v>425</v>
      </c>
      <c r="N2027" s="10" t="str">
        <f>VLOOKUP(M2027,Accounts!A:B,2,FALSE)</f>
        <v>Cash</v>
      </c>
      <c r="O2027" t="s">
        <v>125</v>
      </c>
      <c r="Q2027" t="s">
        <v>126</v>
      </c>
      <c r="R2027" t="s">
        <v>124</v>
      </c>
      <c r="S2027" t="b">
        <v>0</v>
      </c>
      <c r="T2027" t="s">
        <v>124</v>
      </c>
    </row>
    <row r="2028">
      <c r="A2028" t="s">
        <v>3970</v>
      </c>
      <c r="B2028" t="s">
        <v>3957</v>
      </c>
      <c r="C2028" s="2">
        <v>2023</v>
      </c>
      <c r="D2028" s="10">
        <v>1</v>
      </c>
      <c r="E2028" s="10">
        <v>26</v>
      </c>
      <c r="F2028" t="s">
        <v>1889</v>
      </c>
      <c r="G2028">
        <v>188</v>
      </c>
      <c r="H2028" t="s">
        <v>69</v>
      </c>
      <c r="I2028" t="s">
        <v>150</v>
      </c>
      <c r="J2028" s="10" t="str">
        <f>VLOOKUP(I2028,Categories!A:B,2,FALSE)</f>
        <v xml:space="preserve">Food &amp; Coff</v>
      </c>
      <c r="K2028" t="s">
        <v>2317</v>
      </c>
      <c r="L2028" s="10" t="str">
        <f>VLOOKUP(K2028,Accounts!A:B,2,FALSE)</f>
        <v xml:space="preserve">Marriage account</v>
      </c>
      <c r="M2028" t="s">
        <v>124</v>
      </c>
      <c r="N2028" s="10"/>
      <c r="O2028" t="s">
        <v>125</v>
      </c>
      <c r="Q2028" t="s">
        <v>126</v>
      </c>
      <c r="R2028" t="s">
        <v>124</v>
      </c>
      <c r="S2028" t="b">
        <v>0</v>
      </c>
      <c r="T2028" t="s">
        <v>124</v>
      </c>
    </row>
    <row r="2029">
      <c r="A2029" t="s">
        <v>3971</v>
      </c>
      <c r="B2029" t="s">
        <v>3972</v>
      </c>
      <c r="C2029" s="2">
        <v>2023</v>
      </c>
      <c r="D2029" s="10">
        <v>1</v>
      </c>
      <c r="E2029" s="10">
        <v>25</v>
      </c>
      <c r="F2029" t="s">
        <v>2493</v>
      </c>
      <c r="G2029">
        <v>210</v>
      </c>
      <c r="H2029" t="s">
        <v>69</v>
      </c>
      <c r="I2029" t="s">
        <v>150</v>
      </c>
      <c r="J2029" s="10" t="str">
        <f>VLOOKUP(I2029,Categories!A:B,2,FALSE)</f>
        <v xml:space="preserve">Food &amp; Coff</v>
      </c>
      <c r="K2029" t="s">
        <v>2317</v>
      </c>
      <c r="L2029" s="10" t="str">
        <f>VLOOKUP(K2029,Accounts!A:B,2,FALSE)</f>
        <v xml:space="preserve">Marriage account</v>
      </c>
      <c r="M2029" t="s">
        <v>124</v>
      </c>
      <c r="N2029" s="10"/>
      <c r="O2029" t="s">
        <v>125</v>
      </c>
      <c r="Q2029" t="s">
        <v>126</v>
      </c>
      <c r="R2029" t="s">
        <v>124</v>
      </c>
      <c r="S2029" t="b">
        <v>0</v>
      </c>
      <c r="T2029" t="s">
        <v>124</v>
      </c>
    </row>
    <row r="2030">
      <c r="A2030" t="s">
        <v>3973</v>
      </c>
      <c r="B2030" t="s">
        <v>3972</v>
      </c>
      <c r="C2030" s="2">
        <v>2023</v>
      </c>
      <c r="D2030" s="10">
        <v>1</v>
      </c>
      <c r="E2030" s="10">
        <v>25</v>
      </c>
      <c r="F2030" t="s">
        <v>3185</v>
      </c>
      <c r="G2030">
        <v>305</v>
      </c>
      <c r="H2030" t="s">
        <v>69</v>
      </c>
      <c r="I2030" t="s">
        <v>150</v>
      </c>
      <c r="J2030" s="10" t="str">
        <f>VLOOKUP(I2030,Categories!A:B,2,FALSE)</f>
        <v xml:space="preserve">Food &amp; Coff</v>
      </c>
      <c r="K2030" t="s">
        <v>178</v>
      </c>
      <c r="L2030" s="10" t="str">
        <f>VLOOKUP(K2030,Accounts!A:B,2,FALSE)</f>
        <v>SCB</v>
      </c>
      <c r="M2030" t="s">
        <v>124</v>
      </c>
      <c r="N2030" s="10"/>
      <c r="O2030" t="s">
        <v>125</v>
      </c>
      <c r="Q2030" t="s">
        <v>126</v>
      </c>
      <c r="R2030" t="s">
        <v>124</v>
      </c>
      <c r="S2030" t="b">
        <v>0</v>
      </c>
      <c r="T2030" t="s">
        <v>124</v>
      </c>
    </row>
    <row r="2031">
      <c r="A2031" t="s">
        <v>3974</v>
      </c>
      <c r="B2031" t="s">
        <v>3972</v>
      </c>
      <c r="C2031" s="2">
        <v>2023</v>
      </c>
      <c r="D2031" s="10">
        <v>1</v>
      </c>
      <c r="E2031" s="10">
        <v>25</v>
      </c>
      <c r="F2031" t="s">
        <v>1132</v>
      </c>
      <c r="G2031">
        <v>55</v>
      </c>
      <c r="H2031" t="s">
        <v>69</v>
      </c>
      <c r="I2031" t="s">
        <v>150</v>
      </c>
      <c r="J2031" s="10" t="str">
        <f>VLOOKUP(I2031,Categories!A:B,2,FALSE)</f>
        <v xml:space="preserve">Food &amp; Coff</v>
      </c>
      <c r="K2031" t="s">
        <v>178</v>
      </c>
      <c r="L2031" s="10" t="str">
        <f>VLOOKUP(K2031,Accounts!A:B,2,FALSE)</f>
        <v>SCB</v>
      </c>
      <c r="M2031" t="s">
        <v>124</v>
      </c>
      <c r="N2031" s="10"/>
      <c r="O2031" t="s">
        <v>125</v>
      </c>
      <c r="Q2031" t="s">
        <v>126</v>
      </c>
      <c r="R2031" t="s">
        <v>124</v>
      </c>
      <c r="S2031" t="b">
        <v>0</v>
      </c>
      <c r="T2031" t="s">
        <v>124</v>
      </c>
    </row>
    <row r="2032">
      <c r="A2032" t="s">
        <v>3975</v>
      </c>
      <c r="B2032" t="s">
        <v>3976</v>
      </c>
      <c r="C2032" s="2">
        <v>2023</v>
      </c>
      <c r="D2032" s="10">
        <v>1</v>
      </c>
      <c r="E2032" s="10">
        <v>24</v>
      </c>
      <c r="F2032" t="s">
        <v>3977</v>
      </c>
      <c r="G2032">
        <v>79</v>
      </c>
      <c r="H2032" t="s">
        <v>69</v>
      </c>
      <c r="I2032" t="s">
        <v>150</v>
      </c>
      <c r="J2032" s="10" t="str">
        <f>VLOOKUP(I2032,Categories!A:B,2,FALSE)</f>
        <v xml:space="preserve">Food &amp; Coff</v>
      </c>
      <c r="K2032" t="s">
        <v>178</v>
      </c>
      <c r="L2032" s="10" t="str">
        <f>VLOOKUP(K2032,Accounts!A:B,2,FALSE)</f>
        <v>SCB</v>
      </c>
      <c r="M2032" t="s">
        <v>124</v>
      </c>
      <c r="N2032" s="10"/>
      <c r="O2032" t="s">
        <v>125</v>
      </c>
      <c r="Q2032" t="s">
        <v>126</v>
      </c>
      <c r="R2032" t="s">
        <v>124</v>
      </c>
      <c r="S2032" t="b">
        <v>0</v>
      </c>
      <c r="T2032" t="s">
        <v>124</v>
      </c>
    </row>
    <row r="2033">
      <c r="A2033" t="s">
        <v>3978</v>
      </c>
      <c r="B2033" t="s">
        <v>3979</v>
      </c>
      <c r="C2033" s="2">
        <v>2023</v>
      </c>
      <c r="D2033" s="10">
        <v>1</v>
      </c>
      <c r="E2033" s="10">
        <v>23</v>
      </c>
      <c r="F2033" t="s">
        <v>1594</v>
      </c>
      <c r="G2033">
        <v>70</v>
      </c>
      <c r="H2033" t="s">
        <v>69</v>
      </c>
      <c r="I2033" t="s">
        <v>150</v>
      </c>
      <c r="J2033" s="10" t="str">
        <f>VLOOKUP(I2033,Categories!A:B,2,FALSE)</f>
        <v xml:space="preserve">Food &amp; Coff</v>
      </c>
      <c r="K2033" t="s">
        <v>178</v>
      </c>
      <c r="L2033" s="10" t="str">
        <f>VLOOKUP(K2033,Accounts!A:B,2,FALSE)</f>
        <v>SCB</v>
      </c>
      <c r="M2033" t="s">
        <v>124</v>
      </c>
      <c r="N2033" s="10"/>
      <c r="O2033" t="s">
        <v>125</v>
      </c>
      <c r="Q2033" t="s">
        <v>126</v>
      </c>
      <c r="R2033" t="s">
        <v>124</v>
      </c>
      <c r="S2033" t="b">
        <v>0</v>
      </c>
      <c r="T2033" t="s">
        <v>124</v>
      </c>
    </row>
    <row r="2034">
      <c r="A2034" t="s">
        <v>3980</v>
      </c>
      <c r="B2034" t="s">
        <v>3979</v>
      </c>
      <c r="C2034" s="2">
        <v>2023</v>
      </c>
      <c r="D2034" s="10">
        <v>1</v>
      </c>
      <c r="E2034" s="10">
        <v>23</v>
      </c>
      <c r="F2034" t="s">
        <v>2143</v>
      </c>
      <c r="G2034">
        <v>55</v>
      </c>
      <c r="H2034" t="s">
        <v>69</v>
      </c>
      <c r="I2034" t="s">
        <v>150</v>
      </c>
      <c r="J2034" s="10" t="str">
        <f>VLOOKUP(I2034,Categories!A:B,2,FALSE)</f>
        <v xml:space="preserve">Food &amp; Coff</v>
      </c>
      <c r="K2034" t="s">
        <v>178</v>
      </c>
      <c r="L2034" s="10" t="str">
        <f>VLOOKUP(K2034,Accounts!A:B,2,FALSE)</f>
        <v>SCB</v>
      </c>
      <c r="M2034" t="s">
        <v>124</v>
      </c>
      <c r="N2034" s="10"/>
      <c r="O2034" t="s">
        <v>125</v>
      </c>
      <c r="Q2034" t="s">
        <v>126</v>
      </c>
      <c r="R2034" t="s">
        <v>124</v>
      </c>
      <c r="S2034" t="b">
        <v>0</v>
      </c>
      <c r="T2034" t="s">
        <v>124</v>
      </c>
    </row>
    <row r="2035">
      <c r="A2035" t="s">
        <v>3981</v>
      </c>
      <c r="B2035" t="s">
        <v>3982</v>
      </c>
      <c r="C2035" s="2">
        <v>2023</v>
      </c>
      <c r="D2035" s="10">
        <v>1</v>
      </c>
      <c r="E2035" s="10">
        <v>22</v>
      </c>
      <c r="F2035" t="s">
        <v>485</v>
      </c>
      <c r="G2035">
        <v>164</v>
      </c>
      <c r="H2035" t="s">
        <v>69</v>
      </c>
      <c r="I2035" t="s">
        <v>150</v>
      </c>
      <c r="J2035" s="10" t="str">
        <f>VLOOKUP(I2035,Categories!A:B,2,FALSE)</f>
        <v xml:space="preserve">Food &amp; Coff</v>
      </c>
      <c r="K2035" t="s">
        <v>2317</v>
      </c>
      <c r="L2035" s="10" t="str">
        <f>VLOOKUP(K2035,Accounts!A:B,2,FALSE)</f>
        <v xml:space="preserve">Marriage account</v>
      </c>
      <c r="M2035" t="s">
        <v>124</v>
      </c>
      <c r="N2035" s="10"/>
      <c r="O2035" t="s">
        <v>125</v>
      </c>
      <c r="Q2035" t="s">
        <v>126</v>
      </c>
      <c r="R2035" t="s">
        <v>124</v>
      </c>
      <c r="S2035" t="b">
        <v>0</v>
      </c>
      <c r="T2035" t="s">
        <v>124</v>
      </c>
    </row>
    <row r="2036">
      <c r="A2036" t="s">
        <v>3983</v>
      </c>
      <c r="B2036" t="s">
        <v>3984</v>
      </c>
      <c r="C2036" s="2">
        <v>2023</v>
      </c>
      <c r="D2036" s="10">
        <v>1</v>
      </c>
      <c r="E2036" s="10">
        <v>21</v>
      </c>
      <c r="F2036" t="s">
        <v>1002</v>
      </c>
      <c r="G2036">
        <v>2465</v>
      </c>
      <c r="H2036" t="s">
        <v>69</v>
      </c>
      <c r="I2036" t="s">
        <v>3504</v>
      </c>
      <c r="J2036" s="10" t="str">
        <f>VLOOKUP(I2036,Categories!A:B,2,FALSE)</f>
        <v xml:space="preserve">Condo suppliers</v>
      </c>
      <c r="K2036" t="s">
        <v>2317</v>
      </c>
      <c r="L2036" s="10" t="str">
        <f>VLOOKUP(K2036,Accounts!A:B,2,FALSE)</f>
        <v xml:space="preserve">Marriage account</v>
      </c>
      <c r="M2036" t="s">
        <v>124</v>
      </c>
      <c r="N2036" s="10"/>
      <c r="O2036" t="s">
        <v>3985</v>
      </c>
      <c r="Q2036" t="s">
        <v>126</v>
      </c>
      <c r="R2036" t="s">
        <v>124</v>
      </c>
      <c r="S2036" t="b">
        <v>0</v>
      </c>
      <c r="T2036" t="s">
        <v>124</v>
      </c>
    </row>
    <row r="2037">
      <c r="A2037" t="s">
        <v>3986</v>
      </c>
      <c r="B2037" t="s">
        <v>3984</v>
      </c>
      <c r="C2037" s="2">
        <v>2023</v>
      </c>
      <c r="D2037" s="10">
        <v>1</v>
      </c>
      <c r="E2037" s="10">
        <v>21</v>
      </c>
      <c r="F2037" t="s">
        <v>1335</v>
      </c>
      <c r="G2037">
        <v>70</v>
      </c>
      <c r="H2037" t="s">
        <v>69</v>
      </c>
      <c r="I2037" t="s">
        <v>150</v>
      </c>
      <c r="J2037" s="10" t="str">
        <f>VLOOKUP(I2037,Categories!A:B,2,FALSE)</f>
        <v xml:space="preserve">Food &amp; Coff</v>
      </c>
      <c r="K2037" t="s">
        <v>178</v>
      </c>
      <c r="L2037" s="10" t="str">
        <f>VLOOKUP(K2037,Accounts!A:B,2,FALSE)</f>
        <v>SCB</v>
      </c>
      <c r="M2037" t="s">
        <v>124</v>
      </c>
      <c r="N2037" s="10"/>
      <c r="O2037" t="s">
        <v>125</v>
      </c>
      <c r="Q2037" t="s">
        <v>126</v>
      </c>
      <c r="R2037" t="s">
        <v>124</v>
      </c>
      <c r="S2037" t="b">
        <v>0</v>
      </c>
      <c r="T2037" t="s">
        <v>124</v>
      </c>
    </row>
    <row r="2038">
      <c r="A2038" t="s">
        <v>3987</v>
      </c>
      <c r="B2038" t="s">
        <v>3984</v>
      </c>
      <c r="C2038" s="2">
        <v>2023</v>
      </c>
      <c r="D2038" s="10">
        <v>1</v>
      </c>
      <c r="E2038" s="10">
        <v>21</v>
      </c>
      <c r="F2038" t="s">
        <v>3223</v>
      </c>
      <c r="G2038">
        <v>40</v>
      </c>
      <c r="H2038" t="s">
        <v>69</v>
      </c>
      <c r="I2038" t="s">
        <v>150</v>
      </c>
      <c r="J2038" s="10" t="str">
        <f>VLOOKUP(I2038,Categories!A:B,2,FALSE)</f>
        <v xml:space="preserve">Food &amp; Coff</v>
      </c>
      <c r="K2038" t="s">
        <v>178</v>
      </c>
      <c r="L2038" s="10" t="str">
        <f>VLOOKUP(K2038,Accounts!A:B,2,FALSE)</f>
        <v>SCB</v>
      </c>
      <c r="M2038" t="s">
        <v>124</v>
      </c>
      <c r="N2038" s="10"/>
      <c r="O2038" t="s">
        <v>125</v>
      </c>
      <c r="Q2038" t="s">
        <v>126</v>
      </c>
      <c r="R2038" t="s">
        <v>124</v>
      </c>
      <c r="S2038" t="b">
        <v>0</v>
      </c>
      <c r="T2038" t="s">
        <v>124</v>
      </c>
    </row>
    <row r="2039">
      <c r="A2039" t="s">
        <v>3988</v>
      </c>
      <c r="B2039" t="s">
        <v>3989</v>
      </c>
      <c r="C2039" s="2">
        <v>2023</v>
      </c>
      <c r="D2039" s="10">
        <v>1</v>
      </c>
      <c r="E2039" s="10">
        <v>20</v>
      </c>
      <c r="F2039" t="s">
        <v>3203</v>
      </c>
      <c r="G2039">
        <v>50</v>
      </c>
      <c r="H2039" t="s">
        <v>69</v>
      </c>
      <c r="I2039" t="s">
        <v>150</v>
      </c>
      <c r="J2039" s="10" t="str">
        <f>VLOOKUP(I2039,Categories!A:B,2,FALSE)</f>
        <v xml:space="preserve">Food &amp; Coff</v>
      </c>
      <c r="K2039" t="s">
        <v>178</v>
      </c>
      <c r="L2039" s="10" t="str">
        <f>VLOOKUP(K2039,Accounts!A:B,2,FALSE)</f>
        <v>SCB</v>
      </c>
      <c r="M2039" t="s">
        <v>124</v>
      </c>
      <c r="N2039" s="10"/>
      <c r="O2039" t="s">
        <v>125</v>
      </c>
      <c r="Q2039" t="s">
        <v>126</v>
      </c>
      <c r="R2039" t="s">
        <v>124</v>
      </c>
      <c r="S2039" t="b">
        <v>0</v>
      </c>
      <c r="T2039" t="s">
        <v>124</v>
      </c>
    </row>
    <row r="2040">
      <c r="A2040" t="s">
        <v>3990</v>
      </c>
      <c r="B2040" t="s">
        <v>3989</v>
      </c>
      <c r="C2040" s="2">
        <v>2023</v>
      </c>
      <c r="D2040" s="10">
        <v>1</v>
      </c>
      <c r="E2040" s="10">
        <v>20</v>
      </c>
      <c r="F2040" t="s">
        <v>3203</v>
      </c>
      <c r="G2040">
        <v>110</v>
      </c>
      <c r="H2040" t="s">
        <v>69</v>
      </c>
      <c r="I2040" t="s">
        <v>150</v>
      </c>
      <c r="J2040" s="10" t="str">
        <f>VLOOKUP(I2040,Categories!A:B,2,FALSE)</f>
        <v xml:space="preserve">Food &amp; Coff</v>
      </c>
      <c r="K2040" t="s">
        <v>2317</v>
      </c>
      <c r="L2040" s="10" t="str">
        <f>VLOOKUP(K2040,Accounts!A:B,2,FALSE)</f>
        <v xml:space="preserve">Marriage account</v>
      </c>
      <c r="M2040" t="s">
        <v>124</v>
      </c>
      <c r="N2040" s="10"/>
      <c r="O2040" t="s">
        <v>125</v>
      </c>
      <c r="Q2040" t="s">
        <v>126</v>
      </c>
      <c r="R2040" t="s">
        <v>124</v>
      </c>
      <c r="S2040" t="b">
        <v>0</v>
      </c>
      <c r="T2040" t="s">
        <v>124</v>
      </c>
    </row>
    <row r="2041">
      <c r="A2041" t="s">
        <v>3991</v>
      </c>
      <c r="B2041" t="s">
        <v>3989</v>
      </c>
      <c r="C2041" s="2">
        <v>2023</v>
      </c>
      <c r="D2041" s="10">
        <v>1</v>
      </c>
      <c r="E2041" s="10">
        <v>20</v>
      </c>
      <c r="F2041" t="s">
        <v>2150</v>
      </c>
      <c r="G2041">
        <v>62</v>
      </c>
      <c r="H2041" t="s">
        <v>69</v>
      </c>
      <c r="I2041" t="s">
        <v>150</v>
      </c>
      <c r="J2041" s="10" t="str">
        <f>VLOOKUP(I2041,Categories!A:B,2,FALSE)</f>
        <v xml:space="preserve">Food &amp; Coff</v>
      </c>
      <c r="K2041" t="s">
        <v>178</v>
      </c>
      <c r="L2041" s="10" t="str">
        <f>VLOOKUP(K2041,Accounts!A:B,2,FALSE)</f>
        <v>SCB</v>
      </c>
      <c r="M2041" t="s">
        <v>124</v>
      </c>
      <c r="N2041" s="10"/>
      <c r="O2041" t="s">
        <v>125</v>
      </c>
      <c r="Q2041" t="s">
        <v>126</v>
      </c>
      <c r="R2041" t="s">
        <v>124</v>
      </c>
      <c r="S2041" t="b">
        <v>0</v>
      </c>
      <c r="T2041" t="s">
        <v>124</v>
      </c>
    </row>
    <row r="2042">
      <c r="A2042" t="s">
        <v>3992</v>
      </c>
      <c r="B2042" t="s">
        <v>3989</v>
      </c>
      <c r="C2042" s="2">
        <v>2023</v>
      </c>
      <c r="D2042" s="10">
        <v>1</v>
      </c>
      <c r="E2042" s="10">
        <v>20</v>
      </c>
      <c r="F2042" t="s">
        <v>2867</v>
      </c>
      <c r="G2042">
        <v>500</v>
      </c>
      <c r="H2042" t="s">
        <v>69</v>
      </c>
      <c r="I2042" t="s">
        <v>150</v>
      </c>
      <c r="J2042" s="10" t="str">
        <f>VLOOKUP(I2042,Categories!A:B,2,FALSE)</f>
        <v xml:space="preserve">Food &amp; Coff</v>
      </c>
      <c r="K2042" t="s">
        <v>178</v>
      </c>
      <c r="L2042" s="10" t="str">
        <f>VLOOKUP(K2042,Accounts!A:B,2,FALSE)</f>
        <v>SCB</v>
      </c>
      <c r="M2042" t="s">
        <v>124</v>
      </c>
      <c r="N2042" s="10"/>
      <c r="O2042" t="s">
        <v>125</v>
      </c>
      <c r="Q2042" t="s">
        <v>126</v>
      </c>
      <c r="R2042" t="s">
        <v>124</v>
      </c>
      <c r="S2042" t="b">
        <v>0</v>
      </c>
      <c r="T2042" t="s">
        <v>124</v>
      </c>
    </row>
    <row r="2043">
      <c r="A2043" t="s">
        <v>3993</v>
      </c>
      <c r="B2043" t="s">
        <v>3994</v>
      </c>
      <c r="C2043" s="2">
        <v>2023</v>
      </c>
      <c r="D2043" s="10">
        <v>1</v>
      </c>
      <c r="E2043" s="10">
        <v>19</v>
      </c>
      <c r="F2043" t="s">
        <v>3995</v>
      </c>
      <c r="G2043">
        <v>550</v>
      </c>
      <c r="H2043" t="s">
        <v>69</v>
      </c>
      <c r="I2043" t="s">
        <v>150</v>
      </c>
      <c r="J2043" s="10" t="str">
        <f>VLOOKUP(I2043,Categories!A:B,2,FALSE)</f>
        <v xml:space="preserve">Food &amp; Coff</v>
      </c>
      <c r="K2043" t="s">
        <v>2317</v>
      </c>
      <c r="L2043" s="10" t="str">
        <f>VLOOKUP(K2043,Accounts!A:B,2,FALSE)</f>
        <v xml:space="preserve">Marriage account</v>
      </c>
      <c r="M2043" t="s">
        <v>124</v>
      </c>
      <c r="N2043" s="10"/>
      <c r="O2043" t="s">
        <v>3996</v>
      </c>
      <c r="Q2043" t="s">
        <v>126</v>
      </c>
      <c r="R2043" t="s">
        <v>124</v>
      </c>
      <c r="S2043" t="b">
        <v>0</v>
      </c>
      <c r="T2043" t="s">
        <v>124</v>
      </c>
    </row>
    <row r="2044">
      <c r="A2044" t="s">
        <v>3997</v>
      </c>
      <c r="B2044" t="s">
        <v>3994</v>
      </c>
      <c r="C2044" s="2">
        <v>2023</v>
      </c>
      <c r="D2044" s="10">
        <v>1</v>
      </c>
      <c r="E2044" s="10">
        <v>19</v>
      </c>
      <c r="F2044" t="s">
        <v>2375</v>
      </c>
      <c r="G2044">
        <v>229</v>
      </c>
      <c r="H2044" t="s">
        <v>69</v>
      </c>
      <c r="I2044" t="s">
        <v>150</v>
      </c>
      <c r="J2044" s="10" t="str">
        <f>VLOOKUP(I2044,Categories!A:B,2,FALSE)</f>
        <v xml:space="preserve">Food &amp; Coff</v>
      </c>
      <c r="K2044" t="s">
        <v>178</v>
      </c>
      <c r="L2044" s="10" t="str">
        <f>VLOOKUP(K2044,Accounts!A:B,2,FALSE)</f>
        <v>SCB</v>
      </c>
      <c r="M2044" t="s">
        <v>124</v>
      </c>
      <c r="N2044" s="10"/>
      <c r="O2044" t="s">
        <v>125</v>
      </c>
      <c r="Q2044" t="s">
        <v>126</v>
      </c>
      <c r="R2044" t="s">
        <v>124</v>
      </c>
      <c r="S2044" t="b">
        <v>0</v>
      </c>
      <c r="T2044" t="s">
        <v>124</v>
      </c>
    </row>
    <row r="2045">
      <c r="A2045" t="s">
        <v>3998</v>
      </c>
      <c r="B2045" t="s">
        <v>3999</v>
      </c>
      <c r="C2045" s="2">
        <v>2023</v>
      </c>
      <c r="D2045" s="10">
        <v>1</v>
      </c>
      <c r="E2045" s="10">
        <v>18</v>
      </c>
      <c r="F2045" t="s">
        <v>1513</v>
      </c>
      <c r="G2045">
        <v>72</v>
      </c>
      <c r="H2045" t="s">
        <v>69</v>
      </c>
      <c r="I2045" t="s">
        <v>150</v>
      </c>
      <c r="J2045" s="10" t="str">
        <f>VLOOKUP(I2045,Categories!A:B,2,FALSE)</f>
        <v xml:space="preserve">Food &amp; Coff</v>
      </c>
      <c r="K2045" t="s">
        <v>178</v>
      </c>
      <c r="L2045" s="10" t="str">
        <f>VLOOKUP(K2045,Accounts!A:B,2,FALSE)</f>
        <v>SCB</v>
      </c>
      <c r="M2045" t="s">
        <v>124</v>
      </c>
      <c r="N2045" s="10"/>
      <c r="O2045" t="s">
        <v>125</v>
      </c>
      <c r="Q2045" t="s">
        <v>126</v>
      </c>
      <c r="R2045" t="s">
        <v>124</v>
      </c>
      <c r="S2045" t="b">
        <v>0</v>
      </c>
      <c r="T2045" t="s">
        <v>124</v>
      </c>
    </row>
    <row r="2046">
      <c r="A2046" t="s">
        <v>4000</v>
      </c>
      <c r="B2046" t="s">
        <v>3999</v>
      </c>
      <c r="C2046" s="2">
        <v>2023</v>
      </c>
      <c r="D2046" s="10">
        <v>1</v>
      </c>
      <c r="E2046" s="10">
        <v>18</v>
      </c>
      <c r="F2046" t="s">
        <v>1418</v>
      </c>
      <c r="G2046">
        <v>70</v>
      </c>
      <c r="H2046" t="s">
        <v>69</v>
      </c>
      <c r="I2046" t="s">
        <v>150</v>
      </c>
      <c r="J2046" s="10" t="str">
        <f>VLOOKUP(I2046,Categories!A:B,2,FALSE)</f>
        <v xml:space="preserve">Food &amp; Coff</v>
      </c>
      <c r="K2046" t="s">
        <v>178</v>
      </c>
      <c r="L2046" s="10" t="str">
        <f>VLOOKUP(K2046,Accounts!A:B,2,FALSE)</f>
        <v>SCB</v>
      </c>
      <c r="M2046" t="s">
        <v>124</v>
      </c>
      <c r="N2046" s="10"/>
      <c r="O2046" t="s">
        <v>125</v>
      </c>
      <c r="Q2046" t="s">
        <v>126</v>
      </c>
      <c r="R2046" t="s">
        <v>124</v>
      </c>
      <c r="S2046" t="b">
        <v>0</v>
      </c>
      <c r="T2046" t="s">
        <v>124</v>
      </c>
    </row>
    <row r="2047">
      <c r="A2047" t="s">
        <v>4001</v>
      </c>
      <c r="B2047" t="s">
        <v>4002</v>
      </c>
      <c r="C2047" s="2">
        <v>2023</v>
      </c>
      <c r="D2047" s="10">
        <v>1</v>
      </c>
      <c r="E2047" s="10">
        <v>17</v>
      </c>
      <c r="F2047" t="s">
        <v>3444</v>
      </c>
      <c r="G2047">
        <v>62</v>
      </c>
      <c r="H2047" t="s">
        <v>69</v>
      </c>
      <c r="I2047" t="s">
        <v>150</v>
      </c>
      <c r="J2047" s="10" t="str">
        <f>VLOOKUP(I2047,Categories!A:B,2,FALSE)</f>
        <v xml:space="preserve">Food &amp; Coff</v>
      </c>
      <c r="K2047" t="s">
        <v>178</v>
      </c>
      <c r="L2047" s="10" t="str">
        <f>VLOOKUP(K2047,Accounts!A:B,2,FALSE)</f>
        <v>SCB</v>
      </c>
      <c r="M2047" t="s">
        <v>124</v>
      </c>
      <c r="N2047" s="10"/>
      <c r="O2047" t="s">
        <v>125</v>
      </c>
      <c r="Q2047" t="s">
        <v>126</v>
      </c>
      <c r="R2047" t="s">
        <v>124</v>
      </c>
      <c r="S2047" t="b">
        <v>0</v>
      </c>
      <c r="T2047" t="s">
        <v>124</v>
      </c>
    </row>
    <row r="2048">
      <c r="A2048" t="s">
        <v>4003</v>
      </c>
      <c r="B2048" t="s">
        <v>4004</v>
      </c>
      <c r="C2048" s="2">
        <v>2023</v>
      </c>
      <c r="D2048" s="10">
        <v>1</v>
      </c>
      <c r="E2048" s="10">
        <v>16</v>
      </c>
      <c r="F2048" t="s">
        <v>3620</v>
      </c>
      <c r="G2048">
        <v>1260</v>
      </c>
      <c r="H2048" t="s">
        <v>128</v>
      </c>
      <c r="I2048" t="s">
        <v>136</v>
      </c>
      <c r="J2048" s="10" t="str">
        <f>VLOOKUP(I2048,Categories!A:B,2,FALSE)</f>
        <v>อื่นๆ</v>
      </c>
      <c r="K2048" t="s">
        <v>1311</v>
      </c>
      <c r="L2048" s="10" t="str">
        <f>VLOOKUP(K2048,Accounts!A:B,2,FALSE)</f>
        <v xml:space="preserve">Netflix in Adv</v>
      </c>
      <c r="M2048" t="s">
        <v>178</v>
      </c>
      <c r="N2048" s="10" t="str">
        <f>VLOOKUP(M2048,Accounts!A:B,2,FALSE)</f>
        <v>SCB</v>
      </c>
      <c r="O2048" t="s">
        <v>4005</v>
      </c>
      <c r="Q2048" t="s">
        <v>126</v>
      </c>
      <c r="R2048" t="s">
        <v>124</v>
      </c>
      <c r="S2048" t="b">
        <v>0</v>
      </c>
      <c r="T2048" t="s">
        <v>124</v>
      </c>
    </row>
    <row r="2049">
      <c r="A2049" t="s">
        <v>4006</v>
      </c>
      <c r="B2049" t="s">
        <v>4004</v>
      </c>
      <c r="C2049" s="2">
        <v>2023</v>
      </c>
      <c r="D2049" s="10">
        <v>1</v>
      </c>
      <c r="E2049" s="10">
        <v>16</v>
      </c>
      <c r="F2049" t="s">
        <v>2152</v>
      </c>
      <c r="G2049">
        <v>45</v>
      </c>
      <c r="H2049" t="s">
        <v>69</v>
      </c>
      <c r="I2049" t="s">
        <v>150</v>
      </c>
      <c r="J2049" s="10" t="str">
        <f>VLOOKUP(I2049,Categories!A:B,2,FALSE)</f>
        <v xml:space="preserve">Food &amp; Coff</v>
      </c>
      <c r="K2049" t="s">
        <v>178</v>
      </c>
      <c r="L2049" s="10" t="str">
        <f>VLOOKUP(K2049,Accounts!A:B,2,FALSE)</f>
        <v>SCB</v>
      </c>
      <c r="M2049" t="s">
        <v>124</v>
      </c>
      <c r="N2049" s="10"/>
      <c r="O2049" t="s">
        <v>125</v>
      </c>
      <c r="Q2049" t="s">
        <v>126</v>
      </c>
      <c r="R2049" t="s">
        <v>124</v>
      </c>
      <c r="S2049" t="b">
        <v>0</v>
      </c>
      <c r="T2049" t="s">
        <v>124</v>
      </c>
    </row>
    <row r="2050">
      <c r="A2050" t="s">
        <v>4007</v>
      </c>
      <c r="B2050" t="s">
        <v>4008</v>
      </c>
      <c r="C2050" s="2">
        <v>2023</v>
      </c>
      <c r="D2050" s="10">
        <v>1</v>
      </c>
      <c r="E2050" s="10">
        <v>15</v>
      </c>
      <c r="F2050" t="s">
        <v>121</v>
      </c>
      <c r="G2050">
        <v>315</v>
      </c>
      <c r="H2050" t="s">
        <v>128</v>
      </c>
      <c r="I2050" t="s">
        <v>136</v>
      </c>
      <c r="J2050" s="10" t="str">
        <f>VLOOKUP(I2050,Categories!A:B,2,FALSE)</f>
        <v>อื่นๆ</v>
      </c>
      <c r="K2050" t="s">
        <v>747</v>
      </c>
      <c r="L2050" s="10" t="str">
        <f>VLOOKUP(K2050,Accounts!A:B,2,FALSE)</f>
        <v xml:space="preserve">UOB world</v>
      </c>
      <c r="M2050" t="s">
        <v>1311</v>
      </c>
      <c r="N2050" s="10" t="str">
        <f>VLOOKUP(M2050,Accounts!A:B,2,FALSE)</f>
        <v xml:space="preserve">Netflix in Adv</v>
      </c>
      <c r="O2050" t="s">
        <v>125</v>
      </c>
      <c r="Q2050" t="s">
        <v>126</v>
      </c>
      <c r="R2050" t="s">
        <v>124</v>
      </c>
      <c r="S2050" t="b">
        <v>0</v>
      </c>
      <c r="T2050" t="s">
        <v>124</v>
      </c>
    </row>
    <row r="2051">
      <c r="A2051" t="s">
        <v>4009</v>
      </c>
      <c r="B2051" t="s">
        <v>4008</v>
      </c>
      <c r="C2051" s="2">
        <v>2023</v>
      </c>
      <c r="D2051" s="10">
        <v>1</v>
      </c>
      <c r="E2051" s="10">
        <v>15</v>
      </c>
      <c r="F2051" t="s">
        <v>2131</v>
      </c>
      <c r="G2051">
        <v>1932</v>
      </c>
      <c r="H2051" t="s">
        <v>69</v>
      </c>
      <c r="I2051" t="s">
        <v>141</v>
      </c>
      <c r="J2051" s="10" t="str">
        <f>VLOOKUP(I2051,Categories!A:B,2,FALSE)</f>
        <v>Other</v>
      </c>
      <c r="K2051" t="s">
        <v>178</v>
      </c>
      <c r="L2051" s="10" t="str">
        <f>VLOOKUP(K2051,Accounts!A:B,2,FALSE)</f>
        <v>SCB</v>
      </c>
      <c r="M2051" t="s">
        <v>124</v>
      </c>
      <c r="N2051" s="10"/>
      <c r="O2051" t="s">
        <v>4010</v>
      </c>
      <c r="Q2051" t="s">
        <v>126</v>
      </c>
      <c r="R2051" t="s">
        <v>124</v>
      </c>
      <c r="S2051" t="b">
        <v>0</v>
      </c>
      <c r="T2051" t="s">
        <v>124</v>
      </c>
    </row>
    <row r="2052">
      <c r="A2052" t="s">
        <v>4011</v>
      </c>
      <c r="B2052" t="s">
        <v>4008</v>
      </c>
      <c r="C2052" s="2">
        <v>2023</v>
      </c>
      <c r="D2052" s="10">
        <v>1</v>
      </c>
      <c r="E2052" s="10">
        <v>15</v>
      </c>
      <c r="F2052" t="s">
        <v>1028</v>
      </c>
      <c r="G2052">
        <v>5376</v>
      </c>
      <c r="H2052" t="s">
        <v>128</v>
      </c>
      <c r="I2052" t="s">
        <v>136</v>
      </c>
      <c r="J2052" s="10" t="str">
        <f>VLOOKUP(I2052,Categories!A:B,2,FALSE)</f>
        <v>อื่นๆ</v>
      </c>
      <c r="K2052" t="s">
        <v>178</v>
      </c>
      <c r="L2052" s="10" t="str">
        <f>VLOOKUP(K2052,Accounts!A:B,2,FALSE)</f>
        <v>SCB</v>
      </c>
      <c r="M2052" t="s">
        <v>1308</v>
      </c>
      <c r="N2052" s="10" t="str">
        <f>VLOOKUP(M2052,Accounts!A:B,2,FALSE)</f>
        <v xml:space="preserve">UOB Privilages</v>
      </c>
      <c r="O2052" t="s">
        <v>125</v>
      </c>
      <c r="Q2052" t="s">
        <v>126</v>
      </c>
      <c r="R2052" t="s">
        <v>124</v>
      </c>
      <c r="S2052" t="b">
        <v>0</v>
      </c>
      <c r="T2052" t="s">
        <v>124</v>
      </c>
    </row>
    <row r="2053">
      <c r="A2053" t="s">
        <v>4012</v>
      </c>
      <c r="B2053" t="s">
        <v>4008</v>
      </c>
      <c r="C2053" s="2">
        <v>2023</v>
      </c>
      <c r="D2053" s="10">
        <v>1</v>
      </c>
      <c r="E2053" s="10">
        <v>15</v>
      </c>
      <c r="F2053" t="s">
        <v>301</v>
      </c>
      <c r="G2053">
        <v>838</v>
      </c>
      <c r="H2053" t="s">
        <v>69</v>
      </c>
      <c r="I2053" t="s">
        <v>150</v>
      </c>
      <c r="J2053" s="10" t="str">
        <f>VLOOKUP(I2053,Categories!A:B,2,FALSE)</f>
        <v xml:space="preserve">Food &amp; Coff</v>
      </c>
      <c r="K2053" t="s">
        <v>2317</v>
      </c>
      <c r="L2053" s="10" t="str">
        <f>VLOOKUP(K2053,Accounts!A:B,2,FALSE)</f>
        <v xml:space="preserve">Marriage account</v>
      </c>
      <c r="M2053" t="s">
        <v>124</v>
      </c>
      <c r="N2053" s="10"/>
      <c r="O2053" t="s">
        <v>4013</v>
      </c>
      <c r="Q2053" t="s">
        <v>126</v>
      </c>
      <c r="R2053" t="s">
        <v>124</v>
      </c>
      <c r="S2053" t="b">
        <v>0</v>
      </c>
      <c r="T2053" t="s">
        <v>124</v>
      </c>
    </row>
    <row r="2054">
      <c r="A2054" t="s">
        <v>4014</v>
      </c>
      <c r="B2054" t="s">
        <v>4008</v>
      </c>
      <c r="C2054" s="2">
        <v>2023</v>
      </c>
      <c r="D2054" s="10">
        <v>1</v>
      </c>
      <c r="E2054" s="10">
        <v>15</v>
      </c>
      <c r="F2054" t="s">
        <v>510</v>
      </c>
      <c r="G2054">
        <v>70</v>
      </c>
      <c r="H2054" t="s">
        <v>69</v>
      </c>
      <c r="I2054" t="s">
        <v>150</v>
      </c>
      <c r="J2054" s="10" t="str">
        <f>VLOOKUP(I2054,Categories!A:B,2,FALSE)</f>
        <v xml:space="preserve">Food &amp; Coff</v>
      </c>
      <c r="K2054" t="s">
        <v>2317</v>
      </c>
      <c r="L2054" s="10" t="str">
        <f>VLOOKUP(K2054,Accounts!A:B,2,FALSE)</f>
        <v xml:space="preserve">Marriage account</v>
      </c>
      <c r="M2054" t="s">
        <v>124</v>
      </c>
      <c r="N2054" s="10"/>
      <c r="O2054" t="s">
        <v>125</v>
      </c>
      <c r="Q2054" t="s">
        <v>126</v>
      </c>
      <c r="R2054" t="s">
        <v>124</v>
      </c>
      <c r="S2054" t="b">
        <v>0</v>
      </c>
      <c r="T2054" t="s">
        <v>124</v>
      </c>
    </row>
    <row r="2055">
      <c r="A2055" t="s">
        <v>4015</v>
      </c>
      <c r="B2055" t="s">
        <v>4008</v>
      </c>
      <c r="C2055" s="2">
        <v>2023</v>
      </c>
      <c r="D2055" s="10">
        <v>1</v>
      </c>
      <c r="E2055" s="10">
        <v>15</v>
      </c>
      <c r="F2055" t="s">
        <v>4016</v>
      </c>
      <c r="G2055">
        <v>1921</v>
      </c>
      <c r="H2055" t="s">
        <v>69</v>
      </c>
      <c r="I2055" t="s">
        <v>1882</v>
      </c>
      <c r="J2055" s="10" t="str">
        <f>VLOOKUP(I2055,Categories!A:B,2,FALSE)</f>
        <v>utility</v>
      </c>
      <c r="K2055" t="s">
        <v>2317</v>
      </c>
      <c r="L2055" s="10" t="str">
        <f>VLOOKUP(K2055,Accounts!A:B,2,FALSE)</f>
        <v xml:space="preserve">Marriage account</v>
      </c>
      <c r="M2055" t="s">
        <v>124</v>
      </c>
      <c r="N2055" s="10"/>
      <c r="O2055" t="s">
        <v>1589</v>
      </c>
      <c r="Q2055" t="s">
        <v>126</v>
      </c>
      <c r="R2055" t="s">
        <v>124</v>
      </c>
      <c r="S2055" t="b">
        <v>0</v>
      </c>
      <c r="T2055" t="s">
        <v>124</v>
      </c>
    </row>
    <row r="2056">
      <c r="A2056" t="s">
        <v>4017</v>
      </c>
      <c r="B2056" t="s">
        <v>4008</v>
      </c>
      <c r="C2056" s="2">
        <v>2023</v>
      </c>
      <c r="D2056" s="10">
        <v>1</v>
      </c>
      <c r="E2056" s="10">
        <v>15</v>
      </c>
      <c r="F2056" t="s">
        <v>1803</v>
      </c>
      <c r="G2056">
        <v>1921</v>
      </c>
      <c r="H2056" t="s">
        <v>128</v>
      </c>
      <c r="I2056" t="s">
        <v>136</v>
      </c>
      <c r="J2056" s="10" t="str">
        <f>VLOOKUP(I2056,Categories!A:B,2,FALSE)</f>
        <v>อื่นๆ</v>
      </c>
      <c r="K2056" t="s">
        <v>213</v>
      </c>
      <c r="L2056" s="10" t="str">
        <f>VLOOKUP(K2056,Accounts!A:B,2,FALSE)</f>
        <v xml:space="preserve">Krungthai Next</v>
      </c>
      <c r="M2056" t="s">
        <v>178</v>
      </c>
      <c r="N2056" s="10" t="str">
        <f>VLOOKUP(M2056,Accounts!A:B,2,FALSE)</f>
        <v>SCB</v>
      </c>
      <c r="O2056" t="s">
        <v>125</v>
      </c>
      <c r="Q2056" t="s">
        <v>126</v>
      </c>
      <c r="R2056" t="s">
        <v>124</v>
      </c>
      <c r="S2056" t="b">
        <v>0</v>
      </c>
      <c r="T2056" t="s">
        <v>124</v>
      </c>
    </row>
    <row r="2057">
      <c r="A2057" t="s">
        <v>4018</v>
      </c>
      <c r="B2057" t="s">
        <v>4008</v>
      </c>
      <c r="C2057" s="2">
        <v>2023</v>
      </c>
      <c r="D2057" s="10">
        <v>1</v>
      </c>
      <c r="E2057" s="10">
        <v>15</v>
      </c>
      <c r="F2057" t="s">
        <v>1931</v>
      </c>
      <c r="G2057">
        <v>723.13</v>
      </c>
      <c r="H2057" t="s">
        <v>128</v>
      </c>
      <c r="I2057" t="s">
        <v>136</v>
      </c>
      <c r="J2057" s="10" t="str">
        <f>VLOOKUP(I2057,Categories!A:B,2,FALSE)</f>
        <v>อื่นๆ</v>
      </c>
      <c r="K2057" t="s">
        <v>213</v>
      </c>
      <c r="L2057" s="10" t="str">
        <f>VLOOKUP(K2057,Accounts!A:B,2,FALSE)</f>
        <v xml:space="preserve">Krungthai Next</v>
      </c>
      <c r="M2057" t="s">
        <v>131</v>
      </c>
      <c r="N2057" s="10" t="str">
        <f>VLOOKUP(M2057,Accounts!A:B,2,FALSE)</f>
        <v xml:space="preserve">Advance Paid</v>
      </c>
      <c r="O2057" t="s">
        <v>125</v>
      </c>
      <c r="Q2057" t="s">
        <v>126</v>
      </c>
      <c r="R2057" t="s">
        <v>124</v>
      </c>
      <c r="S2057" t="b">
        <v>0</v>
      </c>
      <c r="T2057" t="s">
        <v>124</v>
      </c>
    </row>
    <row r="2058">
      <c r="A2058" t="s">
        <v>4019</v>
      </c>
      <c r="B2058" t="s">
        <v>4008</v>
      </c>
      <c r="C2058" s="2">
        <v>2023</v>
      </c>
      <c r="D2058" s="10">
        <v>1</v>
      </c>
      <c r="E2058" s="10">
        <v>15</v>
      </c>
      <c r="F2058" t="s">
        <v>3271</v>
      </c>
      <c r="G2058">
        <v>1162.75</v>
      </c>
      <c r="H2058" t="s">
        <v>128</v>
      </c>
      <c r="I2058" t="s">
        <v>136</v>
      </c>
      <c r="J2058" s="10" t="str">
        <f>VLOOKUP(I2058,Categories!A:B,2,FALSE)</f>
        <v>อื่นๆ</v>
      </c>
      <c r="K2058" t="s">
        <v>213</v>
      </c>
      <c r="L2058" s="10" t="str">
        <f>VLOOKUP(K2058,Accounts!A:B,2,FALSE)</f>
        <v xml:space="preserve">Krungthai Next</v>
      </c>
      <c r="M2058" t="s">
        <v>131</v>
      </c>
      <c r="N2058" s="10" t="str">
        <f>VLOOKUP(M2058,Accounts!A:B,2,FALSE)</f>
        <v xml:space="preserve">Advance Paid</v>
      </c>
      <c r="O2058" t="s">
        <v>125</v>
      </c>
      <c r="Q2058" t="s">
        <v>126</v>
      </c>
      <c r="R2058" t="s">
        <v>124</v>
      </c>
      <c r="S2058" t="b">
        <v>0</v>
      </c>
      <c r="T2058" t="s">
        <v>124</v>
      </c>
    </row>
    <row r="2059">
      <c r="A2059" t="s">
        <v>4020</v>
      </c>
      <c r="B2059" t="s">
        <v>4008</v>
      </c>
      <c r="C2059" s="2">
        <v>2023</v>
      </c>
      <c r="D2059" s="10">
        <v>1</v>
      </c>
      <c r="E2059" s="10">
        <v>15</v>
      </c>
      <c r="F2059" t="s">
        <v>3289</v>
      </c>
      <c r="G2059">
        <v>630</v>
      </c>
      <c r="H2059" t="s">
        <v>128</v>
      </c>
      <c r="I2059" t="s">
        <v>136</v>
      </c>
      <c r="J2059" s="10" t="str">
        <f>VLOOKUP(I2059,Categories!A:B,2,FALSE)</f>
        <v>อื่นๆ</v>
      </c>
      <c r="K2059" t="s">
        <v>1311</v>
      </c>
      <c r="L2059" s="10" t="str">
        <f>VLOOKUP(K2059,Accounts!A:B,2,FALSE)</f>
        <v xml:space="preserve">Netflix in Adv</v>
      </c>
      <c r="M2059" t="s">
        <v>178</v>
      </c>
      <c r="N2059" s="10" t="str">
        <f>VLOOKUP(M2059,Accounts!A:B,2,FALSE)</f>
        <v>SCB</v>
      </c>
      <c r="O2059" t="s">
        <v>4021</v>
      </c>
      <c r="Q2059" t="s">
        <v>126</v>
      </c>
      <c r="R2059" t="s">
        <v>124</v>
      </c>
      <c r="S2059" t="b">
        <v>0</v>
      </c>
      <c r="T2059" t="s">
        <v>124</v>
      </c>
    </row>
    <row r="2060">
      <c r="A2060" t="s">
        <v>4022</v>
      </c>
      <c r="B2060" t="s">
        <v>4023</v>
      </c>
      <c r="C2060" s="2">
        <v>2023</v>
      </c>
      <c r="D2060" s="10">
        <v>1</v>
      </c>
      <c r="E2060" s="10">
        <v>14</v>
      </c>
      <c r="F2060" t="s">
        <v>121</v>
      </c>
      <c r="G2060">
        <v>105</v>
      </c>
      <c r="H2060" t="s">
        <v>69</v>
      </c>
      <c r="I2060" t="s">
        <v>1903</v>
      </c>
      <c r="J2060" s="10" t="str">
        <f>VLOOKUP(I2060,Categories!A:B,2,FALSE)</f>
        <v xml:space="preserve">Monthly subscription</v>
      </c>
      <c r="K2060" t="s">
        <v>747</v>
      </c>
      <c r="L2060" s="10" t="str">
        <f>VLOOKUP(K2060,Accounts!A:B,2,FALSE)</f>
        <v xml:space="preserve">UOB world</v>
      </c>
      <c r="M2060" t="s">
        <v>124</v>
      </c>
      <c r="N2060" s="10"/>
      <c r="O2060" t="s">
        <v>125</v>
      </c>
      <c r="Q2060" t="s">
        <v>126</v>
      </c>
      <c r="R2060" t="s">
        <v>124</v>
      </c>
      <c r="S2060" t="b">
        <v>0</v>
      </c>
      <c r="T2060" t="s">
        <v>124</v>
      </c>
    </row>
    <row r="2061">
      <c r="A2061" t="s">
        <v>4024</v>
      </c>
      <c r="B2061" t="s">
        <v>4023</v>
      </c>
      <c r="C2061" s="2">
        <v>2023</v>
      </c>
      <c r="D2061" s="10">
        <v>1</v>
      </c>
      <c r="E2061" s="10">
        <v>14</v>
      </c>
      <c r="F2061" t="s">
        <v>3133</v>
      </c>
      <c r="G2061">
        <v>419</v>
      </c>
      <c r="H2061" t="s">
        <v>128</v>
      </c>
      <c r="I2061" t="s">
        <v>136</v>
      </c>
      <c r="J2061" s="10" t="str">
        <f>VLOOKUP(I2061,Categories!A:B,2,FALSE)</f>
        <v>อื่นๆ</v>
      </c>
      <c r="K2061" t="s">
        <v>178</v>
      </c>
      <c r="L2061" s="10" t="str">
        <f>VLOOKUP(K2061,Accounts!A:B,2,FALSE)</f>
        <v>SCB</v>
      </c>
      <c r="M2061" t="s">
        <v>747</v>
      </c>
      <c r="N2061" s="10" t="str">
        <f>VLOOKUP(M2061,Accounts!A:B,2,FALSE)</f>
        <v xml:space="preserve">UOB world</v>
      </c>
      <c r="O2061" t="s">
        <v>125</v>
      </c>
      <c r="Q2061" t="s">
        <v>126</v>
      </c>
      <c r="R2061" t="s">
        <v>124</v>
      </c>
      <c r="S2061" t="b">
        <v>0</v>
      </c>
      <c r="T2061" t="s">
        <v>124</v>
      </c>
    </row>
    <row r="2062">
      <c r="A2062" t="s">
        <v>4025</v>
      </c>
      <c r="B2062" t="s">
        <v>4023</v>
      </c>
      <c r="C2062" s="2">
        <v>2023</v>
      </c>
      <c r="D2062" s="10">
        <v>1</v>
      </c>
      <c r="E2062" s="10">
        <v>14</v>
      </c>
      <c r="F2062" t="s">
        <v>1030</v>
      </c>
      <c r="G2062">
        <v>203</v>
      </c>
      <c r="H2062" t="s">
        <v>69</v>
      </c>
      <c r="I2062" t="s">
        <v>150</v>
      </c>
      <c r="J2062" s="10" t="str">
        <f>VLOOKUP(I2062,Categories!A:B,2,FALSE)</f>
        <v xml:space="preserve">Food &amp; Coff</v>
      </c>
      <c r="K2062" t="s">
        <v>2317</v>
      </c>
      <c r="L2062" s="10" t="str">
        <f>VLOOKUP(K2062,Accounts!A:B,2,FALSE)</f>
        <v xml:space="preserve">Marriage account</v>
      </c>
      <c r="M2062" t="s">
        <v>124</v>
      </c>
      <c r="N2062" s="10"/>
      <c r="O2062" t="s">
        <v>125</v>
      </c>
      <c r="Q2062" t="s">
        <v>126</v>
      </c>
      <c r="R2062" t="s">
        <v>124</v>
      </c>
      <c r="S2062" t="b">
        <v>0</v>
      </c>
      <c r="T2062" t="s">
        <v>124</v>
      </c>
    </row>
    <row r="2063">
      <c r="A2063" t="s">
        <v>4026</v>
      </c>
      <c r="B2063" t="s">
        <v>4023</v>
      </c>
      <c r="C2063" s="2">
        <v>2023</v>
      </c>
      <c r="D2063" s="10">
        <v>1</v>
      </c>
      <c r="E2063" s="10">
        <v>14</v>
      </c>
      <c r="F2063" t="s">
        <v>364</v>
      </c>
      <c r="G2063">
        <v>45</v>
      </c>
      <c r="H2063" t="s">
        <v>69</v>
      </c>
      <c r="I2063" t="s">
        <v>150</v>
      </c>
      <c r="J2063" s="10" t="str">
        <f>VLOOKUP(I2063,Categories!A:B,2,FALSE)</f>
        <v xml:space="preserve">Food &amp; Coff</v>
      </c>
      <c r="K2063" t="s">
        <v>178</v>
      </c>
      <c r="L2063" s="10" t="str">
        <f>VLOOKUP(K2063,Accounts!A:B,2,FALSE)</f>
        <v>SCB</v>
      </c>
      <c r="M2063" t="s">
        <v>124</v>
      </c>
      <c r="N2063" s="10"/>
      <c r="O2063" t="s">
        <v>125</v>
      </c>
      <c r="Q2063" t="s">
        <v>126</v>
      </c>
      <c r="R2063" t="s">
        <v>124</v>
      </c>
      <c r="S2063" t="b">
        <v>0</v>
      </c>
      <c r="T2063" t="s">
        <v>124</v>
      </c>
    </row>
    <row r="2064">
      <c r="A2064" t="s">
        <v>4027</v>
      </c>
      <c r="B2064" t="s">
        <v>4023</v>
      </c>
      <c r="C2064" s="2">
        <v>2023</v>
      </c>
      <c r="D2064" s="10">
        <v>1</v>
      </c>
      <c r="E2064" s="10">
        <v>14</v>
      </c>
      <c r="F2064" t="s">
        <v>2091</v>
      </c>
      <c r="G2064">
        <v>680</v>
      </c>
      <c r="H2064" t="s">
        <v>69</v>
      </c>
      <c r="I2064" t="s">
        <v>150</v>
      </c>
      <c r="J2064" s="10" t="str">
        <f>VLOOKUP(I2064,Categories!A:B,2,FALSE)</f>
        <v xml:space="preserve">Food &amp; Coff</v>
      </c>
      <c r="K2064" t="s">
        <v>2317</v>
      </c>
      <c r="L2064" s="10" t="str">
        <f>VLOOKUP(K2064,Accounts!A:B,2,FALSE)</f>
        <v xml:space="preserve">Marriage account</v>
      </c>
      <c r="M2064" t="s">
        <v>124</v>
      </c>
      <c r="N2064" s="10"/>
      <c r="O2064" t="s">
        <v>125</v>
      </c>
      <c r="Q2064" t="s">
        <v>126</v>
      </c>
      <c r="R2064" t="s">
        <v>124</v>
      </c>
      <c r="S2064" t="b">
        <v>0</v>
      </c>
      <c r="T2064" t="s">
        <v>124</v>
      </c>
    </row>
    <row r="2065">
      <c r="A2065" t="s">
        <v>4028</v>
      </c>
      <c r="B2065" t="s">
        <v>4029</v>
      </c>
      <c r="C2065" s="2">
        <v>2023</v>
      </c>
      <c r="D2065" s="10">
        <v>1</v>
      </c>
      <c r="E2065" s="10">
        <v>12</v>
      </c>
      <c r="F2065" t="s">
        <v>2699</v>
      </c>
      <c r="G2065">
        <v>165</v>
      </c>
      <c r="H2065" t="s">
        <v>69</v>
      </c>
      <c r="I2065" t="s">
        <v>150</v>
      </c>
      <c r="J2065" s="10" t="str">
        <f>VLOOKUP(I2065,Categories!A:B,2,FALSE)</f>
        <v xml:space="preserve">Food &amp; Coff</v>
      </c>
      <c r="K2065" t="s">
        <v>2317</v>
      </c>
      <c r="L2065" s="10" t="str">
        <f>VLOOKUP(K2065,Accounts!A:B,2,FALSE)</f>
        <v xml:space="preserve">Marriage account</v>
      </c>
      <c r="M2065" t="s">
        <v>124</v>
      </c>
      <c r="N2065" s="10"/>
      <c r="O2065" t="s">
        <v>125</v>
      </c>
      <c r="Q2065" t="s">
        <v>126</v>
      </c>
      <c r="R2065" t="s">
        <v>124</v>
      </c>
      <c r="S2065" t="b">
        <v>0</v>
      </c>
      <c r="T2065" t="s">
        <v>124</v>
      </c>
    </row>
    <row r="2066">
      <c r="A2066" t="s">
        <v>4030</v>
      </c>
      <c r="B2066" t="s">
        <v>4029</v>
      </c>
      <c r="C2066" s="2">
        <v>2023</v>
      </c>
      <c r="D2066" s="10">
        <v>1</v>
      </c>
      <c r="E2066" s="10">
        <v>12</v>
      </c>
      <c r="F2066" t="s">
        <v>2656</v>
      </c>
      <c r="G2066">
        <v>50</v>
      </c>
      <c r="H2066" t="s">
        <v>69</v>
      </c>
      <c r="I2066" t="s">
        <v>150</v>
      </c>
      <c r="J2066" s="10" t="str">
        <f>VLOOKUP(I2066,Categories!A:B,2,FALSE)</f>
        <v xml:space="preserve">Food &amp; Coff</v>
      </c>
      <c r="K2066" t="s">
        <v>178</v>
      </c>
      <c r="L2066" s="10" t="str">
        <f>VLOOKUP(K2066,Accounts!A:B,2,FALSE)</f>
        <v>SCB</v>
      </c>
      <c r="M2066" t="s">
        <v>124</v>
      </c>
      <c r="N2066" s="10"/>
      <c r="O2066" t="s">
        <v>125</v>
      </c>
      <c r="Q2066" t="s">
        <v>126</v>
      </c>
      <c r="R2066" t="s">
        <v>124</v>
      </c>
      <c r="S2066" t="b">
        <v>0</v>
      </c>
      <c r="T2066" t="s">
        <v>124</v>
      </c>
    </row>
    <row r="2067">
      <c r="A2067" t="s">
        <v>4031</v>
      </c>
      <c r="B2067" t="s">
        <v>4029</v>
      </c>
      <c r="C2067" s="2">
        <v>2023</v>
      </c>
      <c r="D2067" s="10">
        <v>1</v>
      </c>
      <c r="E2067" s="10">
        <v>12</v>
      </c>
      <c r="F2067" t="s">
        <v>1513</v>
      </c>
      <c r="G2067">
        <v>90</v>
      </c>
      <c r="H2067" t="s">
        <v>69</v>
      </c>
      <c r="I2067" t="s">
        <v>150</v>
      </c>
      <c r="J2067" s="10" t="str">
        <f>VLOOKUP(I2067,Categories!A:B,2,FALSE)</f>
        <v xml:space="preserve">Food &amp; Coff</v>
      </c>
      <c r="K2067" t="s">
        <v>178</v>
      </c>
      <c r="L2067" s="10" t="str">
        <f>VLOOKUP(K2067,Accounts!A:B,2,FALSE)</f>
        <v>SCB</v>
      </c>
      <c r="M2067" t="s">
        <v>124</v>
      </c>
      <c r="N2067" s="10"/>
      <c r="O2067" t="s">
        <v>125</v>
      </c>
      <c r="Q2067" t="s">
        <v>126</v>
      </c>
      <c r="R2067" t="s">
        <v>124</v>
      </c>
      <c r="S2067" t="b">
        <v>0</v>
      </c>
      <c r="T2067" t="s">
        <v>124</v>
      </c>
    </row>
    <row r="2068">
      <c r="A2068" t="s">
        <v>4032</v>
      </c>
      <c r="B2068" t="s">
        <v>4029</v>
      </c>
      <c r="C2068" s="2">
        <v>2023</v>
      </c>
      <c r="D2068" s="10">
        <v>1</v>
      </c>
      <c r="E2068" s="10">
        <v>12</v>
      </c>
      <c r="F2068" t="s">
        <v>380</v>
      </c>
      <c r="G2068">
        <v>55</v>
      </c>
      <c r="H2068" t="s">
        <v>69</v>
      </c>
      <c r="I2068" t="s">
        <v>150</v>
      </c>
      <c r="J2068" s="10" t="str">
        <f>VLOOKUP(I2068,Categories!A:B,2,FALSE)</f>
        <v xml:space="preserve">Food &amp; Coff</v>
      </c>
      <c r="K2068" t="s">
        <v>178</v>
      </c>
      <c r="L2068" s="10" t="str">
        <f>VLOOKUP(K2068,Accounts!A:B,2,FALSE)</f>
        <v>SCB</v>
      </c>
      <c r="M2068" t="s">
        <v>124</v>
      </c>
      <c r="N2068" s="10"/>
      <c r="O2068" t="s">
        <v>125</v>
      </c>
      <c r="Q2068" t="s">
        <v>126</v>
      </c>
      <c r="R2068" t="s">
        <v>124</v>
      </c>
      <c r="S2068" t="b">
        <v>0</v>
      </c>
      <c r="T2068" t="s">
        <v>124</v>
      </c>
    </row>
    <row r="2069">
      <c r="A2069" t="s">
        <v>4033</v>
      </c>
      <c r="B2069" t="s">
        <v>4029</v>
      </c>
      <c r="C2069" s="2">
        <v>2023</v>
      </c>
      <c r="D2069" s="10">
        <v>1</v>
      </c>
      <c r="E2069" s="10">
        <v>12</v>
      </c>
      <c r="F2069" t="s">
        <v>3271</v>
      </c>
      <c r="G2069">
        <v>204</v>
      </c>
      <c r="H2069" t="s">
        <v>69</v>
      </c>
      <c r="I2069" t="s">
        <v>150</v>
      </c>
      <c r="J2069" s="10" t="str">
        <f>VLOOKUP(I2069,Categories!A:B,2,FALSE)</f>
        <v xml:space="preserve">Food &amp; Coff</v>
      </c>
      <c r="K2069" t="s">
        <v>2317</v>
      </c>
      <c r="L2069" s="10" t="str">
        <f>VLOOKUP(K2069,Accounts!A:B,2,FALSE)</f>
        <v xml:space="preserve">Marriage account</v>
      </c>
      <c r="M2069" t="s">
        <v>124</v>
      </c>
      <c r="N2069" s="10"/>
      <c r="O2069" t="s">
        <v>4034</v>
      </c>
      <c r="Q2069" t="s">
        <v>126</v>
      </c>
      <c r="R2069" t="s">
        <v>124</v>
      </c>
      <c r="S2069" t="b">
        <v>0</v>
      </c>
      <c r="T2069" t="s">
        <v>124</v>
      </c>
    </row>
    <row r="2070">
      <c r="A2070" t="s">
        <v>4035</v>
      </c>
      <c r="B2070" t="s">
        <v>4036</v>
      </c>
      <c r="C2070" s="2">
        <v>2023</v>
      </c>
      <c r="D2070" s="10">
        <v>1</v>
      </c>
      <c r="E2070" s="10">
        <v>11</v>
      </c>
      <c r="F2070" t="s">
        <v>4037</v>
      </c>
      <c r="G2070">
        <v>48</v>
      </c>
      <c r="H2070" t="s">
        <v>69</v>
      </c>
      <c r="I2070" t="s">
        <v>150</v>
      </c>
      <c r="J2070" s="10" t="str">
        <f>VLOOKUP(I2070,Categories!A:B,2,FALSE)</f>
        <v xml:space="preserve">Food &amp; Coff</v>
      </c>
      <c r="K2070" t="s">
        <v>178</v>
      </c>
      <c r="L2070" s="10" t="str">
        <f>VLOOKUP(K2070,Accounts!A:B,2,FALSE)</f>
        <v>SCB</v>
      </c>
      <c r="M2070" t="s">
        <v>124</v>
      </c>
      <c r="N2070" s="10"/>
      <c r="O2070" t="s">
        <v>125</v>
      </c>
      <c r="Q2070" t="s">
        <v>126</v>
      </c>
      <c r="R2070" t="s">
        <v>124</v>
      </c>
      <c r="S2070" t="b">
        <v>0</v>
      </c>
      <c r="T2070" t="s">
        <v>124</v>
      </c>
    </row>
    <row r="2071">
      <c r="A2071" t="s">
        <v>4038</v>
      </c>
      <c r="B2071" t="s">
        <v>4036</v>
      </c>
      <c r="C2071" s="2">
        <v>2023</v>
      </c>
      <c r="D2071" s="10">
        <v>1</v>
      </c>
      <c r="E2071" s="10">
        <v>11</v>
      </c>
      <c r="F2071" t="s">
        <v>2670</v>
      </c>
      <c r="G2071">
        <v>499</v>
      </c>
      <c r="H2071" t="s">
        <v>69</v>
      </c>
      <c r="I2071" t="s">
        <v>144</v>
      </c>
      <c r="J2071" s="10" t="str">
        <f>VLOOKUP(I2071,Categories!A:B,2,FALSE)</f>
        <v xml:space="preserve">Family paid</v>
      </c>
      <c r="K2071" t="s">
        <v>2317</v>
      </c>
      <c r="L2071" s="10" t="str">
        <f>VLOOKUP(K2071,Accounts!A:B,2,FALSE)</f>
        <v xml:space="preserve">Marriage account</v>
      </c>
      <c r="M2071" t="s">
        <v>124</v>
      </c>
      <c r="N2071" s="10"/>
      <c r="O2071" t="s">
        <v>125</v>
      </c>
      <c r="Q2071" t="s">
        <v>126</v>
      </c>
      <c r="R2071" t="s">
        <v>124</v>
      </c>
      <c r="S2071" t="b">
        <v>0</v>
      </c>
      <c r="T2071" t="s">
        <v>124</v>
      </c>
    </row>
    <row r="2072">
      <c r="A2072" t="s">
        <v>4039</v>
      </c>
      <c r="B2072" t="s">
        <v>4036</v>
      </c>
      <c r="C2072" s="2">
        <v>2023</v>
      </c>
      <c r="D2072" s="10">
        <v>1</v>
      </c>
      <c r="E2072" s="10">
        <v>11</v>
      </c>
      <c r="F2072" t="s">
        <v>2656</v>
      </c>
      <c r="G2072">
        <v>50</v>
      </c>
      <c r="H2072" t="s">
        <v>69</v>
      </c>
      <c r="I2072" t="s">
        <v>150</v>
      </c>
      <c r="J2072" s="10" t="str">
        <f>VLOOKUP(I2072,Categories!A:B,2,FALSE)</f>
        <v xml:space="preserve">Food &amp; Coff</v>
      </c>
      <c r="K2072" t="s">
        <v>178</v>
      </c>
      <c r="L2072" s="10" t="str">
        <f>VLOOKUP(K2072,Accounts!A:B,2,FALSE)</f>
        <v>SCB</v>
      </c>
      <c r="M2072" t="s">
        <v>124</v>
      </c>
      <c r="N2072" s="10"/>
      <c r="O2072" t="s">
        <v>125</v>
      </c>
      <c r="Q2072" t="s">
        <v>126</v>
      </c>
      <c r="R2072" t="s">
        <v>124</v>
      </c>
      <c r="S2072" t="b">
        <v>0</v>
      </c>
      <c r="T2072" t="s">
        <v>124</v>
      </c>
    </row>
    <row r="2073">
      <c r="A2073" t="s">
        <v>4040</v>
      </c>
      <c r="B2073" t="s">
        <v>4036</v>
      </c>
      <c r="C2073" s="2">
        <v>2023</v>
      </c>
      <c r="D2073" s="10">
        <v>1</v>
      </c>
      <c r="E2073" s="10">
        <v>11</v>
      </c>
      <c r="F2073" t="s">
        <v>1822</v>
      </c>
      <c r="G2073">
        <v>57</v>
      </c>
      <c r="H2073" t="s">
        <v>69</v>
      </c>
      <c r="I2073" t="s">
        <v>150</v>
      </c>
      <c r="J2073" s="10" t="str">
        <f>VLOOKUP(I2073,Categories!A:B,2,FALSE)</f>
        <v xml:space="preserve">Food &amp; Coff</v>
      </c>
      <c r="K2073" t="s">
        <v>178</v>
      </c>
      <c r="L2073" s="10" t="str">
        <f>VLOOKUP(K2073,Accounts!A:B,2,FALSE)</f>
        <v>SCB</v>
      </c>
      <c r="M2073" t="s">
        <v>124</v>
      </c>
      <c r="N2073" s="10"/>
      <c r="O2073" t="s">
        <v>125</v>
      </c>
      <c r="Q2073" t="s">
        <v>126</v>
      </c>
      <c r="R2073" t="s">
        <v>124</v>
      </c>
      <c r="S2073" t="b">
        <v>0</v>
      </c>
      <c r="T2073" t="s">
        <v>124</v>
      </c>
    </row>
    <row r="2074">
      <c r="A2074" t="s">
        <v>4041</v>
      </c>
      <c r="B2074" t="s">
        <v>4042</v>
      </c>
      <c r="C2074" s="2">
        <v>2023</v>
      </c>
      <c r="D2074" s="10">
        <v>1</v>
      </c>
      <c r="E2074" s="10">
        <v>10</v>
      </c>
      <c r="F2074" t="s">
        <v>2937</v>
      </c>
      <c r="G2074">
        <v>120</v>
      </c>
      <c r="H2074" t="s">
        <v>69</v>
      </c>
      <c r="I2074" t="s">
        <v>150</v>
      </c>
      <c r="J2074" s="10" t="str">
        <f>VLOOKUP(I2074,Categories!A:B,2,FALSE)</f>
        <v xml:space="preserve">Food &amp; Coff</v>
      </c>
      <c r="K2074" t="s">
        <v>2317</v>
      </c>
      <c r="L2074" s="10" t="str">
        <f>VLOOKUP(K2074,Accounts!A:B,2,FALSE)</f>
        <v xml:space="preserve">Marriage account</v>
      </c>
      <c r="M2074" t="s">
        <v>124</v>
      </c>
      <c r="N2074" s="10"/>
      <c r="O2074" t="s">
        <v>125</v>
      </c>
      <c r="Q2074" t="s">
        <v>126</v>
      </c>
      <c r="R2074" t="s">
        <v>124</v>
      </c>
      <c r="S2074" t="b">
        <v>0</v>
      </c>
      <c r="T2074" t="s">
        <v>124</v>
      </c>
    </row>
    <row r="2075">
      <c r="A2075" t="s">
        <v>4043</v>
      </c>
      <c r="B2075" t="s">
        <v>4042</v>
      </c>
      <c r="C2075" s="2">
        <v>2023</v>
      </c>
      <c r="D2075" s="10">
        <v>1</v>
      </c>
      <c r="E2075" s="10">
        <v>10</v>
      </c>
      <c r="F2075" t="s">
        <v>3197</v>
      </c>
      <c r="G2075">
        <v>10000</v>
      </c>
      <c r="H2075" t="s">
        <v>206</v>
      </c>
      <c r="I2075" t="s">
        <v>281</v>
      </c>
      <c r="J2075" s="10" t="str">
        <f>VLOOKUP(I2075,Categories!A:B,2,FALSE)</f>
        <v>Others</v>
      </c>
      <c r="K2075" t="s">
        <v>2317</v>
      </c>
      <c r="L2075" s="10" t="str">
        <f>VLOOKUP(K2075,Accounts!A:B,2,FALSE)</f>
        <v xml:space="preserve">Marriage account</v>
      </c>
      <c r="M2075" t="s">
        <v>124</v>
      </c>
      <c r="N2075" s="10"/>
      <c r="O2075" t="s">
        <v>125</v>
      </c>
      <c r="Q2075" t="s">
        <v>126</v>
      </c>
      <c r="R2075" t="s">
        <v>124</v>
      </c>
      <c r="S2075" t="b">
        <v>0</v>
      </c>
      <c r="T2075" t="s">
        <v>124</v>
      </c>
    </row>
    <row r="2076">
      <c r="A2076" t="s">
        <v>4044</v>
      </c>
      <c r="B2076" t="s">
        <v>4042</v>
      </c>
      <c r="C2076" s="2">
        <v>2023</v>
      </c>
      <c r="D2076" s="10">
        <v>1</v>
      </c>
      <c r="E2076" s="10">
        <v>10</v>
      </c>
      <c r="F2076" t="s">
        <v>2709</v>
      </c>
      <c r="G2076">
        <v>62</v>
      </c>
      <c r="H2076" t="s">
        <v>69</v>
      </c>
      <c r="I2076" t="s">
        <v>150</v>
      </c>
      <c r="J2076" s="10" t="str">
        <f>VLOOKUP(I2076,Categories!A:B,2,FALSE)</f>
        <v xml:space="preserve">Food &amp; Coff</v>
      </c>
      <c r="K2076" t="s">
        <v>178</v>
      </c>
      <c r="L2076" s="10" t="str">
        <f>VLOOKUP(K2076,Accounts!A:B,2,FALSE)</f>
        <v>SCB</v>
      </c>
      <c r="M2076" t="s">
        <v>124</v>
      </c>
      <c r="N2076" s="10"/>
      <c r="O2076" t="s">
        <v>125</v>
      </c>
      <c r="Q2076" t="s">
        <v>126</v>
      </c>
      <c r="R2076" t="s">
        <v>124</v>
      </c>
      <c r="S2076" t="b">
        <v>0</v>
      </c>
      <c r="T2076" t="s">
        <v>124</v>
      </c>
    </row>
    <row r="2077">
      <c r="A2077" t="s">
        <v>4045</v>
      </c>
      <c r="B2077" t="s">
        <v>4042</v>
      </c>
      <c r="C2077" s="2">
        <v>2023</v>
      </c>
      <c r="D2077" s="10">
        <v>1</v>
      </c>
      <c r="E2077" s="10">
        <v>10</v>
      </c>
      <c r="F2077" t="s">
        <v>2659</v>
      </c>
      <c r="G2077">
        <v>600</v>
      </c>
      <c r="H2077" t="s">
        <v>69</v>
      </c>
      <c r="I2077" t="s">
        <v>259</v>
      </c>
      <c r="J2077" s="10" t="str">
        <f>VLOOKUP(I2077,Categories!A:B,2,FALSE)</f>
        <v xml:space="preserve">Team BOT</v>
      </c>
      <c r="K2077" t="s">
        <v>178</v>
      </c>
      <c r="L2077" s="10" t="str">
        <f>VLOOKUP(K2077,Accounts!A:B,2,FALSE)</f>
        <v>SCB</v>
      </c>
      <c r="M2077" t="s">
        <v>124</v>
      </c>
      <c r="N2077" s="10"/>
      <c r="O2077" t="s">
        <v>125</v>
      </c>
      <c r="Q2077" t="s">
        <v>126</v>
      </c>
      <c r="R2077" t="s">
        <v>124</v>
      </c>
      <c r="S2077" t="b">
        <v>0</v>
      </c>
      <c r="T2077" t="s">
        <v>124</v>
      </c>
    </row>
    <row r="2078">
      <c r="A2078" t="s">
        <v>4046</v>
      </c>
      <c r="B2078" t="s">
        <v>4042</v>
      </c>
      <c r="C2078" s="2">
        <v>2023</v>
      </c>
      <c r="D2078" s="10">
        <v>1</v>
      </c>
      <c r="E2078" s="10">
        <v>10</v>
      </c>
      <c r="F2078" t="s">
        <v>873</v>
      </c>
      <c r="G2078">
        <v>4885</v>
      </c>
      <c r="H2078" t="s">
        <v>69</v>
      </c>
      <c r="I2078" t="s">
        <v>139</v>
      </c>
      <c r="J2078" s="10" t="str">
        <f>VLOOKUP(I2078,Categories!A:B,2,FALSE)</f>
        <v>Condo</v>
      </c>
      <c r="K2078" t="s">
        <v>123</v>
      </c>
      <c r="L2078" s="10" t="str">
        <f>VLOOKUP(K2078,Accounts!A:B,2,FALSE)</f>
        <v>KBank</v>
      </c>
      <c r="M2078" t="s">
        <v>124</v>
      </c>
      <c r="N2078" s="10"/>
      <c r="O2078" t="s">
        <v>125</v>
      </c>
      <c r="Q2078" t="s">
        <v>126</v>
      </c>
      <c r="R2078" t="s">
        <v>124</v>
      </c>
      <c r="S2078" t="b">
        <v>0</v>
      </c>
      <c r="T2078" t="s">
        <v>124</v>
      </c>
    </row>
    <row r="2079">
      <c r="A2079" t="s">
        <v>4047</v>
      </c>
      <c r="B2079" t="s">
        <v>4048</v>
      </c>
      <c r="C2079" s="2">
        <v>2023</v>
      </c>
      <c r="D2079" s="10">
        <v>1</v>
      </c>
      <c r="E2079" s="10">
        <v>9</v>
      </c>
      <c r="F2079" t="s">
        <v>2687</v>
      </c>
      <c r="G2079">
        <v>130</v>
      </c>
      <c r="H2079" t="s">
        <v>69</v>
      </c>
      <c r="I2079" t="s">
        <v>150</v>
      </c>
      <c r="J2079" s="10" t="str">
        <f>VLOOKUP(I2079,Categories!A:B,2,FALSE)</f>
        <v xml:space="preserve">Food &amp; Coff</v>
      </c>
      <c r="K2079" t="s">
        <v>2317</v>
      </c>
      <c r="L2079" s="10" t="str">
        <f>VLOOKUP(K2079,Accounts!A:B,2,FALSE)</f>
        <v xml:space="preserve">Marriage account</v>
      </c>
      <c r="M2079" t="s">
        <v>124</v>
      </c>
      <c r="N2079" s="10"/>
      <c r="O2079" t="s">
        <v>125</v>
      </c>
      <c r="Q2079" t="s">
        <v>126</v>
      </c>
      <c r="R2079" t="s">
        <v>124</v>
      </c>
      <c r="S2079" t="b">
        <v>0</v>
      </c>
      <c r="T2079" t="s">
        <v>124</v>
      </c>
    </row>
    <row r="2080">
      <c r="A2080" t="s">
        <v>4049</v>
      </c>
      <c r="B2080" t="s">
        <v>4048</v>
      </c>
      <c r="C2080" s="2">
        <v>2023</v>
      </c>
      <c r="D2080" s="10">
        <v>1</v>
      </c>
      <c r="E2080" s="10">
        <v>9</v>
      </c>
      <c r="F2080" t="s">
        <v>2768</v>
      </c>
      <c r="G2080">
        <v>50</v>
      </c>
      <c r="H2080" t="s">
        <v>69</v>
      </c>
      <c r="I2080" t="s">
        <v>150</v>
      </c>
      <c r="J2080" s="10" t="str">
        <f>VLOOKUP(I2080,Categories!A:B,2,FALSE)</f>
        <v xml:space="preserve">Food &amp; Coff</v>
      </c>
      <c r="K2080" t="s">
        <v>178</v>
      </c>
      <c r="L2080" s="10" t="str">
        <f>VLOOKUP(K2080,Accounts!A:B,2,FALSE)</f>
        <v>SCB</v>
      </c>
      <c r="M2080" t="s">
        <v>124</v>
      </c>
      <c r="N2080" s="10"/>
      <c r="O2080" t="s">
        <v>125</v>
      </c>
      <c r="Q2080" t="s">
        <v>126</v>
      </c>
      <c r="R2080" t="s">
        <v>124</v>
      </c>
      <c r="S2080" t="b">
        <v>0</v>
      </c>
      <c r="T2080" t="s">
        <v>124</v>
      </c>
    </row>
    <row r="2081">
      <c r="A2081" t="s">
        <v>4050</v>
      </c>
      <c r="B2081" t="s">
        <v>4048</v>
      </c>
      <c r="C2081" s="2">
        <v>2023</v>
      </c>
      <c r="D2081" s="10">
        <v>1</v>
      </c>
      <c r="E2081" s="10">
        <v>9</v>
      </c>
      <c r="F2081" t="s">
        <v>1532</v>
      </c>
      <c r="G2081">
        <v>3849</v>
      </c>
      <c r="H2081" t="s">
        <v>128</v>
      </c>
      <c r="I2081" t="s">
        <v>136</v>
      </c>
      <c r="J2081" s="10" t="str">
        <f>VLOOKUP(I2081,Categories!A:B,2,FALSE)</f>
        <v>อื่นๆ</v>
      </c>
      <c r="K2081" t="s">
        <v>123</v>
      </c>
      <c r="L2081" s="10" t="str">
        <f>VLOOKUP(K2081,Accounts!A:B,2,FALSE)</f>
        <v>KBank</v>
      </c>
      <c r="M2081" t="s">
        <v>2862</v>
      </c>
      <c r="N2081" s="10" t="str">
        <f>VLOOKUP(M2081,Accounts!A:B,2,FALSE)</f>
        <v xml:space="preserve">Kbank onesiam</v>
      </c>
      <c r="O2081" t="s">
        <v>125</v>
      </c>
      <c r="Q2081" t="s">
        <v>126</v>
      </c>
      <c r="R2081" t="s">
        <v>124</v>
      </c>
      <c r="S2081" t="b">
        <v>0</v>
      </c>
      <c r="T2081" t="s">
        <v>124</v>
      </c>
    </row>
    <row r="2082">
      <c r="A2082" t="s">
        <v>4051</v>
      </c>
      <c r="B2082" t="s">
        <v>4048</v>
      </c>
      <c r="C2082" s="2">
        <v>2023</v>
      </c>
      <c r="D2082" s="10">
        <v>1</v>
      </c>
      <c r="E2082" s="10">
        <v>9</v>
      </c>
      <c r="F2082" t="s">
        <v>1800</v>
      </c>
      <c r="G2082">
        <v>57</v>
      </c>
      <c r="H2082" t="s">
        <v>69</v>
      </c>
      <c r="I2082" t="s">
        <v>150</v>
      </c>
      <c r="J2082" s="10" t="str">
        <f>VLOOKUP(I2082,Categories!A:B,2,FALSE)</f>
        <v xml:space="preserve">Food &amp; Coff</v>
      </c>
      <c r="K2082" t="s">
        <v>178</v>
      </c>
      <c r="L2082" s="10" t="str">
        <f>VLOOKUP(K2082,Accounts!A:B,2,FALSE)</f>
        <v>SCB</v>
      </c>
      <c r="M2082" t="s">
        <v>124</v>
      </c>
      <c r="N2082" s="10"/>
      <c r="O2082" t="s">
        <v>125</v>
      </c>
      <c r="Q2082" t="s">
        <v>126</v>
      </c>
      <c r="R2082" t="s">
        <v>124</v>
      </c>
      <c r="S2082" t="b">
        <v>0</v>
      </c>
      <c r="T2082" t="s">
        <v>124</v>
      </c>
    </row>
    <row r="2083">
      <c r="A2083" t="s">
        <v>4052</v>
      </c>
      <c r="B2083" t="s">
        <v>4048</v>
      </c>
      <c r="C2083" s="2">
        <v>2023</v>
      </c>
      <c r="D2083" s="10">
        <v>1</v>
      </c>
      <c r="E2083" s="10">
        <v>9</v>
      </c>
      <c r="F2083" t="s">
        <v>329</v>
      </c>
      <c r="G2083">
        <v>55</v>
      </c>
      <c r="H2083" t="s">
        <v>69</v>
      </c>
      <c r="I2083" t="s">
        <v>150</v>
      </c>
      <c r="J2083" s="10" t="str">
        <f>VLOOKUP(I2083,Categories!A:B,2,FALSE)</f>
        <v xml:space="preserve">Food &amp; Coff</v>
      </c>
      <c r="K2083" t="s">
        <v>178</v>
      </c>
      <c r="L2083" s="10" t="str">
        <f>VLOOKUP(K2083,Accounts!A:B,2,FALSE)</f>
        <v>SCB</v>
      </c>
      <c r="M2083" t="s">
        <v>124</v>
      </c>
      <c r="N2083" s="10"/>
      <c r="O2083" t="s">
        <v>125</v>
      </c>
      <c r="Q2083" t="s">
        <v>126</v>
      </c>
      <c r="R2083" t="s">
        <v>124</v>
      </c>
      <c r="S2083" t="b">
        <v>0</v>
      </c>
      <c r="T2083" t="s">
        <v>124</v>
      </c>
    </row>
    <row r="2084">
      <c r="A2084" t="s">
        <v>4053</v>
      </c>
      <c r="B2084" t="s">
        <v>4054</v>
      </c>
      <c r="C2084" s="2">
        <v>2023</v>
      </c>
      <c r="D2084" s="10">
        <v>1</v>
      </c>
      <c r="E2084" s="10">
        <v>8</v>
      </c>
      <c r="F2084" t="s">
        <v>364</v>
      </c>
      <c r="G2084">
        <v>50</v>
      </c>
      <c r="H2084" t="s">
        <v>69</v>
      </c>
      <c r="I2084" t="s">
        <v>150</v>
      </c>
      <c r="J2084" s="10" t="str">
        <f>VLOOKUP(I2084,Categories!A:B,2,FALSE)</f>
        <v xml:space="preserve">Food &amp; Coff</v>
      </c>
      <c r="K2084" t="s">
        <v>178</v>
      </c>
      <c r="L2084" s="10" t="str">
        <f>VLOOKUP(K2084,Accounts!A:B,2,FALSE)</f>
        <v>SCB</v>
      </c>
      <c r="M2084" t="s">
        <v>124</v>
      </c>
      <c r="N2084" s="10"/>
      <c r="O2084" t="s">
        <v>125</v>
      </c>
      <c r="Q2084" t="s">
        <v>126</v>
      </c>
      <c r="R2084" t="s">
        <v>124</v>
      </c>
      <c r="S2084" t="b">
        <v>0</v>
      </c>
      <c r="T2084" t="s">
        <v>124</v>
      </c>
    </row>
    <row r="2085">
      <c r="A2085" t="s">
        <v>4055</v>
      </c>
      <c r="B2085" t="s">
        <v>4054</v>
      </c>
      <c r="C2085" s="2">
        <v>2023</v>
      </c>
      <c r="D2085" s="10">
        <v>1</v>
      </c>
      <c r="E2085" s="10">
        <v>8</v>
      </c>
      <c r="F2085" t="s">
        <v>1537</v>
      </c>
      <c r="G2085">
        <v>166</v>
      </c>
      <c r="H2085" t="s">
        <v>69</v>
      </c>
      <c r="I2085" t="s">
        <v>150</v>
      </c>
      <c r="J2085" s="10" t="str">
        <f>VLOOKUP(I2085,Categories!A:B,2,FALSE)</f>
        <v xml:space="preserve">Food &amp; Coff</v>
      </c>
      <c r="K2085" t="s">
        <v>2317</v>
      </c>
      <c r="L2085" s="10" t="str">
        <f>VLOOKUP(K2085,Accounts!A:B,2,FALSE)</f>
        <v xml:space="preserve">Marriage account</v>
      </c>
      <c r="M2085" t="s">
        <v>124</v>
      </c>
      <c r="N2085" s="10"/>
      <c r="O2085" t="s">
        <v>125</v>
      </c>
      <c r="Q2085" t="s">
        <v>126</v>
      </c>
      <c r="R2085" t="s">
        <v>124</v>
      </c>
      <c r="S2085" t="b">
        <v>0</v>
      </c>
      <c r="T2085" t="s">
        <v>124</v>
      </c>
    </row>
    <row r="2086">
      <c r="A2086" t="s">
        <v>4056</v>
      </c>
      <c r="B2086" t="s">
        <v>4054</v>
      </c>
      <c r="C2086" s="2">
        <v>2023</v>
      </c>
      <c r="D2086" s="10">
        <v>1</v>
      </c>
      <c r="E2086" s="10">
        <v>8</v>
      </c>
      <c r="F2086" t="s">
        <v>4057</v>
      </c>
      <c r="G2086">
        <v>124</v>
      </c>
      <c r="H2086" t="s">
        <v>69</v>
      </c>
      <c r="I2086" t="s">
        <v>150</v>
      </c>
      <c r="J2086" s="10" t="str">
        <f>VLOOKUP(I2086,Categories!A:B,2,FALSE)</f>
        <v xml:space="preserve">Food &amp; Coff</v>
      </c>
      <c r="K2086" t="s">
        <v>2317</v>
      </c>
      <c r="L2086" s="10" t="str">
        <f>VLOOKUP(K2086,Accounts!A:B,2,FALSE)</f>
        <v xml:space="preserve">Marriage account</v>
      </c>
      <c r="M2086" t="s">
        <v>124</v>
      </c>
      <c r="N2086" s="10"/>
      <c r="O2086" t="s">
        <v>4058</v>
      </c>
      <c r="Q2086" t="s">
        <v>126</v>
      </c>
      <c r="R2086" t="s">
        <v>124</v>
      </c>
      <c r="S2086" t="b">
        <v>0</v>
      </c>
      <c r="T2086" t="s">
        <v>124</v>
      </c>
    </row>
    <row r="2087">
      <c r="A2087" t="s">
        <v>4059</v>
      </c>
      <c r="B2087" t="s">
        <v>4054</v>
      </c>
      <c r="C2087" s="2">
        <v>2023</v>
      </c>
      <c r="D2087" s="10">
        <v>1</v>
      </c>
      <c r="E2087" s="10">
        <v>8</v>
      </c>
      <c r="F2087" t="s">
        <v>4060</v>
      </c>
      <c r="G2087">
        <v>920</v>
      </c>
      <c r="H2087" t="s">
        <v>69</v>
      </c>
      <c r="I2087" t="s">
        <v>3276</v>
      </c>
      <c r="J2087" s="10" t="str">
        <f>VLOOKUP(I2087,Categories!A:B,2,FALSE)</f>
        <v>Fuel</v>
      </c>
      <c r="K2087" t="s">
        <v>2317</v>
      </c>
      <c r="L2087" s="10" t="str">
        <f>VLOOKUP(K2087,Accounts!A:B,2,FALSE)</f>
        <v xml:space="preserve">Marriage account</v>
      </c>
      <c r="M2087" t="s">
        <v>124</v>
      </c>
      <c r="N2087" s="10"/>
      <c r="O2087" t="s">
        <v>4061</v>
      </c>
      <c r="Q2087" t="s">
        <v>126</v>
      </c>
      <c r="R2087" t="s">
        <v>124</v>
      </c>
      <c r="S2087" t="b">
        <v>0</v>
      </c>
      <c r="T2087" t="s">
        <v>124</v>
      </c>
    </row>
    <row r="2088">
      <c r="A2088" t="s">
        <v>4062</v>
      </c>
      <c r="B2088" t="s">
        <v>4054</v>
      </c>
      <c r="C2088" s="2">
        <v>2023</v>
      </c>
      <c r="D2088" s="10">
        <v>1</v>
      </c>
      <c r="E2088" s="10">
        <v>8</v>
      </c>
      <c r="F2088" t="s">
        <v>1832</v>
      </c>
      <c r="G2088">
        <v>3341</v>
      </c>
      <c r="H2088" t="s">
        <v>69</v>
      </c>
      <c r="I2088" t="s">
        <v>144</v>
      </c>
      <c r="J2088" s="10" t="str">
        <f>VLOOKUP(I2088,Categories!A:B,2,FALSE)</f>
        <v xml:space="preserve">Family paid</v>
      </c>
      <c r="K2088" t="s">
        <v>2317</v>
      </c>
      <c r="L2088" s="10" t="str">
        <f>VLOOKUP(K2088,Accounts!A:B,2,FALSE)</f>
        <v xml:space="preserve">Marriage account</v>
      </c>
      <c r="M2088" t="s">
        <v>124</v>
      </c>
      <c r="N2088" s="10"/>
      <c r="O2088" t="s">
        <v>4063</v>
      </c>
      <c r="Q2088" t="s">
        <v>126</v>
      </c>
      <c r="R2088" t="s">
        <v>124</v>
      </c>
      <c r="S2088" t="b">
        <v>0</v>
      </c>
      <c r="T2088" t="s">
        <v>124</v>
      </c>
    </row>
    <row r="2089">
      <c r="A2089" t="s">
        <v>4064</v>
      </c>
      <c r="B2089" t="s">
        <v>4054</v>
      </c>
      <c r="C2089" s="2">
        <v>2023</v>
      </c>
      <c r="D2089" s="10">
        <v>1</v>
      </c>
      <c r="E2089" s="10">
        <v>8</v>
      </c>
      <c r="F2089" t="s">
        <v>1859</v>
      </c>
      <c r="G2089">
        <v>355</v>
      </c>
      <c r="H2089" t="s">
        <v>128</v>
      </c>
      <c r="I2089" t="s">
        <v>136</v>
      </c>
      <c r="J2089" s="10" t="str">
        <f>VLOOKUP(I2089,Categories!A:B,2,FALSE)</f>
        <v>อื่นๆ</v>
      </c>
      <c r="K2089" t="s">
        <v>178</v>
      </c>
      <c r="L2089" s="10" t="str">
        <f>VLOOKUP(K2089,Accounts!A:B,2,FALSE)</f>
        <v>SCB</v>
      </c>
      <c r="M2089" t="s">
        <v>131</v>
      </c>
      <c r="N2089" s="10" t="str">
        <f>VLOOKUP(M2089,Accounts!A:B,2,FALSE)</f>
        <v xml:space="preserve">Advance Paid</v>
      </c>
      <c r="O2089" t="s">
        <v>4065</v>
      </c>
      <c r="Q2089" t="s">
        <v>126</v>
      </c>
      <c r="R2089" t="s">
        <v>124</v>
      </c>
      <c r="S2089" t="b">
        <v>0</v>
      </c>
      <c r="T2089" t="s">
        <v>124</v>
      </c>
    </row>
    <row r="2090">
      <c r="A2090" t="s">
        <v>4066</v>
      </c>
      <c r="B2090" t="s">
        <v>4054</v>
      </c>
      <c r="C2090" s="2">
        <v>2023</v>
      </c>
      <c r="D2090" s="10">
        <v>1</v>
      </c>
      <c r="E2090" s="10">
        <v>8</v>
      </c>
      <c r="F2090" t="s">
        <v>394</v>
      </c>
      <c r="G2090">
        <v>1214</v>
      </c>
      <c r="H2090" t="s">
        <v>69</v>
      </c>
      <c r="I2090" t="s">
        <v>614</v>
      </c>
      <c r="J2090" s="10" t="str">
        <f>VLOOKUP(I2090,Categories!A:B,2,FALSE)</f>
        <v>Books</v>
      </c>
      <c r="K2090" t="s">
        <v>747</v>
      </c>
      <c r="L2090" s="10" t="str">
        <f>VLOOKUP(K2090,Accounts!A:B,2,FALSE)</f>
        <v xml:space="preserve">UOB world</v>
      </c>
      <c r="M2090" t="s">
        <v>124</v>
      </c>
      <c r="N2090" s="10"/>
      <c r="O2090" t="s">
        <v>4067</v>
      </c>
      <c r="Q2090" t="s">
        <v>126</v>
      </c>
      <c r="R2090" t="s">
        <v>124</v>
      </c>
      <c r="S2090" t="b">
        <v>0</v>
      </c>
      <c r="T2090" t="s">
        <v>124</v>
      </c>
    </row>
    <row r="2091">
      <c r="A2091" t="s">
        <v>4068</v>
      </c>
      <c r="B2091" t="s">
        <v>4069</v>
      </c>
      <c r="C2091" s="2">
        <v>2023</v>
      </c>
      <c r="D2091" s="10">
        <v>1</v>
      </c>
      <c r="E2091" s="10">
        <v>7</v>
      </c>
      <c r="F2091" t="s">
        <v>1510</v>
      </c>
      <c r="G2091">
        <v>2000</v>
      </c>
      <c r="H2091" t="s">
        <v>128</v>
      </c>
      <c r="I2091" t="s">
        <v>136</v>
      </c>
      <c r="J2091" s="10" t="str">
        <f>VLOOKUP(I2091,Categories!A:B,2,FALSE)</f>
        <v>อื่นๆ</v>
      </c>
      <c r="K2091" t="s">
        <v>131</v>
      </c>
      <c r="L2091" s="10" t="str">
        <f>VLOOKUP(K2091,Accounts!A:B,2,FALSE)</f>
        <v xml:space="preserve">Advance Paid</v>
      </c>
      <c r="M2091" t="s">
        <v>2862</v>
      </c>
      <c r="N2091" s="10" t="str">
        <f>VLOOKUP(M2091,Accounts!A:B,2,FALSE)</f>
        <v xml:space="preserve">Kbank onesiam</v>
      </c>
      <c r="O2091" t="s">
        <v>4070</v>
      </c>
      <c r="Q2091" t="s">
        <v>126</v>
      </c>
      <c r="R2091" t="s">
        <v>124</v>
      </c>
      <c r="S2091" t="b">
        <v>0</v>
      </c>
      <c r="T2091" t="s">
        <v>124</v>
      </c>
    </row>
    <row r="2092">
      <c r="A2092" t="s">
        <v>4071</v>
      </c>
      <c r="B2092" t="s">
        <v>4069</v>
      </c>
      <c r="C2092" s="2">
        <v>2023</v>
      </c>
      <c r="D2092" s="10">
        <v>1</v>
      </c>
      <c r="E2092" s="10">
        <v>7</v>
      </c>
      <c r="F2092" t="s">
        <v>3447</v>
      </c>
      <c r="G2092">
        <v>45</v>
      </c>
      <c r="H2092" t="s">
        <v>69</v>
      </c>
      <c r="I2092" t="s">
        <v>150</v>
      </c>
      <c r="J2092" s="10" t="str">
        <f>VLOOKUP(I2092,Categories!A:B,2,FALSE)</f>
        <v xml:space="preserve">Food &amp; Coff</v>
      </c>
      <c r="K2092" t="s">
        <v>2317</v>
      </c>
      <c r="L2092" s="10" t="str">
        <f>VLOOKUP(K2092,Accounts!A:B,2,FALSE)</f>
        <v xml:space="preserve">Marriage account</v>
      </c>
      <c r="M2092" t="s">
        <v>124</v>
      </c>
      <c r="N2092" s="10"/>
      <c r="O2092" t="s">
        <v>125</v>
      </c>
      <c r="Q2092" t="s">
        <v>126</v>
      </c>
      <c r="R2092" t="s">
        <v>124</v>
      </c>
      <c r="S2092" t="b">
        <v>0</v>
      </c>
      <c r="T2092" t="s">
        <v>124</v>
      </c>
    </row>
    <row r="2093">
      <c r="A2093" t="s">
        <v>4072</v>
      </c>
      <c r="B2093" t="s">
        <v>4069</v>
      </c>
      <c r="C2093" s="2">
        <v>2023</v>
      </c>
      <c r="D2093" s="10">
        <v>1</v>
      </c>
      <c r="E2093" s="10">
        <v>7</v>
      </c>
      <c r="F2093" t="s">
        <v>3091</v>
      </c>
      <c r="G2093">
        <v>5849</v>
      </c>
      <c r="H2093" t="s">
        <v>128</v>
      </c>
      <c r="I2093" t="s">
        <v>136</v>
      </c>
      <c r="J2093" s="10" t="str">
        <f>VLOOKUP(I2093,Categories!A:B,2,FALSE)</f>
        <v>อื่นๆ</v>
      </c>
      <c r="K2093" t="s">
        <v>2862</v>
      </c>
      <c r="L2093" s="10" t="str">
        <f>VLOOKUP(K2093,Accounts!A:B,2,FALSE)</f>
        <v xml:space="preserve">Kbank onesiam</v>
      </c>
      <c r="M2093" t="s">
        <v>131</v>
      </c>
      <c r="N2093" s="10" t="str">
        <f>VLOOKUP(M2093,Accounts!A:B,2,FALSE)</f>
        <v xml:space="preserve">Advance Paid</v>
      </c>
      <c r="O2093" t="s">
        <v>4073</v>
      </c>
      <c r="Q2093" t="s">
        <v>126</v>
      </c>
      <c r="R2093" t="s">
        <v>124</v>
      </c>
      <c r="S2093" t="b">
        <v>0</v>
      </c>
      <c r="T2093" t="s">
        <v>124</v>
      </c>
    </row>
    <row r="2094">
      <c r="A2094" t="s">
        <v>4074</v>
      </c>
      <c r="B2094" t="s">
        <v>4069</v>
      </c>
      <c r="C2094" s="2">
        <v>2023</v>
      </c>
      <c r="D2094" s="10">
        <v>1</v>
      </c>
      <c r="E2094" s="10">
        <v>7</v>
      </c>
      <c r="F2094" t="s">
        <v>984</v>
      </c>
      <c r="G2094">
        <v>680</v>
      </c>
      <c r="H2094" t="s">
        <v>69</v>
      </c>
      <c r="I2094" t="s">
        <v>150</v>
      </c>
      <c r="J2094" s="10" t="str">
        <f>VLOOKUP(I2094,Categories!A:B,2,FALSE)</f>
        <v xml:space="preserve">Food &amp; Coff</v>
      </c>
      <c r="K2094" t="s">
        <v>2317</v>
      </c>
      <c r="L2094" s="10" t="str">
        <f>VLOOKUP(K2094,Accounts!A:B,2,FALSE)</f>
        <v xml:space="preserve">Marriage account</v>
      </c>
      <c r="M2094" t="s">
        <v>124</v>
      </c>
      <c r="N2094" s="10"/>
      <c r="O2094" t="s">
        <v>3874</v>
      </c>
      <c r="Q2094" t="s">
        <v>126</v>
      </c>
      <c r="R2094" t="s">
        <v>124</v>
      </c>
      <c r="S2094" t="b">
        <v>0</v>
      </c>
      <c r="T2094" t="s">
        <v>124</v>
      </c>
    </row>
    <row r="2095">
      <c r="A2095" t="s">
        <v>4075</v>
      </c>
      <c r="B2095" t="s">
        <v>4069</v>
      </c>
      <c r="C2095" s="2">
        <v>2023</v>
      </c>
      <c r="D2095" s="10">
        <v>1</v>
      </c>
      <c r="E2095" s="10">
        <v>7</v>
      </c>
      <c r="F2095" t="s">
        <v>4076</v>
      </c>
      <c r="G2095">
        <v>3849</v>
      </c>
      <c r="H2095" t="s">
        <v>69</v>
      </c>
      <c r="I2095" t="s">
        <v>134</v>
      </c>
      <c r="J2095" s="10" t="str">
        <f>VLOOKUP(I2095,Categories!A:B,2,FALSE)</f>
        <v>Hong</v>
      </c>
      <c r="K2095" t="s">
        <v>131</v>
      </c>
      <c r="L2095" s="10" t="str">
        <f>VLOOKUP(K2095,Accounts!A:B,2,FALSE)</f>
        <v xml:space="preserve">Advance Paid</v>
      </c>
      <c r="M2095" t="s">
        <v>124</v>
      </c>
      <c r="N2095" s="10"/>
      <c r="O2095" t="s">
        <v>125</v>
      </c>
      <c r="Q2095" t="s">
        <v>126</v>
      </c>
      <c r="R2095" t="s">
        <v>124</v>
      </c>
      <c r="S2095" t="b">
        <v>0</v>
      </c>
      <c r="T2095" t="s">
        <v>124</v>
      </c>
    </row>
    <row r="2096">
      <c r="A2096" t="s">
        <v>4077</v>
      </c>
      <c r="B2096" t="s">
        <v>4078</v>
      </c>
      <c r="C2096" s="2">
        <v>2023</v>
      </c>
      <c r="D2096" s="10">
        <v>1</v>
      </c>
      <c r="E2096" s="10">
        <v>6</v>
      </c>
      <c r="F2096" t="s">
        <v>1800</v>
      </c>
      <c r="G2096">
        <v>65</v>
      </c>
      <c r="H2096" t="s">
        <v>69</v>
      </c>
      <c r="I2096" t="s">
        <v>150</v>
      </c>
      <c r="J2096" s="10" t="str">
        <f>VLOOKUP(I2096,Categories!A:B,2,FALSE)</f>
        <v xml:space="preserve">Food &amp; Coff</v>
      </c>
      <c r="K2096" t="s">
        <v>178</v>
      </c>
      <c r="L2096" s="10" t="str">
        <f>VLOOKUP(K2096,Accounts!A:B,2,FALSE)</f>
        <v>SCB</v>
      </c>
      <c r="M2096" t="s">
        <v>124</v>
      </c>
      <c r="N2096" s="10"/>
      <c r="O2096" t="s">
        <v>125</v>
      </c>
      <c r="Q2096" t="s">
        <v>126</v>
      </c>
      <c r="R2096" t="s">
        <v>124</v>
      </c>
      <c r="S2096" t="b">
        <v>0</v>
      </c>
      <c r="T2096" t="s">
        <v>124</v>
      </c>
    </row>
    <row r="2097">
      <c r="A2097" t="s">
        <v>4079</v>
      </c>
      <c r="B2097" t="s">
        <v>4078</v>
      </c>
      <c r="C2097" s="2">
        <v>2023</v>
      </c>
      <c r="D2097" s="10">
        <v>1</v>
      </c>
      <c r="E2097" s="10">
        <v>6</v>
      </c>
      <c r="F2097" t="s">
        <v>341</v>
      </c>
      <c r="G2097">
        <v>55</v>
      </c>
      <c r="H2097" t="s">
        <v>69</v>
      </c>
      <c r="I2097" t="s">
        <v>150</v>
      </c>
      <c r="J2097" s="10" t="str">
        <f>VLOOKUP(I2097,Categories!A:B,2,FALSE)</f>
        <v xml:space="preserve">Food &amp; Coff</v>
      </c>
      <c r="K2097" t="s">
        <v>178</v>
      </c>
      <c r="L2097" s="10" t="str">
        <f>VLOOKUP(K2097,Accounts!A:B,2,FALSE)</f>
        <v>SCB</v>
      </c>
      <c r="M2097" t="s">
        <v>124</v>
      </c>
      <c r="N2097" s="10"/>
      <c r="O2097" t="s">
        <v>125</v>
      </c>
      <c r="Q2097" t="s">
        <v>126</v>
      </c>
      <c r="R2097" t="s">
        <v>124</v>
      </c>
      <c r="S2097" t="b">
        <v>0</v>
      </c>
      <c r="T2097" t="s">
        <v>124</v>
      </c>
    </row>
    <row r="2098">
      <c r="A2098" t="s">
        <v>4080</v>
      </c>
      <c r="B2098" t="s">
        <v>4078</v>
      </c>
      <c r="C2098" s="2">
        <v>2023</v>
      </c>
      <c r="D2098" s="10">
        <v>1</v>
      </c>
      <c r="E2098" s="10">
        <v>6</v>
      </c>
      <c r="F2098" t="s">
        <v>2894</v>
      </c>
      <c r="G2098">
        <v>163</v>
      </c>
      <c r="H2098" t="s">
        <v>69</v>
      </c>
      <c r="I2098" t="s">
        <v>150</v>
      </c>
      <c r="J2098" s="10" t="str">
        <f>VLOOKUP(I2098,Categories!A:B,2,FALSE)</f>
        <v xml:space="preserve">Food &amp; Coff</v>
      </c>
      <c r="K2098" t="s">
        <v>893</v>
      </c>
      <c r="L2098" s="10" t="str">
        <f>VLOOKUP(K2098,Accounts!A:B,2,FALSE)</f>
        <v>Shopee</v>
      </c>
      <c r="M2098" t="s">
        <v>124</v>
      </c>
      <c r="N2098" s="10"/>
      <c r="O2098" t="s">
        <v>125</v>
      </c>
      <c r="Q2098" t="s">
        <v>126</v>
      </c>
      <c r="R2098" t="s">
        <v>124</v>
      </c>
      <c r="S2098" t="b">
        <v>0</v>
      </c>
      <c r="T2098" t="s">
        <v>124</v>
      </c>
    </row>
    <row r="2099">
      <c r="A2099" t="s">
        <v>4081</v>
      </c>
      <c r="B2099" t="s">
        <v>4082</v>
      </c>
      <c r="C2099" s="2">
        <v>2023</v>
      </c>
      <c r="D2099" s="10">
        <v>1</v>
      </c>
      <c r="E2099" s="10">
        <v>5</v>
      </c>
      <c r="F2099" t="s">
        <v>4083</v>
      </c>
      <c r="G2099">
        <v>130</v>
      </c>
      <c r="H2099" t="s">
        <v>69</v>
      </c>
      <c r="I2099" t="s">
        <v>150</v>
      </c>
      <c r="J2099" s="10" t="str">
        <f>VLOOKUP(I2099,Categories!A:B,2,FALSE)</f>
        <v xml:space="preserve">Food &amp; Coff</v>
      </c>
      <c r="K2099" t="s">
        <v>2317</v>
      </c>
      <c r="L2099" s="10" t="str">
        <f>VLOOKUP(K2099,Accounts!A:B,2,FALSE)</f>
        <v xml:space="preserve">Marriage account</v>
      </c>
      <c r="M2099" t="s">
        <v>124</v>
      </c>
      <c r="N2099" s="10"/>
      <c r="O2099" t="s">
        <v>125</v>
      </c>
      <c r="Q2099" t="s">
        <v>126</v>
      </c>
      <c r="R2099" t="s">
        <v>124</v>
      </c>
      <c r="S2099" t="b">
        <v>0</v>
      </c>
      <c r="T2099" t="s">
        <v>124</v>
      </c>
    </row>
    <row r="2100">
      <c r="A2100" t="s">
        <v>4084</v>
      </c>
      <c r="B2100" t="s">
        <v>4082</v>
      </c>
      <c r="C2100" s="2">
        <v>2023</v>
      </c>
      <c r="D2100" s="10">
        <v>1</v>
      </c>
      <c r="E2100" s="10">
        <v>5</v>
      </c>
      <c r="F2100" t="s">
        <v>4085</v>
      </c>
      <c r="G2100">
        <v>55</v>
      </c>
      <c r="H2100" t="s">
        <v>69</v>
      </c>
      <c r="I2100" t="s">
        <v>150</v>
      </c>
      <c r="J2100" s="10" t="str">
        <f>VLOOKUP(I2100,Categories!A:B,2,FALSE)</f>
        <v xml:space="preserve">Food &amp; Coff</v>
      </c>
      <c r="K2100" t="s">
        <v>178</v>
      </c>
      <c r="L2100" s="10" t="str">
        <f>VLOOKUP(K2100,Accounts!A:B,2,FALSE)</f>
        <v>SCB</v>
      </c>
      <c r="M2100" t="s">
        <v>124</v>
      </c>
      <c r="N2100" s="10"/>
      <c r="O2100" t="s">
        <v>125</v>
      </c>
      <c r="Q2100" t="s">
        <v>126</v>
      </c>
      <c r="R2100" t="s">
        <v>124</v>
      </c>
      <c r="S2100" t="b">
        <v>0</v>
      </c>
      <c r="T2100" t="s">
        <v>124</v>
      </c>
    </row>
    <row r="2101">
      <c r="A2101" t="s">
        <v>4086</v>
      </c>
      <c r="B2101" t="s">
        <v>4082</v>
      </c>
      <c r="C2101" s="2">
        <v>2023</v>
      </c>
      <c r="D2101" s="10">
        <v>1</v>
      </c>
      <c r="E2101" s="10">
        <v>5</v>
      </c>
      <c r="F2101" t="s">
        <v>1513</v>
      </c>
      <c r="G2101">
        <v>60</v>
      </c>
      <c r="H2101" t="s">
        <v>69</v>
      </c>
      <c r="I2101" t="s">
        <v>150</v>
      </c>
      <c r="J2101" s="10" t="str">
        <f>VLOOKUP(I2101,Categories!A:B,2,FALSE)</f>
        <v xml:space="preserve">Food &amp; Coff</v>
      </c>
      <c r="K2101" t="s">
        <v>178</v>
      </c>
      <c r="L2101" s="10" t="str">
        <f>VLOOKUP(K2101,Accounts!A:B,2,FALSE)</f>
        <v>SCB</v>
      </c>
      <c r="M2101" t="s">
        <v>124</v>
      </c>
      <c r="N2101" s="10"/>
      <c r="O2101" t="s">
        <v>125</v>
      </c>
      <c r="Q2101" t="s">
        <v>126</v>
      </c>
      <c r="R2101" t="s">
        <v>124</v>
      </c>
      <c r="S2101" t="b">
        <v>0</v>
      </c>
      <c r="T2101" t="s">
        <v>124</v>
      </c>
    </row>
    <row r="2102">
      <c r="A2102" t="s">
        <v>4087</v>
      </c>
      <c r="B2102" t="s">
        <v>4082</v>
      </c>
      <c r="C2102" s="2">
        <v>2023</v>
      </c>
      <c r="D2102" s="10">
        <v>1</v>
      </c>
      <c r="E2102" s="10">
        <v>5</v>
      </c>
      <c r="F2102" t="s">
        <v>3450</v>
      </c>
      <c r="G2102">
        <v>260</v>
      </c>
      <c r="H2102" t="s">
        <v>69</v>
      </c>
      <c r="I2102" t="s">
        <v>150</v>
      </c>
      <c r="J2102" s="10" t="str">
        <f>VLOOKUP(I2102,Categories!A:B,2,FALSE)</f>
        <v xml:space="preserve">Food &amp; Coff</v>
      </c>
      <c r="K2102" t="s">
        <v>2317</v>
      </c>
      <c r="L2102" s="10" t="str">
        <f>VLOOKUP(K2102,Accounts!A:B,2,FALSE)</f>
        <v xml:space="preserve">Marriage account</v>
      </c>
      <c r="M2102" t="s">
        <v>124</v>
      </c>
      <c r="N2102" s="10"/>
      <c r="O2102" t="s">
        <v>125</v>
      </c>
      <c r="Q2102" t="s">
        <v>126</v>
      </c>
      <c r="R2102" t="s">
        <v>124</v>
      </c>
      <c r="S2102" t="b">
        <v>0</v>
      </c>
      <c r="T2102" t="s">
        <v>124</v>
      </c>
    </row>
    <row r="2103">
      <c r="A2103" t="s">
        <v>4088</v>
      </c>
      <c r="B2103" t="s">
        <v>4089</v>
      </c>
      <c r="C2103" s="2">
        <v>2023</v>
      </c>
      <c r="D2103" s="10">
        <v>1</v>
      </c>
      <c r="E2103" s="10">
        <v>4</v>
      </c>
      <c r="F2103" t="s">
        <v>2670</v>
      </c>
      <c r="G2103">
        <v>55</v>
      </c>
      <c r="H2103" t="s">
        <v>69</v>
      </c>
      <c r="I2103" t="s">
        <v>150</v>
      </c>
      <c r="J2103" s="10" t="str">
        <f>VLOOKUP(I2103,Categories!A:B,2,FALSE)</f>
        <v xml:space="preserve">Food &amp; Coff</v>
      </c>
      <c r="K2103" t="s">
        <v>178</v>
      </c>
      <c r="L2103" s="10" t="str">
        <f>VLOOKUP(K2103,Accounts!A:B,2,FALSE)</f>
        <v>SCB</v>
      </c>
      <c r="M2103" t="s">
        <v>124</v>
      </c>
      <c r="N2103" s="10"/>
      <c r="O2103" t="s">
        <v>125</v>
      </c>
      <c r="Q2103" t="s">
        <v>126</v>
      </c>
      <c r="R2103" t="s">
        <v>124</v>
      </c>
      <c r="S2103" t="b">
        <v>0</v>
      </c>
      <c r="T2103" t="s">
        <v>124</v>
      </c>
    </row>
    <row r="2104">
      <c r="A2104" t="s">
        <v>4090</v>
      </c>
      <c r="B2104" t="s">
        <v>4089</v>
      </c>
      <c r="C2104" s="2">
        <v>2023</v>
      </c>
      <c r="D2104" s="10">
        <v>1</v>
      </c>
      <c r="E2104" s="10">
        <v>4</v>
      </c>
      <c r="F2104" t="s">
        <v>2670</v>
      </c>
      <c r="G2104">
        <v>110</v>
      </c>
      <c r="H2104" t="s">
        <v>69</v>
      </c>
      <c r="I2104" t="s">
        <v>150</v>
      </c>
      <c r="J2104" s="10" t="str">
        <f>VLOOKUP(I2104,Categories!A:B,2,FALSE)</f>
        <v xml:space="preserve">Food &amp; Coff</v>
      </c>
      <c r="K2104" t="s">
        <v>2317</v>
      </c>
      <c r="L2104" s="10" t="str">
        <f>VLOOKUP(K2104,Accounts!A:B,2,FALSE)</f>
        <v xml:space="preserve">Marriage account</v>
      </c>
      <c r="M2104" t="s">
        <v>124</v>
      </c>
      <c r="N2104" s="10"/>
      <c r="O2104" t="s">
        <v>125</v>
      </c>
      <c r="Q2104" t="s">
        <v>126</v>
      </c>
      <c r="R2104" t="s">
        <v>124</v>
      </c>
      <c r="S2104" t="b">
        <v>0</v>
      </c>
      <c r="T2104" t="s">
        <v>124</v>
      </c>
    </row>
    <row r="2105">
      <c r="A2105" t="s">
        <v>4091</v>
      </c>
      <c r="B2105" t="s">
        <v>4089</v>
      </c>
      <c r="C2105" s="2">
        <v>2023</v>
      </c>
      <c r="D2105" s="10">
        <v>1</v>
      </c>
      <c r="E2105" s="10">
        <v>4</v>
      </c>
      <c r="F2105" t="s">
        <v>595</v>
      </c>
      <c r="G2105">
        <v>90</v>
      </c>
      <c r="H2105" t="s">
        <v>69</v>
      </c>
      <c r="I2105" t="s">
        <v>150</v>
      </c>
      <c r="J2105" s="10" t="str">
        <f>VLOOKUP(I2105,Categories!A:B,2,FALSE)</f>
        <v xml:space="preserve">Food &amp; Coff</v>
      </c>
      <c r="K2105" t="s">
        <v>178</v>
      </c>
      <c r="L2105" s="10" t="str">
        <f>VLOOKUP(K2105,Accounts!A:B,2,FALSE)</f>
        <v>SCB</v>
      </c>
      <c r="M2105" t="s">
        <v>124</v>
      </c>
      <c r="N2105" s="10"/>
      <c r="O2105" t="s">
        <v>125</v>
      </c>
      <c r="Q2105" t="s">
        <v>126</v>
      </c>
      <c r="R2105" t="s">
        <v>124</v>
      </c>
      <c r="S2105" t="b">
        <v>0</v>
      </c>
      <c r="T2105" t="s">
        <v>124</v>
      </c>
    </row>
    <row r="2106">
      <c r="A2106" t="s">
        <v>4092</v>
      </c>
      <c r="B2106" t="s">
        <v>4089</v>
      </c>
      <c r="C2106" s="2">
        <v>2023</v>
      </c>
      <c r="D2106" s="10">
        <v>1</v>
      </c>
      <c r="E2106" s="10">
        <v>4</v>
      </c>
      <c r="F2106" t="s">
        <v>4093</v>
      </c>
      <c r="G2106">
        <v>188</v>
      </c>
      <c r="H2106" t="s">
        <v>69</v>
      </c>
      <c r="I2106" t="s">
        <v>150</v>
      </c>
      <c r="J2106" s="10" t="str">
        <f>VLOOKUP(I2106,Categories!A:B,2,FALSE)</f>
        <v xml:space="preserve">Food &amp; Coff</v>
      </c>
      <c r="K2106" t="s">
        <v>2317</v>
      </c>
      <c r="L2106" s="10" t="str">
        <f>VLOOKUP(K2106,Accounts!A:B,2,FALSE)</f>
        <v xml:space="preserve">Marriage account</v>
      </c>
      <c r="M2106" t="s">
        <v>124</v>
      </c>
      <c r="N2106" s="10"/>
      <c r="O2106" t="s">
        <v>125</v>
      </c>
      <c r="Q2106" t="s">
        <v>126</v>
      </c>
      <c r="R2106" t="s">
        <v>124</v>
      </c>
      <c r="S2106" t="b">
        <v>0</v>
      </c>
      <c r="T2106" t="s">
        <v>124</v>
      </c>
    </row>
    <row r="2107">
      <c r="A2107" t="s">
        <v>4094</v>
      </c>
      <c r="B2107" t="s">
        <v>4095</v>
      </c>
      <c r="C2107" s="2">
        <v>2023</v>
      </c>
      <c r="D2107" s="10">
        <v>1</v>
      </c>
      <c r="E2107" s="10">
        <v>3</v>
      </c>
      <c r="F2107" t="s">
        <v>4096</v>
      </c>
      <c r="G2107">
        <v>85</v>
      </c>
      <c r="H2107" t="s">
        <v>69</v>
      </c>
      <c r="I2107" t="s">
        <v>150</v>
      </c>
      <c r="J2107" s="10" t="str">
        <f>VLOOKUP(I2107,Categories!A:B,2,FALSE)</f>
        <v xml:space="preserve">Food &amp; Coff</v>
      </c>
      <c r="K2107" t="s">
        <v>2317</v>
      </c>
      <c r="L2107" s="10" t="str">
        <f>VLOOKUP(K2107,Accounts!A:B,2,FALSE)</f>
        <v xml:space="preserve">Marriage account</v>
      </c>
      <c r="M2107" t="s">
        <v>124</v>
      </c>
      <c r="N2107" s="10"/>
      <c r="O2107" t="s">
        <v>125</v>
      </c>
      <c r="Q2107" t="s">
        <v>126</v>
      </c>
      <c r="R2107" t="s">
        <v>124</v>
      </c>
      <c r="S2107" t="b">
        <v>0</v>
      </c>
      <c r="T2107" t="s">
        <v>124</v>
      </c>
    </row>
    <row r="2108">
      <c r="A2108" t="s">
        <v>4097</v>
      </c>
      <c r="B2108" t="s">
        <v>4095</v>
      </c>
      <c r="C2108" s="2">
        <v>2023</v>
      </c>
      <c r="D2108" s="10">
        <v>1</v>
      </c>
      <c r="E2108" s="10">
        <v>3</v>
      </c>
      <c r="F2108" t="s">
        <v>4098</v>
      </c>
      <c r="G2108">
        <v>55</v>
      </c>
      <c r="H2108" t="s">
        <v>69</v>
      </c>
      <c r="I2108" t="s">
        <v>150</v>
      </c>
      <c r="J2108" s="10" t="str">
        <f>VLOOKUP(I2108,Categories!A:B,2,FALSE)</f>
        <v xml:space="preserve">Food &amp; Coff</v>
      </c>
      <c r="K2108" t="s">
        <v>178</v>
      </c>
      <c r="L2108" s="10" t="str">
        <f>VLOOKUP(K2108,Accounts!A:B,2,FALSE)</f>
        <v>SCB</v>
      </c>
      <c r="M2108" t="s">
        <v>124</v>
      </c>
      <c r="N2108" s="10"/>
      <c r="O2108" t="s">
        <v>125</v>
      </c>
      <c r="Q2108" t="s">
        <v>126</v>
      </c>
      <c r="R2108" t="s">
        <v>124</v>
      </c>
      <c r="S2108" t="b">
        <v>0</v>
      </c>
      <c r="T2108" t="s">
        <v>124</v>
      </c>
    </row>
    <row r="2109">
      <c r="A2109" t="s">
        <v>4099</v>
      </c>
      <c r="B2109" t="s">
        <v>4095</v>
      </c>
      <c r="C2109" s="2">
        <v>2023</v>
      </c>
      <c r="D2109" s="10">
        <v>1</v>
      </c>
      <c r="E2109" s="10">
        <v>3</v>
      </c>
      <c r="F2109" t="s">
        <v>380</v>
      </c>
      <c r="G2109">
        <v>153</v>
      </c>
      <c r="H2109" t="s">
        <v>69</v>
      </c>
      <c r="I2109" t="s">
        <v>150</v>
      </c>
      <c r="J2109" s="10" t="str">
        <f>VLOOKUP(I2109,Categories!A:B,2,FALSE)</f>
        <v xml:space="preserve">Food &amp; Coff</v>
      </c>
      <c r="K2109" t="s">
        <v>178</v>
      </c>
      <c r="L2109" s="10" t="str">
        <f>VLOOKUP(K2109,Accounts!A:B,2,FALSE)</f>
        <v>SCB</v>
      </c>
      <c r="M2109" t="s">
        <v>124</v>
      </c>
      <c r="N2109" s="10"/>
      <c r="O2109" t="s">
        <v>125</v>
      </c>
      <c r="Q2109" t="s">
        <v>126</v>
      </c>
      <c r="R2109" t="s">
        <v>124</v>
      </c>
      <c r="S2109" t="b">
        <v>0</v>
      </c>
      <c r="T2109" t="s">
        <v>124</v>
      </c>
    </row>
    <row r="2110">
      <c r="A2110" t="s">
        <v>4100</v>
      </c>
      <c r="B2110" t="s">
        <v>4101</v>
      </c>
      <c r="C2110" s="2">
        <v>2023</v>
      </c>
      <c r="D2110" s="10">
        <v>1</v>
      </c>
      <c r="E2110" s="10">
        <v>2</v>
      </c>
      <c r="F2110" t="s">
        <v>4102</v>
      </c>
      <c r="G2110">
        <v>300</v>
      </c>
      <c r="H2110" t="s">
        <v>128</v>
      </c>
      <c r="I2110" t="s">
        <v>136</v>
      </c>
      <c r="J2110" s="10" t="str">
        <f>VLOOKUP(I2110,Categories!A:B,2,FALSE)</f>
        <v>อื่นๆ</v>
      </c>
      <c r="K2110" t="s">
        <v>178</v>
      </c>
      <c r="L2110" s="10" t="str">
        <f>VLOOKUP(K2110,Accounts!A:B,2,FALSE)</f>
        <v>SCB</v>
      </c>
      <c r="M2110" t="s">
        <v>893</v>
      </c>
      <c r="N2110" s="10" t="str">
        <f>VLOOKUP(M2110,Accounts!A:B,2,FALSE)</f>
        <v>Shopee</v>
      </c>
      <c r="O2110" t="s">
        <v>125</v>
      </c>
      <c r="Q2110" t="s">
        <v>126</v>
      </c>
      <c r="R2110" t="s">
        <v>124</v>
      </c>
      <c r="S2110" t="b">
        <v>0</v>
      </c>
      <c r="T2110" t="s">
        <v>124</v>
      </c>
    </row>
    <row r="2111">
      <c r="A2111" t="s">
        <v>4103</v>
      </c>
      <c r="B2111" t="s">
        <v>4101</v>
      </c>
      <c r="C2111" s="2">
        <v>2023</v>
      </c>
      <c r="D2111" s="10">
        <v>1</v>
      </c>
      <c r="E2111" s="10">
        <v>2</v>
      </c>
      <c r="F2111" t="s">
        <v>773</v>
      </c>
      <c r="G2111">
        <v>400</v>
      </c>
      <c r="H2111" t="s">
        <v>128</v>
      </c>
      <c r="I2111" t="s">
        <v>136</v>
      </c>
      <c r="J2111" s="10" t="str">
        <f>VLOOKUP(I2111,Categories!A:B,2,FALSE)</f>
        <v>อื่นๆ</v>
      </c>
      <c r="K2111" t="s">
        <v>131</v>
      </c>
      <c r="L2111" s="10" t="str">
        <f>VLOOKUP(K2111,Accounts!A:B,2,FALSE)</f>
        <v xml:space="preserve">Advance Paid</v>
      </c>
      <c r="M2111" t="s">
        <v>178</v>
      </c>
      <c r="N2111" s="10" t="str">
        <f>VLOOKUP(M2111,Accounts!A:B,2,FALSE)</f>
        <v>SCB</v>
      </c>
      <c r="O2111" t="s">
        <v>4104</v>
      </c>
      <c r="Q2111" t="s">
        <v>126</v>
      </c>
      <c r="R2111" t="s">
        <v>124</v>
      </c>
      <c r="S2111" t="b">
        <v>0</v>
      </c>
      <c r="T2111" t="s">
        <v>124</v>
      </c>
    </row>
    <row r="2112">
      <c r="A2112" t="s">
        <v>4105</v>
      </c>
      <c r="B2112" t="s">
        <v>4101</v>
      </c>
      <c r="C2112" s="2">
        <v>2023</v>
      </c>
      <c r="D2112" s="10">
        <v>1</v>
      </c>
      <c r="E2112" s="10">
        <v>2</v>
      </c>
      <c r="F2112" t="s">
        <v>3368</v>
      </c>
      <c r="G2112">
        <v>185</v>
      </c>
      <c r="H2112" t="s">
        <v>69</v>
      </c>
      <c r="I2112" t="s">
        <v>150</v>
      </c>
      <c r="J2112" s="10" t="str">
        <f>VLOOKUP(I2112,Categories!A:B,2,FALSE)</f>
        <v xml:space="preserve">Food &amp; Coff</v>
      </c>
      <c r="K2112" t="s">
        <v>2317</v>
      </c>
      <c r="L2112" s="10" t="str">
        <f>VLOOKUP(K2112,Accounts!A:B,2,FALSE)</f>
        <v xml:space="preserve">Marriage account</v>
      </c>
      <c r="M2112" t="s">
        <v>124</v>
      </c>
      <c r="N2112" s="10"/>
      <c r="O2112" t="s">
        <v>125</v>
      </c>
      <c r="Q2112" t="s">
        <v>126</v>
      </c>
      <c r="R2112" t="s">
        <v>124</v>
      </c>
      <c r="S2112" t="b">
        <v>0</v>
      </c>
      <c r="T2112" t="s">
        <v>124</v>
      </c>
    </row>
    <row r="2113">
      <c r="A2113" t="s">
        <v>4106</v>
      </c>
      <c r="B2113" t="s">
        <v>4101</v>
      </c>
      <c r="C2113" s="2">
        <v>2023</v>
      </c>
      <c r="D2113" s="10">
        <v>1</v>
      </c>
      <c r="E2113" s="10">
        <v>2</v>
      </c>
      <c r="F2113" t="s">
        <v>4107</v>
      </c>
      <c r="G2113">
        <v>92</v>
      </c>
      <c r="H2113" t="s">
        <v>128</v>
      </c>
      <c r="I2113" t="s">
        <v>136</v>
      </c>
      <c r="J2113" s="10" t="str">
        <f>VLOOKUP(I2113,Categories!A:B,2,FALSE)</f>
        <v>อื่นๆ</v>
      </c>
      <c r="K2113" t="s">
        <v>131</v>
      </c>
      <c r="L2113" s="10" t="str">
        <f>VLOOKUP(K2113,Accounts!A:B,2,FALSE)</f>
        <v xml:space="preserve">Advance Paid</v>
      </c>
      <c r="M2113" t="s">
        <v>178</v>
      </c>
      <c r="N2113" s="10" t="str">
        <f>VLOOKUP(M2113,Accounts!A:B,2,FALSE)</f>
        <v>SCB</v>
      </c>
      <c r="O2113" t="s">
        <v>125</v>
      </c>
      <c r="Q2113" t="s">
        <v>126</v>
      </c>
      <c r="R2113" t="s">
        <v>124</v>
      </c>
      <c r="S2113" t="b">
        <v>0</v>
      </c>
      <c r="T2113" t="s">
        <v>124</v>
      </c>
    </row>
    <row r="2114">
      <c r="A2114" t="s">
        <v>4108</v>
      </c>
      <c r="B2114" t="s">
        <v>4101</v>
      </c>
      <c r="C2114" s="2">
        <v>2023</v>
      </c>
      <c r="D2114" s="10">
        <v>1</v>
      </c>
      <c r="E2114" s="10">
        <v>2</v>
      </c>
      <c r="F2114" t="s">
        <v>1963</v>
      </c>
      <c r="G2114">
        <v>58</v>
      </c>
      <c r="H2114" t="s">
        <v>69</v>
      </c>
      <c r="I2114" t="s">
        <v>150</v>
      </c>
      <c r="J2114" s="10" t="str">
        <f>VLOOKUP(I2114,Categories!A:B,2,FALSE)</f>
        <v xml:space="preserve">Food &amp; Coff</v>
      </c>
      <c r="K2114" t="s">
        <v>178</v>
      </c>
      <c r="L2114" s="10" t="str">
        <f>VLOOKUP(K2114,Accounts!A:B,2,FALSE)</f>
        <v>SCB</v>
      </c>
      <c r="M2114" t="s">
        <v>124</v>
      </c>
      <c r="N2114" s="10"/>
      <c r="O2114" t="s">
        <v>125</v>
      </c>
      <c r="Q2114" t="s">
        <v>126</v>
      </c>
      <c r="R2114" t="s">
        <v>124</v>
      </c>
      <c r="S2114" t="b">
        <v>0</v>
      </c>
      <c r="T2114" t="s">
        <v>124</v>
      </c>
    </row>
    <row r="2115">
      <c r="A2115" t="s">
        <v>4109</v>
      </c>
      <c r="B2115" t="s">
        <v>4101</v>
      </c>
      <c r="C2115" s="2">
        <v>2023</v>
      </c>
      <c r="D2115" s="10">
        <v>1</v>
      </c>
      <c r="E2115" s="10">
        <v>2</v>
      </c>
      <c r="F2115" t="s">
        <v>4110</v>
      </c>
      <c r="G2115">
        <v>78</v>
      </c>
      <c r="H2115" t="s">
        <v>69</v>
      </c>
      <c r="I2115" t="s">
        <v>150</v>
      </c>
      <c r="J2115" s="10" t="str">
        <f>VLOOKUP(I2115,Categories!A:B,2,FALSE)</f>
        <v xml:space="preserve">Food &amp; Coff</v>
      </c>
      <c r="K2115" t="s">
        <v>893</v>
      </c>
      <c r="L2115" s="10" t="str">
        <f>VLOOKUP(K2115,Accounts!A:B,2,FALSE)</f>
        <v>Shopee</v>
      </c>
      <c r="M2115" t="s">
        <v>124</v>
      </c>
      <c r="N2115" s="10"/>
      <c r="O2115" t="s">
        <v>4111</v>
      </c>
      <c r="Q2115" t="s">
        <v>126</v>
      </c>
      <c r="R2115" t="s">
        <v>124</v>
      </c>
      <c r="S2115" t="b">
        <v>0</v>
      </c>
      <c r="T2115" t="s">
        <v>124</v>
      </c>
    </row>
    <row r="2116">
      <c r="A2116" t="s">
        <v>4112</v>
      </c>
      <c r="B2116" t="s">
        <v>4113</v>
      </c>
      <c r="C2116" s="2">
        <v>2023</v>
      </c>
      <c r="D2116" s="10">
        <v>1</v>
      </c>
      <c r="E2116" s="10">
        <v>1</v>
      </c>
      <c r="F2116" t="s">
        <v>121</v>
      </c>
      <c r="G2116">
        <v>10000</v>
      </c>
      <c r="H2116" t="s">
        <v>128</v>
      </c>
      <c r="I2116" t="s">
        <v>136</v>
      </c>
      <c r="J2116" s="10" t="str">
        <f>VLOOKUP(I2116,Categories!A:B,2,FALSE)</f>
        <v>อื่นๆ</v>
      </c>
      <c r="K2116" t="s">
        <v>178</v>
      </c>
      <c r="L2116" s="10" t="str">
        <f>VLOOKUP(K2116,Accounts!A:B,2,FALSE)</f>
        <v>SCB</v>
      </c>
      <c r="M2116" t="s">
        <v>2317</v>
      </c>
      <c r="N2116" s="10" t="str">
        <f>VLOOKUP(M2116,Accounts!A:B,2,FALSE)</f>
        <v xml:space="preserve">Marriage account</v>
      </c>
      <c r="O2116" t="s">
        <v>125</v>
      </c>
      <c r="Q2116" t="s">
        <v>126</v>
      </c>
      <c r="R2116" t="s">
        <v>124</v>
      </c>
      <c r="S2116" t="b">
        <v>0</v>
      </c>
      <c r="T2116" t="s">
        <v>124</v>
      </c>
    </row>
    <row r="2117">
      <c r="A2117" t="s">
        <v>4114</v>
      </c>
      <c r="B2117" t="s">
        <v>4113</v>
      </c>
      <c r="C2117" s="2">
        <v>2023</v>
      </c>
      <c r="D2117" s="10">
        <v>1</v>
      </c>
      <c r="E2117" s="10">
        <v>1</v>
      </c>
      <c r="F2117" t="s">
        <v>4115</v>
      </c>
      <c r="G2117">
        <v>1890</v>
      </c>
      <c r="H2117" t="s">
        <v>206</v>
      </c>
      <c r="I2117" t="s">
        <v>254</v>
      </c>
      <c r="J2117" s="10" t="str">
        <f>VLOOKUP(I2117,Categories!A:B,2,FALSE)</f>
        <v xml:space="preserve">Modified Bal.</v>
      </c>
      <c r="K2117" t="s">
        <v>1311</v>
      </c>
      <c r="L2117" s="10" t="str">
        <f>VLOOKUP(K2117,Accounts!A:B,2,FALSE)</f>
        <v xml:space="preserve">Netflix in Adv</v>
      </c>
      <c r="M2117" t="s">
        <v>124</v>
      </c>
      <c r="N2117" s="10"/>
      <c r="O2117" t="s">
        <v>255</v>
      </c>
      <c r="Q2117" t="s">
        <v>126</v>
      </c>
      <c r="R2117" t="s">
        <v>124</v>
      </c>
      <c r="S2117" t="b">
        <v>0</v>
      </c>
      <c r="T2117" t="s">
        <v>124</v>
      </c>
    </row>
    <row r="2118">
      <c r="A2118" t="s">
        <v>4116</v>
      </c>
      <c r="B2118" t="s">
        <v>4113</v>
      </c>
      <c r="C2118" s="2">
        <v>2023</v>
      </c>
      <c r="D2118" s="10">
        <v>1</v>
      </c>
      <c r="E2118" s="10">
        <v>1</v>
      </c>
      <c r="F2118" t="s">
        <v>2253</v>
      </c>
      <c r="G2118">
        <v>4000</v>
      </c>
      <c r="H2118" t="s">
        <v>69</v>
      </c>
      <c r="I2118" t="s">
        <v>144</v>
      </c>
      <c r="J2118" s="10" t="str">
        <f>VLOOKUP(I2118,Categories!A:B,2,FALSE)</f>
        <v xml:space="preserve">Family paid</v>
      </c>
      <c r="K2118" t="s">
        <v>178</v>
      </c>
      <c r="L2118" s="10" t="str">
        <f>VLOOKUP(K2118,Accounts!A:B,2,FALSE)</f>
        <v>SCB</v>
      </c>
      <c r="M2118" t="s">
        <v>124</v>
      </c>
      <c r="N2118" s="10"/>
      <c r="O2118" t="s">
        <v>125</v>
      </c>
      <c r="Q2118" t="s">
        <v>126</v>
      </c>
      <c r="R2118" t="s">
        <v>124</v>
      </c>
      <c r="S2118" t="b">
        <v>0</v>
      </c>
      <c r="T2118" t="s">
        <v>124</v>
      </c>
    </row>
    <row r="2119">
      <c r="A2119" t="s">
        <v>4117</v>
      </c>
      <c r="B2119" t="s">
        <v>4113</v>
      </c>
      <c r="C2119" s="2">
        <v>2023</v>
      </c>
      <c r="D2119" s="10">
        <v>1</v>
      </c>
      <c r="E2119" s="10">
        <v>1</v>
      </c>
      <c r="F2119" t="s">
        <v>1358</v>
      </c>
      <c r="G2119">
        <v>6000</v>
      </c>
      <c r="H2119" t="s">
        <v>69</v>
      </c>
      <c r="I2119" t="s">
        <v>144</v>
      </c>
      <c r="J2119" s="10" t="str">
        <f>VLOOKUP(I2119,Categories!A:B,2,FALSE)</f>
        <v xml:space="preserve">Family paid</v>
      </c>
      <c r="K2119" t="s">
        <v>178</v>
      </c>
      <c r="L2119" s="10" t="str">
        <f>VLOOKUP(K2119,Accounts!A:B,2,FALSE)</f>
        <v>SCB</v>
      </c>
      <c r="M2119" t="s">
        <v>124</v>
      </c>
      <c r="N2119" s="10"/>
      <c r="O2119" t="s">
        <v>125</v>
      </c>
      <c r="Q2119" t="s">
        <v>126</v>
      </c>
      <c r="R2119" t="s">
        <v>124</v>
      </c>
      <c r="S2119" t="b">
        <v>0</v>
      </c>
      <c r="T2119" t="s">
        <v>124</v>
      </c>
    </row>
    <row r="2120">
      <c r="A2120" t="s">
        <v>4118</v>
      </c>
      <c r="B2120" t="s">
        <v>4113</v>
      </c>
      <c r="C2120" s="2">
        <v>2023</v>
      </c>
      <c r="D2120" s="10">
        <v>1</v>
      </c>
      <c r="E2120" s="10">
        <v>1</v>
      </c>
      <c r="F2120" t="s">
        <v>3533</v>
      </c>
      <c r="G2120">
        <v>4767</v>
      </c>
      <c r="H2120" t="s">
        <v>69</v>
      </c>
      <c r="I2120" t="s">
        <v>157</v>
      </c>
      <c r="J2120" s="10" t="str">
        <f>VLOOKUP(I2120,Categories!A:B,2,FALSE)</f>
        <v>Boardgame</v>
      </c>
      <c r="K2120" t="s">
        <v>178</v>
      </c>
      <c r="L2120" s="10" t="str">
        <f>VLOOKUP(K2120,Accounts!A:B,2,FALSE)</f>
        <v>SCB</v>
      </c>
      <c r="M2120" t="s">
        <v>124</v>
      </c>
      <c r="N2120" s="10"/>
      <c r="O2120" t="s">
        <v>4119</v>
      </c>
      <c r="Q2120" t="s">
        <v>126</v>
      </c>
      <c r="R2120" t="s">
        <v>124</v>
      </c>
      <c r="S2120" t="b">
        <v>0</v>
      </c>
      <c r="T2120" t="s">
        <v>124</v>
      </c>
    </row>
    <row r="2121">
      <c r="A2121" t="s">
        <v>4120</v>
      </c>
      <c r="B2121" t="s">
        <v>4113</v>
      </c>
      <c r="C2121" s="2">
        <v>2023</v>
      </c>
      <c r="D2121" s="10">
        <v>1</v>
      </c>
      <c r="E2121" s="10">
        <v>1</v>
      </c>
      <c r="F2121" t="s">
        <v>461</v>
      </c>
      <c r="G2121">
        <v>998</v>
      </c>
      <c r="H2121" t="s">
        <v>69</v>
      </c>
      <c r="I2121" t="s">
        <v>150</v>
      </c>
      <c r="J2121" s="10" t="str">
        <f>VLOOKUP(I2121,Categories!A:B,2,FALSE)</f>
        <v xml:space="preserve">Food &amp; Coff</v>
      </c>
      <c r="K2121" t="s">
        <v>2317</v>
      </c>
      <c r="L2121" s="10" t="str">
        <f>VLOOKUP(K2121,Accounts!A:B,2,FALSE)</f>
        <v xml:space="preserve">Marriage account</v>
      </c>
      <c r="M2121" t="s">
        <v>124</v>
      </c>
      <c r="N2121" s="10"/>
      <c r="O2121" t="s">
        <v>4121</v>
      </c>
      <c r="Q2121" t="s">
        <v>126</v>
      </c>
      <c r="R2121" t="s">
        <v>124</v>
      </c>
      <c r="S2121" t="b">
        <v>0</v>
      </c>
      <c r="T2121" t="s">
        <v>124</v>
      </c>
    </row>
    <row r="2122">
      <c r="A2122" t="s">
        <v>4122</v>
      </c>
      <c r="B2122" t="s">
        <v>4113</v>
      </c>
      <c r="C2122" s="2">
        <v>2023</v>
      </c>
      <c r="D2122" s="10">
        <v>1</v>
      </c>
      <c r="E2122" s="10">
        <v>1</v>
      </c>
      <c r="F2122" t="s">
        <v>2330</v>
      </c>
      <c r="G2122">
        <v>3000</v>
      </c>
      <c r="H2122" t="s">
        <v>69</v>
      </c>
      <c r="I2122" t="s">
        <v>150</v>
      </c>
      <c r="J2122" s="10" t="str">
        <f>VLOOKUP(I2122,Categories!A:B,2,FALSE)</f>
        <v xml:space="preserve">Food &amp; Coff</v>
      </c>
      <c r="K2122" t="s">
        <v>2317</v>
      </c>
      <c r="L2122" s="10" t="str">
        <f>VLOOKUP(K2122,Accounts!A:B,2,FALSE)</f>
        <v xml:space="preserve">Marriage account</v>
      </c>
      <c r="M2122" t="s">
        <v>124</v>
      </c>
      <c r="N2122" s="10"/>
      <c r="O2122" t="s">
        <v>4123</v>
      </c>
      <c r="Q2122" t="s">
        <v>126</v>
      </c>
      <c r="R2122" t="s">
        <v>124</v>
      </c>
      <c r="S2122" t="b">
        <v>0</v>
      </c>
      <c r="T2122" t="s">
        <v>124</v>
      </c>
    </row>
    <row r="2123">
      <c r="A2123" t="s">
        <v>4124</v>
      </c>
      <c r="B2123" t="s">
        <v>4125</v>
      </c>
      <c r="C2123" s="2">
        <v>2022</v>
      </c>
      <c r="D2123" s="10">
        <v>12</v>
      </c>
      <c r="E2123" s="10">
        <v>31</v>
      </c>
      <c r="F2123" t="s">
        <v>3321</v>
      </c>
      <c r="G2123">
        <v>60</v>
      </c>
      <c r="H2123" t="s">
        <v>69</v>
      </c>
      <c r="I2123" t="s">
        <v>150</v>
      </c>
      <c r="J2123" s="10" t="str">
        <f>VLOOKUP(I2123,Categories!A:B,2,FALSE)</f>
        <v xml:space="preserve">Food &amp; Coff</v>
      </c>
      <c r="K2123" t="s">
        <v>2349</v>
      </c>
      <c r="L2123" s="10" t="str">
        <f>VLOOKUP(K2123,Accounts!A:B,2,FALSE)</f>
        <v>Bluewallet</v>
      </c>
      <c r="M2123" t="s">
        <v>124</v>
      </c>
      <c r="N2123" s="10"/>
      <c r="O2123" t="s">
        <v>125</v>
      </c>
      <c r="Q2123" t="s">
        <v>126</v>
      </c>
      <c r="R2123" t="s">
        <v>124</v>
      </c>
      <c r="S2123" t="b">
        <v>0</v>
      </c>
      <c r="T2123" t="s">
        <v>124</v>
      </c>
    </row>
    <row r="2124">
      <c r="A2124" t="s">
        <v>4126</v>
      </c>
      <c r="B2124" t="s">
        <v>4125</v>
      </c>
      <c r="C2124" s="2">
        <v>2022</v>
      </c>
      <c r="D2124" s="10">
        <v>12</v>
      </c>
      <c r="E2124" s="10">
        <v>31</v>
      </c>
      <c r="F2124" t="s">
        <v>3321</v>
      </c>
      <c r="G2124">
        <v>7</v>
      </c>
      <c r="H2124" t="s">
        <v>69</v>
      </c>
      <c r="I2124" t="s">
        <v>150</v>
      </c>
      <c r="J2124" s="10" t="str">
        <f>VLOOKUP(I2124,Categories!A:B,2,FALSE)</f>
        <v xml:space="preserve">Food &amp; Coff</v>
      </c>
      <c r="K2124" t="s">
        <v>747</v>
      </c>
      <c r="L2124" s="10" t="str">
        <f>VLOOKUP(K2124,Accounts!A:B,2,FALSE)</f>
        <v xml:space="preserve">UOB world</v>
      </c>
      <c r="M2124" t="s">
        <v>124</v>
      </c>
      <c r="N2124" s="10"/>
      <c r="O2124" t="s">
        <v>125</v>
      </c>
      <c r="Q2124" t="s">
        <v>126</v>
      </c>
      <c r="R2124" t="s">
        <v>124</v>
      </c>
      <c r="S2124" t="b">
        <v>0</v>
      </c>
      <c r="T2124" t="s">
        <v>124</v>
      </c>
    </row>
    <row r="2125">
      <c r="A2125" t="s">
        <v>4127</v>
      </c>
      <c r="B2125" t="s">
        <v>4125</v>
      </c>
      <c r="C2125" s="2">
        <v>2022</v>
      </c>
      <c r="D2125" s="10">
        <v>12</v>
      </c>
      <c r="E2125" s="10">
        <v>31</v>
      </c>
      <c r="F2125" t="s">
        <v>3513</v>
      </c>
      <c r="G2125">
        <v>196</v>
      </c>
      <c r="H2125" t="s">
        <v>69</v>
      </c>
      <c r="I2125" t="s">
        <v>150</v>
      </c>
      <c r="J2125" s="10" t="str">
        <f>VLOOKUP(I2125,Categories!A:B,2,FALSE)</f>
        <v xml:space="preserve">Food &amp; Coff</v>
      </c>
      <c r="K2125" t="s">
        <v>2317</v>
      </c>
      <c r="L2125" s="10" t="str">
        <f>VLOOKUP(K2125,Accounts!A:B,2,FALSE)</f>
        <v xml:space="preserve">Marriage account</v>
      </c>
      <c r="M2125" t="s">
        <v>124</v>
      </c>
      <c r="N2125" s="10"/>
      <c r="O2125" t="s">
        <v>125</v>
      </c>
      <c r="Q2125" t="s">
        <v>126</v>
      </c>
      <c r="R2125" t="s">
        <v>124</v>
      </c>
      <c r="S2125" t="b">
        <v>0</v>
      </c>
      <c r="T2125" t="s">
        <v>124</v>
      </c>
    </row>
    <row r="2126">
      <c r="A2126" t="s">
        <v>4128</v>
      </c>
      <c r="B2126" t="s">
        <v>4125</v>
      </c>
      <c r="C2126" s="2">
        <v>2022</v>
      </c>
      <c r="D2126" s="10">
        <v>12</v>
      </c>
      <c r="E2126" s="10">
        <v>31</v>
      </c>
      <c r="F2126" t="s">
        <v>3001</v>
      </c>
      <c r="G2126">
        <v>5000</v>
      </c>
      <c r="H2126" t="s">
        <v>128</v>
      </c>
      <c r="I2126" t="s">
        <v>136</v>
      </c>
      <c r="J2126" s="10" t="str">
        <f>VLOOKUP(I2126,Categories!A:B,2,FALSE)</f>
        <v>อื่นๆ</v>
      </c>
      <c r="K2126" t="s">
        <v>123</v>
      </c>
      <c r="L2126" s="10" t="str">
        <f>VLOOKUP(K2126,Accounts!A:B,2,FALSE)</f>
        <v>KBank</v>
      </c>
      <c r="M2126" t="s">
        <v>425</v>
      </c>
      <c r="N2126" s="10" t="str">
        <f>VLOOKUP(M2126,Accounts!A:B,2,FALSE)</f>
        <v>Cash</v>
      </c>
      <c r="O2126" t="s">
        <v>125</v>
      </c>
      <c r="Q2126" t="s">
        <v>126</v>
      </c>
      <c r="R2126" t="s">
        <v>124</v>
      </c>
      <c r="S2126" t="b">
        <v>0</v>
      </c>
      <c r="T2126" t="s">
        <v>124</v>
      </c>
    </row>
    <row r="2127">
      <c r="A2127" t="s">
        <v>4129</v>
      </c>
      <c r="B2127" t="s">
        <v>4125</v>
      </c>
      <c r="C2127" s="2">
        <v>2022</v>
      </c>
      <c r="D2127" s="10">
        <v>12</v>
      </c>
      <c r="E2127" s="10">
        <v>31</v>
      </c>
      <c r="F2127" t="s">
        <v>1601</v>
      </c>
      <c r="G2127">
        <v>236</v>
      </c>
      <c r="H2127" t="s">
        <v>128</v>
      </c>
      <c r="I2127" t="s">
        <v>136</v>
      </c>
      <c r="J2127" s="10" t="str">
        <f>VLOOKUP(I2127,Categories!A:B,2,FALSE)</f>
        <v>อื่นๆ</v>
      </c>
      <c r="K2127" t="s">
        <v>131</v>
      </c>
      <c r="L2127" s="10" t="str">
        <f>VLOOKUP(K2127,Accounts!A:B,2,FALSE)</f>
        <v xml:space="preserve">Advance Paid</v>
      </c>
      <c r="M2127" t="s">
        <v>178</v>
      </c>
      <c r="N2127" s="10" t="str">
        <f>VLOOKUP(M2127,Accounts!A:B,2,FALSE)</f>
        <v>SCB</v>
      </c>
      <c r="O2127" t="s">
        <v>4130</v>
      </c>
      <c r="Q2127" t="s">
        <v>126</v>
      </c>
      <c r="R2127" t="s">
        <v>124</v>
      </c>
      <c r="S2127" t="b">
        <v>0</v>
      </c>
      <c r="T2127" t="s">
        <v>124</v>
      </c>
    </row>
    <row r="2128">
      <c r="A2128" t="s">
        <v>4131</v>
      </c>
      <c r="B2128" t="s">
        <v>4125</v>
      </c>
      <c r="C2128" s="2">
        <v>2022</v>
      </c>
      <c r="D2128" s="10">
        <v>12</v>
      </c>
      <c r="E2128" s="10">
        <v>31</v>
      </c>
      <c r="F2128" t="s">
        <v>582</v>
      </c>
      <c r="G2128">
        <v>115</v>
      </c>
      <c r="H2128" t="s">
        <v>69</v>
      </c>
      <c r="I2128" t="s">
        <v>150</v>
      </c>
      <c r="J2128" s="10" t="str">
        <f>VLOOKUP(I2128,Categories!A:B,2,FALSE)</f>
        <v xml:space="preserve">Food &amp; Coff</v>
      </c>
      <c r="K2128" t="s">
        <v>2317</v>
      </c>
      <c r="L2128" s="10" t="str">
        <f>VLOOKUP(K2128,Accounts!A:B,2,FALSE)</f>
        <v xml:space="preserve">Marriage account</v>
      </c>
      <c r="M2128" t="s">
        <v>124</v>
      </c>
      <c r="N2128" s="10"/>
      <c r="O2128" t="s">
        <v>4132</v>
      </c>
      <c r="Q2128" t="s">
        <v>126</v>
      </c>
      <c r="R2128" t="s">
        <v>124</v>
      </c>
      <c r="S2128" t="b">
        <v>0</v>
      </c>
      <c r="T2128" t="s">
        <v>124</v>
      </c>
    </row>
    <row r="2129">
      <c r="A2129" t="s">
        <v>4133</v>
      </c>
      <c r="B2129" t="s">
        <v>4125</v>
      </c>
      <c r="C2129" s="2">
        <v>2022</v>
      </c>
      <c r="D2129" s="10">
        <v>12</v>
      </c>
      <c r="E2129" s="10">
        <v>31</v>
      </c>
      <c r="F2129" t="s">
        <v>1204</v>
      </c>
      <c r="G2129">
        <v>4500</v>
      </c>
      <c r="H2129" t="s">
        <v>128</v>
      </c>
      <c r="I2129" t="s">
        <v>136</v>
      </c>
      <c r="J2129" s="10" t="str">
        <f>VLOOKUP(I2129,Categories!A:B,2,FALSE)</f>
        <v>อื่นๆ</v>
      </c>
      <c r="K2129" t="s">
        <v>178</v>
      </c>
      <c r="L2129" s="10" t="str">
        <f>VLOOKUP(K2129,Accounts!A:B,2,FALSE)</f>
        <v>SCB</v>
      </c>
      <c r="M2129" t="s">
        <v>131</v>
      </c>
      <c r="N2129" s="10" t="str">
        <f>VLOOKUP(M2129,Accounts!A:B,2,FALSE)</f>
        <v xml:space="preserve">Advance Paid</v>
      </c>
      <c r="O2129" t="s">
        <v>4134</v>
      </c>
      <c r="Q2129" t="s">
        <v>126</v>
      </c>
      <c r="R2129" t="s">
        <v>124</v>
      </c>
      <c r="S2129" t="b">
        <v>0</v>
      </c>
      <c r="T2129" t="s">
        <v>124</v>
      </c>
    </row>
    <row r="2130">
      <c r="A2130" t="s">
        <v>4135</v>
      </c>
      <c r="B2130" t="s">
        <v>4125</v>
      </c>
      <c r="C2130" s="2">
        <v>2022</v>
      </c>
      <c r="D2130" s="10">
        <v>12</v>
      </c>
      <c r="E2130" s="10">
        <v>31</v>
      </c>
      <c r="F2130" t="s">
        <v>4136</v>
      </c>
      <c r="G2130">
        <v>2000</v>
      </c>
      <c r="H2130" t="s">
        <v>69</v>
      </c>
      <c r="I2130" t="s">
        <v>1455</v>
      </c>
      <c r="J2130" s="10" t="str">
        <f>VLOOKUP(I2130,Categories!A:B,2,FALSE)</f>
        <v xml:space="preserve">Merit and gift</v>
      </c>
      <c r="K2130" t="s">
        <v>131</v>
      </c>
      <c r="L2130" s="10" t="str">
        <f>VLOOKUP(K2130,Accounts!A:B,2,FALSE)</f>
        <v xml:space="preserve">Advance Paid</v>
      </c>
      <c r="M2130" t="s">
        <v>124</v>
      </c>
      <c r="N2130" s="10"/>
      <c r="O2130" t="s">
        <v>4137</v>
      </c>
      <c r="Q2130" t="s">
        <v>126</v>
      </c>
      <c r="R2130" t="s">
        <v>124</v>
      </c>
      <c r="S2130" t="b">
        <v>0</v>
      </c>
      <c r="T2130" t="s">
        <v>124</v>
      </c>
    </row>
    <row r="2131">
      <c r="A2131" t="s">
        <v>4138</v>
      </c>
      <c r="B2131" t="s">
        <v>4125</v>
      </c>
      <c r="C2131" s="2">
        <v>2022</v>
      </c>
      <c r="D2131" s="10">
        <v>12</v>
      </c>
      <c r="E2131" s="10">
        <v>31</v>
      </c>
      <c r="F2131" t="s">
        <v>1146</v>
      </c>
      <c r="G2131">
        <v>1430</v>
      </c>
      <c r="H2131" t="s">
        <v>128</v>
      </c>
      <c r="I2131" t="s">
        <v>136</v>
      </c>
      <c r="J2131" s="10" t="str">
        <f>VLOOKUP(I2131,Categories!A:B,2,FALSE)</f>
        <v>อื่นๆ</v>
      </c>
      <c r="K2131" t="s">
        <v>2317</v>
      </c>
      <c r="L2131" s="10" t="str">
        <f>VLOOKUP(K2131,Accounts!A:B,2,FALSE)</f>
        <v xml:space="preserve">Marriage account</v>
      </c>
      <c r="M2131" t="s">
        <v>178</v>
      </c>
      <c r="N2131" s="10" t="str">
        <f>VLOOKUP(M2131,Accounts!A:B,2,FALSE)</f>
        <v>SCB</v>
      </c>
      <c r="O2131" t="s">
        <v>125</v>
      </c>
      <c r="Q2131" t="s">
        <v>126</v>
      </c>
      <c r="R2131" t="s">
        <v>124</v>
      </c>
      <c r="S2131" t="b">
        <v>0</v>
      </c>
      <c r="T2131" t="s">
        <v>124</v>
      </c>
    </row>
    <row r="2132">
      <c r="A2132" t="s">
        <v>4139</v>
      </c>
      <c r="B2132" t="s">
        <v>4125</v>
      </c>
      <c r="C2132" s="2">
        <v>2022</v>
      </c>
      <c r="D2132" s="10">
        <v>12</v>
      </c>
      <c r="E2132" s="10">
        <v>31</v>
      </c>
      <c r="F2132" t="s">
        <v>1143</v>
      </c>
      <c r="G2132">
        <v>470</v>
      </c>
      <c r="H2132" t="s">
        <v>69</v>
      </c>
      <c r="I2132" t="s">
        <v>259</v>
      </c>
      <c r="J2132" s="10" t="str">
        <f>VLOOKUP(I2132,Categories!A:B,2,FALSE)</f>
        <v xml:space="preserve">Team BOT</v>
      </c>
      <c r="K2132" t="s">
        <v>131</v>
      </c>
      <c r="L2132" s="10" t="str">
        <f>VLOOKUP(K2132,Accounts!A:B,2,FALSE)</f>
        <v xml:space="preserve">Advance Paid</v>
      </c>
      <c r="M2132" t="s">
        <v>124</v>
      </c>
      <c r="N2132" s="10"/>
      <c r="O2132" t="s">
        <v>4140</v>
      </c>
      <c r="Q2132" t="s">
        <v>126</v>
      </c>
      <c r="R2132" t="s">
        <v>124</v>
      </c>
      <c r="S2132" t="b">
        <v>0</v>
      </c>
      <c r="T2132" t="s">
        <v>124</v>
      </c>
    </row>
    <row r="2133">
      <c r="A2133" t="s">
        <v>4141</v>
      </c>
      <c r="B2133" t="s">
        <v>4125</v>
      </c>
      <c r="C2133" s="2">
        <v>2022</v>
      </c>
      <c r="D2133" s="10">
        <v>12</v>
      </c>
      <c r="E2133" s="10">
        <v>31</v>
      </c>
      <c r="F2133" t="s">
        <v>1132</v>
      </c>
      <c r="G2133">
        <v>599</v>
      </c>
      <c r="H2133" t="s">
        <v>128</v>
      </c>
      <c r="I2133" t="s">
        <v>136</v>
      </c>
      <c r="J2133" s="10" t="str">
        <f>VLOOKUP(I2133,Categories!A:B,2,FALSE)</f>
        <v>อื่นๆ</v>
      </c>
      <c r="K2133" t="s">
        <v>2317</v>
      </c>
      <c r="L2133" s="10" t="str">
        <f>VLOOKUP(K2133,Accounts!A:B,2,FALSE)</f>
        <v xml:space="preserve">Marriage account</v>
      </c>
      <c r="M2133" t="s">
        <v>178</v>
      </c>
      <c r="N2133" s="10" t="str">
        <f>VLOOKUP(M2133,Accounts!A:B,2,FALSE)</f>
        <v>SCB</v>
      </c>
      <c r="O2133" t="s">
        <v>4142</v>
      </c>
      <c r="Q2133" t="s">
        <v>126</v>
      </c>
      <c r="R2133" t="s">
        <v>124</v>
      </c>
      <c r="S2133" t="b">
        <v>0</v>
      </c>
      <c r="T2133" t="s">
        <v>124</v>
      </c>
    </row>
    <row r="2134">
      <c r="A2134" t="s">
        <v>4143</v>
      </c>
      <c r="B2134" t="s">
        <v>4125</v>
      </c>
      <c r="C2134" s="2">
        <v>2022</v>
      </c>
      <c r="D2134" s="10">
        <v>12</v>
      </c>
      <c r="E2134" s="10">
        <v>31</v>
      </c>
      <c r="F2134" t="s">
        <v>1968</v>
      </c>
      <c r="G2134">
        <v>898</v>
      </c>
      <c r="H2134" t="s">
        <v>128</v>
      </c>
      <c r="I2134" t="s">
        <v>136</v>
      </c>
      <c r="J2134" s="10" t="str">
        <f>VLOOKUP(I2134,Categories!A:B,2,FALSE)</f>
        <v>อื่นๆ</v>
      </c>
      <c r="K2134" t="s">
        <v>131</v>
      </c>
      <c r="L2134" s="10" t="str">
        <f>VLOOKUP(K2134,Accounts!A:B,2,FALSE)</f>
        <v xml:space="preserve">Advance Paid</v>
      </c>
      <c r="M2134" t="s">
        <v>178</v>
      </c>
      <c r="N2134" s="10" t="str">
        <f>VLOOKUP(M2134,Accounts!A:B,2,FALSE)</f>
        <v>SCB</v>
      </c>
      <c r="O2134" t="s">
        <v>4144</v>
      </c>
      <c r="Q2134" t="s">
        <v>126</v>
      </c>
      <c r="R2134" t="s">
        <v>124</v>
      </c>
      <c r="S2134" t="b">
        <v>0</v>
      </c>
      <c r="T2134" t="s">
        <v>124</v>
      </c>
    </row>
    <row r="2135">
      <c r="A2135" t="s">
        <v>4145</v>
      </c>
      <c r="B2135" t="s">
        <v>4125</v>
      </c>
      <c r="C2135" s="2">
        <v>2022</v>
      </c>
      <c r="D2135" s="10">
        <v>12</v>
      </c>
      <c r="E2135" s="10">
        <v>31</v>
      </c>
      <c r="F2135" t="s">
        <v>4146</v>
      </c>
      <c r="G2135">
        <v>928</v>
      </c>
      <c r="H2135" t="s">
        <v>69</v>
      </c>
      <c r="I2135" t="s">
        <v>150</v>
      </c>
      <c r="J2135" s="10" t="str">
        <f>VLOOKUP(I2135,Categories!A:B,2,FALSE)</f>
        <v xml:space="preserve">Food &amp; Coff</v>
      </c>
      <c r="K2135" t="s">
        <v>2317</v>
      </c>
      <c r="L2135" s="10" t="str">
        <f>VLOOKUP(K2135,Accounts!A:B,2,FALSE)</f>
        <v xml:space="preserve">Marriage account</v>
      </c>
      <c r="M2135" t="s">
        <v>124</v>
      </c>
      <c r="N2135" s="10"/>
      <c r="O2135" t="s">
        <v>3328</v>
      </c>
      <c r="Q2135" t="s">
        <v>126</v>
      </c>
      <c r="R2135" t="s">
        <v>124</v>
      </c>
      <c r="S2135" t="b">
        <v>0</v>
      </c>
      <c r="T2135" t="s">
        <v>124</v>
      </c>
    </row>
    <row r="2136">
      <c r="A2136" t="s">
        <v>4147</v>
      </c>
      <c r="B2136" t="s">
        <v>4148</v>
      </c>
      <c r="C2136" s="2">
        <v>2022</v>
      </c>
      <c r="D2136" s="10">
        <v>12</v>
      </c>
      <c r="E2136" s="10">
        <v>30</v>
      </c>
      <c r="F2136" t="s">
        <v>234</v>
      </c>
      <c r="G2136">
        <v>3190</v>
      </c>
      <c r="H2136" t="s">
        <v>69</v>
      </c>
      <c r="I2136" t="s">
        <v>141</v>
      </c>
      <c r="J2136" s="10" t="str">
        <f>VLOOKUP(I2136,Categories!A:B,2,FALSE)</f>
        <v>Other</v>
      </c>
      <c r="K2136" t="s">
        <v>2862</v>
      </c>
      <c r="L2136" s="10" t="str">
        <f>VLOOKUP(K2136,Accounts!A:B,2,FALSE)</f>
        <v xml:space="preserve">Kbank onesiam</v>
      </c>
      <c r="M2136" t="s">
        <v>124</v>
      </c>
      <c r="N2136" s="10"/>
      <c r="O2136" t="s">
        <v>4149</v>
      </c>
      <c r="Q2136" t="s">
        <v>126</v>
      </c>
      <c r="R2136" t="s">
        <v>124</v>
      </c>
      <c r="S2136" t="b">
        <v>0</v>
      </c>
      <c r="T2136" t="s">
        <v>124</v>
      </c>
    </row>
    <row r="2137">
      <c r="A2137" t="s">
        <v>4150</v>
      </c>
      <c r="B2137" t="s">
        <v>4151</v>
      </c>
      <c r="C2137" s="2">
        <v>2022</v>
      </c>
      <c r="D2137" s="10">
        <v>12</v>
      </c>
      <c r="E2137" s="10">
        <v>29</v>
      </c>
      <c r="F2137" t="s">
        <v>2842</v>
      </c>
      <c r="G2137">
        <v>110</v>
      </c>
      <c r="H2137" t="s">
        <v>69</v>
      </c>
      <c r="I2137" t="s">
        <v>150</v>
      </c>
      <c r="J2137" s="10" t="str">
        <f>VLOOKUP(I2137,Categories!A:B,2,FALSE)</f>
        <v xml:space="preserve">Food &amp; Coff</v>
      </c>
      <c r="K2137" t="s">
        <v>178</v>
      </c>
      <c r="L2137" s="10" t="str">
        <f>VLOOKUP(K2137,Accounts!A:B,2,FALSE)</f>
        <v>SCB</v>
      </c>
      <c r="M2137" t="s">
        <v>124</v>
      </c>
      <c r="N2137" s="10"/>
      <c r="O2137" t="s">
        <v>125</v>
      </c>
      <c r="Q2137" t="s">
        <v>126</v>
      </c>
      <c r="R2137" t="s">
        <v>124</v>
      </c>
      <c r="S2137" t="b">
        <v>0</v>
      </c>
      <c r="T2137" t="s">
        <v>124</v>
      </c>
    </row>
    <row r="2138">
      <c r="A2138" t="s">
        <v>4152</v>
      </c>
      <c r="B2138" t="s">
        <v>4151</v>
      </c>
      <c r="C2138" s="2">
        <v>2022</v>
      </c>
      <c r="D2138" s="10">
        <v>12</v>
      </c>
      <c r="E2138" s="10">
        <v>29</v>
      </c>
      <c r="F2138" t="s">
        <v>608</v>
      </c>
      <c r="G2138">
        <v>70</v>
      </c>
      <c r="H2138" t="s">
        <v>69</v>
      </c>
      <c r="I2138" t="s">
        <v>150</v>
      </c>
      <c r="J2138" s="10" t="str">
        <f>VLOOKUP(I2138,Categories!A:B,2,FALSE)</f>
        <v xml:space="preserve">Food &amp; Coff</v>
      </c>
      <c r="K2138" t="s">
        <v>178</v>
      </c>
      <c r="L2138" s="10" t="str">
        <f>VLOOKUP(K2138,Accounts!A:B,2,FALSE)</f>
        <v>SCB</v>
      </c>
      <c r="M2138" t="s">
        <v>124</v>
      </c>
      <c r="N2138" s="10"/>
      <c r="O2138" t="s">
        <v>125</v>
      </c>
      <c r="Q2138" t="s">
        <v>126</v>
      </c>
      <c r="R2138" t="s">
        <v>124</v>
      </c>
      <c r="S2138" t="b">
        <v>0</v>
      </c>
      <c r="T2138" t="s">
        <v>124</v>
      </c>
    </row>
    <row r="2139">
      <c r="A2139" t="s">
        <v>4153</v>
      </c>
      <c r="B2139" t="s">
        <v>4151</v>
      </c>
      <c r="C2139" s="2">
        <v>2022</v>
      </c>
      <c r="D2139" s="10">
        <v>12</v>
      </c>
      <c r="E2139" s="10">
        <v>29</v>
      </c>
      <c r="F2139" t="s">
        <v>3847</v>
      </c>
      <c r="G2139">
        <v>55</v>
      </c>
      <c r="H2139" t="s">
        <v>69</v>
      </c>
      <c r="I2139" t="s">
        <v>150</v>
      </c>
      <c r="J2139" s="10" t="str">
        <f>VLOOKUP(I2139,Categories!A:B,2,FALSE)</f>
        <v xml:space="preserve">Food &amp; Coff</v>
      </c>
      <c r="K2139" t="s">
        <v>178</v>
      </c>
      <c r="L2139" s="10" t="str">
        <f>VLOOKUP(K2139,Accounts!A:B,2,FALSE)</f>
        <v>SCB</v>
      </c>
      <c r="M2139" t="s">
        <v>124</v>
      </c>
      <c r="N2139" s="10"/>
      <c r="O2139" t="s">
        <v>125</v>
      </c>
      <c r="Q2139" t="s">
        <v>126</v>
      </c>
      <c r="R2139" t="s">
        <v>124</v>
      </c>
      <c r="S2139" t="b">
        <v>0</v>
      </c>
      <c r="T2139" t="s">
        <v>124</v>
      </c>
    </row>
    <row r="2140">
      <c r="A2140" t="s">
        <v>4154</v>
      </c>
      <c r="B2140" t="s">
        <v>37</v>
      </c>
      <c r="C2140" s="2">
        <v>2022</v>
      </c>
      <c r="D2140" s="10">
        <v>12</v>
      </c>
      <c r="E2140" s="10">
        <v>28</v>
      </c>
      <c r="F2140" t="s">
        <v>4155</v>
      </c>
      <c r="G2140">
        <v>200000</v>
      </c>
      <c r="H2140" t="s">
        <v>128</v>
      </c>
      <c r="I2140" t="s">
        <v>136</v>
      </c>
      <c r="J2140" s="10" t="str">
        <f>VLOOKUP(I2140,Categories!A:B,2,FALSE)</f>
        <v>อื่นๆ</v>
      </c>
      <c r="K2140" t="s">
        <v>123</v>
      </c>
      <c r="L2140" s="10" t="str">
        <f>VLOOKUP(K2140,Accounts!A:B,2,FALSE)</f>
        <v>KBank</v>
      </c>
      <c r="M2140" t="s">
        <v>215</v>
      </c>
      <c r="N2140" s="10" t="str">
        <f>VLOOKUP(M2140,Accounts!A:B,2,FALSE)</f>
        <v>Investment</v>
      </c>
      <c r="O2140" t="s">
        <v>125</v>
      </c>
      <c r="Q2140" t="s">
        <v>126</v>
      </c>
      <c r="R2140" t="s">
        <v>124</v>
      </c>
      <c r="S2140" t="b">
        <v>0</v>
      </c>
      <c r="T2140" t="s">
        <v>124</v>
      </c>
    </row>
    <row r="2141">
      <c r="A2141" t="s">
        <v>4156</v>
      </c>
      <c r="B2141" t="s">
        <v>37</v>
      </c>
      <c r="C2141" s="2">
        <v>2022</v>
      </c>
      <c r="D2141" s="10">
        <v>12</v>
      </c>
      <c r="E2141" s="10">
        <v>28</v>
      </c>
      <c r="F2141" t="s">
        <v>1233</v>
      </c>
      <c r="G2141">
        <v>715</v>
      </c>
      <c r="H2141" t="s">
        <v>69</v>
      </c>
      <c r="I2141" t="s">
        <v>150</v>
      </c>
      <c r="J2141" s="10" t="str">
        <f>VLOOKUP(I2141,Categories!A:B,2,FALSE)</f>
        <v xml:space="preserve">Food &amp; Coff</v>
      </c>
      <c r="K2141" t="s">
        <v>2317</v>
      </c>
      <c r="L2141" s="10" t="str">
        <f>VLOOKUP(K2141,Accounts!A:B,2,FALSE)</f>
        <v xml:space="preserve">Marriage account</v>
      </c>
      <c r="M2141" t="s">
        <v>124</v>
      </c>
      <c r="N2141" s="10"/>
      <c r="O2141" t="s">
        <v>4157</v>
      </c>
      <c r="Q2141" t="s">
        <v>126</v>
      </c>
      <c r="R2141" t="s">
        <v>124</v>
      </c>
      <c r="S2141" t="b">
        <v>0</v>
      </c>
      <c r="T2141" t="s">
        <v>124</v>
      </c>
    </row>
    <row r="2142">
      <c r="A2142" t="s">
        <v>4158</v>
      </c>
      <c r="B2142" t="s">
        <v>37</v>
      </c>
      <c r="C2142" s="2">
        <v>2022</v>
      </c>
      <c r="D2142" s="10">
        <v>12</v>
      </c>
      <c r="E2142" s="10">
        <v>28</v>
      </c>
      <c r="F2142" t="s">
        <v>2983</v>
      </c>
      <c r="G2142">
        <v>119</v>
      </c>
      <c r="H2142" t="s">
        <v>69</v>
      </c>
      <c r="I2142" t="s">
        <v>150</v>
      </c>
      <c r="J2142" s="10" t="str">
        <f>VLOOKUP(I2142,Categories!A:B,2,FALSE)</f>
        <v xml:space="preserve">Food &amp; Coff</v>
      </c>
      <c r="K2142" t="s">
        <v>178</v>
      </c>
      <c r="L2142" s="10" t="str">
        <f>VLOOKUP(K2142,Accounts!A:B,2,FALSE)</f>
        <v>SCB</v>
      </c>
      <c r="M2142" t="s">
        <v>124</v>
      </c>
      <c r="N2142" s="10"/>
      <c r="O2142" t="s">
        <v>125</v>
      </c>
      <c r="Q2142" t="s">
        <v>126</v>
      </c>
      <c r="R2142" t="s">
        <v>124</v>
      </c>
      <c r="S2142" t="b">
        <v>0</v>
      </c>
      <c r="T2142" t="s">
        <v>124</v>
      </c>
    </row>
    <row r="2143">
      <c r="A2143" t="s">
        <v>4159</v>
      </c>
      <c r="B2143" t="s">
        <v>37</v>
      </c>
      <c r="C2143" s="2">
        <v>2022</v>
      </c>
      <c r="D2143" s="10">
        <v>12</v>
      </c>
      <c r="E2143" s="10">
        <v>28</v>
      </c>
      <c r="F2143" t="s">
        <v>4160</v>
      </c>
      <c r="G2143">
        <v>1890</v>
      </c>
      <c r="H2143" t="s">
        <v>128</v>
      </c>
      <c r="I2143" t="s">
        <v>136</v>
      </c>
      <c r="J2143" s="10" t="str">
        <f>VLOOKUP(I2143,Categories!A:B,2,FALSE)</f>
        <v>อื่นๆ</v>
      </c>
      <c r="K2143" t="s">
        <v>123</v>
      </c>
      <c r="L2143" s="10" t="str">
        <f>VLOOKUP(K2143,Accounts!A:B,2,FALSE)</f>
        <v>KBank</v>
      </c>
      <c r="M2143" t="s">
        <v>2862</v>
      </c>
      <c r="N2143" s="10" t="str">
        <f>VLOOKUP(M2143,Accounts!A:B,2,FALSE)</f>
        <v xml:space="preserve">Kbank onesiam</v>
      </c>
      <c r="O2143" t="s">
        <v>125</v>
      </c>
      <c r="Q2143" t="s">
        <v>126</v>
      </c>
      <c r="R2143" t="s">
        <v>124</v>
      </c>
      <c r="S2143" t="b">
        <v>0</v>
      </c>
      <c r="T2143" t="s">
        <v>124</v>
      </c>
    </row>
    <row r="2144">
      <c r="A2144" t="s">
        <v>4161</v>
      </c>
      <c r="B2144" t="s">
        <v>37</v>
      </c>
      <c r="C2144" s="2">
        <v>2022</v>
      </c>
      <c r="D2144" s="10">
        <v>12</v>
      </c>
      <c r="E2144" s="10">
        <v>28</v>
      </c>
      <c r="F2144" t="s">
        <v>4160</v>
      </c>
      <c r="G2144">
        <v>601</v>
      </c>
      <c r="H2144" t="s">
        <v>69</v>
      </c>
      <c r="I2144" t="s">
        <v>141</v>
      </c>
      <c r="J2144" s="10" t="str">
        <f>VLOOKUP(I2144,Categories!A:B,2,FALSE)</f>
        <v>Other</v>
      </c>
      <c r="K2144" t="s">
        <v>123</v>
      </c>
      <c r="L2144" s="10" t="str">
        <f>VLOOKUP(K2144,Accounts!A:B,2,FALSE)</f>
        <v>KBank</v>
      </c>
      <c r="M2144" t="s">
        <v>124</v>
      </c>
      <c r="N2144" s="10"/>
      <c r="O2144" t="s">
        <v>125</v>
      </c>
      <c r="Q2144" t="s">
        <v>126</v>
      </c>
      <c r="R2144" t="s">
        <v>124</v>
      </c>
      <c r="S2144" t="b">
        <v>0</v>
      </c>
      <c r="T2144" t="s">
        <v>124</v>
      </c>
    </row>
    <row r="2145">
      <c r="A2145" t="s">
        <v>4162</v>
      </c>
      <c r="B2145" t="s">
        <v>37</v>
      </c>
      <c r="C2145" s="2">
        <v>2022</v>
      </c>
      <c r="D2145" s="10">
        <v>12</v>
      </c>
      <c r="E2145" s="10">
        <v>28</v>
      </c>
      <c r="F2145" t="s">
        <v>4163</v>
      </c>
      <c r="G2145">
        <v>2585</v>
      </c>
      <c r="H2145" t="s">
        <v>69</v>
      </c>
      <c r="I2145" t="s">
        <v>3276</v>
      </c>
      <c r="J2145" s="10" t="str">
        <f>VLOOKUP(I2145,Categories!A:B,2,FALSE)</f>
        <v>Fuel</v>
      </c>
      <c r="K2145" t="s">
        <v>2317</v>
      </c>
      <c r="L2145" s="10" t="str">
        <f>VLOOKUP(K2145,Accounts!A:B,2,FALSE)</f>
        <v xml:space="preserve">Marriage account</v>
      </c>
      <c r="M2145" t="s">
        <v>124</v>
      </c>
      <c r="N2145" s="10"/>
      <c r="O2145" t="s">
        <v>125</v>
      </c>
      <c r="Q2145" t="s">
        <v>126</v>
      </c>
      <c r="R2145" t="s">
        <v>124</v>
      </c>
      <c r="S2145" t="b">
        <v>0</v>
      </c>
      <c r="T2145" t="s">
        <v>124</v>
      </c>
    </row>
    <row r="2146">
      <c r="A2146" t="s">
        <v>4164</v>
      </c>
      <c r="B2146" t="s">
        <v>37</v>
      </c>
      <c r="C2146" s="2">
        <v>2022</v>
      </c>
      <c r="D2146" s="10">
        <v>12</v>
      </c>
      <c r="E2146" s="10">
        <v>28</v>
      </c>
      <c r="F2146" t="s">
        <v>4163</v>
      </c>
      <c r="G2146">
        <v>699</v>
      </c>
      <c r="H2146" t="s">
        <v>69</v>
      </c>
      <c r="I2146" t="s">
        <v>3504</v>
      </c>
      <c r="J2146" s="10" t="str">
        <f>VLOOKUP(I2146,Categories!A:B,2,FALSE)</f>
        <v xml:space="preserve">Condo suppliers</v>
      </c>
      <c r="K2146" t="s">
        <v>2317</v>
      </c>
      <c r="L2146" s="10" t="str">
        <f>VLOOKUP(K2146,Accounts!A:B,2,FALSE)</f>
        <v xml:space="preserve">Marriage account</v>
      </c>
      <c r="M2146" t="s">
        <v>124</v>
      </c>
      <c r="N2146" s="10"/>
      <c r="O2146" t="s">
        <v>3505</v>
      </c>
      <c r="Q2146" t="s">
        <v>126</v>
      </c>
      <c r="R2146" t="s">
        <v>124</v>
      </c>
      <c r="S2146" t="b">
        <v>0</v>
      </c>
      <c r="T2146" t="s">
        <v>124</v>
      </c>
    </row>
    <row r="2147">
      <c r="A2147" t="s">
        <v>4165</v>
      </c>
      <c r="B2147" t="s">
        <v>37</v>
      </c>
      <c r="C2147" s="2">
        <v>2022</v>
      </c>
      <c r="D2147" s="10">
        <v>12</v>
      </c>
      <c r="E2147" s="10">
        <v>28</v>
      </c>
      <c r="F2147" t="s">
        <v>1552</v>
      </c>
      <c r="G2147">
        <v>774</v>
      </c>
      <c r="H2147" t="s">
        <v>69</v>
      </c>
      <c r="I2147" t="s">
        <v>150</v>
      </c>
      <c r="J2147" s="10" t="str">
        <f>VLOOKUP(I2147,Categories!A:B,2,FALSE)</f>
        <v xml:space="preserve">Food &amp; Coff</v>
      </c>
      <c r="K2147" t="s">
        <v>2317</v>
      </c>
      <c r="L2147" s="10" t="str">
        <f>VLOOKUP(K2147,Accounts!A:B,2,FALSE)</f>
        <v xml:space="preserve">Marriage account</v>
      </c>
      <c r="M2147" t="s">
        <v>124</v>
      </c>
      <c r="N2147" s="10"/>
      <c r="O2147" t="s">
        <v>125</v>
      </c>
      <c r="Q2147" t="s">
        <v>126</v>
      </c>
      <c r="R2147" t="s">
        <v>124</v>
      </c>
      <c r="S2147" t="b">
        <v>0</v>
      </c>
      <c r="T2147" t="s">
        <v>124</v>
      </c>
    </row>
    <row r="2148">
      <c r="A2148" t="s">
        <v>4166</v>
      </c>
      <c r="B2148" t="s">
        <v>37</v>
      </c>
      <c r="C2148" s="2">
        <v>2022</v>
      </c>
      <c r="D2148" s="10">
        <v>12</v>
      </c>
      <c r="E2148" s="10">
        <v>28</v>
      </c>
      <c r="F2148" t="s">
        <v>4167</v>
      </c>
      <c r="G2148">
        <v>180</v>
      </c>
      <c r="H2148" t="s">
        <v>69</v>
      </c>
      <c r="I2148" t="s">
        <v>150</v>
      </c>
      <c r="J2148" s="10" t="str">
        <f>VLOOKUP(I2148,Categories!A:B,2,FALSE)</f>
        <v xml:space="preserve">Food &amp; Coff</v>
      </c>
      <c r="K2148" t="s">
        <v>2317</v>
      </c>
      <c r="L2148" s="10" t="str">
        <f>VLOOKUP(K2148,Accounts!A:B,2,FALSE)</f>
        <v xml:space="preserve">Marriage account</v>
      </c>
      <c r="M2148" t="s">
        <v>124</v>
      </c>
      <c r="N2148" s="10"/>
      <c r="O2148" t="s">
        <v>4168</v>
      </c>
      <c r="Q2148" t="s">
        <v>126</v>
      </c>
      <c r="R2148" t="s">
        <v>124</v>
      </c>
      <c r="S2148" t="b">
        <v>0</v>
      </c>
      <c r="T2148" t="s">
        <v>124</v>
      </c>
    </row>
    <row r="2149">
      <c r="A2149" t="s">
        <v>4169</v>
      </c>
      <c r="B2149" t="s">
        <v>37</v>
      </c>
      <c r="C2149" s="2">
        <v>2022</v>
      </c>
      <c r="D2149" s="10">
        <v>12</v>
      </c>
      <c r="E2149" s="10">
        <v>28</v>
      </c>
      <c r="F2149" t="s">
        <v>2543</v>
      </c>
      <c r="G2149">
        <v>900</v>
      </c>
      <c r="H2149" t="s">
        <v>128</v>
      </c>
      <c r="I2149" t="s">
        <v>136</v>
      </c>
      <c r="J2149" s="10" t="str">
        <f>VLOOKUP(I2149,Categories!A:B,2,FALSE)</f>
        <v>อื่นๆ</v>
      </c>
      <c r="K2149" t="s">
        <v>2349</v>
      </c>
      <c r="L2149" s="10" t="str">
        <f>VLOOKUP(K2149,Accounts!A:B,2,FALSE)</f>
        <v>Bluewallet</v>
      </c>
      <c r="M2149" t="s">
        <v>178</v>
      </c>
      <c r="N2149" s="10" t="str">
        <f>VLOOKUP(M2149,Accounts!A:B,2,FALSE)</f>
        <v>SCB</v>
      </c>
      <c r="O2149" t="s">
        <v>125</v>
      </c>
      <c r="Q2149" t="s">
        <v>126</v>
      </c>
      <c r="R2149" t="s">
        <v>124</v>
      </c>
      <c r="S2149" t="b">
        <v>0</v>
      </c>
      <c r="T2149" t="s">
        <v>124</v>
      </c>
    </row>
    <row r="2150">
      <c r="A2150" t="s">
        <v>4170</v>
      </c>
      <c r="B2150" t="s">
        <v>37</v>
      </c>
      <c r="C2150" s="2">
        <v>2022</v>
      </c>
      <c r="D2150" s="10">
        <v>12</v>
      </c>
      <c r="E2150" s="10">
        <v>28</v>
      </c>
      <c r="F2150" t="s">
        <v>859</v>
      </c>
      <c r="G2150">
        <v>155</v>
      </c>
      <c r="H2150" t="s">
        <v>69</v>
      </c>
      <c r="I2150" t="s">
        <v>150</v>
      </c>
      <c r="J2150" s="10" t="str">
        <f>VLOOKUP(I2150,Categories!A:B,2,FALSE)</f>
        <v xml:space="preserve">Food &amp; Coff</v>
      </c>
      <c r="K2150" t="s">
        <v>2349</v>
      </c>
      <c r="L2150" s="10" t="str">
        <f>VLOOKUP(K2150,Accounts!A:B,2,FALSE)</f>
        <v>Bluewallet</v>
      </c>
      <c r="M2150" t="s">
        <v>124</v>
      </c>
      <c r="N2150" s="10"/>
      <c r="O2150" t="s">
        <v>125</v>
      </c>
      <c r="Q2150" t="s">
        <v>126</v>
      </c>
      <c r="R2150" t="s">
        <v>124</v>
      </c>
      <c r="S2150" t="b">
        <v>0</v>
      </c>
      <c r="T2150" t="s">
        <v>124</v>
      </c>
    </row>
    <row r="2151">
      <c r="A2151" t="s">
        <v>4171</v>
      </c>
      <c r="B2151" t="s">
        <v>37</v>
      </c>
      <c r="C2151" s="2">
        <v>2022</v>
      </c>
      <c r="D2151" s="10">
        <v>12</v>
      </c>
      <c r="E2151" s="10">
        <v>28</v>
      </c>
      <c r="F2151" t="s">
        <v>4172</v>
      </c>
      <c r="G2151">
        <v>900</v>
      </c>
      <c r="H2151" t="s">
        <v>69</v>
      </c>
      <c r="I2151" t="s">
        <v>3276</v>
      </c>
      <c r="J2151" s="10" t="str">
        <f>VLOOKUP(I2151,Categories!A:B,2,FALSE)</f>
        <v>Fuel</v>
      </c>
      <c r="K2151" t="s">
        <v>2317</v>
      </c>
      <c r="L2151" s="10" t="str">
        <f>VLOOKUP(K2151,Accounts!A:B,2,FALSE)</f>
        <v xml:space="preserve">Marriage account</v>
      </c>
      <c r="M2151" t="s">
        <v>124</v>
      </c>
      <c r="N2151" s="10"/>
      <c r="O2151" t="s">
        <v>4173</v>
      </c>
      <c r="Q2151" t="s">
        <v>126</v>
      </c>
      <c r="R2151" t="s">
        <v>124</v>
      </c>
      <c r="S2151" t="b">
        <v>0</v>
      </c>
      <c r="T2151" t="s">
        <v>124</v>
      </c>
    </row>
    <row r="2152">
      <c r="A2152" t="s">
        <v>4174</v>
      </c>
      <c r="B2152" t="s">
        <v>4175</v>
      </c>
      <c r="C2152" s="2">
        <v>2022</v>
      </c>
      <c r="D2152" s="10">
        <v>12</v>
      </c>
      <c r="E2152" s="10">
        <v>27</v>
      </c>
      <c r="F2152" t="s">
        <v>121</v>
      </c>
      <c r="G2152">
        <v>7915</v>
      </c>
      <c r="H2152" t="s">
        <v>128</v>
      </c>
      <c r="I2152" t="s">
        <v>136</v>
      </c>
      <c r="J2152" s="10" t="str">
        <f>VLOOKUP(I2152,Categories!A:B,2,FALSE)</f>
        <v>อื่นๆ</v>
      </c>
      <c r="K2152" t="s">
        <v>178</v>
      </c>
      <c r="L2152" s="10" t="str">
        <f>VLOOKUP(K2152,Accounts!A:B,2,FALSE)</f>
        <v>SCB</v>
      </c>
      <c r="M2152" t="s">
        <v>1244</v>
      </c>
      <c r="N2152" s="10" t="str">
        <f>VLOOKUP(M2152,Accounts!A:B,2,FALSE)</f>
        <v xml:space="preserve">Home chomthong Loan</v>
      </c>
      <c r="O2152" t="s">
        <v>125</v>
      </c>
      <c r="Q2152" t="s">
        <v>126</v>
      </c>
      <c r="R2152" t="s">
        <v>124</v>
      </c>
      <c r="S2152" t="b">
        <v>0</v>
      </c>
      <c r="T2152" t="s">
        <v>124</v>
      </c>
    </row>
    <row r="2153">
      <c r="A2153" t="s">
        <v>4176</v>
      </c>
      <c r="B2153" t="s">
        <v>4175</v>
      </c>
      <c r="C2153" s="2">
        <v>2022</v>
      </c>
      <c r="D2153" s="10">
        <v>12</v>
      </c>
      <c r="E2153" s="10">
        <v>27</v>
      </c>
      <c r="F2153" t="s">
        <v>121</v>
      </c>
      <c r="G2153">
        <v>2066.4000000000001</v>
      </c>
      <c r="H2153" t="s">
        <v>128</v>
      </c>
      <c r="I2153" t="s">
        <v>136</v>
      </c>
      <c r="J2153" s="10" t="str">
        <f>VLOOKUP(I2153,Categories!A:B,2,FALSE)</f>
        <v>อื่นๆ</v>
      </c>
      <c r="K2153" t="s">
        <v>178</v>
      </c>
      <c r="L2153" s="10" t="str">
        <f>VLOOKUP(K2153,Accounts!A:B,2,FALSE)</f>
        <v>SCB</v>
      </c>
      <c r="M2153" t="s">
        <v>203</v>
      </c>
      <c r="N2153" s="10" t="str">
        <f>VLOOKUP(M2153,Accounts!A:B,2,FALSE)</f>
        <v xml:space="preserve">Provident Fund</v>
      </c>
      <c r="O2153" t="s">
        <v>125</v>
      </c>
      <c r="Q2153" t="s">
        <v>126</v>
      </c>
      <c r="R2153" t="s">
        <v>124</v>
      </c>
      <c r="S2153" t="b">
        <v>0</v>
      </c>
      <c r="T2153" t="s">
        <v>124</v>
      </c>
    </row>
    <row r="2154">
      <c r="A2154" t="s">
        <v>4177</v>
      </c>
      <c r="B2154" t="s">
        <v>4175</v>
      </c>
      <c r="C2154" s="2">
        <v>2022</v>
      </c>
      <c r="D2154" s="10">
        <v>12</v>
      </c>
      <c r="E2154" s="10">
        <v>27</v>
      </c>
      <c r="F2154" t="s">
        <v>121</v>
      </c>
      <c r="G2154">
        <v>653.88999999999999</v>
      </c>
      <c r="H2154" t="s">
        <v>69</v>
      </c>
      <c r="I2154" t="s">
        <v>199</v>
      </c>
      <c r="J2154" s="10" t="str">
        <f>VLOOKUP(I2154,Categories!A:B,2,FALSE)</f>
        <v xml:space="preserve">Home Chomthong Interest</v>
      </c>
      <c r="K2154" t="s">
        <v>178</v>
      </c>
      <c r="L2154" s="10" t="str">
        <f>VLOOKUP(K2154,Accounts!A:B,2,FALSE)</f>
        <v>SCB</v>
      </c>
      <c r="M2154" t="s">
        <v>124</v>
      </c>
      <c r="N2154" s="10"/>
      <c r="O2154" t="s">
        <v>125</v>
      </c>
      <c r="Q2154" t="s">
        <v>126</v>
      </c>
      <c r="R2154" t="s">
        <v>124</v>
      </c>
      <c r="S2154" t="b">
        <v>0</v>
      </c>
      <c r="T2154" t="s">
        <v>124</v>
      </c>
    </row>
    <row r="2155">
      <c r="A2155" t="s">
        <v>4178</v>
      </c>
      <c r="B2155" t="s">
        <v>4175</v>
      </c>
      <c r="C2155" s="2">
        <v>2022</v>
      </c>
      <c r="D2155" s="10">
        <v>12</v>
      </c>
      <c r="E2155" s="10">
        <v>27</v>
      </c>
      <c r="F2155" t="s">
        <v>121</v>
      </c>
      <c r="G2155">
        <v>110.73</v>
      </c>
      <c r="H2155" t="s">
        <v>69</v>
      </c>
      <c r="I2155" t="s">
        <v>443</v>
      </c>
      <c r="J2155" s="10" t="str">
        <f>VLOOKUP(I2155,Categories!A:B,2,FALSE)</f>
        <v xml:space="preserve">City SV Interest</v>
      </c>
      <c r="K2155" t="s">
        <v>178</v>
      </c>
      <c r="L2155" s="10" t="str">
        <f>VLOOKUP(K2155,Accounts!A:B,2,FALSE)</f>
        <v>SCB</v>
      </c>
      <c r="M2155" t="s">
        <v>124</v>
      </c>
      <c r="N2155" s="10"/>
      <c r="O2155" t="s">
        <v>125</v>
      </c>
      <c r="Q2155" t="s">
        <v>126</v>
      </c>
      <c r="R2155" t="s">
        <v>124</v>
      </c>
      <c r="S2155" t="b">
        <v>0</v>
      </c>
      <c r="T2155" t="s">
        <v>124</v>
      </c>
    </row>
    <row r="2156">
      <c r="A2156" t="s">
        <v>4179</v>
      </c>
      <c r="B2156" t="s">
        <v>4175</v>
      </c>
      <c r="C2156" s="2">
        <v>2022</v>
      </c>
      <c r="D2156" s="10">
        <v>12</v>
      </c>
      <c r="E2156" s="10">
        <v>27</v>
      </c>
      <c r="F2156" t="s">
        <v>121</v>
      </c>
      <c r="G2156">
        <v>103320</v>
      </c>
      <c r="H2156" t="s">
        <v>206</v>
      </c>
      <c r="I2156" t="s">
        <v>207</v>
      </c>
      <c r="J2156" s="10" t="str">
        <f>VLOOKUP(I2156,Categories!A:B,2,FALSE)</f>
        <v>Salary</v>
      </c>
      <c r="K2156" t="s">
        <v>178</v>
      </c>
      <c r="L2156" s="10" t="str">
        <f>VLOOKUP(K2156,Accounts!A:B,2,FALSE)</f>
        <v>SCB</v>
      </c>
      <c r="M2156" t="s">
        <v>124</v>
      </c>
      <c r="N2156" s="10"/>
      <c r="O2156" t="s">
        <v>125</v>
      </c>
      <c r="Q2156" t="s">
        <v>126</v>
      </c>
      <c r="R2156" t="s">
        <v>124</v>
      </c>
      <c r="S2156" t="b">
        <v>0</v>
      </c>
      <c r="T2156" t="s">
        <v>124</v>
      </c>
    </row>
    <row r="2157">
      <c r="A2157" t="s">
        <v>4180</v>
      </c>
      <c r="B2157" t="s">
        <v>4175</v>
      </c>
      <c r="C2157" s="2">
        <v>2022</v>
      </c>
      <c r="D2157" s="10">
        <v>12</v>
      </c>
      <c r="E2157" s="10">
        <v>27</v>
      </c>
      <c r="F2157" t="s">
        <v>121</v>
      </c>
      <c r="G2157">
        <v>500</v>
      </c>
      <c r="H2157" t="s">
        <v>128</v>
      </c>
      <c r="I2157" t="s">
        <v>136</v>
      </c>
      <c r="J2157" s="10" t="str">
        <f>VLOOKUP(I2157,Categories!A:B,2,FALSE)</f>
        <v>อื่นๆ</v>
      </c>
      <c r="K2157" t="s">
        <v>178</v>
      </c>
      <c r="L2157" s="10" t="str">
        <f>VLOOKUP(K2157,Accounts!A:B,2,FALSE)</f>
        <v>SCB</v>
      </c>
      <c r="M2157" t="s">
        <v>201</v>
      </c>
      <c r="N2157" s="10" t="str">
        <f>VLOOKUP(M2157,Accounts!A:B,2,FALSE)</f>
        <v>Coop</v>
      </c>
      <c r="O2157" t="s">
        <v>125</v>
      </c>
      <c r="Q2157" t="s">
        <v>126</v>
      </c>
      <c r="R2157" t="s">
        <v>124</v>
      </c>
      <c r="S2157" t="b">
        <v>0</v>
      </c>
      <c r="T2157" t="s">
        <v>124</v>
      </c>
    </row>
    <row r="2158">
      <c r="A2158" t="s">
        <v>4181</v>
      </c>
      <c r="B2158" t="s">
        <v>4175</v>
      </c>
      <c r="C2158" s="2">
        <v>2022</v>
      </c>
      <c r="D2158" s="10">
        <v>12</v>
      </c>
      <c r="E2158" s="10">
        <v>27</v>
      </c>
      <c r="F2158" t="s">
        <v>121</v>
      </c>
      <c r="G2158">
        <v>9240</v>
      </c>
      <c r="H2158" t="s">
        <v>128</v>
      </c>
      <c r="I2158" t="s">
        <v>136</v>
      </c>
      <c r="J2158" s="10" t="str">
        <f>VLOOKUP(I2158,Categories!A:B,2,FALSE)</f>
        <v>อื่นๆ</v>
      </c>
      <c r="K2158" t="s">
        <v>178</v>
      </c>
      <c r="L2158" s="10" t="str">
        <f>VLOOKUP(K2158,Accounts!A:B,2,FALSE)</f>
        <v>SCB</v>
      </c>
      <c r="M2158" t="s">
        <v>1246</v>
      </c>
      <c r="N2158" s="10" t="str">
        <f>VLOOKUP(M2158,Accounts!A:B,2,FALSE)</f>
        <v xml:space="preserve">Car Loan</v>
      </c>
      <c r="O2158" t="s">
        <v>125</v>
      </c>
      <c r="Q2158" t="s">
        <v>126</v>
      </c>
      <c r="R2158" t="s">
        <v>124</v>
      </c>
      <c r="S2158" t="b">
        <v>0</v>
      </c>
      <c r="T2158" t="s">
        <v>124</v>
      </c>
    </row>
    <row r="2159">
      <c r="A2159" t="s">
        <v>4182</v>
      </c>
      <c r="B2159" t="s">
        <v>4175</v>
      </c>
      <c r="C2159" s="2">
        <v>2022</v>
      </c>
      <c r="D2159" s="10">
        <v>12</v>
      </c>
      <c r="E2159" s="10">
        <v>27</v>
      </c>
      <c r="F2159" t="s">
        <v>121</v>
      </c>
      <c r="G2159">
        <v>505.93000000000001</v>
      </c>
      <c r="H2159" t="s">
        <v>69</v>
      </c>
      <c r="I2159" t="s">
        <v>195</v>
      </c>
      <c r="J2159" s="10" t="str">
        <f>VLOOKUP(I2159,Categories!A:B,2,FALSE)</f>
        <v>Tax</v>
      </c>
      <c r="K2159" t="s">
        <v>178</v>
      </c>
      <c r="L2159" s="10" t="str">
        <f>VLOOKUP(K2159,Accounts!A:B,2,FALSE)</f>
        <v>SCB</v>
      </c>
      <c r="M2159" t="s">
        <v>124</v>
      </c>
      <c r="N2159" s="10"/>
      <c r="O2159" t="s">
        <v>125</v>
      </c>
      <c r="Q2159" t="s">
        <v>126</v>
      </c>
      <c r="R2159" t="s">
        <v>124</v>
      </c>
      <c r="S2159" t="b">
        <v>0</v>
      </c>
      <c r="T2159" t="s">
        <v>124</v>
      </c>
    </row>
    <row r="2160">
      <c r="A2160" t="s">
        <v>4183</v>
      </c>
      <c r="B2160" t="s">
        <v>4175</v>
      </c>
      <c r="C2160" s="2">
        <v>2022</v>
      </c>
      <c r="D2160" s="10">
        <v>12</v>
      </c>
      <c r="E2160" s="10">
        <v>27</v>
      </c>
      <c r="F2160" t="s">
        <v>3208</v>
      </c>
      <c r="G2160">
        <v>200000</v>
      </c>
      <c r="H2160" t="s">
        <v>128</v>
      </c>
      <c r="I2160" t="s">
        <v>136</v>
      </c>
      <c r="J2160" s="10" t="str">
        <f>VLOOKUP(I2160,Categories!A:B,2,FALSE)</f>
        <v>อื่นๆ</v>
      </c>
      <c r="K2160" t="s">
        <v>178</v>
      </c>
      <c r="L2160" s="10" t="str">
        <f>VLOOKUP(K2160,Accounts!A:B,2,FALSE)</f>
        <v>SCB</v>
      </c>
      <c r="M2160" t="s">
        <v>123</v>
      </c>
      <c r="N2160" s="10" t="str">
        <f>VLOOKUP(M2160,Accounts!A:B,2,FALSE)</f>
        <v>KBank</v>
      </c>
      <c r="O2160" t="s">
        <v>125</v>
      </c>
      <c r="Q2160" t="s">
        <v>126</v>
      </c>
      <c r="R2160" t="s">
        <v>124</v>
      </c>
      <c r="S2160" t="b">
        <v>0</v>
      </c>
      <c r="T2160" t="s">
        <v>124</v>
      </c>
    </row>
    <row r="2161">
      <c r="A2161" t="s">
        <v>4184</v>
      </c>
      <c r="B2161" t="s">
        <v>4175</v>
      </c>
      <c r="C2161" s="2">
        <v>2022</v>
      </c>
      <c r="D2161" s="10">
        <v>12</v>
      </c>
      <c r="E2161" s="10">
        <v>27</v>
      </c>
      <c r="F2161" t="s">
        <v>4185</v>
      </c>
      <c r="G2161">
        <v>110</v>
      </c>
      <c r="H2161" t="s">
        <v>69</v>
      </c>
      <c r="I2161" t="s">
        <v>150</v>
      </c>
      <c r="J2161" s="10" t="str">
        <f>VLOOKUP(I2161,Categories!A:B,2,FALSE)</f>
        <v xml:space="preserve">Food &amp; Coff</v>
      </c>
      <c r="K2161" t="s">
        <v>2317</v>
      </c>
      <c r="L2161" s="10" t="str">
        <f>VLOOKUP(K2161,Accounts!A:B,2,FALSE)</f>
        <v xml:space="preserve">Marriage account</v>
      </c>
      <c r="M2161" t="s">
        <v>124</v>
      </c>
      <c r="N2161" s="10"/>
      <c r="O2161" t="s">
        <v>125</v>
      </c>
      <c r="Q2161" t="s">
        <v>126</v>
      </c>
      <c r="R2161" t="s">
        <v>124</v>
      </c>
      <c r="S2161" t="b">
        <v>0</v>
      </c>
      <c r="T2161" t="s">
        <v>124</v>
      </c>
    </row>
    <row r="2162">
      <c r="A2162" t="s">
        <v>4186</v>
      </c>
      <c r="B2162" t="s">
        <v>4175</v>
      </c>
      <c r="C2162" s="2">
        <v>2022</v>
      </c>
      <c r="D2162" s="10">
        <v>12</v>
      </c>
      <c r="E2162" s="10">
        <v>27</v>
      </c>
      <c r="F2162" t="s">
        <v>3816</v>
      </c>
      <c r="G2162">
        <v>55</v>
      </c>
      <c r="H2162" t="s">
        <v>69</v>
      </c>
      <c r="I2162" t="s">
        <v>150</v>
      </c>
      <c r="J2162" s="10" t="str">
        <f>VLOOKUP(I2162,Categories!A:B,2,FALSE)</f>
        <v xml:space="preserve">Food &amp; Coff</v>
      </c>
      <c r="K2162" t="s">
        <v>178</v>
      </c>
      <c r="L2162" s="10" t="str">
        <f>VLOOKUP(K2162,Accounts!A:B,2,FALSE)</f>
        <v>SCB</v>
      </c>
      <c r="M2162" t="s">
        <v>124</v>
      </c>
      <c r="N2162" s="10"/>
      <c r="O2162" t="s">
        <v>125</v>
      </c>
      <c r="Q2162" t="s">
        <v>126</v>
      </c>
      <c r="R2162" t="s">
        <v>124</v>
      </c>
      <c r="S2162" t="b">
        <v>0</v>
      </c>
      <c r="T2162" t="s">
        <v>124</v>
      </c>
    </row>
    <row r="2163">
      <c r="A2163" t="s">
        <v>4187</v>
      </c>
      <c r="B2163" t="s">
        <v>4175</v>
      </c>
      <c r="C2163" s="2">
        <v>2022</v>
      </c>
      <c r="D2163" s="10">
        <v>12</v>
      </c>
      <c r="E2163" s="10">
        <v>27</v>
      </c>
      <c r="F2163" t="s">
        <v>189</v>
      </c>
      <c r="G2163">
        <v>124</v>
      </c>
      <c r="H2163" t="s">
        <v>69</v>
      </c>
      <c r="I2163" t="s">
        <v>150</v>
      </c>
      <c r="J2163" s="10" t="str">
        <f>VLOOKUP(I2163,Categories!A:B,2,FALSE)</f>
        <v xml:space="preserve">Food &amp; Coff</v>
      </c>
      <c r="K2163" t="s">
        <v>2317</v>
      </c>
      <c r="L2163" s="10" t="str">
        <f>VLOOKUP(K2163,Accounts!A:B,2,FALSE)</f>
        <v xml:space="preserve">Marriage account</v>
      </c>
      <c r="M2163" t="s">
        <v>124</v>
      </c>
      <c r="N2163" s="10"/>
      <c r="O2163" t="s">
        <v>125</v>
      </c>
      <c r="Q2163" t="s">
        <v>126</v>
      </c>
      <c r="R2163" t="s">
        <v>124</v>
      </c>
      <c r="S2163" t="b">
        <v>0</v>
      </c>
      <c r="T2163" t="s">
        <v>124</v>
      </c>
    </row>
    <row r="2164">
      <c r="A2164" t="s">
        <v>4188</v>
      </c>
      <c r="B2164" t="s">
        <v>4175</v>
      </c>
      <c r="C2164" s="2">
        <v>2022</v>
      </c>
      <c r="D2164" s="10">
        <v>12</v>
      </c>
      <c r="E2164" s="10">
        <v>27</v>
      </c>
      <c r="F2164" t="s">
        <v>942</v>
      </c>
      <c r="G2164">
        <v>310</v>
      </c>
      <c r="H2164" t="s">
        <v>69</v>
      </c>
      <c r="I2164" t="s">
        <v>150</v>
      </c>
      <c r="J2164" s="10" t="str">
        <f>VLOOKUP(I2164,Categories!A:B,2,FALSE)</f>
        <v xml:space="preserve">Food &amp; Coff</v>
      </c>
      <c r="K2164" t="s">
        <v>2317</v>
      </c>
      <c r="L2164" s="10" t="str">
        <f>VLOOKUP(K2164,Accounts!A:B,2,FALSE)</f>
        <v xml:space="preserve">Marriage account</v>
      </c>
      <c r="M2164" t="s">
        <v>124</v>
      </c>
      <c r="N2164" s="10"/>
      <c r="O2164" t="s">
        <v>125</v>
      </c>
      <c r="Q2164" t="s">
        <v>126</v>
      </c>
      <c r="R2164" t="s">
        <v>124</v>
      </c>
      <c r="S2164" t="b">
        <v>0</v>
      </c>
      <c r="T2164" t="s">
        <v>124</v>
      </c>
    </row>
    <row r="2165">
      <c r="A2165" t="s">
        <v>4189</v>
      </c>
      <c r="B2165" t="s">
        <v>4175</v>
      </c>
      <c r="C2165" s="2">
        <v>2022</v>
      </c>
      <c r="D2165" s="10">
        <v>12</v>
      </c>
      <c r="E2165" s="10">
        <v>27</v>
      </c>
      <c r="F2165" t="s">
        <v>4190</v>
      </c>
      <c r="G2165">
        <v>1500</v>
      </c>
      <c r="H2165" t="s">
        <v>128</v>
      </c>
      <c r="I2165" t="s">
        <v>136</v>
      </c>
      <c r="J2165" s="10" t="str">
        <f>VLOOKUP(I2165,Categories!A:B,2,FALSE)</f>
        <v>อื่นๆ</v>
      </c>
      <c r="K2165" t="s">
        <v>123</v>
      </c>
      <c r="L2165" s="10" t="str">
        <f>VLOOKUP(K2165,Accounts!A:B,2,FALSE)</f>
        <v>KBank</v>
      </c>
      <c r="M2165" t="s">
        <v>2349</v>
      </c>
      <c r="N2165" s="10" t="str">
        <f>VLOOKUP(M2165,Accounts!A:B,2,FALSE)</f>
        <v>Bluewallet</v>
      </c>
      <c r="O2165" t="s">
        <v>125</v>
      </c>
      <c r="Q2165" t="s">
        <v>126</v>
      </c>
      <c r="R2165" t="s">
        <v>124</v>
      </c>
      <c r="S2165" t="b">
        <v>0</v>
      </c>
      <c r="T2165" t="s">
        <v>124</v>
      </c>
    </row>
    <row r="2166">
      <c r="A2166" t="s">
        <v>4191</v>
      </c>
      <c r="B2166" t="s">
        <v>4192</v>
      </c>
      <c r="C2166" s="2">
        <v>2022</v>
      </c>
      <c r="D2166" s="10">
        <v>12</v>
      </c>
      <c r="E2166" s="10">
        <v>26</v>
      </c>
      <c r="F2166" t="s">
        <v>4193</v>
      </c>
      <c r="G2166">
        <v>55</v>
      </c>
      <c r="H2166" t="s">
        <v>69</v>
      </c>
      <c r="I2166" t="s">
        <v>150</v>
      </c>
      <c r="J2166" s="10" t="str">
        <f>VLOOKUP(I2166,Categories!A:B,2,FALSE)</f>
        <v xml:space="preserve">Food &amp; Coff</v>
      </c>
      <c r="K2166" t="s">
        <v>178</v>
      </c>
      <c r="L2166" s="10" t="str">
        <f>VLOOKUP(K2166,Accounts!A:B,2,FALSE)</f>
        <v>SCB</v>
      </c>
      <c r="M2166" t="s">
        <v>124</v>
      </c>
      <c r="N2166" s="10"/>
      <c r="O2166" t="s">
        <v>125</v>
      </c>
      <c r="Q2166" t="s">
        <v>126</v>
      </c>
      <c r="R2166" t="s">
        <v>124</v>
      </c>
      <c r="S2166" t="b">
        <v>0</v>
      </c>
      <c r="T2166" t="s">
        <v>124</v>
      </c>
    </row>
    <row r="2167">
      <c r="A2167" t="s">
        <v>4194</v>
      </c>
      <c r="B2167" t="s">
        <v>4195</v>
      </c>
      <c r="C2167" s="2">
        <v>2022</v>
      </c>
      <c r="D2167" s="10">
        <v>12</v>
      </c>
      <c r="E2167" s="10">
        <v>25</v>
      </c>
      <c r="F2167" t="s">
        <v>2436</v>
      </c>
      <c r="G2167">
        <v>1286.5599999999999</v>
      </c>
      <c r="H2167" t="s">
        <v>206</v>
      </c>
      <c r="I2167" t="s">
        <v>281</v>
      </c>
      <c r="J2167" s="10" t="str">
        <f>VLOOKUP(I2167,Categories!A:B,2,FALSE)</f>
        <v>Others</v>
      </c>
      <c r="K2167" t="s">
        <v>178</v>
      </c>
      <c r="L2167" s="10" t="str">
        <f>VLOOKUP(K2167,Accounts!A:B,2,FALSE)</f>
        <v>SCB</v>
      </c>
      <c r="M2167" t="s">
        <v>124</v>
      </c>
      <c r="N2167" s="10"/>
      <c r="O2167" t="s">
        <v>125</v>
      </c>
      <c r="Q2167" t="s">
        <v>126</v>
      </c>
      <c r="R2167" t="s">
        <v>124</v>
      </c>
      <c r="S2167" t="b">
        <v>0</v>
      </c>
      <c r="T2167" t="s">
        <v>124</v>
      </c>
    </row>
    <row r="2168">
      <c r="A2168" t="s">
        <v>4196</v>
      </c>
      <c r="B2168" t="s">
        <v>4195</v>
      </c>
      <c r="C2168" s="2">
        <v>2022</v>
      </c>
      <c r="D2168" s="10">
        <v>12</v>
      </c>
      <c r="E2168" s="10">
        <v>25</v>
      </c>
      <c r="F2168" t="s">
        <v>3950</v>
      </c>
      <c r="G2168">
        <v>970</v>
      </c>
      <c r="H2168" t="s">
        <v>128</v>
      </c>
      <c r="I2168" t="s">
        <v>136</v>
      </c>
      <c r="J2168" s="10" t="str">
        <f>VLOOKUP(I2168,Categories!A:B,2,FALSE)</f>
        <v>อื่นๆ</v>
      </c>
      <c r="K2168" t="s">
        <v>1308</v>
      </c>
      <c r="L2168" s="10" t="str">
        <f>VLOOKUP(K2168,Accounts!A:B,2,FALSE)</f>
        <v xml:space="preserve">UOB Privilages</v>
      </c>
      <c r="M2168" t="s">
        <v>131</v>
      </c>
      <c r="N2168" s="10" t="str">
        <f>VLOOKUP(M2168,Accounts!A:B,2,FALSE)</f>
        <v xml:space="preserve">Advance Paid</v>
      </c>
      <c r="O2168" t="s">
        <v>3328</v>
      </c>
      <c r="Q2168" t="s">
        <v>126</v>
      </c>
      <c r="R2168" t="s">
        <v>124</v>
      </c>
      <c r="S2168" t="b">
        <v>0</v>
      </c>
      <c r="T2168" t="s">
        <v>124</v>
      </c>
    </row>
    <row r="2169">
      <c r="A2169" t="s">
        <v>4197</v>
      </c>
      <c r="B2169" t="s">
        <v>4198</v>
      </c>
      <c r="C2169" s="2">
        <v>2022</v>
      </c>
      <c r="D2169" s="10">
        <v>12</v>
      </c>
      <c r="E2169" s="10">
        <v>24</v>
      </c>
      <c r="F2169" t="s">
        <v>2436</v>
      </c>
      <c r="G2169">
        <v>300</v>
      </c>
      <c r="H2169" t="s">
        <v>128</v>
      </c>
      <c r="I2169" t="s">
        <v>136</v>
      </c>
      <c r="J2169" s="10" t="str">
        <f>VLOOKUP(I2169,Categories!A:B,2,FALSE)</f>
        <v>อื่นๆ</v>
      </c>
      <c r="K2169" t="s">
        <v>178</v>
      </c>
      <c r="L2169" s="10" t="str">
        <f>VLOOKUP(K2169,Accounts!A:B,2,FALSE)</f>
        <v>SCB</v>
      </c>
      <c r="M2169" t="s">
        <v>893</v>
      </c>
      <c r="N2169" s="10" t="str">
        <f>VLOOKUP(M2169,Accounts!A:B,2,FALSE)</f>
        <v>Shopee</v>
      </c>
      <c r="O2169" t="s">
        <v>125</v>
      </c>
      <c r="Q2169" t="s">
        <v>126</v>
      </c>
      <c r="R2169" t="s">
        <v>124</v>
      </c>
      <c r="S2169" t="b">
        <v>0</v>
      </c>
      <c r="T2169" t="s">
        <v>124</v>
      </c>
    </row>
    <row r="2170">
      <c r="A2170" t="s">
        <v>4199</v>
      </c>
      <c r="B2170" t="s">
        <v>4200</v>
      </c>
      <c r="C2170" s="2">
        <v>2022</v>
      </c>
      <c r="D2170" s="10">
        <v>12</v>
      </c>
      <c r="E2170" s="10">
        <v>23</v>
      </c>
      <c r="F2170" t="s">
        <v>4201</v>
      </c>
      <c r="G2170">
        <v>50</v>
      </c>
      <c r="H2170" t="s">
        <v>69</v>
      </c>
      <c r="I2170" t="s">
        <v>150</v>
      </c>
      <c r="J2170" s="10" t="str">
        <f>VLOOKUP(I2170,Categories!A:B,2,FALSE)</f>
        <v xml:space="preserve">Food &amp; Coff</v>
      </c>
      <c r="K2170" t="s">
        <v>178</v>
      </c>
      <c r="L2170" s="10" t="str">
        <f>VLOOKUP(K2170,Accounts!A:B,2,FALSE)</f>
        <v>SCB</v>
      </c>
      <c r="M2170" t="s">
        <v>124</v>
      </c>
      <c r="N2170" s="10"/>
      <c r="O2170" t="s">
        <v>125</v>
      </c>
      <c r="Q2170" t="s">
        <v>126</v>
      </c>
      <c r="R2170" t="s">
        <v>124</v>
      </c>
      <c r="S2170" t="b">
        <v>0</v>
      </c>
      <c r="T2170" t="s">
        <v>124</v>
      </c>
    </row>
    <row r="2171">
      <c r="A2171" t="s">
        <v>4202</v>
      </c>
      <c r="B2171" t="s">
        <v>4200</v>
      </c>
      <c r="C2171" s="2">
        <v>2022</v>
      </c>
      <c r="D2171" s="10">
        <v>12</v>
      </c>
      <c r="E2171" s="10">
        <v>23</v>
      </c>
      <c r="F2171" t="s">
        <v>3725</v>
      </c>
      <c r="G2171">
        <v>115</v>
      </c>
      <c r="H2171" t="s">
        <v>69</v>
      </c>
      <c r="I2171" t="s">
        <v>150</v>
      </c>
      <c r="J2171" s="10" t="str">
        <f>VLOOKUP(I2171,Categories!A:B,2,FALSE)</f>
        <v xml:space="preserve">Food &amp; Coff</v>
      </c>
      <c r="K2171" t="s">
        <v>2317</v>
      </c>
      <c r="L2171" s="10" t="str">
        <f>VLOOKUP(K2171,Accounts!A:B,2,FALSE)</f>
        <v xml:space="preserve">Marriage account</v>
      </c>
      <c r="M2171" t="s">
        <v>124</v>
      </c>
      <c r="N2171" s="10"/>
      <c r="O2171" t="s">
        <v>125</v>
      </c>
      <c r="Q2171" t="s">
        <v>126</v>
      </c>
      <c r="R2171" t="s">
        <v>124</v>
      </c>
      <c r="S2171" t="b">
        <v>0</v>
      </c>
      <c r="T2171" t="s">
        <v>124</v>
      </c>
    </row>
    <row r="2172">
      <c r="A2172" t="s">
        <v>4203</v>
      </c>
      <c r="B2172" t="s">
        <v>4200</v>
      </c>
      <c r="C2172" s="2">
        <v>2022</v>
      </c>
      <c r="D2172" s="10">
        <v>12</v>
      </c>
      <c r="E2172" s="10">
        <v>23</v>
      </c>
      <c r="F2172" t="s">
        <v>603</v>
      </c>
      <c r="G2172">
        <v>75</v>
      </c>
      <c r="H2172" t="s">
        <v>69</v>
      </c>
      <c r="I2172" t="s">
        <v>150</v>
      </c>
      <c r="J2172" s="10" t="str">
        <f>VLOOKUP(I2172,Categories!A:B,2,FALSE)</f>
        <v xml:space="preserve">Food &amp; Coff</v>
      </c>
      <c r="K2172" t="s">
        <v>178</v>
      </c>
      <c r="L2172" s="10" t="str">
        <f>VLOOKUP(K2172,Accounts!A:B,2,FALSE)</f>
        <v>SCB</v>
      </c>
      <c r="M2172" t="s">
        <v>124</v>
      </c>
      <c r="N2172" s="10"/>
      <c r="O2172" t="s">
        <v>125</v>
      </c>
      <c r="Q2172" t="s">
        <v>126</v>
      </c>
      <c r="R2172" t="s">
        <v>124</v>
      </c>
      <c r="S2172" t="b">
        <v>0</v>
      </c>
      <c r="T2172" t="s">
        <v>124</v>
      </c>
    </row>
    <row r="2173">
      <c r="A2173" t="s">
        <v>4204</v>
      </c>
      <c r="B2173" t="s">
        <v>4205</v>
      </c>
      <c r="C2173" s="2">
        <v>2022</v>
      </c>
      <c r="D2173" s="10">
        <v>12</v>
      </c>
      <c r="E2173" s="10">
        <v>22</v>
      </c>
      <c r="F2173" t="s">
        <v>2752</v>
      </c>
      <c r="G2173">
        <v>55</v>
      </c>
      <c r="H2173" t="s">
        <v>69</v>
      </c>
      <c r="I2173" t="s">
        <v>150</v>
      </c>
      <c r="J2173" s="10" t="str">
        <f>VLOOKUP(I2173,Categories!A:B,2,FALSE)</f>
        <v xml:space="preserve">Food &amp; Coff</v>
      </c>
      <c r="K2173" t="s">
        <v>178</v>
      </c>
      <c r="L2173" s="10" t="str">
        <f>VLOOKUP(K2173,Accounts!A:B,2,FALSE)</f>
        <v>SCB</v>
      </c>
      <c r="M2173" t="s">
        <v>124</v>
      </c>
      <c r="N2173" s="10"/>
      <c r="O2173" t="s">
        <v>125</v>
      </c>
      <c r="Q2173" t="s">
        <v>126</v>
      </c>
      <c r="R2173" t="s">
        <v>124</v>
      </c>
      <c r="S2173" t="b">
        <v>0</v>
      </c>
      <c r="T2173" t="s">
        <v>124</v>
      </c>
    </row>
    <row r="2174">
      <c r="A2174" t="s">
        <v>4206</v>
      </c>
      <c r="B2174" t="s">
        <v>4205</v>
      </c>
      <c r="C2174" s="2">
        <v>2022</v>
      </c>
      <c r="D2174" s="10">
        <v>12</v>
      </c>
      <c r="E2174" s="10">
        <v>22</v>
      </c>
      <c r="F2174" t="s">
        <v>994</v>
      </c>
      <c r="G2174">
        <v>62</v>
      </c>
      <c r="H2174" t="s">
        <v>69</v>
      </c>
      <c r="I2174" t="s">
        <v>150</v>
      </c>
      <c r="J2174" s="10" t="str">
        <f>VLOOKUP(I2174,Categories!A:B,2,FALSE)</f>
        <v xml:space="preserve">Food &amp; Coff</v>
      </c>
      <c r="K2174" t="s">
        <v>178</v>
      </c>
      <c r="L2174" s="10" t="str">
        <f>VLOOKUP(K2174,Accounts!A:B,2,FALSE)</f>
        <v>SCB</v>
      </c>
      <c r="M2174" t="s">
        <v>124</v>
      </c>
      <c r="N2174" s="10"/>
      <c r="O2174" t="s">
        <v>125</v>
      </c>
      <c r="Q2174" t="s">
        <v>126</v>
      </c>
      <c r="R2174" t="s">
        <v>124</v>
      </c>
      <c r="S2174" t="b">
        <v>0</v>
      </c>
      <c r="T2174" t="s">
        <v>124</v>
      </c>
    </row>
    <row r="2175">
      <c r="A2175" t="s">
        <v>4207</v>
      </c>
      <c r="B2175" t="s">
        <v>4208</v>
      </c>
      <c r="C2175" s="2">
        <v>2022</v>
      </c>
      <c r="D2175" s="10">
        <v>12</v>
      </c>
      <c r="E2175" s="10">
        <v>20</v>
      </c>
      <c r="F2175" t="s">
        <v>2752</v>
      </c>
      <c r="G2175">
        <v>50</v>
      </c>
      <c r="H2175" t="s">
        <v>69</v>
      </c>
      <c r="I2175" t="s">
        <v>150</v>
      </c>
      <c r="J2175" s="10" t="str">
        <f>VLOOKUP(I2175,Categories!A:B,2,FALSE)</f>
        <v xml:space="preserve">Food &amp; Coff</v>
      </c>
      <c r="K2175" t="s">
        <v>178</v>
      </c>
      <c r="L2175" s="10" t="str">
        <f>VLOOKUP(K2175,Accounts!A:B,2,FALSE)</f>
        <v>SCB</v>
      </c>
      <c r="M2175" t="s">
        <v>124</v>
      </c>
      <c r="N2175" s="10"/>
      <c r="O2175" t="s">
        <v>125</v>
      </c>
      <c r="Q2175" t="s">
        <v>126</v>
      </c>
      <c r="R2175" t="s">
        <v>124</v>
      </c>
      <c r="S2175" t="b">
        <v>0</v>
      </c>
      <c r="T2175" t="s">
        <v>124</v>
      </c>
    </row>
    <row r="2176">
      <c r="A2176" t="s">
        <v>4209</v>
      </c>
      <c r="B2176" t="s">
        <v>4208</v>
      </c>
      <c r="C2176" s="2">
        <v>2022</v>
      </c>
      <c r="D2176" s="10">
        <v>12</v>
      </c>
      <c r="E2176" s="10">
        <v>20</v>
      </c>
      <c r="F2176" t="s">
        <v>212</v>
      </c>
      <c r="G2176">
        <v>234</v>
      </c>
      <c r="H2176" t="s">
        <v>69</v>
      </c>
      <c r="I2176" t="s">
        <v>150</v>
      </c>
      <c r="J2176" s="10" t="str">
        <f>VLOOKUP(I2176,Categories!A:B,2,FALSE)</f>
        <v xml:space="preserve">Food &amp; Coff</v>
      </c>
      <c r="K2176" t="s">
        <v>2317</v>
      </c>
      <c r="L2176" s="10" t="str">
        <f>VLOOKUP(K2176,Accounts!A:B,2,FALSE)</f>
        <v xml:space="preserve">Marriage account</v>
      </c>
      <c r="M2176" t="s">
        <v>124</v>
      </c>
      <c r="N2176" s="10"/>
      <c r="O2176" t="s">
        <v>125</v>
      </c>
      <c r="Q2176" t="s">
        <v>126</v>
      </c>
      <c r="R2176" t="s">
        <v>124</v>
      </c>
      <c r="S2176" t="b">
        <v>0</v>
      </c>
      <c r="T2176" t="s">
        <v>124</v>
      </c>
    </row>
    <row r="2177">
      <c r="A2177" t="s">
        <v>4210</v>
      </c>
      <c r="B2177" t="s">
        <v>4208</v>
      </c>
      <c r="C2177" s="2">
        <v>2022</v>
      </c>
      <c r="D2177" s="10">
        <v>12</v>
      </c>
      <c r="E2177" s="10">
        <v>20</v>
      </c>
      <c r="F2177" t="s">
        <v>212</v>
      </c>
      <c r="G2177">
        <v>120</v>
      </c>
      <c r="H2177" t="s">
        <v>69</v>
      </c>
      <c r="I2177" t="s">
        <v>150</v>
      </c>
      <c r="J2177" s="10" t="str">
        <f>VLOOKUP(I2177,Categories!A:B,2,FALSE)</f>
        <v xml:space="preserve">Food &amp; Coff</v>
      </c>
      <c r="K2177" t="s">
        <v>2317</v>
      </c>
      <c r="L2177" s="10" t="str">
        <f>VLOOKUP(K2177,Accounts!A:B,2,FALSE)</f>
        <v xml:space="preserve">Marriage account</v>
      </c>
      <c r="M2177" t="s">
        <v>124</v>
      </c>
      <c r="N2177" s="10"/>
      <c r="O2177" t="s">
        <v>125</v>
      </c>
      <c r="Q2177" t="s">
        <v>126</v>
      </c>
      <c r="R2177" t="s">
        <v>124</v>
      </c>
      <c r="S2177" t="b">
        <v>0</v>
      </c>
      <c r="T2177" t="s">
        <v>124</v>
      </c>
    </row>
    <row r="2178">
      <c r="A2178" t="s">
        <v>4211</v>
      </c>
      <c r="B2178" t="s">
        <v>4208</v>
      </c>
      <c r="C2178" s="2">
        <v>2022</v>
      </c>
      <c r="D2178" s="10">
        <v>12</v>
      </c>
      <c r="E2178" s="10">
        <v>20</v>
      </c>
      <c r="F2178" t="s">
        <v>4167</v>
      </c>
      <c r="G2178">
        <v>1300</v>
      </c>
      <c r="H2178" t="s">
        <v>206</v>
      </c>
      <c r="I2178" t="s">
        <v>281</v>
      </c>
      <c r="J2178" s="10" t="str">
        <f>VLOOKUP(I2178,Categories!A:B,2,FALSE)</f>
        <v>Others</v>
      </c>
      <c r="K2178" t="s">
        <v>2862</v>
      </c>
      <c r="L2178" s="10" t="str">
        <f>VLOOKUP(K2178,Accounts!A:B,2,FALSE)</f>
        <v xml:space="preserve">Kbank onesiam</v>
      </c>
      <c r="M2178" t="s">
        <v>124</v>
      </c>
      <c r="N2178" s="10"/>
      <c r="O2178" t="s">
        <v>125</v>
      </c>
      <c r="Q2178" t="s">
        <v>126</v>
      </c>
      <c r="R2178" t="s">
        <v>124</v>
      </c>
      <c r="S2178" t="b">
        <v>0</v>
      </c>
      <c r="T2178" t="s">
        <v>124</v>
      </c>
    </row>
    <row r="2179">
      <c r="A2179" t="s">
        <v>4212</v>
      </c>
      <c r="B2179" t="s">
        <v>4213</v>
      </c>
      <c r="C2179" s="2">
        <v>2022</v>
      </c>
      <c r="D2179" s="10">
        <v>12</v>
      </c>
      <c r="E2179" s="10">
        <v>19</v>
      </c>
      <c r="F2179" t="s">
        <v>4214</v>
      </c>
      <c r="G2179">
        <v>55</v>
      </c>
      <c r="H2179" t="s">
        <v>69</v>
      </c>
      <c r="I2179" t="s">
        <v>150</v>
      </c>
      <c r="J2179" s="10" t="str">
        <f>VLOOKUP(I2179,Categories!A:B,2,FALSE)</f>
        <v xml:space="preserve">Food &amp; Coff</v>
      </c>
      <c r="K2179" t="s">
        <v>178</v>
      </c>
      <c r="L2179" s="10" t="str">
        <f>VLOOKUP(K2179,Accounts!A:B,2,FALSE)</f>
        <v>SCB</v>
      </c>
      <c r="M2179" t="s">
        <v>124</v>
      </c>
      <c r="N2179" s="10"/>
      <c r="O2179" t="s">
        <v>125</v>
      </c>
      <c r="Q2179" t="s">
        <v>126</v>
      </c>
      <c r="R2179" t="s">
        <v>124</v>
      </c>
      <c r="S2179" t="b">
        <v>0</v>
      </c>
      <c r="T2179" t="s">
        <v>124</v>
      </c>
    </row>
    <row r="2180">
      <c r="A2180" t="s">
        <v>4215</v>
      </c>
      <c r="B2180" t="s">
        <v>4213</v>
      </c>
      <c r="C2180" s="2">
        <v>2022</v>
      </c>
      <c r="D2180" s="10">
        <v>12</v>
      </c>
      <c r="E2180" s="10">
        <v>19</v>
      </c>
      <c r="F2180" t="s">
        <v>212</v>
      </c>
      <c r="G2180">
        <v>350</v>
      </c>
      <c r="H2180" t="s">
        <v>69</v>
      </c>
      <c r="I2180" t="s">
        <v>150</v>
      </c>
      <c r="J2180" s="10" t="str">
        <f>VLOOKUP(I2180,Categories!A:B,2,FALSE)</f>
        <v xml:space="preserve">Food &amp; Coff</v>
      </c>
      <c r="K2180" t="s">
        <v>2317</v>
      </c>
      <c r="L2180" s="10" t="str">
        <f>VLOOKUP(K2180,Accounts!A:B,2,FALSE)</f>
        <v xml:space="preserve">Marriage account</v>
      </c>
      <c r="M2180" t="s">
        <v>124</v>
      </c>
      <c r="N2180" s="10"/>
      <c r="O2180" t="s">
        <v>125</v>
      </c>
      <c r="Q2180" t="s">
        <v>126</v>
      </c>
      <c r="R2180" t="s">
        <v>124</v>
      </c>
      <c r="S2180" t="b">
        <v>0</v>
      </c>
      <c r="T2180" t="s">
        <v>124</v>
      </c>
    </row>
    <row r="2181">
      <c r="A2181" t="s">
        <v>4216</v>
      </c>
      <c r="B2181" t="s">
        <v>4217</v>
      </c>
      <c r="C2181" s="2">
        <v>2022</v>
      </c>
      <c r="D2181" s="10">
        <v>12</v>
      </c>
      <c r="E2181" s="10">
        <v>18</v>
      </c>
      <c r="F2181" t="s">
        <v>212</v>
      </c>
      <c r="G2181">
        <v>200</v>
      </c>
      <c r="H2181" t="s">
        <v>69</v>
      </c>
      <c r="I2181" t="s">
        <v>152</v>
      </c>
      <c r="J2181" s="10" t="str">
        <f>VLOOKUP(I2181,Categories!A:B,2,FALSE)</f>
        <v xml:space="preserve">Office Suit</v>
      </c>
      <c r="K2181" t="s">
        <v>178</v>
      </c>
      <c r="L2181" s="10" t="str">
        <f>VLOOKUP(K2181,Accounts!A:B,2,FALSE)</f>
        <v>SCB</v>
      </c>
      <c r="M2181" t="s">
        <v>124</v>
      </c>
      <c r="N2181" s="10"/>
      <c r="O2181" t="s">
        <v>377</v>
      </c>
      <c r="Q2181" t="s">
        <v>126</v>
      </c>
      <c r="R2181" t="s">
        <v>124</v>
      </c>
      <c r="S2181" t="b">
        <v>0</v>
      </c>
      <c r="T2181" t="s">
        <v>124</v>
      </c>
    </row>
    <row r="2182">
      <c r="A2182" t="s">
        <v>4218</v>
      </c>
      <c r="B2182" t="s">
        <v>4217</v>
      </c>
      <c r="C2182" s="2">
        <v>2022</v>
      </c>
      <c r="D2182" s="10">
        <v>12</v>
      </c>
      <c r="E2182" s="10">
        <v>18</v>
      </c>
      <c r="F2182" t="s">
        <v>4219</v>
      </c>
      <c r="G2182">
        <v>25</v>
      </c>
      <c r="H2182" t="s">
        <v>69</v>
      </c>
      <c r="I2182" t="s">
        <v>152</v>
      </c>
      <c r="J2182" s="10" t="str">
        <f>VLOOKUP(I2182,Categories!A:B,2,FALSE)</f>
        <v xml:space="preserve">Office Suit</v>
      </c>
      <c r="K2182" t="s">
        <v>178</v>
      </c>
      <c r="L2182" s="10" t="str">
        <f>VLOOKUP(K2182,Accounts!A:B,2,FALSE)</f>
        <v>SCB</v>
      </c>
      <c r="M2182" t="s">
        <v>124</v>
      </c>
      <c r="N2182" s="10"/>
      <c r="O2182" t="s">
        <v>4220</v>
      </c>
      <c r="Q2182" t="s">
        <v>126</v>
      </c>
      <c r="R2182" t="s">
        <v>124</v>
      </c>
      <c r="S2182" t="b">
        <v>0</v>
      </c>
      <c r="T2182" t="s">
        <v>124</v>
      </c>
    </row>
    <row r="2183">
      <c r="A2183" t="s">
        <v>4221</v>
      </c>
      <c r="B2183" t="s">
        <v>4217</v>
      </c>
      <c r="C2183" s="2">
        <v>2022</v>
      </c>
      <c r="D2183" s="10">
        <v>12</v>
      </c>
      <c r="E2183" s="10">
        <v>18</v>
      </c>
      <c r="F2183" t="s">
        <v>3811</v>
      </c>
      <c r="G2183">
        <v>819</v>
      </c>
      <c r="H2183" t="s">
        <v>69</v>
      </c>
      <c r="I2183" t="s">
        <v>150</v>
      </c>
      <c r="J2183" s="10" t="str">
        <f>VLOOKUP(I2183,Categories!A:B,2,FALSE)</f>
        <v xml:space="preserve">Food &amp; Coff</v>
      </c>
      <c r="K2183" t="s">
        <v>2317</v>
      </c>
      <c r="L2183" s="10" t="str">
        <f>VLOOKUP(K2183,Accounts!A:B,2,FALSE)</f>
        <v xml:space="preserve">Marriage account</v>
      </c>
      <c r="M2183" t="s">
        <v>124</v>
      </c>
      <c r="N2183" s="10"/>
      <c r="O2183" t="s">
        <v>125</v>
      </c>
      <c r="Q2183" t="s">
        <v>126</v>
      </c>
      <c r="R2183" t="s">
        <v>124</v>
      </c>
      <c r="S2183" t="b">
        <v>0</v>
      </c>
      <c r="T2183" t="s">
        <v>124</v>
      </c>
    </row>
    <row r="2184">
      <c r="A2184" t="s">
        <v>4222</v>
      </c>
      <c r="B2184" t="s">
        <v>4217</v>
      </c>
      <c r="C2184" s="2">
        <v>2022</v>
      </c>
      <c r="D2184" s="10">
        <v>12</v>
      </c>
      <c r="E2184" s="10">
        <v>18</v>
      </c>
      <c r="F2184" t="s">
        <v>3811</v>
      </c>
      <c r="G2184">
        <v>600</v>
      </c>
      <c r="H2184" t="s">
        <v>206</v>
      </c>
      <c r="I2184" t="s">
        <v>281</v>
      </c>
      <c r="J2184" s="10" t="str">
        <f>VLOOKUP(I2184,Categories!A:B,2,FALSE)</f>
        <v>Others</v>
      </c>
      <c r="K2184" t="s">
        <v>2317</v>
      </c>
      <c r="L2184" s="10" t="str">
        <f>VLOOKUP(K2184,Accounts!A:B,2,FALSE)</f>
        <v xml:space="preserve">Marriage account</v>
      </c>
      <c r="M2184" t="s">
        <v>124</v>
      </c>
      <c r="N2184" s="10"/>
      <c r="O2184" t="s">
        <v>125</v>
      </c>
      <c r="Q2184" t="s">
        <v>126</v>
      </c>
      <c r="R2184" t="s">
        <v>124</v>
      </c>
      <c r="S2184" t="b">
        <v>0</v>
      </c>
      <c r="T2184" t="s">
        <v>124</v>
      </c>
    </row>
    <row r="2185">
      <c r="A2185" t="s">
        <v>4223</v>
      </c>
      <c r="B2185" t="s">
        <v>4217</v>
      </c>
      <c r="C2185" s="2">
        <v>2022</v>
      </c>
      <c r="D2185" s="10">
        <v>12</v>
      </c>
      <c r="E2185" s="10">
        <v>18</v>
      </c>
      <c r="F2185" t="s">
        <v>3811</v>
      </c>
      <c r="G2185">
        <v>123</v>
      </c>
      <c r="H2185" t="s">
        <v>69</v>
      </c>
      <c r="I2185" t="s">
        <v>150</v>
      </c>
      <c r="J2185" s="10" t="str">
        <f>VLOOKUP(I2185,Categories!A:B,2,FALSE)</f>
        <v xml:space="preserve">Food &amp; Coff</v>
      </c>
      <c r="K2185" t="s">
        <v>2317</v>
      </c>
      <c r="L2185" s="10" t="str">
        <f>VLOOKUP(K2185,Accounts!A:B,2,FALSE)</f>
        <v xml:space="preserve">Marriage account</v>
      </c>
      <c r="M2185" t="s">
        <v>124</v>
      </c>
      <c r="N2185" s="10"/>
      <c r="O2185" t="s">
        <v>125</v>
      </c>
      <c r="Q2185" t="s">
        <v>126</v>
      </c>
      <c r="R2185" t="s">
        <v>124</v>
      </c>
      <c r="S2185" t="b">
        <v>0</v>
      </c>
      <c r="T2185" t="s">
        <v>124</v>
      </c>
    </row>
    <row r="2186">
      <c r="A2186" t="s">
        <v>4224</v>
      </c>
      <c r="B2186" t="s">
        <v>4225</v>
      </c>
      <c r="C2186" s="2">
        <v>2022</v>
      </c>
      <c r="D2186" s="10">
        <v>12</v>
      </c>
      <c r="E2186" s="10">
        <v>16</v>
      </c>
      <c r="F2186" t="s">
        <v>2554</v>
      </c>
      <c r="G2186">
        <v>87</v>
      </c>
      <c r="H2186" t="s">
        <v>69</v>
      </c>
      <c r="I2186" t="s">
        <v>150</v>
      </c>
      <c r="J2186" s="10" t="str">
        <f>VLOOKUP(I2186,Categories!A:B,2,FALSE)</f>
        <v xml:space="preserve">Food &amp; Coff</v>
      </c>
      <c r="K2186" t="s">
        <v>178</v>
      </c>
      <c r="L2186" s="10" t="str">
        <f>VLOOKUP(K2186,Accounts!A:B,2,FALSE)</f>
        <v>SCB</v>
      </c>
      <c r="M2186" t="s">
        <v>124</v>
      </c>
      <c r="N2186" s="10"/>
      <c r="O2186" t="s">
        <v>125</v>
      </c>
      <c r="Q2186" t="s">
        <v>126</v>
      </c>
      <c r="R2186" t="s">
        <v>124</v>
      </c>
      <c r="S2186" t="b">
        <v>0</v>
      </c>
      <c r="T2186" t="s">
        <v>124</v>
      </c>
    </row>
    <row r="2187">
      <c r="A2187" t="s">
        <v>4226</v>
      </c>
      <c r="B2187" t="s">
        <v>4225</v>
      </c>
      <c r="C2187" s="2">
        <v>2022</v>
      </c>
      <c r="D2187" s="10">
        <v>12</v>
      </c>
      <c r="E2187" s="10">
        <v>16</v>
      </c>
      <c r="F2187" t="s">
        <v>1193</v>
      </c>
      <c r="G2187">
        <v>519</v>
      </c>
      <c r="H2187" t="s">
        <v>69</v>
      </c>
      <c r="I2187" t="s">
        <v>3504</v>
      </c>
      <c r="J2187" s="10" t="str">
        <f>VLOOKUP(I2187,Categories!A:B,2,FALSE)</f>
        <v xml:space="preserve">Condo suppliers</v>
      </c>
      <c r="K2187" t="s">
        <v>2317</v>
      </c>
      <c r="L2187" s="10" t="str">
        <f>VLOOKUP(K2187,Accounts!A:B,2,FALSE)</f>
        <v xml:space="preserve">Marriage account</v>
      </c>
      <c r="M2187" t="s">
        <v>124</v>
      </c>
      <c r="N2187" s="10"/>
      <c r="O2187" t="s">
        <v>125</v>
      </c>
      <c r="Q2187" t="s">
        <v>126</v>
      </c>
      <c r="R2187" t="s">
        <v>124</v>
      </c>
      <c r="S2187" t="b">
        <v>0</v>
      </c>
      <c r="T2187" t="s">
        <v>124</v>
      </c>
    </row>
    <row r="2188">
      <c r="A2188" t="s">
        <v>4227</v>
      </c>
      <c r="B2188" t="s">
        <v>4225</v>
      </c>
      <c r="C2188" s="2">
        <v>2022</v>
      </c>
      <c r="D2188" s="10">
        <v>12</v>
      </c>
      <c r="E2188" s="10">
        <v>16</v>
      </c>
      <c r="F2188" t="s">
        <v>746</v>
      </c>
      <c r="G2188">
        <v>1535</v>
      </c>
      <c r="H2188" t="s">
        <v>69</v>
      </c>
      <c r="I2188" t="s">
        <v>150</v>
      </c>
      <c r="J2188" s="10" t="str">
        <f>VLOOKUP(I2188,Categories!A:B,2,FALSE)</f>
        <v xml:space="preserve">Food &amp; Coff</v>
      </c>
      <c r="K2188" t="s">
        <v>2317</v>
      </c>
      <c r="L2188" s="10" t="str">
        <f>VLOOKUP(K2188,Accounts!A:B,2,FALSE)</f>
        <v xml:space="preserve">Marriage account</v>
      </c>
      <c r="M2188" t="s">
        <v>124</v>
      </c>
      <c r="N2188" s="10"/>
      <c r="O2188" t="s">
        <v>2807</v>
      </c>
      <c r="Q2188" t="s">
        <v>126</v>
      </c>
      <c r="R2188" t="s">
        <v>124</v>
      </c>
      <c r="S2188" t="b">
        <v>0</v>
      </c>
      <c r="T2188" t="s">
        <v>124</v>
      </c>
    </row>
    <row r="2189">
      <c r="A2189" t="s">
        <v>4228</v>
      </c>
      <c r="B2189" t="s">
        <v>4225</v>
      </c>
      <c r="C2189" s="2">
        <v>2022</v>
      </c>
      <c r="D2189" s="10">
        <v>12</v>
      </c>
      <c r="E2189" s="10">
        <v>16</v>
      </c>
      <c r="F2189" t="s">
        <v>746</v>
      </c>
      <c r="G2189">
        <v>534</v>
      </c>
      <c r="H2189" t="s">
        <v>69</v>
      </c>
      <c r="I2189" t="s">
        <v>150</v>
      </c>
      <c r="J2189" s="10" t="str">
        <f>VLOOKUP(I2189,Categories!A:B,2,FALSE)</f>
        <v xml:space="preserve">Food &amp; Coff</v>
      </c>
      <c r="K2189" t="s">
        <v>2317</v>
      </c>
      <c r="L2189" s="10" t="str">
        <f>VLOOKUP(K2189,Accounts!A:B,2,FALSE)</f>
        <v xml:space="preserve">Marriage account</v>
      </c>
      <c r="M2189" t="s">
        <v>124</v>
      </c>
      <c r="N2189" s="10"/>
      <c r="O2189" t="s">
        <v>3224</v>
      </c>
      <c r="Q2189" t="s">
        <v>126</v>
      </c>
      <c r="R2189" t="s">
        <v>124</v>
      </c>
      <c r="S2189" t="b">
        <v>0</v>
      </c>
      <c r="T2189" t="s">
        <v>124</v>
      </c>
    </row>
    <row r="2190">
      <c r="A2190" t="s">
        <v>4229</v>
      </c>
      <c r="B2190" t="s">
        <v>4225</v>
      </c>
      <c r="C2190" s="2">
        <v>2022</v>
      </c>
      <c r="D2190" s="10">
        <v>12</v>
      </c>
      <c r="E2190" s="10">
        <v>16</v>
      </c>
      <c r="F2190" t="s">
        <v>746</v>
      </c>
      <c r="G2190">
        <v>926</v>
      </c>
      <c r="H2190" t="s">
        <v>69</v>
      </c>
      <c r="I2190" t="s">
        <v>150</v>
      </c>
      <c r="J2190" s="10" t="str">
        <f>VLOOKUP(I2190,Categories!A:B,2,FALSE)</f>
        <v xml:space="preserve">Food &amp; Coff</v>
      </c>
      <c r="K2190" t="s">
        <v>2317</v>
      </c>
      <c r="L2190" s="10" t="str">
        <f>VLOOKUP(K2190,Accounts!A:B,2,FALSE)</f>
        <v xml:space="preserve">Marriage account</v>
      </c>
      <c r="M2190" t="s">
        <v>124</v>
      </c>
      <c r="N2190" s="10"/>
      <c r="O2190" t="s">
        <v>4230</v>
      </c>
      <c r="Q2190" t="s">
        <v>126</v>
      </c>
      <c r="R2190" t="s">
        <v>124</v>
      </c>
      <c r="S2190" t="b">
        <v>0</v>
      </c>
      <c r="T2190" t="s">
        <v>124</v>
      </c>
    </row>
    <row r="2191">
      <c r="A2191" t="s">
        <v>4231</v>
      </c>
      <c r="B2191" t="s">
        <v>4225</v>
      </c>
      <c r="C2191" s="2">
        <v>2022</v>
      </c>
      <c r="D2191" s="10">
        <v>12</v>
      </c>
      <c r="E2191" s="10">
        <v>16</v>
      </c>
      <c r="F2191" t="s">
        <v>3653</v>
      </c>
      <c r="G2191">
        <v>1452</v>
      </c>
      <c r="H2191" t="s">
        <v>69</v>
      </c>
      <c r="I2191" t="s">
        <v>157</v>
      </c>
      <c r="J2191" s="10" t="str">
        <f>VLOOKUP(I2191,Categories!A:B,2,FALSE)</f>
        <v>Boardgame</v>
      </c>
      <c r="K2191" t="s">
        <v>178</v>
      </c>
      <c r="L2191" s="10" t="str">
        <f>VLOOKUP(K2191,Accounts!A:B,2,FALSE)</f>
        <v>SCB</v>
      </c>
      <c r="M2191" t="s">
        <v>124</v>
      </c>
      <c r="N2191" s="10"/>
      <c r="O2191" t="s">
        <v>125</v>
      </c>
      <c r="Q2191" t="s">
        <v>126</v>
      </c>
      <c r="R2191" t="s">
        <v>124</v>
      </c>
      <c r="S2191" t="b">
        <v>0</v>
      </c>
      <c r="T2191" t="s">
        <v>124</v>
      </c>
    </row>
    <row r="2192">
      <c r="A2192" t="s">
        <v>4232</v>
      </c>
      <c r="B2192" t="s">
        <v>4225</v>
      </c>
      <c r="C2192" s="2">
        <v>2022</v>
      </c>
      <c r="D2192" s="10">
        <v>12</v>
      </c>
      <c r="E2192" s="10">
        <v>16</v>
      </c>
      <c r="F2192" t="s">
        <v>2572</v>
      </c>
      <c r="G2192">
        <v>659</v>
      </c>
      <c r="H2192" t="s">
        <v>128</v>
      </c>
      <c r="I2192" t="s">
        <v>136</v>
      </c>
      <c r="J2192" s="10" t="str">
        <f>VLOOKUP(I2192,Categories!A:B,2,FALSE)</f>
        <v>อื่นๆ</v>
      </c>
      <c r="K2192" t="s">
        <v>178</v>
      </c>
      <c r="L2192" s="10" t="str">
        <f>VLOOKUP(K2192,Accounts!A:B,2,FALSE)</f>
        <v>SCB</v>
      </c>
      <c r="M2192" t="s">
        <v>131</v>
      </c>
      <c r="N2192" s="10" t="str">
        <f>VLOOKUP(M2192,Accounts!A:B,2,FALSE)</f>
        <v xml:space="preserve">Advance Paid</v>
      </c>
      <c r="O2192" t="s">
        <v>4233</v>
      </c>
      <c r="Q2192" t="s">
        <v>126</v>
      </c>
      <c r="R2192" t="s">
        <v>124</v>
      </c>
      <c r="S2192" t="b">
        <v>0</v>
      </c>
      <c r="T2192" t="s">
        <v>124</v>
      </c>
    </row>
    <row r="2193">
      <c r="A2193" t="s">
        <v>4234</v>
      </c>
      <c r="B2193" t="s">
        <v>4225</v>
      </c>
      <c r="C2193" s="2">
        <v>2022</v>
      </c>
      <c r="D2193" s="10">
        <v>12</v>
      </c>
      <c r="E2193" s="10">
        <v>16</v>
      </c>
      <c r="F2193" t="s">
        <v>2572</v>
      </c>
      <c r="G2193">
        <v>1318</v>
      </c>
      <c r="H2193" t="s">
        <v>69</v>
      </c>
      <c r="I2193" t="s">
        <v>150</v>
      </c>
      <c r="J2193" s="10" t="str">
        <f>VLOOKUP(I2193,Categories!A:B,2,FALSE)</f>
        <v xml:space="preserve">Food &amp; Coff</v>
      </c>
      <c r="K2193" t="s">
        <v>2317</v>
      </c>
      <c r="L2193" s="10" t="str">
        <f>VLOOKUP(K2193,Accounts!A:B,2,FALSE)</f>
        <v xml:space="preserve">Marriage account</v>
      </c>
      <c r="M2193" t="s">
        <v>124</v>
      </c>
      <c r="N2193" s="10"/>
      <c r="O2193" t="s">
        <v>4235</v>
      </c>
      <c r="Q2193" t="s">
        <v>126</v>
      </c>
      <c r="R2193" t="s">
        <v>124</v>
      </c>
      <c r="S2193" t="b">
        <v>0</v>
      </c>
      <c r="T2193" t="s">
        <v>124</v>
      </c>
    </row>
    <row r="2194">
      <c r="A2194" t="s">
        <v>4236</v>
      </c>
      <c r="B2194" t="s">
        <v>4225</v>
      </c>
      <c r="C2194" s="2">
        <v>2022</v>
      </c>
      <c r="D2194" s="10">
        <v>12</v>
      </c>
      <c r="E2194" s="10">
        <v>16</v>
      </c>
      <c r="F2194" t="s">
        <v>1294</v>
      </c>
      <c r="G2194">
        <v>1700</v>
      </c>
      <c r="H2194" t="s">
        <v>69</v>
      </c>
      <c r="I2194" t="s">
        <v>169</v>
      </c>
      <c r="J2194" s="10" t="str">
        <f>VLOOKUP(I2194,Categories!A:B,2,FALSE)</f>
        <v xml:space="preserve">App &amp; Game</v>
      </c>
      <c r="K2194" t="s">
        <v>178</v>
      </c>
      <c r="L2194" s="10" t="str">
        <f>VLOOKUP(K2194,Accounts!A:B,2,FALSE)</f>
        <v>SCB</v>
      </c>
      <c r="M2194" t="s">
        <v>124</v>
      </c>
      <c r="N2194" s="10"/>
      <c r="O2194" t="s">
        <v>125</v>
      </c>
      <c r="Q2194" t="s">
        <v>126</v>
      </c>
      <c r="R2194" t="s">
        <v>124</v>
      </c>
      <c r="S2194" t="b">
        <v>0</v>
      </c>
      <c r="T2194" t="s">
        <v>124</v>
      </c>
    </row>
    <row r="2195">
      <c r="A2195" t="s">
        <v>4237</v>
      </c>
      <c r="B2195" t="s">
        <v>4225</v>
      </c>
      <c r="C2195" s="2">
        <v>2022</v>
      </c>
      <c r="D2195" s="10">
        <v>12</v>
      </c>
      <c r="E2195" s="10">
        <v>16</v>
      </c>
      <c r="F2195" t="s">
        <v>4238</v>
      </c>
      <c r="G2195">
        <v>449.68000000000001</v>
      </c>
      <c r="H2195" t="s">
        <v>206</v>
      </c>
      <c r="I2195" t="s">
        <v>281</v>
      </c>
      <c r="J2195" s="10" t="str">
        <f>VLOOKUP(I2195,Categories!A:B,2,FALSE)</f>
        <v>Others</v>
      </c>
      <c r="K2195" t="s">
        <v>123</v>
      </c>
      <c r="L2195" s="10" t="str">
        <f>VLOOKUP(K2195,Accounts!A:B,2,FALSE)</f>
        <v>KBank</v>
      </c>
      <c r="M2195" t="s">
        <v>124</v>
      </c>
      <c r="N2195" s="10"/>
      <c r="O2195" t="s">
        <v>125</v>
      </c>
      <c r="Q2195" t="s">
        <v>126</v>
      </c>
      <c r="R2195" t="s">
        <v>124</v>
      </c>
      <c r="S2195" t="b">
        <v>0</v>
      </c>
      <c r="T2195" t="s">
        <v>124</v>
      </c>
    </row>
    <row r="2196">
      <c r="A2196" t="s">
        <v>4239</v>
      </c>
      <c r="B2196" t="s">
        <v>4225</v>
      </c>
      <c r="C2196" s="2">
        <v>2022</v>
      </c>
      <c r="D2196" s="10">
        <v>12</v>
      </c>
      <c r="E2196" s="10">
        <v>16</v>
      </c>
      <c r="F2196" t="s">
        <v>4238</v>
      </c>
      <c r="G2196">
        <v>384</v>
      </c>
      <c r="H2196" t="s">
        <v>69</v>
      </c>
      <c r="I2196" t="s">
        <v>144</v>
      </c>
      <c r="J2196" s="10" t="str">
        <f>VLOOKUP(I2196,Categories!A:B,2,FALSE)</f>
        <v xml:space="preserve">Family paid</v>
      </c>
      <c r="K2196" t="s">
        <v>123</v>
      </c>
      <c r="L2196" s="10" t="str">
        <f>VLOOKUP(K2196,Accounts!A:B,2,FALSE)</f>
        <v>KBank</v>
      </c>
      <c r="M2196" t="s">
        <v>124</v>
      </c>
      <c r="N2196" s="10"/>
      <c r="O2196" t="s">
        <v>125</v>
      </c>
      <c r="Q2196" t="s">
        <v>126</v>
      </c>
      <c r="R2196" t="s">
        <v>124</v>
      </c>
      <c r="S2196" t="b">
        <v>0</v>
      </c>
      <c r="T2196" t="s">
        <v>124</v>
      </c>
    </row>
    <row r="2197">
      <c r="A2197" t="s">
        <v>4240</v>
      </c>
      <c r="B2197" t="s">
        <v>4225</v>
      </c>
      <c r="C2197" s="2">
        <v>2022</v>
      </c>
      <c r="D2197" s="10">
        <v>12</v>
      </c>
      <c r="E2197" s="10">
        <v>16</v>
      </c>
      <c r="F2197" t="s">
        <v>1596</v>
      </c>
      <c r="G2197">
        <v>87.140000000000001</v>
      </c>
      <c r="H2197" t="s">
        <v>206</v>
      </c>
      <c r="I2197" t="s">
        <v>281</v>
      </c>
      <c r="J2197" s="10" t="str">
        <f>VLOOKUP(I2197,Categories!A:B,2,FALSE)</f>
        <v>Others</v>
      </c>
      <c r="K2197" t="s">
        <v>2317</v>
      </c>
      <c r="L2197" s="10" t="str">
        <f>VLOOKUP(K2197,Accounts!A:B,2,FALSE)</f>
        <v xml:space="preserve">Marriage account</v>
      </c>
      <c r="M2197" t="s">
        <v>124</v>
      </c>
      <c r="N2197" s="10"/>
      <c r="O2197" t="s">
        <v>125</v>
      </c>
      <c r="Q2197" t="s">
        <v>126</v>
      </c>
      <c r="R2197" t="s">
        <v>124</v>
      </c>
      <c r="S2197" t="b">
        <v>0</v>
      </c>
      <c r="T2197" t="s">
        <v>124</v>
      </c>
    </row>
    <row r="2198">
      <c r="A2198" t="s">
        <v>4241</v>
      </c>
      <c r="B2198" t="s">
        <v>4242</v>
      </c>
      <c r="C2198" s="2">
        <v>2022</v>
      </c>
      <c r="D2198" s="10">
        <v>12</v>
      </c>
      <c r="E2198" s="10">
        <v>15</v>
      </c>
      <c r="F2198" t="s">
        <v>3150</v>
      </c>
      <c r="G2198">
        <v>70</v>
      </c>
      <c r="H2198" t="s">
        <v>69</v>
      </c>
      <c r="I2198" t="s">
        <v>150</v>
      </c>
      <c r="J2198" s="10" t="str">
        <f>VLOOKUP(I2198,Categories!A:B,2,FALSE)</f>
        <v xml:space="preserve">Food &amp; Coff</v>
      </c>
      <c r="K2198" t="s">
        <v>178</v>
      </c>
      <c r="L2198" s="10" t="str">
        <f>VLOOKUP(K2198,Accounts!A:B,2,FALSE)</f>
        <v>SCB</v>
      </c>
      <c r="M2198" t="s">
        <v>124</v>
      </c>
      <c r="N2198" s="10"/>
      <c r="O2198" t="s">
        <v>125</v>
      </c>
      <c r="Q2198" t="s">
        <v>126</v>
      </c>
      <c r="R2198" t="s">
        <v>124</v>
      </c>
      <c r="S2198" t="b">
        <v>0</v>
      </c>
      <c r="T2198" t="s">
        <v>124</v>
      </c>
    </row>
    <row r="2199">
      <c r="A2199" t="s">
        <v>4243</v>
      </c>
      <c r="B2199" t="s">
        <v>4242</v>
      </c>
      <c r="C2199" s="2">
        <v>2022</v>
      </c>
      <c r="D2199" s="10">
        <v>12</v>
      </c>
      <c r="E2199" s="10">
        <v>15</v>
      </c>
      <c r="F2199" t="s">
        <v>4244</v>
      </c>
      <c r="G2199">
        <v>105</v>
      </c>
      <c r="H2199" t="s">
        <v>69</v>
      </c>
      <c r="I2199" t="s">
        <v>150</v>
      </c>
      <c r="J2199" s="10" t="str">
        <f>VLOOKUP(I2199,Categories!A:B,2,FALSE)</f>
        <v xml:space="preserve">Food &amp; Coff</v>
      </c>
      <c r="K2199" t="s">
        <v>178</v>
      </c>
      <c r="L2199" s="10" t="str">
        <f>VLOOKUP(K2199,Accounts!A:B,2,FALSE)</f>
        <v>SCB</v>
      </c>
      <c r="M2199" t="s">
        <v>124</v>
      </c>
      <c r="N2199" s="10"/>
      <c r="O2199" t="s">
        <v>125</v>
      </c>
      <c r="Q2199" t="s">
        <v>126</v>
      </c>
      <c r="R2199" t="s">
        <v>124</v>
      </c>
      <c r="S2199" t="b">
        <v>0</v>
      </c>
      <c r="T2199" t="s">
        <v>124</v>
      </c>
    </row>
    <row r="2200">
      <c r="A2200" t="s">
        <v>4245</v>
      </c>
      <c r="B2200" t="s">
        <v>4246</v>
      </c>
      <c r="C2200" s="2">
        <v>2022</v>
      </c>
      <c r="D2200" s="10">
        <v>12</v>
      </c>
      <c r="E2200" s="10">
        <v>14</v>
      </c>
      <c r="F2200" t="s">
        <v>4247</v>
      </c>
      <c r="G2200">
        <v>419</v>
      </c>
      <c r="H2200" t="s">
        <v>69</v>
      </c>
      <c r="I2200" t="s">
        <v>1903</v>
      </c>
      <c r="J2200" s="10" t="str">
        <f>VLOOKUP(I2200,Categories!A:B,2,FALSE)</f>
        <v xml:space="preserve">Monthly subscription</v>
      </c>
      <c r="K2200" t="s">
        <v>178</v>
      </c>
      <c r="L2200" s="10" t="str">
        <f>VLOOKUP(K2200,Accounts!A:B,2,FALSE)</f>
        <v>SCB</v>
      </c>
      <c r="M2200" t="s">
        <v>124</v>
      </c>
      <c r="N2200" s="10"/>
      <c r="O2200" t="s">
        <v>125</v>
      </c>
      <c r="Q2200" t="s">
        <v>126</v>
      </c>
      <c r="R2200" t="s">
        <v>124</v>
      </c>
      <c r="S2200" t="b">
        <v>0</v>
      </c>
      <c r="T2200" t="s">
        <v>124</v>
      </c>
    </row>
    <row r="2201">
      <c r="A2201" t="s">
        <v>4248</v>
      </c>
      <c r="B2201" t="s">
        <v>4246</v>
      </c>
      <c r="C2201" s="2">
        <v>2022</v>
      </c>
      <c r="D2201" s="10">
        <v>12</v>
      </c>
      <c r="E2201" s="10">
        <v>14</v>
      </c>
      <c r="F2201" t="s">
        <v>4249</v>
      </c>
      <c r="G2201">
        <v>55</v>
      </c>
      <c r="H2201" t="s">
        <v>69</v>
      </c>
      <c r="I2201" t="s">
        <v>150</v>
      </c>
      <c r="J2201" s="10" t="str">
        <f>VLOOKUP(I2201,Categories!A:B,2,FALSE)</f>
        <v xml:space="preserve">Food &amp; Coff</v>
      </c>
      <c r="K2201" t="s">
        <v>178</v>
      </c>
      <c r="L2201" s="10" t="str">
        <f>VLOOKUP(K2201,Accounts!A:B,2,FALSE)</f>
        <v>SCB</v>
      </c>
      <c r="M2201" t="s">
        <v>124</v>
      </c>
      <c r="N2201" s="10"/>
      <c r="O2201" t="s">
        <v>125</v>
      </c>
      <c r="Q2201" t="s">
        <v>126</v>
      </c>
      <c r="R2201" t="s">
        <v>124</v>
      </c>
      <c r="S2201" t="b">
        <v>0</v>
      </c>
      <c r="T2201" t="s">
        <v>124</v>
      </c>
    </row>
    <row r="2202">
      <c r="A2202" t="s">
        <v>4250</v>
      </c>
      <c r="B2202" t="s">
        <v>4246</v>
      </c>
      <c r="C2202" s="2">
        <v>2022</v>
      </c>
      <c r="D2202" s="10">
        <v>12</v>
      </c>
      <c r="E2202" s="10">
        <v>14</v>
      </c>
      <c r="F2202" t="s">
        <v>4251</v>
      </c>
      <c r="G2202">
        <v>135</v>
      </c>
      <c r="H2202" t="s">
        <v>69</v>
      </c>
      <c r="I2202" t="s">
        <v>150</v>
      </c>
      <c r="J2202" s="10" t="str">
        <f>VLOOKUP(I2202,Categories!A:B,2,FALSE)</f>
        <v xml:space="preserve">Food &amp; Coff</v>
      </c>
      <c r="K2202" t="s">
        <v>2317</v>
      </c>
      <c r="L2202" s="10" t="str">
        <f>VLOOKUP(K2202,Accounts!A:B,2,FALSE)</f>
        <v xml:space="preserve">Marriage account</v>
      </c>
      <c r="M2202" t="s">
        <v>124</v>
      </c>
      <c r="N2202" s="10"/>
      <c r="O2202" t="s">
        <v>125</v>
      </c>
      <c r="Q2202" t="s">
        <v>126</v>
      </c>
      <c r="R2202" t="s">
        <v>124</v>
      </c>
      <c r="S2202" t="b">
        <v>0</v>
      </c>
      <c r="T2202" t="s">
        <v>124</v>
      </c>
    </row>
    <row r="2203">
      <c r="A2203" t="s">
        <v>4252</v>
      </c>
      <c r="B2203" t="s">
        <v>4246</v>
      </c>
      <c r="C2203" s="2">
        <v>2022</v>
      </c>
      <c r="D2203" s="10">
        <v>12</v>
      </c>
      <c r="E2203" s="10">
        <v>14</v>
      </c>
      <c r="F2203" t="s">
        <v>2134</v>
      </c>
      <c r="G2203">
        <v>52</v>
      </c>
      <c r="H2203" t="s">
        <v>69</v>
      </c>
      <c r="I2203" t="s">
        <v>150</v>
      </c>
      <c r="J2203" s="10" t="str">
        <f>VLOOKUP(I2203,Categories!A:B,2,FALSE)</f>
        <v xml:space="preserve">Food &amp; Coff</v>
      </c>
      <c r="K2203" t="s">
        <v>178</v>
      </c>
      <c r="L2203" s="10" t="str">
        <f>VLOOKUP(K2203,Accounts!A:B,2,FALSE)</f>
        <v>SCB</v>
      </c>
      <c r="M2203" t="s">
        <v>124</v>
      </c>
      <c r="N2203" s="10"/>
      <c r="O2203" t="s">
        <v>125</v>
      </c>
      <c r="Q2203" t="s">
        <v>126</v>
      </c>
      <c r="R2203" t="s">
        <v>124</v>
      </c>
      <c r="S2203" t="b">
        <v>0</v>
      </c>
      <c r="T2203" t="s">
        <v>124</v>
      </c>
    </row>
    <row r="2204">
      <c r="A2204" t="s">
        <v>4253</v>
      </c>
      <c r="B2204" t="s">
        <v>4246</v>
      </c>
      <c r="C2204" s="2">
        <v>2022</v>
      </c>
      <c r="D2204" s="10">
        <v>12</v>
      </c>
      <c r="E2204" s="10">
        <v>14</v>
      </c>
      <c r="F2204" t="s">
        <v>4254</v>
      </c>
      <c r="G2204">
        <v>267</v>
      </c>
      <c r="H2204" t="s">
        <v>69</v>
      </c>
      <c r="I2204" t="s">
        <v>150</v>
      </c>
      <c r="J2204" s="10" t="str">
        <f>VLOOKUP(I2204,Categories!A:B,2,FALSE)</f>
        <v xml:space="preserve">Food &amp; Coff</v>
      </c>
      <c r="K2204" t="s">
        <v>2317</v>
      </c>
      <c r="L2204" s="10" t="str">
        <f>VLOOKUP(K2204,Accounts!A:B,2,FALSE)</f>
        <v xml:space="preserve">Marriage account</v>
      </c>
      <c r="M2204" t="s">
        <v>124</v>
      </c>
      <c r="N2204" s="10"/>
      <c r="O2204" t="s">
        <v>125</v>
      </c>
      <c r="Q2204" t="s">
        <v>126</v>
      </c>
      <c r="R2204" t="s">
        <v>124</v>
      </c>
      <c r="S2204" t="b">
        <v>0</v>
      </c>
      <c r="T2204" t="s">
        <v>124</v>
      </c>
    </row>
    <row r="2205">
      <c r="A2205" t="s">
        <v>4255</v>
      </c>
      <c r="B2205" t="s">
        <v>4256</v>
      </c>
      <c r="C2205" s="2">
        <v>2022</v>
      </c>
      <c r="D2205" s="10">
        <v>12</v>
      </c>
      <c r="E2205" s="10">
        <v>13</v>
      </c>
      <c r="F2205" t="s">
        <v>4037</v>
      </c>
      <c r="G2205">
        <v>210</v>
      </c>
      <c r="H2205" t="s">
        <v>69</v>
      </c>
      <c r="I2205" t="s">
        <v>150</v>
      </c>
      <c r="J2205" s="10" t="str">
        <f>VLOOKUP(I2205,Categories!A:B,2,FALSE)</f>
        <v xml:space="preserve">Food &amp; Coff</v>
      </c>
      <c r="K2205" t="s">
        <v>2317</v>
      </c>
      <c r="L2205" s="10" t="str">
        <f>VLOOKUP(K2205,Accounts!A:B,2,FALSE)</f>
        <v xml:space="preserve">Marriage account</v>
      </c>
      <c r="M2205" t="s">
        <v>124</v>
      </c>
      <c r="N2205" s="10"/>
      <c r="O2205" t="s">
        <v>125</v>
      </c>
      <c r="Q2205" t="s">
        <v>126</v>
      </c>
      <c r="R2205" t="s">
        <v>124</v>
      </c>
      <c r="S2205" t="b">
        <v>0</v>
      </c>
      <c r="T2205" t="s">
        <v>124</v>
      </c>
    </row>
    <row r="2206">
      <c r="A2206" t="s">
        <v>4257</v>
      </c>
      <c r="B2206" t="s">
        <v>4256</v>
      </c>
      <c r="C2206" s="2">
        <v>2022</v>
      </c>
      <c r="D2206" s="10">
        <v>12</v>
      </c>
      <c r="E2206" s="10">
        <v>13</v>
      </c>
      <c r="F2206" t="s">
        <v>1004</v>
      </c>
      <c r="G2206">
        <v>55</v>
      </c>
      <c r="H2206" t="s">
        <v>69</v>
      </c>
      <c r="I2206" t="s">
        <v>150</v>
      </c>
      <c r="J2206" s="10" t="str">
        <f>VLOOKUP(I2206,Categories!A:B,2,FALSE)</f>
        <v xml:space="preserve">Food &amp; Coff</v>
      </c>
      <c r="K2206" t="s">
        <v>178</v>
      </c>
      <c r="L2206" s="10" t="str">
        <f>VLOOKUP(K2206,Accounts!A:B,2,FALSE)</f>
        <v>SCB</v>
      </c>
      <c r="M2206" t="s">
        <v>124</v>
      </c>
      <c r="N2206" s="10"/>
      <c r="O2206" t="s">
        <v>125</v>
      </c>
      <c r="Q2206" t="s">
        <v>126</v>
      </c>
      <c r="R2206" t="s">
        <v>124</v>
      </c>
      <c r="S2206" t="b">
        <v>0</v>
      </c>
      <c r="T2206" t="s">
        <v>124</v>
      </c>
    </row>
    <row r="2207">
      <c r="A2207" t="s">
        <v>4258</v>
      </c>
      <c r="B2207" t="s">
        <v>4256</v>
      </c>
      <c r="C2207" s="2">
        <v>2022</v>
      </c>
      <c r="D2207" s="10">
        <v>12</v>
      </c>
      <c r="E2207" s="10">
        <v>13</v>
      </c>
      <c r="F2207" t="s">
        <v>4259</v>
      </c>
      <c r="G2207">
        <v>183</v>
      </c>
      <c r="H2207" t="s">
        <v>69</v>
      </c>
      <c r="I2207" t="s">
        <v>150</v>
      </c>
      <c r="J2207" s="10" t="str">
        <f>VLOOKUP(I2207,Categories!A:B,2,FALSE)</f>
        <v xml:space="preserve">Food &amp; Coff</v>
      </c>
      <c r="K2207" t="s">
        <v>2317</v>
      </c>
      <c r="L2207" s="10" t="str">
        <f>VLOOKUP(K2207,Accounts!A:B,2,FALSE)</f>
        <v xml:space="preserve">Marriage account</v>
      </c>
      <c r="M2207" t="s">
        <v>124</v>
      </c>
      <c r="N2207" s="10"/>
      <c r="O2207" t="s">
        <v>125</v>
      </c>
      <c r="Q2207" t="s">
        <v>126</v>
      </c>
      <c r="R2207" t="s">
        <v>124</v>
      </c>
      <c r="S2207" t="b">
        <v>0</v>
      </c>
      <c r="T2207" t="s">
        <v>124</v>
      </c>
    </row>
    <row r="2208">
      <c r="A2208" t="s">
        <v>4260</v>
      </c>
      <c r="B2208" t="s">
        <v>4256</v>
      </c>
      <c r="C2208" s="2">
        <v>2022</v>
      </c>
      <c r="D2208" s="10">
        <v>12</v>
      </c>
      <c r="E2208" s="10">
        <v>13</v>
      </c>
      <c r="F2208" t="s">
        <v>1181</v>
      </c>
      <c r="G2208">
        <v>659</v>
      </c>
      <c r="H2208" t="s">
        <v>128</v>
      </c>
      <c r="I2208" t="s">
        <v>136</v>
      </c>
      <c r="J2208" s="10" t="str">
        <f>VLOOKUP(I2208,Categories!A:B,2,FALSE)</f>
        <v>อื่นๆ</v>
      </c>
      <c r="K2208" t="s">
        <v>131</v>
      </c>
      <c r="L2208" s="10" t="str">
        <f>VLOOKUP(K2208,Accounts!A:B,2,FALSE)</f>
        <v xml:space="preserve">Advance Paid</v>
      </c>
      <c r="M2208" t="s">
        <v>178</v>
      </c>
      <c r="N2208" s="10" t="str">
        <f>VLOOKUP(M2208,Accounts!A:B,2,FALSE)</f>
        <v>SCB</v>
      </c>
      <c r="O2208" t="s">
        <v>4261</v>
      </c>
      <c r="Q2208" t="s">
        <v>126</v>
      </c>
      <c r="R2208" t="s">
        <v>124</v>
      </c>
      <c r="S2208" t="b">
        <v>0</v>
      </c>
      <c r="T2208" t="s">
        <v>124</v>
      </c>
    </row>
    <row r="2209">
      <c r="A2209" t="s">
        <v>4262</v>
      </c>
      <c r="B2209" t="s">
        <v>4263</v>
      </c>
      <c r="C2209" s="2">
        <v>2022</v>
      </c>
      <c r="D2209" s="10">
        <v>12</v>
      </c>
      <c r="E2209" s="10">
        <v>12</v>
      </c>
      <c r="F2209" t="s">
        <v>1108</v>
      </c>
      <c r="G2209">
        <v>85</v>
      </c>
      <c r="H2209" t="s">
        <v>69</v>
      </c>
      <c r="I2209" t="s">
        <v>150</v>
      </c>
      <c r="J2209" s="10" t="str">
        <f>VLOOKUP(I2209,Categories!A:B,2,FALSE)</f>
        <v xml:space="preserve">Food &amp; Coff</v>
      </c>
      <c r="K2209" t="s">
        <v>178</v>
      </c>
      <c r="L2209" s="10" t="str">
        <f>VLOOKUP(K2209,Accounts!A:B,2,FALSE)</f>
        <v>SCB</v>
      </c>
      <c r="M2209" t="s">
        <v>124</v>
      </c>
      <c r="N2209" s="10"/>
      <c r="O2209" t="s">
        <v>125</v>
      </c>
      <c r="Q2209" t="s">
        <v>126</v>
      </c>
      <c r="R2209" t="s">
        <v>124</v>
      </c>
      <c r="S2209" t="b">
        <v>0</v>
      </c>
      <c r="T2209" t="s">
        <v>124</v>
      </c>
    </row>
    <row r="2210">
      <c r="A2210" t="s">
        <v>4264</v>
      </c>
      <c r="B2210" t="s">
        <v>4265</v>
      </c>
      <c r="C2210" s="2">
        <v>2022</v>
      </c>
      <c r="D2210" s="10">
        <v>12</v>
      </c>
      <c r="E2210" s="10">
        <v>11</v>
      </c>
      <c r="F2210" t="s">
        <v>1137</v>
      </c>
      <c r="G2210">
        <v>8000</v>
      </c>
      <c r="H2210" t="s">
        <v>128</v>
      </c>
      <c r="I2210" t="s">
        <v>136</v>
      </c>
      <c r="J2210" s="10" t="str">
        <f>VLOOKUP(I2210,Categories!A:B,2,FALSE)</f>
        <v>อื่นๆ</v>
      </c>
      <c r="K2210" t="s">
        <v>425</v>
      </c>
      <c r="L2210" s="10" t="str">
        <f>VLOOKUP(K2210,Accounts!A:B,2,FALSE)</f>
        <v>Cash</v>
      </c>
      <c r="M2210" t="s">
        <v>178</v>
      </c>
      <c r="N2210" s="10" t="str">
        <f>VLOOKUP(M2210,Accounts!A:B,2,FALSE)</f>
        <v>SCB</v>
      </c>
      <c r="O2210" t="s">
        <v>125</v>
      </c>
      <c r="Q2210" t="s">
        <v>126</v>
      </c>
      <c r="R2210" t="s">
        <v>124</v>
      </c>
      <c r="S2210" t="b">
        <v>0</v>
      </c>
      <c r="T2210" t="s">
        <v>124</v>
      </c>
    </row>
    <row r="2211">
      <c r="A2211" t="s">
        <v>4266</v>
      </c>
      <c r="B2211" t="s">
        <v>4265</v>
      </c>
      <c r="C2211" s="2">
        <v>2022</v>
      </c>
      <c r="D2211" s="10">
        <v>12</v>
      </c>
      <c r="E2211" s="10">
        <v>11</v>
      </c>
      <c r="F2211" t="s">
        <v>4267</v>
      </c>
      <c r="G2211">
        <v>139</v>
      </c>
      <c r="H2211" t="s">
        <v>69</v>
      </c>
      <c r="I2211" t="s">
        <v>150</v>
      </c>
      <c r="J2211" s="10" t="str">
        <f>VLOOKUP(I2211,Categories!A:B,2,FALSE)</f>
        <v xml:space="preserve">Food &amp; Coff</v>
      </c>
      <c r="K2211" t="s">
        <v>2317</v>
      </c>
      <c r="L2211" s="10" t="str">
        <f>VLOOKUP(K2211,Accounts!A:B,2,FALSE)</f>
        <v xml:space="preserve">Marriage account</v>
      </c>
      <c r="M2211" t="s">
        <v>124</v>
      </c>
      <c r="N2211" s="10"/>
      <c r="O2211" t="s">
        <v>125</v>
      </c>
      <c r="Q2211" t="s">
        <v>126</v>
      </c>
      <c r="R2211" t="s">
        <v>124</v>
      </c>
      <c r="S2211" t="b">
        <v>0</v>
      </c>
      <c r="T2211" t="s">
        <v>124</v>
      </c>
    </row>
    <row r="2212">
      <c r="A2212" t="s">
        <v>4268</v>
      </c>
      <c r="B2212" t="s">
        <v>4269</v>
      </c>
      <c r="C2212" s="2">
        <v>2022</v>
      </c>
      <c r="D2212" s="10">
        <v>12</v>
      </c>
      <c r="E2212" s="10">
        <v>10</v>
      </c>
      <c r="F2212" t="s">
        <v>121</v>
      </c>
      <c r="G2212">
        <v>10000</v>
      </c>
      <c r="H2212" t="s">
        <v>128</v>
      </c>
      <c r="I2212" t="s">
        <v>136</v>
      </c>
      <c r="J2212" s="10" t="str">
        <f>VLOOKUP(I2212,Categories!A:B,2,FALSE)</f>
        <v>อื่นๆ</v>
      </c>
      <c r="K2212" t="s">
        <v>178</v>
      </c>
      <c r="L2212" s="10" t="str">
        <f>VLOOKUP(K2212,Accounts!A:B,2,FALSE)</f>
        <v>SCB</v>
      </c>
      <c r="M2212" t="s">
        <v>2317</v>
      </c>
      <c r="N2212" s="10" t="str">
        <f>VLOOKUP(M2212,Accounts!A:B,2,FALSE)</f>
        <v xml:space="preserve">Marriage account</v>
      </c>
      <c r="O2212" t="s">
        <v>125</v>
      </c>
      <c r="Q2212" t="s">
        <v>126</v>
      </c>
      <c r="R2212" t="s">
        <v>124</v>
      </c>
      <c r="S2212" t="b">
        <v>0</v>
      </c>
      <c r="T2212" t="s">
        <v>124</v>
      </c>
    </row>
    <row r="2213">
      <c r="A2213" t="s">
        <v>4270</v>
      </c>
      <c r="B2213" t="s">
        <v>4269</v>
      </c>
      <c r="C2213" s="2">
        <v>2022</v>
      </c>
      <c r="D2213" s="10">
        <v>12</v>
      </c>
      <c r="E2213" s="10">
        <v>10</v>
      </c>
      <c r="F2213" t="s">
        <v>2937</v>
      </c>
      <c r="G2213">
        <v>4323.3500000000004</v>
      </c>
      <c r="H2213" t="s">
        <v>69</v>
      </c>
      <c r="I2213" t="s">
        <v>139</v>
      </c>
      <c r="J2213" s="10" t="str">
        <f>VLOOKUP(I2213,Categories!A:B,2,FALSE)</f>
        <v>Condo</v>
      </c>
      <c r="K2213" t="s">
        <v>178</v>
      </c>
      <c r="L2213" s="10" t="str">
        <f>VLOOKUP(K2213,Accounts!A:B,2,FALSE)</f>
        <v>SCB</v>
      </c>
      <c r="M2213" t="s">
        <v>124</v>
      </c>
      <c r="N2213" s="10"/>
      <c r="O2213" t="s">
        <v>125</v>
      </c>
      <c r="Q2213" t="s">
        <v>126</v>
      </c>
      <c r="R2213" t="s">
        <v>124</v>
      </c>
      <c r="S2213" t="b">
        <v>0</v>
      </c>
      <c r="T2213" t="s">
        <v>124</v>
      </c>
    </row>
    <row r="2214">
      <c r="A2214" t="s">
        <v>4271</v>
      </c>
      <c r="B2214" t="s">
        <v>4269</v>
      </c>
      <c r="C2214" s="2">
        <v>2022</v>
      </c>
      <c r="D2214" s="10">
        <v>12</v>
      </c>
      <c r="E2214" s="10">
        <v>10</v>
      </c>
      <c r="F2214" t="s">
        <v>304</v>
      </c>
      <c r="G2214">
        <v>10000</v>
      </c>
      <c r="H2214" t="s">
        <v>206</v>
      </c>
      <c r="I2214" t="s">
        <v>207</v>
      </c>
      <c r="J2214" s="10" t="str">
        <f>VLOOKUP(I2214,Categories!A:B,2,FALSE)</f>
        <v>Salary</v>
      </c>
      <c r="K2214" t="s">
        <v>2317</v>
      </c>
      <c r="L2214" s="10" t="str">
        <f>VLOOKUP(K2214,Accounts!A:B,2,FALSE)</f>
        <v xml:space="preserve">Marriage account</v>
      </c>
      <c r="M2214" t="s">
        <v>124</v>
      </c>
      <c r="N2214" s="10"/>
      <c r="O2214" t="s">
        <v>125</v>
      </c>
      <c r="Q2214" t="s">
        <v>126</v>
      </c>
      <c r="R2214" t="s">
        <v>124</v>
      </c>
      <c r="S2214" t="b">
        <v>0</v>
      </c>
      <c r="T2214" t="s">
        <v>124</v>
      </c>
    </row>
    <row r="2215">
      <c r="A2215" t="s">
        <v>4272</v>
      </c>
      <c r="B2215" t="s">
        <v>4269</v>
      </c>
      <c r="C2215" s="2">
        <v>2022</v>
      </c>
      <c r="D2215" s="10">
        <v>12</v>
      </c>
      <c r="E2215" s="10">
        <v>10</v>
      </c>
      <c r="F2215" t="s">
        <v>3530</v>
      </c>
      <c r="G2215">
        <v>375</v>
      </c>
      <c r="H2215" t="s">
        <v>69</v>
      </c>
      <c r="I2215" t="s">
        <v>150</v>
      </c>
      <c r="J2215" s="10" t="str">
        <f>VLOOKUP(I2215,Categories!A:B,2,FALSE)</f>
        <v xml:space="preserve">Food &amp; Coff</v>
      </c>
      <c r="K2215" t="s">
        <v>2317</v>
      </c>
      <c r="L2215" s="10" t="str">
        <f>VLOOKUP(K2215,Accounts!A:B,2,FALSE)</f>
        <v xml:space="preserve">Marriage account</v>
      </c>
      <c r="M2215" t="s">
        <v>124</v>
      </c>
      <c r="N2215" s="10"/>
      <c r="O2215" t="s">
        <v>125</v>
      </c>
      <c r="Q2215" t="s">
        <v>126</v>
      </c>
      <c r="R2215" t="s">
        <v>124</v>
      </c>
      <c r="S2215" t="b">
        <v>0</v>
      </c>
      <c r="T2215" t="s">
        <v>124</v>
      </c>
    </row>
    <row r="2216">
      <c r="A2216" t="s">
        <v>4273</v>
      </c>
      <c r="B2216" t="s">
        <v>4269</v>
      </c>
      <c r="C2216" s="2">
        <v>2022</v>
      </c>
      <c r="D2216" s="10">
        <v>12</v>
      </c>
      <c r="E2216" s="10">
        <v>10</v>
      </c>
      <c r="F2216" t="s">
        <v>854</v>
      </c>
      <c r="G2216">
        <v>583</v>
      </c>
      <c r="H2216" t="s">
        <v>69</v>
      </c>
      <c r="I2216" t="s">
        <v>150</v>
      </c>
      <c r="J2216" s="10" t="str">
        <f>VLOOKUP(I2216,Categories!A:B,2,FALSE)</f>
        <v xml:space="preserve">Food &amp; Coff</v>
      </c>
      <c r="K2216" t="s">
        <v>2317</v>
      </c>
      <c r="L2216" s="10" t="str">
        <f>VLOOKUP(K2216,Accounts!A:B,2,FALSE)</f>
        <v xml:space="preserve">Marriage account</v>
      </c>
      <c r="M2216" t="s">
        <v>124</v>
      </c>
      <c r="N2216" s="10"/>
      <c r="O2216" t="s">
        <v>125</v>
      </c>
      <c r="Q2216" t="s">
        <v>126</v>
      </c>
      <c r="R2216" t="s">
        <v>124</v>
      </c>
      <c r="S2216" t="b">
        <v>0</v>
      </c>
      <c r="T2216" t="s">
        <v>124</v>
      </c>
    </row>
    <row r="2217">
      <c r="A2217" t="s">
        <v>4274</v>
      </c>
      <c r="B2217" t="s">
        <v>4269</v>
      </c>
      <c r="C2217" s="2">
        <v>2022</v>
      </c>
      <c r="D2217" s="10">
        <v>12</v>
      </c>
      <c r="E2217" s="10">
        <v>10</v>
      </c>
      <c r="F2217" t="s">
        <v>4016</v>
      </c>
      <c r="G2217">
        <v>283</v>
      </c>
      <c r="H2217" t="s">
        <v>69</v>
      </c>
      <c r="I2217" t="s">
        <v>150</v>
      </c>
      <c r="J2217" s="10" t="str">
        <f>VLOOKUP(I2217,Categories!A:B,2,FALSE)</f>
        <v xml:space="preserve">Food &amp; Coff</v>
      </c>
      <c r="K2217" t="s">
        <v>2317</v>
      </c>
      <c r="L2217" s="10" t="str">
        <f>VLOOKUP(K2217,Accounts!A:B,2,FALSE)</f>
        <v xml:space="preserve">Marriage account</v>
      </c>
      <c r="M2217" t="s">
        <v>124</v>
      </c>
      <c r="N2217" s="10"/>
      <c r="O2217" t="s">
        <v>125</v>
      </c>
      <c r="Q2217" t="s">
        <v>126</v>
      </c>
      <c r="R2217" t="s">
        <v>124</v>
      </c>
      <c r="S2217" t="b">
        <v>0</v>
      </c>
      <c r="T2217" t="s">
        <v>124</v>
      </c>
    </row>
    <row r="2218">
      <c r="A2218" t="s">
        <v>4275</v>
      </c>
      <c r="B2218" t="s">
        <v>4276</v>
      </c>
      <c r="C2218" s="2">
        <v>2022</v>
      </c>
      <c r="D2218" s="10">
        <v>12</v>
      </c>
      <c r="E2218" s="10">
        <v>9</v>
      </c>
      <c r="F2218" t="s">
        <v>3803</v>
      </c>
      <c r="G2218">
        <v>50</v>
      </c>
      <c r="H2218" t="s">
        <v>69</v>
      </c>
      <c r="I2218" t="s">
        <v>150</v>
      </c>
      <c r="J2218" s="10" t="str">
        <f>VLOOKUP(I2218,Categories!A:B,2,FALSE)</f>
        <v xml:space="preserve">Food &amp; Coff</v>
      </c>
      <c r="K2218" t="s">
        <v>178</v>
      </c>
      <c r="L2218" s="10" t="str">
        <f>VLOOKUP(K2218,Accounts!A:B,2,FALSE)</f>
        <v>SCB</v>
      </c>
      <c r="M2218" t="s">
        <v>124</v>
      </c>
      <c r="N2218" s="10"/>
      <c r="O2218" t="s">
        <v>125</v>
      </c>
      <c r="Q2218" t="s">
        <v>126</v>
      </c>
      <c r="R2218" t="s">
        <v>124</v>
      </c>
      <c r="S2218" t="b">
        <v>0</v>
      </c>
      <c r="T2218" t="s">
        <v>124</v>
      </c>
    </row>
    <row r="2219">
      <c r="A2219" t="s">
        <v>4277</v>
      </c>
      <c r="B2219" t="s">
        <v>4276</v>
      </c>
      <c r="C2219" s="2">
        <v>2022</v>
      </c>
      <c r="D2219" s="10">
        <v>12</v>
      </c>
      <c r="E2219" s="10">
        <v>9</v>
      </c>
      <c r="F2219" t="s">
        <v>4251</v>
      </c>
      <c r="G2219">
        <v>45</v>
      </c>
      <c r="H2219" t="s">
        <v>69</v>
      </c>
      <c r="I2219" t="s">
        <v>150</v>
      </c>
      <c r="J2219" s="10" t="str">
        <f>VLOOKUP(I2219,Categories!A:B,2,FALSE)</f>
        <v xml:space="preserve">Food &amp; Coff</v>
      </c>
      <c r="K2219" t="s">
        <v>178</v>
      </c>
      <c r="L2219" s="10" t="str">
        <f>VLOOKUP(K2219,Accounts!A:B,2,FALSE)</f>
        <v>SCB</v>
      </c>
      <c r="M2219" t="s">
        <v>124</v>
      </c>
      <c r="N2219" s="10"/>
      <c r="O2219" t="s">
        <v>125</v>
      </c>
      <c r="Q2219" t="s">
        <v>126</v>
      </c>
      <c r="R2219" t="s">
        <v>124</v>
      </c>
      <c r="S2219" t="b">
        <v>0</v>
      </c>
      <c r="T2219" t="s">
        <v>124</v>
      </c>
    </row>
    <row r="2220">
      <c r="A2220" t="s">
        <v>4278</v>
      </c>
      <c r="B2220" t="s">
        <v>4276</v>
      </c>
      <c r="C2220" s="2">
        <v>2022</v>
      </c>
      <c r="D2220" s="10">
        <v>12</v>
      </c>
      <c r="E2220" s="10">
        <v>9</v>
      </c>
      <c r="F2220" t="s">
        <v>1741</v>
      </c>
      <c r="G2220">
        <v>2438</v>
      </c>
      <c r="H2220" t="s">
        <v>69</v>
      </c>
      <c r="I2220" t="s">
        <v>259</v>
      </c>
      <c r="J2220" s="10" t="str">
        <f>VLOOKUP(I2220,Categories!A:B,2,FALSE)</f>
        <v xml:space="preserve">Team BOT</v>
      </c>
      <c r="K2220" t="s">
        <v>178</v>
      </c>
      <c r="L2220" s="10" t="str">
        <f>VLOOKUP(K2220,Accounts!A:B,2,FALSE)</f>
        <v>SCB</v>
      </c>
      <c r="M2220" t="s">
        <v>124</v>
      </c>
      <c r="N2220" s="10"/>
      <c r="O2220" t="s">
        <v>125</v>
      </c>
      <c r="Q2220" t="s">
        <v>126</v>
      </c>
      <c r="R2220" t="s">
        <v>124</v>
      </c>
      <c r="S2220" t="b">
        <v>0</v>
      </c>
      <c r="T2220" t="s">
        <v>124</v>
      </c>
    </row>
    <row r="2221">
      <c r="A2221" t="s">
        <v>4279</v>
      </c>
      <c r="B2221" t="s">
        <v>4280</v>
      </c>
      <c r="C2221" s="2">
        <v>2022</v>
      </c>
      <c r="D2221" s="10">
        <v>12</v>
      </c>
      <c r="E2221" s="10">
        <v>8</v>
      </c>
      <c r="F2221" t="s">
        <v>3923</v>
      </c>
      <c r="G2221">
        <v>240</v>
      </c>
      <c r="H2221" t="s">
        <v>69</v>
      </c>
      <c r="I2221" t="s">
        <v>150</v>
      </c>
      <c r="J2221" s="10" t="str">
        <f>VLOOKUP(I2221,Categories!A:B,2,FALSE)</f>
        <v xml:space="preserve">Food &amp; Coff</v>
      </c>
      <c r="K2221" t="s">
        <v>2317</v>
      </c>
      <c r="L2221" s="10" t="str">
        <f>VLOOKUP(K2221,Accounts!A:B,2,FALSE)</f>
        <v xml:space="preserve">Marriage account</v>
      </c>
      <c r="M2221" t="s">
        <v>124</v>
      </c>
      <c r="N2221" s="10"/>
      <c r="O2221" t="s">
        <v>125</v>
      </c>
      <c r="Q2221" t="s">
        <v>126</v>
      </c>
      <c r="R2221" t="s">
        <v>124</v>
      </c>
      <c r="S2221" t="b">
        <v>0</v>
      </c>
      <c r="T2221" t="s">
        <v>124</v>
      </c>
    </row>
    <row r="2222">
      <c r="A2222" t="s">
        <v>4281</v>
      </c>
      <c r="B2222" t="s">
        <v>4280</v>
      </c>
      <c r="C2222" s="2">
        <v>2022</v>
      </c>
      <c r="D2222" s="10">
        <v>12</v>
      </c>
      <c r="E2222" s="10">
        <v>8</v>
      </c>
      <c r="F2222" t="s">
        <v>1790</v>
      </c>
      <c r="G2222">
        <v>55</v>
      </c>
      <c r="H2222" t="s">
        <v>69</v>
      </c>
      <c r="I2222" t="s">
        <v>150</v>
      </c>
      <c r="J2222" s="10" t="str">
        <f>VLOOKUP(I2222,Categories!A:B,2,FALSE)</f>
        <v xml:space="preserve">Food &amp; Coff</v>
      </c>
      <c r="K2222" t="s">
        <v>178</v>
      </c>
      <c r="L2222" s="10" t="str">
        <f>VLOOKUP(K2222,Accounts!A:B,2,FALSE)</f>
        <v>SCB</v>
      </c>
      <c r="M2222" t="s">
        <v>124</v>
      </c>
      <c r="N2222" s="10"/>
      <c r="O2222" t="s">
        <v>125</v>
      </c>
      <c r="Q2222" t="s">
        <v>126</v>
      </c>
      <c r="R2222" t="s">
        <v>124</v>
      </c>
      <c r="S2222" t="b">
        <v>0</v>
      </c>
      <c r="T2222" t="s">
        <v>124</v>
      </c>
    </row>
    <row r="2223">
      <c r="A2223" t="s">
        <v>4282</v>
      </c>
      <c r="B2223" t="s">
        <v>4280</v>
      </c>
      <c r="C2223" s="2">
        <v>2022</v>
      </c>
      <c r="D2223" s="10">
        <v>12</v>
      </c>
      <c r="E2223" s="10">
        <v>8</v>
      </c>
      <c r="F2223" t="s">
        <v>2818</v>
      </c>
      <c r="G2223">
        <v>62</v>
      </c>
      <c r="H2223" t="s">
        <v>69</v>
      </c>
      <c r="I2223" t="s">
        <v>150</v>
      </c>
      <c r="J2223" s="10" t="str">
        <f>VLOOKUP(I2223,Categories!A:B,2,FALSE)</f>
        <v xml:space="preserve">Food &amp; Coff</v>
      </c>
      <c r="K2223" t="s">
        <v>178</v>
      </c>
      <c r="L2223" s="10" t="str">
        <f>VLOOKUP(K2223,Accounts!A:B,2,FALSE)</f>
        <v>SCB</v>
      </c>
      <c r="M2223" t="s">
        <v>124</v>
      </c>
      <c r="N2223" s="10"/>
      <c r="O2223" t="s">
        <v>125</v>
      </c>
      <c r="Q2223" t="s">
        <v>126</v>
      </c>
      <c r="R2223" t="s">
        <v>124</v>
      </c>
      <c r="S2223" t="b">
        <v>0</v>
      </c>
      <c r="T2223" t="s">
        <v>124</v>
      </c>
    </row>
    <row r="2224">
      <c r="A2224" t="s">
        <v>4283</v>
      </c>
      <c r="B2224" t="s">
        <v>4280</v>
      </c>
      <c r="C2224" s="2">
        <v>2022</v>
      </c>
      <c r="D2224" s="10">
        <v>12</v>
      </c>
      <c r="E2224" s="10">
        <v>8</v>
      </c>
      <c r="F2224" t="s">
        <v>280</v>
      </c>
      <c r="G2224">
        <v>220</v>
      </c>
      <c r="H2224" t="s">
        <v>69</v>
      </c>
      <c r="I2224" t="s">
        <v>150</v>
      </c>
      <c r="J2224" s="10" t="str">
        <f>VLOOKUP(I2224,Categories!A:B,2,FALSE)</f>
        <v xml:space="preserve">Food &amp; Coff</v>
      </c>
      <c r="K2224" t="s">
        <v>178</v>
      </c>
      <c r="L2224" s="10" t="str">
        <f>VLOOKUP(K2224,Accounts!A:B,2,FALSE)</f>
        <v>SCB</v>
      </c>
      <c r="M2224" t="s">
        <v>124</v>
      </c>
      <c r="N2224" s="10"/>
      <c r="O2224" t="s">
        <v>125</v>
      </c>
      <c r="Q2224" t="s">
        <v>126</v>
      </c>
      <c r="R2224" t="s">
        <v>124</v>
      </c>
      <c r="S2224" t="b">
        <v>0</v>
      </c>
      <c r="T2224" t="s">
        <v>124</v>
      </c>
    </row>
    <row r="2225">
      <c r="A2225" t="s">
        <v>4284</v>
      </c>
      <c r="B2225" t="s">
        <v>4285</v>
      </c>
      <c r="C2225" s="2">
        <v>2022</v>
      </c>
      <c r="D2225" s="10">
        <v>12</v>
      </c>
      <c r="E2225" s="10">
        <v>7</v>
      </c>
      <c r="F2225" t="s">
        <v>4286</v>
      </c>
      <c r="G2225">
        <v>55</v>
      </c>
      <c r="H2225" t="s">
        <v>69</v>
      </c>
      <c r="I2225" t="s">
        <v>150</v>
      </c>
      <c r="J2225" s="10" t="str">
        <f>VLOOKUP(I2225,Categories!A:B,2,FALSE)</f>
        <v xml:space="preserve">Food &amp; Coff</v>
      </c>
      <c r="K2225" t="s">
        <v>178</v>
      </c>
      <c r="L2225" s="10" t="str">
        <f>VLOOKUP(K2225,Accounts!A:B,2,FALSE)</f>
        <v>SCB</v>
      </c>
      <c r="M2225" t="s">
        <v>124</v>
      </c>
      <c r="N2225" s="10"/>
      <c r="O2225" t="s">
        <v>125</v>
      </c>
      <c r="Q2225" t="s">
        <v>126</v>
      </c>
      <c r="R2225" t="s">
        <v>124</v>
      </c>
      <c r="S2225" t="b">
        <v>0</v>
      </c>
      <c r="T2225" t="s">
        <v>124</v>
      </c>
    </row>
    <row r="2226">
      <c r="A2226" t="s">
        <v>4287</v>
      </c>
      <c r="B2226" t="s">
        <v>4285</v>
      </c>
      <c r="C2226" s="2">
        <v>2022</v>
      </c>
      <c r="D2226" s="10">
        <v>12</v>
      </c>
      <c r="E2226" s="10">
        <v>7</v>
      </c>
      <c r="F2226" t="s">
        <v>595</v>
      </c>
      <c r="G2226">
        <v>50</v>
      </c>
      <c r="H2226" t="s">
        <v>69</v>
      </c>
      <c r="I2226" t="s">
        <v>150</v>
      </c>
      <c r="J2226" s="10" t="str">
        <f>VLOOKUP(I2226,Categories!A:B,2,FALSE)</f>
        <v xml:space="preserve">Food &amp; Coff</v>
      </c>
      <c r="K2226" t="s">
        <v>178</v>
      </c>
      <c r="L2226" s="10" t="str">
        <f>VLOOKUP(K2226,Accounts!A:B,2,FALSE)</f>
        <v>SCB</v>
      </c>
      <c r="M2226" t="s">
        <v>124</v>
      </c>
      <c r="N2226" s="10"/>
      <c r="O2226" t="s">
        <v>125</v>
      </c>
      <c r="Q2226" t="s">
        <v>126</v>
      </c>
      <c r="R2226" t="s">
        <v>124</v>
      </c>
      <c r="S2226" t="b">
        <v>0</v>
      </c>
      <c r="T2226" t="s">
        <v>124</v>
      </c>
    </row>
    <row r="2227">
      <c r="A2227" t="s">
        <v>4288</v>
      </c>
      <c r="B2227" t="s">
        <v>4285</v>
      </c>
      <c r="C2227" s="2">
        <v>2022</v>
      </c>
      <c r="D2227" s="10">
        <v>12</v>
      </c>
      <c r="E2227" s="10">
        <v>7</v>
      </c>
      <c r="F2227" t="s">
        <v>258</v>
      </c>
      <c r="G2227">
        <v>52</v>
      </c>
      <c r="H2227" t="s">
        <v>69</v>
      </c>
      <c r="I2227" t="s">
        <v>150</v>
      </c>
      <c r="J2227" s="10" t="str">
        <f>VLOOKUP(I2227,Categories!A:B,2,FALSE)</f>
        <v xml:space="preserve">Food &amp; Coff</v>
      </c>
      <c r="K2227" t="s">
        <v>178</v>
      </c>
      <c r="L2227" s="10" t="str">
        <f>VLOOKUP(K2227,Accounts!A:B,2,FALSE)</f>
        <v>SCB</v>
      </c>
      <c r="M2227" t="s">
        <v>124</v>
      </c>
      <c r="N2227" s="10"/>
      <c r="O2227" t="s">
        <v>125</v>
      </c>
      <c r="Q2227" t="s">
        <v>126</v>
      </c>
      <c r="R2227" t="s">
        <v>124</v>
      </c>
      <c r="S2227" t="b">
        <v>0</v>
      </c>
      <c r="T2227" t="s">
        <v>124</v>
      </c>
    </row>
    <row r="2228">
      <c r="A2228" t="s">
        <v>4289</v>
      </c>
      <c r="B2228" t="s">
        <v>4285</v>
      </c>
      <c r="C2228" s="2">
        <v>2022</v>
      </c>
      <c r="D2228" s="10">
        <v>12</v>
      </c>
      <c r="E2228" s="10">
        <v>7</v>
      </c>
      <c r="F2228" t="s">
        <v>4290</v>
      </c>
      <c r="G2228">
        <v>100</v>
      </c>
      <c r="H2228" t="s">
        <v>69</v>
      </c>
      <c r="I2228" t="s">
        <v>150</v>
      </c>
      <c r="J2228" s="10" t="str">
        <f>VLOOKUP(I2228,Categories!A:B,2,FALSE)</f>
        <v xml:space="preserve">Food &amp; Coff</v>
      </c>
      <c r="K2228" t="s">
        <v>123</v>
      </c>
      <c r="L2228" s="10" t="str">
        <f>VLOOKUP(K2228,Accounts!A:B,2,FALSE)</f>
        <v>KBank</v>
      </c>
      <c r="M2228" t="s">
        <v>124</v>
      </c>
      <c r="N2228" s="10"/>
      <c r="O2228" t="s">
        <v>125</v>
      </c>
      <c r="Q2228" t="s">
        <v>126</v>
      </c>
      <c r="R2228" t="s">
        <v>124</v>
      </c>
      <c r="S2228" t="b">
        <v>0</v>
      </c>
      <c r="T2228" t="s">
        <v>124</v>
      </c>
    </row>
    <row r="2229">
      <c r="A2229" t="s">
        <v>4291</v>
      </c>
      <c r="B2229" t="s">
        <v>4292</v>
      </c>
      <c r="C2229" s="2">
        <v>2022</v>
      </c>
      <c r="D2229" s="10">
        <v>12</v>
      </c>
      <c r="E2229" s="10">
        <v>6</v>
      </c>
      <c r="F2229" t="s">
        <v>3932</v>
      </c>
      <c r="G2229">
        <v>110</v>
      </c>
      <c r="H2229" t="s">
        <v>69</v>
      </c>
      <c r="I2229" t="s">
        <v>150</v>
      </c>
      <c r="J2229" s="10" t="str">
        <f>VLOOKUP(I2229,Categories!A:B,2,FALSE)</f>
        <v xml:space="preserve">Food &amp; Coff</v>
      </c>
      <c r="K2229" t="s">
        <v>2317</v>
      </c>
      <c r="L2229" s="10" t="str">
        <f>VLOOKUP(K2229,Accounts!A:B,2,FALSE)</f>
        <v xml:space="preserve">Marriage account</v>
      </c>
      <c r="M2229" t="s">
        <v>124</v>
      </c>
      <c r="N2229" s="10"/>
      <c r="O2229" t="s">
        <v>125</v>
      </c>
      <c r="Q2229" t="s">
        <v>126</v>
      </c>
      <c r="R2229" t="s">
        <v>124</v>
      </c>
      <c r="S2229" t="b">
        <v>0</v>
      </c>
      <c r="T2229" t="s">
        <v>124</v>
      </c>
    </row>
    <row r="2230">
      <c r="A2230" t="s">
        <v>4293</v>
      </c>
      <c r="B2230" t="s">
        <v>4292</v>
      </c>
      <c r="C2230" s="2">
        <v>2022</v>
      </c>
      <c r="D2230" s="10">
        <v>12</v>
      </c>
      <c r="E2230" s="10">
        <v>6</v>
      </c>
      <c r="F2230" t="s">
        <v>3923</v>
      </c>
      <c r="G2230">
        <v>125</v>
      </c>
      <c r="H2230" t="s">
        <v>69</v>
      </c>
      <c r="I2230" t="s">
        <v>3504</v>
      </c>
      <c r="J2230" s="10" t="str">
        <f>VLOOKUP(I2230,Categories!A:B,2,FALSE)</f>
        <v xml:space="preserve">Condo suppliers</v>
      </c>
      <c r="K2230" t="s">
        <v>2317</v>
      </c>
      <c r="L2230" s="10" t="str">
        <f>VLOOKUP(K2230,Accounts!A:B,2,FALSE)</f>
        <v xml:space="preserve">Marriage account</v>
      </c>
      <c r="M2230" t="s">
        <v>124</v>
      </c>
      <c r="N2230" s="10"/>
      <c r="O2230" t="s">
        <v>125</v>
      </c>
      <c r="Q2230" t="s">
        <v>126</v>
      </c>
      <c r="R2230" t="s">
        <v>124</v>
      </c>
      <c r="S2230" t="b">
        <v>0</v>
      </c>
      <c r="T2230" t="s">
        <v>124</v>
      </c>
    </row>
    <row r="2231">
      <c r="A2231" t="s">
        <v>4294</v>
      </c>
      <c r="B2231" t="s">
        <v>4292</v>
      </c>
      <c r="C2231" s="2">
        <v>2022</v>
      </c>
      <c r="D2231" s="10">
        <v>12</v>
      </c>
      <c r="E2231" s="10">
        <v>6</v>
      </c>
      <c r="F2231" t="s">
        <v>763</v>
      </c>
      <c r="G2231">
        <v>50</v>
      </c>
      <c r="H2231" t="s">
        <v>69</v>
      </c>
      <c r="I2231" t="s">
        <v>150</v>
      </c>
      <c r="J2231" s="10" t="str">
        <f>VLOOKUP(I2231,Categories!A:B,2,FALSE)</f>
        <v xml:space="preserve">Food &amp; Coff</v>
      </c>
      <c r="K2231" t="s">
        <v>178</v>
      </c>
      <c r="L2231" s="10" t="str">
        <f>VLOOKUP(K2231,Accounts!A:B,2,FALSE)</f>
        <v>SCB</v>
      </c>
      <c r="M2231" t="s">
        <v>124</v>
      </c>
      <c r="N2231" s="10"/>
      <c r="O2231" t="s">
        <v>125</v>
      </c>
      <c r="Q2231" t="s">
        <v>126</v>
      </c>
      <c r="R2231" t="s">
        <v>124</v>
      </c>
      <c r="S2231" t="b">
        <v>0</v>
      </c>
      <c r="T2231" t="s">
        <v>124</v>
      </c>
    </row>
    <row r="2232">
      <c r="A2232" t="s">
        <v>4295</v>
      </c>
      <c r="B2232" t="s">
        <v>4292</v>
      </c>
      <c r="C2232" s="2">
        <v>2022</v>
      </c>
      <c r="D2232" s="10">
        <v>12</v>
      </c>
      <c r="E2232" s="10">
        <v>6</v>
      </c>
      <c r="F2232" t="s">
        <v>1929</v>
      </c>
      <c r="G2232">
        <v>120</v>
      </c>
      <c r="H2232" t="s">
        <v>69</v>
      </c>
      <c r="I2232" t="s">
        <v>150</v>
      </c>
      <c r="J2232" s="10" t="str">
        <f>VLOOKUP(I2232,Categories!A:B,2,FALSE)</f>
        <v xml:space="preserve">Food &amp; Coff</v>
      </c>
      <c r="K2232" t="s">
        <v>2317</v>
      </c>
      <c r="L2232" s="10" t="str">
        <f>VLOOKUP(K2232,Accounts!A:B,2,FALSE)</f>
        <v xml:space="preserve">Marriage account</v>
      </c>
      <c r="M2232" t="s">
        <v>124</v>
      </c>
      <c r="N2232" s="10"/>
      <c r="O2232" t="s">
        <v>125</v>
      </c>
      <c r="Q2232" t="s">
        <v>126</v>
      </c>
      <c r="R2232" t="s">
        <v>124</v>
      </c>
      <c r="S2232" t="b">
        <v>0</v>
      </c>
      <c r="T2232" t="s">
        <v>124</v>
      </c>
    </row>
    <row r="2233">
      <c r="A2233" t="s">
        <v>4296</v>
      </c>
      <c r="B2233" t="s">
        <v>4297</v>
      </c>
      <c r="C2233" s="2">
        <v>2022</v>
      </c>
      <c r="D2233" s="10">
        <v>12</v>
      </c>
      <c r="E2233" s="10">
        <v>4</v>
      </c>
      <c r="F2233" t="s">
        <v>4298</v>
      </c>
      <c r="G2233">
        <v>110</v>
      </c>
      <c r="H2233" t="s">
        <v>69</v>
      </c>
      <c r="I2233" t="s">
        <v>150</v>
      </c>
      <c r="J2233" s="10" t="str">
        <f>VLOOKUP(I2233,Categories!A:B,2,FALSE)</f>
        <v xml:space="preserve">Food &amp; Coff</v>
      </c>
      <c r="K2233" t="s">
        <v>178</v>
      </c>
      <c r="L2233" s="10" t="str">
        <f>VLOOKUP(K2233,Accounts!A:B,2,FALSE)</f>
        <v>SCB</v>
      </c>
      <c r="M2233" t="s">
        <v>124</v>
      </c>
      <c r="N2233" s="10"/>
      <c r="O2233" t="s">
        <v>125</v>
      </c>
      <c r="Q2233" t="s">
        <v>126</v>
      </c>
      <c r="R2233" t="s">
        <v>124</v>
      </c>
      <c r="S2233" t="b">
        <v>0</v>
      </c>
      <c r="T2233" t="s">
        <v>124</v>
      </c>
    </row>
    <row r="2234">
      <c r="A2234" t="s">
        <v>4299</v>
      </c>
      <c r="B2234" t="s">
        <v>4300</v>
      </c>
      <c r="C2234" s="2">
        <v>2022</v>
      </c>
      <c r="D2234" s="10">
        <v>12</v>
      </c>
      <c r="E2234" s="10">
        <v>2</v>
      </c>
      <c r="F2234" t="s">
        <v>3114</v>
      </c>
      <c r="G2234">
        <v>55</v>
      </c>
      <c r="H2234" t="s">
        <v>69</v>
      </c>
      <c r="I2234" t="s">
        <v>150</v>
      </c>
      <c r="J2234" s="10" t="str">
        <f>VLOOKUP(I2234,Categories!A:B,2,FALSE)</f>
        <v xml:space="preserve">Food &amp; Coff</v>
      </c>
      <c r="K2234" t="s">
        <v>178</v>
      </c>
      <c r="L2234" s="10" t="str">
        <f>VLOOKUP(K2234,Accounts!A:B,2,FALSE)</f>
        <v>SCB</v>
      </c>
      <c r="M2234" t="s">
        <v>124</v>
      </c>
      <c r="N2234" s="10"/>
      <c r="O2234" t="s">
        <v>125</v>
      </c>
      <c r="Q2234" t="s">
        <v>126</v>
      </c>
      <c r="R2234" t="s">
        <v>124</v>
      </c>
      <c r="S2234" t="b">
        <v>0</v>
      </c>
      <c r="T2234" t="s">
        <v>124</v>
      </c>
    </row>
    <row r="2235">
      <c r="A2235" t="s">
        <v>4301</v>
      </c>
      <c r="B2235" t="s">
        <v>4300</v>
      </c>
      <c r="C2235" s="2">
        <v>2022</v>
      </c>
      <c r="D2235" s="10">
        <v>12</v>
      </c>
      <c r="E2235" s="10">
        <v>2</v>
      </c>
      <c r="F2235" t="s">
        <v>228</v>
      </c>
      <c r="G2235">
        <v>82</v>
      </c>
      <c r="H2235" t="s">
        <v>69</v>
      </c>
      <c r="I2235" t="s">
        <v>150</v>
      </c>
      <c r="J2235" s="10" t="str">
        <f>VLOOKUP(I2235,Categories!A:B,2,FALSE)</f>
        <v xml:space="preserve">Food &amp; Coff</v>
      </c>
      <c r="K2235" t="s">
        <v>178</v>
      </c>
      <c r="L2235" s="10" t="str">
        <f>VLOOKUP(K2235,Accounts!A:B,2,FALSE)</f>
        <v>SCB</v>
      </c>
      <c r="M2235" t="s">
        <v>124</v>
      </c>
      <c r="N2235" s="10"/>
      <c r="O2235" t="s">
        <v>125</v>
      </c>
      <c r="Q2235" t="s">
        <v>126</v>
      </c>
      <c r="R2235" t="s">
        <v>124</v>
      </c>
      <c r="S2235" t="b">
        <v>0</v>
      </c>
      <c r="T2235" t="s">
        <v>124</v>
      </c>
    </row>
    <row r="2236">
      <c r="A2236" t="s">
        <v>4302</v>
      </c>
      <c r="B2236" t="s">
        <v>4300</v>
      </c>
      <c r="C2236" s="2">
        <v>2022</v>
      </c>
      <c r="D2236" s="10">
        <v>12</v>
      </c>
      <c r="E2236" s="10">
        <v>2</v>
      </c>
      <c r="F2236" t="s">
        <v>2461</v>
      </c>
      <c r="G2236">
        <v>558</v>
      </c>
      <c r="H2236" t="s">
        <v>69</v>
      </c>
      <c r="I2236" t="s">
        <v>150</v>
      </c>
      <c r="J2236" s="10" t="str">
        <f>VLOOKUP(I2236,Categories!A:B,2,FALSE)</f>
        <v xml:space="preserve">Food &amp; Coff</v>
      </c>
      <c r="K2236" t="s">
        <v>178</v>
      </c>
      <c r="L2236" s="10" t="str">
        <f>VLOOKUP(K2236,Accounts!A:B,2,FALSE)</f>
        <v>SCB</v>
      </c>
      <c r="M2236" t="s">
        <v>124</v>
      </c>
      <c r="N2236" s="10"/>
      <c r="O2236" t="s">
        <v>125</v>
      </c>
      <c r="Q2236" t="s">
        <v>126</v>
      </c>
      <c r="R2236" t="s">
        <v>124</v>
      </c>
      <c r="S2236" t="b">
        <v>0</v>
      </c>
      <c r="T2236" t="s">
        <v>124</v>
      </c>
    </row>
    <row r="2237">
      <c r="A2237" t="s">
        <v>4303</v>
      </c>
      <c r="B2237" t="s">
        <v>4300</v>
      </c>
      <c r="C2237" s="2">
        <v>2022</v>
      </c>
      <c r="D2237" s="10">
        <v>12</v>
      </c>
      <c r="E2237" s="10">
        <v>2</v>
      </c>
      <c r="F2237" t="s">
        <v>2572</v>
      </c>
      <c r="G2237">
        <v>95</v>
      </c>
      <c r="H2237" t="s">
        <v>69</v>
      </c>
      <c r="I2237" t="s">
        <v>150</v>
      </c>
      <c r="J2237" s="10" t="str">
        <f>VLOOKUP(I2237,Categories!A:B,2,FALSE)</f>
        <v xml:space="preserve">Food &amp; Coff</v>
      </c>
      <c r="K2237" t="s">
        <v>178</v>
      </c>
      <c r="L2237" s="10" t="str">
        <f>VLOOKUP(K2237,Accounts!A:B,2,FALSE)</f>
        <v>SCB</v>
      </c>
      <c r="M2237" t="s">
        <v>124</v>
      </c>
      <c r="N2237" s="10"/>
      <c r="O2237" t="s">
        <v>125</v>
      </c>
      <c r="Q2237" t="s">
        <v>126</v>
      </c>
      <c r="R2237" t="s">
        <v>124</v>
      </c>
      <c r="S2237" t="b">
        <v>0</v>
      </c>
      <c r="T2237" t="s">
        <v>124</v>
      </c>
    </row>
    <row r="2238">
      <c r="A2238" t="s">
        <v>4304</v>
      </c>
      <c r="B2238" t="s">
        <v>4305</v>
      </c>
      <c r="C2238" s="2">
        <v>2022</v>
      </c>
      <c r="D2238" s="10">
        <v>12</v>
      </c>
      <c r="E2238" s="10">
        <v>1</v>
      </c>
      <c r="F2238" t="s">
        <v>4306</v>
      </c>
      <c r="G2238">
        <v>130</v>
      </c>
      <c r="H2238" t="s">
        <v>69</v>
      </c>
      <c r="I2238" t="s">
        <v>150</v>
      </c>
      <c r="J2238" s="10" t="str">
        <f>VLOOKUP(I2238,Categories!A:B,2,FALSE)</f>
        <v xml:space="preserve">Food &amp; Coff</v>
      </c>
      <c r="K2238" t="s">
        <v>2317</v>
      </c>
      <c r="L2238" s="10" t="str">
        <f>VLOOKUP(K2238,Accounts!A:B,2,FALSE)</f>
        <v xml:space="preserve">Marriage account</v>
      </c>
      <c r="M2238" t="s">
        <v>124</v>
      </c>
      <c r="N2238" s="10"/>
      <c r="O2238" t="s">
        <v>125</v>
      </c>
      <c r="Q2238" t="s">
        <v>126</v>
      </c>
      <c r="R2238" t="s">
        <v>124</v>
      </c>
      <c r="S2238" t="b">
        <v>0</v>
      </c>
      <c r="T2238" t="s">
        <v>124</v>
      </c>
    </row>
    <row r="2239">
      <c r="A2239" t="s">
        <v>4307</v>
      </c>
      <c r="B2239" t="s">
        <v>4305</v>
      </c>
      <c r="C2239" s="2">
        <v>2022</v>
      </c>
      <c r="D2239" s="10">
        <v>12</v>
      </c>
      <c r="E2239" s="10">
        <v>1</v>
      </c>
      <c r="F2239" t="s">
        <v>4308</v>
      </c>
      <c r="G2239">
        <v>55</v>
      </c>
      <c r="H2239" t="s">
        <v>69</v>
      </c>
      <c r="I2239" t="s">
        <v>150</v>
      </c>
      <c r="J2239" s="10" t="str">
        <f>VLOOKUP(I2239,Categories!A:B,2,FALSE)</f>
        <v xml:space="preserve">Food &amp; Coff</v>
      </c>
      <c r="K2239" t="s">
        <v>178</v>
      </c>
      <c r="L2239" s="10" t="str">
        <f>VLOOKUP(K2239,Accounts!A:B,2,FALSE)</f>
        <v>SCB</v>
      </c>
      <c r="M2239" t="s">
        <v>124</v>
      </c>
      <c r="N2239" s="10"/>
      <c r="O2239" t="s">
        <v>125</v>
      </c>
      <c r="Q2239" t="s">
        <v>126</v>
      </c>
      <c r="R2239" t="s">
        <v>124</v>
      </c>
      <c r="S2239" t="b">
        <v>0</v>
      </c>
      <c r="T2239" t="s">
        <v>124</v>
      </c>
    </row>
    <row r="2240">
      <c r="A2240" t="s">
        <v>4309</v>
      </c>
      <c r="B2240" t="s">
        <v>4305</v>
      </c>
      <c r="C2240" s="2">
        <v>2022</v>
      </c>
      <c r="D2240" s="10">
        <v>12</v>
      </c>
      <c r="E2240" s="10">
        <v>1</v>
      </c>
      <c r="F2240" t="s">
        <v>4310</v>
      </c>
      <c r="G2240">
        <v>200</v>
      </c>
      <c r="H2240" t="s">
        <v>69</v>
      </c>
      <c r="I2240" t="s">
        <v>150</v>
      </c>
      <c r="J2240" s="10" t="str">
        <f>VLOOKUP(I2240,Categories!A:B,2,FALSE)</f>
        <v xml:space="preserve">Food &amp; Coff</v>
      </c>
      <c r="K2240" t="s">
        <v>178</v>
      </c>
      <c r="L2240" s="10" t="str">
        <f>VLOOKUP(K2240,Accounts!A:B,2,FALSE)</f>
        <v>SCB</v>
      </c>
      <c r="M2240" t="s">
        <v>124</v>
      </c>
      <c r="N2240" s="10"/>
      <c r="O2240" t="s">
        <v>125</v>
      </c>
      <c r="Q2240" t="s">
        <v>126</v>
      </c>
      <c r="R2240" t="s">
        <v>124</v>
      </c>
      <c r="S2240" t="b">
        <v>0</v>
      </c>
      <c r="T2240" t="s">
        <v>124</v>
      </c>
    </row>
    <row r="2241">
      <c r="A2241" t="s">
        <v>4311</v>
      </c>
      <c r="B2241" t="s">
        <v>4305</v>
      </c>
      <c r="C2241" s="2">
        <v>2022</v>
      </c>
      <c r="D2241" s="10">
        <v>12</v>
      </c>
      <c r="E2241" s="10">
        <v>1</v>
      </c>
      <c r="F2241" t="s">
        <v>1822</v>
      </c>
      <c r="G2241">
        <v>124</v>
      </c>
      <c r="H2241" t="s">
        <v>69</v>
      </c>
      <c r="I2241" t="s">
        <v>150</v>
      </c>
      <c r="J2241" s="10" t="str">
        <f>VLOOKUP(I2241,Categories!A:B,2,FALSE)</f>
        <v xml:space="preserve">Food &amp; Coff</v>
      </c>
      <c r="K2241" t="s">
        <v>2317</v>
      </c>
      <c r="L2241" s="10" t="str">
        <f>VLOOKUP(K2241,Accounts!A:B,2,FALSE)</f>
        <v xml:space="preserve">Marriage account</v>
      </c>
      <c r="M2241" t="s">
        <v>124</v>
      </c>
      <c r="N2241" s="10"/>
      <c r="O2241" t="s">
        <v>125</v>
      </c>
      <c r="Q2241" t="s">
        <v>126</v>
      </c>
      <c r="R2241" t="s">
        <v>124</v>
      </c>
      <c r="S2241" t="b">
        <v>0</v>
      </c>
      <c r="T2241" t="s">
        <v>124</v>
      </c>
    </row>
    <row r="2242">
      <c r="A2242" t="s">
        <v>4312</v>
      </c>
      <c r="B2242" t="s">
        <v>4305</v>
      </c>
      <c r="C2242" s="2">
        <v>2022</v>
      </c>
      <c r="D2242" s="10">
        <v>12</v>
      </c>
      <c r="E2242" s="10">
        <v>1</v>
      </c>
      <c r="F2242" t="s">
        <v>3390</v>
      </c>
      <c r="G2242">
        <v>375</v>
      </c>
      <c r="H2242" t="s">
        <v>69</v>
      </c>
      <c r="I2242" t="s">
        <v>150</v>
      </c>
      <c r="J2242" s="10" t="str">
        <f>VLOOKUP(I2242,Categories!A:B,2,FALSE)</f>
        <v xml:space="preserve">Food &amp; Coff</v>
      </c>
      <c r="K2242" t="s">
        <v>2317</v>
      </c>
      <c r="L2242" s="10" t="str">
        <f>VLOOKUP(K2242,Accounts!A:B,2,FALSE)</f>
        <v xml:space="preserve">Marriage account</v>
      </c>
      <c r="M2242" t="s">
        <v>124</v>
      </c>
      <c r="N2242" s="10"/>
      <c r="O2242" t="s">
        <v>125</v>
      </c>
      <c r="Q2242" t="s">
        <v>126</v>
      </c>
      <c r="R2242" t="s">
        <v>124</v>
      </c>
      <c r="S2242" t="b">
        <v>0</v>
      </c>
      <c r="T2242" t="s">
        <v>124</v>
      </c>
    </row>
    <row r="2243">
      <c r="A2243" t="s">
        <v>4313</v>
      </c>
      <c r="B2243" t="s">
        <v>4305</v>
      </c>
      <c r="C2243" s="2">
        <v>2022</v>
      </c>
      <c r="D2243" s="10">
        <v>12</v>
      </c>
      <c r="E2243" s="10">
        <v>1</v>
      </c>
      <c r="F2243" t="s">
        <v>3390</v>
      </c>
      <c r="G2243">
        <v>120</v>
      </c>
      <c r="H2243" t="s">
        <v>69</v>
      </c>
      <c r="I2243" t="s">
        <v>150</v>
      </c>
      <c r="J2243" s="10" t="str">
        <f>VLOOKUP(I2243,Categories!A:B,2,FALSE)</f>
        <v xml:space="preserve">Food &amp; Coff</v>
      </c>
      <c r="K2243" t="s">
        <v>2317</v>
      </c>
      <c r="L2243" s="10" t="str">
        <f>VLOOKUP(K2243,Accounts!A:B,2,FALSE)</f>
        <v xml:space="preserve">Marriage account</v>
      </c>
      <c r="M2243" t="s">
        <v>124</v>
      </c>
      <c r="N2243" s="10"/>
      <c r="O2243" t="s">
        <v>125</v>
      </c>
      <c r="Q2243" t="s">
        <v>126</v>
      </c>
      <c r="R2243" t="s">
        <v>124</v>
      </c>
      <c r="S2243" t="b">
        <v>0</v>
      </c>
      <c r="T2243" t="s">
        <v>124</v>
      </c>
    </row>
    <row r="2244">
      <c r="A2244" t="s">
        <v>4314</v>
      </c>
      <c r="B2244" t="s">
        <v>4315</v>
      </c>
      <c r="C2244" s="2">
        <v>2022</v>
      </c>
      <c r="D2244" s="10">
        <v>11</v>
      </c>
      <c r="E2244" s="10">
        <v>30</v>
      </c>
      <c r="F2244" t="s">
        <v>3282</v>
      </c>
      <c r="G2244">
        <v>723</v>
      </c>
      <c r="H2244" t="s">
        <v>128</v>
      </c>
      <c r="I2244" t="s">
        <v>136</v>
      </c>
      <c r="J2244" s="10" t="str">
        <f>VLOOKUP(I2244,Categories!A:B,2,FALSE)</f>
        <v>อื่นๆ</v>
      </c>
      <c r="K2244" t="s">
        <v>2317</v>
      </c>
      <c r="L2244" s="10" t="str">
        <f>VLOOKUP(K2244,Accounts!A:B,2,FALSE)</f>
        <v xml:space="preserve">Marriage account</v>
      </c>
      <c r="M2244" t="s">
        <v>178</v>
      </c>
      <c r="N2244" s="10" t="str">
        <f>VLOOKUP(M2244,Accounts!A:B,2,FALSE)</f>
        <v>SCB</v>
      </c>
      <c r="O2244" t="s">
        <v>125</v>
      </c>
      <c r="Q2244" t="s">
        <v>126</v>
      </c>
      <c r="R2244" t="s">
        <v>124</v>
      </c>
      <c r="S2244" t="b">
        <v>0</v>
      </c>
      <c r="T2244" t="s">
        <v>124</v>
      </c>
    </row>
    <row r="2245">
      <c r="A2245" t="s">
        <v>4316</v>
      </c>
      <c r="B2245" t="s">
        <v>4315</v>
      </c>
      <c r="C2245" s="2">
        <v>2022</v>
      </c>
      <c r="D2245" s="10">
        <v>11</v>
      </c>
      <c r="E2245" s="10">
        <v>30</v>
      </c>
      <c r="F2245" t="s">
        <v>234</v>
      </c>
      <c r="G2245">
        <v>3190</v>
      </c>
      <c r="H2245" t="s">
        <v>69</v>
      </c>
      <c r="I2245" t="s">
        <v>141</v>
      </c>
      <c r="J2245" s="10" t="str">
        <f>VLOOKUP(I2245,Categories!A:B,2,FALSE)</f>
        <v>Other</v>
      </c>
      <c r="K2245" t="s">
        <v>2862</v>
      </c>
      <c r="L2245" s="10" t="str">
        <f>VLOOKUP(K2245,Accounts!A:B,2,FALSE)</f>
        <v xml:space="preserve">Kbank onesiam</v>
      </c>
      <c r="M2245" t="s">
        <v>124</v>
      </c>
      <c r="N2245" s="10"/>
      <c r="O2245" t="s">
        <v>4317</v>
      </c>
      <c r="Q2245" t="s">
        <v>126</v>
      </c>
      <c r="R2245" t="s">
        <v>124</v>
      </c>
      <c r="S2245" t="b">
        <v>0</v>
      </c>
      <c r="T2245" t="s">
        <v>124</v>
      </c>
    </row>
    <row r="2246">
      <c r="A2246" t="s">
        <v>4318</v>
      </c>
      <c r="B2246" t="s">
        <v>4315</v>
      </c>
      <c r="C2246" s="2">
        <v>2022</v>
      </c>
      <c r="D2246" s="10">
        <v>11</v>
      </c>
      <c r="E2246" s="10">
        <v>30</v>
      </c>
      <c r="F2246" t="s">
        <v>4290</v>
      </c>
      <c r="G2246">
        <v>130</v>
      </c>
      <c r="H2246" t="s">
        <v>69</v>
      </c>
      <c r="I2246" t="s">
        <v>150</v>
      </c>
      <c r="J2246" s="10" t="str">
        <f>VLOOKUP(I2246,Categories!A:B,2,FALSE)</f>
        <v xml:space="preserve">Food &amp; Coff</v>
      </c>
      <c r="K2246" t="s">
        <v>123</v>
      </c>
      <c r="L2246" s="10" t="str">
        <f>VLOOKUP(K2246,Accounts!A:B,2,FALSE)</f>
        <v>KBank</v>
      </c>
      <c r="M2246" t="s">
        <v>124</v>
      </c>
      <c r="N2246" s="10"/>
      <c r="O2246" t="s">
        <v>125</v>
      </c>
      <c r="Q2246" t="s">
        <v>126</v>
      </c>
      <c r="R2246" t="s">
        <v>124</v>
      </c>
      <c r="S2246" t="b">
        <v>0</v>
      </c>
      <c r="T2246" t="s">
        <v>124</v>
      </c>
    </row>
    <row r="2247">
      <c r="A2247" t="s">
        <v>4319</v>
      </c>
      <c r="B2247" t="s">
        <v>4320</v>
      </c>
      <c r="C2247" s="2">
        <v>2022</v>
      </c>
      <c r="D2247" s="10">
        <v>11</v>
      </c>
      <c r="E2247" s="10">
        <v>29</v>
      </c>
      <c r="F2247" t="s">
        <v>4037</v>
      </c>
      <c r="G2247">
        <v>55</v>
      </c>
      <c r="H2247" t="s">
        <v>69</v>
      </c>
      <c r="I2247" t="s">
        <v>150</v>
      </c>
      <c r="J2247" s="10" t="str">
        <f>VLOOKUP(I2247,Categories!A:B,2,FALSE)</f>
        <v xml:space="preserve">Food &amp; Coff</v>
      </c>
      <c r="K2247" t="s">
        <v>178</v>
      </c>
      <c r="L2247" s="10" t="str">
        <f>VLOOKUP(K2247,Accounts!A:B,2,FALSE)</f>
        <v>SCB</v>
      </c>
      <c r="M2247" t="s">
        <v>124</v>
      </c>
      <c r="N2247" s="10"/>
      <c r="O2247" t="s">
        <v>125</v>
      </c>
      <c r="Q2247" t="s">
        <v>126</v>
      </c>
      <c r="R2247" t="s">
        <v>124</v>
      </c>
      <c r="S2247" t="b">
        <v>0</v>
      </c>
      <c r="T2247" t="s">
        <v>124</v>
      </c>
    </row>
    <row r="2248">
      <c r="A2248" t="s">
        <v>4321</v>
      </c>
      <c r="B2248" t="s">
        <v>4320</v>
      </c>
      <c r="C2248" s="2">
        <v>2022</v>
      </c>
      <c r="D2248" s="10">
        <v>11</v>
      </c>
      <c r="E2248" s="10">
        <v>29</v>
      </c>
      <c r="F2248" t="s">
        <v>2709</v>
      </c>
      <c r="G2248">
        <v>60</v>
      </c>
      <c r="H2248" t="s">
        <v>69</v>
      </c>
      <c r="I2248" t="s">
        <v>150</v>
      </c>
      <c r="J2248" s="10" t="str">
        <f>VLOOKUP(I2248,Categories!A:B,2,FALSE)</f>
        <v xml:space="preserve">Food &amp; Coff</v>
      </c>
      <c r="K2248" t="s">
        <v>178</v>
      </c>
      <c r="L2248" s="10" t="str">
        <f>VLOOKUP(K2248,Accounts!A:B,2,FALSE)</f>
        <v>SCB</v>
      </c>
      <c r="M2248" t="s">
        <v>124</v>
      </c>
      <c r="N2248" s="10"/>
      <c r="O2248" t="s">
        <v>125</v>
      </c>
      <c r="Q2248" t="s">
        <v>126</v>
      </c>
      <c r="R2248" t="s">
        <v>124</v>
      </c>
      <c r="S2248" t="b">
        <v>0</v>
      </c>
      <c r="T2248" t="s">
        <v>124</v>
      </c>
    </row>
    <row r="2249">
      <c r="A2249" t="s">
        <v>4322</v>
      </c>
      <c r="B2249" t="s">
        <v>4323</v>
      </c>
      <c r="C2249" s="2">
        <v>2022</v>
      </c>
      <c r="D2249" s="10">
        <v>11</v>
      </c>
      <c r="E2249" s="10">
        <v>28</v>
      </c>
      <c r="F2249" t="s">
        <v>121</v>
      </c>
      <c r="G2249">
        <v>5000</v>
      </c>
      <c r="H2249" t="s">
        <v>69</v>
      </c>
      <c r="I2249" t="s">
        <v>144</v>
      </c>
      <c r="J2249" s="10" t="str">
        <f>VLOOKUP(I2249,Categories!A:B,2,FALSE)</f>
        <v xml:space="preserve">Family paid</v>
      </c>
      <c r="K2249" t="s">
        <v>123</v>
      </c>
      <c r="L2249" s="10" t="str">
        <f>VLOOKUP(K2249,Accounts!A:B,2,FALSE)</f>
        <v>KBank</v>
      </c>
      <c r="M2249" t="s">
        <v>124</v>
      </c>
      <c r="N2249" s="10"/>
      <c r="O2249" t="s">
        <v>125</v>
      </c>
      <c r="Q2249" t="s">
        <v>126</v>
      </c>
      <c r="R2249" t="s">
        <v>124</v>
      </c>
      <c r="S2249" t="b">
        <v>0</v>
      </c>
      <c r="T2249" t="s">
        <v>124</v>
      </c>
    </row>
    <row r="2250">
      <c r="A2250" t="s">
        <v>4324</v>
      </c>
      <c r="B2250" t="s">
        <v>4323</v>
      </c>
      <c r="C2250" s="2">
        <v>2022</v>
      </c>
      <c r="D2250" s="10">
        <v>11</v>
      </c>
      <c r="E2250" s="10">
        <v>28</v>
      </c>
      <c r="F2250" t="s">
        <v>2699</v>
      </c>
      <c r="G2250">
        <v>55</v>
      </c>
      <c r="H2250" t="s">
        <v>69</v>
      </c>
      <c r="I2250" t="s">
        <v>150</v>
      </c>
      <c r="J2250" s="10" t="str">
        <f>VLOOKUP(I2250,Categories!A:B,2,FALSE)</f>
        <v xml:space="preserve">Food &amp; Coff</v>
      </c>
      <c r="K2250" t="s">
        <v>178</v>
      </c>
      <c r="L2250" s="10" t="str">
        <f>VLOOKUP(K2250,Accounts!A:B,2,FALSE)</f>
        <v>SCB</v>
      </c>
      <c r="M2250" t="s">
        <v>124</v>
      </c>
      <c r="N2250" s="10"/>
      <c r="O2250" t="s">
        <v>125</v>
      </c>
      <c r="Q2250" t="s">
        <v>126</v>
      </c>
      <c r="R2250" t="s">
        <v>124</v>
      </c>
      <c r="S2250" t="b">
        <v>0</v>
      </c>
      <c r="T2250" t="s">
        <v>124</v>
      </c>
    </row>
    <row r="2251">
      <c r="A2251" t="s">
        <v>4325</v>
      </c>
      <c r="B2251" t="s">
        <v>4323</v>
      </c>
      <c r="C2251" s="2">
        <v>2022</v>
      </c>
      <c r="D2251" s="10">
        <v>11</v>
      </c>
      <c r="E2251" s="10">
        <v>28</v>
      </c>
      <c r="F2251" t="s">
        <v>2181</v>
      </c>
      <c r="G2251">
        <v>65</v>
      </c>
      <c r="H2251" t="s">
        <v>69</v>
      </c>
      <c r="I2251" t="s">
        <v>150</v>
      </c>
      <c r="J2251" s="10" t="str">
        <f>VLOOKUP(I2251,Categories!A:B,2,FALSE)</f>
        <v xml:space="preserve">Food &amp; Coff</v>
      </c>
      <c r="K2251" t="s">
        <v>178</v>
      </c>
      <c r="L2251" s="10" t="str">
        <f>VLOOKUP(K2251,Accounts!A:B,2,FALSE)</f>
        <v>SCB</v>
      </c>
      <c r="M2251" t="s">
        <v>124</v>
      </c>
      <c r="N2251" s="10"/>
      <c r="O2251" t="s">
        <v>125</v>
      </c>
      <c r="Q2251" t="s">
        <v>126</v>
      </c>
      <c r="R2251" t="s">
        <v>124</v>
      </c>
      <c r="S2251" t="b">
        <v>0</v>
      </c>
      <c r="T2251" t="s">
        <v>124</v>
      </c>
    </row>
    <row r="2252">
      <c r="A2252" t="s">
        <v>4326</v>
      </c>
      <c r="B2252" t="s">
        <v>4323</v>
      </c>
      <c r="C2252" s="2">
        <v>2022</v>
      </c>
      <c r="D2252" s="10">
        <v>11</v>
      </c>
      <c r="E2252" s="10">
        <v>28</v>
      </c>
      <c r="F2252" t="s">
        <v>1125</v>
      </c>
      <c r="G2252">
        <v>300</v>
      </c>
      <c r="H2252" t="s">
        <v>69</v>
      </c>
      <c r="I2252" t="s">
        <v>259</v>
      </c>
      <c r="J2252" s="10" t="str">
        <f>VLOOKUP(I2252,Categories!A:B,2,FALSE)</f>
        <v xml:space="preserve">Team BOT</v>
      </c>
      <c r="K2252" t="s">
        <v>178</v>
      </c>
      <c r="L2252" s="10" t="str">
        <f>VLOOKUP(K2252,Accounts!A:B,2,FALSE)</f>
        <v>SCB</v>
      </c>
      <c r="M2252" t="s">
        <v>124</v>
      </c>
      <c r="N2252" s="10"/>
      <c r="O2252" t="s">
        <v>1575</v>
      </c>
      <c r="Q2252" t="s">
        <v>126</v>
      </c>
      <c r="R2252" t="s">
        <v>124</v>
      </c>
      <c r="S2252" t="b">
        <v>0</v>
      </c>
      <c r="T2252" t="s">
        <v>124</v>
      </c>
    </row>
    <row r="2253">
      <c r="A2253" t="s">
        <v>4327</v>
      </c>
      <c r="B2253" t="s">
        <v>4323</v>
      </c>
      <c r="C2253" s="2">
        <v>2022</v>
      </c>
      <c r="D2253" s="10">
        <v>11</v>
      </c>
      <c r="E2253" s="10">
        <v>28</v>
      </c>
      <c r="F2253" t="s">
        <v>3590</v>
      </c>
      <c r="G2253">
        <v>209</v>
      </c>
      <c r="H2253" t="s">
        <v>128</v>
      </c>
      <c r="I2253" t="s">
        <v>136</v>
      </c>
      <c r="J2253" s="10" t="str">
        <f>VLOOKUP(I2253,Categories!A:B,2,FALSE)</f>
        <v>อื่นๆ</v>
      </c>
      <c r="K2253" t="s">
        <v>1760</v>
      </c>
      <c r="L2253" s="10" t="str">
        <f>VLOOKUP(K2253,Accounts!A:B,2,FALSE)</f>
        <v xml:space="preserve">Kbank shopee</v>
      </c>
      <c r="M2253" t="s">
        <v>131</v>
      </c>
      <c r="N2253" s="10" t="str">
        <f>VLOOKUP(M2253,Accounts!A:B,2,FALSE)</f>
        <v xml:space="preserve">Advance Paid</v>
      </c>
      <c r="O2253" t="s">
        <v>125</v>
      </c>
      <c r="Q2253" t="s">
        <v>126</v>
      </c>
      <c r="R2253" t="s">
        <v>124</v>
      </c>
      <c r="S2253" t="b">
        <v>0</v>
      </c>
      <c r="T2253" t="s">
        <v>124</v>
      </c>
    </row>
    <row r="2254">
      <c r="A2254" t="s">
        <v>4328</v>
      </c>
      <c r="B2254" t="s">
        <v>4323</v>
      </c>
      <c r="C2254" s="2">
        <v>2022</v>
      </c>
      <c r="D2254" s="10">
        <v>11</v>
      </c>
      <c r="E2254" s="10">
        <v>28</v>
      </c>
      <c r="F2254" t="s">
        <v>3950</v>
      </c>
      <c r="G2254">
        <v>1713</v>
      </c>
      <c r="H2254" t="s">
        <v>128</v>
      </c>
      <c r="I2254" t="s">
        <v>136</v>
      </c>
      <c r="J2254" s="10" t="str">
        <f>VLOOKUP(I2254,Categories!A:B,2,FALSE)</f>
        <v>อื่นๆ</v>
      </c>
      <c r="K2254" t="s">
        <v>1308</v>
      </c>
      <c r="L2254" s="10" t="str">
        <f>VLOOKUP(K2254,Accounts!A:B,2,FALSE)</f>
        <v xml:space="preserve">UOB Privilages</v>
      </c>
      <c r="M2254" t="s">
        <v>131</v>
      </c>
      <c r="N2254" s="10" t="str">
        <f>VLOOKUP(M2254,Accounts!A:B,2,FALSE)</f>
        <v xml:space="preserve">Advance Paid</v>
      </c>
      <c r="O2254" t="s">
        <v>4329</v>
      </c>
      <c r="Q2254" t="s">
        <v>126</v>
      </c>
      <c r="R2254" t="s">
        <v>124</v>
      </c>
      <c r="S2254" t="b">
        <v>0</v>
      </c>
      <c r="T2254" t="s">
        <v>124</v>
      </c>
    </row>
    <row r="2255">
      <c r="A2255" t="s">
        <v>4330</v>
      </c>
      <c r="B2255" t="s">
        <v>4331</v>
      </c>
      <c r="C2255" s="2">
        <v>2022</v>
      </c>
      <c r="D2255" s="10">
        <v>11</v>
      </c>
      <c r="E2255" s="10">
        <v>27</v>
      </c>
      <c r="F2255" t="s">
        <v>1797</v>
      </c>
      <c r="G2255">
        <v>115</v>
      </c>
      <c r="H2255" t="s">
        <v>69</v>
      </c>
      <c r="I2255" t="s">
        <v>150</v>
      </c>
      <c r="J2255" s="10" t="str">
        <f>VLOOKUP(I2255,Categories!A:B,2,FALSE)</f>
        <v xml:space="preserve">Food &amp; Coff</v>
      </c>
      <c r="K2255" t="s">
        <v>2317</v>
      </c>
      <c r="L2255" s="10" t="str">
        <f>VLOOKUP(K2255,Accounts!A:B,2,FALSE)</f>
        <v xml:space="preserve">Marriage account</v>
      </c>
      <c r="M2255" t="s">
        <v>124</v>
      </c>
      <c r="N2255" s="10"/>
      <c r="O2255" t="s">
        <v>125</v>
      </c>
      <c r="Q2255" t="s">
        <v>126</v>
      </c>
      <c r="R2255" t="s">
        <v>124</v>
      </c>
      <c r="S2255" t="b">
        <v>0</v>
      </c>
      <c r="T2255" t="s">
        <v>124</v>
      </c>
    </row>
    <row r="2256">
      <c r="A2256" t="s">
        <v>4332</v>
      </c>
      <c r="B2256" t="s">
        <v>4331</v>
      </c>
      <c r="C2256" s="2">
        <v>2022</v>
      </c>
      <c r="D2256" s="10">
        <v>11</v>
      </c>
      <c r="E2256" s="10">
        <v>27</v>
      </c>
      <c r="F2256" t="s">
        <v>147</v>
      </c>
      <c r="G2256">
        <v>186</v>
      </c>
      <c r="H2256" t="s">
        <v>128</v>
      </c>
      <c r="I2256" t="s">
        <v>136</v>
      </c>
      <c r="J2256" s="10" t="str">
        <f>VLOOKUP(I2256,Categories!A:B,2,FALSE)</f>
        <v>อื่นๆ</v>
      </c>
      <c r="K2256" t="s">
        <v>747</v>
      </c>
      <c r="L2256" s="10" t="str">
        <f>VLOOKUP(K2256,Accounts!A:B,2,FALSE)</f>
        <v xml:space="preserve">UOB world</v>
      </c>
      <c r="M2256" t="s">
        <v>131</v>
      </c>
      <c r="N2256" s="10" t="str">
        <f>VLOOKUP(M2256,Accounts!A:B,2,FALSE)</f>
        <v xml:space="preserve">Advance Paid</v>
      </c>
      <c r="O2256" t="s">
        <v>4333</v>
      </c>
      <c r="Q2256" t="s">
        <v>126</v>
      </c>
      <c r="R2256" t="s">
        <v>124</v>
      </c>
      <c r="S2256" t="b">
        <v>0</v>
      </c>
      <c r="T2256" t="s">
        <v>124</v>
      </c>
    </row>
    <row r="2257">
      <c r="A2257" t="s">
        <v>4334</v>
      </c>
      <c r="B2257" t="s">
        <v>4331</v>
      </c>
      <c r="C2257" s="2">
        <v>2022</v>
      </c>
      <c r="D2257" s="10">
        <v>11</v>
      </c>
      <c r="E2257" s="10">
        <v>27</v>
      </c>
      <c r="F2257" t="s">
        <v>147</v>
      </c>
      <c r="G2257">
        <v>338</v>
      </c>
      <c r="H2257" t="s">
        <v>69</v>
      </c>
      <c r="I2257" t="s">
        <v>3504</v>
      </c>
      <c r="J2257" s="10" t="str">
        <f>VLOOKUP(I2257,Categories!A:B,2,FALSE)</f>
        <v xml:space="preserve">Condo suppliers</v>
      </c>
      <c r="K2257" t="s">
        <v>2317</v>
      </c>
      <c r="L2257" s="10" t="str">
        <f>VLOOKUP(K2257,Accounts!A:B,2,FALSE)</f>
        <v xml:space="preserve">Marriage account</v>
      </c>
      <c r="M2257" t="s">
        <v>124</v>
      </c>
      <c r="N2257" s="10"/>
      <c r="O2257" t="s">
        <v>125</v>
      </c>
      <c r="Q2257" t="s">
        <v>126</v>
      </c>
      <c r="R2257" t="s">
        <v>124</v>
      </c>
      <c r="S2257" t="b">
        <v>0</v>
      </c>
      <c r="T2257" t="s">
        <v>124</v>
      </c>
    </row>
    <row r="2258">
      <c r="A2258" t="s">
        <v>4335</v>
      </c>
      <c r="B2258" t="s">
        <v>4331</v>
      </c>
      <c r="C2258" s="2">
        <v>2022</v>
      </c>
      <c r="D2258" s="10">
        <v>11</v>
      </c>
      <c r="E2258" s="10">
        <v>27</v>
      </c>
      <c r="F2258" t="s">
        <v>185</v>
      </c>
      <c r="G2258">
        <v>149</v>
      </c>
      <c r="H2258" t="s">
        <v>69</v>
      </c>
      <c r="I2258" t="s">
        <v>150</v>
      </c>
      <c r="J2258" s="10" t="str">
        <f>VLOOKUP(I2258,Categories!A:B,2,FALSE)</f>
        <v xml:space="preserve">Food &amp; Coff</v>
      </c>
      <c r="K2258" t="s">
        <v>2317</v>
      </c>
      <c r="L2258" s="10" t="str">
        <f>VLOOKUP(K2258,Accounts!A:B,2,FALSE)</f>
        <v xml:space="preserve">Marriage account</v>
      </c>
      <c r="M2258" t="s">
        <v>124</v>
      </c>
      <c r="N2258" s="10"/>
      <c r="O2258" t="s">
        <v>125</v>
      </c>
      <c r="Q2258" t="s">
        <v>126</v>
      </c>
      <c r="R2258" t="s">
        <v>124</v>
      </c>
      <c r="S2258" t="b">
        <v>0</v>
      </c>
      <c r="T2258" t="s">
        <v>124</v>
      </c>
    </row>
    <row r="2259">
      <c r="A2259" t="s">
        <v>4336</v>
      </c>
      <c r="B2259" t="s">
        <v>4331</v>
      </c>
      <c r="C2259" s="2">
        <v>2022</v>
      </c>
      <c r="D2259" s="10">
        <v>11</v>
      </c>
      <c r="E2259" s="10">
        <v>27</v>
      </c>
      <c r="F2259" t="s">
        <v>4093</v>
      </c>
      <c r="G2259">
        <v>80</v>
      </c>
      <c r="H2259" t="s">
        <v>69</v>
      </c>
      <c r="I2259" t="s">
        <v>150</v>
      </c>
      <c r="J2259" s="10" t="str">
        <f>VLOOKUP(I2259,Categories!A:B,2,FALSE)</f>
        <v xml:space="preserve">Food &amp; Coff</v>
      </c>
      <c r="K2259" t="s">
        <v>2317</v>
      </c>
      <c r="L2259" s="10" t="str">
        <f>VLOOKUP(K2259,Accounts!A:B,2,FALSE)</f>
        <v xml:space="preserve">Marriage account</v>
      </c>
      <c r="M2259" t="s">
        <v>124</v>
      </c>
      <c r="N2259" s="10"/>
      <c r="O2259" t="s">
        <v>125</v>
      </c>
      <c r="Q2259" t="s">
        <v>126</v>
      </c>
      <c r="R2259" t="s">
        <v>124</v>
      </c>
      <c r="S2259" t="b">
        <v>0</v>
      </c>
      <c r="T2259" t="s">
        <v>124</v>
      </c>
    </row>
    <row r="2260">
      <c r="A2260" t="s">
        <v>4337</v>
      </c>
      <c r="B2260" t="s">
        <v>4338</v>
      </c>
      <c r="C2260" s="2">
        <v>2022</v>
      </c>
      <c r="D2260" s="10">
        <v>11</v>
      </c>
      <c r="E2260" s="10">
        <v>26</v>
      </c>
      <c r="F2260" t="s">
        <v>1752</v>
      </c>
      <c r="G2260">
        <v>165</v>
      </c>
      <c r="H2260" t="s">
        <v>128</v>
      </c>
      <c r="I2260" t="s">
        <v>136</v>
      </c>
      <c r="J2260" s="10" t="str">
        <f>VLOOKUP(I2260,Categories!A:B,2,FALSE)</f>
        <v>อื่นๆ</v>
      </c>
      <c r="K2260" t="s">
        <v>123</v>
      </c>
      <c r="L2260" s="10" t="str">
        <f>VLOOKUP(K2260,Accounts!A:B,2,FALSE)</f>
        <v>KBank</v>
      </c>
      <c r="M2260" t="s">
        <v>178</v>
      </c>
      <c r="N2260" s="10" t="str">
        <f>VLOOKUP(M2260,Accounts!A:B,2,FALSE)</f>
        <v>SCB</v>
      </c>
      <c r="O2260" t="s">
        <v>125</v>
      </c>
      <c r="Q2260" t="s">
        <v>126</v>
      </c>
      <c r="R2260" t="s">
        <v>124</v>
      </c>
      <c r="S2260" t="b">
        <v>0</v>
      </c>
      <c r="T2260" t="s">
        <v>124</v>
      </c>
    </row>
    <row r="2261">
      <c r="A2261" t="s">
        <v>4339</v>
      </c>
      <c r="B2261" t="s">
        <v>4338</v>
      </c>
      <c r="C2261" s="2">
        <v>2022</v>
      </c>
      <c r="D2261" s="10">
        <v>11</v>
      </c>
      <c r="E2261" s="10">
        <v>26</v>
      </c>
      <c r="F2261" t="s">
        <v>4310</v>
      </c>
      <c r="G2261">
        <v>165</v>
      </c>
      <c r="H2261" t="s">
        <v>69</v>
      </c>
      <c r="I2261" t="s">
        <v>150</v>
      </c>
      <c r="J2261" s="10" t="str">
        <f>VLOOKUP(I2261,Categories!A:B,2,FALSE)</f>
        <v xml:space="preserve">Food &amp; Coff</v>
      </c>
      <c r="K2261" t="s">
        <v>2317</v>
      </c>
      <c r="L2261" s="10" t="str">
        <f>VLOOKUP(K2261,Accounts!A:B,2,FALSE)</f>
        <v xml:space="preserve">Marriage account</v>
      </c>
      <c r="M2261" t="s">
        <v>124</v>
      </c>
      <c r="N2261" s="10"/>
      <c r="O2261" t="s">
        <v>125</v>
      </c>
      <c r="Q2261" t="s">
        <v>126</v>
      </c>
      <c r="R2261" t="s">
        <v>124</v>
      </c>
      <c r="S2261" t="b">
        <v>0</v>
      </c>
      <c r="T2261" t="s">
        <v>124</v>
      </c>
    </row>
    <row r="2262">
      <c r="A2262" t="s">
        <v>4340</v>
      </c>
      <c r="B2262" t="s">
        <v>4338</v>
      </c>
      <c r="C2262" s="2">
        <v>2022</v>
      </c>
      <c r="D2262" s="10">
        <v>11</v>
      </c>
      <c r="E2262" s="10">
        <v>26</v>
      </c>
      <c r="F2262" t="s">
        <v>625</v>
      </c>
      <c r="G2262">
        <v>746</v>
      </c>
      <c r="H2262" t="s">
        <v>69</v>
      </c>
      <c r="I2262" t="s">
        <v>1455</v>
      </c>
      <c r="J2262" s="10" t="str">
        <f>VLOOKUP(I2262,Categories!A:B,2,FALSE)</f>
        <v xml:space="preserve">Merit and gift</v>
      </c>
      <c r="K2262" t="s">
        <v>2317</v>
      </c>
      <c r="L2262" s="10" t="str">
        <f>VLOOKUP(K2262,Accounts!A:B,2,FALSE)</f>
        <v xml:space="preserve">Marriage account</v>
      </c>
      <c r="M2262" t="s">
        <v>124</v>
      </c>
      <c r="N2262" s="10"/>
      <c r="O2262" t="s">
        <v>4341</v>
      </c>
      <c r="Q2262" t="s">
        <v>126</v>
      </c>
      <c r="R2262" t="s">
        <v>124</v>
      </c>
      <c r="S2262" t="b">
        <v>0</v>
      </c>
      <c r="T2262" t="s">
        <v>124</v>
      </c>
    </row>
    <row r="2263">
      <c r="A2263" t="s">
        <v>4342</v>
      </c>
      <c r="B2263" t="s">
        <v>4338</v>
      </c>
      <c r="C2263" s="2">
        <v>2022</v>
      </c>
      <c r="D2263" s="10">
        <v>11</v>
      </c>
      <c r="E2263" s="10">
        <v>26</v>
      </c>
      <c r="F2263" t="s">
        <v>1265</v>
      </c>
      <c r="G2263">
        <v>3190</v>
      </c>
      <c r="H2263" t="s">
        <v>128</v>
      </c>
      <c r="I2263" t="s">
        <v>136</v>
      </c>
      <c r="J2263" s="10" t="str">
        <f>VLOOKUP(I2263,Categories!A:B,2,FALSE)</f>
        <v>อื่นๆ</v>
      </c>
      <c r="K2263" t="s">
        <v>123</v>
      </c>
      <c r="L2263" s="10" t="str">
        <f>VLOOKUP(K2263,Accounts!A:B,2,FALSE)</f>
        <v>KBank</v>
      </c>
      <c r="M2263" t="s">
        <v>2862</v>
      </c>
      <c r="N2263" s="10" t="str">
        <f>VLOOKUP(M2263,Accounts!A:B,2,FALSE)</f>
        <v xml:space="preserve">Kbank onesiam</v>
      </c>
      <c r="O2263" t="s">
        <v>125</v>
      </c>
      <c r="Q2263" t="s">
        <v>126</v>
      </c>
      <c r="R2263" t="s">
        <v>124</v>
      </c>
      <c r="S2263" t="b">
        <v>0</v>
      </c>
      <c r="T2263" t="s">
        <v>124</v>
      </c>
    </row>
    <row r="2264">
      <c r="A2264" t="s">
        <v>4343</v>
      </c>
      <c r="B2264" t="s">
        <v>4338</v>
      </c>
      <c r="C2264" s="2">
        <v>2022</v>
      </c>
      <c r="D2264" s="10">
        <v>11</v>
      </c>
      <c r="E2264" s="10">
        <v>26</v>
      </c>
      <c r="F2264" t="s">
        <v>1060</v>
      </c>
      <c r="G2264">
        <v>1050</v>
      </c>
      <c r="H2264" t="s">
        <v>69</v>
      </c>
      <c r="I2264" t="s">
        <v>3276</v>
      </c>
      <c r="J2264" s="10" t="str">
        <f>VLOOKUP(I2264,Categories!A:B,2,FALSE)</f>
        <v>Fuel</v>
      </c>
      <c r="K2264" t="s">
        <v>2317</v>
      </c>
      <c r="L2264" s="10" t="str">
        <f>VLOOKUP(K2264,Accounts!A:B,2,FALSE)</f>
        <v xml:space="preserve">Marriage account</v>
      </c>
      <c r="M2264" t="s">
        <v>124</v>
      </c>
      <c r="N2264" s="10"/>
      <c r="O2264" t="s">
        <v>125</v>
      </c>
      <c r="Q2264" t="s">
        <v>126</v>
      </c>
      <c r="R2264" t="s">
        <v>124</v>
      </c>
      <c r="S2264" t="b">
        <v>0</v>
      </c>
      <c r="T2264" t="s">
        <v>124</v>
      </c>
    </row>
    <row r="2265">
      <c r="A2265" t="s">
        <v>4344</v>
      </c>
      <c r="B2265" t="s">
        <v>4338</v>
      </c>
      <c r="C2265" s="2">
        <v>2022</v>
      </c>
      <c r="D2265" s="10">
        <v>11</v>
      </c>
      <c r="E2265" s="10">
        <v>26</v>
      </c>
      <c r="F2265" t="s">
        <v>1604</v>
      </c>
      <c r="G2265">
        <v>549</v>
      </c>
      <c r="H2265" t="s">
        <v>128</v>
      </c>
      <c r="I2265" t="s">
        <v>136</v>
      </c>
      <c r="J2265" s="10" t="str">
        <f>VLOOKUP(I2265,Categories!A:B,2,FALSE)</f>
        <v>อื่นๆ</v>
      </c>
      <c r="K2265" t="s">
        <v>178</v>
      </c>
      <c r="L2265" s="10" t="str">
        <f>VLOOKUP(K2265,Accounts!A:B,2,FALSE)</f>
        <v>SCB</v>
      </c>
      <c r="M2265" t="s">
        <v>743</v>
      </c>
      <c r="N2265" s="10" t="str">
        <f>VLOOKUP(M2265,Accounts!A:B,2,FALSE)</f>
        <v>HOMEPRO</v>
      </c>
      <c r="O2265" t="s">
        <v>125</v>
      </c>
      <c r="Q2265" t="s">
        <v>126</v>
      </c>
      <c r="R2265" t="s">
        <v>124</v>
      </c>
      <c r="S2265" t="b">
        <v>0</v>
      </c>
      <c r="T2265" t="s">
        <v>124</v>
      </c>
    </row>
    <row r="2266">
      <c r="A2266" t="s">
        <v>4345</v>
      </c>
      <c r="B2266" t="s">
        <v>4338</v>
      </c>
      <c r="C2266" s="2">
        <v>2022</v>
      </c>
      <c r="D2266" s="10">
        <v>11</v>
      </c>
      <c r="E2266" s="10">
        <v>26</v>
      </c>
      <c r="F2266" t="s">
        <v>1259</v>
      </c>
      <c r="G2266">
        <v>225</v>
      </c>
      <c r="H2266" t="s">
        <v>206</v>
      </c>
      <c r="I2266" t="s">
        <v>254</v>
      </c>
      <c r="J2266" s="10" t="str">
        <f>VLOOKUP(I2266,Categories!A:B,2,FALSE)</f>
        <v xml:space="preserve">Modified Bal.</v>
      </c>
      <c r="K2266" t="s">
        <v>743</v>
      </c>
      <c r="L2266" s="10" t="str">
        <f>VLOOKUP(K2266,Accounts!A:B,2,FALSE)</f>
        <v>HOMEPRO</v>
      </c>
      <c r="M2266" t="s">
        <v>124</v>
      </c>
      <c r="N2266" s="10"/>
      <c r="O2266" t="s">
        <v>255</v>
      </c>
      <c r="Q2266" t="s">
        <v>126</v>
      </c>
      <c r="R2266" t="s">
        <v>124</v>
      </c>
      <c r="S2266" t="b">
        <v>0</v>
      </c>
      <c r="T2266" t="s">
        <v>124</v>
      </c>
    </row>
    <row r="2267">
      <c r="A2267" t="s">
        <v>4346</v>
      </c>
      <c r="B2267" t="s">
        <v>4338</v>
      </c>
      <c r="C2267" s="2">
        <v>2022</v>
      </c>
      <c r="D2267" s="10">
        <v>11</v>
      </c>
      <c r="E2267" s="10">
        <v>26</v>
      </c>
      <c r="F2267" t="s">
        <v>1269</v>
      </c>
      <c r="G2267">
        <v>57.210000000000001</v>
      </c>
      <c r="H2267" t="s">
        <v>69</v>
      </c>
      <c r="I2267" t="s">
        <v>122</v>
      </c>
      <c r="J2267" s="10" t="str">
        <f>VLOOKUP(I2267,Categories!A:B,2,FALSE)</f>
        <v>Other</v>
      </c>
      <c r="K2267" t="s">
        <v>1308</v>
      </c>
      <c r="L2267" s="10" t="str">
        <f>VLOOKUP(K2267,Accounts!A:B,2,FALSE)</f>
        <v xml:space="preserve">UOB Privilages</v>
      </c>
      <c r="M2267" t="s">
        <v>124</v>
      </c>
      <c r="N2267" s="10"/>
      <c r="O2267" t="s">
        <v>125</v>
      </c>
      <c r="Q2267" t="s">
        <v>126</v>
      </c>
      <c r="R2267" t="s">
        <v>124</v>
      </c>
      <c r="S2267" t="b">
        <v>0</v>
      </c>
      <c r="T2267" t="s">
        <v>124</v>
      </c>
    </row>
    <row r="2268">
      <c r="A2268" t="s">
        <v>4347</v>
      </c>
      <c r="B2268" t="s">
        <v>4338</v>
      </c>
      <c r="C2268" s="2">
        <v>2022</v>
      </c>
      <c r="D2268" s="10">
        <v>11</v>
      </c>
      <c r="E2268" s="10">
        <v>26</v>
      </c>
      <c r="F2268" t="s">
        <v>1269</v>
      </c>
      <c r="G2268">
        <v>3677.4499999999998</v>
      </c>
      <c r="H2268" t="s">
        <v>69</v>
      </c>
      <c r="I2268" t="s">
        <v>122</v>
      </c>
      <c r="J2268" s="10" t="str">
        <f>VLOOKUP(I2268,Categories!A:B,2,FALSE)</f>
        <v>Other</v>
      </c>
      <c r="K2268" t="s">
        <v>1308</v>
      </c>
      <c r="L2268" s="10" t="str">
        <f>VLOOKUP(K2268,Accounts!A:B,2,FALSE)</f>
        <v xml:space="preserve">UOB Privilages</v>
      </c>
      <c r="M2268" t="s">
        <v>124</v>
      </c>
      <c r="N2268" s="10"/>
      <c r="O2268" t="s">
        <v>2323</v>
      </c>
      <c r="Q2268" t="s">
        <v>126</v>
      </c>
      <c r="R2268" t="s">
        <v>124</v>
      </c>
      <c r="S2268" t="b">
        <v>0</v>
      </c>
      <c r="T2268" t="s">
        <v>124</v>
      </c>
    </row>
    <row r="2269">
      <c r="A2269" t="s">
        <v>4348</v>
      </c>
      <c r="B2269" t="s">
        <v>4338</v>
      </c>
      <c r="C2269" s="2">
        <v>2022</v>
      </c>
      <c r="D2269" s="10">
        <v>11</v>
      </c>
      <c r="E2269" s="10">
        <v>26</v>
      </c>
      <c r="F2269" t="s">
        <v>1281</v>
      </c>
      <c r="G2269">
        <v>14485.49</v>
      </c>
      <c r="H2269" t="s">
        <v>128</v>
      </c>
      <c r="I2269" t="s">
        <v>136</v>
      </c>
      <c r="J2269" s="10" t="str">
        <f>VLOOKUP(I2269,Categories!A:B,2,FALSE)</f>
        <v>อื่นๆ</v>
      </c>
      <c r="K2269" t="s">
        <v>178</v>
      </c>
      <c r="L2269" s="10" t="str">
        <f>VLOOKUP(K2269,Accounts!A:B,2,FALSE)</f>
        <v>SCB</v>
      </c>
      <c r="M2269" t="s">
        <v>1308</v>
      </c>
      <c r="N2269" s="10" t="str">
        <f>VLOOKUP(M2269,Accounts!A:B,2,FALSE)</f>
        <v xml:space="preserve">UOB Privilages</v>
      </c>
      <c r="O2269" t="s">
        <v>125</v>
      </c>
      <c r="Q2269" t="s">
        <v>126</v>
      </c>
      <c r="R2269" t="s">
        <v>124</v>
      </c>
      <c r="S2269" t="b">
        <v>0</v>
      </c>
      <c r="T2269" t="s">
        <v>124</v>
      </c>
    </row>
    <row r="2270">
      <c r="A2270" t="s">
        <v>4349</v>
      </c>
      <c r="B2270" t="s">
        <v>4338</v>
      </c>
      <c r="C2270" s="2">
        <v>2022</v>
      </c>
      <c r="D2270" s="10">
        <v>11</v>
      </c>
      <c r="E2270" s="10">
        <v>26</v>
      </c>
      <c r="F2270" t="s">
        <v>2677</v>
      </c>
      <c r="G2270">
        <v>2938</v>
      </c>
      <c r="H2270" t="s">
        <v>69</v>
      </c>
      <c r="I2270" t="s">
        <v>150</v>
      </c>
      <c r="J2270" s="10" t="str">
        <f>VLOOKUP(I2270,Categories!A:B,2,FALSE)</f>
        <v xml:space="preserve">Food &amp; Coff</v>
      </c>
      <c r="K2270" t="s">
        <v>2317</v>
      </c>
      <c r="L2270" s="10" t="str">
        <f>VLOOKUP(K2270,Accounts!A:B,2,FALSE)</f>
        <v xml:space="preserve">Marriage account</v>
      </c>
      <c r="M2270" t="s">
        <v>124</v>
      </c>
      <c r="N2270" s="10"/>
      <c r="O2270" t="s">
        <v>125</v>
      </c>
      <c r="Q2270" t="s">
        <v>126</v>
      </c>
      <c r="R2270" t="s">
        <v>124</v>
      </c>
      <c r="S2270" t="b">
        <v>0</v>
      </c>
      <c r="T2270" t="s">
        <v>124</v>
      </c>
    </row>
    <row r="2271">
      <c r="A2271" t="s">
        <v>4350</v>
      </c>
      <c r="B2271" t="s">
        <v>4338</v>
      </c>
      <c r="C2271" s="2">
        <v>2022</v>
      </c>
      <c r="D2271" s="10">
        <v>11</v>
      </c>
      <c r="E2271" s="10">
        <v>26</v>
      </c>
      <c r="F2271" t="s">
        <v>2677</v>
      </c>
      <c r="G2271">
        <v>963</v>
      </c>
      <c r="H2271" t="s">
        <v>69</v>
      </c>
      <c r="I2271" t="s">
        <v>1679</v>
      </c>
      <c r="J2271" s="10" t="str">
        <f>VLOOKUP(I2271,Categories!A:B,2,FALSE)</f>
        <v xml:space="preserve">Condo stuff</v>
      </c>
      <c r="K2271" t="s">
        <v>2317</v>
      </c>
      <c r="L2271" s="10" t="str">
        <f>VLOOKUP(K2271,Accounts!A:B,2,FALSE)</f>
        <v xml:space="preserve">Marriage account</v>
      </c>
      <c r="M2271" t="s">
        <v>124</v>
      </c>
      <c r="N2271" s="10"/>
      <c r="O2271" t="s">
        <v>125</v>
      </c>
      <c r="Q2271" t="s">
        <v>126</v>
      </c>
      <c r="R2271" t="s">
        <v>124</v>
      </c>
      <c r="S2271" t="b">
        <v>0</v>
      </c>
      <c r="T2271" t="s">
        <v>124</v>
      </c>
    </row>
    <row r="2272">
      <c r="A2272" t="s">
        <v>4351</v>
      </c>
      <c r="B2272" t="s">
        <v>4338</v>
      </c>
      <c r="C2272" s="2">
        <v>2022</v>
      </c>
      <c r="D2272" s="10">
        <v>11</v>
      </c>
      <c r="E2272" s="10">
        <v>26</v>
      </c>
      <c r="F2272" t="s">
        <v>3674</v>
      </c>
      <c r="G2272">
        <v>649.5</v>
      </c>
      <c r="H2272" t="s">
        <v>69</v>
      </c>
      <c r="I2272" t="s">
        <v>150</v>
      </c>
      <c r="J2272" s="10" t="str">
        <f>VLOOKUP(I2272,Categories!A:B,2,FALSE)</f>
        <v xml:space="preserve">Food &amp; Coff</v>
      </c>
      <c r="K2272" t="s">
        <v>2317</v>
      </c>
      <c r="L2272" s="10" t="str">
        <f>VLOOKUP(K2272,Accounts!A:B,2,FALSE)</f>
        <v xml:space="preserve">Marriage account</v>
      </c>
      <c r="M2272" t="s">
        <v>124</v>
      </c>
      <c r="N2272" s="10"/>
      <c r="O2272" t="s">
        <v>4352</v>
      </c>
      <c r="Q2272" t="s">
        <v>126</v>
      </c>
      <c r="R2272" t="s">
        <v>124</v>
      </c>
      <c r="S2272" t="b">
        <v>0</v>
      </c>
      <c r="T2272" t="s">
        <v>124</v>
      </c>
    </row>
    <row r="2273">
      <c r="A2273" t="s">
        <v>4353</v>
      </c>
      <c r="B2273" t="s">
        <v>4338</v>
      </c>
      <c r="C2273" s="2">
        <v>2022</v>
      </c>
      <c r="D2273" s="10">
        <v>11</v>
      </c>
      <c r="E2273" s="10">
        <v>26</v>
      </c>
      <c r="F2273" t="s">
        <v>992</v>
      </c>
      <c r="G2273">
        <v>768.5</v>
      </c>
      <c r="H2273" t="s">
        <v>128</v>
      </c>
      <c r="I2273" t="s">
        <v>136</v>
      </c>
      <c r="J2273" s="10" t="str">
        <f>VLOOKUP(I2273,Categories!A:B,2,FALSE)</f>
        <v>อื่นๆ</v>
      </c>
      <c r="K2273" t="s">
        <v>178</v>
      </c>
      <c r="L2273" s="10" t="str">
        <f>VLOOKUP(K2273,Accounts!A:B,2,FALSE)</f>
        <v>SCB</v>
      </c>
      <c r="M2273" t="s">
        <v>131</v>
      </c>
      <c r="N2273" s="10" t="str">
        <f>VLOOKUP(M2273,Accounts!A:B,2,FALSE)</f>
        <v xml:space="preserve">Advance Paid</v>
      </c>
      <c r="O2273" t="s">
        <v>4354</v>
      </c>
      <c r="Q2273" t="s">
        <v>126</v>
      </c>
      <c r="R2273" t="s">
        <v>124</v>
      </c>
      <c r="S2273" t="b">
        <v>0</v>
      </c>
      <c r="T2273" t="s">
        <v>124</v>
      </c>
    </row>
    <row r="2274">
      <c r="A2274" t="s">
        <v>4355</v>
      </c>
      <c r="B2274" t="s">
        <v>4338</v>
      </c>
      <c r="C2274" s="2">
        <v>2022</v>
      </c>
      <c r="D2274" s="10">
        <v>11</v>
      </c>
      <c r="E2274" s="10">
        <v>26</v>
      </c>
      <c r="F2274" t="s">
        <v>854</v>
      </c>
      <c r="G2274">
        <v>349</v>
      </c>
      <c r="H2274" t="s">
        <v>69</v>
      </c>
      <c r="I2274" t="s">
        <v>150</v>
      </c>
      <c r="J2274" s="10" t="str">
        <f>VLOOKUP(I2274,Categories!A:B,2,FALSE)</f>
        <v xml:space="preserve">Food &amp; Coff</v>
      </c>
      <c r="K2274" t="s">
        <v>2317</v>
      </c>
      <c r="L2274" s="10" t="str">
        <f>VLOOKUP(K2274,Accounts!A:B,2,FALSE)</f>
        <v xml:space="preserve">Marriage account</v>
      </c>
      <c r="M2274" t="s">
        <v>124</v>
      </c>
      <c r="N2274" s="10"/>
      <c r="O2274" t="s">
        <v>125</v>
      </c>
      <c r="Q2274" t="s">
        <v>126</v>
      </c>
      <c r="R2274" t="s">
        <v>124</v>
      </c>
      <c r="S2274" t="b">
        <v>0</v>
      </c>
      <c r="T2274" t="s">
        <v>124</v>
      </c>
    </row>
    <row r="2275">
      <c r="A2275" t="s">
        <v>4356</v>
      </c>
      <c r="B2275" t="s">
        <v>4338</v>
      </c>
      <c r="C2275" s="2">
        <v>2022</v>
      </c>
      <c r="D2275" s="10">
        <v>11</v>
      </c>
      <c r="E2275" s="10">
        <v>26</v>
      </c>
      <c r="F2275" t="s">
        <v>185</v>
      </c>
      <c r="G2275">
        <v>299</v>
      </c>
      <c r="H2275" t="s">
        <v>69</v>
      </c>
      <c r="I2275" t="s">
        <v>150</v>
      </c>
      <c r="J2275" s="10" t="str">
        <f>VLOOKUP(I2275,Categories!A:B,2,FALSE)</f>
        <v xml:space="preserve">Food &amp; Coff</v>
      </c>
      <c r="K2275" t="s">
        <v>2317</v>
      </c>
      <c r="L2275" s="10" t="str">
        <f>VLOOKUP(K2275,Accounts!A:B,2,FALSE)</f>
        <v xml:space="preserve">Marriage account</v>
      </c>
      <c r="M2275" t="s">
        <v>124</v>
      </c>
      <c r="N2275" s="10"/>
      <c r="O2275" t="s">
        <v>125</v>
      </c>
      <c r="Q2275" t="s">
        <v>126</v>
      </c>
      <c r="R2275" t="s">
        <v>124</v>
      </c>
      <c r="S2275" t="b">
        <v>0</v>
      </c>
      <c r="T2275" t="s">
        <v>124</v>
      </c>
    </row>
    <row r="2276">
      <c r="A2276" t="s">
        <v>4357</v>
      </c>
      <c r="B2276" t="s">
        <v>4358</v>
      </c>
      <c r="C2276" s="2">
        <v>2022</v>
      </c>
      <c r="D2276" s="10">
        <v>11</v>
      </c>
      <c r="E2276" s="10">
        <v>25</v>
      </c>
      <c r="F2276" t="s">
        <v>121</v>
      </c>
      <c r="G2276">
        <v>2066.4000000000001</v>
      </c>
      <c r="H2276" t="s">
        <v>128</v>
      </c>
      <c r="I2276" t="s">
        <v>136</v>
      </c>
      <c r="J2276" s="10" t="str">
        <f>VLOOKUP(I2276,Categories!A:B,2,FALSE)</f>
        <v>อื่นๆ</v>
      </c>
      <c r="K2276" t="s">
        <v>178</v>
      </c>
      <c r="L2276" s="10" t="str">
        <f>VLOOKUP(K2276,Accounts!A:B,2,FALSE)</f>
        <v>SCB</v>
      </c>
      <c r="M2276" t="s">
        <v>203</v>
      </c>
      <c r="N2276" s="10" t="str">
        <f>VLOOKUP(M2276,Accounts!A:B,2,FALSE)</f>
        <v xml:space="preserve">Provident Fund</v>
      </c>
      <c r="O2276" t="s">
        <v>125</v>
      </c>
      <c r="Q2276" t="s">
        <v>126</v>
      </c>
      <c r="R2276" t="s">
        <v>124</v>
      </c>
      <c r="S2276" t="b">
        <v>0</v>
      </c>
      <c r="T2276" t="s">
        <v>124</v>
      </c>
    </row>
    <row r="2277">
      <c r="A2277" t="s">
        <v>4359</v>
      </c>
      <c r="B2277" t="s">
        <v>4358</v>
      </c>
      <c r="C2277" s="2">
        <v>2022</v>
      </c>
      <c r="D2277" s="10">
        <v>11</v>
      </c>
      <c r="E2277" s="10">
        <v>25</v>
      </c>
      <c r="F2277" t="s">
        <v>121</v>
      </c>
      <c r="G2277">
        <v>615.36000000000001</v>
      </c>
      <c r="H2277" t="s">
        <v>69</v>
      </c>
      <c r="I2277" t="s">
        <v>199</v>
      </c>
      <c r="J2277" s="10" t="str">
        <f>VLOOKUP(I2277,Categories!A:B,2,FALSE)</f>
        <v xml:space="preserve">Home Chomthong Interest</v>
      </c>
      <c r="K2277" t="s">
        <v>178</v>
      </c>
      <c r="L2277" s="10" t="str">
        <f>VLOOKUP(K2277,Accounts!A:B,2,FALSE)</f>
        <v>SCB</v>
      </c>
      <c r="M2277" t="s">
        <v>124</v>
      </c>
      <c r="N2277" s="10"/>
      <c r="O2277" t="s">
        <v>125</v>
      </c>
      <c r="Q2277" t="s">
        <v>126</v>
      </c>
      <c r="R2277" t="s">
        <v>124</v>
      </c>
      <c r="S2277" t="b">
        <v>0</v>
      </c>
      <c r="T2277" t="s">
        <v>124</v>
      </c>
    </row>
    <row r="2278">
      <c r="A2278" t="s">
        <v>4360</v>
      </c>
      <c r="B2278" t="s">
        <v>4358</v>
      </c>
      <c r="C2278" s="2">
        <v>2022</v>
      </c>
      <c r="D2278" s="10">
        <v>11</v>
      </c>
      <c r="E2278" s="10">
        <v>25</v>
      </c>
      <c r="F2278" t="s">
        <v>121</v>
      </c>
      <c r="G2278">
        <v>7915</v>
      </c>
      <c r="H2278" t="s">
        <v>128</v>
      </c>
      <c r="I2278" t="s">
        <v>136</v>
      </c>
      <c r="J2278" s="10" t="str">
        <f>VLOOKUP(I2278,Categories!A:B,2,FALSE)</f>
        <v>อื่นๆ</v>
      </c>
      <c r="K2278" t="s">
        <v>178</v>
      </c>
      <c r="L2278" s="10" t="str">
        <f>VLOOKUP(K2278,Accounts!A:B,2,FALSE)</f>
        <v>SCB</v>
      </c>
      <c r="M2278" t="s">
        <v>1244</v>
      </c>
      <c r="N2278" s="10" t="str">
        <f>VLOOKUP(M2278,Accounts!A:B,2,FALSE)</f>
        <v xml:space="preserve">Home chomthong Loan</v>
      </c>
      <c r="O2278" t="s">
        <v>125</v>
      </c>
      <c r="Q2278" t="s">
        <v>126</v>
      </c>
      <c r="R2278" t="s">
        <v>124</v>
      </c>
      <c r="S2278" t="b">
        <v>0</v>
      </c>
      <c r="T2278" t="s">
        <v>124</v>
      </c>
    </row>
    <row r="2279">
      <c r="A2279" t="s">
        <v>4361</v>
      </c>
      <c r="B2279" t="s">
        <v>4358</v>
      </c>
      <c r="C2279" s="2">
        <v>2022</v>
      </c>
      <c r="D2279" s="10">
        <v>11</v>
      </c>
      <c r="E2279" s="10">
        <v>25</v>
      </c>
      <c r="F2279" t="s">
        <v>121</v>
      </c>
      <c r="G2279">
        <v>106.54000000000001</v>
      </c>
      <c r="H2279" t="s">
        <v>69</v>
      </c>
      <c r="I2279" t="s">
        <v>443</v>
      </c>
      <c r="J2279" s="10" t="str">
        <f>VLOOKUP(I2279,Categories!A:B,2,FALSE)</f>
        <v xml:space="preserve">City SV Interest</v>
      </c>
      <c r="K2279" t="s">
        <v>178</v>
      </c>
      <c r="L2279" s="10" t="str">
        <f>VLOOKUP(K2279,Accounts!A:B,2,FALSE)</f>
        <v>SCB</v>
      </c>
      <c r="M2279" t="s">
        <v>124</v>
      </c>
      <c r="N2279" s="10"/>
      <c r="O2279" t="s">
        <v>125</v>
      </c>
      <c r="Q2279" t="s">
        <v>126</v>
      </c>
      <c r="R2279" t="s">
        <v>124</v>
      </c>
      <c r="S2279" t="b">
        <v>0</v>
      </c>
      <c r="T2279" t="s">
        <v>124</v>
      </c>
    </row>
    <row r="2280">
      <c r="A2280" t="s">
        <v>4362</v>
      </c>
      <c r="B2280" t="s">
        <v>4358</v>
      </c>
      <c r="C2280" s="2">
        <v>2022</v>
      </c>
      <c r="D2280" s="10">
        <v>11</v>
      </c>
      <c r="E2280" s="10">
        <v>25</v>
      </c>
      <c r="F2280" t="s">
        <v>121</v>
      </c>
      <c r="G2280">
        <v>9240</v>
      </c>
      <c r="H2280" t="s">
        <v>128</v>
      </c>
      <c r="I2280" t="s">
        <v>136</v>
      </c>
      <c r="J2280" s="10" t="str">
        <f>VLOOKUP(I2280,Categories!A:B,2,FALSE)</f>
        <v>อื่นๆ</v>
      </c>
      <c r="K2280" t="s">
        <v>178</v>
      </c>
      <c r="L2280" s="10" t="str">
        <f>VLOOKUP(K2280,Accounts!A:B,2,FALSE)</f>
        <v>SCB</v>
      </c>
      <c r="M2280" t="s">
        <v>1246</v>
      </c>
      <c r="N2280" s="10" t="str">
        <f>VLOOKUP(M2280,Accounts!A:B,2,FALSE)</f>
        <v xml:space="preserve">Car Loan</v>
      </c>
      <c r="O2280" t="s">
        <v>125</v>
      </c>
      <c r="Q2280" t="s">
        <v>126</v>
      </c>
      <c r="R2280" t="s">
        <v>124</v>
      </c>
      <c r="S2280" t="b">
        <v>0</v>
      </c>
      <c r="T2280" t="s">
        <v>124</v>
      </c>
    </row>
    <row r="2281">
      <c r="A2281" t="s">
        <v>4363</v>
      </c>
      <c r="B2281" t="s">
        <v>4358</v>
      </c>
      <c r="C2281" s="2">
        <v>2022</v>
      </c>
      <c r="D2281" s="10">
        <v>11</v>
      </c>
      <c r="E2281" s="10">
        <v>25</v>
      </c>
      <c r="F2281" t="s">
        <v>121</v>
      </c>
      <c r="G2281">
        <v>500</v>
      </c>
      <c r="H2281" t="s">
        <v>128</v>
      </c>
      <c r="I2281" t="s">
        <v>136</v>
      </c>
      <c r="J2281" s="10" t="str">
        <f>VLOOKUP(I2281,Categories!A:B,2,FALSE)</f>
        <v>อื่นๆ</v>
      </c>
      <c r="K2281" t="s">
        <v>178</v>
      </c>
      <c r="L2281" s="10" t="str">
        <f>VLOOKUP(K2281,Accounts!A:B,2,FALSE)</f>
        <v>SCB</v>
      </c>
      <c r="M2281" t="s">
        <v>201</v>
      </c>
      <c r="N2281" s="10" t="str">
        <f>VLOOKUP(M2281,Accounts!A:B,2,FALSE)</f>
        <v>Coop</v>
      </c>
      <c r="O2281" t="s">
        <v>125</v>
      </c>
      <c r="Q2281" t="s">
        <v>126</v>
      </c>
      <c r="R2281" t="s">
        <v>124</v>
      </c>
      <c r="S2281" t="b">
        <v>0</v>
      </c>
      <c r="T2281" t="s">
        <v>124</v>
      </c>
    </row>
    <row r="2282">
      <c r="A2282" t="s">
        <v>4364</v>
      </c>
      <c r="B2282" t="s">
        <v>4358</v>
      </c>
      <c r="C2282" s="2">
        <v>2022</v>
      </c>
      <c r="D2282" s="10">
        <v>11</v>
      </c>
      <c r="E2282" s="10">
        <v>25</v>
      </c>
      <c r="F2282" t="s">
        <v>121</v>
      </c>
      <c r="G2282">
        <v>103320</v>
      </c>
      <c r="H2282" t="s">
        <v>206</v>
      </c>
      <c r="I2282" t="s">
        <v>207</v>
      </c>
      <c r="J2282" s="10" t="str">
        <f>VLOOKUP(I2282,Categories!A:B,2,FALSE)</f>
        <v>Salary</v>
      </c>
      <c r="K2282" t="s">
        <v>178</v>
      </c>
      <c r="L2282" s="10" t="str">
        <f>VLOOKUP(K2282,Accounts!A:B,2,FALSE)</f>
        <v>SCB</v>
      </c>
      <c r="M2282" t="s">
        <v>124</v>
      </c>
      <c r="N2282" s="10"/>
      <c r="O2282" t="s">
        <v>125</v>
      </c>
      <c r="Q2282" t="s">
        <v>126</v>
      </c>
      <c r="R2282" t="s">
        <v>124</v>
      </c>
      <c r="S2282" t="b">
        <v>0</v>
      </c>
      <c r="T2282" t="s">
        <v>124</v>
      </c>
    </row>
    <row r="2283">
      <c r="A2283" t="s">
        <v>4365</v>
      </c>
      <c r="B2283" t="s">
        <v>4358</v>
      </c>
      <c r="C2283" s="2">
        <v>2022</v>
      </c>
      <c r="D2283" s="10">
        <v>11</v>
      </c>
      <c r="E2283" s="10">
        <v>25</v>
      </c>
      <c r="F2283" t="s">
        <v>121</v>
      </c>
      <c r="G2283">
        <v>505.93000000000001</v>
      </c>
      <c r="H2283" t="s">
        <v>69</v>
      </c>
      <c r="I2283" t="s">
        <v>195</v>
      </c>
      <c r="J2283" s="10" t="str">
        <f>VLOOKUP(I2283,Categories!A:B,2,FALSE)</f>
        <v>Tax</v>
      </c>
      <c r="K2283" t="s">
        <v>178</v>
      </c>
      <c r="L2283" s="10" t="str">
        <f>VLOOKUP(K2283,Accounts!A:B,2,FALSE)</f>
        <v>SCB</v>
      </c>
      <c r="M2283" t="s">
        <v>124</v>
      </c>
      <c r="N2283" s="10"/>
      <c r="O2283" t="s">
        <v>125</v>
      </c>
      <c r="Q2283" t="s">
        <v>126</v>
      </c>
      <c r="R2283" t="s">
        <v>124</v>
      </c>
      <c r="S2283" t="b">
        <v>0</v>
      </c>
      <c r="T2283" t="s">
        <v>124</v>
      </c>
    </row>
    <row r="2284">
      <c r="A2284" t="s">
        <v>4366</v>
      </c>
      <c r="B2284" t="s">
        <v>4367</v>
      </c>
      <c r="C2284" s="2">
        <v>2022</v>
      </c>
      <c r="D2284" s="10">
        <v>11</v>
      </c>
      <c r="E2284" s="10">
        <v>24</v>
      </c>
      <c r="F2284" t="s">
        <v>2670</v>
      </c>
      <c r="G2284">
        <v>100</v>
      </c>
      <c r="H2284" t="s">
        <v>69</v>
      </c>
      <c r="I2284" t="s">
        <v>150</v>
      </c>
      <c r="J2284" s="10" t="str">
        <f>VLOOKUP(I2284,Categories!A:B,2,FALSE)</f>
        <v xml:space="preserve">Food &amp; Coff</v>
      </c>
      <c r="K2284" t="s">
        <v>2317</v>
      </c>
      <c r="L2284" s="10" t="str">
        <f>VLOOKUP(K2284,Accounts!A:B,2,FALSE)</f>
        <v xml:space="preserve">Marriage account</v>
      </c>
      <c r="M2284" t="s">
        <v>124</v>
      </c>
      <c r="N2284" s="10"/>
      <c r="O2284" t="s">
        <v>125</v>
      </c>
      <c r="Q2284" t="s">
        <v>126</v>
      </c>
      <c r="R2284" t="s">
        <v>124</v>
      </c>
      <c r="S2284" t="b">
        <v>0</v>
      </c>
      <c r="T2284" t="s">
        <v>124</v>
      </c>
    </row>
    <row r="2285">
      <c r="A2285" t="s">
        <v>4368</v>
      </c>
      <c r="B2285" t="s">
        <v>4367</v>
      </c>
      <c r="C2285" s="2">
        <v>2022</v>
      </c>
      <c r="D2285" s="10">
        <v>11</v>
      </c>
      <c r="E2285" s="10">
        <v>24</v>
      </c>
      <c r="F2285" t="s">
        <v>2670</v>
      </c>
      <c r="G2285">
        <v>80</v>
      </c>
      <c r="H2285" t="s">
        <v>69</v>
      </c>
      <c r="I2285" t="s">
        <v>150</v>
      </c>
      <c r="J2285" s="10" t="str">
        <f>VLOOKUP(I2285,Categories!A:B,2,FALSE)</f>
        <v xml:space="preserve">Food &amp; Coff</v>
      </c>
      <c r="K2285" t="s">
        <v>178</v>
      </c>
      <c r="L2285" s="10" t="str">
        <f>VLOOKUP(K2285,Accounts!A:B,2,FALSE)</f>
        <v>SCB</v>
      </c>
      <c r="M2285" t="s">
        <v>124</v>
      </c>
      <c r="N2285" s="10"/>
      <c r="O2285" t="s">
        <v>125</v>
      </c>
      <c r="Q2285" t="s">
        <v>126</v>
      </c>
      <c r="R2285" t="s">
        <v>124</v>
      </c>
      <c r="S2285" t="b">
        <v>0</v>
      </c>
      <c r="T2285" t="s">
        <v>124</v>
      </c>
    </row>
    <row r="2286">
      <c r="A2286" t="s">
        <v>4369</v>
      </c>
      <c r="B2286" t="s">
        <v>4367</v>
      </c>
      <c r="C2286" s="2">
        <v>2022</v>
      </c>
      <c r="D2286" s="10">
        <v>11</v>
      </c>
      <c r="E2286" s="10">
        <v>24</v>
      </c>
      <c r="F2286" t="s">
        <v>4098</v>
      </c>
      <c r="G2286">
        <v>55</v>
      </c>
      <c r="H2286" t="s">
        <v>69</v>
      </c>
      <c r="I2286" t="s">
        <v>150</v>
      </c>
      <c r="J2286" s="10" t="str">
        <f>VLOOKUP(I2286,Categories!A:B,2,FALSE)</f>
        <v xml:space="preserve">Food &amp; Coff</v>
      </c>
      <c r="K2286" t="s">
        <v>178</v>
      </c>
      <c r="L2286" s="10" t="str">
        <f>VLOOKUP(K2286,Accounts!A:B,2,FALSE)</f>
        <v>SCB</v>
      </c>
      <c r="M2286" t="s">
        <v>124</v>
      </c>
      <c r="N2286" s="10"/>
      <c r="O2286" t="s">
        <v>125</v>
      </c>
      <c r="Q2286" t="s">
        <v>126</v>
      </c>
      <c r="R2286" t="s">
        <v>124</v>
      </c>
      <c r="S2286" t="b">
        <v>0</v>
      </c>
      <c r="T2286" t="s">
        <v>124</v>
      </c>
    </row>
    <row r="2287">
      <c r="A2287" t="s">
        <v>4370</v>
      </c>
      <c r="B2287" t="s">
        <v>4367</v>
      </c>
      <c r="C2287" s="2">
        <v>2022</v>
      </c>
      <c r="D2287" s="10">
        <v>11</v>
      </c>
      <c r="E2287" s="10">
        <v>24</v>
      </c>
      <c r="F2287" t="s">
        <v>3444</v>
      </c>
      <c r="G2287">
        <v>70</v>
      </c>
      <c r="H2287" t="s">
        <v>69</v>
      </c>
      <c r="I2287" t="s">
        <v>150</v>
      </c>
      <c r="J2287" s="10" t="str">
        <f>VLOOKUP(I2287,Categories!A:B,2,FALSE)</f>
        <v xml:space="preserve">Food &amp; Coff</v>
      </c>
      <c r="K2287" t="s">
        <v>178</v>
      </c>
      <c r="L2287" s="10" t="str">
        <f>VLOOKUP(K2287,Accounts!A:B,2,FALSE)</f>
        <v>SCB</v>
      </c>
      <c r="M2287" t="s">
        <v>124</v>
      </c>
      <c r="N2287" s="10"/>
      <c r="O2287" t="s">
        <v>125</v>
      </c>
      <c r="Q2287" t="s">
        <v>126</v>
      </c>
      <c r="R2287" t="s">
        <v>124</v>
      </c>
      <c r="S2287" t="b">
        <v>0</v>
      </c>
      <c r="T2287" t="s">
        <v>124</v>
      </c>
    </row>
    <row r="2288">
      <c r="A2288" t="s">
        <v>4371</v>
      </c>
      <c r="B2288" t="s">
        <v>4367</v>
      </c>
      <c r="C2288" s="2">
        <v>2022</v>
      </c>
      <c r="D2288" s="10">
        <v>11</v>
      </c>
      <c r="E2288" s="10">
        <v>24</v>
      </c>
      <c r="F2288" t="s">
        <v>3423</v>
      </c>
      <c r="G2288">
        <v>145</v>
      </c>
      <c r="H2288" t="s">
        <v>69</v>
      </c>
      <c r="I2288" t="s">
        <v>150</v>
      </c>
      <c r="J2288" s="10" t="str">
        <f>VLOOKUP(I2288,Categories!A:B,2,FALSE)</f>
        <v xml:space="preserve">Food &amp; Coff</v>
      </c>
      <c r="K2288" t="s">
        <v>178</v>
      </c>
      <c r="L2288" s="10" t="str">
        <f>VLOOKUP(K2288,Accounts!A:B,2,FALSE)</f>
        <v>SCB</v>
      </c>
      <c r="M2288" t="s">
        <v>124</v>
      </c>
      <c r="N2288" s="10"/>
      <c r="O2288" t="s">
        <v>125</v>
      </c>
      <c r="Q2288" t="s">
        <v>126</v>
      </c>
      <c r="R2288" t="s">
        <v>124</v>
      </c>
      <c r="S2288" t="b">
        <v>0</v>
      </c>
      <c r="T2288" t="s">
        <v>124</v>
      </c>
    </row>
    <row r="2289">
      <c r="A2289" t="s">
        <v>4372</v>
      </c>
      <c r="B2289" t="s">
        <v>4367</v>
      </c>
      <c r="C2289" s="2">
        <v>2022</v>
      </c>
      <c r="D2289" s="10">
        <v>11</v>
      </c>
      <c r="E2289" s="10">
        <v>24</v>
      </c>
      <c r="F2289" t="s">
        <v>3423</v>
      </c>
      <c r="G2289">
        <v>95</v>
      </c>
      <c r="H2289" t="s">
        <v>69</v>
      </c>
      <c r="I2289" t="s">
        <v>150</v>
      </c>
      <c r="J2289" s="10" t="str">
        <f>VLOOKUP(I2289,Categories!A:B,2,FALSE)</f>
        <v xml:space="preserve">Food &amp; Coff</v>
      </c>
      <c r="K2289" t="s">
        <v>178</v>
      </c>
      <c r="L2289" s="10" t="str">
        <f>VLOOKUP(K2289,Accounts!A:B,2,FALSE)</f>
        <v>SCB</v>
      </c>
      <c r="M2289" t="s">
        <v>124</v>
      </c>
      <c r="N2289" s="10"/>
      <c r="O2289" t="s">
        <v>125</v>
      </c>
      <c r="Q2289" t="s">
        <v>126</v>
      </c>
      <c r="R2289" t="s">
        <v>124</v>
      </c>
      <c r="S2289" t="b">
        <v>0</v>
      </c>
      <c r="T2289" t="s">
        <v>124</v>
      </c>
    </row>
    <row r="2290">
      <c r="A2290" t="s">
        <v>4373</v>
      </c>
      <c r="B2290" t="s">
        <v>4367</v>
      </c>
      <c r="C2290" s="2">
        <v>2022</v>
      </c>
      <c r="D2290" s="10">
        <v>11</v>
      </c>
      <c r="E2290" s="10">
        <v>24</v>
      </c>
      <c r="F2290" t="s">
        <v>3423</v>
      </c>
      <c r="G2290">
        <v>40</v>
      </c>
      <c r="H2290" t="s">
        <v>69</v>
      </c>
      <c r="I2290" t="s">
        <v>150</v>
      </c>
      <c r="J2290" s="10" t="str">
        <f>VLOOKUP(I2290,Categories!A:B,2,FALSE)</f>
        <v xml:space="preserve">Food &amp; Coff</v>
      </c>
      <c r="K2290" t="s">
        <v>178</v>
      </c>
      <c r="L2290" s="10" t="str">
        <f>VLOOKUP(K2290,Accounts!A:B,2,FALSE)</f>
        <v>SCB</v>
      </c>
      <c r="M2290" t="s">
        <v>124</v>
      </c>
      <c r="N2290" s="10"/>
      <c r="O2290" t="s">
        <v>125</v>
      </c>
      <c r="Q2290" t="s">
        <v>126</v>
      </c>
      <c r="R2290" t="s">
        <v>124</v>
      </c>
      <c r="S2290" t="b">
        <v>0</v>
      </c>
      <c r="T2290" t="s">
        <v>124</v>
      </c>
    </row>
    <row r="2291">
      <c r="A2291" t="s">
        <v>4374</v>
      </c>
      <c r="B2291" t="s">
        <v>4375</v>
      </c>
      <c r="C2291" s="2">
        <v>2022</v>
      </c>
      <c r="D2291" s="10">
        <v>11</v>
      </c>
      <c r="E2291" s="10">
        <v>23</v>
      </c>
      <c r="F2291" t="s">
        <v>3701</v>
      </c>
      <c r="G2291">
        <v>45</v>
      </c>
      <c r="H2291" t="s">
        <v>69</v>
      </c>
      <c r="I2291" t="s">
        <v>150</v>
      </c>
      <c r="J2291" s="10" t="str">
        <f>VLOOKUP(I2291,Categories!A:B,2,FALSE)</f>
        <v xml:space="preserve">Food &amp; Coff</v>
      </c>
      <c r="K2291" t="s">
        <v>178</v>
      </c>
      <c r="L2291" s="10" t="str">
        <f>VLOOKUP(K2291,Accounts!A:B,2,FALSE)</f>
        <v>SCB</v>
      </c>
      <c r="M2291" t="s">
        <v>124</v>
      </c>
      <c r="N2291" s="10"/>
      <c r="O2291" t="s">
        <v>125</v>
      </c>
      <c r="Q2291" t="s">
        <v>126</v>
      </c>
      <c r="R2291" t="s">
        <v>124</v>
      </c>
      <c r="S2291" t="b">
        <v>0</v>
      </c>
      <c r="T2291" t="s">
        <v>124</v>
      </c>
    </row>
    <row r="2292">
      <c r="A2292" t="s">
        <v>4376</v>
      </c>
      <c r="B2292" t="s">
        <v>4375</v>
      </c>
      <c r="C2292" s="2">
        <v>2022</v>
      </c>
      <c r="D2292" s="10">
        <v>11</v>
      </c>
      <c r="E2292" s="10">
        <v>23</v>
      </c>
      <c r="F2292" t="s">
        <v>2967</v>
      </c>
      <c r="G2292">
        <v>32</v>
      </c>
      <c r="H2292" t="s">
        <v>69</v>
      </c>
      <c r="I2292" t="s">
        <v>150</v>
      </c>
      <c r="J2292" s="10" t="str">
        <f>VLOOKUP(I2292,Categories!A:B,2,FALSE)</f>
        <v xml:space="preserve">Food &amp; Coff</v>
      </c>
      <c r="K2292" t="s">
        <v>178</v>
      </c>
      <c r="L2292" s="10" t="str">
        <f>VLOOKUP(K2292,Accounts!A:B,2,FALSE)</f>
        <v>SCB</v>
      </c>
      <c r="M2292" t="s">
        <v>124</v>
      </c>
      <c r="N2292" s="10"/>
      <c r="O2292" t="s">
        <v>125</v>
      </c>
      <c r="Q2292" t="s">
        <v>126</v>
      </c>
      <c r="R2292" t="s">
        <v>124</v>
      </c>
      <c r="S2292" t="b">
        <v>0</v>
      </c>
      <c r="T2292" t="s">
        <v>124</v>
      </c>
    </row>
    <row r="2293">
      <c r="A2293" t="s">
        <v>4377</v>
      </c>
      <c r="B2293" t="s">
        <v>4375</v>
      </c>
      <c r="C2293" s="2">
        <v>2022</v>
      </c>
      <c r="D2293" s="10">
        <v>11</v>
      </c>
      <c r="E2293" s="10">
        <v>23</v>
      </c>
      <c r="F2293" t="s">
        <v>4378</v>
      </c>
      <c r="G2293">
        <v>267</v>
      </c>
      <c r="H2293" t="s">
        <v>69</v>
      </c>
      <c r="I2293" t="s">
        <v>150</v>
      </c>
      <c r="J2293" s="10" t="str">
        <f>VLOOKUP(I2293,Categories!A:B,2,FALSE)</f>
        <v xml:space="preserve">Food &amp; Coff</v>
      </c>
      <c r="K2293" t="s">
        <v>2317</v>
      </c>
      <c r="L2293" s="10" t="str">
        <f>VLOOKUP(K2293,Accounts!A:B,2,FALSE)</f>
        <v xml:space="preserve">Marriage account</v>
      </c>
      <c r="M2293" t="s">
        <v>124</v>
      </c>
      <c r="N2293" s="10"/>
      <c r="O2293" t="s">
        <v>4379</v>
      </c>
      <c r="Q2293" t="s">
        <v>126</v>
      </c>
      <c r="R2293" t="s">
        <v>124</v>
      </c>
      <c r="S2293" t="b">
        <v>0</v>
      </c>
      <c r="T2293" t="s">
        <v>124</v>
      </c>
    </row>
    <row r="2294">
      <c r="A2294" t="s">
        <v>4380</v>
      </c>
      <c r="B2294" t="s">
        <v>4375</v>
      </c>
      <c r="C2294" s="2">
        <v>2022</v>
      </c>
      <c r="D2294" s="10">
        <v>11</v>
      </c>
      <c r="E2294" s="10">
        <v>23</v>
      </c>
      <c r="F2294" t="s">
        <v>1052</v>
      </c>
      <c r="G2294">
        <v>249</v>
      </c>
      <c r="H2294" t="s">
        <v>69</v>
      </c>
      <c r="I2294" t="s">
        <v>169</v>
      </c>
      <c r="J2294" s="10" t="str">
        <f>VLOOKUP(I2294,Categories!A:B,2,FALSE)</f>
        <v xml:space="preserve">App &amp; Game</v>
      </c>
      <c r="K2294" t="s">
        <v>743</v>
      </c>
      <c r="L2294" s="10" t="str">
        <f>VLOOKUP(K2294,Accounts!A:B,2,FALSE)</f>
        <v>HOMEPRO</v>
      </c>
      <c r="M2294" t="s">
        <v>124</v>
      </c>
      <c r="N2294" s="10"/>
      <c r="O2294" t="s">
        <v>125</v>
      </c>
      <c r="Q2294" t="s">
        <v>126</v>
      </c>
      <c r="R2294" t="s">
        <v>124</v>
      </c>
      <c r="S2294" t="b">
        <v>0</v>
      </c>
      <c r="T2294" t="s">
        <v>124</v>
      </c>
    </row>
    <row r="2295">
      <c r="A2295" t="s">
        <v>4381</v>
      </c>
      <c r="B2295" t="s">
        <v>4375</v>
      </c>
      <c r="C2295" s="2">
        <v>2022</v>
      </c>
      <c r="D2295" s="10">
        <v>11</v>
      </c>
      <c r="E2295" s="10">
        <v>23</v>
      </c>
      <c r="F2295" t="s">
        <v>2179</v>
      </c>
      <c r="G2295">
        <v>50</v>
      </c>
      <c r="H2295" t="s">
        <v>69</v>
      </c>
      <c r="I2295" t="s">
        <v>150</v>
      </c>
      <c r="J2295" s="10" t="str">
        <f>VLOOKUP(I2295,Categories!A:B,2,FALSE)</f>
        <v xml:space="preserve">Food &amp; Coff</v>
      </c>
      <c r="K2295" t="s">
        <v>178</v>
      </c>
      <c r="L2295" s="10" t="str">
        <f>VLOOKUP(K2295,Accounts!A:B,2,FALSE)</f>
        <v>SCB</v>
      </c>
      <c r="M2295" t="s">
        <v>124</v>
      </c>
      <c r="N2295" s="10"/>
      <c r="O2295" t="s">
        <v>125</v>
      </c>
      <c r="Q2295" t="s">
        <v>126</v>
      </c>
      <c r="R2295" t="s">
        <v>124</v>
      </c>
      <c r="S2295" t="b">
        <v>0</v>
      </c>
      <c r="T2295" t="s">
        <v>124</v>
      </c>
    </row>
    <row r="2296">
      <c r="A2296" t="s">
        <v>4382</v>
      </c>
      <c r="B2296" t="s">
        <v>4375</v>
      </c>
      <c r="C2296" s="2">
        <v>2022</v>
      </c>
      <c r="D2296" s="10">
        <v>11</v>
      </c>
      <c r="E2296" s="10">
        <v>23</v>
      </c>
      <c r="F2296" t="s">
        <v>4383</v>
      </c>
      <c r="G2296">
        <v>55</v>
      </c>
      <c r="H2296" t="s">
        <v>69</v>
      </c>
      <c r="I2296" t="s">
        <v>150</v>
      </c>
      <c r="J2296" s="10" t="str">
        <f>VLOOKUP(I2296,Categories!A:B,2,FALSE)</f>
        <v xml:space="preserve">Food &amp; Coff</v>
      </c>
      <c r="K2296" t="s">
        <v>178</v>
      </c>
      <c r="L2296" s="10" t="str">
        <f>VLOOKUP(K2296,Accounts!A:B,2,FALSE)</f>
        <v>SCB</v>
      </c>
      <c r="M2296" t="s">
        <v>124</v>
      </c>
      <c r="N2296" s="10"/>
      <c r="O2296" t="s">
        <v>125</v>
      </c>
      <c r="Q2296" t="s">
        <v>126</v>
      </c>
      <c r="R2296" t="s">
        <v>124</v>
      </c>
      <c r="S2296" t="b">
        <v>0</v>
      </c>
      <c r="T2296" t="s">
        <v>124</v>
      </c>
    </row>
    <row r="2297">
      <c r="A2297" t="s">
        <v>4384</v>
      </c>
      <c r="B2297" t="s">
        <v>4375</v>
      </c>
      <c r="C2297" s="2">
        <v>2022</v>
      </c>
      <c r="D2297" s="10">
        <v>11</v>
      </c>
      <c r="E2297" s="10">
        <v>23</v>
      </c>
      <c r="F2297" t="s">
        <v>4290</v>
      </c>
      <c r="G2297">
        <v>1910</v>
      </c>
      <c r="H2297" t="s">
        <v>69</v>
      </c>
      <c r="I2297" t="s">
        <v>160</v>
      </c>
      <c r="J2297" s="10" t="str">
        <f>VLOOKUP(I2297,Categories!A:B,2,FALSE)</f>
        <v>Fashion</v>
      </c>
      <c r="K2297" t="s">
        <v>178</v>
      </c>
      <c r="L2297" s="10" t="str">
        <f>VLOOKUP(K2297,Accounts!A:B,2,FALSE)</f>
        <v>SCB</v>
      </c>
      <c r="M2297" t="s">
        <v>124</v>
      </c>
      <c r="N2297" s="10"/>
      <c r="O2297" t="s">
        <v>125</v>
      </c>
      <c r="Q2297" t="s">
        <v>126</v>
      </c>
      <c r="R2297" t="s">
        <v>124</v>
      </c>
      <c r="S2297" t="b">
        <v>0</v>
      </c>
      <c r="T2297" t="s">
        <v>124</v>
      </c>
    </row>
    <row r="2298">
      <c r="A2298" t="s">
        <v>4385</v>
      </c>
      <c r="B2298" t="s">
        <v>4375</v>
      </c>
      <c r="C2298" s="2">
        <v>2022</v>
      </c>
      <c r="D2298" s="10">
        <v>11</v>
      </c>
      <c r="E2298" s="10">
        <v>23</v>
      </c>
      <c r="F2298" t="s">
        <v>1656</v>
      </c>
      <c r="G2298">
        <v>859</v>
      </c>
      <c r="H2298" t="s">
        <v>69</v>
      </c>
      <c r="I2298" t="s">
        <v>1679</v>
      </c>
      <c r="J2298" s="10" t="str">
        <f>VLOOKUP(I2298,Categories!A:B,2,FALSE)</f>
        <v xml:space="preserve">Condo stuff</v>
      </c>
      <c r="K2298" t="s">
        <v>2317</v>
      </c>
      <c r="L2298" s="10" t="str">
        <f>VLOOKUP(K2298,Accounts!A:B,2,FALSE)</f>
        <v xml:space="preserve">Marriage account</v>
      </c>
      <c r="M2298" t="s">
        <v>124</v>
      </c>
      <c r="N2298" s="10"/>
      <c r="O2298" t="s">
        <v>4386</v>
      </c>
      <c r="Q2298" t="s">
        <v>126</v>
      </c>
      <c r="R2298" t="s">
        <v>124</v>
      </c>
      <c r="S2298" t="b">
        <v>0</v>
      </c>
      <c r="T2298" t="s">
        <v>124</v>
      </c>
    </row>
    <row r="2299">
      <c r="A2299" t="s">
        <v>4387</v>
      </c>
      <c r="B2299" t="s">
        <v>4388</v>
      </c>
      <c r="C2299" s="2">
        <v>2022</v>
      </c>
      <c r="D2299" s="10">
        <v>11</v>
      </c>
      <c r="E2299" s="10">
        <v>22</v>
      </c>
      <c r="F2299" t="s">
        <v>3923</v>
      </c>
      <c r="G2299">
        <v>65</v>
      </c>
      <c r="H2299" t="s">
        <v>69</v>
      </c>
      <c r="I2299" t="s">
        <v>150</v>
      </c>
      <c r="J2299" s="10" t="str">
        <f>VLOOKUP(I2299,Categories!A:B,2,FALSE)</f>
        <v xml:space="preserve">Food &amp; Coff</v>
      </c>
      <c r="K2299" t="s">
        <v>178</v>
      </c>
      <c r="L2299" s="10" t="str">
        <f>VLOOKUP(K2299,Accounts!A:B,2,FALSE)</f>
        <v>SCB</v>
      </c>
      <c r="M2299" t="s">
        <v>124</v>
      </c>
      <c r="N2299" s="10"/>
      <c r="O2299" t="s">
        <v>125</v>
      </c>
      <c r="Q2299" t="s">
        <v>126</v>
      </c>
      <c r="R2299" t="s">
        <v>124</v>
      </c>
      <c r="S2299" t="b">
        <v>0</v>
      </c>
      <c r="T2299" t="s">
        <v>124</v>
      </c>
    </row>
    <row r="2300">
      <c r="A2300" t="s">
        <v>4389</v>
      </c>
      <c r="B2300" t="s">
        <v>4388</v>
      </c>
      <c r="C2300" s="2">
        <v>2022</v>
      </c>
      <c r="D2300" s="10">
        <v>11</v>
      </c>
      <c r="E2300" s="10">
        <v>22</v>
      </c>
      <c r="F2300" t="s">
        <v>3995</v>
      </c>
      <c r="G2300">
        <v>55</v>
      </c>
      <c r="H2300" t="s">
        <v>69</v>
      </c>
      <c r="I2300" t="s">
        <v>150</v>
      </c>
      <c r="J2300" s="10" t="str">
        <f>VLOOKUP(I2300,Categories!A:B,2,FALSE)</f>
        <v xml:space="preserve">Food &amp; Coff</v>
      </c>
      <c r="K2300" t="s">
        <v>178</v>
      </c>
      <c r="L2300" s="10" t="str">
        <f>VLOOKUP(K2300,Accounts!A:B,2,FALSE)</f>
        <v>SCB</v>
      </c>
      <c r="M2300" t="s">
        <v>124</v>
      </c>
      <c r="N2300" s="10"/>
      <c r="O2300" t="s">
        <v>125</v>
      </c>
      <c r="Q2300" t="s">
        <v>126</v>
      </c>
      <c r="R2300" t="s">
        <v>124</v>
      </c>
      <c r="S2300" t="b">
        <v>0</v>
      </c>
      <c r="T2300" t="s">
        <v>124</v>
      </c>
    </row>
    <row r="2301">
      <c r="A2301" t="s">
        <v>4390</v>
      </c>
      <c r="B2301" t="s">
        <v>4388</v>
      </c>
      <c r="C2301" s="2">
        <v>2022</v>
      </c>
      <c r="D2301" s="10">
        <v>11</v>
      </c>
      <c r="E2301" s="10">
        <v>22</v>
      </c>
      <c r="F2301" t="s">
        <v>4391</v>
      </c>
      <c r="G2301">
        <v>72</v>
      </c>
      <c r="H2301" t="s">
        <v>69</v>
      </c>
      <c r="I2301" t="s">
        <v>150</v>
      </c>
      <c r="J2301" s="10" t="str">
        <f>VLOOKUP(I2301,Categories!A:B,2,FALSE)</f>
        <v xml:space="preserve">Food &amp; Coff</v>
      </c>
      <c r="K2301" t="s">
        <v>178</v>
      </c>
      <c r="L2301" s="10" t="str">
        <f>VLOOKUP(K2301,Accounts!A:B,2,FALSE)</f>
        <v>SCB</v>
      </c>
      <c r="M2301" t="s">
        <v>124</v>
      </c>
      <c r="N2301" s="10"/>
      <c r="O2301" t="s">
        <v>125</v>
      </c>
      <c r="Q2301" t="s">
        <v>126</v>
      </c>
      <c r="R2301" t="s">
        <v>124</v>
      </c>
      <c r="S2301" t="b">
        <v>0</v>
      </c>
      <c r="T2301" t="s">
        <v>124</v>
      </c>
    </row>
    <row r="2302">
      <c r="A2302" t="s">
        <v>4392</v>
      </c>
      <c r="B2302" t="s">
        <v>4388</v>
      </c>
      <c r="C2302" s="2">
        <v>2022</v>
      </c>
      <c r="D2302" s="10">
        <v>11</v>
      </c>
      <c r="E2302" s="10">
        <v>22</v>
      </c>
      <c r="F2302" t="s">
        <v>4391</v>
      </c>
      <c r="G2302">
        <v>134</v>
      </c>
      <c r="H2302" t="s">
        <v>69</v>
      </c>
      <c r="I2302" t="s">
        <v>141</v>
      </c>
      <c r="J2302" s="10" t="str">
        <f>VLOOKUP(I2302,Categories!A:B,2,FALSE)</f>
        <v>Other</v>
      </c>
      <c r="K2302" t="s">
        <v>178</v>
      </c>
      <c r="L2302" s="10" t="str">
        <f>VLOOKUP(K2302,Accounts!A:B,2,FALSE)</f>
        <v>SCB</v>
      </c>
      <c r="M2302" t="s">
        <v>124</v>
      </c>
      <c r="N2302" s="10"/>
      <c r="O2302" t="s">
        <v>125</v>
      </c>
      <c r="Q2302" t="s">
        <v>126</v>
      </c>
      <c r="R2302" t="s">
        <v>124</v>
      </c>
      <c r="S2302" t="b">
        <v>0</v>
      </c>
      <c r="T2302" t="s">
        <v>124</v>
      </c>
    </row>
    <row r="2303">
      <c r="A2303" t="s">
        <v>4393</v>
      </c>
      <c r="B2303" t="s">
        <v>4394</v>
      </c>
      <c r="C2303" s="2">
        <v>2022</v>
      </c>
      <c r="D2303" s="10">
        <v>11</v>
      </c>
      <c r="E2303" s="10">
        <v>21</v>
      </c>
      <c r="F2303" t="s">
        <v>1004</v>
      </c>
      <c r="G2303">
        <v>55</v>
      </c>
      <c r="H2303" t="s">
        <v>69</v>
      </c>
      <c r="I2303" t="s">
        <v>150</v>
      </c>
      <c r="J2303" s="10" t="str">
        <f>VLOOKUP(I2303,Categories!A:B,2,FALSE)</f>
        <v xml:space="preserve">Food &amp; Coff</v>
      </c>
      <c r="K2303" t="s">
        <v>178</v>
      </c>
      <c r="L2303" s="10" t="str">
        <f>VLOOKUP(K2303,Accounts!A:B,2,FALSE)</f>
        <v>SCB</v>
      </c>
      <c r="M2303" t="s">
        <v>124</v>
      </c>
      <c r="N2303" s="10"/>
      <c r="O2303" t="s">
        <v>125</v>
      </c>
      <c r="Q2303" t="s">
        <v>126</v>
      </c>
      <c r="R2303" t="s">
        <v>124</v>
      </c>
      <c r="S2303" t="b">
        <v>0</v>
      </c>
      <c r="T2303" t="s">
        <v>124</v>
      </c>
    </row>
    <row r="2304">
      <c r="A2304" t="s">
        <v>4395</v>
      </c>
      <c r="B2304" t="s">
        <v>4394</v>
      </c>
      <c r="C2304" s="2">
        <v>2022</v>
      </c>
      <c r="D2304" s="10">
        <v>11</v>
      </c>
      <c r="E2304" s="10">
        <v>21</v>
      </c>
      <c r="F2304" t="s">
        <v>4396</v>
      </c>
      <c r="G2304">
        <v>90</v>
      </c>
      <c r="H2304" t="s">
        <v>69</v>
      </c>
      <c r="I2304" t="s">
        <v>150</v>
      </c>
      <c r="J2304" s="10" t="str">
        <f>VLOOKUP(I2304,Categories!A:B,2,FALSE)</f>
        <v xml:space="preserve">Food &amp; Coff</v>
      </c>
      <c r="K2304" t="s">
        <v>2317</v>
      </c>
      <c r="L2304" s="10" t="str">
        <f>VLOOKUP(K2304,Accounts!A:B,2,FALSE)</f>
        <v xml:space="preserve">Marriage account</v>
      </c>
      <c r="M2304" t="s">
        <v>124</v>
      </c>
      <c r="N2304" s="10"/>
      <c r="O2304" t="s">
        <v>125</v>
      </c>
      <c r="Q2304" t="s">
        <v>126</v>
      </c>
      <c r="R2304" t="s">
        <v>124</v>
      </c>
      <c r="S2304" t="b">
        <v>0</v>
      </c>
      <c r="T2304" t="s">
        <v>124</v>
      </c>
    </row>
    <row r="2305">
      <c r="A2305" t="s">
        <v>4397</v>
      </c>
      <c r="B2305" t="s">
        <v>4394</v>
      </c>
      <c r="C2305" s="2">
        <v>2022</v>
      </c>
      <c r="D2305" s="10">
        <v>11</v>
      </c>
      <c r="E2305" s="10">
        <v>21</v>
      </c>
      <c r="F2305" t="s">
        <v>3757</v>
      </c>
      <c r="G2305">
        <v>70</v>
      </c>
      <c r="H2305" t="s">
        <v>69</v>
      </c>
      <c r="I2305" t="s">
        <v>150</v>
      </c>
      <c r="J2305" s="10" t="str">
        <f>VLOOKUP(I2305,Categories!A:B,2,FALSE)</f>
        <v xml:space="preserve">Food &amp; Coff</v>
      </c>
      <c r="K2305" t="s">
        <v>178</v>
      </c>
      <c r="L2305" s="10" t="str">
        <f>VLOOKUP(K2305,Accounts!A:B,2,FALSE)</f>
        <v>SCB</v>
      </c>
      <c r="M2305" t="s">
        <v>124</v>
      </c>
      <c r="N2305" s="10"/>
      <c r="O2305" t="s">
        <v>125</v>
      </c>
      <c r="Q2305" t="s">
        <v>126</v>
      </c>
      <c r="R2305" t="s">
        <v>124</v>
      </c>
      <c r="S2305" t="b">
        <v>0</v>
      </c>
      <c r="T2305" t="s">
        <v>124</v>
      </c>
    </row>
    <row r="2306">
      <c r="A2306" t="s">
        <v>4398</v>
      </c>
      <c r="B2306" t="s">
        <v>4399</v>
      </c>
      <c r="C2306" s="2">
        <v>2022</v>
      </c>
      <c r="D2306" s="10">
        <v>11</v>
      </c>
      <c r="E2306" s="10">
        <v>20</v>
      </c>
      <c r="F2306" t="s">
        <v>2921</v>
      </c>
      <c r="G2306">
        <v>1795.3299999999999</v>
      </c>
      <c r="H2306" t="s">
        <v>128</v>
      </c>
      <c r="I2306" t="s">
        <v>136</v>
      </c>
      <c r="J2306" s="10" t="str">
        <f>VLOOKUP(I2306,Categories!A:B,2,FALSE)</f>
        <v>อื่นๆ</v>
      </c>
      <c r="K2306" t="s">
        <v>1308</v>
      </c>
      <c r="L2306" s="10" t="str">
        <f>VLOOKUP(K2306,Accounts!A:B,2,FALSE)</f>
        <v xml:space="preserve">UOB Privilages</v>
      </c>
      <c r="M2306" t="s">
        <v>131</v>
      </c>
      <c r="N2306" s="10" t="str">
        <f>VLOOKUP(M2306,Accounts!A:B,2,FALSE)</f>
        <v xml:space="preserve">Advance Paid</v>
      </c>
      <c r="O2306" t="s">
        <v>4400</v>
      </c>
      <c r="Q2306" t="s">
        <v>126</v>
      </c>
      <c r="R2306" t="s">
        <v>124</v>
      </c>
      <c r="S2306" t="b">
        <v>0</v>
      </c>
      <c r="T2306" t="s">
        <v>124</v>
      </c>
    </row>
    <row r="2307">
      <c r="A2307" t="s">
        <v>4401</v>
      </c>
      <c r="B2307" t="s">
        <v>4399</v>
      </c>
      <c r="C2307" s="2">
        <v>2022</v>
      </c>
      <c r="D2307" s="10">
        <v>11</v>
      </c>
      <c r="E2307" s="10">
        <v>20</v>
      </c>
      <c r="F2307" t="s">
        <v>1028</v>
      </c>
      <c r="G2307">
        <v>73</v>
      </c>
      <c r="H2307" t="s">
        <v>69</v>
      </c>
      <c r="I2307" t="s">
        <v>1679</v>
      </c>
      <c r="J2307" s="10" t="str">
        <f>VLOOKUP(I2307,Categories!A:B,2,FALSE)</f>
        <v xml:space="preserve">Condo stuff</v>
      </c>
      <c r="K2307" t="s">
        <v>2317</v>
      </c>
      <c r="L2307" s="10" t="str">
        <f>VLOOKUP(K2307,Accounts!A:B,2,FALSE)</f>
        <v xml:space="preserve">Marriage account</v>
      </c>
      <c r="M2307" t="s">
        <v>124</v>
      </c>
      <c r="N2307" s="10"/>
      <c r="O2307" t="s">
        <v>125</v>
      </c>
      <c r="Q2307" t="s">
        <v>126</v>
      </c>
      <c r="R2307" t="s">
        <v>124</v>
      </c>
      <c r="S2307" t="b">
        <v>0</v>
      </c>
      <c r="T2307" t="s">
        <v>124</v>
      </c>
    </row>
    <row r="2308">
      <c r="A2308" t="s">
        <v>4402</v>
      </c>
      <c r="B2308" t="s">
        <v>4399</v>
      </c>
      <c r="C2308" s="2">
        <v>2022</v>
      </c>
      <c r="D2308" s="10">
        <v>11</v>
      </c>
      <c r="E2308" s="10">
        <v>20</v>
      </c>
      <c r="F2308" t="s">
        <v>4403</v>
      </c>
      <c r="G2308">
        <v>45</v>
      </c>
      <c r="H2308" t="s">
        <v>69</v>
      </c>
      <c r="I2308" t="s">
        <v>150</v>
      </c>
      <c r="J2308" s="10" t="str">
        <f>VLOOKUP(I2308,Categories!A:B,2,FALSE)</f>
        <v xml:space="preserve">Food &amp; Coff</v>
      </c>
      <c r="K2308" t="s">
        <v>2317</v>
      </c>
      <c r="L2308" s="10" t="str">
        <f>VLOOKUP(K2308,Accounts!A:B,2,FALSE)</f>
        <v xml:space="preserve">Marriage account</v>
      </c>
      <c r="M2308" t="s">
        <v>124</v>
      </c>
      <c r="N2308" s="10"/>
      <c r="O2308" t="s">
        <v>125</v>
      </c>
      <c r="Q2308" t="s">
        <v>126</v>
      </c>
      <c r="R2308" t="s">
        <v>124</v>
      </c>
      <c r="S2308" t="b">
        <v>0</v>
      </c>
      <c r="T2308" t="s">
        <v>124</v>
      </c>
    </row>
    <row r="2309">
      <c r="A2309" t="s">
        <v>4404</v>
      </c>
      <c r="B2309" t="s">
        <v>4399</v>
      </c>
      <c r="C2309" s="2">
        <v>2022</v>
      </c>
      <c r="D2309" s="10">
        <v>11</v>
      </c>
      <c r="E2309" s="10">
        <v>20</v>
      </c>
      <c r="F2309" t="s">
        <v>537</v>
      </c>
      <c r="G2309">
        <v>898</v>
      </c>
      <c r="H2309" t="s">
        <v>128</v>
      </c>
      <c r="I2309" t="s">
        <v>136</v>
      </c>
      <c r="J2309" s="10" t="str">
        <f>VLOOKUP(I2309,Categories!A:B,2,FALSE)</f>
        <v>อื่นๆ</v>
      </c>
      <c r="K2309" t="s">
        <v>1308</v>
      </c>
      <c r="L2309" s="10" t="str">
        <f>VLOOKUP(K2309,Accounts!A:B,2,FALSE)</f>
        <v xml:space="preserve">UOB Privilages</v>
      </c>
      <c r="M2309" t="s">
        <v>131</v>
      </c>
      <c r="N2309" s="10" t="str">
        <f>VLOOKUP(M2309,Accounts!A:B,2,FALSE)</f>
        <v xml:space="preserve">Advance Paid</v>
      </c>
      <c r="O2309" t="s">
        <v>4405</v>
      </c>
      <c r="Q2309" t="s">
        <v>126</v>
      </c>
      <c r="R2309" t="s">
        <v>124</v>
      </c>
      <c r="S2309" t="b">
        <v>0</v>
      </c>
      <c r="T2309" t="s">
        <v>124</v>
      </c>
    </row>
    <row r="2310">
      <c r="A2310" t="s">
        <v>4406</v>
      </c>
      <c r="B2310" t="s">
        <v>4407</v>
      </c>
      <c r="C2310" s="2">
        <v>2022</v>
      </c>
      <c r="D2310" s="10">
        <v>11</v>
      </c>
      <c r="E2310" s="10">
        <v>19</v>
      </c>
      <c r="F2310" t="s">
        <v>3309</v>
      </c>
      <c r="G2310">
        <v>90</v>
      </c>
      <c r="H2310" t="s">
        <v>69</v>
      </c>
      <c r="I2310" t="s">
        <v>150</v>
      </c>
      <c r="J2310" s="10" t="str">
        <f>VLOOKUP(I2310,Categories!A:B,2,FALSE)</f>
        <v xml:space="preserve">Food &amp; Coff</v>
      </c>
      <c r="K2310" t="s">
        <v>2317</v>
      </c>
      <c r="L2310" s="10" t="str">
        <f>VLOOKUP(K2310,Accounts!A:B,2,FALSE)</f>
        <v xml:space="preserve">Marriage account</v>
      </c>
      <c r="M2310" t="s">
        <v>124</v>
      </c>
      <c r="N2310" s="10"/>
      <c r="O2310" t="s">
        <v>125</v>
      </c>
      <c r="Q2310" t="s">
        <v>126</v>
      </c>
      <c r="R2310" t="s">
        <v>124</v>
      </c>
      <c r="S2310" t="b">
        <v>0</v>
      </c>
      <c r="T2310" t="s">
        <v>124</v>
      </c>
    </row>
    <row r="2311">
      <c r="A2311" t="s">
        <v>4408</v>
      </c>
      <c r="B2311" t="s">
        <v>4407</v>
      </c>
      <c r="C2311" s="2">
        <v>2022</v>
      </c>
      <c r="D2311" s="10">
        <v>11</v>
      </c>
      <c r="E2311" s="10">
        <v>19</v>
      </c>
      <c r="F2311" t="s">
        <v>2619</v>
      </c>
      <c r="G2311">
        <v>400</v>
      </c>
      <c r="H2311" t="s">
        <v>128</v>
      </c>
      <c r="I2311" t="s">
        <v>136</v>
      </c>
      <c r="J2311" s="10" t="str">
        <f>VLOOKUP(I2311,Categories!A:B,2,FALSE)</f>
        <v>อื่นๆ</v>
      </c>
      <c r="K2311" t="s">
        <v>123</v>
      </c>
      <c r="L2311" s="10" t="str">
        <f>VLOOKUP(K2311,Accounts!A:B,2,FALSE)</f>
        <v>KBank</v>
      </c>
      <c r="M2311" t="s">
        <v>425</v>
      </c>
      <c r="N2311" s="10" t="str">
        <f>VLOOKUP(M2311,Accounts!A:B,2,FALSE)</f>
        <v>Cash</v>
      </c>
      <c r="O2311" t="s">
        <v>125</v>
      </c>
      <c r="Q2311" t="s">
        <v>126</v>
      </c>
      <c r="R2311" t="s">
        <v>124</v>
      </c>
      <c r="S2311" t="b">
        <v>0</v>
      </c>
      <c r="T2311" t="s">
        <v>124</v>
      </c>
    </row>
    <row r="2312">
      <c r="A2312" t="s">
        <v>4409</v>
      </c>
      <c r="B2312" t="s">
        <v>4407</v>
      </c>
      <c r="C2312" s="2">
        <v>2022</v>
      </c>
      <c r="D2312" s="10">
        <v>11</v>
      </c>
      <c r="E2312" s="10">
        <v>19</v>
      </c>
      <c r="F2312" t="s">
        <v>2619</v>
      </c>
      <c r="G2312">
        <v>45</v>
      </c>
      <c r="H2312" t="s">
        <v>69</v>
      </c>
      <c r="I2312" t="s">
        <v>150</v>
      </c>
      <c r="J2312" s="10" t="str">
        <f>VLOOKUP(I2312,Categories!A:B,2,FALSE)</f>
        <v xml:space="preserve">Food &amp; Coff</v>
      </c>
      <c r="K2312" t="s">
        <v>425</v>
      </c>
      <c r="L2312" s="10" t="str">
        <f>VLOOKUP(K2312,Accounts!A:B,2,FALSE)</f>
        <v>Cash</v>
      </c>
      <c r="M2312" t="s">
        <v>124</v>
      </c>
      <c r="N2312" s="10"/>
      <c r="O2312" t="s">
        <v>125</v>
      </c>
      <c r="Q2312" t="s">
        <v>126</v>
      </c>
      <c r="R2312" t="s">
        <v>124</v>
      </c>
      <c r="S2312" t="b">
        <v>0</v>
      </c>
      <c r="T2312" t="s">
        <v>124</v>
      </c>
    </row>
    <row r="2313">
      <c r="A2313" t="s">
        <v>4410</v>
      </c>
      <c r="B2313" t="s">
        <v>4407</v>
      </c>
      <c r="C2313" s="2">
        <v>2022</v>
      </c>
      <c r="D2313" s="10">
        <v>11</v>
      </c>
      <c r="E2313" s="10">
        <v>19</v>
      </c>
      <c r="F2313" t="s">
        <v>1458</v>
      </c>
      <c r="G2313">
        <v>682</v>
      </c>
      <c r="H2313" t="s">
        <v>69</v>
      </c>
      <c r="I2313" t="s">
        <v>150</v>
      </c>
      <c r="J2313" s="10" t="str">
        <f>VLOOKUP(I2313,Categories!A:B,2,FALSE)</f>
        <v xml:space="preserve">Food &amp; Coff</v>
      </c>
      <c r="K2313" t="s">
        <v>2317</v>
      </c>
      <c r="L2313" s="10" t="str">
        <f>VLOOKUP(K2313,Accounts!A:B,2,FALSE)</f>
        <v xml:space="preserve">Marriage account</v>
      </c>
      <c r="M2313" t="s">
        <v>124</v>
      </c>
      <c r="N2313" s="10"/>
      <c r="O2313" t="s">
        <v>4411</v>
      </c>
      <c r="Q2313" t="s">
        <v>126</v>
      </c>
      <c r="R2313" t="s">
        <v>124</v>
      </c>
      <c r="S2313" t="b">
        <v>0</v>
      </c>
      <c r="T2313" t="s">
        <v>124</v>
      </c>
    </row>
    <row r="2314">
      <c r="A2314" t="s">
        <v>4412</v>
      </c>
      <c r="B2314" t="s">
        <v>4413</v>
      </c>
      <c r="C2314" s="2">
        <v>2022</v>
      </c>
      <c r="D2314" s="10">
        <v>11</v>
      </c>
      <c r="E2314" s="10">
        <v>18</v>
      </c>
      <c r="F2314" t="s">
        <v>1506</v>
      </c>
      <c r="G2314">
        <v>110</v>
      </c>
      <c r="H2314" t="s">
        <v>69</v>
      </c>
      <c r="I2314" t="s">
        <v>150</v>
      </c>
      <c r="J2314" s="10" t="str">
        <f>VLOOKUP(I2314,Categories!A:B,2,FALSE)</f>
        <v xml:space="preserve">Food &amp; Coff</v>
      </c>
      <c r="K2314" t="s">
        <v>2317</v>
      </c>
      <c r="L2314" s="10" t="str">
        <f>VLOOKUP(K2314,Accounts!A:B,2,FALSE)</f>
        <v xml:space="preserve">Marriage account</v>
      </c>
      <c r="M2314" t="s">
        <v>124</v>
      </c>
      <c r="N2314" s="10"/>
      <c r="O2314" t="s">
        <v>125</v>
      </c>
      <c r="Q2314" t="s">
        <v>126</v>
      </c>
      <c r="R2314" t="s">
        <v>124</v>
      </c>
      <c r="S2314" t="b">
        <v>0</v>
      </c>
      <c r="T2314" t="s">
        <v>124</v>
      </c>
    </row>
    <row r="2315">
      <c r="A2315" t="s">
        <v>4414</v>
      </c>
      <c r="B2315" t="s">
        <v>4413</v>
      </c>
      <c r="C2315" s="2">
        <v>2022</v>
      </c>
      <c r="D2315" s="10">
        <v>11</v>
      </c>
      <c r="E2315" s="10">
        <v>18</v>
      </c>
      <c r="F2315" t="s">
        <v>2943</v>
      </c>
      <c r="G2315">
        <v>72</v>
      </c>
      <c r="H2315" t="s">
        <v>69</v>
      </c>
      <c r="I2315" t="s">
        <v>150</v>
      </c>
      <c r="J2315" s="10" t="str">
        <f>VLOOKUP(I2315,Categories!A:B,2,FALSE)</f>
        <v xml:space="preserve">Food &amp; Coff</v>
      </c>
      <c r="K2315" t="s">
        <v>178</v>
      </c>
      <c r="L2315" s="10" t="str">
        <f>VLOOKUP(K2315,Accounts!A:B,2,FALSE)</f>
        <v>SCB</v>
      </c>
      <c r="M2315" t="s">
        <v>124</v>
      </c>
      <c r="N2315" s="10"/>
      <c r="O2315" t="s">
        <v>125</v>
      </c>
      <c r="Q2315" t="s">
        <v>126</v>
      </c>
      <c r="R2315" t="s">
        <v>124</v>
      </c>
      <c r="S2315" t="b">
        <v>0</v>
      </c>
      <c r="T2315" t="s">
        <v>124</v>
      </c>
    </row>
    <row r="2316">
      <c r="A2316" t="s">
        <v>4415</v>
      </c>
      <c r="B2316" t="s">
        <v>4413</v>
      </c>
      <c r="C2316" s="2">
        <v>2022</v>
      </c>
      <c r="D2316" s="10">
        <v>11</v>
      </c>
      <c r="E2316" s="10">
        <v>18</v>
      </c>
      <c r="F2316" t="s">
        <v>3392</v>
      </c>
      <c r="G2316">
        <v>55</v>
      </c>
      <c r="H2316" t="s">
        <v>69</v>
      </c>
      <c r="I2316" t="s">
        <v>150</v>
      </c>
      <c r="J2316" s="10" t="str">
        <f>VLOOKUP(I2316,Categories!A:B,2,FALSE)</f>
        <v xml:space="preserve">Food &amp; Coff</v>
      </c>
      <c r="K2316" t="s">
        <v>178</v>
      </c>
      <c r="L2316" s="10" t="str">
        <f>VLOOKUP(K2316,Accounts!A:B,2,FALSE)</f>
        <v>SCB</v>
      </c>
      <c r="M2316" t="s">
        <v>124</v>
      </c>
      <c r="N2316" s="10"/>
      <c r="O2316" t="s">
        <v>125</v>
      </c>
      <c r="Q2316" t="s">
        <v>126</v>
      </c>
      <c r="R2316" t="s">
        <v>124</v>
      </c>
      <c r="S2316" t="b">
        <v>0</v>
      </c>
      <c r="T2316" t="s">
        <v>124</v>
      </c>
    </row>
    <row r="2317">
      <c r="A2317" t="s">
        <v>4416</v>
      </c>
      <c r="B2317" t="s">
        <v>4413</v>
      </c>
      <c r="C2317" s="2">
        <v>2022</v>
      </c>
      <c r="D2317" s="10">
        <v>11</v>
      </c>
      <c r="E2317" s="10">
        <v>18</v>
      </c>
      <c r="F2317" t="s">
        <v>740</v>
      </c>
      <c r="G2317">
        <v>127</v>
      </c>
      <c r="H2317" t="s">
        <v>69</v>
      </c>
      <c r="I2317" t="s">
        <v>150</v>
      </c>
      <c r="J2317" s="10" t="str">
        <f>VLOOKUP(I2317,Categories!A:B,2,FALSE)</f>
        <v xml:space="preserve">Food &amp; Coff</v>
      </c>
      <c r="K2317" t="s">
        <v>2317</v>
      </c>
      <c r="L2317" s="10" t="str">
        <f>VLOOKUP(K2317,Accounts!A:B,2,FALSE)</f>
        <v xml:space="preserve">Marriage account</v>
      </c>
      <c r="M2317" t="s">
        <v>124</v>
      </c>
      <c r="N2317" s="10"/>
      <c r="O2317" t="s">
        <v>125</v>
      </c>
      <c r="Q2317" t="s">
        <v>126</v>
      </c>
      <c r="R2317" t="s">
        <v>124</v>
      </c>
      <c r="S2317" t="b">
        <v>0</v>
      </c>
      <c r="T2317" t="s">
        <v>124</v>
      </c>
    </row>
    <row r="2318">
      <c r="A2318" t="s">
        <v>4417</v>
      </c>
      <c r="B2318" t="s">
        <v>4418</v>
      </c>
      <c r="C2318" s="2">
        <v>2022</v>
      </c>
      <c r="D2318" s="10">
        <v>11</v>
      </c>
      <c r="E2318" s="10">
        <v>17</v>
      </c>
      <c r="F2318" t="s">
        <v>4298</v>
      </c>
      <c r="G2318">
        <v>48</v>
      </c>
      <c r="H2318" t="s">
        <v>69</v>
      </c>
      <c r="I2318" t="s">
        <v>150</v>
      </c>
      <c r="J2318" s="10" t="str">
        <f>VLOOKUP(I2318,Categories!A:B,2,FALSE)</f>
        <v xml:space="preserve">Food &amp; Coff</v>
      </c>
      <c r="K2318" t="s">
        <v>2317</v>
      </c>
      <c r="L2318" s="10" t="str">
        <f>VLOOKUP(K2318,Accounts!A:B,2,FALSE)</f>
        <v xml:space="preserve">Marriage account</v>
      </c>
      <c r="M2318" t="s">
        <v>124</v>
      </c>
      <c r="N2318" s="10"/>
      <c r="O2318" t="s">
        <v>125</v>
      </c>
      <c r="Q2318" t="s">
        <v>126</v>
      </c>
      <c r="R2318" t="s">
        <v>124</v>
      </c>
      <c r="S2318" t="b">
        <v>0</v>
      </c>
      <c r="T2318" t="s">
        <v>124</v>
      </c>
    </row>
    <row r="2319">
      <c r="A2319" t="s">
        <v>4419</v>
      </c>
      <c r="B2319" t="s">
        <v>4418</v>
      </c>
      <c r="C2319" s="2">
        <v>2022</v>
      </c>
      <c r="D2319" s="10">
        <v>11</v>
      </c>
      <c r="E2319" s="10">
        <v>17</v>
      </c>
      <c r="F2319" t="s">
        <v>820</v>
      </c>
      <c r="G2319">
        <v>5000</v>
      </c>
      <c r="H2319" t="s">
        <v>128</v>
      </c>
      <c r="I2319" t="s">
        <v>136</v>
      </c>
      <c r="J2319" s="10" t="str">
        <f>VLOOKUP(I2319,Categories!A:B,2,FALSE)</f>
        <v>อื่นๆ</v>
      </c>
      <c r="K2319" t="s">
        <v>178</v>
      </c>
      <c r="L2319" s="10" t="str">
        <f>VLOOKUP(K2319,Accounts!A:B,2,FALSE)</f>
        <v>SCB</v>
      </c>
      <c r="M2319" t="s">
        <v>3248</v>
      </c>
      <c r="N2319" s="10" t="str">
        <f>VLOOKUP(M2319,Accounts!A:B,2,FALSE)</f>
        <v>Loan</v>
      </c>
      <c r="O2319" t="s">
        <v>3249</v>
      </c>
      <c r="Q2319" t="s">
        <v>126</v>
      </c>
      <c r="R2319" t="s">
        <v>124</v>
      </c>
      <c r="S2319" t="b">
        <v>0</v>
      </c>
      <c r="T2319" t="s">
        <v>124</v>
      </c>
    </row>
    <row r="2320">
      <c r="A2320" t="s">
        <v>4420</v>
      </c>
      <c r="B2320" t="s">
        <v>4418</v>
      </c>
      <c r="C2320" s="2">
        <v>2022</v>
      </c>
      <c r="D2320" s="10">
        <v>11</v>
      </c>
      <c r="E2320" s="10">
        <v>17</v>
      </c>
      <c r="F2320" t="s">
        <v>1424</v>
      </c>
      <c r="G2320">
        <v>463</v>
      </c>
      <c r="H2320" t="s">
        <v>69</v>
      </c>
      <c r="I2320" t="s">
        <v>150</v>
      </c>
      <c r="J2320" s="10" t="str">
        <f>VLOOKUP(I2320,Categories!A:B,2,FALSE)</f>
        <v xml:space="preserve">Food &amp; Coff</v>
      </c>
      <c r="K2320" t="s">
        <v>2317</v>
      </c>
      <c r="L2320" s="10" t="str">
        <f>VLOOKUP(K2320,Accounts!A:B,2,FALSE)</f>
        <v xml:space="preserve">Marriage account</v>
      </c>
      <c r="M2320" t="s">
        <v>124</v>
      </c>
      <c r="N2320" s="10"/>
      <c r="O2320" t="s">
        <v>125</v>
      </c>
      <c r="Q2320" t="s">
        <v>126</v>
      </c>
      <c r="R2320" t="s">
        <v>124</v>
      </c>
      <c r="S2320" t="b">
        <v>0</v>
      </c>
      <c r="T2320" t="s">
        <v>124</v>
      </c>
    </row>
    <row r="2321">
      <c r="A2321" t="s">
        <v>4421</v>
      </c>
      <c r="B2321" t="s">
        <v>4418</v>
      </c>
      <c r="C2321" s="2">
        <v>2022</v>
      </c>
      <c r="D2321" s="10">
        <v>11</v>
      </c>
      <c r="E2321" s="10">
        <v>17</v>
      </c>
      <c r="F2321" t="s">
        <v>4422</v>
      </c>
      <c r="G2321">
        <v>89</v>
      </c>
      <c r="H2321" t="s">
        <v>69</v>
      </c>
      <c r="I2321" t="s">
        <v>150</v>
      </c>
      <c r="J2321" s="10" t="str">
        <f>VLOOKUP(I2321,Categories!A:B,2,FALSE)</f>
        <v xml:space="preserve">Food &amp; Coff</v>
      </c>
      <c r="K2321" t="s">
        <v>2317</v>
      </c>
      <c r="L2321" s="10" t="str">
        <f>VLOOKUP(K2321,Accounts!A:B,2,FALSE)</f>
        <v xml:space="preserve">Marriage account</v>
      </c>
      <c r="M2321" t="s">
        <v>124</v>
      </c>
      <c r="N2321" s="10"/>
      <c r="O2321" t="s">
        <v>125</v>
      </c>
      <c r="Q2321" t="s">
        <v>126</v>
      </c>
      <c r="R2321" t="s">
        <v>124</v>
      </c>
      <c r="S2321" t="b">
        <v>0</v>
      </c>
      <c r="T2321" t="s">
        <v>124</v>
      </c>
    </row>
    <row r="2322">
      <c r="A2322" t="s">
        <v>4423</v>
      </c>
      <c r="B2322" t="s">
        <v>4424</v>
      </c>
      <c r="C2322" s="2">
        <v>2022</v>
      </c>
      <c r="D2322" s="10">
        <v>11</v>
      </c>
      <c r="E2322" s="10">
        <v>15</v>
      </c>
      <c r="F2322" t="s">
        <v>3408</v>
      </c>
      <c r="G2322">
        <v>220</v>
      </c>
      <c r="H2322" t="s">
        <v>69</v>
      </c>
      <c r="I2322" t="s">
        <v>150</v>
      </c>
      <c r="J2322" s="10" t="str">
        <f>VLOOKUP(I2322,Categories!A:B,2,FALSE)</f>
        <v xml:space="preserve">Food &amp; Coff</v>
      </c>
      <c r="K2322" t="s">
        <v>2317</v>
      </c>
      <c r="L2322" s="10" t="str">
        <f>VLOOKUP(K2322,Accounts!A:B,2,FALSE)</f>
        <v xml:space="preserve">Marriage account</v>
      </c>
      <c r="M2322" t="s">
        <v>124</v>
      </c>
      <c r="N2322" s="10"/>
      <c r="O2322" t="s">
        <v>125</v>
      </c>
      <c r="Q2322" t="s">
        <v>126</v>
      </c>
      <c r="R2322" t="s">
        <v>124</v>
      </c>
      <c r="S2322" t="b">
        <v>0</v>
      </c>
      <c r="T2322" t="s">
        <v>124</v>
      </c>
    </row>
    <row r="2323">
      <c r="A2323" t="s">
        <v>4425</v>
      </c>
      <c r="B2323" t="s">
        <v>4424</v>
      </c>
      <c r="C2323" s="2">
        <v>2022</v>
      </c>
      <c r="D2323" s="10">
        <v>11</v>
      </c>
      <c r="E2323" s="10">
        <v>15</v>
      </c>
      <c r="F2323" t="s">
        <v>221</v>
      </c>
      <c r="G2323">
        <v>60</v>
      </c>
      <c r="H2323" t="s">
        <v>69</v>
      </c>
      <c r="I2323" t="s">
        <v>150</v>
      </c>
      <c r="J2323" s="10" t="str">
        <f>VLOOKUP(I2323,Categories!A:B,2,FALSE)</f>
        <v xml:space="preserve">Food &amp; Coff</v>
      </c>
      <c r="K2323" t="s">
        <v>178</v>
      </c>
      <c r="L2323" s="10" t="str">
        <f>VLOOKUP(K2323,Accounts!A:B,2,FALSE)</f>
        <v>SCB</v>
      </c>
      <c r="M2323" t="s">
        <v>124</v>
      </c>
      <c r="N2323" s="10"/>
      <c r="O2323" t="s">
        <v>125</v>
      </c>
      <c r="Q2323" t="s">
        <v>126</v>
      </c>
      <c r="R2323" t="s">
        <v>124</v>
      </c>
      <c r="S2323" t="b">
        <v>0</v>
      </c>
      <c r="T2323" t="s">
        <v>124</v>
      </c>
    </row>
    <row r="2324">
      <c r="A2324" t="s">
        <v>4426</v>
      </c>
      <c r="B2324" t="s">
        <v>4424</v>
      </c>
      <c r="C2324" s="2">
        <v>2022</v>
      </c>
      <c r="D2324" s="10">
        <v>11</v>
      </c>
      <c r="E2324" s="10">
        <v>15</v>
      </c>
      <c r="F2324" t="s">
        <v>3392</v>
      </c>
      <c r="G2324">
        <v>20</v>
      </c>
      <c r="H2324" t="s">
        <v>69</v>
      </c>
      <c r="I2324" t="s">
        <v>150</v>
      </c>
      <c r="J2324" s="10" t="str">
        <f>VLOOKUP(I2324,Categories!A:B,2,FALSE)</f>
        <v xml:space="preserve">Food &amp; Coff</v>
      </c>
      <c r="K2324" t="s">
        <v>178</v>
      </c>
      <c r="L2324" s="10" t="str">
        <f>VLOOKUP(K2324,Accounts!A:B,2,FALSE)</f>
        <v>SCB</v>
      </c>
      <c r="M2324" t="s">
        <v>124</v>
      </c>
      <c r="N2324" s="10"/>
      <c r="O2324" t="s">
        <v>125</v>
      </c>
      <c r="Q2324" t="s">
        <v>126</v>
      </c>
      <c r="R2324" t="s">
        <v>124</v>
      </c>
      <c r="S2324" t="b">
        <v>0</v>
      </c>
      <c r="T2324" t="s">
        <v>124</v>
      </c>
    </row>
    <row r="2325">
      <c r="A2325" t="s">
        <v>4427</v>
      </c>
      <c r="B2325" t="s">
        <v>4424</v>
      </c>
      <c r="C2325" s="2">
        <v>2022</v>
      </c>
      <c r="D2325" s="10">
        <v>11</v>
      </c>
      <c r="E2325" s="10">
        <v>15</v>
      </c>
      <c r="F2325" t="s">
        <v>1768</v>
      </c>
      <c r="G2325">
        <v>294</v>
      </c>
      <c r="H2325" t="s">
        <v>69</v>
      </c>
      <c r="I2325" t="s">
        <v>150</v>
      </c>
      <c r="J2325" s="10" t="str">
        <f>VLOOKUP(I2325,Categories!A:B,2,FALSE)</f>
        <v xml:space="preserve">Food &amp; Coff</v>
      </c>
      <c r="K2325" t="s">
        <v>2317</v>
      </c>
      <c r="L2325" s="10" t="str">
        <f>VLOOKUP(K2325,Accounts!A:B,2,FALSE)</f>
        <v xml:space="preserve">Marriage account</v>
      </c>
      <c r="M2325" t="s">
        <v>124</v>
      </c>
      <c r="N2325" s="10"/>
      <c r="O2325" t="s">
        <v>4379</v>
      </c>
      <c r="Q2325" t="s">
        <v>126</v>
      </c>
      <c r="R2325" t="s">
        <v>124</v>
      </c>
      <c r="S2325" t="b">
        <v>0</v>
      </c>
      <c r="T2325" t="s">
        <v>124</v>
      </c>
    </row>
    <row r="2326">
      <c r="A2326" t="s">
        <v>4428</v>
      </c>
      <c r="B2326" t="s">
        <v>4429</v>
      </c>
      <c r="C2326" s="2">
        <v>2022</v>
      </c>
      <c r="D2326" s="10">
        <v>11</v>
      </c>
      <c r="E2326" s="10">
        <v>14</v>
      </c>
      <c r="F2326" t="s">
        <v>121</v>
      </c>
      <c r="G2326">
        <v>419</v>
      </c>
      <c r="H2326" t="s">
        <v>69</v>
      </c>
      <c r="I2326" t="s">
        <v>1903</v>
      </c>
      <c r="J2326" s="10" t="str">
        <f>VLOOKUP(I2326,Categories!A:B,2,FALSE)</f>
        <v xml:space="preserve">Monthly subscription</v>
      </c>
      <c r="K2326" t="s">
        <v>747</v>
      </c>
      <c r="L2326" s="10" t="str">
        <f>VLOOKUP(K2326,Accounts!A:B,2,FALSE)</f>
        <v xml:space="preserve">UOB world</v>
      </c>
      <c r="M2326" t="s">
        <v>124</v>
      </c>
      <c r="N2326" s="10"/>
      <c r="O2326" t="s">
        <v>125</v>
      </c>
      <c r="Q2326" t="s">
        <v>126</v>
      </c>
      <c r="R2326" t="s">
        <v>124</v>
      </c>
      <c r="S2326" t="b">
        <v>0</v>
      </c>
      <c r="T2326" t="s">
        <v>124</v>
      </c>
    </row>
    <row r="2327">
      <c r="A2327" t="s">
        <v>4430</v>
      </c>
      <c r="B2327" t="s">
        <v>4429</v>
      </c>
      <c r="C2327" s="2">
        <v>2022</v>
      </c>
      <c r="D2327" s="10">
        <v>11</v>
      </c>
      <c r="E2327" s="10">
        <v>14</v>
      </c>
      <c r="F2327" t="s">
        <v>4431</v>
      </c>
      <c r="G2327">
        <v>419</v>
      </c>
      <c r="H2327" t="s">
        <v>128</v>
      </c>
      <c r="I2327" t="s">
        <v>136</v>
      </c>
      <c r="J2327" s="10" t="str">
        <f>VLOOKUP(I2327,Categories!A:B,2,FALSE)</f>
        <v>อื่นๆ</v>
      </c>
      <c r="K2327" t="s">
        <v>178</v>
      </c>
      <c r="L2327" s="10" t="str">
        <f>VLOOKUP(K2327,Accounts!A:B,2,FALSE)</f>
        <v>SCB</v>
      </c>
      <c r="M2327" t="s">
        <v>747</v>
      </c>
      <c r="N2327" s="10" t="str">
        <f>VLOOKUP(M2327,Accounts!A:B,2,FALSE)</f>
        <v xml:space="preserve">UOB world</v>
      </c>
      <c r="O2327" t="s">
        <v>125</v>
      </c>
      <c r="Q2327" t="s">
        <v>126</v>
      </c>
      <c r="R2327" t="s">
        <v>124</v>
      </c>
      <c r="S2327" t="b">
        <v>0</v>
      </c>
      <c r="T2327" t="s">
        <v>124</v>
      </c>
    </row>
    <row r="2328">
      <c r="A2328" t="s">
        <v>4432</v>
      </c>
      <c r="B2328" t="s">
        <v>4429</v>
      </c>
      <c r="C2328" s="2">
        <v>2022</v>
      </c>
      <c r="D2328" s="10">
        <v>11</v>
      </c>
      <c r="E2328" s="10">
        <v>14</v>
      </c>
      <c r="F2328" t="s">
        <v>3525</v>
      </c>
      <c r="G2328">
        <v>50</v>
      </c>
      <c r="H2328" t="s">
        <v>69</v>
      </c>
      <c r="I2328" t="s">
        <v>150</v>
      </c>
      <c r="J2328" s="10" t="str">
        <f>VLOOKUP(I2328,Categories!A:B,2,FALSE)</f>
        <v xml:space="preserve">Food &amp; Coff</v>
      </c>
      <c r="K2328" t="s">
        <v>178</v>
      </c>
      <c r="L2328" s="10" t="str">
        <f>VLOOKUP(K2328,Accounts!A:B,2,FALSE)</f>
        <v>SCB</v>
      </c>
      <c r="M2328" t="s">
        <v>124</v>
      </c>
      <c r="N2328" s="10"/>
      <c r="O2328" t="s">
        <v>125</v>
      </c>
      <c r="Q2328" t="s">
        <v>126</v>
      </c>
      <c r="R2328" t="s">
        <v>124</v>
      </c>
      <c r="S2328" t="b">
        <v>0</v>
      </c>
      <c r="T2328" t="s">
        <v>124</v>
      </c>
    </row>
    <row r="2329">
      <c r="A2329" t="s">
        <v>4433</v>
      </c>
      <c r="B2329" t="s">
        <v>4429</v>
      </c>
      <c r="C2329" s="2">
        <v>2022</v>
      </c>
      <c r="D2329" s="10">
        <v>11</v>
      </c>
      <c r="E2329" s="10">
        <v>14</v>
      </c>
      <c r="F2329" t="s">
        <v>3390</v>
      </c>
      <c r="G2329">
        <v>60</v>
      </c>
      <c r="H2329" t="s">
        <v>69</v>
      </c>
      <c r="I2329" t="s">
        <v>150</v>
      </c>
      <c r="J2329" s="10" t="str">
        <f>VLOOKUP(I2329,Categories!A:B,2,FALSE)</f>
        <v xml:space="preserve">Food &amp; Coff</v>
      </c>
      <c r="K2329" t="s">
        <v>178</v>
      </c>
      <c r="L2329" s="10" t="str">
        <f>VLOOKUP(K2329,Accounts!A:B,2,FALSE)</f>
        <v>SCB</v>
      </c>
      <c r="M2329" t="s">
        <v>124</v>
      </c>
      <c r="N2329" s="10"/>
      <c r="O2329" t="s">
        <v>125</v>
      </c>
      <c r="Q2329" t="s">
        <v>126</v>
      </c>
      <c r="R2329" t="s">
        <v>124</v>
      </c>
      <c r="S2329" t="b">
        <v>0</v>
      </c>
      <c r="T2329" t="s">
        <v>124</v>
      </c>
    </row>
    <row r="2330">
      <c r="A2330" t="s">
        <v>4434</v>
      </c>
      <c r="B2330" t="s">
        <v>4429</v>
      </c>
      <c r="C2330" s="2">
        <v>2022</v>
      </c>
      <c r="D2330" s="10">
        <v>11</v>
      </c>
      <c r="E2330" s="10">
        <v>14</v>
      </c>
      <c r="F2330" t="s">
        <v>4435</v>
      </c>
      <c r="G2330">
        <v>260</v>
      </c>
      <c r="H2330" t="s">
        <v>69</v>
      </c>
      <c r="I2330" t="s">
        <v>150</v>
      </c>
      <c r="J2330" s="10" t="str">
        <f>VLOOKUP(I2330,Categories!A:B,2,FALSE)</f>
        <v xml:space="preserve">Food &amp; Coff</v>
      </c>
      <c r="K2330" t="s">
        <v>2317</v>
      </c>
      <c r="L2330" s="10" t="str">
        <f>VLOOKUP(K2330,Accounts!A:B,2,FALSE)</f>
        <v xml:space="preserve">Marriage account</v>
      </c>
      <c r="M2330" t="s">
        <v>124</v>
      </c>
      <c r="N2330" s="10"/>
      <c r="O2330" t="s">
        <v>125</v>
      </c>
      <c r="Q2330" t="s">
        <v>126</v>
      </c>
      <c r="R2330" t="s">
        <v>124</v>
      </c>
      <c r="S2330" t="b">
        <v>0</v>
      </c>
      <c r="T2330" t="s">
        <v>124</v>
      </c>
    </row>
    <row r="2331">
      <c r="A2331" t="s">
        <v>4436</v>
      </c>
      <c r="B2331" t="s">
        <v>4437</v>
      </c>
      <c r="C2331" s="2">
        <v>2022</v>
      </c>
      <c r="D2331" s="10">
        <v>11</v>
      </c>
      <c r="E2331" s="10">
        <v>13</v>
      </c>
      <c r="F2331" t="s">
        <v>2131</v>
      </c>
      <c r="G2331">
        <v>50</v>
      </c>
      <c r="H2331" t="s">
        <v>69</v>
      </c>
      <c r="I2331" t="s">
        <v>150</v>
      </c>
      <c r="J2331" s="10" t="str">
        <f>VLOOKUP(I2331,Categories!A:B,2,FALSE)</f>
        <v xml:space="preserve">Food &amp; Coff</v>
      </c>
      <c r="K2331" t="s">
        <v>178</v>
      </c>
      <c r="L2331" s="10" t="str">
        <f>VLOOKUP(K2331,Accounts!A:B,2,FALSE)</f>
        <v>SCB</v>
      </c>
      <c r="M2331" t="s">
        <v>124</v>
      </c>
      <c r="N2331" s="10"/>
      <c r="O2331" t="s">
        <v>125</v>
      </c>
      <c r="Q2331" t="s">
        <v>126</v>
      </c>
      <c r="R2331" t="s">
        <v>124</v>
      </c>
      <c r="S2331" t="b">
        <v>0</v>
      </c>
      <c r="T2331" t="s">
        <v>124</v>
      </c>
    </row>
    <row r="2332">
      <c r="A2332" t="s">
        <v>4438</v>
      </c>
      <c r="B2332" t="s">
        <v>4437</v>
      </c>
      <c r="C2332" s="2">
        <v>2022</v>
      </c>
      <c r="D2332" s="10">
        <v>11</v>
      </c>
      <c r="E2332" s="10">
        <v>13</v>
      </c>
      <c r="F2332" t="s">
        <v>326</v>
      </c>
      <c r="G2332">
        <v>540</v>
      </c>
      <c r="H2332" t="s">
        <v>69</v>
      </c>
      <c r="I2332" t="s">
        <v>150</v>
      </c>
      <c r="J2332" s="10" t="str">
        <f>VLOOKUP(I2332,Categories!A:B,2,FALSE)</f>
        <v xml:space="preserve">Food &amp; Coff</v>
      </c>
      <c r="K2332" t="s">
        <v>2317</v>
      </c>
      <c r="L2332" s="10" t="str">
        <f>VLOOKUP(K2332,Accounts!A:B,2,FALSE)</f>
        <v xml:space="preserve">Marriage account</v>
      </c>
      <c r="M2332" t="s">
        <v>124</v>
      </c>
      <c r="N2332" s="10"/>
      <c r="O2332" t="s">
        <v>125</v>
      </c>
      <c r="Q2332" t="s">
        <v>126</v>
      </c>
      <c r="R2332" t="s">
        <v>124</v>
      </c>
      <c r="S2332" t="b">
        <v>0</v>
      </c>
      <c r="T2332" t="s">
        <v>124</v>
      </c>
    </row>
    <row r="2333">
      <c r="A2333" t="s">
        <v>4439</v>
      </c>
      <c r="B2333" t="s">
        <v>4437</v>
      </c>
      <c r="C2333" s="2">
        <v>2022</v>
      </c>
      <c r="D2333" s="10">
        <v>11</v>
      </c>
      <c r="E2333" s="10">
        <v>13</v>
      </c>
      <c r="F2333" t="s">
        <v>1233</v>
      </c>
      <c r="G2333">
        <v>100</v>
      </c>
      <c r="H2333" t="s">
        <v>69</v>
      </c>
      <c r="I2333" t="s">
        <v>152</v>
      </c>
      <c r="J2333" s="10" t="str">
        <f>VLOOKUP(I2333,Categories!A:B,2,FALSE)</f>
        <v xml:space="preserve">Office Suit</v>
      </c>
      <c r="K2333" t="s">
        <v>178</v>
      </c>
      <c r="L2333" s="10" t="str">
        <f>VLOOKUP(K2333,Accounts!A:B,2,FALSE)</f>
        <v>SCB</v>
      </c>
      <c r="M2333" t="s">
        <v>124</v>
      </c>
      <c r="N2333" s="10"/>
      <c r="O2333" t="s">
        <v>125</v>
      </c>
      <c r="Q2333" t="s">
        <v>126</v>
      </c>
      <c r="R2333" t="s">
        <v>124</v>
      </c>
      <c r="S2333" t="b">
        <v>0</v>
      </c>
      <c r="T2333" t="s">
        <v>124</v>
      </c>
    </row>
    <row r="2334">
      <c r="A2334" t="s">
        <v>4440</v>
      </c>
      <c r="B2334" t="s">
        <v>4437</v>
      </c>
      <c r="C2334" s="2">
        <v>2022</v>
      </c>
      <c r="D2334" s="10">
        <v>11</v>
      </c>
      <c r="E2334" s="10">
        <v>13</v>
      </c>
      <c r="F2334" t="s">
        <v>465</v>
      </c>
      <c r="G2334">
        <v>730</v>
      </c>
      <c r="H2334" t="s">
        <v>69</v>
      </c>
      <c r="I2334" t="s">
        <v>3276</v>
      </c>
      <c r="J2334" s="10" t="str">
        <f>VLOOKUP(I2334,Categories!A:B,2,FALSE)</f>
        <v>Fuel</v>
      </c>
      <c r="K2334" t="s">
        <v>2317</v>
      </c>
      <c r="L2334" s="10" t="str">
        <f>VLOOKUP(K2334,Accounts!A:B,2,FALSE)</f>
        <v xml:space="preserve">Marriage account</v>
      </c>
      <c r="M2334" t="s">
        <v>124</v>
      </c>
      <c r="N2334" s="10"/>
      <c r="O2334" t="s">
        <v>125</v>
      </c>
      <c r="Q2334" t="s">
        <v>126</v>
      </c>
      <c r="R2334" t="s">
        <v>124</v>
      </c>
      <c r="S2334" t="b">
        <v>0</v>
      </c>
      <c r="T2334" t="s">
        <v>124</v>
      </c>
    </row>
    <row r="2335">
      <c r="A2335" t="s">
        <v>4441</v>
      </c>
      <c r="B2335" t="s">
        <v>4442</v>
      </c>
      <c r="C2335" s="2">
        <v>2022</v>
      </c>
      <c r="D2335" s="10">
        <v>11</v>
      </c>
      <c r="E2335" s="10">
        <v>12</v>
      </c>
      <c r="F2335" t="s">
        <v>1591</v>
      </c>
      <c r="G2335">
        <v>180</v>
      </c>
      <c r="H2335" t="s">
        <v>69</v>
      </c>
      <c r="I2335" t="s">
        <v>1339</v>
      </c>
      <c r="J2335" s="10" t="str">
        <f>VLOOKUP(I2335,Categories!A:B,2,FALSE)</f>
        <v>Manga</v>
      </c>
      <c r="K2335" t="s">
        <v>178</v>
      </c>
      <c r="L2335" s="10" t="str">
        <f>VLOOKUP(K2335,Accounts!A:B,2,FALSE)</f>
        <v>SCB</v>
      </c>
      <c r="M2335" t="s">
        <v>124</v>
      </c>
      <c r="N2335" s="10"/>
      <c r="O2335" t="s">
        <v>125</v>
      </c>
      <c r="Q2335" t="s">
        <v>126</v>
      </c>
      <c r="R2335" t="s">
        <v>124</v>
      </c>
      <c r="S2335" t="b">
        <v>0</v>
      </c>
      <c r="T2335" t="s">
        <v>124</v>
      </c>
    </row>
    <row r="2336">
      <c r="A2336" t="s">
        <v>4443</v>
      </c>
      <c r="B2336" t="s">
        <v>4442</v>
      </c>
      <c r="C2336" s="2">
        <v>2022</v>
      </c>
      <c r="D2336" s="10">
        <v>11</v>
      </c>
      <c r="E2336" s="10">
        <v>12</v>
      </c>
      <c r="F2336" t="s">
        <v>386</v>
      </c>
      <c r="G2336">
        <v>50</v>
      </c>
      <c r="H2336" t="s">
        <v>69</v>
      </c>
      <c r="I2336" t="s">
        <v>150</v>
      </c>
      <c r="J2336" s="10" t="str">
        <f>VLOOKUP(I2336,Categories!A:B,2,FALSE)</f>
        <v xml:space="preserve">Food &amp; Coff</v>
      </c>
      <c r="K2336" t="s">
        <v>178</v>
      </c>
      <c r="L2336" s="10" t="str">
        <f>VLOOKUP(K2336,Accounts!A:B,2,FALSE)</f>
        <v>SCB</v>
      </c>
      <c r="M2336" t="s">
        <v>124</v>
      </c>
      <c r="N2336" s="10"/>
      <c r="O2336" t="s">
        <v>125</v>
      </c>
      <c r="Q2336" t="s">
        <v>126</v>
      </c>
      <c r="R2336" t="s">
        <v>124</v>
      </c>
      <c r="S2336" t="b">
        <v>0</v>
      </c>
      <c r="T2336" t="s">
        <v>124</v>
      </c>
    </row>
    <row r="2337">
      <c r="A2337" t="s">
        <v>4444</v>
      </c>
      <c r="B2337" t="s">
        <v>4442</v>
      </c>
      <c r="C2337" s="2">
        <v>2022</v>
      </c>
      <c r="D2337" s="10">
        <v>11</v>
      </c>
      <c r="E2337" s="10">
        <v>12</v>
      </c>
      <c r="F2337" t="s">
        <v>3704</v>
      </c>
      <c r="G2337">
        <v>450</v>
      </c>
      <c r="H2337" t="s">
        <v>69</v>
      </c>
      <c r="I2337" t="s">
        <v>152</v>
      </c>
      <c r="J2337" s="10" t="str">
        <f>VLOOKUP(I2337,Categories!A:B,2,FALSE)</f>
        <v xml:space="preserve">Office Suit</v>
      </c>
      <c r="K2337" t="s">
        <v>178</v>
      </c>
      <c r="L2337" s="10" t="str">
        <f>VLOOKUP(K2337,Accounts!A:B,2,FALSE)</f>
        <v>SCB</v>
      </c>
      <c r="M2337" t="s">
        <v>124</v>
      </c>
      <c r="N2337" s="10"/>
      <c r="O2337" t="s">
        <v>125</v>
      </c>
      <c r="Q2337" t="s">
        <v>126</v>
      </c>
      <c r="R2337" t="s">
        <v>124</v>
      </c>
      <c r="S2337" t="b">
        <v>0</v>
      </c>
      <c r="T2337" t="s">
        <v>124</v>
      </c>
    </row>
    <row r="2338">
      <c r="A2338" t="s">
        <v>4445</v>
      </c>
      <c r="B2338" t="s">
        <v>4442</v>
      </c>
      <c r="C2338" s="2">
        <v>2022</v>
      </c>
      <c r="D2338" s="10">
        <v>11</v>
      </c>
      <c r="E2338" s="10">
        <v>12</v>
      </c>
      <c r="F2338" t="s">
        <v>4446</v>
      </c>
      <c r="G2338">
        <v>579</v>
      </c>
      <c r="H2338" t="s">
        <v>69</v>
      </c>
      <c r="I2338" t="s">
        <v>141</v>
      </c>
      <c r="J2338" s="10" t="str">
        <f>VLOOKUP(I2338,Categories!A:B,2,FALSE)</f>
        <v>Other</v>
      </c>
      <c r="K2338" t="s">
        <v>2317</v>
      </c>
      <c r="L2338" s="10" t="str">
        <f>VLOOKUP(K2338,Accounts!A:B,2,FALSE)</f>
        <v xml:space="preserve">Marriage account</v>
      </c>
      <c r="M2338" t="s">
        <v>124</v>
      </c>
      <c r="N2338" s="10"/>
      <c r="O2338" t="s">
        <v>4447</v>
      </c>
      <c r="Q2338" t="s">
        <v>126</v>
      </c>
      <c r="R2338" t="s">
        <v>124</v>
      </c>
      <c r="S2338" t="b">
        <v>0</v>
      </c>
      <c r="T2338" t="s">
        <v>124</v>
      </c>
    </row>
    <row r="2339">
      <c r="A2339" t="s">
        <v>4448</v>
      </c>
      <c r="B2339" t="s">
        <v>4442</v>
      </c>
      <c r="C2339" s="2">
        <v>2022</v>
      </c>
      <c r="D2339" s="10">
        <v>11</v>
      </c>
      <c r="E2339" s="10">
        <v>12</v>
      </c>
      <c r="F2339" t="s">
        <v>355</v>
      </c>
      <c r="G2339">
        <v>2030</v>
      </c>
      <c r="H2339" t="s">
        <v>69</v>
      </c>
      <c r="I2339" t="s">
        <v>152</v>
      </c>
      <c r="J2339" s="10" t="str">
        <f>VLOOKUP(I2339,Categories!A:B,2,FALSE)</f>
        <v xml:space="preserve">Office Suit</v>
      </c>
      <c r="K2339" t="s">
        <v>123</v>
      </c>
      <c r="L2339" s="10" t="str">
        <f>VLOOKUP(K2339,Accounts!A:B,2,FALSE)</f>
        <v>KBank</v>
      </c>
      <c r="M2339" t="s">
        <v>124</v>
      </c>
      <c r="N2339" s="10"/>
      <c r="O2339" t="s">
        <v>125</v>
      </c>
      <c r="Q2339" t="s">
        <v>126</v>
      </c>
      <c r="R2339" t="s">
        <v>124</v>
      </c>
      <c r="S2339" t="b">
        <v>0</v>
      </c>
      <c r="T2339" t="s">
        <v>124</v>
      </c>
    </row>
    <row r="2340">
      <c r="A2340" t="s">
        <v>4449</v>
      </c>
      <c r="B2340" t="s">
        <v>4442</v>
      </c>
      <c r="C2340" s="2">
        <v>2022</v>
      </c>
      <c r="D2340" s="10">
        <v>11</v>
      </c>
      <c r="E2340" s="10">
        <v>12</v>
      </c>
      <c r="F2340" t="s">
        <v>4450</v>
      </c>
      <c r="G2340">
        <v>600</v>
      </c>
      <c r="H2340" t="s">
        <v>69</v>
      </c>
      <c r="I2340" t="s">
        <v>150</v>
      </c>
      <c r="J2340" s="10" t="str">
        <f>VLOOKUP(I2340,Categories!A:B,2,FALSE)</f>
        <v xml:space="preserve">Food &amp; Coff</v>
      </c>
      <c r="K2340" t="s">
        <v>2317</v>
      </c>
      <c r="L2340" s="10" t="str">
        <f>VLOOKUP(K2340,Accounts!A:B,2,FALSE)</f>
        <v xml:space="preserve">Marriage account</v>
      </c>
      <c r="M2340" t="s">
        <v>124</v>
      </c>
      <c r="N2340" s="10"/>
      <c r="O2340" t="s">
        <v>4451</v>
      </c>
      <c r="Q2340" t="s">
        <v>126</v>
      </c>
      <c r="R2340" t="s">
        <v>124</v>
      </c>
      <c r="S2340" t="b">
        <v>0</v>
      </c>
      <c r="T2340" t="s">
        <v>124</v>
      </c>
    </row>
    <row r="2341">
      <c r="A2341" t="s">
        <v>4452</v>
      </c>
      <c r="B2341" t="s">
        <v>4442</v>
      </c>
      <c r="C2341" s="2">
        <v>2022</v>
      </c>
      <c r="D2341" s="10">
        <v>11</v>
      </c>
      <c r="E2341" s="10">
        <v>12</v>
      </c>
      <c r="F2341" t="s">
        <v>922</v>
      </c>
      <c r="G2341">
        <v>298</v>
      </c>
      <c r="H2341" t="s">
        <v>69</v>
      </c>
      <c r="I2341" t="s">
        <v>141</v>
      </c>
      <c r="J2341" s="10" t="str">
        <f>VLOOKUP(I2341,Categories!A:B,2,FALSE)</f>
        <v>Other</v>
      </c>
      <c r="K2341" t="s">
        <v>178</v>
      </c>
      <c r="L2341" s="10" t="str">
        <f>VLOOKUP(K2341,Accounts!A:B,2,FALSE)</f>
        <v>SCB</v>
      </c>
      <c r="M2341" t="s">
        <v>124</v>
      </c>
      <c r="N2341" s="10"/>
      <c r="O2341" t="s">
        <v>125</v>
      </c>
      <c r="Q2341" t="s">
        <v>126</v>
      </c>
      <c r="R2341" t="s">
        <v>124</v>
      </c>
      <c r="S2341" t="b">
        <v>0</v>
      </c>
      <c r="T2341" t="s">
        <v>124</v>
      </c>
    </row>
    <row r="2342">
      <c r="A2342" t="s">
        <v>4453</v>
      </c>
      <c r="B2342" t="s">
        <v>4442</v>
      </c>
      <c r="C2342" s="2">
        <v>2022</v>
      </c>
      <c r="D2342" s="10">
        <v>11</v>
      </c>
      <c r="E2342" s="10">
        <v>12</v>
      </c>
      <c r="F2342" t="s">
        <v>922</v>
      </c>
      <c r="G2342">
        <v>600</v>
      </c>
      <c r="H2342" t="s">
        <v>128</v>
      </c>
      <c r="I2342" t="s">
        <v>136</v>
      </c>
      <c r="J2342" s="10" t="str">
        <f>VLOOKUP(I2342,Categories!A:B,2,FALSE)</f>
        <v>อื่นๆ</v>
      </c>
      <c r="K2342" t="s">
        <v>425</v>
      </c>
      <c r="L2342" s="10" t="str">
        <f>VLOOKUP(K2342,Accounts!A:B,2,FALSE)</f>
        <v>Cash</v>
      </c>
      <c r="M2342" t="s">
        <v>178</v>
      </c>
      <c r="N2342" s="10" t="str">
        <f>VLOOKUP(M2342,Accounts!A:B,2,FALSE)</f>
        <v>SCB</v>
      </c>
      <c r="O2342" t="s">
        <v>125</v>
      </c>
      <c r="Q2342" t="s">
        <v>126</v>
      </c>
      <c r="R2342" t="s">
        <v>124</v>
      </c>
      <c r="S2342" t="b">
        <v>0</v>
      </c>
      <c r="T2342" t="s">
        <v>124</v>
      </c>
    </row>
    <row r="2343">
      <c r="A2343" t="s">
        <v>4454</v>
      </c>
      <c r="B2343" t="s">
        <v>4455</v>
      </c>
      <c r="C2343" s="2">
        <v>2022</v>
      </c>
      <c r="D2343" s="10">
        <v>11</v>
      </c>
      <c r="E2343" s="10">
        <v>11</v>
      </c>
      <c r="F2343" t="s">
        <v>4456</v>
      </c>
      <c r="G2343">
        <v>249</v>
      </c>
      <c r="H2343" t="s">
        <v>128</v>
      </c>
      <c r="I2343" t="s">
        <v>136</v>
      </c>
      <c r="J2343" s="10" t="str">
        <f>VLOOKUP(I2343,Categories!A:B,2,FALSE)</f>
        <v>อื่นๆ</v>
      </c>
      <c r="K2343" t="s">
        <v>893</v>
      </c>
      <c r="L2343" s="10" t="str">
        <f>VLOOKUP(K2343,Accounts!A:B,2,FALSE)</f>
        <v>Shopee</v>
      </c>
      <c r="M2343" t="s">
        <v>131</v>
      </c>
      <c r="N2343" s="10" t="str">
        <f>VLOOKUP(M2343,Accounts!A:B,2,FALSE)</f>
        <v xml:space="preserve">Advance Paid</v>
      </c>
      <c r="O2343" t="s">
        <v>125</v>
      </c>
      <c r="Q2343" t="s">
        <v>126</v>
      </c>
      <c r="R2343" t="s">
        <v>124</v>
      </c>
      <c r="S2343" t="b">
        <v>0</v>
      </c>
      <c r="T2343" t="s">
        <v>124</v>
      </c>
    </row>
    <row r="2344">
      <c r="A2344" t="s">
        <v>4457</v>
      </c>
      <c r="B2344" t="s">
        <v>4455</v>
      </c>
      <c r="C2344" s="2">
        <v>2022</v>
      </c>
      <c r="D2344" s="10">
        <v>11</v>
      </c>
      <c r="E2344" s="10">
        <v>11</v>
      </c>
      <c r="F2344" t="s">
        <v>4458</v>
      </c>
      <c r="G2344">
        <v>714</v>
      </c>
      <c r="H2344" t="s">
        <v>69</v>
      </c>
      <c r="I2344" t="s">
        <v>152</v>
      </c>
      <c r="J2344" s="10" t="str">
        <f>VLOOKUP(I2344,Categories!A:B,2,FALSE)</f>
        <v xml:space="preserve">Office Suit</v>
      </c>
      <c r="K2344" t="s">
        <v>178</v>
      </c>
      <c r="L2344" s="10" t="str">
        <f>VLOOKUP(K2344,Accounts!A:B,2,FALSE)</f>
        <v>SCB</v>
      </c>
      <c r="M2344" t="s">
        <v>124</v>
      </c>
      <c r="N2344" s="10"/>
      <c r="O2344" t="s">
        <v>125</v>
      </c>
      <c r="Q2344" t="s">
        <v>126</v>
      </c>
      <c r="R2344" t="s">
        <v>124</v>
      </c>
      <c r="S2344" t="b">
        <v>0</v>
      </c>
      <c r="T2344" t="s">
        <v>124</v>
      </c>
    </row>
    <row r="2345">
      <c r="A2345" t="s">
        <v>4459</v>
      </c>
      <c r="B2345" t="s">
        <v>4455</v>
      </c>
      <c r="C2345" s="2">
        <v>2022</v>
      </c>
      <c r="D2345" s="10">
        <v>11</v>
      </c>
      <c r="E2345" s="10">
        <v>11</v>
      </c>
      <c r="F2345" t="s">
        <v>4460</v>
      </c>
      <c r="G2345">
        <v>300</v>
      </c>
      <c r="H2345" t="s">
        <v>128</v>
      </c>
      <c r="I2345" t="s">
        <v>136</v>
      </c>
      <c r="J2345" s="10" t="str">
        <f>VLOOKUP(I2345,Categories!A:B,2,FALSE)</f>
        <v>อื่นๆ</v>
      </c>
      <c r="K2345" t="s">
        <v>178</v>
      </c>
      <c r="L2345" s="10" t="str">
        <f>VLOOKUP(K2345,Accounts!A:B,2,FALSE)</f>
        <v>SCB</v>
      </c>
      <c r="M2345" t="s">
        <v>893</v>
      </c>
      <c r="N2345" s="10" t="str">
        <f>VLOOKUP(M2345,Accounts!A:B,2,FALSE)</f>
        <v>Shopee</v>
      </c>
      <c r="O2345" t="s">
        <v>125</v>
      </c>
      <c r="Q2345" t="s">
        <v>126</v>
      </c>
      <c r="R2345" t="s">
        <v>124</v>
      </c>
      <c r="S2345" t="b">
        <v>0</v>
      </c>
      <c r="T2345" t="s">
        <v>124</v>
      </c>
    </row>
    <row r="2346">
      <c r="A2346" t="s">
        <v>4461</v>
      </c>
      <c r="B2346" t="s">
        <v>4455</v>
      </c>
      <c r="C2346" s="2">
        <v>2022</v>
      </c>
      <c r="D2346" s="10">
        <v>11</v>
      </c>
      <c r="E2346" s="10">
        <v>11</v>
      </c>
      <c r="F2346" t="s">
        <v>4306</v>
      </c>
      <c r="G2346">
        <v>110</v>
      </c>
      <c r="H2346" t="s">
        <v>69</v>
      </c>
      <c r="I2346" t="s">
        <v>150</v>
      </c>
      <c r="J2346" s="10" t="str">
        <f>VLOOKUP(I2346,Categories!A:B,2,FALSE)</f>
        <v xml:space="preserve">Food &amp; Coff</v>
      </c>
      <c r="K2346" t="s">
        <v>2317</v>
      </c>
      <c r="L2346" s="10" t="str">
        <f>VLOOKUP(K2346,Accounts!A:B,2,FALSE)</f>
        <v xml:space="preserve">Marriage account</v>
      </c>
      <c r="M2346" t="s">
        <v>124</v>
      </c>
      <c r="N2346" s="10"/>
      <c r="O2346" t="s">
        <v>125</v>
      </c>
      <c r="Q2346" t="s">
        <v>126</v>
      </c>
      <c r="R2346" t="s">
        <v>124</v>
      </c>
      <c r="S2346" t="b">
        <v>0</v>
      </c>
      <c r="T2346" t="s">
        <v>124</v>
      </c>
    </row>
    <row r="2347">
      <c r="A2347" t="s">
        <v>4462</v>
      </c>
      <c r="B2347" t="s">
        <v>4455</v>
      </c>
      <c r="C2347" s="2">
        <v>2022</v>
      </c>
      <c r="D2347" s="10">
        <v>11</v>
      </c>
      <c r="E2347" s="10">
        <v>11</v>
      </c>
      <c r="F2347" t="s">
        <v>280</v>
      </c>
      <c r="G2347">
        <v>140</v>
      </c>
      <c r="H2347" t="s">
        <v>69</v>
      </c>
      <c r="I2347" t="s">
        <v>150</v>
      </c>
      <c r="J2347" s="10" t="str">
        <f>VLOOKUP(I2347,Categories!A:B,2,FALSE)</f>
        <v xml:space="preserve">Food &amp; Coff</v>
      </c>
      <c r="K2347" t="s">
        <v>178</v>
      </c>
      <c r="L2347" s="10" t="str">
        <f>VLOOKUP(K2347,Accounts!A:B,2,FALSE)</f>
        <v>SCB</v>
      </c>
      <c r="M2347" t="s">
        <v>124</v>
      </c>
      <c r="N2347" s="10"/>
      <c r="O2347" t="s">
        <v>125</v>
      </c>
      <c r="Q2347" t="s">
        <v>126</v>
      </c>
      <c r="R2347" t="s">
        <v>124</v>
      </c>
      <c r="S2347" t="b">
        <v>0</v>
      </c>
      <c r="T2347" t="s">
        <v>124</v>
      </c>
    </row>
    <row r="2348">
      <c r="A2348" t="s">
        <v>4463</v>
      </c>
      <c r="B2348" t="s">
        <v>4455</v>
      </c>
      <c r="C2348" s="2">
        <v>2022</v>
      </c>
      <c r="D2348" s="10">
        <v>11</v>
      </c>
      <c r="E2348" s="10">
        <v>11</v>
      </c>
      <c r="F2348" t="s">
        <v>1424</v>
      </c>
      <c r="G2348">
        <v>726</v>
      </c>
      <c r="H2348" t="s">
        <v>69</v>
      </c>
      <c r="I2348" t="s">
        <v>150</v>
      </c>
      <c r="J2348" s="10" t="str">
        <f>VLOOKUP(I2348,Categories!A:B,2,FALSE)</f>
        <v xml:space="preserve">Food &amp; Coff</v>
      </c>
      <c r="K2348" t="s">
        <v>2317</v>
      </c>
      <c r="L2348" s="10" t="str">
        <f>VLOOKUP(K2348,Accounts!A:B,2,FALSE)</f>
        <v xml:space="preserve">Marriage account</v>
      </c>
      <c r="M2348" t="s">
        <v>124</v>
      </c>
      <c r="N2348" s="10"/>
      <c r="O2348" t="s">
        <v>3328</v>
      </c>
      <c r="Q2348" t="s">
        <v>126</v>
      </c>
      <c r="R2348" t="s">
        <v>124</v>
      </c>
      <c r="S2348" t="b">
        <v>0</v>
      </c>
      <c r="T2348" t="s">
        <v>124</v>
      </c>
    </row>
    <row r="2349">
      <c r="A2349" t="s">
        <v>4464</v>
      </c>
      <c r="B2349" t="s">
        <v>4455</v>
      </c>
      <c r="C2349" s="2">
        <v>2022</v>
      </c>
      <c r="D2349" s="10">
        <v>11</v>
      </c>
      <c r="E2349" s="10">
        <v>11</v>
      </c>
      <c r="F2349" t="s">
        <v>4465</v>
      </c>
      <c r="G2349">
        <v>89</v>
      </c>
      <c r="H2349" t="s">
        <v>69</v>
      </c>
      <c r="I2349" t="s">
        <v>150</v>
      </c>
      <c r="J2349" s="10" t="str">
        <f>VLOOKUP(I2349,Categories!A:B,2,FALSE)</f>
        <v xml:space="preserve">Food &amp; Coff</v>
      </c>
      <c r="K2349" t="s">
        <v>2317</v>
      </c>
      <c r="L2349" s="10" t="str">
        <f>VLOOKUP(K2349,Accounts!A:B,2,FALSE)</f>
        <v xml:space="preserve">Marriage account</v>
      </c>
      <c r="M2349" t="s">
        <v>124</v>
      </c>
      <c r="N2349" s="10"/>
      <c r="O2349" t="s">
        <v>125</v>
      </c>
      <c r="Q2349" t="s">
        <v>126</v>
      </c>
      <c r="R2349" t="s">
        <v>124</v>
      </c>
      <c r="S2349" t="b">
        <v>0</v>
      </c>
      <c r="T2349" t="s">
        <v>124</v>
      </c>
    </row>
    <row r="2350">
      <c r="A2350" t="s">
        <v>4466</v>
      </c>
      <c r="B2350" t="s">
        <v>4455</v>
      </c>
      <c r="C2350" s="2">
        <v>2022</v>
      </c>
      <c r="D2350" s="10">
        <v>11</v>
      </c>
      <c r="E2350" s="10">
        <v>11</v>
      </c>
      <c r="F2350" t="s">
        <v>1214</v>
      </c>
      <c r="G2350">
        <v>260</v>
      </c>
      <c r="H2350" t="s">
        <v>69</v>
      </c>
      <c r="I2350" t="s">
        <v>3504</v>
      </c>
      <c r="J2350" s="10" t="str">
        <f>VLOOKUP(I2350,Categories!A:B,2,FALSE)</f>
        <v xml:space="preserve">Condo suppliers</v>
      </c>
      <c r="K2350" t="s">
        <v>2317</v>
      </c>
      <c r="L2350" s="10" t="str">
        <f>VLOOKUP(K2350,Accounts!A:B,2,FALSE)</f>
        <v xml:space="preserve">Marriage account</v>
      </c>
      <c r="M2350" t="s">
        <v>124</v>
      </c>
      <c r="N2350" s="10"/>
      <c r="O2350" t="s">
        <v>125</v>
      </c>
      <c r="Q2350" t="s">
        <v>126</v>
      </c>
      <c r="R2350" t="s">
        <v>124</v>
      </c>
      <c r="S2350" t="b">
        <v>0</v>
      </c>
      <c r="T2350" t="s">
        <v>124</v>
      </c>
    </row>
    <row r="2351">
      <c r="A2351" t="s">
        <v>4467</v>
      </c>
      <c r="B2351" t="s">
        <v>4455</v>
      </c>
      <c r="C2351" s="2">
        <v>2022</v>
      </c>
      <c r="D2351" s="10">
        <v>11</v>
      </c>
      <c r="E2351" s="10">
        <v>11</v>
      </c>
      <c r="F2351" t="s">
        <v>2867</v>
      </c>
      <c r="G2351">
        <v>69</v>
      </c>
      <c r="H2351" t="s">
        <v>69</v>
      </c>
      <c r="I2351" t="s">
        <v>150</v>
      </c>
      <c r="J2351" s="10" t="str">
        <f>VLOOKUP(I2351,Categories!A:B,2,FALSE)</f>
        <v xml:space="preserve">Food &amp; Coff</v>
      </c>
      <c r="K2351" t="s">
        <v>2317</v>
      </c>
      <c r="L2351" s="10" t="str">
        <f>VLOOKUP(K2351,Accounts!A:B,2,FALSE)</f>
        <v xml:space="preserve">Marriage account</v>
      </c>
      <c r="M2351" t="s">
        <v>124</v>
      </c>
      <c r="N2351" s="10"/>
      <c r="O2351" t="s">
        <v>4468</v>
      </c>
      <c r="Q2351" t="s">
        <v>126</v>
      </c>
      <c r="R2351" t="s">
        <v>124</v>
      </c>
      <c r="S2351" t="b">
        <v>0</v>
      </c>
      <c r="T2351" t="s">
        <v>124</v>
      </c>
    </row>
    <row r="2352">
      <c r="A2352" t="s">
        <v>4469</v>
      </c>
      <c r="B2352" t="s">
        <v>4470</v>
      </c>
      <c r="C2352" s="2">
        <v>2022</v>
      </c>
      <c r="D2352" s="10">
        <v>11</v>
      </c>
      <c r="E2352" s="10">
        <v>10</v>
      </c>
      <c r="F2352" t="s">
        <v>4471</v>
      </c>
      <c r="G2352">
        <v>500</v>
      </c>
      <c r="H2352" t="s">
        <v>128</v>
      </c>
      <c r="I2352" t="s">
        <v>136</v>
      </c>
      <c r="J2352" s="10" t="str">
        <f>VLOOKUP(I2352,Categories!A:B,2,FALSE)</f>
        <v>อื่นๆ</v>
      </c>
      <c r="K2352" t="s">
        <v>123</v>
      </c>
      <c r="L2352" s="10" t="str">
        <f>VLOOKUP(K2352,Accounts!A:B,2,FALSE)</f>
        <v>KBank</v>
      </c>
      <c r="M2352" t="s">
        <v>178</v>
      </c>
      <c r="N2352" s="10" t="str">
        <f>VLOOKUP(M2352,Accounts!A:B,2,FALSE)</f>
        <v>SCB</v>
      </c>
      <c r="O2352" t="s">
        <v>4472</v>
      </c>
      <c r="Q2352" t="s">
        <v>126</v>
      </c>
      <c r="R2352" t="s">
        <v>124</v>
      </c>
      <c r="S2352" t="b">
        <v>0</v>
      </c>
      <c r="T2352" t="s">
        <v>124</v>
      </c>
    </row>
    <row r="2353">
      <c r="A2353" t="s">
        <v>4473</v>
      </c>
      <c r="B2353" t="s">
        <v>4470</v>
      </c>
      <c r="C2353" s="2">
        <v>2022</v>
      </c>
      <c r="D2353" s="10">
        <v>11</v>
      </c>
      <c r="E2353" s="10">
        <v>10</v>
      </c>
      <c r="F2353" t="s">
        <v>802</v>
      </c>
      <c r="G2353">
        <v>56</v>
      </c>
      <c r="H2353" t="s">
        <v>128</v>
      </c>
      <c r="I2353" t="s">
        <v>136</v>
      </c>
      <c r="J2353" s="10" t="str">
        <f>VLOOKUP(I2353,Categories!A:B,2,FALSE)</f>
        <v>อื่นๆ</v>
      </c>
      <c r="K2353" t="s">
        <v>123</v>
      </c>
      <c r="L2353" s="10" t="str">
        <f>VLOOKUP(K2353,Accounts!A:B,2,FALSE)</f>
        <v>KBank</v>
      </c>
      <c r="M2353" t="s">
        <v>178</v>
      </c>
      <c r="N2353" s="10" t="str">
        <f>VLOOKUP(M2353,Accounts!A:B,2,FALSE)</f>
        <v>SCB</v>
      </c>
      <c r="O2353" t="s">
        <v>125</v>
      </c>
      <c r="Q2353" t="s">
        <v>126</v>
      </c>
      <c r="R2353" t="s">
        <v>124</v>
      </c>
      <c r="S2353" t="b">
        <v>0</v>
      </c>
      <c r="T2353" t="s">
        <v>124</v>
      </c>
    </row>
    <row r="2354">
      <c r="A2354" t="s">
        <v>4474</v>
      </c>
      <c r="B2354" t="s">
        <v>4470</v>
      </c>
      <c r="C2354" s="2">
        <v>2022</v>
      </c>
      <c r="D2354" s="10">
        <v>11</v>
      </c>
      <c r="E2354" s="10">
        <v>10</v>
      </c>
      <c r="F2354" t="s">
        <v>3368</v>
      </c>
      <c r="G2354">
        <v>1814</v>
      </c>
      <c r="H2354" t="s">
        <v>69</v>
      </c>
      <c r="I2354" t="s">
        <v>3504</v>
      </c>
      <c r="J2354" s="10" t="str">
        <f>VLOOKUP(I2354,Categories!A:B,2,FALSE)</f>
        <v xml:space="preserve">Condo suppliers</v>
      </c>
      <c r="K2354" t="s">
        <v>2317</v>
      </c>
      <c r="L2354" s="10" t="str">
        <f>VLOOKUP(K2354,Accounts!A:B,2,FALSE)</f>
        <v xml:space="preserve">Marriage account</v>
      </c>
      <c r="M2354" t="s">
        <v>124</v>
      </c>
      <c r="N2354" s="10"/>
      <c r="O2354" t="s">
        <v>4475</v>
      </c>
      <c r="Q2354" t="s">
        <v>126</v>
      </c>
      <c r="R2354" t="s">
        <v>124</v>
      </c>
      <c r="S2354" t="b">
        <v>0</v>
      </c>
      <c r="T2354" t="s">
        <v>124</v>
      </c>
    </row>
    <row r="2355">
      <c r="A2355" t="s">
        <v>4476</v>
      </c>
      <c r="B2355" t="s">
        <v>4470</v>
      </c>
      <c r="C2355" s="2">
        <v>2022</v>
      </c>
      <c r="D2355" s="10">
        <v>11</v>
      </c>
      <c r="E2355" s="10">
        <v>10</v>
      </c>
      <c r="F2355" t="s">
        <v>1476</v>
      </c>
      <c r="G2355">
        <v>460</v>
      </c>
      <c r="H2355" t="s">
        <v>69</v>
      </c>
      <c r="I2355" t="s">
        <v>150</v>
      </c>
      <c r="J2355" s="10" t="str">
        <f>VLOOKUP(I2355,Categories!A:B,2,FALSE)</f>
        <v xml:space="preserve">Food &amp; Coff</v>
      </c>
      <c r="K2355" t="s">
        <v>2317</v>
      </c>
      <c r="L2355" s="10" t="str">
        <f>VLOOKUP(K2355,Accounts!A:B,2,FALSE)</f>
        <v xml:space="preserve">Marriage account</v>
      </c>
      <c r="M2355" t="s">
        <v>124</v>
      </c>
      <c r="N2355" s="10"/>
      <c r="O2355" t="s">
        <v>4477</v>
      </c>
      <c r="Q2355" t="s">
        <v>126</v>
      </c>
      <c r="R2355" t="s">
        <v>124</v>
      </c>
      <c r="S2355" t="b">
        <v>0</v>
      </c>
      <c r="T2355" t="s">
        <v>124</v>
      </c>
    </row>
    <row r="2356">
      <c r="A2356" t="s">
        <v>4478</v>
      </c>
      <c r="B2356" t="s">
        <v>4470</v>
      </c>
      <c r="C2356" s="2">
        <v>2022</v>
      </c>
      <c r="D2356" s="10">
        <v>11</v>
      </c>
      <c r="E2356" s="10">
        <v>10</v>
      </c>
      <c r="F2356" t="s">
        <v>871</v>
      </c>
      <c r="G2356">
        <v>1005</v>
      </c>
      <c r="H2356" t="s">
        <v>69</v>
      </c>
      <c r="I2356" t="s">
        <v>150</v>
      </c>
      <c r="J2356" s="10" t="str">
        <f>VLOOKUP(I2356,Categories!A:B,2,FALSE)</f>
        <v xml:space="preserve">Food &amp; Coff</v>
      </c>
      <c r="K2356" t="s">
        <v>2317</v>
      </c>
      <c r="L2356" s="10" t="str">
        <f>VLOOKUP(K2356,Accounts!A:B,2,FALSE)</f>
        <v xml:space="preserve">Marriage account</v>
      </c>
      <c r="M2356" t="s">
        <v>124</v>
      </c>
      <c r="N2356" s="10"/>
      <c r="O2356" t="s">
        <v>4479</v>
      </c>
      <c r="Q2356" t="s">
        <v>126</v>
      </c>
      <c r="R2356" t="s">
        <v>124</v>
      </c>
      <c r="S2356" t="b">
        <v>0</v>
      </c>
      <c r="T2356" t="s">
        <v>124</v>
      </c>
    </row>
    <row r="2357">
      <c r="A2357" t="s">
        <v>4480</v>
      </c>
      <c r="B2357" t="s">
        <v>4470</v>
      </c>
      <c r="C2357" s="2">
        <v>2022</v>
      </c>
      <c r="D2357" s="10">
        <v>11</v>
      </c>
      <c r="E2357" s="10">
        <v>10</v>
      </c>
      <c r="F2357" t="s">
        <v>485</v>
      </c>
      <c r="G2357">
        <v>564.74000000000001</v>
      </c>
      <c r="H2357" t="s">
        <v>69</v>
      </c>
      <c r="I2357" t="s">
        <v>144</v>
      </c>
      <c r="J2357" s="10" t="str">
        <f>VLOOKUP(I2357,Categories!A:B,2,FALSE)</f>
        <v xml:space="preserve">Family paid</v>
      </c>
      <c r="K2357" t="s">
        <v>178</v>
      </c>
      <c r="L2357" s="10" t="str">
        <f>VLOOKUP(K2357,Accounts!A:B,2,FALSE)</f>
        <v>SCB</v>
      </c>
      <c r="M2357" t="s">
        <v>124</v>
      </c>
      <c r="N2357" s="10"/>
      <c r="O2357" t="s">
        <v>4481</v>
      </c>
      <c r="Q2357" t="s">
        <v>126</v>
      </c>
      <c r="R2357" t="s">
        <v>124</v>
      </c>
      <c r="S2357" t="b">
        <v>0</v>
      </c>
      <c r="T2357" t="s">
        <v>124</v>
      </c>
    </row>
    <row r="2358">
      <c r="A2358" t="s">
        <v>4482</v>
      </c>
      <c r="B2358" t="s">
        <v>4470</v>
      </c>
      <c r="C2358" s="2">
        <v>2022</v>
      </c>
      <c r="D2358" s="10">
        <v>11</v>
      </c>
      <c r="E2358" s="10">
        <v>10</v>
      </c>
      <c r="F2358" t="s">
        <v>4483</v>
      </c>
      <c r="G2358">
        <v>4966.3199999999997</v>
      </c>
      <c r="H2358" t="s">
        <v>69</v>
      </c>
      <c r="I2358" t="s">
        <v>122</v>
      </c>
      <c r="J2358" s="10" t="str">
        <f>VLOOKUP(I2358,Categories!A:B,2,FALSE)</f>
        <v>Other</v>
      </c>
      <c r="K2358" t="s">
        <v>178</v>
      </c>
      <c r="L2358" s="10" t="str">
        <f>VLOOKUP(K2358,Accounts!A:B,2,FALSE)</f>
        <v>SCB</v>
      </c>
      <c r="M2358" t="s">
        <v>124</v>
      </c>
      <c r="N2358" s="10"/>
      <c r="O2358" t="s">
        <v>4484</v>
      </c>
      <c r="Q2358" t="s">
        <v>126</v>
      </c>
      <c r="R2358" t="s">
        <v>124</v>
      </c>
      <c r="S2358" t="b">
        <v>0</v>
      </c>
      <c r="T2358" t="s">
        <v>124</v>
      </c>
    </row>
    <row r="2359">
      <c r="A2359" t="s">
        <v>4485</v>
      </c>
      <c r="B2359" t="s">
        <v>4470</v>
      </c>
      <c r="C2359" s="2">
        <v>2022</v>
      </c>
      <c r="D2359" s="10">
        <v>11</v>
      </c>
      <c r="E2359" s="10">
        <v>10</v>
      </c>
      <c r="F2359" t="s">
        <v>958</v>
      </c>
      <c r="G2359">
        <v>348</v>
      </c>
      <c r="H2359" t="s">
        <v>69</v>
      </c>
      <c r="I2359" t="s">
        <v>150</v>
      </c>
      <c r="J2359" s="10" t="str">
        <f>VLOOKUP(I2359,Categories!A:B,2,FALSE)</f>
        <v xml:space="preserve">Food &amp; Coff</v>
      </c>
      <c r="K2359" t="s">
        <v>2317</v>
      </c>
      <c r="L2359" s="10" t="str">
        <f>VLOOKUP(K2359,Accounts!A:B,2,FALSE)</f>
        <v xml:space="preserve">Marriage account</v>
      </c>
      <c r="M2359" t="s">
        <v>124</v>
      </c>
      <c r="N2359" s="10"/>
      <c r="O2359" t="s">
        <v>125</v>
      </c>
      <c r="Q2359" t="s">
        <v>126</v>
      </c>
      <c r="R2359" t="s">
        <v>124</v>
      </c>
      <c r="S2359" t="b">
        <v>0</v>
      </c>
      <c r="T2359" t="s">
        <v>124</v>
      </c>
    </row>
    <row r="2360">
      <c r="A2360" t="s">
        <v>4486</v>
      </c>
      <c r="B2360" t="s">
        <v>4470</v>
      </c>
      <c r="C2360" s="2">
        <v>2022</v>
      </c>
      <c r="D2360" s="10">
        <v>11</v>
      </c>
      <c r="E2360" s="10">
        <v>10</v>
      </c>
      <c r="F2360" t="s">
        <v>2523</v>
      </c>
      <c r="G2360">
        <v>150</v>
      </c>
      <c r="H2360" t="s">
        <v>69</v>
      </c>
      <c r="I2360" t="s">
        <v>169</v>
      </c>
      <c r="J2360" s="10" t="str">
        <f>VLOOKUP(I2360,Categories!A:B,2,FALSE)</f>
        <v xml:space="preserve">App &amp; Game</v>
      </c>
      <c r="K2360" t="s">
        <v>743</v>
      </c>
      <c r="L2360" s="10" t="str">
        <f>VLOOKUP(K2360,Accounts!A:B,2,FALSE)</f>
        <v>HOMEPRO</v>
      </c>
      <c r="M2360" t="s">
        <v>124</v>
      </c>
      <c r="N2360" s="10"/>
      <c r="O2360" t="s">
        <v>125</v>
      </c>
      <c r="Q2360" t="s">
        <v>126</v>
      </c>
      <c r="R2360" t="s">
        <v>124</v>
      </c>
      <c r="S2360" t="b">
        <v>0</v>
      </c>
      <c r="T2360" t="s">
        <v>124</v>
      </c>
    </row>
    <row r="2361">
      <c r="A2361" t="s">
        <v>4487</v>
      </c>
      <c r="B2361" t="s">
        <v>4470</v>
      </c>
      <c r="C2361" s="2">
        <v>2022</v>
      </c>
      <c r="D2361" s="10">
        <v>11</v>
      </c>
      <c r="E2361" s="10">
        <v>10</v>
      </c>
      <c r="F2361" t="s">
        <v>3454</v>
      </c>
      <c r="G2361">
        <v>764</v>
      </c>
      <c r="H2361" t="s">
        <v>69</v>
      </c>
      <c r="I2361" t="s">
        <v>150</v>
      </c>
      <c r="J2361" s="10" t="str">
        <f>VLOOKUP(I2361,Categories!A:B,2,FALSE)</f>
        <v xml:space="preserve">Food &amp; Coff</v>
      </c>
      <c r="K2361" t="s">
        <v>2317</v>
      </c>
      <c r="L2361" s="10" t="str">
        <f>VLOOKUP(K2361,Accounts!A:B,2,FALSE)</f>
        <v xml:space="preserve">Marriage account</v>
      </c>
      <c r="M2361" t="s">
        <v>124</v>
      </c>
      <c r="N2361" s="10"/>
      <c r="O2361" t="s">
        <v>4488</v>
      </c>
      <c r="Q2361" t="s">
        <v>126</v>
      </c>
      <c r="R2361" t="s">
        <v>124</v>
      </c>
      <c r="S2361" t="b">
        <v>0</v>
      </c>
      <c r="T2361" t="s">
        <v>124</v>
      </c>
    </row>
    <row r="2362">
      <c r="A2362" t="s">
        <v>4489</v>
      </c>
      <c r="B2362" t="s">
        <v>4470</v>
      </c>
      <c r="C2362" s="2">
        <v>2022</v>
      </c>
      <c r="D2362" s="10">
        <v>11</v>
      </c>
      <c r="E2362" s="10">
        <v>10</v>
      </c>
      <c r="F2362" t="s">
        <v>468</v>
      </c>
      <c r="G2362">
        <v>153</v>
      </c>
      <c r="H2362" t="s">
        <v>128</v>
      </c>
      <c r="I2362" t="s">
        <v>136</v>
      </c>
      <c r="J2362" s="10" t="str">
        <f>VLOOKUP(I2362,Categories!A:B,2,FALSE)</f>
        <v>อื่นๆ</v>
      </c>
      <c r="K2362" t="s">
        <v>893</v>
      </c>
      <c r="L2362" s="10" t="str">
        <f>VLOOKUP(K2362,Accounts!A:B,2,FALSE)</f>
        <v>Shopee</v>
      </c>
      <c r="M2362" t="s">
        <v>131</v>
      </c>
      <c r="N2362" s="10" t="str">
        <f>VLOOKUP(M2362,Accounts!A:B,2,FALSE)</f>
        <v xml:space="preserve">Advance Paid</v>
      </c>
      <c r="O2362" t="s">
        <v>125</v>
      </c>
      <c r="Q2362" t="s">
        <v>126</v>
      </c>
      <c r="R2362" t="s">
        <v>124</v>
      </c>
      <c r="S2362" t="b">
        <v>0</v>
      </c>
      <c r="T2362" t="s">
        <v>124</v>
      </c>
    </row>
    <row r="2363">
      <c r="A2363" t="s">
        <v>4490</v>
      </c>
      <c r="B2363" t="s">
        <v>4470</v>
      </c>
      <c r="C2363" s="2">
        <v>2022</v>
      </c>
      <c r="D2363" s="10">
        <v>11</v>
      </c>
      <c r="E2363" s="10">
        <v>10</v>
      </c>
      <c r="F2363" t="s">
        <v>465</v>
      </c>
      <c r="G2363">
        <v>100</v>
      </c>
      <c r="H2363" t="s">
        <v>206</v>
      </c>
      <c r="I2363" t="s">
        <v>254</v>
      </c>
      <c r="J2363" s="10" t="str">
        <f>VLOOKUP(I2363,Categories!A:B,2,FALSE)</f>
        <v xml:space="preserve">Modified Bal.</v>
      </c>
      <c r="K2363" t="s">
        <v>893</v>
      </c>
      <c r="L2363" s="10" t="str">
        <f>VLOOKUP(K2363,Accounts!A:B,2,FALSE)</f>
        <v>Shopee</v>
      </c>
      <c r="M2363" t="s">
        <v>124</v>
      </c>
      <c r="N2363" s="10"/>
      <c r="O2363" t="s">
        <v>255</v>
      </c>
      <c r="Q2363" t="s">
        <v>126</v>
      </c>
      <c r="R2363" t="s">
        <v>124</v>
      </c>
      <c r="S2363" t="b">
        <v>0</v>
      </c>
      <c r="T2363" t="s">
        <v>124</v>
      </c>
    </row>
    <row r="2364">
      <c r="A2364" t="s">
        <v>4491</v>
      </c>
      <c r="B2364" t="s">
        <v>4470</v>
      </c>
      <c r="C2364" s="2">
        <v>2022</v>
      </c>
      <c r="D2364" s="10">
        <v>11</v>
      </c>
      <c r="E2364" s="10">
        <v>10</v>
      </c>
      <c r="F2364" t="s">
        <v>1766</v>
      </c>
      <c r="G2364">
        <v>546</v>
      </c>
      <c r="H2364" t="s">
        <v>128</v>
      </c>
      <c r="I2364" t="s">
        <v>136</v>
      </c>
      <c r="J2364" s="10" t="str">
        <f>VLOOKUP(I2364,Categories!A:B,2,FALSE)</f>
        <v>อื่นๆ</v>
      </c>
      <c r="K2364" t="s">
        <v>131</v>
      </c>
      <c r="L2364" s="10" t="str">
        <f>VLOOKUP(K2364,Accounts!A:B,2,FALSE)</f>
        <v xml:space="preserve">Advance Paid</v>
      </c>
      <c r="M2364" t="s">
        <v>178</v>
      </c>
      <c r="N2364" s="10" t="str">
        <f>VLOOKUP(M2364,Accounts!A:B,2,FALSE)</f>
        <v>SCB</v>
      </c>
      <c r="O2364" t="s">
        <v>125</v>
      </c>
      <c r="Q2364" t="s">
        <v>126</v>
      </c>
      <c r="R2364" t="s">
        <v>124</v>
      </c>
      <c r="S2364" t="b">
        <v>0</v>
      </c>
      <c r="T2364" t="s">
        <v>124</v>
      </c>
    </row>
    <row r="2365">
      <c r="A2365" t="s">
        <v>4492</v>
      </c>
      <c r="B2365" t="s">
        <v>4470</v>
      </c>
      <c r="C2365" s="2">
        <v>2022</v>
      </c>
      <c r="D2365" s="10">
        <v>11</v>
      </c>
      <c r="E2365" s="10">
        <v>10</v>
      </c>
      <c r="F2365" t="s">
        <v>1766</v>
      </c>
      <c r="G2365">
        <v>546</v>
      </c>
      <c r="H2365" t="s">
        <v>69</v>
      </c>
      <c r="I2365" t="s">
        <v>150</v>
      </c>
      <c r="J2365" s="10" t="str">
        <f>VLOOKUP(I2365,Categories!A:B,2,FALSE)</f>
        <v xml:space="preserve">Food &amp; Coff</v>
      </c>
      <c r="K2365" t="s">
        <v>2317</v>
      </c>
      <c r="L2365" s="10" t="str">
        <f>VLOOKUP(K2365,Accounts!A:B,2,FALSE)</f>
        <v xml:space="preserve">Marriage account</v>
      </c>
      <c r="M2365" t="s">
        <v>124</v>
      </c>
      <c r="N2365" s="10"/>
      <c r="O2365" t="s">
        <v>125</v>
      </c>
      <c r="Q2365" t="s">
        <v>126</v>
      </c>
      <c r="R2365" t="s">
        <v>124</v>
      </c>
      <c r="S2365" t="b">
        <v>0</v>
      </c>
      <c r="T2365" t="s">
        <v>124</v>
      </c>
    </row>
    <row r="2366">
      <c r="A2366" t="s">
        <v>4493</v>
      </c>
      <c r="B2366" t="s">
        <v>4470</v>
      </c>
      <c r="C2366" s="2">
        <v>2022</v>
      </c>
      <c r="D2366" s="10">
        <v>11</v>
      </c>
      <c r="E2366" s="10">
        <v>10</v>
      </c>
      <c r="F2366" t="s">
        <v>1778</v>
      </c>
      <c r="G2366">
        <v>5580.0500000000002</v>
      </c>
      <c r="H2366" t="s">
        <v>206</v>
      </c>
      <c r="I2366" t="s">
        <v>254</v>
      </c>
      <c r="J2366" s="10" t="str">
        <f>VLOOKUP(I2366,Categories!A:B,2,FALSE)</f>
        <v xml:space="preserve">Modified Bal.</v>
      </c>
      <c r="K2366" t="s">
        <v>131</v>
      </c>
      <c r="L2366" s="10" t="str">
        <f>VLOOKUP(K2366,Accounts!A:B,2,FALSE)</f>
        <v xml:space="preserve">Advance Paid</v>
      </c>
      <c r="M2366" t="s">
        <v>124</v>
      </c>
      <c r="N2366" s="10"/>
      <c r="O2366" t="s">
        <v>255</v>
      </c>
      <c r="Q2366" t="s">
        <v>126</v>
      </c>
      <c r="R2366" t="s">
        <v>124</v>
      </c>
      <c r="S2366" t="b">
        <v>0</v>
      </c>
      <c r="T2366" t="s">
        <v>124</v>
      </c>
    </row>
    <row r="2367">
      <c r="A2367" t="s">
        <v>4494</v>
      </c>
      <c r="B2367" t="s">
        <v>4495</v>
      </c>
      <c r="C2367" s="2">
        <v>2022</v>
      </c>
      <c r="D2367" s="10">
        <v>11</v>
      </c>
      <c r="E2367" s="10">
        <v>9</v>
      </c>
      <c r="F2367" t="s">
        <v>2822</v>
      </c>
      <c r="G2367">
        <v>110</v>
      </c>
      <c r="H2367" t="s">
        <v>69</v>
      </c>
      <c r="I2367" t="s">
        <v>150</v>
      </c>
      <c r="J2367" s="10" t="str">
        <f>VLOOKUP(I2367,Categories!A:B,2,FALSE)</f>
        <v xml:space="preserve">Food &amp; Coff</v>
      </c>
      <c r="K2367" t="s">
        <v>2317</v>
      </c>
      <c r="L2367" s="10" t="str">
        <f>VLOOKUP(K2367,Accounts!A:B,2,FALSE)</f>
        <v xml:space="preserve">Marriage account</v>
      </c>
      <c r="M2367" t="s">
        <v>124</v>
      </c>
      <c r="N2367" s="10"/>
      <c r="O2367" t="s">
        <v>125</v>
      </c>
      <c r="Q2367" t="s">
        <v>126</v>
      </c>
      <c r="R2367" t="s">
        <v>124</v>
      </c>
      <c r="S2367" t="b">
        <v>0</v>
      </c>
      <c r="T2367" t="s">
        <v>124</v>
      </c>
    </row>
    <row r="2368">
      <c r="A2368" t="s">
        <v>4496</v>
      </c>
      <c r="B2368" t="s">
        <v>4495</v>
      </c>
      <c r="C2368" s="2">
        <v>2022</v>
      </c>
      <c r="D2368" s="10">
        <v>11</v>
      </c>
      <c r="E2368" s="10">
        <v>9</v>
      </c>
      <c r="F2368" t="s">
        <v>1259</v>
      </c>
      <c r="G2368">
        <v>300</v>
      </c>
      <c r="H2368" t="s">
        <v>69</v>
      </c>
      <c r="I2368" t="s">
        <v>259</v>
      </c>
      <c r="J2368" s="10" t="str">
        <f>VLOOKUP(I2368,Categories!A:B,2,FALSE)</f>
        <v xml:space="preserve">Team BOT</v>
      </c>
      <c r="K2368" t="s">
        <v>178</v>
      </c>
      <c r="L2368" s="10" t="str">
        <f>VLOOKUP(K2368,Accounts!A:B,2,FALSE)</f>
        <v>SCB</v>
      </c>
      <c r="M2368" t="s">
        <v>124</v>
      </c>
      <c r="N2368" s="10"/>
      <c r="O2368" t="s">
        <v>125</v>
      </c>
      <c r="Q2368" t="s">
        <v>126</v>
      </c>
      <c r="R2368" t="s">
        <v>124</v>
      </c>
      <c r="S2368" t="b">
        <v>0</v>
      </c>
      <c r="T2368" t="s">
        <v>124</v>
      </c>
    </row>
    <row r="2369">
      <c r="A2369" t="s">
        <v>4497</v>
      </c>
      <c r="B2369" t="s">
        <v>4495</v>
      </c>
      <c r="C2369" s="2">
        <v>2022</v>
      </c>
      <c r="D2369" s="10">
        <v>11</v>
      </c>
      <c r="E2369" s="10">
        <v>9</v>
      </c>
      <c r="F2369" t="s">
        <v>3760</v>
      </c>
      <c r="G2369">
        <v>60</v>
      </c>
      <c r="H2369" t="s">
        <v>69</v>
      </c>
      <c r="I2369" t="s">
        <v>150</v>
      </c>
      <c r="J2369" s="10" t="str">
        <f>VLOOKUP(I2369,Categories!A:B,2,FALSE)</f>
        <v xml:space="preserve">Food &amp; Coff</v>
      </c>
      <c r="K2369" t="s">
        <v>178</v>
      </c>
      <c r="L2369" s="10" t="str">
        <f>VLOOKUP(K2369,Accounts!A:B,2,FALSE)</f>
        <v>SCB</v>
      </c>
      <c r="M2369" t="s">
        <v>124</v>
      </c>
      <c r="N2369" s="10"/>
      <c r="O2369" t="s">
        <v>125</v>
      </c>
      <c r="Q2369" t="s">
        <v>126</v>
      </c>
      <c r="R2369" t="s">
        <v>124</v>
      </c>
      <c r="S2369" t="b">
        <v>0</v>
      </c>
      <c r="T2369" t="s">
        <v>124</v>
      </c>
    </row>
    <row r="2370">
      <c r="A2370" t="s">
        <v>4498</v>
      </c>
      <c r="B2370" t="s">
        <v>4499</v>
      </c>
      <c r="C2370" s="2">
        <v>2022</v>
      </c>
      <c r="D2370" s="10">
        <v>11</v>
      </c>
      <c r="E2370" s="10">
        <v>8</v>
      </c>
      <c r="F2370" t="s">
        <v>1510</v>
      </c>
      <c r="G2370">
        <v>110</v>
      </c>
      <c r="H2370" t="s">
        <v>69</v>
      </c>
      <c r="I2370" t="s">
        <v>150</v>
      </c>
      <c r="J2370" s="10" t="str">
        <f>VLOOKUP(I2370,Categories!A:B,2,FALSE)</f>
        <v xml:space="preserve">Food &amp; Coff</v>
      </c>
      <c r="K2370" t="s">
        <v>2317</v>
      </c>
      <c r="L2370" s="10" t="str">
        <f>VLOOKUP(K2370,Accounts!A:B,2,FALSE)</f>
        <v xml:space="preserve">Marriage account</v>
      </c>
      <c r="M2370" t="s">
        <v>124</v>
      </c>
      <c r="N2370" s="10"/>
      <c r="O2370" t="s">
        <v>125</v>
      </c>
      <c r="Q2370" t="s">
        <v>126</v>
      </c>
      <c r="R2370" t="s">
        <v>124</v>
      </c>
      <c r="S2370" t="b">
        <v>0</v>
      </c>
      <c r="T2370" t="s">
        <v>124</v>
      </c>
    </row>
    <row r="2371">
      <c r="A2371" t="s">
        <v>4500</v>
      </c>
      <c r="B2371" t="s">
        <v>4499</v>
      </c>
      <c r="C2371" s="2">
        <v>2022</v>
      </c>
      <c r="D2371" s="10">
        <v>11</v>
      </c>
      <c r="E2371" s="10">
        <v>8</v>
      </c>
      <c r="F2371" t="s">
        <v>3623</v>
      </c>
      <c r="G2371">
        <v>52</v>
      </c>
      <c r="H2371" t="s">
        <v>69</v>
      </c>
      <c r="I2371" t="s">
        <v>150</v>
      </c>
      <c r="J2371" s="10" t="str">
        <f>VLOOKUP(I2371,Categories!A:B,2,FALSE)</f>
        <v xml:space="preserve">Food &amp; Coff</v>
      </c>
      <c r="K2371" t="s">
        <v>178</v>
      </c>
      <c r="L2371" s="10" t="str">
        <f>VLOOKUP(K2371,Accounts!A:B,2,FALSE)</f>
        <v>SCB</v>
      </c>
      <c r="M2371" t="s">
        <v>124</v>
      </c>
      <c r="N2371" s="10"/>
      <c r="O2371" t="s">
        <v>125</v>
      </c>
      <c r="Q2371" t="s">
        <v>126</v>
      </c>
      <c r="R2371" t="s">
        <v>124</v>
      </c>
      <c r="S2371" t="b">
        <v>0</v>
      </c>
      <c r="T2371" t="s">
        <v>124</v>
      </c>
    </row>
    <row r="2372">
      <c r="A2372" t="s">
        <v>4501</v>
      </c>
      <c r="B2372" t="s">
        <v>4499</v>
      </c>
      <c r="C2372" s="2">
        <v>2022</v>
      </c>
      <c r="D2372" s="10">
        <v>11</v>
      </c>
      <c r="E2372" s="10">
        <v>8</v>
      </c>
      <c r="F2372" t="s">
        <v>3757</v>
      </c>
      <c r="G2372">
        <v>60</v>
      </c>
      <c r="H2372" t="s">
        <v>69</v>
      </c>
      <c r="I2372" t="s">
        <v>150</v>
      </c>
      <c r="J2372" s="10" t="str">
        <f>VLOOKUP(I2372,Categories!A:B,2,FALSE)</f>
        <v xml:space="preserve">Food &amp; Coff</v>
      </c>
      <c r="K2372" t="s">
        <v>178</v>
      </c>
      <c r="L2372" s="10" t="str">
        <f>VLOOKUP(K2372,Accounts!A:B,2,FALSE)</f>
        <v>SCB</v>
      </c>
      <c r="M2372" t="s">
        <v>124</v>
      </c>
      <c r="N2372" s="10"/>
      <c r="O2372" t="s">
        <v>125</v>
      </c>
      <c r="Q2372" t="s">
        <v>126</v>
      </c>
      <c r="R2372" t="s">
        <v>124</v>
      </c>
      <c r="S2372" t="b">
        <v>0</v>
      </c>
      <c r="T2372" t="s">
        <v>124</v>
      </c>
    </row>
    <row r="2373">
      <c r="A2373" t="s">
        <v>4502</v>
      </c>
      <c r="B2373" t="s">
        <v>4499</v>
      </c>
      <c r="C2373" s="2">
        <v>2022</v>
      </c>
      <c r="D2373" s="10">
        <v>11</v>
      </c>
      <c r="E2373" s="10">
        <v>8</v>
      </c>
      <c r="F2373" t="s">
        <v>2515</v>
      </c>
      <c r="G2373">
        <v>730</v>
      </c>
      <c r="H2373" t="s">
        <v>69</v>
      </c>
      <c r="I2373" t="s">
        <v>150</v>
      </c>
      <c r="J2373" s="10" t="str">
        <f>VLOOKUP(I2373,Categories!A:B,2,FALSE)</f>
        <v xml:space="preserve">Food &amp; Coff</v>
      </c>
      <c r="K2373" t="s">
        <v>2317</v>
      </c>
      <c r="L2373" s="10" t="str">
        <f>VLOOKUP(K2373,Accounts!A:B,2,FALSE)</f>
        <v xml:space="preserve">Marriage account</v>
      </c>
      <c r="M2373" t="s">
        <v>124</v>
      </c>
      <c r="N2373" s="10"/>
      <c r="O2373" t="s">
        <v>125</v>
      </c>
      <c r="Q2373" t="s">
        <v>126</v>
      </c>
      <c r="R2373" t="s">
        <v>124</v>
      </c>
      <c r="S2373" t="b">
        <v>0</v>
      </c>
      <c r="T2373" t="s">
        <v>124</v>
      </c>
    </row>
    <row r="2374">
      <c r="A2374" t="s">
        <v>4503</v>
      </c>
      <c r="B2374" t="s">
        <v>4504</v>
      </c>
      <c r="C2374" s="2">
        <v>2022</v>
      </c>
      <c r="D2374" s="10">
        <v>11</v>
      </c>
      <c r="E2374" s="10">
        <v>7</v>
      </c>
      <c r="F2374" t="s">
        <v>1510</v>
      </c>
      <c r="G2374">
        <v>110</v>
      </c>
      <c r="H2374" t="s">
        <v>69</v>
      </c>
      <c r="I2374" t="s">
        <v>150</v>
      </c>
      <c r="J2374" s="10" t="str">
        <f>VLOOKUP(I2374,Categories!A:B,2,FALSE)</f>
        <v xml:space="preserve">Food &amp; Coff</v>
      </c>
      <c r="K2374" t="s">
        <v>2317</v>
      </c>
      <c r="L2374" s="10" t="str">
        <f>VLOOKUP(K2374,Accounts!A:B,2,FALSE)</f>
        <v xml:space="preserve">Marriage account</v>
      </c>
      <c r="M2374" t="s">
        <v>124</v>
      </c>
      <c r="N2374" s="10"/>
      <c r="O2374" t="s">
        <v>125</v>
      </c>
      <c r="Q2374" t="s">
        <v>126</v>
      </c>
      <c r="R2374" t="s">
        <v>124</v>
      </c>
      <c r="S2374" t="b">
        <v>0</v>
      </c>
      <c r="T2374" t="s">
        <v>124</v>
      </c>
    </row>
    <row r="2375">
      <c r="A2375" t="s">
        <v>4505</v>
      </c>
      <c r="B2375" t="s">
        <v>4504</v>
      </c>
      <c r="C2375" s="2">
        <v>2022</v>
      </c>
      <c r="D2375" s="10">
        <v>11</v>
      </c>
      <c r="E2375" s="10">
        <v>7</v>
      </c>
      <c r="F2375" t="s">
        <v>376</v>
      </c>
      <c r="G2375">
        <v>40</v>
      </c>
      <c r="H2375" t="s">
        <v>69</v>
      </c>
      <c r="I2375" t="s">
        <v>150</v>
      </c>
      <c r="J2375" s="10" t="str">
        <f>VLOOKUP(I2375,Categories!A:B,2,FALSE)</f>
        <v xml:space="preserve">Food &amp; Coff</v>
      </c>
      <c r="K2375" t="s">
        <v>178</v>
      </c>
      <c r="L2375" s="10" t="str">
        <f>VLOOKUP(K2375,Accounts!A:B,2,FALSE)</f>
        <v>SCB</v>
      </c>
      <c r="M2375" t="s">
        <v>124</v>
      </c>
      <c r="N2375" s="10"/>
      <c r="O2375" t="s">
        <v>125</v>
      </c>
      <c r="Q2375" t="s">
        <v>126</v>
      </c>
      <c r="R2375" t="s">
        <v>124</v>
      </c>
      <c r="S2375" t="b">
        <v>0</v>
      </c>
      <c r="T2375" t="s">
        <v>124</v>
      </c>
    </row>
    <row r="2376">
      <c r="A2376" t="s">
        <v>4506</v>
      </c>
      <c r="B2376" t="s">
        <v>4507</v>
      </c>
      <c r="C2376" s="2">
        <v>2022</v>
      </c>
      <c r="D2376" s="10">
        <v>11</v>
      </c>
      <c r="E2376" s="10">
        <v>6</v>
      </c>
      <c r="F2376" t="s">
        <v>879</v>
      </c>
      <c r="G2376">
        <v>780</v>
      </c>
      <c r="H2376" t="s">
        <v>69</v>
      </c>
      <c r="I2376" t="s">
        <v>3276</v>
      </c>
      <c r="J2376" s="10" t="str">
        <f>VLOOKUP(I2376,Categories!A:B,2,FALSE)</f>
        <v>Fuel</v>
      </c>
      <c r="K2376" t="s">
        <v>2317</v>
      </c>
      <c r="L2376" s="10" t="str">
        <f>VLOOKUP(K2376,Accounts!A:B,2,FALSE)</f>
        <v xml:space="preserve">Marriage account</v>
      </c>
      <c r="M2376" t="s">
        <v>124</v>
      </c>
      <c r="N2376" s="10"/>
      <c r="O2376" t="s">
        <v>125</v>
      </c>
      <c r="Q2376" t="s">
        <v>126</v>
      </c>
      <c r="R2376" t="s">
        <v>124</v>
      </c>
      <c r="S2376" t="b">
        <v>0</v>
      </c>
      <c r="T2376" t="s">
        <v>124</v>
      </c>
    </row>
    <row r="2377">
      <c r="A2377" t="s">
        <v>4508</v>
      </c>
      <c r="B2377" t="s">
        <v>4507</v>
      </c>
      <c r="C2377" s="2">
        <v>2022</v>
      </c>
      <c r="D2377" s="10">
        <v>11</v>
      </c>
      <c r="E2377" s="10">
        <v>6</v>
      </c>
      <c r="F2377" t="s">
        <v>879</v>
      </c>
      <c r="G2377">
        <v>15000</v>
      </c>
      <c r="H2377" t="s">
        <v>128</v>
      </c>
      <c r="I2377" t="s">
        <v>136</v>
      </c>
      <c r="J2377" s="10" t="str">
        <f>VLOOKUP(I2377,Categories!A:B,2,FALSE)</f>
        <v>อื่นๆ</v>
      </c>
      <c r="K2377" t="s">
        <v>123</v>
      </c>
      <c r="L2377" s="10" t="str">
        <f>VLOOKUP(K2377,Accounts!A:B,2,FALSE)</f>
        <v>KBank</v>
      </c>
      <c r="M2377" t="s">
        <v>131</v>
      </c>
      <c r="N2377" s="10" t="str">
        <f>VLOOKUP(M2377,Accounts!A:B,2,FALSE)</f>
        <v xml:space="preserve">Advance Paid</v>
      </c>
      <c r="O2377" t="s">
        <v>125</v>
      </c>
      <c r="Q2377" t="s">
        <v>126</v>
      </c>
      <c r="R2377" t="s">
        <v>124</v>
      </c>
      <c r="S2377" t="b">
        <v>0</v>
      </c>
      <c r="T2377" t="s">
        <v>124</v>
      </c>
    </row>
    <row r="2378">
      <c r="A2378" t="s">
        <v>4509</v>
      </c>
      <c r="B2378" t="s">
        <v>4507</v>
      </c>
      <c r="C2378" s="2">
        <v>2022</v>
      </c>
      <c r="D2378" s="10">
        <v>11</v>
      </c>
      <c r="E2378" s="10">
        <v>6</v>
      </c>
      <c r="F2378" t="s">
        <v>4267</v>
      </c>
      <c r="G2378">
        <v>250</v>
      </c>
      <c r="H2378" t="s">
        <v>69</v>
      </c>
      <c r="I2378" t="s">
        <v>150</v>
      </c>
      <c r="J2378" s="10" t="str">
        <f>VLOOKUP(I2378,Categories!A:B,2,FALSE)</f>
        <v xml:space="preserve">Food &amp; Coff</v>
      </c>
      <c r="K2378" t="s">
        <v>178</v>
      </c>
      <c r="L2378" s="10" t="str">
        <f>VLOOKUP(K2378,Accounts!A:B,2,FALSE)</f>
        <v>SCB</v>
      </c>
      <c r="M2378" t="s">
        <v>124</v>
      </c>
      <c r="N2378" s="10"/>
      <c r="O2378" t="s">
        <v>4510</v>
      </c>
      <c r="Q2378" t="s">
        <v>126</v>
      </c>
      <c r="R2378" t="s">
        <v>124</v>
      </c>
      <c r="S2378" t="b">
        <v>0</v>
      </c>
      <c r="T2378" t="s">
        <v>124</v>
      </c>
    </row>
    <row r="2379">
      <c r="A2379" t="s">
        <v>4511</v>
      </c>
      <c r="B2379" t="s">
        <v>4507</v>
      </c>
      <c r="C2379" s="2">
        <v>2022</v>
      </c>
      <c r="D2379" s="10">
        <v>11</v>
      </c>
      <c r="E2379" s="10">
        <v>6</v>
      </c>
      <c r="F2379" t="s">
        <v>2330</v>
      </c>
      <c r="G2379">
        <v>56</v>
      </c>
      <c r="H2379" t="s">
        <v>69</v>
      </c>
      <c r="I2379" t="s">
        <v>150</v>
      </c>
      <c r="J2379" s="10" t="str">
        <f>VLOOKUP(I2379,Categories!A:B,2,FALSE)</f>
        <v xml:space="preserve">Food &amp; Coff</v>
      </c>
      <c r="K2379" t="s">
        <v>2317</v>
      </c>
      <c r="L2379" s="10" t="str">
        <f>VLOOKUP(K2379,Accounts!A:B,2,FALSE)</f>
        <v xml:space="preserve">Marriage account</v>
      </c>
      <c r="M2379" t="s">
        <v>124</v>
      </c>
      <c r="N2379" s="10"/>
      <c r="O2379" t="s">
        <v>4512</v>
      </c>
      <c r="Q2379" t="s">
        <v>126</v>
      </c>
      <c r="R2379" t="s">
        <v>124</v>
      </c>
      <c r="S2379" t="b">
        <v>0</v>
      </c>
      <c r="T2379" t="s">
        <v>124</v>
      </c>
    </row>
    <row r="2380">
      <c r="A2380" t="s">
        <v>4513</v>
      </c>
      <c r="B2380" t="s">
        <v>4507</v>
      </c>
      <c r="C2380" s="2">
        <v>2022</v>
      </c>
      <c r="D2380" s="10">
        <v>11</v>
      </c>
      <c r="E2380" s="10">
        <v>6</v>
      </c>
      <c r="F2380" t="s">
        <v>2267</v>
      </c>
      <c r="G2380">
        <v>500</v>
      </c>
      <c r="H2380" t="s">
        <v>69</v>
      </c>
      <c r="I2380" t="s">
        <v>3276</v>
      </c>
      <c r="J2380" s="10" t="str">
        <f>VLOOKUP(I2380,Categories!A:B,2,FALSE)</f>
        <v>Fuel</v>
      </c>
      <c r="K2380" t="s">
        <v>2317</v>
      </c>
      <c r="L2380" s="10" t="str">
        <f>VLOOKUP(K2380,Accounts!A:B,2,FALSE)</f>
        <v xml:space="preserve">Marriage account</v>
      </c>
      <c r="M2380" t="s">
        <v>124</v>
      </c>
      <c r="N2380" s="10"/>
      <c r="O2380" t="s">
        <v>125</v>
      </c>
      <c r="Q2380" t="s">
        <v>126</v>
      </c>
      <c r="R2380" t="s">
        <v>124</v>
      </c>
      <c r="S2380" t="b">
        <v>0</v>
      </c>
      <c r="T2380" t="s">
        <v>124</v>
      </c>
    </row>
    <row r="2381">
      <c r="A2381" t="s">
        <v>4514</v>
      </c>
      <c r="B2381" t="s">
        <v>4507</v>
      </c>
      <c r="C2381" s="2">
        <v>2022</v>
      </c>
      <c r="D2381" s="10">
        <v>11</v>
      </c>
      <c r="E2381" s="10">
        <v>6</v>
      </c>
      <c r="F2381" t="s">
        <v>468</v>
      </c>
      <c r="G2381">
        <v>226</v>
      </c>
      <c r="H2381" t="s">
        <v>128</v>
      </c>
      <c r="I2381" t="s">
        <v>136</v>
      </c>
      <c r="J2381" s="10" t="str">
        <f>VLOOKUP(I2381,Categories!A:B,2,FALSE)</f>
        <v>อื่นๆ</v>
      </c>
      <c r="K2381" t="s">
        <v>893</v>
      </c>
      <c r="L2381" s="10" t="str">
        <f>VLOOKUP(K2381,Accounts!A:B,2,FALSE)</f>
        <v>Shopee</v>
      </c>
      <c r="M2381" t="s">
        <v>131</v>
      </c>
      <c r="N2381" s="10" t="str">
        <f>VLOOKUP(M2381,Accounts!A:B,2,FALSE)</f>
        <v xml:space="preserve">Advance Paid</v>
      </c>
      <c r="O2381" t="s">
        <v>125</v>
      </c>
      <c r="Q2381" t="s">
        <v>126</v>
      </c>
      <c r="R2381" t="s">
        <v>124</v>
      </c>
      <c r="S2381" t="b">
        <v>0</v>
      </c>
      <c r="T2381" t="s">
        <v>124</v>
      </c>
    </row>
    <row r="2382">
      <c r="A2382" t="s">
        <v>4515</v>
      </c>
      <c r="B2382" t="s">
        <v>4507</v>
      </c>
      <c r="C2382" s="2">
        <v>2022</v>
      </c>
      <c r="D2382" s="10">
        <v>11</v>
      </c>
      <c r="E2382" s="10">
        <v>6</v>
      </c>
      <c r="F2382" t="s">
        <v>4516</v>
      </c>
      <c r="G2382">
        <v>770</v>
      </c>
      <c r="H2382" t="s">
        <v>128</v>
      </c>
      <c r="I2382" t="s">
        <v>136</v>
      </c>
      <c r="J2382" s="10" t="str">
        <f>VLOOKUP(I2382,Categories!A:B,2,FALSE)</f>
        <v>อื่นๆ</v>
      </c>
      <c r="K2382" t="s">
        <v>2349</v>
      </c>
      <c r="L2382" s="10" t="str">
        <f>VLOOKUP(K2382,Accounts!A:B,2,FALSE)</f>
        <v>Bluewallet</v>
      </c>
      <c r="M2382" t="s">
        <v>178</v>
      </c>
      <c r="N2382" s="10" t="str">
        <f>VLOOKUP(M2382,Accounts!A:B,2,FALSE)</f>
        <v>SCB</v>
      </c>
      <c r="O2382" t="s">
        <v>125</v>
      </c>
      <c r="Q2382" t="s">
        <v>126</v>
      </c>
      <c r="R2382" t="s">
        <v>124</v>
      </c>
      <c r="S2382" t="b">
        <v>0</v>
      </c>
      <c r="T2382" t="s">
        <v>124</v>
      </c>
    </row>
    <row r="2383">
      <c r="A2383" t="s">
        <v>4517</v>
      </c>
      <c r="B2383" t="s">
        <v>4507</v>
      </c>
      <c r="C2383" s="2">
        <v>2022</v>
      </c>
      <c r="D2383" s="10">
        <v>11</v>
      </c>
      <c r="E2383" s="10">
        <v>6</v>
      </c>
      <c r="F2383" t="s">
        <v>962</v>
      </c>
      <c r="G2383">
        <v>15000</v>
      </c>
      <c r="H2383" t="s">
        <v>128</v>
      </c>
      <c r="I2383" t="s">
        <v>136</v>
      </c>
      <c r="J2383" s="10" t="str">
        <f>VLOOKUP(I2383,Categories!A:B,2,FALSE)</f>
        <v>อื่นๆ</v>
      </c>
      <c r="K2383" t="s">
        <v>131</v>
      </c>
      <c r="L2383" s="10" t="str">
        <f>VLOOKUP(K2383,Accounts!A:B,2,FALSE)</f>
        <v xml:space="preserve">Advance Paid</v>
      </c>
      <c r="M2383" t="s">
        <v>178</v>
      </c>
      <c r="N2383" s="10" t="str">
        <f>VLOOKUP(M2383,Accounts!A:B,2,FALSE)</f>
        <v>SCB</v>
      </c>
      <c r="O2383" t="s">
        <v>125</v>
      </c>
      <c r="Q2383" t="s">
        <v>126</v>
      </c>
      <c r="R2383" t="s">
        <v>124</v>
      </c>
      <c r="S2383" t="b">
        <v>0</v>
      </c>
      <c r="T2383" t="s">
        <v>124</v>
      </c>
    </row>
    <row r="2384">
      <c r="A2384" t="s">
        <v>4518</v>
      </c>
      <c r="B2384" t="s">
        <v>4507</v>
      </c>
      <c r="C2384" s="2">
        <v>2022</v>
      </c>
      <c r="D2384" s="10">
        <v>11</v>
      </c>
      <c r="E2384" s="10">
        <v>6</v>
      </c>
      <c r="F2384" t="s">
        <v>4422</v>
      </c>
      <c r="G2384">
        <v>49229</v>
      </c>
      <c r="H2384" t="s">
        <v>128</v>
      </c>
      <c r="I2384" t="s">
        <v>136</v>
      </c>
      <c r="J2384" s="10" t="str">
        <f>VLOOKUP(I2384,Categories!A:B,2,FALSE)</f>
        <v>อื่นๆ</v>
      </c>
      <c r="K2384" t="s">
        <v>131</v>
      </c>
      <c r="L2384" s="10" t="str">
        <f>VLOOKUP(K2384,Accounts!A:B,2,FALSE)</f>
        <v xml:space="preserve">Advance Paid</v>
      </c>
      <c r="M2384" t="s">
        <v>178</v>
      </c>
      <c r="N2384" s="10" t="str">
        <f>VLOOKUP(M2384,Accounts!A:B,2,FALSE)</f>
        <v>SCB</v>
      </c>
      <c r="O2384" t="s">
        <v>125</v>
      </c>
      <c r="Q2384" t="s">
        <v>126</v>
      </c>
      <c r="R2384" t="s">
        <v>124</v>
      </c>
      <c r="S2384" t="b">
        <v>0</v>
      </c>
      <c r="T2384" t="s">
        <v>124</v>
      </c>
    </row>
    <row r="2385">
      <c r="A2385" t="s">
        <v>4519</v>
      </c>
      <c r="B2385" t="s">
        <v>4507</v>
      </c>
      <c r="C2385" s="2">
        <v>2022</v>
      </c>
      <c r="D2385" s="10">
        <v>11</v>
      </c>
      <c r="E2385" s="10">
        <v>6</v>
      </c>
      <c r="F2385" t="s">
        <v>3071</v>
      </c>
      <c r="G2385">
        <v>300</v>
      </c>
      <c r="H2385" t="s">
        <v>128</v>
      </c>
      <c r="I2385" t="s">
        <v>136</v>
      </c>
      <c r="J2385" s="10" t="str">
        <f>VLOOKUP(I2385,Categories!A:B,2,FALSE)</f>
        <v>อื่นๆ</v>
      </c>
      <c r="K2385" t="s">
        <v>178</v>
      </c>
      <c r="L2385" s="10" t="str">
        <f>VLOOKUP(K2385,Accounts!A:B,2,FALSE)</f>
        <v>SCB</v>
      </c>
      <c r="M2385" t="s">
        <v>893</v>
      </c>
      <c r="N2385" s="10" t="str">
        <f>VLOOKUP(M2385,Accounts!A:B,2,FALSE)</f>
        <v>Shopee</v>
      </c>
      <c r="O2385" t="s">
        <v>125</v>
      </c>
      <c r="Q2385" t="s">
        <v>126</v>
      </c>
      <c r="R2385" t="s">
        <v>124</v>
      </c>
      <c r="S2385" t="b">
        <v>0</v>
      </c>
      <c r="T2385" t="s">
        <v>124</v>
      </c>
    </row>
    <row r="2386">
      <c r="A2386" t="s">
        <v>4520</v>
      </c>
      <c r="B2386" t="s">
        <v>4521</v>
      </c>
      <c r="C2386" s="2">
        <v>2022</v>
      </c>
      <c r="D2386" s="10">
        <v>11</v>
      </c>
      <c r="E2386" s="10">
        <v>5</v>
      </c>
      <c r="F2386" t="s">
        <v>4522</v>
      </c>
      <c r="G2386">
        <v>165</v>
      </c>
      <c r="H2386" t="s">
        <v>69</v>
      </c>
      <c r="I2386" t="s">
        <v>150</v>
      </c>
      <c r="J2386" s="10" t="str">
        <f>VLOOKUP(I2386,Categories!A:B,2,FALSE)</f>
        <v xml:space="preserve">Food &amp; Coff</v>
      </c>
      <c r="K2386" t="s">
        <v>2317</v>
      </c>
      <c r="L2386" s="10" t="str">
        <f>VLOOKUP(K2386,Accounts!A:B,2,FALSE)</f>
        <v xml:space="preserve">Marriage account</v>
      </c>
      <c r="M2386" t="s">
        <v>124</v>
      </c>
      <c r="N2386" s="10"/>
      <c r="O2386" t="s">
        <v>3852</v>
      </c>
      <c r="Q2386" t="s">
        <v>126</v>
      </c>
      <c r="R2386" t="s">
        <v>124</v>
      </c>
      <c r="S2386" t="b">
        <v>0</v>
      </c>
      <c r="T2386" t="s">
        <v>124</v>
      </c>
    </row>
    <row r="2387">
      <c r="A2387" t="s">
        <v>4523</v>
      </c>
      <c r="B2387" t="s">
        <v>4521</v>
      </c>
      <c r="C2387" s="2">
        <v>2022</v>
      </c>
      <c r="D2387" s="10">
        <v>11</v>
      </c>
      <c r="E2387" s="10">
        <v>5</v>
      </c>
      <c r="F2387" t="s">
        <v>3197</v>
      </c>
      <c r="G2387">
        <v>130</v>
      </c>
      <c r="H2387" t="s">
        <v>69</v>
      </c>
      <c r="I2387" t="s">
        <v>150</v>
      </c>
      <c r="J2387" s="10" t="str">
        <f>VLOOKUP(I2387,Categories!A:B,2,FALSE)</f>
        <v xml:space="preserve">Food &amp; Coff</v>
      </c>
      <c r="K2387" t="s">
        <v>178</v>
      </c>
      <c r="L2387" s="10" t="str">
        <f>VLOOKUP(K2387,Accounts!A:B,2,FALSE)</f>
        <v>SCB</v>
      </c>
      <c r="M2387" t="s">
        <v>124</v>
      </c>
      <c r="N2387" s="10"/>
      <c r="O2387" t="s">
        <v>4524</v>
      </c>
      <c r="Q2387" t="s">
        <v>126</v>
      </c>
      <c r="R2387" t="s">
        <v>124</v>
      </c>
      <c r="S2387" t="b">
        <v>0</v>
      </c>
      <c r="T2387" t="s">
        <v>124</v>
      </c>
    </row>
    <row r="2388">
      <c r="A2388" t="s">
        <v>4525</v>
      </c>
      <c r="B2388" t="s">
        <v>4521</v>
      </c>
      <c r="C2388" s="2">
        <v>2022</v>
      </c>
      <c r="D2388" s="10">
        <v>11</v>
      </c>
      <c r="E2388" s="10">
        <v>5</v>
      </c>
      <c r="F2388" t="s">
        <v>3150</v>
      </c>
      <c r="G2388">
        <v>140</v>
      </c>
      <c r="H2388" t="s">
        <v>69</v>
      </c>
      <c r="I2388" t="s">
        <v>150</v>
      </c>
      <c r="J2388" s="10" t="str">
        <f>VLOOKUP(I2388,Categories!A:B,2,FALSE)</f>
        <v xml:space="preserve">Food &amp; Coff</v>
      </c>
      <c r="K2388" t="s">
        <v>2317</v>
      </c>
      <c r="L2388" s="10" t="str">
        <f>VLOOKUP(K2388,Accounts!A:B,2,FALSE)</f>
        <v xml:space="preserve">Marriage account</v>
      </c>
      <c r="M2388" t="s">
        <v>124</v>
      </c>
      <c r="N2388" s="10"/>
      <c r="O2388" t="s">
        <v>4526</v>
      </c>
      <c r="Q2388" t="s">
        <v>126</v>
      </c>
      <c r="R2388" t="s">
        <v>124</v>
      </c>
      <c r="S2388" t="b">
        <v>0</v>
      </c>
      <c r="T2388" t="s">
        <v>124</v>
      </c>
    </row>
    <row r="2389">
      <c r="A2389" t="s">
        <v>4527</v>
      </c>
      <c r="B2389" t="s">
        <v>4521</v>
      </c>
      <c r="C2389" s="2">
        <v>2022</v>
      </c>
      <c r="D2389" s="10">
        <v>11</v>
      </c>
      <c r="E2389" s="10">
        <v>5</v>
      </c>
      <c r="F2389" t="s">
        <v>1030</v>
      </c>
      <c r="G2389">
        <v>80</v>
      </c>
      <c r="H2389" t="s">
        <v>69</v>
      </c>
      <c r="I2389" t="s">
        <v>150</v>
      </c>
      <c r="J2389" s="10" t="str">
        <f>VLOOKUP(I2389,Categories!A:B,2,FALSE)</f>
        <v xml:space="preserve">Food &amp; Coff</v>
      </c>
      <c r="K2389" t="s">
        <v>2317</v>
      </c>
      <c r="L2389" s="10" t="str">
        <f>VLOOKUP(K2389,Accounts!A:B,2,FALSE)</f>
        <v xml:space="preserve">Marriage account</v>
      </c>
      <c r="M2389" t="s">
        <v>124</v>
      </c>
      <c r="N2389" s="10"/>
      <c r="O2389" t="s">
        <v>125</v>
      </c>
      <c r="Q2389" t="s">
        <v>126</v>
      </c>
      <c r="R2389" t="s">
        <v>124</v>
      </c>
      <c r="S2389" t="b">
        <v>0</v>
      </c>
      <c r="T2389" t="s">
        <v>124</v>
      </c>
    </row>
    <row r="2390">
      <c r="A2390" t="s">
        <v>4528</v>
      </c>
      <c r="B2390" t="s">
        <v>4521</v>
      </c>
      <c r="C2390" s="2">
        <v>2022</v>
      </c>
      <c r="D2390" s="10">
        <v>11</v>
      </c>
      <c r="E2390" s="10">
        <v>5</v>
      </c>
      <c r="F2390" t="s">
        <v>4529</v>
      </c>
      <c r="G2390">
        <v>10750.83</v>
      </c>
      <c r="H2390" t="s">
        <v>69</v>
      </c>
      <c r="I2390" t="s">
        <v>1508</v>
      </c>
      <c r="J2390" s="10" t="str">
        <f>VLOOKUP(I2390,Categories!A:B,2,FALSE)</f>
        <v>Other</v>
      </c>
      <c r="K2390" t="s">
        <v>1308</v>
      </c>
      <c r="L2390" s="10" t="str">
        <f>VLOOKUP(K2390,Accounts!A:B,2,FALSE)</f>
        <v xml:space="preserve">UOB Privilages</v>
      </c>
      <c r="M2390" t="s">
        <v>124</v>
      </c>
      <c r="N2390" s="10"/>
      <c r="O2390" t="s">
        <v>125</v>
      </c>
      <c r="Q2390" t="s">
        <v>126</v>
      </c>
      <c r="R2390" t="s">
        <v>124</v>
      </c>
      <c r="S2390" t="b">
        <v>0</v>
      </c>
      <c r="T2390" t="s">
        <v>124</v>
      </c>
    </row>
    <row r="2391">
      <c r="A2391" t="s">
        <v>4530</v>
      </c>
      <c r="B2391" t="s">
        <v>4521</v>
      </c>
      <c r="C2391" s="2">
        <v>2022</v>
      </c>
      <c r="D2391" s="10">
        <v>11</v>
      </c>
      <c r="E2391" s="10">
        <v>5</v>
      </c>
      <c r="F2391" t="s">
        <v>1957</v>
      </c>
      <c r="G2391">
        <v>491</v>
      </c>
      <c r="H2391" t="s">
        <v>69</v>
      </c>
      <c r="I2391" t="s">
        <v>3504</v>
      </c>
      <c r="J2391" s="10" t="str">
        <f>VLOOKUP(I2391,Categories!A:B,2,FALSE)</f>
        <v xml:space="preserve">Condo suppliers</v>
      </c>
      <c r="K2391" t="s">
        <v>2317</v>
      </c>
      <c r="L2391" s="10" t="str">
        <f>VLOOKUP(K2391,Accounts!A:B,2,FALSE)</f>
        <v xml:space="preserve">Marriage account</v>
      </c>
      <c r="M2391" t="s">
        <v>124</v>
      </c>
      <c r="N2391" s="10"/>
      <c r="O2391" t="s">
        <v>125</v>
      </c>
      <c r="Q2391" t="s">
        <v>126</v>
      </c>
      <c r="R2391" t="s">
        <v>124</v>
      </c>
      <c r="S2391" t="b">
        <v>0</v>
      </c>
      <c r="T2391" t="s">
        <v>124</v>
      </c>
    </row>
    <row r="2392">
      <c r="A2392" t="s">
        <v>4531</v>
      </c>
      <c r="B2392" t="s">
        <v>4521</v>
      </c>
      <c r="C2392" s="2">
        <v>2022</v>
      </c>
      <c r="D2392" s="10">
        <v>11</v>
      </c>
      <c r="E2392" s="10">
        <v>5</v>
      </c>
      <c r="F2392" t="s">
        <v>698</v>
      </c>
      <c r="G2392">
        <v>95</v>
      </c>
      <c r="H2392" t="s">
        <v>69</v>
      </c>
      <c r="I2392" t="s">
        <v>150</v>
      </c>
      <c r="J2392" s="10" t="str">
        <f>VLOOKUP(I2392,Categories!A:B,2,FALSE)</f>
        <v xml:space="preserve">Food &amp; Coff</v>
      </c>
      <c r="K2392" t="s">
        <v>178</v>
      </c>
      <c r="L2392" s="10" t="str">
        <f>VLOOKUP(K2392,Accounts!A:B,2,FALSE)</f>
        <v>SCB</v>
      </c>
      <c r="M2392" t="s">
        <v>124</v>
      </c>
      <c r="N2392" s="10"/>
      <c r="O2392" t="s">
        <v>125</v>
      </c>
      <c r="Q2392" t="s">
        <v>126</v>
      </c>
      <c r="R2392" t="s">
        <v>124</v>
      </c>
      <c r="S2392" t="b">
        <v>0</v>
      </c>
      <c r="T2392" t="s">
        <v>124</v>
      </c>
    </row>
    <row r="2393">
      <c r="A2393" t="s">
        <v>4532</v>
      </c>
      <c r="B2393" t="s">
        <v>4521</v>
      </c>
      <c r="C2393" s="2">
        <v>2022</v>
      </c>
      <c r="D2393" s="10">
        <v>11</v>
      </c>
      <c r="E2393" s="10">
        <v>5</v>
      </c>
      <c r="F2393" t="s">
        <v>686</v>
      </c>
      <c r="G2393">
        <v>235</v>
      </c>
      <c r="H2393" t="s">
        <v>69</v>
      </c>
      <c r="I2393" t="s">
        <v>150</v>
      </c>
      <c r="J2393" s="10" t="str">
        <f>VLOOKUP(I2393,Categories!A:B,2,FALSE)</f>
        <v xml:space="preserve">Food &amp; Coff</v>
      </c>
      <c r="K2393" t="s">
        <v>2317</v>
      </c>
      <c r="L2393" s="10" t="str">
        <f>VLOOKUP(K2393,Accounts!A:B,2,FALSE)</f>
        <v xml:space="preserve">Marriage account</v>
      </c>
      <c r="M2393" t="s">
        <v>124</v>
      </c>
      <c r="N2393" s="10"/>
      <c r="O2393" t="s">
        <v>125</v>
      </c>
      <c r="Q2393" t="s">
        <v>126</v>
      </c>
      <c r="R2393" t="s">
        <v>124</v>
      </c>
      <c r="S2393" t="b">
        <v>0</v>
      </c>
      <c r="T2393" t="s">
        <v>124</v>
      </c>
    </row>
    <row r="2394">
      <c r="A2394" t="s">
        <v>4533</v>
      </c>
      <c r="B2394" t="s">
        <v>4521</v>
      </c>
      <c r="C2394" s="2">
        <v>2022</v>
      </c>
      <c r="D2394" s="10">
        <v>11</v>
      </c>
      <c r="E2394" s="10">
        <v>5</v>
      </c>
      <c r="F2394" t="s">
        <v>686</v>
      </c>
      <c r="G2394">
        <v>235</v>
      </c>
      <c r="H2394" t="s">
        <v>128</v>
      </c>
      <c r="I2394" t="s">
        <v>136</v>
      </c>
      <c r="J2394" s="10" t="str">
        <f>VLOOKUP(I2394,Categories!A:B,2,FALSE)</f>
        <v>อื่นๆ</v>
      </c>
      <c r="K2394" t="s">
        <v>710</v>
      </c>
      <c r="L2394" s="10" t="str">
        <f>VLOOKUP(K2394,Accounts!A:B,2,FALSE)</f>
        <v xml:space="preserve">Line Pay</v>
      </c>
      <c r="M2394" t="s">
        <v>178</v>
      </c>
      <c r="N2394" s="10" t="str">
        <f>VLOOKUP(M2394,Accounts!A:B,2,FALSE)</f>
        <v>SCB</v>
      </c>
      <c r="O2394" t="s">
        <v>125</v>
      </c>
      <c r="Q2394" t="s">
        <v>126</v>
      </c>
      <c r="R2394" t="s">
        <v>124</v>
      </c>
      <c r="S2394" t="b">
        <v>0</v>
      </c>
      <c r="T2394" t="s">
        <v>124</v>
      </c>
    </row>
    <row r="2395">
      <c r="A2395" t="s">
        <v>4534</v>
      </c>
      <c r="B2395" t="s">
        <v>4535</v>
      </c>
      <c r="C2395" s="2">
        <v>2022</v>
      </c>
      <c r="D2395" s="10">
        <v>11</v>
      </c>
      <c r="E2395" s="10">
        <v>4</v>
      </c>
      <c r="F2395" t="s">
        <v>3701</v>
      </c>
      <c r="G2395">
        <v>70</v>
      </c>
      <c r="H2395" t="s">
        <v>69</v>
      </c>
      <c r="I2395" t="s">
        <v>150</v>
      </c>
      <c r="J2395" s="10" t="str">
        <f>VLOOKUP(I2395,Categories!A:B,2,FALSE)</f>
        <v xml:space="preserve">Food &amp; Coff</v>
      </c>
      <c r="K2395" t="s">
        <v>123</v>
      </c>
      <c r="L2395" s="10" t="str">
        <f>VLOOKUP(K2395,Accounts!A:B,2,FALSE)</f>
        <v>KBank</v>
      </c>
      <c r="M2395" t="s">
        <v>124</v>
      </c>
      <c r="N2395" s="10"/>
      <c r="O2395" t="s">
        <v>125</v>
      </c>
      <c r="Q2395" t="s">
        <v>126</v>
      </c>
      <c r="R2395" t="s">
        <v>124</v>
      </c>
      <c r="S2395" t="b">
        <v>0</v>
      </c>
      <c r="T2395" t="s">
        <v>124</v>
      </c>
    </row>
    <row r="2396">
      <c r="A2396" t="s">
        <v>4536</v>
      </c>
      <c r="B2396" t="s">
        <v>4535</v>
      </c>
      <c r="C2396" s="2">
        <v>2022</v>
      </c>
      <c r="D2396" s="10">
        <v>11</v>
      </c>
      <c r="E2396" s="10">
        <v>4</v>
      </c>
      <c r="F2396" t="s">
        <v>3282</v>
      </c>
      <c r="G2396">
        <v>100</v>
      </c>
      <c r="H2396" t="s">
        <v>69</v>
      </c>
      <c r="I2396" t="s">
        <v>150</v>
      </c>
      <c r="J2396" s="10" t="str">
        <f>VLOOKUP(I2396,Categories!A:B,2,FALSE)</f>
        <v xml:space="preserve">Food &amp; Coff</v>
      </c>
      <c r="K2396" t="s">
        <v>2317</v>
      </c>
      <c r="L2396" s="10" t="str">
        <f>VLOOKUP(K2396,Accounts!A:B,2,FALSE)</f>
        <v xml:space="preserve">Marriage account</v>
      </c>
      <c r="M2396" t="s">
        <v>124</v>
      </c>
      <c r="N2396" s="10"/>
      <c r="O2396" t="s">
        <v>3852</v>
      </c>
      <c r="Q2396" t="s">
        <v>126</v>
      </c>
      <c r="R2396" t="s">
        <v>124</v>
      </c>
      <c r="S2396" t="b">
        <v>0</v>
      </c>
      <c r="T2396" t="s">
        <v>124</v>
      </c>
    </row>
    <row r="2397">
      <c r="A2397" t="s">
        <v>4537</v>
      </c>
      <c r="B2397" t="s">
        <v>4535</v>
      </c>
      <c r="C2397" s="2">
        <v>2022</v>
      </c>
      <c r="D2397" s="10">
        <v>11</v>
      </c>
      <c r="E2397" s="10">
        <v>4</v>
      </c>
      <c r="F2397" t="s">
        <v>2909</v>
      </c>
      <c r="G2397">
        <v>100</v>
      </c>
      <c r="H2397" t="s">
        <v>69</v>
      </c>
      <c r="I2397" t="s">
        <v>150</v>
      </c>
      <c r="J2397" s="10" t="str">
        <f>VLOOKUP(I2397,Categories!A:B,2,FALSE)</f>
        <v xml:space="preserve">Food &amp; Coff</v>
      </c>
      <c r="K2397" t="s">
        <v>178</v>
      </c>
      <c r="L2397" s="10" t="str">
        <f>VLOOKUP(K2397,Accounts!A:B,2,FALSE)</f>
        <v>SCB</v>
      </c>
      <c r="M2397" t="s">
        <v>124</v>
      </c>
      <c r="N2397" s="10"/>
      <c r="O2397" t="s">
        <v>125</v>
      </c>
      <c r="Q2397" t="s">
        <v>126</v>
      </c>
      <c r="R2397" t="s">
        <v>124</v>
      </c>
      <c r="S2397" t="b">
        <v>0</v>
      </c>
      <c r="T2397" t="s">
        <v>124</v>
      </c>
    </row>
    <row r="2398">
      <c r="A2398" t="s">
        <v>4538</v>
      </c>
      <c r="B2398" t="s">
        <v>4539</v>
      </c>
      <c r="C2398" s="2">
        <v>2022</v>
      </c>
      <c r="D2398" s="10">
        <v>11</v>
      </c>
      <c r="E2398" s="10">
        <v>3</v>
      </c>
      <c r="F2398" t="s">
        <v>3114</v>
      </c>
      <c r="G2398">
        <v>105</v>
      </c>
      <c r="H2398" t="s">
        <v>69</v>
      </c>
      <c r="I2398" t="s">
        <v>150</v>
      </c>
      <c r="J2398" s="10" t="str">
        <f>VLOOKUP(I2398,Categories!A:B,2,FALSE)</f>
        <v xml:space="preserve">Food &amp; Coff</v>
      </c>
      <c r="K2398" t="s">
        <v>123</v>
      </c>
      <c r="L2398" s="10" t="str">
        <f>VLOOKUP(K2398,Accounts!A:B,2,FALSE)</f>
        <v>KBank</v>
      </c>
      <c r="M2398" t="s">
        <v>124</v>
      </c>
      <c r="N2398" s="10"/>
      <c r="O2398" t="s">
        <v>125</v>
      </c>
      <c r="Q2398" t="s">
        <v>126</v>
      </c>
      <c r="R2398" t="s">
        <v>124</v>
      </c>
      <c r="S2398" t="b">
        <v>0</v>
      </c>
      <c r="T2398" t="s">
        <v>124</v>
      </c>
    </row>
    <row r="2399">
      <c r="A2399" t="s">
        <v>4540</v>
      </c>
      <c r="B2399" t="s">
        <v>4539</v>
      </c>
      <c r="C2399" s="2">
        <v>2022</v>
      </c>
      <c r="D2399" s="10">
        <v>11</v>
      </c>
      <c r="E2399" s="10">
        <v>3</v>
      </c>
      <c r="F2399" t="s">
        <v>4098</v>
      </c>
      <c r="G2399">
        <v>125</v>
      </c>
      <c r="H2399" t="s">
        <v>69</v>
      </c>
      <c r="I2399" t="s">
        <v>150</v>
      </c>
      <c r="J2399" s="10" t="str">
        <f>VLOOKUP(I2399,Categories!A:B,2,FALSE)</f>
        <v xml:space="preserve">Food &amp; Coff</v>
      </c>
      <c r="K2399" t="s">
        <v>2317</v>
      </c>
      <c r="L2399" s="10" t="str">
        <f>VLOOKUP(K2399,Accounts!A:B,2,FALSE)</f>
        <v xml:space="preserve">Marriage account</v>
      </c>
      <c r="M2399" t="s">
        <v>124</v>
      </c>
      <c r="N2399" s="10"/>
      <c r="O2399" t="s">
        <v>125</v>
      </c>
      <c r="Q2399" t="s">
        <v>126</v>
      </c>
      <c r="R2399" t="s">
        <v>124</v>
      </c>
      <c r="S2399" t="b">
        <v>0</v>
      </c>
      <c r="T2399" t="s">
        <v>124</v>
      </c>
    </row>
    <row r="2400">
      <c r="A2400" t="s">
        <v>4541</v>
      </c>
      <c r="B2400" t="s">
        <v>4539</v>
      </c>
      <c r="C2400" s="2">
        <v>2022</v>
      </c>
      <c r="D2400" s="10">
        <v>11</v>
      </c>
      <c r="E2400" s="10">
        <v>3</v>
      </c>
      <c r="F2400" t="s">
        <v>3995</v>
      </c>
      <c r="G2400">
        <v>50</v>
      </c>
      <c r="H2400" t="s">
        <v>69</v>
      </c>
      <c r="I2400" t="s">
        <v>150</v>
      </c>
      <c r="J2400" s="10" t="str">
        <f>VLOOKUP(I2400,Categories!A:B,2,FALSE)</f>
        <v xml:space="preserve">Food &amp; Coff</v>
      </c>
      <c r="K2400" t="s">
        <v>178</v>
      </c>
      <c r="L2400" s="10" t="str">
        <f>VLOOKUP(K2400,Accounts!A:B,2,FALSE)</f>
        <v>SCB</v>
      </c>
      <c r="M2400" t="s">
        <v>124</v>
      </c>
      <c r="N2400" s="10"/>
      <c r="O2400" t="s">
        <v>125</v>
      </c>
      <c r="Q2400" t="s">
        <v>126</v>
      </c>
      <c r="R2400" t="s">
        <v>124</v>
      </c>
      <c r="S2400" t="b">
        <v>0</v>
      </c>
      <c r="T2400" t="s">
        <v>124</v>
      </c>
    </row>
    <row r="2401">
      <c r="A2401" t="s">
        <v>4542</v>
      </c>
      <c r="B2401" t="s">
        <v>4543</v>
      </c>
      <c r="C2401" s="2">
        <v>2022</v>
      </c>
      <c r="D2401" s="10">
        <v>11</v>
      </c>
      <c r="E2401" s="10">
        <v>2</v>
      </c>
      <c r="F2401" t="s">
        <v>2699</v>
      </c>
      <c r="G2401">
        <v>120</v>
      </c>
      <c r="H2401" t="s">
        <v>69</v>
      </c>
      <c r="I2401" t="s">
        <v>150</v>
      </c>
      <c r="J2401" s="10" t="str">
        <f>VLOOKUP(I2401,Categories!A:B,2,FALSE)</f>
        <v xml:space="preserve">Food &amp; Coff</v>
      </c>
      <c r="K2401" t="s">
        <v>2317</v>
      </c>
      <c r="L2401" s="10" t="str">
        <f>VLOOKUP(K2401,Accounts!A:B,2,FALSE)</f>
        <v xml:space="preserve">Marriage account</v>
      </c>
      <c r="M2401" t="s">
        <v>124</v>
      </c>
      <c r="N2401" s="10"/>
      <c r="O2401" t="s">
        <v>4544</v>
      </c>
      <c r="Q2401" t="s">
        <v>126</v>
      </c>
      <c r="R2401" t="s">
        <v>124</v>
      </c>
      <c r="S2401" t="b">
        <v>0</v>
      </c>
      <c r="T2401" t="s">
        <v>124</v>
      </c>
    </row>
    <row r="2402">
      <c r="A2402" t="s">
        <v>4545</v>
      </c>
      <c r="B2402" t="s">
        <v>4543</v>
      </c>
      <c r="C2402" s="2">
        <v>2022</v>
      </c>
      <c r="D2402" s="10">
        <v>11</v>
      </c>
      <c r="E2402" s="10">
        <v>2</v>
      </c>
      <c r="F2402" t="s">
        <v>4546</v>
      </c>
      <c r="G2402">
        <v>100</v>
      </c>
      <c r="H2402" t="s">
        <v>69</v>
      </c>
      <c r="I2402" t="s">
        <v>150</v>
      </c>
      <c r="J2402" s="10" t="str">
        <f>VLOOKUP(I2402,Categories!A:B,2,FALSE)</f>
        <v xml:space="preserve">Food &amp; Coff</v>
      </c>
      <c r="K2402" t="s">
        <v>2317</v>
      </c>
      <c r="L2402" s="10" t="str">
        <f>VLOOKUP(K2402,Accounts!A:B,2,FALSE)</f>
        <v xml:space="preserve">Marriage account</v>
      </c>
      <c r="M2402" t="s">
        <v>124</v>
      </c>
      <c r="N2402" s="10"/>
      <c r="O2402" t="s">
        <v>3852</v>
      </c>
      <c r="Q2402" t="s">
        <v>126</v>
      </c>
      <c r="R2402" t="s">
        <v>124</v>
      </c>
      <c r="S2402" t="b">
        <v>0</v>
      </c>
      <c r="T2402" t="s">
        <v>124</v>
      </c>
    </row>
    <row r="2403">
      <c r="A2403" t="s">
        <v>4547</v>
      </c>
      <c r="B2403" t="s">
        <v>4543</v>
      </c>
      <c r="C2403" s="2">
        <v>2022</v>
      </c>
      <c r="D2403" s="10">
        <v>11</v>
      </c>
      <c r="E2403" s="10">
        <v>2</v>
      </c>
      <c r="F2403" t="s">
        <v>603</v>
      </c>
      <c r="G2403">
        <v>48</v>
      </c>
      <c r="H2403" t="s">
        <v>69</v>
      </c>
      <c r="I2403" t="s">
        <v>150</v>
      </c>
      <c r="J2403" s="10" t="str">
        <f>VLOOKUP(I2403,Categories!A:B,2,FALSE)</f>
        <v xml:space="preserve">Food &amp; Coff</v>
      </c>
      <c r="K2403" t="s">
        <v>178</v>
      </c>
      <c r="L2403" s="10" t="str">
        <f>VLOOKUP(K2403,Accounts!A:B,2,FALSE)</f>
        <v>SCB</v>
      </c>
      <c r="M2403" t="s">
        <v>124</v>
      </c>
      <c r="N2403" s="10"/>
      <c r="O2403" t="s">
        <v>125</v>
      </c>
      <c r="Q2403" t="s">
        <v>126</v>
      </c>
      <c r="R2403" t="s">
        <v>124</v>
      </c>
      <c r="S2403" t="b">
        <v>0</v>
      </c>
      <c r="T2403" t="s">
        <v>124</v>
      </c>
    </row>
    <row r="2404">
      <c r="A2404" t="s">
        <v>4548</v>
      </c>
      <c r="B2404" t="s">
        <v>4543</v>
      </c>
      <c r="C2404" s="2">
        <v>2022</v>
      </c>
      <c r="D2404" s="10">
        <v>11</v>
      </c>
      <c r="E2404" s="10">
        <v>2</v>
      </c>
      <c r="F2404" t="s">
        <v>603</v>
      </c>
      <c r="G2404">
        <v>50</v>
      </c>
      <c r="H2404" t="s">
        <v>69</v>
      </c>
      <c r="I2404" t="s">
        <v>150</v>
      </c>
      <c r="J2404" s="10" t="str">
        <f>VLOOKUP(I2404,Categories!A:B,2,FALSE)</f>
        <v xml:space="preserve">Food &amp; Coff</v>
      </c>
      <c r="K2404" t="s">
        <v>178</v>
      </c>
      <c r="L2404" s="10" t="str">
        <f>VLOOKUP(K2404,Accounts!A:B,2,FALSE)</f>
        <v>SCB</v>
      </c>
      <c r="M2404" t="s">
        <v>124</v>
      </c>
      <c r="N2404" s="10"/>
      <c r="O2404" t="s">
        <v>125</v>
      </c>
      <c r="Q2404" t="s">
        <v>126</v>
      </c>
      <c r="R2404" t="s">
        <v>124</v>
      </c>
      <c r="S2404" t="b">
        <v>0</v>
      </c>
      <c r="T2404" t="s">
        <v>124</v>
      </c>
    </row>
    <row r="2405">
      <c r="A2405" t="s">
        <v>4549</v>
      </c>
      <c r="B2405" t="s">
        <v>4550</v>
      </c>
      <c r="C2405" s="2">
        <v>2022</v>
      </c>
      <c r="D2405" s="10">
        <v>11</v>
      </c>
      <c r="E2405" s="10">
        <v>1</v>
      </c>
      <c r="F2405" t="s">
        <v>121</v>
      </c>
      <c r="G2405">
        <v>10000</v>
      </c>
      <c r="H2405" t="s">
        <v>128</v>
      </c>
      <c r="I2405" t="s">
        <v>136</v>
      </c>
      <c r="J2405" s="10" t="str">
        <f>VLOOKUP(I2405,Categories!A:B,2,FALSE)</f>
        <v>อื่นๆ</v>
      </c>
      <c r="K2405" t="s">
        <v>178</v>
      </c>
      <c r="L2405" s="10" t="str">
        <f>VLOOKUP(K2405,Accounts!A:B,2,FALSE)</f>
        <v>SCB</v>
      </c>
      <c r="M2405" t="s">
        <v>2317</v>
      </c>
      <c r="N2405" s="10" t="str">
        <f>VLOOKUP(M2405,Accounts!A:B,2,FALSE)</f>
        <v xml:space="preserve">Marriage account</v>
      </c>
      <c r="O2405" t="s">
        <v>125</v>
      </c>
      <c r="Q2405" t="s">
        <v>126</v>
      </c>
      <c r="R2405" t="s">
        <v>124</v>
      </c>
      <c r="S2405" t="b">
        <v>0</v>
      </c>
      <c r="T2405" t="s">
        <v>124</v>
      </c>
    </row>
    <row r="2406">
      <c r="A2406" t="s">
        <v>4551</v>
      </c>
      <c r="B2406" t="s">
        <v>4550</v>
      </c>
      <c r="C2406" s="2">
        <v>2022</v>
      </c>
      <c r="D2406" s="10">
        <v>11</v>
      </c>
      <c r="E2406" s="10">
        <v>1</v>
      </c>
      <c r="F2406" t="s">
        <v>999</v>
      </c>
      <c r="G2406">
        <v>1011</v>
      </c>
      <c r="H2406" t="s">
        <v>69</v>
      </c>
      <c r="I2406" t="s">
        <v>150</v>
      </c>
      <c r="J2406" s="10" t="str">
        <f>VLOOKUP(I2406,Categories!A:B,2,FALSE)</f>
        <v xml:space="preserve">Food &amp; Coff</v>
      </c>
      <c r="K2406" t="s">
        <v>2317</v>
      </c>
      <c r="L2406" s="10" t="str">
        <f>VLOOKUP(K2406,Accounts!A:B,2,FALSE)</f>
        <v xml:space="preserve">Marriage account</v>
      </c>
      <c r="M2406" t="s">
        <v>124</v>
      </c>
      <c r="N2406" s="10"/>
      <c r="O2406" t="s">
        <v>4552</v>
      </c>
      <c r="Q2406" t="s">
        <v>126</v>
      </c>
      <c r="R2406" t="s">
        <v>124</v>
      </c>
      <c r="S2406" t="b">
        <v>0</v>
      </c>
      <c r="T2406" t="s">
        <v>124</v>
      </c>
    </row>
    <row r="2407">
      <c r="A2407" t="s">
        <v>4553</v>
      </c>
      <c r="B2407" t="s">
        <v>4550</v>
      </c>
      <c r="C2407" s="2">
        <v>2022</v>
      </c>
      <c r="D2407" s="10">
        <v>11</v>
      </c>
      <c r="E2407" s="10">
        <v>1</v>
      </c>
      <c r="F2407" t="s">
        <v>4098</v>
      </c>
      <c r="G2407">
        <v>167</v>
      </c>
      <c r="H2407" t="s">
        <v>128</v>
      </c>
      <c r="I2407" t="s">
        <v>136</v>
      </c>
      <c r="J2407" s="10" t="str">
        <f>VLOOKUP(I2407,Categories!A:B,2,FALSE)</f>
        <v>อื่นๆ</v>
      </c>
      <c r="K2407" t="s">
        <v>893</v>
      </c>
      <c r="L2407" s="10" t="str">
        <f>VLOOKUP(K2407,Accounts!A:B,2,FALSE)</f>
        <v>Shopee</v>
      </c>
      <c r="M2407" t="s">
        <v>131</v>
      </c>
      <c r="N2407" s="10" t="str">
        <f>VLOOKUP(M2407,Accounts!A:B,2,FALSE)</f>
        <v xml:space="preserve">Advance Paid</v>
      </c>
      <c r="O2407" t="s">
        <v>125</v>
      </c>
      <c r="Q2407" t="s">
        <v>126</v>
      </c>
      <c r="R2407" t="s">
        <v>124</v>
      </c>
      <c r="S2407" t="b">
        <v>0</v>
      </c>
      <c r="T2407" t="s">
        <v>124</v>
      </c>
    </row>
    <row r="2408">
      <c r="A2408" t="s">
        <v>4554</v>
      </c>
      <c r="B2408" t="s">
        <v>4550</v>
      </c>
      <c r="C2408" s="2">
        <v>2022</v>
      </c>
      <c r="D2408" s="10">
        <v>11</v>
      </c>
      <c r="E2408" s="10">
        <v>1</v>
      </c>
      <c r="F2408" t="s">
        <v>4308</v>
      </c>
      <c r="G2408">
        <v>4294.54</v>
      </c>
      <c r="H2408" t="s">
        <v>69</v>
      </c>
      <c r="I2408" t="s">
        <v>139</v>
      </c>
      <c r="J2408" s="10" t="str">
        <f>VLOOKUP(I2408,Categories!A:B,2,FALSE)</f>
        <v>Condo</v>
      </c>
      <c r="K2408" t="s">
        <v>178</v>
      </c>
      <c r="L2408" s="10" t="str">
        <f>VLOOKUP(K2408,Accounts!A:B,2,FALSE)</f>
        <v>SCB</v>
      </c>
      <c r="M2408" t="s">
        <v>124</v>
      </c>
      <c r="N2408" s="10"/>
      <c r="O2408" t="s">
        <v>125</v>
      </c>
      <c r="Q2408" t="s">
        <v>126</v>
      </c>
      <c r="R2408" t="s">
        <v>124</v>
      </c>
      <c r="S2408" t="b">
        <v>0</v>
      </c>
      <c r="T2408" t="s">
        <v>124</v>
      </c>
    </row>
    <row r="2409">
      <c r="A2409" t="s">
        <v>4555</v>
      </c>
      <c r="B2409" t="s">
        <v>4550</v>
      </c>
      <c r="C2409" s="2">
        <v>2022</v>
      </c>
      <c r="D2409" s="10">
        <v>11</v>
      </c>
      <c r="E2409" s="10">
        <v>1</v>
      </c>
      <c r="F2409" t="s">
        <v>4556</v>
      </c>
      <c r="G2409">
        <v>300</v>
      </c>
      <c r="H2409" t="s">
        <v>128</v>
      </c>
      <c r="I2409" t="s">
        <v>136</v>
      </c>
      <c r="J2409" s="10" t="str">
        <f>VLOOKUP(I2409,Categories!A:B,2,FALSE)</f>
        <v>อื่นๆ</v>
      </c>
      <c r="K2409" t="s">
        <v>178</v>
      </c>
      <c r="L2409" s="10" t="str">
        <f>VLOOKUP(K2409,Accounts!A:B,2,FALSE)</f>
        <v>SCB</v>
      </c>
      <c r="M2409" t="s">
        <v>893</v>
      </c>
      <c r="N2409" s="10" t="str">
        <f>VLOOKUP(M2409,Accounts!A:B,2,FALSE)</f>
        <v>Shopee</v>
      </c>
      <c r="O2409" t="s">
        <v>125</v>
      </c>
      <c r="Q2409" t="s">
        <v>126</v>
      </c>
      <c r="R2409" t="s">
        <v>124</v>
      </c>
      <c r="S2409" t="b">
        <v>0</v>
      </c>
      <c r="T2409" t="s">
        <v>124</v>
      </c>
    </row>
    <row r="2410">
      <c r="A2410" t="s">
        <v>4557</v>
      </c>
      <c r="B2410" t="s">
        <v>4550</v>
      </c>
      <c r="C2410" s="2">
        <v>2022</v>
      </c>
      <c r="D2410" s="10">
        <v>11</v>
      </c>
      <c r="E2410" s="10">
        <v>1</v>
      </c>
      <c r="F2410" t="s">
        <v>1513</v>
      </c>
      <c r="G2410">
        <v>10000</v>
      </c>
      <c r="H2410" t="s">
        <v>206</v>
      </c>
      <c r="I2410" t="s">
        <v>207</v>
      </c>
      <c r="J2410" s="10" t="str">
        <f>VLOOKUP(I2410,Categories!A:B,2,FALSE)</f>
        <v>Salary</v>
      </c>
      <c r="K2410" t="s">
        <v>2317</v>
      </c>
      <c r="L2410" s="10" t="str">
        <f>VLOOKUP(K2410,Accounts!A:B,2,FALSE)</f>
        <v xml:space="preserve">Marriage account</v>
      </c>
      <c r="M2410" t="s">
        <v>124</v>
      </c>
      <c r="N2410" s="10"/>
      <c r="O2410" t="s">
        <v>125</v>
      </c>
      <c r="Q2410" t="s">
        <v>126</v>
      </c>
      <c r="R2410" t="s">
        <v>124</v>
      </c>
      <c r="S2410" t="b">
        <v>0</v>
      </c>
      <c r="T2410" t="s">
        <v>124</v>
      </c>
    </row>
    <row r="2411">
      <c r="A2411" t="s">
        <v>4558</v>
      </c>
      <c r="B2411" t="s">
        <v>4550</v>
      </c>
      <c r="C2411" s="2">
        <v>2022</v>
      </c>
      <c r="D2411" s="10">
        <v>11</v>
      </c>
      <c r="E2411" s="10">
        <v>1</v>
      </c>
      <c r="F2411" t="s">
        <v>337</v>
      </c>
      <c r="G2411">
        <v>50</v>
      </c>
      <c r="H2411" t="s">
        <v>69</v>
      </c>
      <c r="I2411" t="s">
        <v>150</v>
      </c>
      <c r="J2411" s="10" t="str">
        <f>VLOOKUP(I2411,Categories!A:B,2,FALSE)</f>
        <v xml:space="preserve">Food &amp; Coff</v>
      </c>
      <c r="K2411" t="s">
        <v>178</v>
      </c>
      <c r="L2411" s="10" t="str">
        <f>VLOOKUP(K2411,Accounts!A:B,2,FALSE)</f>
        <v>SCB</v>
      </c>
      <c r="M2411" t="s">
        <v>124</v>
      </c>
      <c r="N2411" s="10"/>
      <c r="O2411" t="s">
        <v>125</v>
      </c>
      <c r="Q2411" t="s">
        <v>126</v>
      </c>
      <c r="R2411" t="s">
        <v>124</v>
      </c>
      <c r="S2411" t="b">
        <v>0</v>
      </c>
      <c r="T2411" t="s">
        <v>124</v>
      </c>
    </row>
    <row r="2412">
      <c r="A2412" t="s">
        <v>4559</v>
      </c>
      <c r="B2412" t="s">
        <v>4560</v>
      </c>
      <c r="C2412" s="2">
        <v>2022</v>
      </c>
      <c r="D2412" s="10">
        <v>10</v>
      </c>
      <c r="E2412" s="10">
        <v>31</v>
      </c>
      <c r="F2412" t="s">
        <v>3314</v>
      </c>
      <c r="G2412">
        <v>50</v>
      </c>
      <c r="H2412" t="s">
        <v>69</v>
      </c>
      <c r="I2412" t="s">
        <v>150</v>
      </c>
      <c r="J2412" s="10" t="str">
        <f>VLOOKUP(I2412,Categories!A:B,2,FALSE)</f>
        <v xml:space="preserve">Food &amp; Coff</v>
      </c>
      <c r="K2412" t="s">
        <v>178</v>
      </c>
      <c r="L2412" s="10" t="str">
        <f>VLOOKUP(K2412,Accounts!A:B,2,FALSE)</f>
        <v>SCB</v>
      </c>
      <c r="M2412" t="s">
        <v>124</v>
      </c>
      <c r="N2412" s="10"/>
      <c r="O2412" t="s">
        <v>125</v>
      </c>
      <c r="Q2412" t="s">
        <v>126</v>
      </c>
      <c r="R2412" t="s">
        <v>124</v>
      </c>
      <c r="S2412" t="b">
        <v>0</v>
      </c>
      <c r="T2412" t="s">
        <v>124</v>
      </c>
    </row>
    <row r="2413">
      <c r="A2413" t="s">
        <v>4561</v>
      </c>
      <c r="B2413" t="s">
        <v>4560</v>
      </c>
      <c r="C2413" s="2">
        <v>2022</v>
      </c>
      <c r="D2413" s="10">
        <v>10</v>
      </c>
      <c r="E2413" s="10">
        <v>31</v>
      </c>
      <c r="F2413" t="s">
        <v>3099</v>
      </c>
      <c r="G2413">
        <v>5000</v>
      </c>
      <c r="H2413" t="s">
        <v>69</v>
      </c>
      <c r="I2413" t="s">
        <v>259</v>
      </c>
      <c r="J2413" s="10" t="str">
        <f>VLOOKUP(I2413,Categories!A:B,2,FALSE)</f>
        <v xml:space="preserve">Team BOT</v>
      </c>
      <c r="K2413" t="s">
        <v>178</v>
      </c>
      <c r="L2413" s="10" t="str">
        <f>VLOOKUP(K2413,Accounts!A:B,2,FALSE)</f>
        <v>SCB</v>
      </c>
      <c r="M2413" t="s">
        <v>124</v>
      </c>
      <c r="N2413" s="10"/>
      <c r="O2413" t="s">
        <v>4562</v>
      </c>
      <c r="Q2413" t="s">
        <v>126</v>
      </c>
      <c r="R2413" t="s">
        <v>124</v>
      </c>
      <c r="S2413" t="b">
        <v>0</v>
      </c>
      <c r="T2413" t="s">
        <v>124</v>
      </c>
    </row>
    <row r="2414">
      <c r="A2414" t="s">
        <v>4563</v>
      </c>
      <c r="B2414" t="s">
        <v>4560</v>
      </c>
      <c r="C2414" s="2">
        <v>2022</v>
      </c>
      <c r="D2414" s="10">
        <v>10</v>
      </c>
      <c r="E2414" s="10">
        <v>31</v>
      </c>
      <c r="F2414" t="s">
        <v>4564</v>
      </c>
      <c r="G2414">
        <v>50</v>
      </c>
      <c r="H2414" t="s">
        <v>69</v>
      </c>
      <c r="I2414" t="s">
        <v>150</v>
      </c>
      <c r="J2414" s="10" t="str">
        <f>VLOOKUP(I2414,Categories!A:B,2,FALSE)</f>
        <v xml:space="preserve">Food &amp; Coff</v>
      </c>
      <c r="K2414" t="s">
        <v>178</v>
      </c>
      <c r="L2414" s="10" t="str">
        <f>VLOOKUP(K2414,Accounts!A:B,2,FALSE)</f>
        <v>SCB</v>
      </c>
      <c r="M2414" t="s">
        <v>124</v>
      </c>
      <c r="N2414" s="10"/>
      <c r="O2414" t="s">
        <v>125</v>
      </c>
      <c r="Q2414" t="s">
        <v>126</v>
      </c>
      <c r="R2414" t="s">
        <v>124</v>
      </c>
      <c r="S2414" t="b">
        <v>0</v>
      </c>
      <c r="T2414" t="s">
        <v>124</v>
      </c>
    </row>
    <row r="2415">
      <c r="A2415" t="s">
        <v>4565</v>
      </c>
      <c r="B2415" t="s">
        <v>4560</v>
      </c>
      <c r="C2415" s="2">
        <v>2022</v>
      </c>
      <c r="D2415" s="10">
        <v>10</v>
      </c>
      <c r="E2415" s="10">
        <v>31</v>
      </c>
      <c r="F2415" t="s">
        <v>4383</v>
      </c>
      <c r="G2415">
        <v>72</v>
      </c>
      <c r="H2415" t="s">
        <v>69</v>
      </c>
      <c r="I2415" t="s">
        <v>150</v>
      </c>
      <c r="J2415" s="10" t="str">
        <f>VLOOKUP(I2415,Categories!A:B,2,FALSE)</f>
        <v xml:space="preserve">Food &amp; Coff</v>
      </c>
      <c r="K2415" t="s">
        <v>178</v>
      </c>
      <c r="L2415" s="10" t="str">
        <f>VLOOKUP(K2415,Accounts!A:B,2,FALSE)</f>
        <v>SCB</v>
      </c>
      <c r="M2415" t="s">
        <v>124</v>
      </c>
      <c r="N2415" s="10"/>
      <c r="O2415" t="s">
        <v>125</v>
      </c>
      <c r="Q2415" t="s">
        <v>126</v>
      </c>
      <c r="R2415" t="s">
        <v>124</v>
      </c>
      <c r="S2415" t="b">
        <v>0</v>
      </c>
      <c r="T2415" t="s">
        <v>124</v>
      </c>
    </row>
    <row r="2416">
      <c r="A2416" t="s">
        <v>4566</v>
      </c>
      <c r="B2416" t="s">
        <v>4560</v>
      </c>
      <c r="C2416" s="2">
        <v>2022</v>
      </c>
      <c r="D2416" s="10">
        <v>10</v>
      </c>
      <c r="E2416" s="10">
        <v>31</v>
      </c>
      <c r="F2416" t="s">
        <v>1416</v>
      </c>
      <c r="G2416">
        <v>1000</v>
      </c>
      <c r="H2416" t="s">
        <v>69</v>
      </c>
      <c r="I2416" t="s">
        <v>338</v>
      </c>
      <c r="J2416" s="10" t="str">
        <f>VLOOKUP(I2416,Categories!A:B,2,FALSE)</f>
        <v>Trips</v>
      </c>
      <c r="K2416" t="s">
        <v>178</v>
      </c>
      <c r="L2416" s="10" t="str">
        <f>VLOOKUP(K2416,Accounts!A:B,2,FALSE)</f>
        <v>SCB</v>
      </c>
      <c r="M2416" t="s">
        <v>124</v>
      </c>
      <c r="N2416" s="10"/>
      <c r="O2416" t="s">
        <v>4562</v>
      </c>
      <c r="Q2416" t="s">
        <v>126</v>
      </c>
      <c r="R2416" t="s">
        <v>124</v>
      </c>
      <c r="S2416" t="b">
        <v>0</v>
      </c>
      <c r="T2416" t="s">
        <v>124</v>
      </c>
    </row>
    <row r="2417">
      <c r="A2417" t="s">
        <v>4567</v>
      </c>
      <c r="B2417" t="s">
        <v>4560</v>
      </c>
      <c r="C2417" s="2">
        <v>2022</v>
      </c>
      <c r="D2417" s="10">
        <v>10</v>
      </c>
      <c r="E2417" s="10">
        <v>31</v>
      </c>
      <c r="F2417" t="s">
        <v>489</v>
      </c>
      <c r="G2417">
        <v>69</v>
      </c>
      <c r="H2417" t="s">
        <v>69</v>
      </c>
      <c r="I2417" t="s">
        <v>150</v>
      </c>
      <c r="J2417" s="10" t="str">
        <f>VLOOKUP(I2417,Categories!A:B,2,FALSE)</f>
        <v xml:space="preserve">Food &amp; Coff</v>
      </c>
      <c r="K2417" t="s">
        <v>2317</v>
      </c>
      <c r="L2417" s="10" t="str">
        <f>VLOOKUP(K2417,Accounts!A:B,2,FALSE)</f>
        <v xml:space="preserve">Marriage account</v>
      </c>
      <c r="M2417" t="s">
        <v>124</v>
      </c>
      <c r="N2417" s="10"/>
      <c r="O2417" t="s">
        <v>125</v>
      </c>
      <c r="Q2417" t="s">
        <v>126</v>
      </c>
      <c r="R2417" t="s">
        <v>124</v>
      </c>
      <c r="S2417" t="b">
        <v>0</v>
      </c>
      <c r="T2417" t="s">
        <v>124</v>
      </c>
    </row>
    <row r="2418">
      <c r="A2418" t="s">
        <v>4568</v>
      </c>
      <c r="B2418" t="s">
        <v>4560</v>
      </c>
      <c r="C2418" s="2">
        <v>2022</v>
      </c>
      <c r="D2418" s="10">
        <v>10</v>
      </c>
      <c r="E2418" s="10">
        <v>31</v>
      </c>
      <c r="F2418" t="s">
        <v>1837</v>
      </c>
      <c r="G2418">
        <v>138</v>
      </c>
      <c r="H2418" t="s">
        <v>69</v>
      </c>
      <c r="I2418" t="s">
        <v>338</v>
      </c>
      <c r="J2418" s="10" t="str">
        <f>VLOOKUP(I2418,Categories!A:B,2,FALSE)</f>
        <v>Trips</v>
      </c>
      <c r="K2418" t="s">
        <v>178</v>
      </c>
      <c r="L2418" s="10" t="str">
        <f>VLOOKUP(K2418,Accounts!A:B,2,FALSE)</f>
        <v>SCB</v>
      </c>
      <c r="M2418" t="s">
        <v>124</v>
      </c>
      <c r="N2418" s="10"/>
      <c r="O2418" t="s">
        <v>125</v>
      </c>
      <c r="Q2418" t="s">
        <v>126</v>
      </c>
      <c r="R2418" t="s">
        <v>124</v>
      </c>
      <c r="S2418" t="b">
        <v>0</v>
      </c>
      <c r="T2418" t="s">
        <v>124</v>
      </c>
    </row>
    <row r="2419">
      <c r="A2419" t="s">
        <v>4569</v>
      </c>
      <c r="B2419" t="s">
        <v>4560</v>
      </c>
      <c r="C2419" s="2">
        <v>2022</v>
      </c>
      <c r="D2419" s="10">
        <v>10</v>
      </c>
      <c r="E2419" s="10">
        <v>31</v>
      </c>
      <c r="F2419" t="s">
        <v>4570</v>
      </c>
      <c r="G2419">
        <v>1496</v>
      </c>
      <c r="H2419" t="s">
        <v>69</v>
      </c>
      <c r="I2419" t="s">
        <v>150</v>
      </c>
      <c r="J2419" s="10" t="str">
        <f>VLOOKUP(I2419,Categories!A:B,2,FALSE)</f>
        <v xml:space="preserve">Food &amp; Coff</v>
      </c>
      <c r="K2419" t="s">
        <v>2317</v>
      </c>
      <c r="L2419" s="10" t="str">
        <f>VLOOKUP(K2419,Accounts!A:B,2,FALSE)</f>
        <v xml:space="preserve">Marriage account</v>
      </c>
      <c r="M2419" t="s">
        <v>124</v>
      </c>
      <c r="N2419" s="10"/>
      <c r="O2419" t="s">
        <v>4571</v>
      </c>
      <c r="Q2419" t="s">
        <v>126</v>
      </c>
      <c r="R2419" t="s">
        <v>124</v>
      </c>
      <c r="S2419" t="b">
        <v>0</v>
      </c>
      <c r="T2419" t="s">
        <v>124</v>
      </c>
    </row>
    <row r="2420">
      <c r="A2420" t="s">
        <v>4572</v>
      </c>
      <c r="B2420" t="s">
        <v>4560</v>
      </c>
      <c r="C2420" s="2">
        <v>2022</v>
      </c>
      <c r="D2420" s="10">
        <v>10</v>
      </c>
      <c r="E2420" s="10">
        <v>31</v>
      </c>
      <c r="F2420" t="s">
        <v>4573</v>
      </c>
      <c r="G2420">
        <v>10000</v>
      </c>
      <c r="H2420" t="s">
        <v>128</v>
      </c>
      <c r="I2420" t="s">
        <v>136</v>
      </c>
      <c r="J2420" s="10" t="str">
        <f>VLOOKUP(I2420,Categories!A:B,2,FALSE)</f>
        <v>อื่นๆ</v>
      </c>
      <c r="K2420" t="s">
        <v>3248</v>
      </c>
      <c r="L2420" s="10" t="str">
        <f>VLOOKUP(K2420,Accounts!A:B,2,FALSE)</f>
        <v>Loan</v>
      </c>
      <c r="M2420" t="s">
        <v>178</v>
      </c>
      <c r="N2420" s="10" t="str">
        <f>VLOOKUP(M2420,Accounts!A:B,2,FALSE)</f>
        <v>SCB</v>
      </c>
      <c r="O2420" t="s">
        <v>3249</v>
      </c>
      <c r="Q2420" t="s">
        <v>126</v>
      </c>
      <c r="R2420" t="s">
        <v>124</v>
      </c>
      <c r="S2420" t="b">
        <v>0</v>
      </c>
      <c r="T2420" t="s">
        <v>124</v>
      </c>
    </row>
    <row r="2421">
      <c r="A2421" t="s">
        <v>4574</v>
      </c>
      <c r="B2421" t="s">
        <v>4575</v>
      </c>
      <c r="C2421" s="2">
        <v>2022</v>
      </c>
      <c r="D2421" s="10">
        <v>10</v>
      </c>
      <c r="E2421" s="10">
        <v>30</v>
      </c>
      <c r="F2421" t="s">
        <v>2445</v>
      </c>
      <c r="G2421">
        <v>80</v>
      </c>
      <c r="H2421" t="s">
        <v>69</v>
      </c>
      <c r="I2421" t="s">
        <v>150</v>
      </c>
      <c r="J2421" s="10" t="str">
        <f>VLOOKUP(I2421,Categories!A:B,2,FALSE)</f>
        <v xml:space="preserve">Food &amp; Coff</v>
      </c>
      <c r="K2421" t="s">
        <v>178</v>
      </c>
      <c r="L2421" s="10" t="str">
        <f>VLOOKUP(K2421,Accounts!A:B,2,FALSE)</f>
        <v>SCB</v>
      </c>
      <c r="M2421" t="s">
        <v>124</v>
      </c>
      <c r="N2421" s="10"/>
      <c r="O2421" t="s">
        <v>125</v>
      </c>
      <c r="Q2421" t="s">
        <v>126</v>
      </c>
      <c r="R2421" t="s">
        <v>124</v>
      </c>
      <c r="S2421" t="b">
        <v>0</v>
      </c>
      <c r="T2421" t="s">
        <v>124</v>
      </c>
    </row>
    <row r="2422">
      <c r="A2422" t="s">
        <v>4576</v>
      </c>
      <c r="B2422" t="s">
        <v>4575</v>
      </c>
      <c r="C2422" s="2">
        <v>2022</v>
      </c>
      <c r="D2422" s="10">
        <v>10</v>
      </c>
      <c r="E2422" s="10">
        <v>30</v>
      </c>
      <c r="F2422" t="s">
        <v>4577</v>
      </c>
      <c r="G2422">
        <v>110</v>
      </c>
      <c r="H2422" t="s">
        <v>69</v>
      </c>
      <c r="I2422" t="s">
        <v>150</v>
      </c>
      <c r="J2422" s="10" t="str">
        <f>VLOOKUP(I2422,Categories!A:B,2,FALSE)</f>
        <v xml:space="preserve">Food &amp; Coff</v>
      </c>
      <c r="K2422" t="s">
        <v>2317</v>
      </c>
      <c r="L2422" s="10" t="str">
        <f>VLOOKUP(K2422,Accounts!A:B,2,FALSE)</f>
        <v xml:space="preserve">Marriage account</v>
      </c>
      <c r="M2422" t="s">
        <v>124</v>
      </c>
      <c r="N2422" s="10"/>
      <c r="O2422" t="s">
        <v>125</v>
      </c>
      <c r="Q2422" t="s">
        <v>126</v>
      </c>
      <c r="R2422" t="s">
        <v>124</v>
      </c>
      <c r="S2422" t="b">
        <v>0</v>
      </c>
      <c r="T2422" t="s">
        <v>124</v>
      </c>
    </row>
    <row r="2423">
      <c r="A2423" t="s">
        <v>4578</v>
      </c>
      <c r="B2423" t="s">
        <v>4575</v>
      </c>
      <c r="C2423" s="2">
        <v>2022</v>
      </c>
      <c r="D2423" s="10">
        <v>10</v>
      </c>
      <c r="E2423" s="10">
        <v>30</v>
      </c>
      <c r="F2423" t="s">
        <v>308</v>
      </c>
      <c r="G2423">
        <v>130</v>
      </c>
      <c r="H2423" t="s">
        <v>69</v>
      </c>
      <c r="I2423" t="s">
        <v>1508</v>
      </c>
      <c r="J2423" s="10" t="str">
        <f>VLOOKUP(I2423,Categories!A:B,2,FALSE)</f>
        <v>Other</v>
      </c>
      <c r="K2423" t="s">
        <v>178</v>
      </c>
      <c r="L2423" s="10" t="str">
        <f>VLOOKUP(K2423,Accounts!A:B,2,FALSE)</f>
        <v>SCB</v>
      </c>
      <c r="M2423" t="s">
        <v>124</v>
      </c>
      <c r="N2423" s="10"/>
      <c r="O2423" t="s">
        <v>125</v>
      </c>
      <c r="Q2423" t="s">
        <v>126</v>
      </c>
      <c r="R2423" t="s">
        <v>124</v>
      </c>
      <c r="S2423" t="b">
        <v>0</v>
      </c>
      <c r="T2423" t="s">
        <v>124</v>
      </c>
    </row>
    <row r="2424">
      <c r="A2424" t="s">
        <v>4579</v>
      </c>
      <c r="B2424" t="s">
        <v>4575</v>
      </c>
      <c r="C2424" s="2">
        <v>2022</v>
      </c>
      <c r="D2424" s="10">
        <v>10</v>
      </c>
      <c r="E2424" s="10">
        <v>30</v>
      </c>
      <c r="F2424" t="s">
        <v>458</v>
      </c>
      <c r="G2424">
        <v>3190</v>
      </c>
      <c r="H2424" t="s">
        <v>128</v>
      </c>
      <c r="I2424" t="s">
        <v>136</v>
      </c>
      <c r="J2424" s="10" t="str">
        <f>VLOOKUP(I2424,Categories!A:B,2,FALSE)</f>
        <v>อื่นๆ</v>
      </c>
      <c r="K2424" t="s">
        <v>178</v>
      </c>
      <c r="L2424" s="10" t="str">
        <f>VLOOKUP(K2424,Accounts!A:B,2,FALSE)</f>
        <v>SCB</v>
      </c>
      <c r="M2424" t="s">
        <v>2862</v>
      </c>
      <c r="N2424" s="10" t="str">
        <f>VLOOKUP(M2424,Accounts!A:B,2,FALSE)</f>
        <v xml:space="preserve">Kbank onesiam</v>
      </c>
      <c r="O2424" t="s">
        <v>125</v>
      </c>
      <c r="Q2424" t="s">
        <v>126</v>
      </c>
      <c r="R2424" t="s">
        <v>124</v>
      </c>
      <c r="S2424" t="b">
        <v>0</v>
      </c>
      <c r="T2424" t="s">
        <v>124</v>
      </c>
    </row>
    <row r="2425">
      <c r="A2425" t="s">
        <v>4580</v>
      </c>
      <c r="B2425" t="s">
        <v>4575</v>
      </c>
      <c r="C2425" s="2">
        <v>2022</v>
      </c>
      <c r="D2425" s="10">
        <v>10</v>
      </c>
      <c r="E2425" s="10">
        <v>30</v>
      </c>
      <c r="F2425" t="s">
        <v>1846</v>
      </c>
      <c r="G2425">
        <v>1800</v>
      </c>
      <c r="H2425" t="s">
        <v>69</v>
      </c>
      <c r="I2425" t="s">
        <v>160</v>
      </c>
      <c r="J2425" s="10" t="str">
        <f>VLOOKUP(I2425,Categories!A:B,2,FALSE)</f>
        <v>Fashion</v>
      </c>
      <c r="K2425" t="s">
        <v>178</v>
      </c>
      <c r="L2425" s="10" t="str">
        <f>VLOOKUP(K2425,Accounts!A:B,2,FALSE)</f>
        <v>SCB</v>
      </c>
      <c r="M2425" t="s">
        <v>124</v>
      </c>
      <c r="N2425" s="10"/>
      <c r="O2425" t="s">
        <v>125</v>
      </c>
      <c r="Q2425" t="s">
        <v>126</v>
      </c>
      <c r="R2425" t="s">
        <v>124</v>
      </c>
      <c r="S2425" t="b">
        <v>0</v>
      </c>
      <c r="T2425" t="s">
        <v>124</v>
      </c>
    </row>
    <row r="2426">
      <c r="A2426" t="s">
        <v>4581</v>
      </c>
      <c r="B2426" t="s">
        <v>4575</v>
      </c>
      <c r="C2426" s="2">
        <v>2022</v>
      </c>
      <c r="D2426" s="10">
        <v>10</v>
      </c>
      <c r="E2426" s="10">
        <v>30</v>
      </c>
      <c r="F2426" t="s">
        <v>1221</v>
      </c>
      <c r="G2426">
        <v>419</v>
      </c>
      <c r="H2426" t="s">
        <v>69</v>
      </c>
      <c r="I2426" t="s">
        <v>1903</v>
      </c>
      <c r="J2426" s="10" t="str">
        <f>VLOOKUP(I2426,Categories!A:B,2,FALSE)</f>
        <v xml:space="preserve">Monthly subscription</v>
      </c>
      <c r="K2426" t="s">
        <v>178</v>
      </c>
      <c r="L2426" s="10" t="str">
        <f>VLOOKUP(K2426,Accounts!A:B,2,FALSE)</f>
        <v>SCB</v>
      </c>
      <c r="M2426" t="s">
        <v>124</v>
      </c>
      <c r="N2426" s="10"/>
      <c r="O2426" t="s">
        <v>125</v>
      </c>
      <c r="Q2426" t="s">
        <v>126</v>
      </c>
      <c r="R2426" t="s">
        <v>124</v>
      </c>
      <c r="S2426" t="b">
        <v>0</v>
      </c>
      <c r="T2426" t="s">
        <v>124</v>
      </c>
    </row>
    <row r="2427">
      <c r="A2427" t="s">
        <v>4582</v>
      </c>
      <c r="B2427" t="s">
        <v>4575</v>
      </c>
      <c r="C2427" s="2">
        <v>2022</v>
      </c>
      <c r="D2427" s="10">
        <v>10</v>
      </c>
      <c r="E2427" s="10">
        <v>30</v>
      </c>
      <c r="F2427" t="s">
        <v>1190</v>
      </c>
      <c r="G2427">
        <v>7815.4200000000001</v>
      </c>
      <c r="H2427" t="s">
        <v>128</v>
      </c>
      <c r="I2427" t="s">
        <v>136</v>
      </c>
      <c r="J2427" s="10" t="str">
        <f>VLOOKUP(I2427,Categories!A:B,2,FALSE)</f>
        <v>อื่นๆ</v>
      </c>
      <c r="K2427" t="s">
        <v>123</v>
      </c>
      <c r="L2427" s="10" t="str">
        <f>VLOOKUP(K2427,Accounts!A:B,2,FALSE)</f>
        <v>KBank</v>
      </c>
      <c r="M2427" t="s">
        <v>131</v>
      </c>
      <c r="N2427" s="10" t="str">
        <f>VLOOKUP(M2427,Accounts!A:B,2,FALSE)</f>
        <v xml:space="preserve">Advance Paid</v>
      </c>
      <c r="O2427" t="s">
        <v>4583</v>
      </c>
      <c r="Q2427" t="s">
        <v>126</v>
      </c>
      <c r="R2427" t="s">
        <v>124</v>
      </c>
      <c r="S2427" t="b">
        <v>0</v>
      </c>
      <c r="T2427" t="s">
        <v>124</v>
      </c>
    </row>
    <row r="2428">
      <c r="A2428" t="s">
        <v>4584</v>
      </c>
      <c r="B2428" t="s">
        <v>4575</v>
      </c>
      <c r="C2428" s="2">
        <v>2022</v>
      </c>
      <c r="D2428" s="10">
        <v>10</v>
      </c>
      <c r="E2428" s="10">
        <v>30</v>
      </c>
      <c r="F2428" t="s">
        <v>234</v>
      </c>
      <c r="G2428">
        <v>3190</v>
      </c>
      <c r="H2428" t="s">
        <v>69</v>
      </c>
      <c r="I2428" t="s">
        <v>141</v>
      </c>
      <c r="J2428" s="10" t="str">
        <f>VLOOKUP(I2428,Categories!A:B,2,FALSE)</f>
        <v>Other</v>
      </c>
      <c r="K2428" t="s">
        <v>2862</v>
      </c>
      <c r="L2428" s="10" t="str">
        <f>VLOOKUP(K2428,Accounts!A:B,2,FALSE)</f>
        <v xml:space="preserve">Kbank onesiam</v>
      </c>
      <c r="M2428" t="s">
        <v>124</v>
      </c>
      <c r="N2428" s="10"/>
      <c r="O2428" t="s">
        <v>4585</v>
      </c>
      <c r="Q2428" t="s">
        <v>126</v>
      </c>
      <c r="R2428" t="s">
        <v>124</v>
      </c>
      <c r="S2428" t="b">
        <v>0</v>
      </c>
      <c r="T2428" t="s">
        <v>124</v>
      </c>
    </row>
    <row r="2429">
      <c r="A2429" t="s">
        <v>4586</v>
      </c>
      <c r="B2429" t="s">
        <v>4587</v>
      </c>
      <c r="C2429" s="2">
        <v>2022</v>
      </c>
      <c r="D2429" s="10">
        <v>10</v>
      </c>
      <c r="E2429" s="10">
        <v>29</v>
      </c>
      <c r="F2429" t="s">
        <v>4588</v>
      </c>
      <c r="G2429">
        <v>3999</v>
      </c>
      <c r="H2429" t="s">
        <v>206</v>
      </c>
      <c r="I2429" t="s">
        <v>281</v>
      </c>
      <c r="J2429" s="10" t="str">
        <f>VLOOKUP(I2429,Categories!A:B,2,FALSE)</f>
        <v>Others</v>
      </c>
      <c r="K2429" t="s">
        <v>178</v>
      </c>
      <c r="L2429" s="10" t="str">
        <f>VLOOKUP(K2429,Accounts!A:B,2,FALSE)</f>
        <v>SCB</v>
      </c>
      <c r="M2429" t="s">
        <v>124</v>
      </c>
      <c r="N2429" s="10"/>
      <c r="O2429" t="s">
        <v>4589</v>
      </c>
      <c r="Q2429" t="s">
        <v>126</v>
      </c>
      <c r="R2429" t="s">
        <v>124</v>
      </c>
      <c r="S2429" t="b">
        <v>0</v>
      </c>
      <c r="T2429" t="s">
        <v>124</v>
      </c>
    </row>
    <row r="2430">
      <c r="A2430" t="s">
        <v>4590</v>
      </c>
      <c r="B2430" t="s">
        <v>4587</v>
      </c>
      <c r="C2430" s="2">
        <v>2022</v>
      </c>
      <c r="D2430" s="10">
        <v>10</v>
      </c>
      <c r="E2430" s="10">
        <v>29</v>
      </c>
      <c r="F2430" t="s">
        <v>4591</v>
      </c>
      <c r="G2430">
        <v>100</v>
      </c>
      <c r="H2430" t="s">
        <v>69</v>
      </c>
      <c r="I2430" t="s">
        <v>160</v>
      </c>
      <c r="J2430" s="10" t="str">
        <f>VLOOKUP(I2430,Categories!A:B,2,FALSE)</f>
        <v>Fashion</v>
      </c>
      <c r="K2430" t="s">
        <v>178</v>
      </c>
      <c r="L2430" s="10" t="str">
        <f>VLOOKUP(K2430,Accounts!A:B,2,FALSE)</f>
        <v>SCB</v>
      </c>
      <c r="M2430" t="s">
        <v>124</v>
      </c>
      <c r="N2430" s="10"/>
      <c r="O2430" t="s">
        <v>4592</v>
      </c>
      <c r="Q2430" t="s">
        <v>126</v>
      </c>
      <c r="R2430" t="s">
        <v>124</v>
      </c>
      <c r="S2430" t="b">
        <v>0</v>
      </c>
      <c r="T2430" t="s">
        <v>124</v>
      </c>
    </row>
    <row r="2431">
      <c r="A2431" t="s">
        <v>4593</v>
      </c>
      <c r="B2431" t="s">
        <v>4587</v>
      </c>
      <c r="C2431" s="2">
        <v>2022</v>
      </c>
      <c r="D2431" s="10">
        <v>10</v>
      </c>
      <c r="E2431" s="10">
        <v>29</v>
      </c>
      <c r="F2431" t="s">
        <v>4594</v>
      </c>
      <c r="G2431">
        <v>100</v>
      </c>
      <c r="H2431" t="s">
        <v>69</v>
      </c>
      <c r="I2431" t="s">
        <v>150</v>
      </c>
      <c r="J2431" s="10" t="str">
        <f>VLOOKUP(I2431,Categories!A:B,2,FALSE)</f>
        <v xml:space="preserve">Food &amp; Coff</v>
      </c>
      <c r="K2431" t="s">
        <v>178</v>
      </c>
      <c r="L2431" s="10" t="str">
        <f>VLOOKUP(K2431,Accounts!A:B,2,FALSE)</f>
        <v>SCB</v>
      </c>
      <c r="M2431" t="s">
        <v>124</v>
      </c>
      <c r="N2431" s="10"/>
      <c r="O2431" t="s">
        <v>125</v>
      </c>
      <c r="Q2431" t="s">
        <v>126</v>
      </c>
      <c r="R2431" t="s">
        <v>124</v>
      </c>
      <c r="S2431" t="b">
        <v>0</v>
      </c>
      <c r="T2431" t="s">
        <v>124</v>
      </c>
    </row>
    <row r="2432">
      <c r="A2432" t="s">
        <v>4595</v>
      </c>
      <c r="B2432" t="s">
        <v>4587</v>
      </c>
      <c r="C2432" s="2">
        <v>2022</v>
      </c>
      <c r="D2432" s="10">
        <v>10</v>
      </c>
      <c r="E2432" s="10">
        <v>29</v>
      </c>
      <c r="F2432" t="s">
        <v>3301</v>
      </c>
      <c r="G2432">
        <v>316</v>
      </c>
      <c r="H2432" t="s">
        <v>69</v>
      </c>
      <c r="I2432" t="s">
        <v>338</v>
      </c>
      <c r="J2432" s="10" t="str">
        <f>VLOOKUP(I2432,Categories!A:B,2,FALSE)</f>
        <v>Trips</v>
      </c>
      <c r="K2432" t="s">
        <v>178</v>
      </c>
      <c r="L2432" s="10" t="str">
        <f>VLOOKUP(K2432,Accounts!A:B,2,FALSE)</f>
        <v>SCB</v>
      </c>
      <c r="M2432" t="s">
        <v>124</v>
      </c>
      <c r="N2432" s="10"/>
      <c r="O2432" t="s">
        <v>4596</v>
      </c>
      <c r="Q2432" t="s">
        <v>126</v>
      </c>
      <c r="R2432" t="s">
        <v>124</v>
      </c>
      <c r="S2432" t="b">
        <v>0</v>
      </c>
      <c r="T2432" t="s">
        <v>124</v>
      </c>
    </row>
    <row r="2433">
      <c r="A2433" t="s">
        <v>4597</v>
      </c>
      <c r="B2433" t="s">
        <v>4598</v>
      </c>
      <c r="C2433" s="2">
        <v>2022</v>
      </c>
      <c r="D2433" s="10">
        <v>10</v>
      </c>
      <c r="E2433" s="10">
        <v>28</v>
      </c>
      <c r="F2433" t="s">
        <v>1523</v>
      </c>
      <c r="G2433">
        <v>100</v>
      </c>
      <c r="H2433" t="s">
        <v>69</v>
      </c>
      <c r="I2433" t="s">
        <v>150</v>
      </c>
      <c r="J2433" s="10" t="str">
        <f>VLOOKUP(I2433,Categories!A:B,2,FALSE)</f>
        <v xml:space="preserve">Food &amp; Coff</v>
      </c>
      <c r="K2433" t="s">
        <v>178</v>
      </c>
      <c r="L2433" s="10" t="str">
        <f>VLOOKUP(K2433,Accounts!A:B,2,FALSE)</f>
        <v>SCB</v>
      </c>
      <c r="M2433" t="s">
        <v>124</v>
      </c>
      <c r="N2433" s="10"/>
      <c r="O2433" t="s">
        <v>125</v>
      </c>
      <c r="Q2433" t="s">
        <v>126</v>
      </c>
      <c r="R2433" t="s">
        <v>124</v>
      </c>
      <c r="S2433" t="b">
        <v>0</v>
      </c>
      <c r="T2433" t="s">
        <v>124</v>
      </c>
    </row>
    <row r="2434">
      <c r="A2434" t="s">
        <v>4599</v>
      </c>
      <c r="B2434" t="s">
        <v>4598</v>
      </c>
      <c r="C2434" s="2">
        <v>2022</v>
      </c>
      <c r="D2434" s="10">
        <v>10</v>
      </c>
      <c r="E2434" s="10">
        <v>28</v>
      </c>
      <c r="F2434" t="s">
        <v>1502</v>
      </c>
      <c r="G2434">
        <v>50</v>
      </c>
      <c r="H2434" t="s">
        <v>69</v>
      </c>
      <c r="I2434" t="s">
        <v>150</v>
      </c>
      <c r="J2434" s="10" t="str">
        <f>VLOOKUP(I2434,Categories!A:B,2,FALSE)</f>
        <v xml:space="preserve">Food &amp; Coff</v>
      </c>
      <c r="K2434" t="s">
        <v>178</v>
      </c>
      <c r="L2434" s="10" t="str">
        <f>VLOOKUP(K2434,Accounts!A:B,2,FALSE)</f>
        <v>SCB</v>
      </c>
      <c r="M2434" t="s">
        <v>124</v>
      </c>
      <c r="N2434" s="10"/>
      <c r="O2434" t="s">
        <v>125</v>
      </c>
      <c r="Q2434" t="s">
        <v>126</v>
      </c>
      <c r="R2434" t="s">
        <v>124</v>
      </c>
      <c r="S2434" t="b">
        <v>0</v>
      </c>
      <c r="T2434" t="s">
        <v>124</v>
      </c>
    </row>
    <row r="2435">
      <c r="A2435" t="s">
        <v>4600</v>
      </c>
      <c r="B2435" t="s">
        <v>4598</v>
      </c>
      <c r="C2435" s="2">
        <v>2022</v>
      </c>
      <c r="D2435" s="10">
        <v>10</v>
      </c>
      <c r="E2435" s="10">
        <v>28</v>
      </c>
      <c r="F2435" t="s">
        <v>1701</v>
      </c>
      <c r="G2435">
        <v>31359</v>
      </c>
      <c r="H2435" t="s">
        <v>128</v>
      </c>
      <c r="I2435" t="s">
        <v>136</v>
      </c>
      <c r="J2435" s="10" t="str">
        <f>VLOOKUP(I2435,Categories!A:B,2,FALSE)</f>
        <v>อื่นๆ</v>
      </c>
      <c r="K2435" t="s">
        <v>131</v>
      </c>
      <c r="L2435" s="10" t="str">
        <f>VLOOKUP(K2435,Accounts!A:B,2,FALSE)</f>
        <v xml:space="preserve">Advance Paid</v>
      </c>
      <c r="M2435" t="s">
        <v>178</v>
      </c>
      <c r="N2435" s="10" t="str">
        <f>VLOOKUP(M2435,Accounts!A:B,2,FALSE)</f>
        <v>SCB</v>
      </c>
      <c r="O2435" t="s">
        <v>4601</v>
      </c>
      <c r="Q2435" t="s">
        <v>126</v>
      </c>
      <c r="R2435" t="s">
        <v>124</v>
      </c>
      <c r="S2435" t="b">
        <v>0</v>
      </c>
      <c r="T2435" t="s">
        <v>124</v>
      </c>
    </row>
    <row r="2436">
      <c r="A2436" t="s">
        <v>4602</v>
      </c>
      <c r="B2436" t="s">
        <v>4598</v>
      </c>
      <c r="C2436" s="2">
        <v>2022</v>
      </c>
      <c r="D2436" s="10">
        <v>10</v>
      </c>
      <c r="E2436" s="10">
        <v>28</v>
      </c>
      <c r="F2436" t="s">
        <v>1588</v>
      </c>
      <c r="G2436">
        <v>65</v>
      </c>
      <c r="H2436" t="s">
        <v>69</v>
      </c>
      <c r="I2436" t="s">
        <v>150</v>
      </c>
      <c r="J2436" s="10" t="str">
        <f>VLOOKUP(I2436,Categories!A:B,2,FALSE)</f>
        <v xml:space="preserve">Food &amp; Coff</v>
      </c>
      <c r="K2436" t="s">
        <v>2317</v>
      </c>
      <c r="L2436" s="10" t="str">
        <f>VLOOKUP(K2436,Accounts!A:B,2,FALSE)</f>
        <v xml:space="preserve">Marriage account</v>
      </c>
      <c r="M2436" t="s">
        <v>124</v>
      </c>
      <c r="N2436" s="10"/>
      <c r="O2436" t="s">
        <v>125</v>
      </c>
      <c r="Q2436" t="s">
        <v>126</v>
      </c>
      <c r="R2436" t="s">
        <v>124</v>
      </c>
      <c r="S2436" t="b">
        <v>0</v>
      </c>
      <c r="T2436" t="s">
        <v>124</v>
      </c>
    </row>
    <row r="2437">
      <c r="A2437" t="s">
        <v>4603</v>
      </c>
      <c r="B2437" t="s">
        <v>4604</v>
      </c>
      <c r="C2437" s="2">
        <v>2022</v>
      </c>
      <c r="D2437" s="10">
        <v>10</v>
      </c>
      <c r="E2437" s="10">
        <v>27</v>
      </c>
      <c r="F2437" t="s">
        <v>3136</v>
      </c>
      <c r="G2437">
        <v>115</v>
      </c>
      <c r="H2437" t="s">
        <v>69</v>
      </c>
      <c r="I2437" t="s">
        <v>150</v>
      </c>
      <c r="J2437" s="10" t="str">
        <f>VLOOKUP(I2437,Categories!A:B,2,FALSE)</f>
        <v xml:space="preserve">Food &amp; Coff</v>
      </c>
      <c r="K2437" t="s">
        <v>2317</v>
      </c>
      <c r="L2437" s="10" t="str">
        <f>VLOOKUP(K2437,Accounts!A:B,2,FALSE)</f>
        <v xml:space="preserve">Marriage account</v>
      </c>
      <c r="M2437" t="s">
        <v>124</v>
      </c>
      <c r="N2437" s="10"/>
      <c r="O2437" t="s">
        <v>125</v>
      </c>
      <c r="Q2437" t="s">
        <v>126</v>
      </c>
      <c r="R2437" t="s">
        <v>124</v>
      </c>
      <c r="S2437" t="b">
        <v>0</v>
      </c>
      <c r="T2437" t="s">
        <v>124</v>
      </c>
    </row>
    <row r="2438">
      <c r="A2438" t="s">
        <v>4605</v>
      </c>
      <c r="B2438" t="s">
        <v>4604</v>
      </c>
      <c r="C2438" s="2">
        <v>2022</v>
      </c>
      <c r="D2438" s="10">
        <v>10</v>
      </c>
      <c r="E2438" s="10">
        <v>27</v>
      </c>
      <c r="F2438" t="s">
        <v>4606</v>
      </c>
      <c r="G2438">
        <v>55</v>
      </c>
      <c r="H2438" t="s">
        <v>69</v>
      </c>
      <c r="I2438" t="s">
        <v>150</v>
      </c>
      <c r="J2438" s="10" t="str">
        <f>VLOOKUP(I2438,Categories!A:B,2,FALSE)</f>
        <v xml:space="preserve">Food &amp; Coff</v>
      </c>
      <c r="K2438" t="s">
        <v>178</v>
      </c>
      <c r="L2438" s="10" t="str">
        <f>VLOOKUP(K2438,Accounts!A:B,2,FALSE)</f>
        <v>SCB</v>
      </c>
      <c r="M2438" t="s">
        <v>124</v>
      </c>
      <c r="N2438" s="10"/>
      <c r="O2438" t="s">
        <v>125</v>
      </c>
      <c r="Q2438" t="s">
        <v>126</v>
      </c>
      <c r="R2438" t="s">
        <v>124</v>
      </c>
      <c r="S2438" t="b">
        <v>0</v>
      </c>
      <c r="T2438" t="s">
        <v>124</v>
      </c>
    </row>
    <row r="2439">
      <c r="A2439" t="s">
        <v>4607</v>
      </c>
      <c r="B2439" t="s">
        <v>4604</v>
      </c>
      <c r="C2439" s="2">
        <v>2022</v>
      </c>
      <c r="D2439" s="10">
        <v>10</v>
      </c>
      <c r="E2439" s="10">
        <v>27</v>
      </c>
      <c r="F2439" t="s">
        <v>276</v>
      </c>
      <c r="G2439">
        <v>75</v>
      </c>
      <c r="H2439" t="s">
        <v>69</v>
      </c>
      <c r="I2439" t="s">
        <v>150</v>
      </c>
      <c r="J2439" s="10" t="str">
        <f>VLOOKUP(I2439,Categories!A:B,2,FALSE)</f>
        <v xml:space="preserve">Food &amp; Coff</v>
      </c>
      <c r="K2439" t="s">
        <v>178</v>
      </c>
      <c r="L2439" s="10" t="str">
        <f>VLOOKUP(K2439,Accounts!A:B,2,FALSE)</f>
        <v>SCB</v>
      </c>
      <c r="M2439" t="s">
        <v>124</v>
      </c>
      <c r="N2439" s="10"/>
      <c r="O2439" t="s">
        <v>125</v>
      </c>
      <c r="Q2439" t="s">
        <v>126</v>
      </c>
      <c r="R2439" t="s">
        <v>124</v>
      </c>
      <c r="S2439" t="b">
        <v>0</v>
      </c>
      <c r="T2439" t="s">
        <v>124</v>
      </c>
    </row>
    <row r="2440">
      <c r="A2440" t="s">
        <v>4608</v>
      </c>
      <c r="B2440" t="s">
        <v>4604</v>
      </c>
      <c r="C2440" s="2">
        <v>2022</v>
      </c>
      <c r="D2440" s="10">
        <v>10</v>
      </c>
      <c r="E2440" s="10">
        <v>27</v>
      </c>
      <c r="F2440" t="s">
        <v>2709</v>
      </c>
      <c r="G2440">
        <v>55</v>
      </c>
      <c r="H2440" t="s">
        <v>69</v>
      </c>
      <c r="I2440" t="s">
        <v>150</v>
      </c>
      <c r="J2440" s="10" t="str">
        <f>VLOOKUP(I2440,Categories!A:B,2,FALSE)</f>
        <v xml:space="preserve">Food &amp; Coff</v>
      </c>
      <c r="K2440" t="s">
        <v>178</v>
      </c>
      <c r="L2440" s="10" t="str">
        <f>VLOOKUP(K2440,Accounts!A:B,2,FALSE)</f>
        <v>SCB</v>
      </c>
      <c r="M2440" t="s">
        <v>124</v>
      </c>
      <c r="N2440" s="10"/>
      <c r="O2440" t="s">
        <v>125</v>
      </c>
      <c r="Q2440" t="s">
        <v>126</v>
      </c>
      <c r="R2440" t="s">
        <v>124</v>
      </c>
      <c r="S2440" t="b">
        <v>0</v>
      </c>
      <c r="T2440" t="s">
        <v>124</v>
      </c>
    </row>
    <row r="2441">
      <c r="A2441" t="s">
        <v>4609</v>
      </c>
      <c r="B2441" t="s">
        <v>4604</v>
      </c>
      <c r="C2441" s="2">
        <v>2022</v>
      </c>
      <c r="D2441" s="10">
        <v>10</v>
      </c>
      <c r="E2441" s="10">
        <v>27</v>
      </c>
      <c r="F2441" t="s">
        <v>1865</v>
      </c>
      <c r="G2441">
        <v>1317</v>
      </c>
      <c r="H2441" t="s">
        <v>69</v>
      </c>
      <c r="I2441" t="s">
        <v>150</v>
      </c>
      <c r="J2441" s="10" t="str">
        <f>VLOOKUP(I2441,Categories!A:B,2,FALSE)</f>
        <v xml:space="preserve">Food &amp; Coff</v>
      </c>
      <c r="K2441" t="s">
        <v>2317</v>
      </c>
      <c r="L2441" s="10" t="str">
        <f>VLOOKUP(K2441,Accounts!A:B,2,FALSE)</f>
        <v xml:space="preserve">Marriage account</v>
      </c>
      <c r="M2441" t="s">
        <v>124</v>
      </c>
      <c r="N2441" s="10"/>
      <c r="O2441" t="s">
        <v>4235</v>
      </c>
      <c r="Q2441" t="s">
        <v>126</v>
      </c>
      <c r="R2441" t="s">
        <v>124</v>
      </c>
      <c r="S2441" t="b">
        <v>0</v>
      </c>
      <c r="T2441" t="s">
        <v>124</v>
      </c>
    </row>
    <row r="2442">
      <c r="A2442" t="s">
        <v>4610</v>
      </c>
      <c r="B2442" t="s">
        <v>4604</v>
      </c>
      <c r="C2442" s="2">
        <v>2022</v>
      </c>
      <c r="D2442" s="10">
        <v>10</v>
      </c>
      <c r="E2442" s="10">
        <v>27</v>
      </c>
      <c r="F2442" t="s">
        <v>4611</v>
      </c>
      <c r="G2442">
        <v>28989</v>
      </c>
      <c r="H2442" t="s">
        <v>128</v>
      </c>
      <c r="I2442" t="s">
        <v>136</v>
      </c>
      <c r="J2442" s="10" t="str">
        <f>VLOOKUP(I2442,Categories!A:B,2,FALSE)</f>
        <v>อื่นๆ</v>
      </c>
      <c r="K2442" t="s">
        <v>131</v>
      </c>
      <c r="L2442" s="10" t="str">
        <f>VLOOKUP(K2442,Accounts!A:B,2,FALSE)</f>
        <v xml:space="preserve">Advance Paid</v>
      </c>
      <c r="M2442" t="s">
        <v>178</v>
      </c>
      <c r="N2442" s="10" t="str">
        <f>VLOOKUP(M2442,Accounts!A:B,2,FALSE)</f>
        <v>SCB</v>
      </c>
      <c r="O2442" t="s">
        <v>4612</v>
      </c>
      <c r="Q2442" t="s">
        <v>126</v>
      </c>
      <c r="R2442" t="s">
        <v>124</v>
      </c>
      <c r="S2442" t="b">
        <v>0</v>
      </c>
      <c r="T2442" t="s">
        <v>124</v>
      </c>
    </row>
    <row r="2443">
      <c r="A2443" t="s">
        <v>4613</v>
      </c>
      <c r="B2443" t="s">
        <v>4614</v>
      </c>
      <c r="C2443" s="2">
        <v>2022</v>
      </c>
      <c r="D2443" s="10">
        <v>10</v>
      </c>
      <c r="E2443" s="10">
        <v>26</v>
      </c>
      <c r="F2443" t="s">
        <v>121</v>
      </c>
      <c r="G2443">
        <v>105.64</v>
      </c>
      <c r="H2443" t="s">
        <v>69</v>
      </c>
      <c r="I2443" t="s">
        <v>443</v>
      </c>
      <c r="J2443" s="10" t="str">
        <f>VLOOKUP(I2443,Categories!A:B,2,FALSE)</f>
        <v xml:space="preserve">City SV Interest</v>
      </c>
      <c r="K2443" t="s">
        <v>178</v>
      </c>
      <c r="L2443" s="10" t="str">
        <f>VLOOKUP(K2443,Accounts!A:B,2,FALSE)</f>
        <v>SCB</v>
      </c>
      <c r="M2443" t="s">
        <v>124</v>
      </c>
      <c r="N2443" s="10"/>
      <c r="O2443" t="s">
        <v>125</v>
      </c>
      <c r="Q2443" t="s">
        <v>126</v>
      </c>
      <c r="R2443" t="s">
        <v>124</v>
      </c>
      <c r="S2443" t="b">
        <v>0</v>
      </c>
      <c r="T2443" t="s">
        <v>124</v>
      </c>
    </row>
    <row r="2444">
      <c r="A2444" t="s">
        <v>4615</v>
      </c>
      <c r="B2444" t="s">
        <v>4614</v>
      </c>
      <c r="C2444" s="2">
        <v>2022</v>
      </c>
      <c r="D2444" s="10">
        <v>10</v>
      </c>
      <c r="E2444" s="10">
        <v>26</v>
      </c>
      <c r="F2444" t="s">
        <v>121</v>
      </c>
      <c r="G2444">
        <v>597.12</v>
      </c>
      <c r="H2444" t="s">
        <v>69</v>
      </c>
      <c r="I2444" t="s">
        <v>199</v>
      </c>
      <c r="J2444" s="10" t="str">
        <f>VLOOKUP(I2444,Categories!A:B,2,FALSE)</f>
        <v xml:space="preserve">Home Chomthong Interest</v>
      </c>
      <c r="K2444" t="s">
        <v>178</v>
      </c>
      <c r="L2444" s="10" t="str">
        <f>VLOOKUP(K2444,Accounts!A:B,2,FALSE)</f>
        <v>SCB</v>
      </c>
      <c r="M2444" t="s">
        <v>124</v>
      </c>
      <c r="N2444" s="10"/>
      <c r="O2444" t="s">
        <v>125</v>
      </c>
      <c r="Q2444" t="s">
        <v>126</v>
      </c>
      <c r="R2444" t="s">
        <v>124</v>
      </c>
      <c r="S2444" t="b">
        <v>0</v>
      </c>
      <c r="T2444" t="s">
        <v>124</v>
      </c>
    </row>
    <row r="2445">
      <c r="A2445" t="s">
        <v>4616</v>
      </c>
      <c r="B2445" t="s">
        <v>4614</v>
      </c>
      <c r="C2445" s="2">
        <v>2022</v>
      </c>
      <c r="D2445" s="10">
        <v>10</v>
      </c>
      <c r="E2445" s="10">
        <v>26</v>
      </c>
      <c r="F2445" t="s">
        <v>121</v>
      </c>
      <c r="G2445">
        <v>2066.4000000000001</v>
      </c>
      <c r="H2445" t="s">
        <v>128</v>
      </c>
      <c r="I2445" t="s">
        <v>136</v>
      </c>
      <c r="J2445" s="10" t="str">
        <f>VLOOKUP(I2445,Categories!A:B,2,FALSE)</f>
        <v>อื่นๆ</v>
      </c>
      <c r="K2445" t="s">
        <v>178</v>
      </c>
      <c r="L2445" s="10" t="str">
        <f>VLOOKUP(K2445,Accounts!A:B,2,FALSE)</f>
        <v>SCB</v>
      </c>
      <c r="M2445" t="s">
        <v>203</v>
      </c>
      <c r="N2445" s="10" t="str">
        <f>VLOOKUP(M2445,Accounts!A:B,2,FALSE)</f>
        <v xml:space="preserve">Provident Fund</v>
      </c>
      <c r="O2445" t="s">
        <v>125</v>
      </c>
      <c r="Q2445" t="s">
        <v>126</v>
      </c>
      <c r="R2445" t="s">
        <v>124</v>
      </c>
      <c r="S2445" t="b">
        <v>0</v>
      </c>
      <c r="T2445" t="s">
        <v>124</v>
      </c>
    </row>
    <row r="2446">
      <c r="A2446" t="s">
        <v>4617</v>
      </c>
      <c r="B2446" t="s">
        <v>4614</v>
      </c>
      <c r="C2446" s="2">
        <v>2022</v>
      </c>
      <c r="D2446" s="10">
        <v>10</v>
      </c>
      <c r="E2446" s="10">
        <v>26</v>
      </c>
      <c r="F2446" t="s">
        <v>121</v>
      </c>
      <c r="G2446">
        <v>7915</v>
      </c>
      <c r="H2446" t="s">
        <v>128</v>
      </c>
      <c r="I2446" t="s">
        <v>136</v>
      </c>
      <c r="J2446" s="10" t="str">
        <f>VLOOKUP(I2446,Categories!A:B,2,FALSE)</f>
        <v>อื่นๆ</v>
      </c>
      <c r="K2446" t="s">
        <v>178</v>
      </c>
      <c r="L2446" s="10" t="str">
        <f>VLOOKUP(K2446,Accounts!A:B,2,FALSE)</f>
        <v>SCB</v>
      </c>
      <c r="M2446" t="s">
        <v>1244</v>
      </c>
      <c r="N2446" s="10" t="str">
        <f>VLOOKUP(M2446,Accounts!A:B,2,FALSE)</f>
        <v xml:space="preserve">Home chomthong Loan</v>
      </c>
      <c r="O2446" t="s">
        <v>125</v>
      </c>
      <c r="Q2446" t="s">
        <v>126</v>
      </c>
      <c r="R2446" t="s">
        <v>124</v>
      </c>
      <c r="S2446" t="b">
        <v>0</v>
      </c>
      <c r="T2446" t="s">
        <v>124</v>
      </c>
    </row>
    <row r="2447">
      <c r="A2447" t="s">
        <v>4618</v>
      </c>
      <c r="B2447" t="s">
        <v>4614</v>
      </c>
      <c r="C2447" s="2">
        <v>2022</v>
      </c>
      <c r="D2447" s="10">
        <v>10</v>
      </c>
      <c r="E2447" s="10">
        <v>26</v>
      </c>
      <c r="F2447" t="s">
        <v>121</v>
      </c>
      <c r="G2447">
        <v>500</v>
      </c>
      <c r="H2447" t="s">
        <v>128</v>
      </c>
      <c r="I2447" t="s">
        <v>136</v>
      </c>
      <c r="J2447" s="10" t="str">
        <f>VLOOKUP(I2447,Categories!A:B,2,FALSE)</f>
        <v>อื่นๆ</v>
      </c>
      <c r="K2447" t="s">
        <v>178</v>
      </c>
      <c r="L2447" s="10" t="str">
        <f>VLOOKUP(K2447,Accounts!A:B,2,FALSE)</f>
        <v>SCB</v>
      </c>
      <c r="M2447" t="s">
        <v>201</v>
      </c>
      <c r="N2447" s="10" t="str">
        <f>VLOOKUP(M2447,Accounts!A:B,2,FALSE)</f>
        <v>Coop</v>
      </c>
      <c r="O2447" t="s">
        <v>125</v>
      </c>
      <c r="Q2447" t="s">
        <v>126</v>
      </c>
      <c r="R2447" t="s">
        <v>124</v>
      </c>
      <c r="S2447" t="b">
        <v>0</v>
      </c>
      <c r="T2447" t="s">
        <v>124</v>
      </c>
    </row>
    <row r="2448">
      <c r="A2448" t="s">
        <v>4619</v>
      </c>
      <c r="B2448" t="s">
        <v>4614</v>
      </c>
      <c r="C2448" s="2">
        <v>2022</v>
      </c>
      <c r="D2448" s="10">
        <v>10</v>
      </c>
      <c r="E2448" s="10">
        <v>26</v>
      </c>
      <c r="F2448" t="s">
        <v>121</v>
      </c>
      <c r="G2448">
        <v>9240</v>
      </c>
      <c r="H2448" t="s">
        <v>128</v>
      </c>
      <c r="I2448" t="s">
        <v>136</v>
      </c>
      <c r="J2448" s="10" t="str">
        <f>VLOOKUP(I2448,Categories!A:B,2,FALSE)</f>
        <v>อื่นๆ</v>
      </c>
      <c r="K2448" t="s">
        <v>178</v>
      </c>
      <c r="L2448" s="10" t="str">
        <f>VLOOKUP(K2448,Accounts!A:B,2,FALSE)</f>
        <v>SCB</v>
      </c>
      <c r="M2448" t="s">
        <v>1246</v>
      </c>
      <c r="N2448" s="10" t="str">
        <f>VLOOKUP(M2448,Accounts!A:B,2,FALSE)</f>
        <v xml:space="preserve">Car Loan</v>
      </c>
      <c r="O2448" t="s">
        <v>125</v>
      </c>
      <c r="Q2448" t="s">
        <v>126</v>
      </c>
      <c r="R2448" t="s">
        <v>124</v>
      </c>
      <c r="S2448" t="b">
        <v>0</v>
      </c>
      <c r="T2448" t="s">
        <v>124</v>
      </c>
    </row>
    <row r="2449">
      <c r="A2449" t="s">
        <v>4620</v>
      </c>
      <c r="B2449" t="s">
        <v>4614</v>
      </c>
      <c r="C2449" s="2">
        <v>2022</v>
      </c>
      <c r="D2449" s="10">
        <v>10</v>
      </c>
      <c r="E2449" s="10">
        <v>26</v>
      </c>
      <c r="F2449" t="s">
        <v>121</v>
      </c>
      <c r="G2449">
        <v>103320</v>
      </c>
      <c r="H2449" t="s">
        <v>206</v>
      </c>
      <c r="I2449" t="s">
        <v>207</v>
      </c>
      <c r="J2449" s="10" t="str">
        <f>VLOOKUP(I2449,Categories!A:B,2,FALSE)</f>
        <v>Salary</v>
      </c>
      <c r="K2449" t="s">
        <v>178</v>
      </c>
      <c r="L2449" s="10" t="str">
        <f>VLOOKUP(K2449,Accounts!A:B,2,FALSE)</f>
        <v>SCB</v>
      </c>
      <c r="M2449" t="s">
        <v>124</v>
      </c>
      <c r="N2449" s="10"/>
      <c r="O2449" t="s">
        <v>125</v>
      </c>
      <c r="Q2449" t="s">
        <v>126</v>
      </c>
      <c r="R2449" t="s">
        <v>124</v>
      </c>
      <c r="S2449" t="b">
        <v>0</v>
      </c>
      <c r="T2449" t="s">
        <v>124</v>
      </c>
    </row>
    <row r="2450">
      <c r="A2450" t="s">
        <v>4621</v>
      </c>
      <c r="B2450" t="s">
        <v>4614</v>
      </c>
      <c r="C2450" s="2">
        <v>2022</v>
      </c>
      <c r="D2450" s="10">
        <v>10</v>
      </c>
      <c r="E2450" s="10">
        <v>26</v>
      </c>
      <c r="F2450" t="s">
        <v>121</v>
      </c>
      <c r="G2450">
        <v>505.93000000000001</v>
      </c>
      <c r="H2450" t="s">
        <v>69</v>
      </c>
      <c r="I2450" t="s">
        <v>195</v>
      </c>
      <c r="J2450" s="10" t="str">
        <f>VLOOKUP(I2450,Categories!A:B,2,FALSE)</f>
        <v>Tax</v>
      </c>
      <c r="K2450" t="s">
        <v>178</v>
      </c>
      <c r="L2450" s="10" t="str">
        <f>VLOOKUP(K2450,Accounts!A:B,2,FALSE)</f>
        <v>SCB</v>
      </c>
      <c r="M2450" t="s">
        <v>124</v>
      </c>
      <c r="N2450" s="10"/>
      <c r="O2450" t="s">
        <v>125</v>
      </c>
      <c r="Q2450" t="s">
        <v>126</v>
      </c>
      <c r="R2450" t="s">
        <v>124</v>
      </c>
      <c r="S2450" t="b">
        <v>0</v>
      </c>
      <c r="T2450" t="s">
        <v>124</v>
      </c>
    </row>
    <row r="2451">
      <c r="A2451" t="s">
        <v>4622</v>
      </c>
      <c r="B2451" t="s">
        <v>4614</v>
      </c>
      <c r="C2451" s="2">
        <v>2022</v>
      </c>
      <c r="D2451" s="10">
        <v>10</v>
      </c>
      <c r="E2451" s="10">
        <v>26</v>
      </c>
      <c r="F2451" t="s">
        <v>3321</v>
      </c>
      <c r="G2451">
        <v>93</v>
      </c>
      <c r="H2451" t="s">
        <v>69</v>
      </c>
      <c r="I2451" t="s">
        <v>150</v>
      </c>
      <c r="J2451" s="10" t="str">
        <f>VLOOKUP(I2451,Categories!A:B,2,FALSE)</f>
        <v xml:space="preserve">Food &amp; Coff</v>
      </c>
      <c r="K2451" t="s">
        <v>178</v>
      </c>
      <c r="L2451" s="10" t="str">
        <f>VLOOKUP(K2451,Accounts!A:B,2,FALSE)</f>
        <v>SCB</v>
      </c>
      <c r="M2451" t="s">
        <v>124</v>
      </c>
      <c r="N2451" s="10"/>
      <c r="O2451" t="s">
        <v>125</v>
      </c>
      <c r="Q2451" t="s">
        <v>126</v>
      </c>
      <c r="R2451" t="s">
        <v>124</v>
      </c>
      <c r="S2451" t="b">
        <v>0</v>
      </c>
      <c r="T2451" t="s">
        <v>124</v>
      </c>
    </row>
    <row r="2452">
      <c r="A2452" t="s">
        <v>4623</v>
      </c>
      <c r="B2452" t="s">
        <v>4614</v>
      </c>
      <c r="C2452" s="2">
        <v>2022</v>
      </c>
      <c r="D2452" s="10">
        <v>10</v>
      </c>
      <c r="E2452" s="10">
        <v>26</v>
      </c>
      <c r="F2452" t="s">
        <v>3725</v>
      </c>
      <c r="G2452">
        <v>110</v>
      </c>
      <c r="H2452" t="s">
        <v>69</v>
      </c>
      <c r="I2452" t="s">
        <v>150</v>
      </c>
      <c r="J2452" s="10" t="str">
        <f>VLOOKUP(I2452,Categories!A:B,2,FALSE)</f>
        <v xml:space="preserve">Food &amp; Coff</v>
      </c>
      <c r="K2452" t="s">
        <v>2317</v>
      </c>
      <c r="L2452" s="10" t="str">
        <f>VLOOKUP(K2452,Accounts!A:B,2,FALSE)</f>
        <v xml:space="preserve">Marriage account</v>
      </c>
      <c r="M2452" t="s">
        <v>124</v>
      </c>
      <c r="N2452" s="10"/>
      <c r="O2452" t="s">
        <v>125</v>
      </c>
      <c r="Q2452" t="s">
        <v>126</v>
      </c>
      <c r="R2452" t="s">
        <v>124</v>
      </c>
      <c r="S2452" t="b">
        <v>0</v>
      </c>
      <c r="T2452" t="s">
        <v>124</v>
      </c>
    </row>
    <row r="2453">
      <c r="A2453" t="s">
        <v>4624</v>
      </c>
      <c r="B2453" t="s">
        <v>4614</v>
      </c>
      <c r="C2453" s="2">
        <v>2022</v>
      </c>
      <c r="D2453" s="10">
        <v>10</v>
      </c>
      <c r="E2453" s="10">
        <v>26</v>
      </c>
      <c r="F2453" t="s">
        <v>4625</v>
      </c>
      <c r="G2453">
        <v>261</v>
      </c>
      <c r="H2453" t="s">
        <v>69</v>
      </c>
      <c r="I2453" t="s">
        <v>150</v>
      </c>
      <c r="J2453" s="10" t="str">
        <f>VLOOKUP(I2453,Categories!A:B,2,FALSE)</f>
        <v xml:space="preserve">Food &amp; Coff</v>
      </c>
      <c r="K2453" t="s">
        <v>2317</v>
      </c>
      <c r="L2453" s="10" t="str">
        <f>VLOOKUP(K2453,Accounts!A:B,2,FALSE)</f>
        <v xml:space="preserve">Marriage account</v>
      </c>
      <c r="M2453" t="s">
        <v>124</v>
      </c>
      <c r="N2453" s="10"/>
      <c r="O2453" t="s">
        <v>4379</v>
      </c>
      <c r="Q2453" t="s">
        <v>126</v>
      </c>
      <c r="R2453" t="s">
        <v>124</v>
      </c>
      <c r="S2453" t="b">
        <v>0</v>
      </c>
      <c r="T2453" t="s">
        <v>124</v>
      </c>
    </row>
    <row r="2454">
      <c r="A2454" t="s">
        <v>4626</v>
      </c>
      <c r="B2454" t="s">
        <v>4627</v>
      </c>
      <c r="C2454" s="2">
        <v>2022</v>
      </c>
      <c r="D2454" s="10">
        <v>10</v>
      </c>
      <c r="E2454" s="10">
        <v>25</v>
      </c>
      <c r="F2454" t="s">
        <v>2914</v>
      </c>
      <c r="G2454">
        <v>165</v>
      </c>
      <c r="H2454" t="s">
        <v>69</v>
      </c>
      <c r="I2454" t="s">
        <v>150</v>
      </c>
      <c r="J2454" s="10" t="str">
        <f>VLOOKUP(I2454,Categories!A:B,2,FALSE)</f>
        <v xml:space="preserve">Food &amp; Coff</v>
      </c>
      <c r="K2454" t="s">
        <v>2317</v>
      </c>
      <c r="L2454" s="10" t="str">
        <f>VLOOKUP(K2454,Accounts!A:B,2,FALSE)</f>
        <v xml:space="preserve">Marriage account</v>
      </c>
      <c r="M2454" t="s">
        <v>124</v>
      </c>
      <c r="N2454" s="10"/>
      <c r="O2454" t="s">
        <v>125</v>
      </c>
      <c r="Q2454" t="s">
        <v>126</v>
      </c>
      <c r="R2454" t="s">
        <v>124</v>
      </c>
      <c r="S2454" t="b">
        <v>0</v>
      </c>
      <c r="T2454" t="s">
        <v>124</v>
      </c>
    </row>
    <row r="2455">
      <c r="A2455" t="s">
        <v>4628</v>
      </c>
      <c r="B2455" t="s">
        <v>4627</v>
      </c>
      <c r="C2455" s="2">
        <v>2022</v>
      </c>
      <c r="D2455" s="10">
        <v>10</v>
      </c>
      <c r="E2455" s="10">
        <v>25</v>
      </c>
      <c r="F2455" t="s">
        <v>2709</v>
      </c>
      <c r="G2455">
        <v>62</v>
      </c>
      <c r="H2455" t="s">
        <v>69</v>
      </c>
      <c r="I2455" t="s">
        <v>150</v>
      </c>
      <c r="J2455" s="10" t="str">
        <f>VLOOKUP(I2455,Categories!A:B,2,FALSE)</f>
        <v xml:space="preserve">Food &amp; Coff</v>
      </c>
      <c r="K2455" t="s">
        <v>178</v>
      </c>
      <c r="L2455" s="10" t="str">
        <f>VLOOKUP(K2455,Accounts!A:B,2,FALSE)</f>
        <v>SCB</v>
      </c>
      <c r="M2455" t="s">
        <v>124</v>
      </c>
      <c r="N2455" s="10"/>
      <c r="O2455" t="s">
        <v>125</v>
      </c>
      <c r="Q2455" t="s">
        <v>126</v>
      </c>
      <c r="R2455" t="s">
        <v>124</v>
      </c>
      <c r="S2455" t="b">
        <v>0</v>
      </c>
      <c r="T2455" t="s">
        <v>124</v>
      </c>
    </row>
    <row r="2456">
      <c r="A2456" t="s">
        <v>4629</v>
      </c>
      <c r="B2456" t="s">
        <v>4627</v>
      </c>
      <c r="C2456" s="2">
        <v>2022</v>
      </c>
      <c r="D2456" s="10">
        <v>10</v>
      </c>
      <c r="E2456" s="10">
        <v>25</v>
      </c>
      <c r="F2456" t="s">
        <v>1784</v>
      </c>
      <c r="G2456">
        <v>7389.1999999999998</v>
      </c>
      <c r="H2456" t="s">
        <v>128</v>
      </c>
      <c r="I2456" t="s">
        <v>136</v>
      </c>
      <c r="J2456" s="10" t="str">
        <f>VLOOKUP(I2456,Categories!A:B,2,FALSE)</f>
        <v>อื่นๆ</v>
      </c>
      <c r="K2456" t="s">
        <v>178</v>
      </c>
      <c r="L2456" s="10" t="str">
        <f>VLOOKUP(K2456,Accounts!A:B,2,FALSE)</f>
        <v>SCB</v>
      </c>
      <c r="M2456" t="s">
        <v>131</v>
      </c>
      <c r="N2456" s="10" t="str">
        <f>VLOOKUP(M2456,Accounts!A:B,2,FALSE)</f>
        <v xml:space="preserve">Advance Paid</v>
      </c>
      <c r="O2456" t="s">
        <v>4630</v>
      </c>
      <c r="Q2456" t="s">
        <v>126</v>
      </c>
      <c r="R2456" t="s">
        <v>124</v>
      </c>
      <c r="S2456" t="b">
        <v>0</v>
      </c>
      <c r="T2456" t="s">
        <v>124</v>
      </c>
    </row>
    <row r="2457">
      <c r="A2457" t="s">
        <v>4631</v>
      </c>
      <c r="B2457" t="s">
        <v>4627</v>
      </c>
      <c r="C2457" s="2">
        <v>2022</v>
      </c>
      <c r="D2457" s="10">
        <v>10</v>
      </c>
      <c r="E2457" s="10">
        <v>25</v>
      </c>
      <c r="F2457" t="s">
        <v>1784</v>
      </c>
      <c r="G2457">
        <v>2142</v>
      </c>
      <c r="H2457" t="s">
        <v>128</v>
      </c>
      <c r="I2457" t="s">
        <v>136</v>
      </c>
      <c r="J2457" s="10" t="str">
        <f>VLOOKUP(I2457,Categories!A:B,2,FALSE)</f>
        <v>อื่นๆ</v>
      </c>
      <c r="K2457" t="s">
        <v>131</v>
      </c>
      <c r="L2457" s="10" t="str">
        <f>VLOOKUP(K2457,Accounts!A:B,2,FALSE)</f>
        <v xml:space="preserve">Advance Paid</v>
      </c>
      <c r="M2457" t="s">
        <v>178</v>
      </c>
      <c r="N2457" s="10" t="str">
        <f>VLOOKUP(M2457,Accounts!A:B,2,FALSE)</f>
        <v>SCB</v>
      </c>
      <c r="O2457" t="s">
        <v>4632</v>
      </c>
      <c r="Q2457" t="s">
        <v>126</v>
      </c>
      <c r="R2457" t="s">
        <v>124</v>
      </c>
      <c r="S2457" t="b">
        <v>0</v>
      </c>
      <c r="T2457" t="s">
        <v>124</v>
      </c>
    </row>
    <row r="2458">
      <c r="A2458" t="s">
        <v>4633</v>
      </c>
      <c r="B2458" t="s">
        <v>4634</v>
      </c>
      <c r="C2458" s="2">
        <v>2022</v>
      </c>
      <c r="D2458" s="10">
        <v>10</v>
      </c>
      <c r="E2458" s="10">
        <v>24</v>
      </c>
      <c r="F2458" t="s">
        <v>171</v>
      </c>
      <c r="G2458">
        <v>120</v>
      </c>
      <c r="H2458" t="s">
        <v>69</v>
      </c>
      <c r="I2458" t="s">
        <v>150</v>
      </c>
      <c r="J2458" s="10" t="str">
        <f>VLOOKUP(I2458,Categories!A:B,2,FALSE)</f>
        <v xml:space="preserve">Food &amp; Coff</v>
      </c>
      <c r="K2458" t="s">
        <v>123</v>
      </c>
      <c r="L2458" s="10" t="str">
        <f>VLOOKUP(K2458,Accounts!A:B,2,FALSE)</f>
        <v>KBank</v>
      </c>
      <c r="M2458" t="s">
        <v>124</v>
      </c>
      <c r="N2458" s="10"/>
      <c r="O2458" t="s">
        <v>4635</v>
      </c>
      <c r="Q2458" t="s">
        <v>126</v>
      </c>
      <c r="R2458" t="s">
        <v>124</v>
      </c>
      <c r="S2458" t="b">
        <v>0</v>
      </c>
      <c r="T2458" t="s">
        <v>124</v>
      </c>
    </row>
    <row r="2459">
      <c r="A2459" t="s">
        <v>4636</v>
      </c>
      <c r="B2459" t="s">
        <v>4634</v>
      </c>
      <c r="C2459" s="2">
        <v>2022</v>
      </c>
      <c r="D2459" s="10">
        <v>10</v>
      </c>
      <c r="E2459" s="10">
        <v>24</v>
      </c>
      <c r="F2459" t="s">
        <v>843</v>
      </c>
      <c r="G2459">
        <v>18095</v>
      </c>
      <c r="H2459" t="s">
        <v>69</v>
      </c>
      <c r="I2459" t="s">
        <v>338</v>
      </c>
      <c r="J2459" s="10" t="str">
        <f>VLOOKUP(I2459,Categories!A:B,2,FALSE)</f>
        <v>Trips</v>
      </c>
      <c r="K2459" t="s">
        <v>131</v>
      </c>
      <c r="L2459" s="10" t="str">
        <f>VLOOKUP(K2459,Accounts!A:B,2,FALSE)</f>
        <v xml:space="preserve">Advance Paid</v>
      </c>
      <c r="M2459" t="s">
        <v>124</v>
      </c>
      <c r="N2459" s="10"/>
      <c r="O2459" t="s">
        <v>4637</v>
      </c>
      <c r="Q2459" t="s">
        <v>126</v>
      </c>
      <c r="R2459" t="s">
        <v>124</v>
      </c>
      <c r="S2459" t="b">
        <v>0</v>
      </c>
      <c r="T2459" t="s">
        <v>124</v>
      </c>
    </row>
    <row r="2460">
      <c r="A2460" t="s">
        <v>4638</v>
      </c>
      <c r="B2460" t="s">
        <v>4634</v>
      </c>
      <c r="C2460" s="2">
        <v>2022</v>
      </c>
      <c r="D2460" s="10">
        <v>10</v>
      </c>
      <c r="E2460" s="10">
        <v>24</v>
      </c>
      <c r="F2460" t="s">
        <v>3595</v>
      </c>
      <c r="G2460">
        <v>80960.229999999996</v>
      </c>
      <c r="H2460" t="s">
        <v>128</v>
      </c>
      <c r="I2460" t="s">
        <v>136</v>
      </c>
      <c r="J2460" s="10" t="str">
        <f>VLOOKUP(I2460,Categories!A:B,2,FALSE)</f>
        <v>อื่นๆ</v>
      </c>
      <c r="K2460" t="s">
        <v>2516</v>
      </c>
      <c r="L2460" s="10" t="str">
        <f>VLOOKUP(K2460,Accounts!A:B,2,FALSE)</f>
        <v>Travelcard</v>
      </c>
      <c r="M2460" t="s">
        <v>131</v>
      </c>
      <c r="N2460" s="10" t="str">
        <f>VLOOKUP(M2460,Accounts!A:B,2,FALSE)</f>
        <v xml:space="preserve">Advance Paid</v>
      </c>
      <c r="O2460" t="s">
        <v>125</v>
      </c>
      <c r="Q2460" t="s">
        <v>126</v>
      </c>
      <c r="R2460" t="s">
        <v>124</v>
      </c>
      <c r="S2460" t="b">
        <v>0</v>
      </c>
      <c r="T2460" t="s">
        <v>124</v>
      </c>
    </row>
    <row r="2461">
      <c r="A2461" t="s">
        <v>4639</v>
      </c>
      <c r="B2461" t="s">
        <v>4634</v>
      </c>
      <c r="C2461" s="2">
        <v>2022</v>
      </c>
      <c r="D2461" s="10">
        <v>10</v>
      </c>
      <c r="E2461" s="10">
        <v>24</v>
      </c>
      <c r="F2461" t="s">
        <v>2703</v>
      </c>
      <c r="G2461">
        <v>30389.049999999999</v>
      </c>
      <c r="H2461" t="s">
        <v>69</v>
      </c>
      <c r="I2461" t="s">
        <v>338</v>
      </c>
      <c r="J2461" s="10" t="str">
        <f>VLOOKUP(I2461,Categories!A:B,2,FALSE)</f>
        <v>Trips</v>
      </c>
      <c r="K2461" t="s">
        <v>131</v>
      </c>
      <c r="L2461" s="10" t="str">
        <f>VLOOKUP(K2461,Accounts!A:B,2,FALSE)</f>
        <v xml:space="preserve">Advance Paid</v>
      </c>
      <c r="M2461" t="s">
        <v>124</v>
      </c>
      <c r="N2461" s="10"/>
      <c r="O2461" t="s">
        <v>4640</v>
      </c>
      <c r="Q2461" t="s">
        <v>126</v>
      </c>
      <c r="R2461" t="s">
        <v>124</v>
      </c>
      <c r="S2461" t="b">
        <v>0</v>
      </c>
      <c r="T2461" t="s">
        <v>124</v>
      </c>
    </row>
    <row r="2462">
      <c r="A2462" t="s">
        <v>4641</v>
      </c>
      <c r="B2462" t="s">
        <v>4634</v>
      </c>
      <c r="C2462" s="2">
        <v>2022</v>
      </c>
      <c r="D2462" s="10">
        <v>10</v>
      </c>
      <c r="E2462" s="10">
        <v>24</v>
      </c>
      <c r="F2462" t="s">
        <v>2087</v>
      </c>
      <c r="G2462">
        <v>9327.5</v>
      </c>
      <c r="H2462" t="s">
        <v>69</v>
      </c>
      <c r="I2462" t="s">
        <v>338</v>
      </c>
      <c r="J2462" s="10" t="str">
        <f>VLOOKUP(I2462,Categories!A:B,2,FALSE)</f>
        <v>Trips</v>
      </c>
      <c r="K2462" t="s">
        <v>131</v>
      </c>
      <c r="L2462" s="10" t="str">
        <f>VLOOKUP(K2462,Accounts!A:B,2,FALSE)</f>
        <v xml:space="preserve">Advance Paid</v>
      </c>
      <c r="M2462" t="s">
        <v>124</v>
      </c>
      <c r="N2462" s="10"/>
      <c r="O2462" t="s">
        <v>4642</v>
      </c>
      <c r="Q2462" t="s">
        <v>126</v>
      </c>
      <c r="R2462" t="s">
        <v>124</v>
      </c>
      <c r="S2462" t="b">
        <v>0</v>
      </c>
      <c r="T2462" t="s">
        <v>124</v>
      </c>
    </row>
    <row r="2463">
      <c r="A2463" t="s">
        <v>4643</v>
      </c>
      <c r="B2463" t="s">
        <v>4634</v>
      </c>
      <c r="C2463" s="2">
        <v>2022</v>
      </c>
      <c r="D2463" s="10">
        <v>10</v>
      </c>
      <c r="E2463" s="10">
        <v>24</v>
      </c>
      <c r="F2463" t="s">
        <v>1221</v>
      </c>
      <c r="G2463">
        <v>12514</v>
      </c>
      <c r="H2463" t="s">
        <v>69</v>
      </c>
      <c r="I2463" t="s">
        <v>338</v>
      </c>
      <c r="J2463" s="10" t="str">
        <f>VLOOKUP(I2463,Categories!A:B,2,FALSE)</f>
        <v>Trips</v>
      </c>
      <c r="K2463" t="s">
        <v>131</v>
      </c>
      <c r="L2463" s="10" t="str">
        <f>VLOOKUP(K2463,Accounts!A:B,2,FALSE)</f>
        <v xml:space="preserve">Advance Paid</v>
      </c>
      <c r="M2463" t="s">
        <v>124</v>
      </c>
      <c r="N2463" s="10"/>
      <c r="O2463" t="s">
        <v>4644</v>
      </c>
      <c r="Q2463" t="s">
        <v>126</v>
      </c>
      <c r="R2463" t="s">
        <v>124</v>
      </c>
      <c r="S2463" t="b">
        <v>0</v>
      </c>
      <c r="T2463" t="s">
        <v>124</v>
      </c>
    </row>
    <row r="2464">
      <c r="A2464" t="s">
        <v>4645</v>
      </c>
      <c r="B2464" t="s">
        <v>4646</v>
      </c>
      <c r="C2464" s="2">
        <v>2022</v>
      </c>
      <c r="D2464" s="10">
        <v>10</v>
      </c>
      <c r="E2464" s="10">
        <v>23</v>
      </c>
      <c r="F2464" t="s">
        <v>1214</v>
      </c>
      <c r="G2464">
        <v>970</v>
      </c>
      <c r="H2464" t="s">
        <v>69</v>
      </c>
      <c r="I2464" t="s">
        <v>150</v>
      </c>
      <c r="J2464" s="10" t="str">
        <f>VLOOKUP(I2464,Categories!A:B,2,FALSE)</f>
        <v xml:space="preserve">Food &amp; Coff</v>
      </c>
      <c r="K2464" t="s">
        <v>2317</v>
      </c>
      <c r="L2464" s="10" t="str">
        <f>VLOOKUP(K2464,Accounts!A:B,2,FALSE)</f>
        <v xml:space="preserve">Marriage account</v>
      </c>
      <c r="M2464" t="s">
        <v>124</v>
      </c>
      <c r="N2464" s="10"/>
      <c r="O2464" t="s">
        <v>125</v>
      </c>
      <c r="Q2464" t="s">
        <v>126</v>
      </c>
      <c r="R2464" t="s">
        <v>124</v>
      </c>
      <c r="S2464" t="b">
        <v>0</v>
      </c>
      <c r="T2464" t="s">
        <v>124</v>
      </c>
    </row>
    <row r="2465">
      <c r="A2465" t="s">
        <v>4647</v>
      </c>
      <c r="B2465" t="s">
        <v>4648</v>
      </c>
      <c r="C2465" s="2">
        <v>2022</v>
      </c>
      <c r="D2465" s="10">
        <v>10</v>
      </c>
      <c r="E2465" s="10">
        <v>14</v>
      </c>
      <c r="F2465" t="s">
        <v>4649</v>
      </c>
      <c r="G2465">
        <v>100000</v>
      </c>
      <c r="H2465" t="s">
        <v>128</v>
      </c>
      <c r="I2465" t="s">
        <v>136</v>
      </c>
      <c r="J2465" s="10" t="str">
        <f>VLOOKUP(I2465,Categories!A:B,2,FALSE)</f>
        <v>อื่นๆ</v>
      </c>
      <c r="K2465" t="s">
        <v>178</v>
      </c>
      <c r="L2465" s="10" t="str">
        <f>VLOOKUP(K2465,Accounts!A:B,2,FALSE)</f>
        <v>SCB</v>
      </c>
      <c r="M2465" t="s">
        <v>213</v>
      </c>
      <c r="N2465" s="10" t="str">
        <f>VLOOKUP(M2465,Accounts!A:B,2,FALSE)</f>
        <v xml:space="preserve">Krungthai Next</v>
      </c>
      <c r="O2465" t="s">
        <v>125</v>
      </c>
      <c r="Q2465" t="s">
        <v>126</v>
      </c>
      <c r="R2465" t="s">
        <v>124</v>
      </c>
      <c r="S2465" t="b">
        <v>0</v>
      </c>
      <c r="T2465" t="s">
        <v>124</v>
      </c>
    </row>
    <row r="2466">
      <c r="A2466" t="s">
        <v>4650</v>
      </c>
      <c r="B2466" t="s">
        <v>4651</v>
      </c>
      <c r="C2466" s="2">
        <v>2022</v>
      </c>
      <c r="D2466" s="10">
        <v>10</v>
      </c>
      <c r="E2466" s="10">
        <v>13</v>
      </c>
      <c r="F2466" t="s">
        <v>3513</v>
      </c>
      <c r="G2466">
        <v>87</v>
      </c>
      <c r="H2466" t="s">
        <v>69</v>
      </c>
      <c r="I2466" t="s">
        <v>150</v>
      </c>
      <c r="J2466" s="10" t="str">
        <f>VLOOKUP(I2466,Categories!A:B,2,FALSE)</f>
        <v xml:space="preserve">Food &amp; Coff</v>
      </c>
      <c r="K2466" t="s">
        <v>178</v>
      </c>
      <c r="L2466" s="10" t="str">
        <f>VLOOKUP(K2466,Accounts!A:B,2,FALSE)</f>
        <v>SCB</v>
      </c>
      <c r="M2466" t="s">
        <v>124</v>
      </c>
      <c r="N2466" s="10"/>
      <c r="O2466" t="s">
        <v>125</v>
      </c>
      <c r="Q2466" t="s">
        <v>126</v>
      </c>
      <c r="R2466" t="s">
        <v>124</v>
      </c>
      <c r="S2466" t="b">
        <v>0</v>
      </c>
      <c r="T2466" t="s">
        <v>124</v>
      </c>
    </row>
    <row r="2467">
      <c r="A2467" t="s">
        <v>4652</v>
      </c>
      <c r="B2467" t="s">
        <v>4651</v>
      </c>
      <c r="C2467" s="2">
        <v>2022</v>
      </c>
      <c r="D2467" s="10">
        <v>10</v>
      </c>
      <c r="E2467" s="10">
        <v>13</v>
      </c>
      <c r="F2467" t="s">
        <v>1806</v>
      </c>
      <c r="G2467">
        <v>419</v>
      </c>
      <c r="H2467" t="s">
        <v>69</v>
      </c>
      <c r="I2467" t="s">
        <v>1903</v>
      </c>
      <c r="J2467" s="10" t="str">
        <f>VLOOKUP(I2467,Categories!A:B,2,FALSE)</f>
        <v xml:space="preserve">Monthly subscription</v>
      </c>
      <c r="K2467" t="s">
        <v>747</v>
      </c>
      <c r="L2467" s="10" t="str">
        <f>VLOOKUP(K2467,Accounts!A:B,2,FALSE)</f>
        <v xml:space="preserve">UOB world</v>
      </c>
      <c r="M2467" t="s">
        <v>124</v>
      </c>
      <c r="N2467" s="10"/>
      <c r="O2467" t="s">
        <v>125</v>
      </c>
      <c r="Q2467" t="s">
        <v>126</v>
      </c>
      <c r="R2467" t="s">
        <v>124</v>
      </c>
      <c r="S2467" t="b">
        <v>0</v>
      </c>
      <c r="T2467" t="s">
        <v>124</v>
      </c>
    </row>
    <row r="2468">
      <c r="A2468" t="s">
        <v>4653</v>
      </c>
      <c r="B2468" t="s">
        <v>4654</v>
      </c>
      <c r="C2468" s="2">
        <v>2022</v>
      </c>
      <c r="D2468" s="10">
        <v>10</v>
      </c>
      <c r="E2468" s="10">
        <v>12</v>
      </c>
      <c r="F2468" t="s">
        <v>2768</v>
      </c>
      <c r="G2468">
        <v>101</v>
      </c>
      <c r="H2468" t="s">
        <v>69</v>
      </c>
      <c r="I2468" t="s">
        <v>150</v>
      </c>
      <c r="J2468" s="10" t="str">
        <f>VLOOKUP(I2468,Categories!A:B,2,FALSE)</f>
        <v xml:space="preserve">Food &amp; Coff</v>
      </c>
      <c r="K2468" t="s">
        <v>2317</v>
      </c>
      <c r="L2468" s="10" t="str">
        <f>VLOOKUP(K2468,Accounts!A:B,2,FALSE)</f>
        <v xml:space="preserve">Marriage account</v>
      </c>
      <c r="M2468" t="s">
        <v>124</v>
      </c>
      <c r="N2468" s="10"/>
      <c r="O2468" t="s">
        <v>4655</v>
      </c>
      <c r="Q2468" t="s">
        <v>126</v>
      </c>
      <c r="R2468" t="s">
        <v>124</v>
      </c>
      <c r="S2468" t="b">
        <v>0</v>
      </c>
      <c r="T2468" t="s">
        <v>124</v>
      </c>
    </row>
    <row r="2469">
      <c r="A2469" t="s">
        <v>4656</v>
      </c>
      <c r="B2469" t="s">
        <v>4654</v>
      </c>
      <c r="C2469" s="2">
        <v>2022</v>
      </c>
      <c r="D2469" s="10">
        <v>10</v>
      </c>
      <c r="E2469" s="10">
        <v>12</v>
      </c>
      <c r="F2469" t="s">
        <v>2768</v>
      </c>
      <c r="G2469">
        <v>50</v>
      </c>
      <c r="H2469" t="s">
        <v>69</v>
      </c>
      <c r="I2469" t="s">
        <v>150</v>
      </c>
      <c r="J2469" s="10" t="str">
        <f>VLOOKUP(I2469,Categories!A:B,2,FALSE)</f>
        <v xml:space="preserve">Food &amp; Coff</v>
      </c>
      <c r="K2469" t="s">
        <v>178</v>
      </c>
      <c r="L2469" s="10" t="str">
        <f>VLOOKUP(K2469,Accounts!A:B,2,FALSE)</f>
        <v>SCB</v>
      </c>
      <c r="M2469" t="s">
        <v>124</v>
      </c>
      <c r="N2469" s="10"/>
      <c r="O2469" t="s">
        <v>125</v>
      </c>
      <c r="Q2469" t="s">
        <v>126</v>
      </c>
      <c r="R2469" t="s">
        <v>124</v>
      </c>
      <c r="S2469" t="b">
        <v>0</v>
      </c>
      <c r="T2469" t="s">
        <v>124</v>
      </c>
    </row>
    <row r="2470">
      <c r="A2470" t="s">
        <v>4657</v>
      </c>
      <c r="B2470" t="s">
        <v>4654</v>
      </c>
      <c r="C2470" s="2">
        <v>2022</v>
      </c>
      <c r="D2470" s="10">
        <v>10</v>
      </c>
      <c r="E2470" s="10">
        <v>12</v>
      </c>
      <c r="F2470" t="s">
        <v>1797</v>
      </c>
      <c r="G2470">
        <v>148</v>
      </c>
      <c r="H2470" t="s">
        <v>69</v>
      </c>
      <c r="I2470" t="s">
        <v>150</v>
      </c>
      <c r="J2470" s="10" t="str">
        <f>VLOOKUP(I2470,Categories!A:B,2,FALSE)</f>
        <v xml:space="preserve">Food &amp; Coff</v>
      </c>
      <c r="K2470" t="s">
        <v>178</v>
      </c>
      <c r="L2470" s="10" t="str">
        <f>VLOOKUP(K2470,Accounts!A:B,2,FALSE)</f>
        <v>SCB</v>
      </c>
      <c r="M2470" t="s">
        <v>124</v>
      </c>
      <c r="N2470" s="10"/>
      <c r="O2470" t="s">
        <v>125</v>
      </c>
      <c r="Q2470" t="s">
        <v>126</v>
      </c>
      <c r="R2470" t="s">
        <v>124</v>
      </c>
      <c r="S2470" t="b">
        <v>0</v>
      </c>
      <c r="T2470" t="s">
        <v>124</v>
      </c>
    </row>
    <row r="2471">
      <c r="A2471" t="s">
        <v>4658</v>
      </c>
      <c r="B2471" t="s">
        <v>4654</v>
      </c>
      <c r="C2471" s="2">
        <v>2022</v>
      </c>
      <c r="D2471" s="10">
        <v>10</v>
      </c>
      <c r="E2471" s="10">
        <v>12</v>
      </c>
      <c r="F2471" t="s">
        <v>3392</v>
      </c>
      <c r="G2471">
        <v>55</v>
      </c>
      <c r="H2471" t="s">
        <v>69</v>
      </c>
      <c r="I2471" t="s">
        <v>150</v>
      </c>
      <c r="J2471" s="10" t="str">
        <f>VLOOKUP(I2471,Categories!A:B,2,FALSE)</f>
        <v xml:space="preserve">Food &amp; Coff</v>
      </c>
      <c r="K2471" t="s">
        <v>178</v>
      </c>
      <c r="L2471" s="10" t="str">
        <f>VLOOKUP(K2471,Accounts!A:B,2,FALSE)</f>
        <v>SCB</v>
      </c>
      <c r="M2471" t="s">
        <v>124</v>
      </c>
      <c r="N2471" s="10"/>
      <c r="O2471" t="s">
        <v>125</v>
      </c>
      <c r="Q2471" t="s">
        <v>126</v>
      </c>
      <c r="R2471" t="s">
        <v>124</v>
      </c>
      <c r="S2471" t="b">
        <v>0</v>
      </c>
      <c r="T2471" t="s">
        <v>124</v>
      </c>
    </row>
    <row r="2472">
      <c r="A2472" t="s">
        <v>4659</v>
      </c>
      <c r="B2472" t="s">
        <v>4654</v>
      </c>
      <c r="C2472" s="2">
        <v>2022</v>
      </c>
      <c r="D2472" s="10">
        <v>10</v>
      </c>
      <c r="E2472" s="10">
        <v>12</v>
      </c>
      <c r="F2472" t="s">
        <v>1771</v>
      </c>
      <c r="G2472">
        <v>351</v>
      </c>
      <c r="H2472" t="s">
        <v>206</v>
      </c>
      <c r="I2472" t="s">
        <v>531</v>
      </c>
      <c r="J2472" s="10" t="str">
        <f>VLOOKUP(I2472,Categories!A:B,2,FALSE)</f>
        <v>Dividends</v>
      </c>
      <c r="K2472" t="s">
        <v>844</v>
      </c>
      <c r="L2472" s="10" t="str">
        <f>VLOOKUP(K2472,Accounts!A:B,2,FALSE)</f>
        <v>BBL</v>
      </c>
      <c r="M2472" t="s">
        <v>124</v>
      </c>
      <c r="N2472" s="10"/>
      <c r="O2472" t="s">
        <v>125</v>
      </c>
      <c r="Q2472" t="s">
        <v>126</v>
      </c>
      <c r="R2472" t="s">
        <v>124</v>
      </c>
      <c r="S2472" t="b">
        <v>0</v>
      </c>
      <c r="T2472" t="s">
        <v>124</v>
      </c>
    </row>
    <row r="2473">
      <c r="A2473" t="s">
        <v>4660</v>
      </c>
      <c r="B2473" t="s">
        <v>4654</v>
      </c>
      <c r="C2473" s="2">
        <v>2022</v>
      </c>
      <c r="D2473" s="10">
        <v>10</v>
      </c>
      <c r="E2473" s="10">
        <v>12</v>
      </c>
      <c r="F2473" t="s">
        <v>3732</v>
      </c>
      <c r="G2473">
        <v>98586.529999999999</v>
      </c>
      <c r="H2473" t="s">
        <v>128</v>
      </c>
      <c r="I2473" t="s">
        <v>136</v>
      </c>
      <c r="J2473" s="10" t="str">
        <f>VLOOKUP(I2473,Categories!A:B,2,FALSE)</f>
        <v>อื่นๆ</v>
      </c>
      <c r="K2473" t="s">
        <v>213</v>
      </c>
      <c r="L2473" s="10" t="str">
        <f>VLOOKUP(K2473,Accounts!A:B,2,FALSE)</f>
        <v xml:space="preserve">Krungthai Next</v>
      </c>
      <c r="M2473" t="s">
        <v>2516</v>
      </c>
      <c r="N2473" s="10" t="str">
        <f>VLOOKUP(M2473,Accounts!A:B,2,FALSE)</f>
        <v>Travelcard</v>
      </c>
      <c r="O2473" t="s">
        <v>125</v>
      </c>
      <c r="Q2473" t="s">
        <v>126</v>
      </c>
      <c r="R2473" t="s">
        <v>124</v>
      </c>
      <c r="S2473" t="b">
        <v>0</v>
      </c>
      <c r="T2473" t="s">
        <v>124</v>
      </c>
    </row>
    <row r="2474">
      <c r="A2474" t="s">
        <v>4661</v>
      </c>
      <c r="B2474" t="s">
        <v>4662</v>
      </c>
      <c r="C2474" s="2">
        <v>2022</v>
      </c>
      <c r="D2474" s="10">
        <v>10</v>
      </c>
      <c r="E2474" s="10">
        <v>11</v>
      </c>
      <c r="F2474" t="s">
        <v>3203</v>
      </c>
      <c r="G2474">
        <v>70</v>
      </c>
      <c r="H2474" t="s">
        <v>69</v>
      </c>
      <c r="I2474" t="s">
        <v>150</v>
      </c>
      <c r="J2474" s="10" t="str">
        <f>VLOOKUP(I2474,Categories!A:B,2,FALSE)</f>
        <v xml:space="preserve">Food &amp; Coff</v>
      </c>
      <c r="K2474" t="s">
        <v>178</v>
      </c>
      <c r="L2474" s="10" t="str">
        <f>VLOOKUP(K2474,Accounts!A:B,2,FALSE)</f>
        <v>SCB</v>
      </c>
      <c r="M2474" t="s">
        <v>124</v>
      </c>
      <c r="N2474" s="10"/>
      <c r="O2474" t="s">
        <v>125</v>
      </c>
      <c r="Q2474" t="s">
        <v>126</v>
      </c>
      <c r="R2474" t="s">
        <v>124</v>
      </c>
      <c r="S2474" t="b">
        <v>0</v>
      </c>
      <c r="T2474" t="s">
        <v>124</v>
      </c>
    </row>
    <row r="2475">
      <c r="A2475" t="s">
        <v>4663</v>
      </c>
      <c r="B2475" t="s">
        <v>4662</v>
      </c>
      <c r="C2475" s="2">
        <v>2022</v>
      </c>
      <c r="D2475" s="10">
        <v>10</v>
      </c>
      <c r="E2475" s="10">
        <v>11</v>
      </c>
      <c r="F2475" t="s">
        <v>3282</v>
      </c>
      <c r="G2475">
        <v>65</v>
      </c>
      <c r="H2475" t="s">
        <v>69</v>
      </c>
      <c r="I2475" t="s">
        <v>150</v>
      </c>
      <c r="J2475" s="10" t="str">
        <f>VLOOKUP(I2475,Categories!A:B,2,FALSE)</f>
        <v xml:space="preserve">Food &amp; Coff</v>
      </c>
      <c r="K2475" t="s">
        <v>178</v>
      </c>
      <c r="L2475" s="10" t="str">
        <f>VLOOKUP(K2475,Accounts!A:B,2,FALSE)</f>
        <v>SCB</v>
      </c>
      <c r="M2475" t="s">
        <v>124</v>
      </c>
      <c r="N2475" s="10"/>
      <c r="O2475" t="s">
        <v>125</v>
      </c>
      <c r="Q2475" t="s">
        <v>126</v>
      </c>
      <c r="R2475" t="s">
        <v>124</v>
      </c>
      <c r="S2475" t="b">
        <v>0</v>
      </c>
      <c r="T2475" t="s">
        <v>124</v>
      </c>
    </row>
    <row r="2476">
      <c r="A2476" t="s">
        <v>4664</v>
      </c>
      <c r="B2476" t="s">
        <v>4662</v>
      </c>
      <c r="C2476" s="2">
        <v>2022</v>
      </c>
      <c r="D2476" s="10">
        <v>10</v>
      </c>
      <c r="E2476" s="10">
        <v>11</v>
      </c>
      <c r="F2476" t="s">
        <v>4665</v>
      </c>
      <c r="G2476">
        <v>100</v>
      </c>
      <c r="H2476" t="s">
        <v>69</v>
      </c>
      <c r="I2476" t="s">
        <v>150</v>
      </c>
      <c r="J2476" s="10" t="str">
        <f>VLOOKUP(I2476,Categories!A:B,2,FALSE)</f>
        <v xml:space="preserve">Food &amp; Coff</v>
      </c>
      <c r="K2476" t="s">
        <v>2317</v>
      </c>
      <c r="L2476" s="10" t="str">
        <f>VLOOKUP(K2476,Accounts!A:B,2,FALSE)</f>
        <v xml:space="preserve">Marriage account</v>
      </c>
      <c r="M2476" t="s">
        <v>124</v>
      </c>
      <c r="N2476" s="10"/>
      <c r="O2476" t="s">
        <v>125</v>
      </c>
      <c r="Q2476" t="s">
        <v>126</v>
      </c>
      <c r="R2476" t="s">
        <v>124</v>
      </c>
      <c r="S2476" t="b">
        <v>0</v>
      </c>
      <c r="T2476" t="s">
        <v>124</v>
      </c>
    </row>
    <row r="2477">
      <c r="A2477" t="s">
        <v>4666</v>
      </c>
      <c r="B2477" t="s">
        <v>4662</v>
      </c>
      <c r="C2477" s="2">
        <v>2022</v>
      </c>
      <c r="D2477" s="10">
        <v>10</v>
      </c>
      <c r="E2477" s="10">
        <v>11</v>
      </c>
      <c r="F2477" t="s">
        <v>147</v>
      </c>
      <c r="G2477">
        <v>55</v>
      </c>
      <c r="H2477" t="s">
        <v>69</v>
      </c>
      <c r="I2477" t="s">
        <v>150</v>
      </c>
      <c r="J2477" s="10" t="str">
        <f>VLOOKUP(I2477,Categories!A:B,2,FALSE)</f>
        <v xml:space="preserve">Food &amp; Coff</v>
      </c>
      <c r="K2477" t="s">
        <v>178</v>
      </c>
      <c r="L2477" s="10" t="str">
        <f>VLOOKUP(K2477,Accounts!A:B,2,FALSE)</f>
        <v>SCB</v>
      </c>
      <c r="M2477" t="s">
        <v>124</v>
      </c>
      <c r="N2477" s="10"/>
      <c r="O2477" t="s">
        <v>125</v>
      </c>
      <c r="Q2477" t="s">
        <v>126</v>
      </c>
      <c r="R2477" t="s">
        <v>124</v>
      </c>
      <c r="S2477" t="b">
        <v>0</v>
      </c>
      <c r="T2477" t="s">
        <v>124</v>
      </c>
    </row>
    <row r="2478">
      <c r="A2478" t="s">
        <v>4667</v>
      </c>
      <c r="B2478" t="s">
        <v>4662</v>
      </c>
      <c r="C2478" s="2">
        <v>2022</v>
      </c>
      <c r="D2478" s="10">
        <v>10</v>
      </c>
      <c r="E2478" s="10">
        <v>11</v>
      </c>
      <c r="F2478" t="s">
        <v>556</v>
      </c>
      <c r="G2478">
        <v>1392</v>
      </c>
      <c r="H2478" t="s">
        <v>128</v>
      </c>
      <c r="I2478" t="s">
        <v>136</v>
      </c>
      <c r="J2478" s="10" t="str">
        <f>VLOOKUP(I2478,Categories!A:B,2,FALSE)</f>
        <v>อื่นๆ</v>
      </c>
      <c r="K2478" t="s">
        <v>178</v>
      </c>
      <c r="L2478" s="10" t="str">
        <f>VLOOKUP(K2478,Accounts!A:B,2,FALSE)</f>
        <v>SCB</v>
      </c>
      <c r="M2478" t="s">
        <v>131</v>
      </c>
      <c r="N2478" s="10" t="str">
        <f>VLOOKUP(M2478,Accounts!A:B,2,FALSE)</f>
        <v xml:space="preserve">Advance Paid</v>
      </c>
      <c r="O2478" t="s">
        <v>4668</v>
      </c>
      <c r="Q2478" t="s">
        <v>126</v>
      </c>
      <c r="R2478" t="s">
        <v>124</v>
      </c>
      <c r="S2478" t="b">
        <v>0</v>
      </c>
      <c r="T2478" t="s">
        <v>124</v>
      </c>
    </row>
    <row r="2479">
      <c r="A2479" t="s">
        <v>4669</v>
      </c>
      <c r="B2479" t="s">
        <v>4662</v>
      </c>
      <c r="C2479" s="2">
        <v>2022</v>
      </c>
      <c r="D2479" s="10">
        <v>10</v>
      </c>
      <c r="E2479" s="10">
        <v>11</v>
      </c>
      <c r="F2479" t="s">
        <v>1781</v>
      </c>
      <c r="G2479">
        <v>209</v>
      </c>
      <c r="H2479" t="s">
        <v>69</v>
      </c>
      <c r="I2479" t="s">
        <v>150</v>
      </c>
      <c r="J2479" s="10" t="str">
        <f>VLOOKUP(I2479,Categories!A:B,2,FALSE)</f>
        <v xml:space="preserve">Food &amp; Coff</v>
      </c>
      <c r="K2479" t="s">
        <v>2317</v>
      </c>
      <c r="L2479" s="10" t="str">
        <f>VLOOKUP(K2479,Accounts!A:B,2,FALSE)</f>
        <v xml:space="preserve">Marriage account</v>
      </c>
      <c r="M2479" t="s">
        <v>124</v>
      </c>
      <c r="N2479" s="10"/>
      <c r="O2479" t="s">
        <v>4670</v>
      </c>
      <c r="Q2479" t="s">
        <v>126</v>
      </c>
      <c r="R2479" t="s">
        <v>124</v>
      </c>
      <c r="S2479" t="b">
        <v>0</v>
      </c>
      <c r="T2479" t="s">
        <v>124</v>
      </c>
    </row>
    <row r="2480">
      <c r="A2480" t="s">
        <v>4671</v>
      </c>
      <c r="B2480" t="s">
        <v>4672</v>
      </c>
      <c r="C2480" s="2">
        <v>2022</v>
      </c>
      <c r="D2480" s="10">
        <v>10</v>
      </c>
      <c r="E2480" s="10">
        <v>10</v>
      </c>
      <c r="F2480" t="s">
        <v>1349</v>
      </c>
      <c r="G2480">
        <v>2140</v>
      </c>
      <c r="H2480" t="s">
        <v>69</v>
      </c>
      <c r="I2480" t="s">
        <v>3276</v>
      </c>
      <c r="J2480" s="10" t="str">
        <f>VLOOKUP(I2480,Categories!A:B,2,FALSE)</f>
        <v>Fuel</v>
      </c>
      <c r="K2480" t="s">
        <v>2317</v>
      </c>
      <c r="L2480" s="10" t="str">
        <f>VLOOKUP(K2480,Accounts!A:B,2,FALSE)</f>
        <v xml:space="preserve">Marriage account</v>
      </c>
      <c r="M2480" t="s">
        <v>124</v>
      </c>
      <c r="N2480" s="10"/>
      <c r="O2480" t="s">
        <v>125</v>
      </c>
      <c r="Q2480" t="s">
        <v>126</v>
      </c>
      <c r="R2480" t="s">
        <v>124</v>
      </c>
      <c r="S2480" t="b">
        <v>0</v>
      </c>
      <c r="T2480" t="s">
        <v>124</v>
      </c>
    </row>
    <row r="2481">
      <c r="A2481" t="s">
        <v>4673</v>
      </c>
      <c r="B2481" t="s">
        <v>4672</v>
      </c>
      <c r="C2481" s="2">
        <v>2022</v>
      </c>
      <c r="D2481" s="10">
        <v>10</v>
      </c>
      <c r="E2481" s="10">
        <v>10</v>
      </c>
      <c r="F2481" t="s">
        <v>4674</v>
      </c>
      <c r="G2481">
        <v>1435</v>
      </c>
      <c r="H2481" t="s">
        <v>69</v>
      </c>
      <c r="I2481" t="s">
        <v>150</v>
      </c>
      <c r="J2481" s="10" t="str">
        <f>VLOOKUP(I2481,Categories!A:B,2,FALSE)</f>
        <v xml:space="preserve">Food &amp; Coff</v>
      </c>
      <c r="K2481" t="s">
        <v>2317</v>
      </c>
      <c r="L2481" s="10" t="str">
        <f>VLOOKUP(K2481,Accounts!A:B,2,FALSE)</f>
        <v xml:space="preserve">Marriage account</v>
      </c>
      <c r="M2481" t="s">
        <v>124</v>
      </c>
      <c r="N2481" s="10"/>
      <c r="O2481" t="s">
        <v>4675</v>
      </c>
      <c r="Q2481" t="s">
        <v>126</v>
      </c>
      <c r="R2481" t="s">
        <v>124</v>
      </c>
      <c r="S2481" t="b">
        <v>0</v>
      </c>
      <c r="T2481" t="s">
        <v>124</v>
      </c>
    </row>
    <row r="2482">
      <c r="A2482" t="s">
        <v>4676</v>
      </c>
      <c r="B2482" t="s">
        <v>4672</v>
      </c>
      <c r="C2482" s="2">
        <v>2022</v>
      </c>
      <c r="D2482" s="10">
        <v>10</v>
      </c>
      <c r="E2482" s="10">
        <v>10</v>
      </c>
      <c r="F2482" t="s">
        <v>4396</v>
      </c>
      <c r="G2482">
        <v>773</v>
      </c>
      <c r="H2482" t="s">
        <v>69</v>
      </c>
      <c r="I2482" t="s">
        <v>338</v>
      </c>
      <c r="J2482" s="10" t="str">
        <f>VLOOKUP(I2482,Categories!A:B,2,FALSE)</f>
        <v>Trips</v>
      </c>
      <c r="K2482" t="s">
        <v>2317</v>
      </c>
      <c r="L2482" s="10" t="str">
        <f>VLOOKUP(K2482,Accounts!A:B,2,FALSE)</f>
        <v xml:space="preserve">Marriage account</v>
      </c>
      <c r="M2482" t="s">
        <v>124</v>
      </c>
      <c r="N2482" s="10"/>
      <c r="O2482" t="s">
        <v>3162</v>
      </c>
      <c r="Q2482" t="s">
        <v>126</v>
      </c>
      <c r="R2482" t="s">
        <v>124</v>
      </c>
      <c r="S2482" t="b">
        <v>0</v>
      </c>
      <c r="T2482" t="s">
        <v>124</v>
      </c>
    </row>
    <row r="2483">
      <c r="A2483" t="s">
        <v>4677</v>
      </c>
      <c r="B2483" t="s">
        <v>4672</v>
      </c>
      <c r="C2483" s="2">
        <v>2022</v>
      </c>
      <c r="D2483" s="10">
        <v>10</v>
      </c>
      <c r="E2483" s="10">
        <v>10</v>
      </c>
      <c r="F2483" t="s">
        <v>4396</v>
      </c>
      <c r="G2483">
        <v>421</v>
      </c>
      <c r="H2483" t="s">
        <v>69</v>
      </c>
      <c r="I2483" t="s">
        <v>338</v>
      </c>
      <c r="J2483" s="10" t="str">
        <f>VLOOKUP(I2483,Categories!A:B,2,FALSE)</f>
        <v>Trips</v>
      </c>
      <c r="K2483" t="s">
        <v>2317</v>
      </c>
      <c r="L2483" s="10" t="str">
        <f>VLOOKUP(K2483,Accounts!A:B,2,FALSE)</f>
        <v xml:space="preserve">Marriage account</v>
      </c>
      <c r="M2483" t="s">
        <v>124</v>
      </c>
      <c r="N2483" s="10"/>
      <c r="O2483" t="s">
        <v>4678</v>
      </c>
      <c r="Q2483" t="s">
        <v>126</v>
      </c>
      <c r="R2483" t="s">
        <v>124</v>
      </c>
      <c r="S2483" t="b">
        <v>0</v>
      </c>
      <c r="T2483" t="s">
        <v>124</v>
      </c>
    </row>
    <row r="2484">
      <c r="A2484" t="s">
        <v>4679</v>
      </c>
      <c r="B2484" t="s">
        <v>4672</v>
      </c>
      <c r="C2484" s="2">
        <v>2022</v>
      </c>
      <c r="D2484" s="10">
        <v>10</v>
      </c>
      <c r="E2484" s="10">
        <v>10</v>
      </c>
      <c r="F2484" t="s">
        <v>2082</v>
      </c>
      <c r="G2484">
        <v>338</v>
      </c>
      <c r="H2484" t="s">
        <v>69</v>
      </c>
      <c r="I2484" t="s">
        <v>150</v>
      </c>
      <c r="J2484" s="10" t="str">
        <f>VLOOKUP(I2484,Categories!A:B,2,FALSE)</f>
        <v xml:space="preserve">Food &amp; Coff</v>
      </c>
      <c r="K2484" t="s">
        <v>2317</v>
      </c>
      <c r="L2484" s="10" t="str">
        <f>VLOOKUP(K2484,Accounts!A:B,2,FALSE)</f>
        <v xml:space="preserve">Marriage account</v>
      </c>
      <c r="M2484" t="s">
        <v>124</v>
      </c>
      <c r="N2484" s="10"/>
      <c r="O2484" t="s">
        <v>4680</v>
      </c>
      <c r="Q2484" t="s">
        <v>126</v>
      </c>
      <c r="R2484" t="s">
        <v>124</v>
      </c>
      <c r="S2484" t="b">
        <v>0</v>
      </c>
      <c r="T2484" t="s">
        <v>124</v>
      </c>
    </row>
    <row r="2485">
      <c r="A2485" t="s">
        <v>4681</v>
      </c>
      <c r="B2485" t="s">
        <v>4672</v>
      </c>
      <c r="C2485" s="2">
        <v>2022</v>
      </c>
      <c r="D2485" s="10">
        <v>10</v>
      </c>
      <c r="E2485" s="10">
        <v>10</v>
      </c>
      <c r="F2485" t="s">
        <v>2082</v>
      </c>
      <c r="G2485">
        <v>355</v>
      </c>
      <c r="H2485" t="s">
        <v>69</v>
      </c>
      <c r="I2485" t="s">
        <v>150</v>
      </c>
      <c r="J2485" s="10" t="str">
        <f>VLOOKUP(I2485,Categories!A:B,2,FALSE)</f>
        <v xml:space="preserve">Food &amp; Coff</v>
      </c>
      <c r="K2485" t="s">
        <v>2317</v>
      </c>
      <c r="L2485" s="10" t="str">
        <f>VLOOKUP(K2485,Accounts!A:B,2,FALSE)</f>
        <v xml:space="preserve">Marriage account</v>
      </c>
      <c r="M2485" t="s">
        <v>124</v>
      </c>
      <c r="N2485" s="10"/>
      <c r="O2485" t="s">
        <v>125</v>
      </c>
      <c r="Q2485" t="s">
        <v>126</v>
      </c>
      <c r="R2485" t="s">
        <v>124</v>
      </c>
      <c r="S2485" t="b">
        <v>0</v>
      </c>
      <c r="T2485" t="s">
        <v>124</v>
      </c>
    </row>
    <row r="2486">
      <c r="A2486" t="s">
        <v>4682</v>
      </c>
      <c r="B2486" t="s">
        <v>4672</v>
      </c>
      <c r="C2486" s="2">
        <v>2022</v>
      </c>
      <c r="D2486" s="10">
        <v>10</v>
      </c>
      <c r="E2486" s="10">
        <v>10</v>
      </c>
      <c r="F2486" t="s">
        <v>693</v>
      </c>
      <c r="G2486">
        <v>39754</v>
      </c>
      <c r="H2486" t="s">
        <v>128</v>
      </c>
      <c r="I2486" t="s">
        <v>136</v>
      </c>
      <c r="J2486" s="10" t="str">
        <f>VLOOKUP(I2486,Categories!A:B,2,FALSE)</f>
        <v>อื่นๆ</v>
      </c>
      <c r="K2486" t="s">
        <v>178</v>
      </c>
      <c r="L2486" s="10" t="str">
        <f>VLOOKUP(K2486,Accounts!A:B,2,FALSE)</f>
        <v>SCB</v>
      </c>
      <c r="M2486" t="s">
        <v>131</v>
      </c>
      <c r="N2486" s="10" t="str">
        <f>VLOOKUP(M2486,Accounts!A:B,2,FALSE)</f>
        <v xml:space="preserve">Advance Paid</v>
      </c>
      <c r="O2486" t="s">
        <v>4683</v>
      </c>
      <c r="Q2486" t="s">
        <v>126</v>
      </c>
      <c r="R2486" t="s">
        <v>124</v>
      </c>
      <c r="S2486" t="b">
        <v>0</v>
      </c>
      <c r="T2486" t="s">
        <v>124</v>
      </c>
    </row>
    <row r="2487">
      <c r="A2487" t="s">
        <v>4684</v>
      </c>
      <c r="B2487" t="s">
        <v>4672</v>
      </c>
      <c r="C2487" s="2">
        <v>2022</v>
      </c>
      <c r="D2487" s="10">
        <v>10</v>
      </c>
      <c r="E2487" s="10">
        <v>10</v>
      </c>
      <c r="F2487" t="s">
        <v>1988</v>
      </c>
      <c r="G2487">
        <v>880</v>
      </c>
      <c r="H2487" t="s">
        <v>69</v>
      </c>
      <c r="I2487" t="s">
        <v>614</v>
      </c>
      <c r="J2487" s="10" t="str">
        <f>VLOOKUP(I2487,Categories!A:B,2,FALSE)</f>
        <v>Books</v>
      </c>
      <c r="K2487" t="s">
        <v>178</v>
      </c>
      <c r="L2487" s="10" t="str">
        <f>VLOOKUP(K2487,Accounts!A:B,2,FALSE)</f>
        <v>SCB</v>
      </c>
      <c r="M2487" t="s">
        <v>124</v>
      </c>
      <c r="N2487" s="10"/>
      <c r="O2487" t="s">
        <v>125</v>
      </c>
      <c r="Q2487" t="s">
        <v>126</v>
      </c>
      <c r="R2487" t="s">
        <v>124</v>
      </c>
      <c r="S2487" t="b">
        <v>0</v>
      </c>
      <c r="T2487" t="s">
        <v>124</v>
      </c>
    </row>
    <row r="2488">
      <c r="A2488" t="s">
        <v>4685</v>
      </c>
      <c r="B2488" t="s">
        <v>4672</v>
      </c>
      <c r="C2488" s="2">
        <v>2022</v>
      </c>
      <c r="D2488" s="10">
        <v>10</v>
      </c>
      <c r="E2488" s="10">
        <v>10</v>
      </c>
      <c r="F2488" t="s">
        <v>1988</v>
      </c>
      <c r="G2488">
        <v>448.63999999999999</v>
      </c>
      <c r="H2488" t="s">
        <v>69</v>
      </c>
      <c r="I2488" t="s">
        <v>144</v>
      </c>
      <c r="J2488" s="10" t="str">
        <f>VLOOKUP(I2488,Categories!A:B,2,FALSE)</f>
        <v xml:space="preserve">Family paid</v>
      </c>
      <c r="K2488" t="s">
        <v>178</v>
      </c>
      <c r="L2488" s="10" t="str">
        <f>VLOOKUP(K2488,Accounts!A:B,2,FALSE)</f>
        <v>SCB</v>
      </c>
      <c r="M2488" t="s">
        <v>124</v>
      </c>
      <c r="N2488" s="10"/>
      <c r="O2488" t="s">
        <v>125</v>
      </c>
      <c r="Q2488" t="s">
        <v>126</v>
      </c>
      <c r="R2488" t="s">
        <v>124</v>
      </c>
      <c r="S2488" t="b">
        <v>0</v>
      </c>
      <c r="T2488" t="s">
        <v>124</v>
      </c>
    </row>
    <row r="2489">
      <c r="A2489" t="s">
        <v>4686</v>
      </c>
      <c r="B2489" t="s">
        <v>4672</v>
      </c>
      <c r="C2489" s="2">
        <v>2022</v>
      </c>
      <c r="D2489" s="10">
        <v>10</v>
      </c>
      <c r="E2489" s="10">
        <v>10</v>
      </c>
      <c r="F2489" t="s">
        <v>468</v>
      </c>
      <c r="G2489">
        <v>178</v>
      </c>
      <c r="H2489" t="s">
        <v>69</v>
      </c>
      <c r="I2489" t="s">
        <v>160</v>
      </c>
      <c r="J2489" s="10" t="str">
        <f>VLOOKUP(I2489,Categories!A:B,2,FALSE)</f>
        <v>Fashion</v>
      </c>
      <c r="K2489" t="s">
        <v>893</v>
      </c>
      <c r="L2489" s="10" t="str">
        <f>VLOOKUP(K2489,Accounts!A:B,2,FALSE)</f>
        <v>Shopee</v>
      </c>
      <c r="M2489" t="s">
        <v>124</v>
      </c>
      <c r="N2489" s="10"/>
      <c r="O2489" t="s">
        <v>4687</v>
      </c>
      <c r="Q2489" t="s">
        <v>126</v>
      </c>
      <c r="R2489" t="s">
        <v>124</v>
      </c>
      <c r="S2489" t="b">
        <v>0</v>
      </c>
      <c r="T2489" t="s">
        <v>124</v>
      </c>
    </row>
    <row r="2490">
      <c r="A2490" t="s">
        <v>4688</v>
      </c>
      <c r="B2490" t="s">
        <v>4689</v>
      </c>
      <c r="C2490" s="2">
        <v>2022</v>
      </c>
      <c r="D2490" s="10">
        <v>10</v>
      </c>
      <c r="E2490" s="10">
        <v>9</v>
      </c>
      <c r="F2490" t="s">
        <v>121</v>
      </c>
      <c r="G2490">
        <v>10000</v>
      </c>
      <c r="H2490" t="s">
        <v>128</v>
      </c>
      <c r="I2490" t="s">
        <v>136</v>
      </c>
      <c r="J2490" s="10" t="str">
        <f>VLOOKUP(I2490,Categories!A:B,2,FALSE)</f>
        <v>อื่นๆ</v>
      </c>
      <c r="K2490" t="s">
        <v>178</v>
      </c>
      <c r="L2490" s="10" t="str">
        <f>VLOOKUP(K2490,Accounts!A:B,2,FALSE)</f>
        <v>SCB</v>
      </c>
      <c r="M2490" t="s">
        <v>2317</v>
      </c>
      <c r="N2490" s="10" t="str">
        <f>VLOOKUP(M2490,Accounts!A:B,2,FALSE)</f>
        <v xml:space="preserve">Marriage account</v>
      </c>
      <c r="O2490" t="s">
        <v>125</v>
      </c>
      <c r="Q2490" t="s">
        <v>126</v>
      </c>
      <c r="R2490" t="s">
        <v>124</v>
      </c>
      <c r="S2490" t="b">
        <v>0</v>
      </c>
      <c r="T2490" t="s">
        <v>124</v>
      </c>
    </row>
    <row r="2491">
      <c r="A2491" t="s">
        <v>4690</v>
      </c>
      <c r="B2491" t="s">
        <v>4689</v>
      </c>
      <c r="C2491" s="2">
        <v>2022</v>
      </c>
      <c r="D2491" s="10">
        <v>10</v>
      </c>
      <c r="E2491" s="10">
        <v>9</v>
      </c>
      <c r="F2491" t="s">
        <v>2063</v>
      </c>
      <c r="G2491">
        <v>4398.7700000000004</v>
      </c>
      <c r="H2491" t="s">
        <v>69</v>
      </c>
      <c r="I2491" t="s">
        <v>139</v>
      </c>
      <c r="J2491" s="10" t="str">
        <f>VLOOKUP(I2491,Categories!A:B,2,FALSE)</f>
        <v>Condo</v>
      </c>
      <c r="K2491" t="s">
        <v>178</v>
      </c>
      <c r="L2491" s="10" t="str">
        <f>VLOOKUP(K2491,Accounts!A:B,2,FALSE)</f>
        <v>SCB</v>
      </c>
      <c r="M2491" t="s">
        <v>124</v>
      </c>
      <c r="N2491" s="10"/>
      <c r="O2491" t="s">
        <v>125</v>
      </c>
      <c r="Q2491" t="s">
        <v>126</v>
      </c>
      <c r="R2491" t="s">
        <v>124</v>
      </c>
      <c r="S2491" t="b">
        <v>0</v>
      </c>
      <c r="T2491" t="s">
        <v>124</v>
      </c>
    </row>
    <row r="2492">
      <c r="A2492" t="s">
        <v>4691</v>
      </c>
      <c r="B2492" t="s">
        <v>4689</v>
      </c>
      <c r="C2492" s="2">
        <v>2022</v>
      </c>
      <c r="D2492" s="10">
        <v>10</v>
      </c>
      <c r="E2492" s="10">
        <v>9</v>
      </c>
      <c r="F2492" t="s">
        <v>2148</v>
      </c>
      <c r="G2492">
        <v>36000</v>
      </c>
      <c r="H2492" t="s">
        <v>128</v>
      </c>
      <c r="I2492" t="s">
        <v>136</v>
      </c>
      <c r="J2492" s="10" t="str">
        <f>VLOOKUP(I2492,Categories!A:B,2,FALSE)</f>
        <v>อื่นๆ</v>
      </c>
      <c r="K2492" t="s">
        <v>178</v>
      </c>
      <c r="L2492" s="10" t="str">
        <f>VLOOKUP(K2492,Accounts!A:B,2,FALSE)</f>
        <v>SCB</v>
      </c>
      <c r="M2492" t="s">
        <v>131</v>
      </c>
      <c r="N2492" s="10" t="str">
        <f>VLOOKUP(M2492,Accounts!A:B,2,FALSE)</f>
        <v xml:space="preserve">Advance Paid</v>
      </c>
      <c r="O2492" t="s">
        <v>125</v>
      </c>
      <c r="Q2492" t="s">
        <v>126</v>
      </c>
      <c r="R2492" t="s">
        <v>124</v>
      </c>
      <c r="S2492" t="b">
        <v>0</v>
      </c>
      <c r="T2492" t="s">
        <v>124</v>
      </c>
    </row>
    <row r="2493">
      <c r="A2493" t="s">
        <v>4692</v>
      </c>
      <c r="B2493" t="s">
        <v>4689</v>
      </c>
      <c r="C2493" s="2">
        <v>2022</v>
      </c>
      <c r="D2493" s="10">
        <v>10</v>
      </c>
      <c r="E2493" s="10">
        <v>9</v>
      </c>
      <c r="F2493" t="s">
        <v>2667</v>
      </c>
      <c r="G2493">
        <v>87</v>
      </c>
      <c r="H2493" t="s">
        <v>69</v>
      </c>
      <c r="I2493" t="s">
        <v>150</v>
      </c>
      <c r="J2493" s="10" t="str">
        <f>VLOOKUP(I2493,Categories!A:B,2,FALSE)</f>
        <v xml:space="preserve">Food &amp; Coff</v>
      </c>
      <c r="K2493" t="s">
        <v>2513</v>
      </c>
      <c r="L2493" s="10" t="str">
        <f>VLOOKUP(K2493,Accounts!A:B,2,FALSE)</f>
        <v xml:space="preserve">Pao tung</v>
      </c>
      <c r="M2493" t="s">
        <v>124</v>
      </c>
      <c r="N2493" s="10"/>
      <c r="O2493" t="s">
        <v>125</v>
      </c>
      <c r="Q2493" t="s">
        <v>126</v>
      </c>
      <c r="R2493" t="s">
        <v>124</v>
      </c>
      <c r="S2493" t="b">
        <v>0</v>
      </c>
      <c r="T2493" t="s">
        <v>124</v>
      </c>
    </row>
    <row r="2494">
      <c r="A2494" t="s">
        <v>4693</v>
      </c>
      <c r="B2494" t="s">
        <v>4689</v>
      </c>
      <c r="C2494" s="2">
        <v>2022</v>
      </c>
      <c r="D2494" s="10">
        <v>10</v>
      </c>
      <c r="E2494" s="10">
        <v>9</v>
      </c>
      <c r="F2494" t="s">
        <v>3444</v>
      </c>
      <c r="G2494">
        <v>10000</v>
      </c>
      <c r="H2494" t="s">
        <v>206</v>
      </c>
      <c r="I2494" t="s">
        <v>207</v>
      </c>
      <c r="J2494" s="10" t="str">
        <f>VLOOKUP(I2494,Categories!A:B,2,FALSE)</f>
        <v>Salary</v>
      </c>
      <c r="K2494" t="s">
        <v>2317</v>
      </c>
      <c r="L2494" s="10" t="str">
        <f>VLOOKUP(K2494,Accounts!A:B,2,FALSE)</f>
        <v xml:space="preserve">Marriage account</v>
      </c>
      <c r="M2494" t="s">
        <v>124</v>
      </c>
      <c r="N2494" s="10"/>
      <c r="O2494" t="s">
        <v>125</v>
      </c>
      <c r="Q2494" t="s">
        <v>126</v>
      </c>
      <c r="R2494" t="s">
        <v>124</v>
      </c>
      <c r="S2494" t="b">
        <v>0</v>
      </c>
      <c r="T2494" t="s">
        <v>124</v>
      </c>
    </row>
    <row r="2495">
      <c r="A2495" t="s">
        <v>4694</v>
      </c>
      <c r="B2495" t="s">
        <v>4689</v>
      </c>
      <c r="C2495" s="2">
        <v>2022</v>
      </c>
      <c r="D2495" s="10">
        <v>10</v>
      </c>
      <c r="E2495" s="10">
        <v>9</v>
      </c>
      <c r="F2495" t="s">
        <v>4446</v>
      </c>
      <c r="G2495">
        <v>694</v>
      </c>
      <c r="H2495" t="s">
        <v>69</v>
      </c>
      <c r="I2495" t="s">
        <v>150</v>
      </c>
      <c r="J2495" s="10" t="str">
        <f>VLOOKUP(I2495,Categories!A:B,2,FALSE)</f>
        <v xml:space="preserve">Food &amp; Coff</v>
      </c>
      <c r="K2495" t="s">
        <v>2317</v>
      </c>
      <c r="L2495" s="10" t="str">
        <f>VLOOKUP(K2495,Accounts!A:B,2,FALSE)</f>
        <v xml:space="preserve">Marriage account</v>
      </c>
      <c r="M2495" t="s">
        <v>124</v>
      </c>
      <c r="N2495" s="10"/>
      <c r="O2495" t="s">
        <v>125</v>
      </c>
      <c r="Q2495" t="s">
        <v>126</v>
      </c>
      <c r="R2495" t="s">
        <v>124</v>
      </c>
      <c r="S2495" t="b">
        <v>0</v>
      </c>
      <c r="T2495" t="s">
        <v>124</v>
      </c>
    </row>
    <row r="2496">
      <c r="A2496" t="s">
        <v>4695</v>
      </c>
      <c r="B2496" t="s">
        <v>4689</v>
      </c>
      <c r="C2496" s="2">
        <v>2022</v>
      </c>
      <c r="D2496" s="10">
        <v>10</v>
      </c>
      <c r="E2496" s="10">
        <v>9</v>
      </c>
      <c r="F2496" t="s">
        <v>4696</v>
      </c>
      <c r="G2496">
        <v>239</v>
      </c>
      <c r="H2496" t="s">
        <v>69</v>
      </c>
      <c r="I2496" t="s">
        <v>122</v>
      </c>
      <c r="J2496" s="10" t="str">
        <f>VLOOKUP(I2496,Categories!A:B,2,FALSE)</f>
        <v>Other</v>
      </c>
      <c r="K2496" t="s">
        <v>178</v>
      </c>
      <c r="L2496" s="10" t="str">
        <f>VLOOKUP(K2496,Accounts!A:B,2,FALSE)</f>
        <v>SCB</v>
      </c>
      <c r="M2496" t="s">
        <v>124</v>
      </c>
      <c r="N2496" s="10"/>
      <c r="O2496" t="s">
        <v>4697</v>
      </c>
      <c r="Q2496" t="s">
        <v>126</v>
      </c>
      <c r="R2496" t="s">
        <v>124</v>
      </c>
      <c r="S2496" t="b">
        <v>0</v>
      </c>
      <c r="T2496" t="s">
        <v>124</v>
      </c>
    </row>
    <row r="2497">
      <c r="A2497" t="s">
        <v>4698</v>
      </c>
      <c r="B2497" t="s">
        <v>4689</v>
      </c>
      <c r="C2497" s="2">
        <v>2022</v>
      </c>
      <c r="D2497" s="10">
        <v>10</v>
      </c>
      <c r="E2497" s="10">
        <v>9</v>
      </c>
      <c r="F2497" t="s">
        <v>1925</v>
      </c>
      <c r="G2497">
        <v>412</v>
      </c>
      <c r="H2497" t="s">
        <v>69</v>
      </c>
      <c r="I2497" t="s">
        <v>150</v>
      </c>
      <c r="J2497" s="10" t="str">
        <f>VLOOKUP(I2497,Categories!A:B,2,FALSE)</f>
        <v xml:space="preserve">Food &amp; Coff</v>
      </c>
      <c r="K2497" t="s">
        <v>2317</v>
      </c>
      <c r="L2497" s="10" t="str">
        <f>VLOOKUP(K2497,Accounts!A:B,2,FALSE)</f>
        <v xml:space="preserve">Marriage account</v>
      </c>
      <c r="M2497" t="s">
        <v>124</v>
      </c>
      <c r="N2497" s="10"/>
      <c r="O2497" t="s">
        <v>125</v>
      </c>
      <c r="Q2497" t="s">
        <v>126</v>
      </c>
      <c r="R2497" t="s">
        <v>124</v>
      </c>
      <c r="S2497" t="b">
        <v>0</v>
      </c>
      <c r="T2497" t="s">
        <v>124</v>
      </c>
    </row>
    <row r="2498">
      <c r="A2498" t="s">
        <v>4699</v>
      </c>
      <c r="B2498" t="s">
        <v>4700</v>
      </c>
      <c r="C2498" s="2">
        <v>2022</v>
      </c>
      <c r="D2498" s="10">
        <v>10</v>
      </c>
      <c r="E2498" s="10">
        <v>8</v>
      </c>
      <c r="F2498" t="s">
        <v>4701</v>
      </c>
      <c r="G2498">
        <v>125</v>
      </c>
      <c r="H2498" t="s">
        <v>128</v>
      </c>
      <c r="I2498" t="s">
        <v>136</v>
      </c>
      <c r="J2498" s="10" t="str">
        <f>VLOOKUP(I2498,Categories!A:B,2,FALSE)</f>
        <v>อื่นๆ</v>
      </c>
      <c r="K2498" t="s">
        <v>2513</v>
      </c>
      <c r="L2498" s="10" t="str">
        <f>VLOOKUP(K2498,Accounts!A:B,2,FALSE)</f>
        <v xml:space="preserve">Pao tung</v>
      </c>
      <c r="M2498" t="s">
        <v>178</v>
      </c>
      <c r="N2498" s="10" t="str">
        <f>VLOOKUP(M2498,Accounts!A:B,2,FALSE)</f>
        <v>SCB</v>
      </c>
      <c r="O2498" t="s">
        <v>125</v>
      </c>
      <c r="Q2498" t="s">
        <v>126</v>
      </c>
      <c r="R2498" t="s">
        <v>124</v>
      </c>
      <c r="S2498" t="b">
        <v>0</v>
      </c>
      <c r="T2498" t="s">
        <v>124</v>
      </c>
    </row>
    <row r="2499">
      <c r="A2499" t="s">
        <v>4702</v>
      </c>
      <c r="B2499" t="s">
        <v>4703</v>
      </c>
      <c r="C2499" s="2">
        <v>2022</v>
      </c>
      <c r="D2499" s="10">
        <v>10</v>
      </c>
      <c r="E2499" s="10">
        <v>7</v>
      </c>
      <c r="F2499" t="s">
        <v>4704</v>
      </c>
      <c r="G2499">
        <v>100</v>
      </c>
      <c r="H2499" t="s">
        <v>69</v>
      </c>
      <c r="I2499" t="s">
        <v>150</v>
      </c>
      <c r="J2499" s="10" t="str">
        <f>VLOOKUP(I2499,Categories!A:B,2,FALSE)</f>
        <v xml:space="preserve">Food &amp; Coff</v>
      </c>
      <c r="K2499" t="s">
        <v>2317</v>
      </c>
      <c r="L2499" s="10" t="str">
        <f>VLOOKUP(K2499,Accounts!A:B,2,FALSE)</f>
        <v xml:space="preserve">Marriage account</v>
      </c>
      <c r="M2499" t="s">
        <v>124</v>
      </c>
      <c r="N2499" s="10"/>
      <c r="O2499" t="s">
        <v>125</v>
      </c>
      <c r="Q2499" t="s">
        <v>126</v>
      </c>
      <c r="R2499" t="s">
        <v>124</v>
      </c>
      <c r="S2499" t="b">
        <v>0</v>
      </c>
      <c r="T2499" t="s">
        <v>124</v>
      </c>
    </row>
    <row r="2500">
      <c r="A2500" t="s">
        <v>4705</v>
      </c>
      <c r="B2500" t="s">
        <v>4703</v>
      </c>
      <c r="C2500" s="2">
        <v>2022</v>
      </c>
      <c r="D2500" s="10">
        <v>10</v>
      </c>
      <c r="E2500" s="10">
        <v>7</v>
      </c>
      <c r="F2500" t="s">
        <v>1506</v>
      </c>
      <c r="G2500">
        <v>80</v>
      </c>
      <c r="H2500" t="s">
        <v>69</v>
      </c>
      <c r="I2500" t="s">
        <v>150</v>
      </c>
      <c r="J2500" s="10" t="str">
        <f>VLOOKUP(I2500,Categories!A:B,2,FALSE)</f>
        <v xml:space="preserve">Food &amp; Coff</v>
      </c>
      <c r="K2500" t="s">
        <v>2317</v>
      </c>
      <c r="L2500" s="10" t="str">
        <f>VLOOKUP(K2500,Accounts!A:B,2,FALSE)</f>
        <v xml:space="preserve">Marriage account</v>
      </c>
      <c r="M2500" t="s">
        <v>124</v>
      </c>
      <c r="N2500" s="10"/>
      <c r="O2500" t="s">
        <v>125</v>
      </c>
      <c r="Q2500" t="s">
        <v>126</v>
      </c>
      <c r="R2500" t="s">
        <v>124</v>
      </c>
      <c r="S2500" t="b">
        <v>0</v>
      </c>
      <c r="T2500" t="s">
        <v>124</v>
      </c>
    </row>
    <row r="2501">
      <c r="A2501" t="s">
        <v>4706</v>
      </c>
      <c r="B2501" t="s">
        <v>4703</v>
      </c>
      <c r="C2501" s="2">
        <v>2022</v>
      </c>
      <c r="D2501" s="10">
        <v>10</v>
      </c>
      <c r="E2501" s="10">
        <v>7</v>
      </c>
      <c r="F2501" t="s">
        <v>1275</v>
      </c>
      <c r="G2501">
        <v>60</v>
      </c>
      <c r="H2501" t="s">
        <v>69</v>
      </c>
      <c r="I2501" t="s">
        <v>150</v>
      </c>
      <c r="J2501" s="10" t="str">
        <f>VLOOKUP(I2501,Categories!A:B,2,FALSE)</f>
        <v xml:space="preserve">Food &amp; Coff</v>
      </c>
      <c r="K2501" t="s">
        <v>123</v>
      </c>
      <c r="L2501" s="10" t="str">
        <f>VLOOKUP(K2501,Accounts!A:B,2,FALSE)</f>
        <v>KBank</v>
      </c>
      <c r="M2501" t="s">
        <v>124</v>
      </c>
      <c r="N2501" s="10"/>
      <c r="O2501" t="s">
        <v>125</v>
      </c>
      <c r="Q2501" t="s">
        <v>126</v>
      </c>
      <c r="R2501" t="s">
        <v>124</v>
      </c>
      <c r="S2501" t="b">
        <v>0</v>
      </c>
      <c r="T2501" t="s">
        <v>124</v>
      </c>
    </row>
    <row r="2502">
      <c r="A2502" t="s">
        <v>4707</v>
      </c>
      <c r="B2502" t="s">
        <v>4703</v>
      </c>
      <c r="C2502" s="2">
        <v>2022</v>
      </c>
      <c r="D2502" s="10">
        <v>10</v>
      </c>
      <c r="E2502" s="10">
        <v>7</v>
      </c>
      <c r="F2502" t="s">
        <v>1797</v>
      </c>
      <c r="G2502">
        <v>65</v>
      </c>
      <c r="H2502" t="s">
        <v>69</v>
      </c>
      <c r="I2502" t="s">
        <v>150</v>
      </c>
      <c r="J2502" s="10" t="str">
        <f>VLOOKUP(I2502,Categories!A:B,2,FALSE)</f>
        <v xml:space="preserve">Food &amp; Coff</v>
      </c>
      <c r="K2502" t="s">
        <v>178</v>
      </c>
      <c r="L2502" s="10" t="str">
        <f>VLOOKUP(K2502,Accounts!A:B,2,FALSE)</f>
        <v>SCB</v>
      </c>
      <c r="M2502" t="s">
        <v>124</v>
      </c>
      <c r="N2502" s="10"/>
      <c r="O2502" t="s">
        <v>125</v>
      </c>
      <c r="Q2502" t="s">
        <v>126</v>
      </c>
      <c r="R2502" t="s">
        <v>124</v>
      </c>
      <c r="S2502" t="b">
        <v>0</v>
      </c>
      <c r="T2502" t="s">
        <v>124</v>
      </c>
    </row>
    <row r="2503">
      <c r="A2503" t="s">
        <v>4708</v>
      </c>
      <c r="B2503" t="s">
        <v>4703</v>
      </c>
      <c r="C2503" s="2">
        <v>2022</v>
      </c>
      <c r="D2503" s="10">
        <v>10</v>
      </c>
      <c r="E2503" s="10">
        <v>7</v>
      </c>
      <c r="F2503" t="s">
        <v>2031</v>
      </c>
      <c r="G2503">
        <v>55</v>
      </c>
      <c r="H2503" t="s">
        <v>69</v>
      </c>
      <c r="I2503" t="s">
        <v>150</v>
      </c>
      <c r="J2503" s="10" t="str">
        <f>VLOOKUP(I2503,Categories!A:B,2,FALSE)</f>
        <v xml:space="preserve">Food &amp; Coff</v>
      </c>
      <c r="K2503" t="s">
        <v>178</v>
      </c>
      <c r="L2503" s="10" t="str">
        <f>VLOOKUP(K2503,Accounts!A:B,2,FALSE)</f>
        <v>SCB</v>
      </c>
      <c r="M2503" t="s">
        <v>124</v>
      </c>
      <c r="N2503" s="10"/>
      <c r="O2503" t="s">
        <v>125</v>
      </c>
      <c r="Q2503" t="s">
        <v>126</v>
      </c>
      <c r="R2503" t="s">
        <v>124</v>
      </c>
      <c r="S2503" t="b">
        <v>0</v>
      </c>
      <c r="T2503" t="s">
        <v>124</v>
      </c>
    </row>
    <row r="2504">
      <c r="A2504" t="s">
        <v>4709</v>
      </c>
      <c r="B2504" t="s">
        <v>4710</v>
      </c>
      <c r="C2504" s="2">
        <v>2022</v>
      </c>
      <c r="D2504" s="10">
        <v>10</v>
      </c>
      <c r="E2504" s="10">
        <v>6</v>
      </c>
      <c r="F2504" t="s">
        <v>4711</v>
      </c>
      <c r="G2504">
        <v>70</v>
      </c>
      <c r="H2504" t="s">
        <v>69</v>
      </c>
      <c r="I2504" t="s">
        <v>150</v>
      </c>
      <c r="J2504" s="10" t="str">
        <f>VLOOKUP(I2504,Categories!A:B,2,FALSE)</f>
        <v xml:space="preserve">Food &amp; Coff</v>
      </c>
      <c r="K2504" t="s">
        <v>123</v>
      </c>
      <c r="L2504" s="10" t="str">
        <f>VLOOKUP(K2504,Accounts!A:B,2,FALSE)</f>
        <v>KBank</v>
      </c>
      <c r="M2504" t="s">
        <v>124</v>
      </c>
      <c r="N2504" s="10"/>
      <c r="O2504" t="s">
        <v>125</v>
      </c>
      <c r="Q2504" t="s">
        <v>126</v>
      </c>
      <c r="R2504" t="s">
        <v>124</v>
      </c>
      <c r="S2504" t="b">
        <v>0</v>
      </c>
      <c r="T2504" t="s">
        <v>124</v>
      </c>
    </row>
    <row r="2505">
      <c r="A2505" t="s">
        <v>4712</v>
      </c>
      <c r="B2505" t="s">
        <v>4710</v>
      </c>
      <c r="C2505" s="2">
        <v>2022</v>
      </c>
      <c r="D2505" s="10">
        <v>10</v>
      </c>
      <c r="E2505" s="10">
        <v>6</v>
      </c>
      <c r="F2505" t="s">
        <v>3203</v>
      </c>
      <c r="G2505">
        <v>65</v>
      </c>
      <c r="H2505" t="s">
        <v>69</v>
      </c>
      <c r="I2505" t="s">
        <v>150</v>
      </c>
      <c r="J2505" s="10" t="str">
        <f>VLOOKUP(I2505,Categories!A:B,2,FALSE)</f>
        <v xml:space="preserve">Food &amp; Coff</v>
      </c>
      <c r="K2505" t="s">
        <v>178</v>
      </c>
      <c r="L2505" s="10" t="str">
        <f>VLOOKUP(K2505,Accounts!A:B,2,FALSE)</f>
        <v>SCB</v>
      </c>
      <c r="M2505" t="s">
        <v>124</v>
      </c>
      <c r="N2505" s="10"/>
      <c r="O2505" t="s">
        <v>125</v>
      </c>
      <c r="Q2505" t="s">
        <v>126</v>
      </c>
      <c r="R2505" t="s">
        <v>124</v>
      </c>
      <c r="S2505" t="b">
        <v>0</v>
      </c>
      <c r="T2505" t="s">
        <v>124</v>
      </c>
    </row>
    <row r="2506">
      <c r="A2506" t="s">
        <v>4713</v>
      </c>
      <c r="B2506" t="s">
        <v>4710</v>
      </c>
      <c r="C2506" s="2">
        <v>2022</v>
      </c>
      <c r="D2506" s="10">
        <v>10</v>
      </c>
      <c r="E2506" s="10">
        <v>6</v>
      </c>
      <c r="F2506" t="s">
        <v>4665</v>
      </c>
      <c r="G2506">
        <v>110</v>
      </c>
      <c r="H2506" t="s">
        <v>69</v>
      </c>
      <c r="I2506" t="s">
        <v>150</v>
      </c>
      <c r="J2506" s="10" t="str">
        <f>VLOOKUP(I2506,Categories!A:B,2,FALSE)</f>
        <v xml:space="preserve">Food &amp; Coff</v>
      </c>
      <c r="K2506" t="s">
        <v>2317</v>
      </c>
      <c r="L2506" s="10" t="str">
        <f>VLOOKUP(K2506,Accounts!A:B,2,FALSE)</f>
        <v xml:space="preserve">Marriage account</v>
      </c>
      <c r="M2506" t="s">
        <v>124</v>
      </c>
      <c r="N2506" s="10"/>
      <c r="O2506" t="s">
        <v>125</v>
      </c>
      <c r="Q2506" t="s">
        <v>126</v>
      </c>
      <c r="R2506" t="s">
        <v>124</v>
      </c>
      <c r="S2506" t="b">
        <v>0</v>
      </c>
      <c r="T2506" t="s">
        <v>124</v>
      </c>
    </row>
    <row r="2507">
      <c r="A2507" t="s">
        <v>4714</v>
      </c>
      <c r="B2507" t="s">
        <v>4710</v>
      </c>
      <c r="C2507" s="2">
        <v>2022</v>
      </c>
      <c r="D2507" s="10">
        <v>10</v>
      </c>
      <c r="E2507" s="10">
        <v>6</v>
      </c>
      <c r="F2507" t="s">
        <v>1784</v>
      </c>
      <c r="G2507">
        <v>269</v>
      </c>
      <c r="H2507" t="s">
        <v>69</v>
      </c>
      <c r="I2507" t="s">
        <v>150</v>
      </c>
      <c r="J2507" s="10" t="str">
        <f>VLOOKUP(I2507,Categories!A:B,2,FALSE)</f>
        <v xml:space="preserve">Food &amp; Coff</v>
      </c>
      <c r="K2507" t="s">
        <v>2317</v>
      </c>
      <c r="L2507" s="10" t="str">
        <f>VLOOKUP(K2507,Accounts!A:B,2,FALSE)</f>
        <v xml:space="preserve">Marriage account</v>
      </c>
      <c r="M2507" t="s">
        <v>124</v>
      </c>
      <c r="N2507" s="10"/>
      <c r="O2507" t="s">
        <v>4715</v>
      </c>
      <c r="Q2507" t="s">
        <v>126</v>
      </c>
      <c r="R2507" t="s">
        <v>124</v>
      </c>
      <c r="S2507" t="b">
        <v>0</v>
      </c>
      <c r="T2507" t="s">
        <v>124</v>
      </c>
    </row>
    <row r="2508">
      <c r="A2508" t="s">
        <v>4716</v>
      </c>
      <c r="B2508" t="s">
        <v>4717</v>
      </c>
      <c r="C2508" s="2">
        <v>2022</v>
      </c>
      <c r="D2508" s="10">
        <v>10</v>
      </c>
      <c r="E2508" s="10">
        <v>5</v>
      </c>
      <c r="F2508" t="s">
        <v>4201</v>
      </c>
      <c r="G2508">
        <v>68</v>
      </c>
      <c r="H2508" t="s">
        <v>69</v>
      </c>
      <c r="I2508" t="s">
        <v>150</v>
      </c>
      <c r="J2508" s="10" t="str">
        <f>VLOOKUP(I2508,Categories!A:B,2,FALSE)</f>
        <v xml:space="preserve">Food &amp; Coff</v>
      </c>
      <c r="K2508" t="s">
        <v>178</v>
      </c>
      <c r="L2508" s="10" t="str">
        <f>VLOOKUP(K2508,Accounts!A:B,2,FALSE)</f>
        <v>SCB</v>
      </c>
      <c r="M2508" t="s">
        <v>124</v>
      </c>
      <c r="N2508" s="10"/>
      <c r="O2508" t="s">
        <v>125</v>
      </c>
      <c r="Q2508" t="s">
        <v>126</v>
      </c>
      <c r="R2508" t="s">
        <v>124</v>
      </c>
      <c r="S2508" t="b">
        <v>0</v>
      </c>
      <c r="T2508" t="s">
        <v>124</v>
      </c>
    </row>
    <row r="2509">
      <c r="A2509" t="s">
        <v>4718</v>
      </c>
      <c r="B2509" t="s">
        <v>4717</v>
      </c>
      <c r="C2509" s="2">
        <v>2022</v>
      </c>
      <c r="D2509" s="10">
        <v>10</v>
      </c>
      <c r="E2509" s="10">
        <v>5</v>
      </c>
      <c r="F2509" t="s">
        <v>4719</v>
      </c>
      <c r="G2509">
        <v>100</v>
      </c>
      <c r="H2509" t="s">
        <v>69</v>
      </c>
      <c r="I2509" t="s">
        <v>150</v>
      </c>
      <c r="J2509" s="10" t="str">
        <f>VLOOKUP(I2509,Categories!A:B,2,FALSE)</f>
        <v xml:space="preserve">Food &amp; Coff</v>
      </c>
      <c r="K2509" t="s">
        <v>2317</v>
      </c>
      <c r="L2509" s="10" t="str">
        <f>VLOOKUP(K2509,Accounts!A:B,2,FALSE)</f>
        <v xml:space="preserve">Marriage account</v>
      </c>
      <c r="M2509" t="s">
        <v>124</v>
      </c>
      <c r="N2509" s="10"/>
      <c r="O2509" t="s">
        <v>125</v>
      </c>
      <c r="Q2509" t="s">
        <v>126</v>
      </c>
      <c r="R2509" t="s">
        <v>124</v>
      </c>
      <c r="S2509" t="b">
        <v>0</v>
      </c>
      <c r="T2509" t="s">
        <v>124</v>
      </c>
    </row>
    <row r="2510">
      <c r="A2510" t="s">
        <v>4720</v>
      </c>
      <c r="B2510" t="s">
        <v>4717</v>
      </c>
      <c r="C2510" s="2">
        <v>2022</v>
      </c>
      <c r="D2510" s="10">
        <v>10</v>
      </c>
      <c r="E2510" s="10">
        <v>5</v>
      </c>
      <c r="F2510" t="s">
        <v>994</v>
      </c>
      <c r="G2510">
        <v>72</v>
      </c>
      <c r="H2510" t="s">
        <v>69</v>
      </c>
      <c r="I2510" t="s">
        <v>150</v>
      </c>
      <c r="J2510" s="10" t="str">
        <f>VLOOKUP(I2510,Categories!A:B,2,FALSE)</f>
        <v xml:space="preserve">Food &amp; Coff</v>
      </c>
      <c r="K2510" t="s">
        <v>178</v>
      </c>
      <c r="L2510" s="10" t="str">
        <f>VLOOKUP(K2510,Accounts!A:B,2,FALSE)</f>
        <v>SCB</v>
      </c>
      <c r="M2510" t="s">
        <v>124</v>
      </c>
      <c r="N2510" s="10"/>
      <c r="O2510" t="s">
        <v>125</v>
      </c>
      <c r="Q2510" t="s">
        <v>126</v>
      </c>
      <c r="R2510" t="s">
        <v>124</v>
      </c>
      <c r="S2510" t="b">
        <v>0</v>
      </c>
      <c r="T2510" t="s">
        <v>124</v>
      </c>
    </row>
    <row r="2511">
      <c r="A2511" t="s">
        <v>4721</v>
      </c>
      <c r="B2511" t="s">
        <v>4717</v>
      </c>
      <c r="C2511" s="2">
        <v>2022</v>
      </c>
      <c r="D2511" s="10">
        <v>10</v>
      </c>
      <c r="E2511" s="10">
        <v>5</v>
      </c>
      <c r="F2511" t="s">
        <v>1797</v>
      </c>
      <c r="G2511">
        <v>60</v>
      </c>
      <c r="H2511" t="s">
        <v>69</v>
      </c>
      <c r="I2511" t="s">
        <v>150</v>
      </c>
      <c r="J2511" s="10" t="str">
        <f>VLOOKUP(I2511,Categories!A:B,2,FALSE)</f>
        <v xml:space="preserve">Food &amp; Coff</v>
      </c>
      <c r="K2511" t="s">
        <v>178</v>
      </c>
      <c r="L2511" s="10" t="str">
        <f>VLOOKUP(K2511,Accounts!A:B,2,FALSE)</f>
        <v>SCB</v>
      </c>
      <c r="M2511" t="s">
        <v>124</v>
      </c>
      <c r="N2511" s="10"/>
      <c r="O2511" t="s">
        <v>125</v>
      </c>
      <c r="Q2511" t="s">
        <v>126</v>
      </c>
      <c r="R2511" t="s">
        <v>124</v>
      </c>
      <c r="S2511" t="b">
        <v>0</v>
      </c>
      <c r="T2511" t="s">
        <v>124</v>
      </c>
    </row>
    <row r="2512">
      <c r="A2512" t="s">
        <v>4722</v>
      </c>
      <c r="B2512" t="s">
        <v>4717</v>
      </c>
      <c r="C2512" s="2">
        <v>2022</v>
      </c>
      <c r="D2512" s="10">
        <v>10</v>
      </c>
      <c r="E2512" s="10">
        <v>5</v>
      </c>
      <c r="F2512" t="s">
        <v>1982</v>
      </c>
      <c r="G2512">
        <v>552</v>
      </c>
      <c r="H2512" t="s">
        <v>69</v>
      </c>
      <c r="I2512" t="s">
        <v>150</v>
      </c>
      <c r="J2512" s="10" t="str">
        <f>VLOOKUP(I2512,Categories!A:B,2,FALSE)</f>
        <v xml:space="preserve">Food &amp; Coff</v>
      </c>
      <c r="K2512" t="s">
        <v>2317</v>
      </c>
      <c r="L2512" s="10" t="str">
        <f>VLOOKUP(K2512,Accounts!A:B,2,FALSE)</f>
        <v xml:space="preserve">Marriage account</v>
      </c>
      <c r="M2512" t="s">
        <v>124</v>
      </c>
      <c r="N2512" s="10"/>
      <c r="O2512" t="s">
        <v>125</v>
      </c>
      <c r="Q2512" t="s">
        <v>126</v>
      </c>
      <c r="R2512" t="s">
        <v>124</v>
      </c>
      <c r="S2512" t="b">
        <v>0</v>
      </c>
      <c r="T2512" t="s">
        <v>124</v>
      </c>
    </row>
    <row r="2513">
      <c r="A2513" t="s">
        <v>4723</v>
      </c>
      <c r="B2513" t="s">
        <v>4717</v>
      </c>
      <c r="C2513" s="2">
        <v>2022</v>
      </c>
      <c r="D2513" s="10">
        <v>10</v>
      </c>
      <c r="E2513" s="10">
        <v>5</v>
      </c>
      <c r="F2513" t="s">
        <v>3305</v>
      </c>
      <c r="G2513">
        <v>99</v>
      </c>
      <c r="H2513" t="s">
        <v>128</v>
      </c>
      <c r="I2513" t="s">
        <v>136</v>
      </c>
      <c r="J2513" s="10" t="str">
        <f>VLOOKUP(I2513,Categories!A:B,2,FALSE)</f>
        <v>อื่นๆ</v>
      </c>
      <c r="K2513" t="s">
        <v>893</v>
      </c>
      <c r="L2513" s="10" t="str">
        <f>VLOOKUP(K2513,Accounts!A:B,2,FALSE)</f>
        <v>Shopee</v>
      </c>
      <c r="M2513" t="s">
        <v>131</v>
      </c>
      <c r="N2513" s="10" t="str">
        <f>VLOOKUP(M2513,Accounts!A:B,2,FALSE)</f>
        <v xml:space="preserve">Advance Paid</v>
      </c>
      <c r="O2513" t="s">
        <v>4724</v>
      </c>
      <c r="Q2513" t="s">
        <v>126</v>
      </c>
      <c r="R2513" t="s">
        <v>124</v>
      </c>
      <c r="S2513" t="b">
        <v>0</v>
      </c>
      <c r="T2513" t="s">
        <v>124</v>
      </c>
    </row>
    <row r="2514">
      <c r="A2514" t="s">
        <v>4725</v>
      </c>
      <c r="B2514" t="s">
        <v>4717</v>
      </c>
      <c r="C2514" s="2">
        <v>2022</v>
      </c>
      <c r="D2514" s="10">
        <v>10</v>
      </c>
      <c r="E2514" s="10">
        <v>5</v>
      </c>
      <c r="F2514" t="s">
        <v>4726</v>
      </c>
      <c r="G2514">
        <v>99</v>
      </c>
      <c r="H2514" t="s">
        <v>69</v>
      </c>
      <c r="I2514" t="s">
        <v>338</v>
      </c>
      <c r="J2514" s="10" t="str">
        <f>VLOOKUP(I2514,Categories!A:B,2,FALSE)</f>
        <v>Trips</v>
      </c>
      <c r="K2514" t="s">
        <v>2317</v>
      </c>
      <c r="L2514" s="10" t="str">
        <f>VLOOKUP(K2514,Accounts!A:B,2,FALSE)</f>
        <v xml:space="preserve">Marriage account</v>
      </c>
      <c r="M2514" t="s">
        <v>124</v>
      </c>
      <c r="N2514" s="10"/>
      <c r="O2514" t="s">
        <v>4727</v>
      </c>
      <c r="Q2514" t="s">
        <v>126</v>
      </c>
      <c r="R2514" t="s">
        <v>124</v>
      </c>
      <c r="S2514" t="b">
        <v>0</v>
      </c>
      <c r="T2514" t="s">
        <v>124</v>
      </c>
    </row>
    <row r="2515">
      <c r="A2515" t="s">
        <v>4728</v>
      </c>
      <c r="B2515" t="s">
        <v>4729</v>
      </c>
      <c r="C2515" s="2">
        <v>2022</v>
      </c>
      <c r="D2515" s="10">
        <v>10</v>
      </c>
      <c r="E2515" s="10">
        <v>4</v>
      </c>
      <c r="F2515" t="s">
        <v>4730</v>
      </c>
      <c r="G2515">
        <v>300</v>
      </c>
      <c r="H2515" t="s">
        <v>128</v>
      </c>
      <c r="I2515" t="s">
        <v>136</v>
      </c>
      <c r="J2515" s="10" t="str">
        <f>VLOOKUP(I2515,Categories!A:B,2,FALSE)</f>
        <v>อื่นๆ</v>
      </c>
      <c r="K2515" t="s">
        <v>178</v>
      </c>
      <c r="L2515" s="10" t="str">
        <f>VLOOKUP(K2515,Accounts!A:B,2,FALSE)</f>
        <v>SCB</v>
      </c>
      <c r="M2515" t="s">
        <v>131</v>
      </c>
      <c r="N2515" s="10" t="str">
        <f>VLOOKUP(M2515,Accounts!A:B,2,FALSE)</f>
        <v xml:space="preserve">Advance Paid</v>
      </c>
      <c r="O2515" t="s">
        <v>4731</v>
      </c>
      <c r="Q2515" t="s">
        <v>126</v>
      </c>
      <c r="R2515" t="s">
        <v>124</v>
      </c>
      <c r="S2515" t="b">
        <v>0</v>
      </c>
      <c r="T2515" t="s">
        <v>124</v>
      </c>
    </row>
    <row r="2516">
      <c r="A2516" t="s">
        <v>4732</v>
      </c>
      <c r="B2516" t="s">
        <v>4729</v>
      </c>
      <c r="C2516" s="2">
        <v>2022</v>
      </c>
      <c r="D2516" s="10">
        <v>10</v>
      </c>
      <c r="E2516" s="10">
        <v>4</v>
      </c>
      <c r="F2516" t="s">
        <v>2842</v>
      </c>
      <c r="G2516">
        <v>85</v>
      </c>
      <c r="H2516" t="s">
        <v>69</v>
      </c>
      <c r="I2516" t="s">
        <v>150</v>
      </c>
      <c r="J2516" s="10" t="str">
        <f>VLOOKUP(I2516,Categories!A:B,2,FALSE)</f>
        <v xml:space="preserve">Food &amp; Coff</v>
      </c>
      <c r="K2516" t="s">
        <v>178</v>
      </c>
      <c r="L2516" s="10" t="str">
        <f>VLOOKUP(K2516,Accounts!A:B,2,FALSE)</f>
        <v>SCB</v>
      </c>
      <c r="M2516" t="s">
        <v>124</v>
      </c>
      <c r="N2516" s="10"/>
      <c r="O2516" t="s">
        <v>125</v>
      </c>
      <c r="Q2516" t="s">
        <v>126</v>
      </c>
      <c r="R2516" t="s">
        <v>124</v>
      </c>
      <c r="S2516" t="b">
        <v>0</v>
      </c>
      <c r="T2516" t="s">
        <v>124</v>
      </c>
    </row>
    <row r="2517">
      <c r="A2517" t="s">
        <v>4733</v>
      </c>
      <c r="B2517" t="s">
        <v>4729</v>
      </c>
      <c r="C2517" s="2">
        <v>2022</v>
      </c>
      <c r="D2517" s="10">
        <v>10</v>
      </c>
      <c r="E2517" s="10">
        <v>4</v>
      </c>
      <c r="F2517" t="s">
        <v>2842</v>
      </c>
      <c r="G2517">
        <v>55</v>
      </c>
      <c r="H2517" t="s">
        <v>69</v>
      </c>
      <c r="I2517" t="s">
        <v>150</v>
      </c>
      <c r="J2517" s="10" t="str">
        <f>VLOOKUP(I2517,Categories!A:B,2,FALSE)</f>
        <v xml:space="preserve">Food &amp; Coff</v>
      </c>
      <c r="K2517" t="s">
        <v>178</v>
      </c>
      <c r="L2517" s="10" t="str">
        <f>VLOOKUP(K2517,Accounts!A:B,2,FALSE)</f>
        <v>SCB</v>
      </c>
      <c r="M2517" t="s">
        <v>124</v>
      </c>
      <c r="N2517" s="10"/>
      <c r="O2517" t="s">
        <v>125</v>
      </c>
      <c r="Q2517" t="s">
        <v>126</v>
      </c>
      <c r="R2517" t="s">
        <v>124</v>
      </c>
      <c r="S2517" t="b">
        <v>0</v>
      </c>
      <c r="T2517" t="s">
        <v>124</v>
      </c>
    </row>
    <row r="2518">
      <c r="A2518" t="s">
        <v>4734</v>
      </c>
      <c r="B2518" t="s">
        <v>4729</v>
      </c>
      <c r="C2518" s="2">
        <v>2022</v>
      </c>
      <c r="D2518" s="10">
        <v>10</v>
      </c>
      <c r="E2518" s="10">
        <v>4</v>
      </c>
      <c r="F2518" t="s">
        <v>992</v>
      </c>
      <c r="G2518">
        <v>50</v>
      </c>
      <c r="H2518" t="s">
        <v>69</v>
      </c>
      <c r="I2518" t="s">
        <v>150</v>
      </c>
      <c r="J2518" s="10" t="str">
        <f>VLOOKUP(I2518,Categories!A:B,2,FALSE)</f>
        <v xml:space="preserve">Food &amp; Coff</v>
      </c>
      <c r="K2518" t="s">
        <v>178</v>
      </c>
      <c r="L2518" s="10" t="str">
        <f>VLOOKUP(K2518,Accounts!A:B,2,FALSE)</f>
        <v>SCB</v>
      </c>
      <c r="M2518" t="s">
        <v>124</v>
      </c>
      <c r="N2518" s="10"/>
      <c r="O2518" t="s">
        <v>125</v>
      </c>
      <c r="Q2518" t="s">
        <v>126</v>
      </c>
      <c r="R2518" t="s">
        <v>124</v>
      </c>
      <c r="S2518" t="b">
        <v>0</v>
      </c>
      <c r="T2518" t="s">
        <v>124</v>
      </c>
    </row>
    <row r="2519">
      <c r="A2519" t="s">
        <v>4735</v>
      </c>
      <c r="B2519" t="s">
        <v>4736</v>
      </c>
      <c r="C2519" s="2">
        <v>2022</v>
      </c>
      <c r="D2519" s="10">
        <v>10</v>
      </c>
      <c r="E2519" s="10">
        <v>3</v>
      </c>
      <c r="F2519" t="s">
        <v>613</v>
      </c>
      <c r="G2519">
        <v>40</v>
      </c>
      <c r="H2519" t="s">
        <v>69</v>
      </c>
      <c r="I2519" t="s">
        <v>1508</v>
      </c>
      <c r="J2519" s="10" t="str">
        <f>VLOOKUP(I2519,Categories!A:B,2,FALSE)</f>
        <v>Other</v>
      </c>
      <c r="K2519" t="s">
        <v>425</v>
      </c>
      <c r="L2519" s="10" t="str">
        <f>VLOOKUP(K2519,Accounts!A:B,2,FALSE)</f>
        <v>Cash</v>
      </c>
      <c r="M2519" t="s">
        <v>124</v>
      </c>
      <c r="N2519" s="10"/>
      <c r="O2519" t="s">
        <v>125</v>
      </c>
      <c r="Q2519" t="s">
        <v>126</v>
      </c>
      <c r="R2519" t="s">
        <v>124</v>
      </c>
      <c r="S2519" t="b">
        <v>0</v>
      </c>
      <c r="T2519" t="s">
        <v>124</v>
      </c>
    </row>
    <row r="2520">
      <c r="A2520" t="s">
        <v>4737</v>
      </c>
      <c r="B2520" t="s">
        <v>4736</v>
      </c>
      <c r="C2520" s="2">
        <v>2022</v>
      </c>
      <c r="D2520" s="10">
        <v>10</v>
      </c>
      <c r="E2520" s="10">
        <v>3</v>
      </c>
      <c r="F2520" t="s">
        <v>1376</v>
      </c>
      <c r="G2520">
        <v>50</v>
      </c>
      <c r="H2520" t="s">
        <v>69</v>
      </c>
      <c r="I2520" t="s">
        <v>1508</v>
      </c>
      <c r="J2520" s="10" t="str">
        <f>VLOOKUP(I2520,Categories!A:B,2,FALSE)</f>
        <v>Other</v>
      </c>
      <c r="K2520" t="s">
        <v>178</v>
      </c>
      <c r="L2520" s="10" t="str">
        <f>VLOOKUP(K2520,Accounts!A:B,2,FALSE)</f>
        <v>SCB</v>
      </c>
      <c r="M2520" t="s">
        <v>124</v>
      </c>
      <c r="N2520" s="10"/>
      <c r="O2520" t="s">
        <v>125</v>
      </c>
      <c r="Q2520" t="s">
        <v>126</v>
      </c>
      <c r="R2520" t="s">
        <v>124</v>
      </c>
      <c r="S2520" t="b">
        <v>0</v>
      </c>
      <c r="T2520" t="s">
        <v>124</v>
      </c>
    </row>
    <row r="2521">
      <c r="A2521" t="s">
        <v>4738</v>
      </c>
      <c r="B2521" t="s">
        <v>4736</v>
      </c>
      <c r="C2521" s="2">
        <v>2022</v>
      </c>
      <c r="D2521" s="10">
        <v>10</v>
      </c>
      <c r="E2521" s="10">
        <v>3</v>
      </c>
      <c r="F2521" t="s">
        <v>3530</v>
      </c>
      <c r="G2521">
        <v>50</v>
      </c>
      <c r="H2521" t="s">
        <v>69</v>
      </c>
      <c r="I2521" t="s">
        <v>150</v>
      </c>
      <c r="J2521" s="10" t="str">
        <f>VLOOKUP(I2521,Categories!A:B,2,FALSE)</f>
        <v xml:space="preserve">Food &amp; Coff</v>
      </c>
      <c r="K2521" t="s">
        <v>178</v>
      </c>
      <c r="L2521" s="10" t="str">
        <f>VLOOKUP(K2521,Accounts!A:B,2,FALSE)</f>
        <v>SCB</v>
      </c>
      <c r="M2521" t="s">
        <v>124</v>
      </c>
      <c r="N2521" s="10"/>
      <c r="O2521" t="s">
        <v>125</v>
      </c>
      <c r="Q2521" t="s">
        <v>126</v>
      </c>
      <c r="R2521" t="s">
        <v>124</v>
      </c>
      <c r="S2521" t="b">
        <v>0</v>
      </c>
      <c r="T2521" t="s">
        <v>124</v>
      </c>
    </row>
    <row r="2522">
      <c r="A2522" t="s">
        <v>4739</v>
      </c>
      <c r="B2522" t="s">
        <v>4740</v>
      </c>
      <c r="C2522" s="2">
        <v>2022</v>
      </c>
      <c r="D2522" s="10">
        <v>10</v>
      </c>
      <c r="E2522" s="10">
        <v>2</v>
      </c>
      <c r="F2522" t="s">
        <v>4741</v>
      </c>
      <c r="G2522">
        <v>88</v>
      </c>
      <c r="H2522" t="s">
        <v>69</v>
      </c>
      <c r="I2522" t="s">
        <v>150</v>
      </c>
      <c r="J2522" s="10" t="str">
        <f>VLOOKUP(I2522,Categories!A:B,2,FALSE)</f>
        <v xml:space="preserve">Food &amp; Coff</v>
      </c>
      <c r="K2522" t="s">
        <v>178</v>
      </c>
      <c r="L2522" s="10" t="str">
        <f>VLOOKUP(K2522,Accounts!A:B,2,FALSE)</f>
        <v>SCB</v>
      </c>
      <c r="M2522" t="s">
        <v>124</v>
      </c>
      <c r="N2522" s="10"/>
      <c r="O2522" t="s">
        <v>125</v>
      </c>
      <c r="Q2522" t="s">
        <v>126</v>
      </c>
      <c r="R2522" t="s">
        <v>124</v>
      </c>
      <c r="S2522" t="b">
        <v>0</v>
      </c>
      <c r="T2522" t="s">
        <v>124</v>
      </c>
    </row>
    <row r="2523">
      <c r="A2523" t="s">
        <v>4742</v>
      </c>
      <c r="B2523" t="s">
        <v>4740</v>
      </c>
      <c r="C2523" s="2">
        <v>2022</v>
      </c>
      <c r="D2523" s="10">
        <v>10</v>
      </c>
      <c r="E2523" s="10">
        <v>2</v>
      </c>
      <c r="F2523" t="s">
        <v>1955</v>
      </c>
      <c r="G2523">
        <v>114</v>
      </c>
      <c r="H2523" t="s">
        <v>69</v>
      </c>
      <c r="I2523" t="s">
        <v>150</v>
      </c>
      <c r="J2523" s="10" t="str">
        <f>VLOOKUP(I2523,Categories!A:B,2,FALSE)</f>
        <v xml:space="preserve">Food &amp; Coff</v>
      </c>
      <c r="K2523" t="s">
        <v>893</v>
      </c>
      <c r="L2523" s="10" t="str">
        <f>VLOOKUP(K2523,Accounts!A:B,2,FALSE)</f>
        <v>Shopee</v>
      </c>
      <c r="M2523" t="s">
        <v>124</v>
      </c>
      <c r="N2523" s="10"/>
      <c r="O2523" t="s">
        <v>125</v>
      </c>
      <c r="Q2523" t="s">
        <v>126</v>
      </c>
      <c r="R2523" t="s">
        <v>124</v>
      </c>
      <c r="S2523" t="b">
        <v>0</v>
      </c>
      <c r="T2523" t="s">
        <v>124</v>
      </c>
    </row>
    <row r="2524">
      <c r="A2524" t="s">
        <v>4743</v>
      </c>
      <c r="B2524" t="s">
        <v>4740</v>
      </c>
      <c r="C2524" s="2">
        <v>2022</v>
      </c>
      <c r="D2524" s="10">
        <v>10</v>
      </c>
      <c r="E2524" s="10">
        <v>2</v>
      </c>
      <c r="F2524" t="s">
        <v>671</v>
      </c>
      <c r="G2524">
        <v>200</v>
      </c>
      <c r="H2524" t="s">
        <v>69</v>
      </c>
      <c r="I2524" t="s">
        <v>122</v>
      </c>
      <c r="J2524" s="10" t="str">
        <f>VLOOKUP(I2524,Categories!A:B,2,FALSE)</f>
        <v>Other</v>
      </c>
      <c r="K2524" t="s">
        <v>178</v>
      </c>
      <c r="L2524" s="10" t="str">
        <f>VLOOKUP(K2524,Accounts!A:B,2,FALSE)</f>
        <v>SCB</v>
      </c>
      <c r="M2524" t="s">
        <v>124</v>
      </c>
      <c r="N2524" s="10"/>
      <c r="O2524" t="s">
        <v>4744</v>
      </c>
      <c r="Q2524" t="s">
        <v>126</v>
      </c>
      <c r="R2524" t="s">
        <v>124</v>
      </c>
      <c r="S2524" t="b">
        <v>0</v>
      </c>
      <c r="T2524" t="s">
        <v>124</v>
      </c>
    </row>
    <row r="2525">
      <c r="A2525" t="s">
        <v>4745</v>
      </c>
      <c r="B2525" t="s">
        <v>4740</v>
      </c>
      <c r="C2525" s="2">
        <v>2022</v>
      </c>
      <c r="D2525" s="10">
        <v>10</v>
      </c>
      <c r="E2525" s="10">
        <v>2</v>
      </c>
      <c r="F2525" t="s">
        <v>4093</v>
      </c>
      <c r="G2525">
        <v>300</v>
      </c>
      <c r="H2525" t="s">
        <v>128</v>
      </c>
      <c r="I2525" t="s">
        <v>136</v>
      </c>
      <c r="J2525" s="10" t="str">
        <f>VLOOKUP(I2525,Categories!A:B,2,FALSE)</f>
        <v>อื่นๆ</v>
      </c>
      <c r="K2525" t="s">
        <v>178</v>
      </c>
      <c r="L2525" s="10" t="str">
        <f>VLOOKUP(K2525,Accounts!A:B,2,FALSE)</f>
        <v>SCB</v>
      </c>
      <c r="M2525" t="s">
        <v>893</v>
      </c>
      <c r="N2525" s="10" t="str">
        <f>VLOOKUP(M2525,Accounts!A:B,2,FALSE)</f>
        <v>Shopee</v>
      </c>
      <c r="O2525" t="s">
        <v>125</v>
      </c>
      <c r="Q2525" t="s">
        <v>126</v>
      </c>
      <c r="R2525" t="s">
        <v>124</v>
      </c>
      <c r="S2525" t="b">
        <v>0</v>
      </c>
      <c r="T2525" t="s">
        <v>124</v>
      </c>
    </row>
    <row r="2526">
      <c r="A2526" t="s">
        <v>4746</v>
      </c>
      <c r="B2526" t="s">
        <v>4747</v>
      </c>
      <c r="C2526" s="2">
        <v>2022</v>
      </c>
      <c r="D2526" s="10">
        <v>10</v>
      </c>
      <c r="E2526" s="10">
        <v>1</v>
      </c>
      <c r="F2526" t="s">
        <v>722</v>
      </c>
      <c r="G2526">
        <v>480</v>
      </c>
      <c r="H2526" t="s">
        <v>69</v>
      </c>
      <c r="I2526" t="s">
        <v>150</v>
      </c>
      <c r="J2526" s="10" t="str">
        <f>VLOOKUP(I2526,Categories!A:B,2,FALSE)</f>
        <v xml:space="preserve">Food &amp; Coff</v>
      </c>
      <c r="K2526" t="s">
        <v>2317</v>
      </c>
      <c r="L2526" s="10" t="str">
        <f>VLOOKUP(K2526,Accounts!A:B,2,FALSE)</f>
        <v xml:space="preserve">Marriage account</v>
      </c>
      <c r="M2526" t="s">
        <v>124</v>
      </c>
      <c r="N2526" s="10"/>
      <c r="O2526" t="s">
        <v>4748</v>
      </c>
      <c r="Q2526" t="s">
        <v>126</v>
      </c>
      <c r="R2526" t="s">
        <v>124</v>
      </c>
      <c r="S2526" t="b">
        <v>0</v>
      </c>
      <c r="T2526" t="s">
        <v>124</v>
      </c>
    </row>
    <row r="2527">
      <c r="A2527" t="s">
        <v>4749</v>
      </c>
      <c r="B2527" t="s">
        <v>4747</v>
      </c>
      <c r="C2527" s="2">
        <v>2022</v>
      </c>
      <c r="D2527" s="10">
        <v>10</v>
      </c>
      <c r="E2527" s="10">
        <v>1</v>
      </c>
      <c r="F2527" t="s">
        <v>2403</v>
      </c>
      <c r="G2527">
        <v>200</v>
      </c>
      <c r="H2527" t="s">
        <v>69</v>
      </c>
      <c r="I2527" t="s">
        <v>122</v>
      </c>
      <c r="J2527" s="10" t="str">
        <f>VLOOKUP(I2527,Categories!A:B,2,FALSE)</f>
        <v>Other</v>
      </c>
      <c r="K2527" t="s">
        <v>178</v>
      </c>
      <c r="L2527" s="10" t="str">
        <f>VLOOKUP(K2527,Accounts!A:B,2,FALSE)</f>
        <v>SCB</v>
      </c>
      <c r="M2527" t="s">
        <v>124</v>
      </c>
      <c r="N2527" s="10"/>
      <c r="O2527" t="s">
        <v>377</v>
      </c>
      <c r="Q2527" t="s">
        <v>126</v>
      </c>
      <c r="R2527" t="s">
        <v>124</v>
      </c>
      <c r="S2527" t="b">
        <v>0</v>
      </c>
      <c r="T2527" t="s">
        <v>124</v>
      </c>
    </row>
    <row r="2528">
      <c r="A2528" t="s">
        <v>4750</v>
      </c>
      <c r="B2528" t="s">
        <v>4747</v>
      </c>
      <c r="C2528" s="2">
        <v>2022</v>
      </c>
      <c r="D2528" s="10">
        <v>10</v>
      </c>
      <c r="E2528" s="10">
        <v>1</v>
      </c>
      <c r="F2528" t="s">
        <v>389</v>
      </c>
      <c r="G2528">
        <v>99</v>
      </c>
      <c r="H2528" t="s">
        <v>69</v>
      </c>
      <c r="I2528" t="s">
        <v>150</v>
      </c>
      <c r="J2528" s="10" t="str">
        <f>VLOOKUP(I2528,Categories!A:B,2,FALSE)</f>
        <v xml:space="preserve">Food &amp; Coff</v>
      </c>
      <c r="K2528" t="s">
        <v>178</v>
      </c>
      <c r="L2528" s="10" t="str">
        <f>VLOOKUP(K2528,Accounts!A:B,2,FALSE)</f>
        <v>SCB</v>
      </c>
      <c r="M2528" t="s">
        <v>124</v>
      </c>
      <c r="N2528" s="10"/>
      <c r="O2528" t="s">
        <v>125</v>
      </c>
      <c r="Q2528" t="s">
        <v>126</v>
      </c>
      <c r="R2528" t="s">
        <v>124</v>
      </c>
      <c r="S2528" t="b">
        <v>0</v>
      </c>
      <c r="T2528" t="s">
        <v>124</v>
      </c>
    </row>
    <row r="2529">
      <c r="A2529" t="s">
        <v>4751</v>
      </c>
      <c r="B2529" t="s">
        <v>4752</v>
      </c>
      <c r="C2529" s="2">
        <v>2022</v>
      </c>
      <c r="D2529" s="10">
        <v>9</v>
      </c>
      <c r="E2529" s="10">
        <v>30</v>
      </c>
      <c r="F2529" t="s">
        <v>4753</v>
      </c>
      <c r="G2529">
        <v>8000</v>
      </c>
      <c r="H2529" t="s">
        <v>128</v>
      </c>
      <c r="I2529" t="s">
        <v>136</v>
      </c>
      <c r="J2529" s="10" t="str">
        <f>VLOOKUP(I2529,Categories!A:B,2,FALSE)</f>
        <v>อื่นๆ</v>
      </c>
      <c r="K2529" t="s">
        <v>425</v>
      </c>
      <c r="L2529" s="10" t="str">
        <f>VLOOKUP(K2529,Accounts!A:B,2,FALSE)</f>
        <v>Cash</v>
      </c>
      <c r="M2529" t="s">
        <v>178</v>
      </c>
      <c r="N2529" s="10" t="str">
        <f>VLOOKUP(M2529,Accounts!A:B,2,FALSE)</f>
        <v>SCB</v>
      </c>
      <c r="O2529" t="s">
        <v>125</v>
      </c>
      <c r="Q2529" t="s">
        <v>126</v>
      </c>
      <c r="R2529" t="s">
        <v>124</v>
      </c>
      <c r="S2529" t="b">
        <v>0</v>
      </c>
      <c r="T2529" t="s">
        <v>124</v>
      </c>
    </row>
    <row r="2530">
      <c r="A2530" t="s">
        <v>4754</v>
      </c>
      <c r="B2530" t="s">
        <v>4752</v>
      </c>
      <c r="C2530" s="2">
        <v>2022</v>
      </c>
      <c r="D2530" s="10">
        <v>9</v>
      </c>
      <c r="E2530" s="10">
        <v>30</v>
      </c>
      <c r="F2530" t="s">
        <v>1057</v>
      </c>
      <c r="G2530">
        <v>40000</v>
      </c>
      <c r="H2530" t="s">
        <v>128</v>
      </c>
      <c r="I2530" t="s">
        <v>136</v>
      </c>
      <c r="J2530" s="10" t="str">
        <f>VLOOKUP(I2530,Categories!A:B,2,FALSE)</f>
        <v>อื่นๆ</v>
      </c>
      <c r="K2530" t="s">
        <v>131</v>
      </c>
      <c r="L2530" s="10" t="str">
        <f>VLOOKUP(K2530,Accounts!A:B,2,FALSE)</f>
        <v xml:space="preserve">Advance Paid</v>
      </c>
      <c r="M2530" t="s">
        <v>178</v>
      </c>
      <c r="N2530" s="10" t="str">
        <f>VLOOKUP(M2530,Accounts!A:B,2,FALSE)</f>
        <v>SCB</v>
      </c>
      <c r="O2530" t="s">
        <v>125</v>
      </c>
      <c r="Q2530" t="s">
        <v>126</v>
      </c>
      <c r="R2530" t="s">
        <v>124</v>
      </c>
      <c r="S2530" t="b">
        <v>0</v>
      </c>
      <c r="T2530" t="s">
        <v>124</v>
      </c>
    </row>
    <row r="2531">
      <c r="A2531" t="s">
        <v>4755</v>
      </c>
      <c r="B2531" t="s">
        <v>4752</v>
      </c>
      <c r="C2531" s="2">
        <v>2022</v>
      </c>
      <c r="D2531" s="10">
        <v>9</v>
      </c>
      <c r="E2531" s="10">
        <v>30</v>
      </c>
      <c r="F2531" t="s">
        <v>1265</v>
      </c>
      <c r="G2531">
        <v>7000</v>
      </c>
      <c r="H2531" t="s">
        <v>128</v>
      </c>
      <c r="I2531" t="s">
        <v>136</v>
      </c>
      <c r="J2531" s="10" t="str">
        <f>VLOOKUP(I2531,Categories!A:B,2,FALSE)</f>
        <v>อื่นๆ</v>
      </c>
      <c r="K2531" t="s">
        <v>425</v>
      </c>
      <c r="L2531" s="10" t="str">
        <f>VLOOKUP(K2531,Accounts!A:B,2,FALSE)</f>
        <v>Cash</v>
      </c>
      <c r="M2531" t="s">
        <v>178</v>
      </c>
      <c r="N2531" s="10" t="str">
        <f>VLOOKUP(M2531,Accounts!A:B,2,FALSE)</f>
        <v>SCB</v>
      </c>
      <c r="O2531" t="s">
        <v>125</v>
      </c>
      <c r="Q2531" t="s">
        <v>126</v>
      </c>
      <c r="R2531" t="s">
        <v>124</v>
      </c>
      <c r="S2531" t="b">
        <v>0</v>
      </c>
      <c r="T2531" t="s">
        <v>124</v>
      </c>
    </row>
    <row r="2532">
      <c r="A2532" t="s">
        <v>4756</v>
      </c>
      <c r="B2532" t="s">
        <v>4752</v>
      </c>
      <c r="C2532" s="2">
        <v>2022</v>
      </c>
      <c r="D2532" s="10">
        <v>9</v>
      </c>
      <c r="E2532" s="10">
        <v>30</v>
      </c>
      <c r="F2532" t="s">
        <v>4757</v>
      </c>
      <c r="G2532">
        <v>15</v>
      </c>
      <c r="H2532" t="s">
        <v>69</v>
      </c>
      <c r="I2532" t="s">
        <v>1508</v>
      </c>
      <c r="J2532" s="10" t="str">
        <f>VLOOKUP(I2532,Categories!A:B,2,FALSE)</f>
        <v>Other</v>
      </c>
      <c r="K2532" t="s">
        <v>178</v>
      </c>
      <c r="L2532" s="10" t="str">
        <f>VLOOKUP(K2532,Accounts!A:B,2,FALSE)</f>
        <v>SCB</v>
      </c>
      <c r="M2532" t="s">
        <v>124</v>
      </c>
      <c r="N2532" s="10"/>
      <c r="O2532" t="s">
        <v>125</v>
      </c>
      <c r="Q2532" t="s">
        <v>126</v>
      </c>
      <c r="R2532" t="s">
        <v>124</v>
      </c>
      <c r="S2532" t="b">
        <v>0</v>
      </c>
      <c r="T2532" t="s">
        <v>124</v>
      </c>
    </row>
    <row r="2533">
      <c r="A2533" t="s">
        <v>4758</v>
      </c>
      <c r="B2533" t="s">
        <v>4752</v>
      </c>
      <c r="C2533" s="2">
        <v>2022</v>
      </c>
      <c r="D2533" s="10">
        <v>9</v>
      </c>
      <c r="E2533" s="10">
        <v>30</v>
      </c>
      <c r="F2533" t="s">
        <v>1881</v>
      </c>
      <c r="G2533">
        <v>400</v>
      </c>
      <c r="H2533" t="s">
        <v>128</v>
      </c>
      <c r="I2533" t="s">
        <v>136</v>
      </c>
      <c r="J2533" s="10" t="str">
        <f>VLOOKUP(I2533,Categories!A:B,2,FALSE)</f>
        <v>อื่นๆ</v>
      </c>
      <c r="K2533" t="s">
        <v>213</v>
      </c>
      <c r="L2533" s="10" t="str">
        <f>VLOOKUP(K2533,Accounts!A:B,2,FALSE)</f>
        <v xml:space="preserve">Krungthai Next</v>
      </c>
      <c r="M2533" t="s">
        <v>425</v>
      </c>
      <c r="N2533" s="10" t="str">
        <f>VLOOKUP(M2533,Accounts!A:B,2,FALSE)</f>
        <v>Cash</v>
      </c>
      <c r="O2533" t="s">
        <v>125</v>
      </c>
      <c r="Q2533" t="s">
        <v>126</v>
      </c>
      <c r="R2533" t="s">
        <v>124</v>
      </c>
      <c r="S2533" t="b">
        <v>0</v>
      </c>
      <c r="T2533" t="s">
        <v>124</v>
      </c>
    </row>
    <row r="2534">
      <c r="A2534" t="s">
        <v>4759</v>
      </c>
      <c r="B2534" t="s">
        <v>4752</v>
      </c>
      <c r="C2534" s="2">
        <v>2022</v>
      </c>
      <c r="D2534" s="10">
        <v>9</v>
      </c>
      <c r="E2534" s="10">
        <v>30</v>
      </c>
      <c r="F2534" t="s">
        <v>504</v>
      </c>
      <c r="G2534">
        <v>3000</v>
      </c>
      <c r="H2534" t="s">
        <v>128</v>
      </c>
      <c r="I2534" t="s">
        <v>136</v>
      </c>
      <c r="J2534" s="10" t="str">
        <f>VLOOKUP(I2534,Categories!A:B,2,FALSE)</f>
        <v>อื่นๆ</v>
      </c>
      <c r="K2534" t="s">
        <v>123</v>
      </c>
      <c r="L2534" s="10" t="str">
        <f>VLOOKUP(K2534,Accounts!A:B,2,FALSE)</f>
        <v>KBank</v>
      </c>
      <c r="M2534" t="s">
        <v>425</v>
      </c>
      <c r="N2534" s="10" t="str">
        <f>VLOOKUP(M2534,Accounts!A:B,2,FALSE)</f>
        <v>Cash</v>
      </c>
      <c r="O2534" t="s">
        <v>125</v>
      </c>
      <c r="Q2534" t="s">
        <v>126</v>
      </c>
      <c r="R2534" t="s">
        <v>124</v>
      </c>
      <c r="S2534" t="b">
        <v>0</v>
      </c>
      <c r="T2534" t="s">
        <v>124</v>
      </c>
    </row>
    <row r="2535">
      <c r="A2535" t="s">
        <v>4760</v>
      </c>
      <c r="B2535" t="s">
        <v>4752</v>
      </c>
      <c r="C2535" s="2">
        <v>2022</v>
      </c>
      <c r="D2535" s="10">
        <v>9</v>
      </c>
      <c r="E2535" s="10">
        <v>30</v>
      </c>
      <c r="F2535" t="s">
        <v>4761</v>
      </c>
      <c r="G2535">
        <v>4500</v>
      </c>
      <c r="H2535" t="s">
        <v>128</v>
      </c>
      <c r="I2535" t="s">
        <v>136</v>
      </c>
      <c r="J2535" s="10" t="str">
        <f>VLOOKUP(I2535,Categories!A:B,2,FALSE)</f>
        <v>อื่นๆ</v>
      </c>
      <c r="K2535" t="s">
        <v>178</v>
      </c>
      <c r="L2535" s="10" t="str">
        <f>VLOOKUP(K2535,Accounts!A:B,2,FALSE)</f>
        <v>SCB</v>
      </c>
      <c r="M2535" t="s">
        <v>425</v>
      </c>
      <c r="N2535" s="10" t="str">
        <f>VLOOKUP(M2535,Accounts!A:B,2,FALSE)</f>
        <v>Cash</v>
      </c>
      <c r="O2535" t="s">
        <v>125</v>
      </c>
      <c r="Q2535" t="s">
        <v>126</v>
      </c>
      <c r="R2535" t="s">
        <v>124</v>
      </c>
      <c r="S2535" t="b">
        <v>0</v>
      </c>
      <c r="T2535" t="s">
        <v>124</v>
      </c>
    </row>
    <row r="2536">
      <c r="A2536" t="s">
        <v>4762</v>
      </c>
      <c r="B2536" t="s">
        <v>4752</v>
      </c>
      <c r="C2536" s="2">
        <v>2022</v>
      </c>
      <c r="D2536" s="10">
        <v>9</v>
      </c>
      <c r="E2536" s="10">
        <v>30</v>
      </c>
      <c r="F2536" t="s">
        <v>3495</v>
      </c>
      <c r="G2536">
        <v>50</v>
      </c>
      <c r="H2536" t="s">
        <v>69</v>
      </c>
      <c r="I2536" t="s">
        <v>150</v>
      </c>
      <c r="J2536" s="10" t="str">
        <f>VLOOKUP(I2536,Categories!A:B,2,FALSE)</f>
        <v xml:space="preserve">Food &amp; Coff</v>
      </c>
      <c r="K2536" t="s">
        <v>178</v>
      </c>
      <c r="L2536" s="10" t="str">
        <f>VLOOKUP(K2536,Accounts!A:B,2,FALSE)</f>
        <v>SCB</v>
      </c>
      <c r="M2536" t="s">
        <v>124</v>
      </c>
      <c r="N2536" s="10"/>
      <c r="O2536" t="s">
        <v>125</v>
      </c>
      <c r="Q2536" t="s">
        <v>126</v>
      </c>
      <c r="R2536" t="s">
        <v>124</v>
      </c>
      <c r="S2536" t="b">
        <v>0</v>
      </c>
      <c r="T2536" t="s">
        <v>124</v>
      </c>
    </row>
    <row r="2537">
      <c r="A2537" t="s">
        <v>4763</v>
      </c>
      <c r="B2537" t="s">
        <v>4752</v>
      </c>
      <c r="C2537" s="2">
        <v>2022</v>
      </c>
      <c r="D2537" s="10">
        <v>9</v>
      </c>
      <c r="E2537" s="10">
        <v>30</v>
      </c>
      <c r="F2537" t="s">
        <v>424</v>
      </c>
      <c r="G2537">
        <v>4000</v>
      </c>
      <c r="H2537" t="s">
        <v>128</v>
      </c>
      <c r="I2537" t="s">
        <v>136</v>
      </c>
      <c r="J2537" s="10" t="str">
        <f>VLOOKUP(I2537,Categories!A:B,2,FALSE)</f>
        <v>อื่นๆ</v>
      </c>
      <c r="K2537" t="s">
        <v>425</v>
      </c>
      <c r="L2537" s="10" t="str">
        <f>VLOOKUP(K2537,Accounts!A:B,2,FALSE)</f>
        <v>Cash</v>
      </c>
      <c r="M2537" t="s">
        <v>131</v>
      </c>
      <c r="N2537" s="10" t="str">
        <f>VLOOKUP(M2537,Accounts!A:B,2,FALSE)</f>
        <v xml:space="preserve">Advance Paid</v>
      </c>
      <c r="O2537" t="s">
        <v>125</v>
      </c>
      <c r="Q2537" t="s">
        <v>126</v>
      </c>
      <c r="R2537" t="s">
        <v>124</v>
      </c>
      <c r="S2537" t="b">
        <v>0</v>
      </c>
      <c r="T2537" t="s">
        <v>124</v>
      </c>
    </row>
    <row r="2538">
      <c r="A2538" t="s">
        <v>4764</v>
      </c>
      <c r="B2538" t="s">
        <v>4765</v>
      </c>
      <c r="C2538" s="2">
        <v>2022</v>
      </c>
      <c r="D2538" s="10">
        <v>9</v>
      </c>
      <c r="E2538" s="10">
        <v>29</v>
      </c>
      <c r="F2538" t="s">
        <v>345</v>
      </c>
      <c r="G2538">
        <v>445</v>
      </c>
      <c r="H2538" t="s">
        <v>69</v>
      </c>
      <c r="I2538" t="s">
        <v>150</v>
      </c>
      <c r="J2538" s="10" t="str">
        <f>VLOOKUP(I2538,Categories!A:B,2,FALSE)</f>
        <v xml:space="preserve">Food &amp; Coff</v>
      </c>
      <c r="K2538" t="s">
        <v>178</v>
      </c>
      <c r="L2538" s="10" t="str">
        <f>VLOOKUP(K2538,Accounts!A:B,2,FALSE)</f>
        <v>SCB</v>
      </c>
      <c r="M2538" t="s">
        <v>124</v>
      </c>
      <c r="N2538" s="10"/>
      <c r="O2538" t="s">
        <v>125</v>
      </c>
      <c r="Q2538" t="s">
        <v>126</v>
      </c>
      <c r="R2538" t="s">
        <v>124</v>
      </c>
      <c r="S2538" t="b">
        <v>0</v>
      </c>
      <c r="T2538" t="s">
        <v>124</v>
      </c>
    </row>
    <row r="2539">
      <c r="A2539" t="s">
        <v>4766</v>
      </c>
      <c r="B2539" t="s">
        <v>4765</v>
      </c>
      <c r="C2539" s="2">
        <v>2022</v>
      </c>
      <c r="D2539" s="10">
        <v>9</v>
      </c>
      <c r="E2539" s="10">
        <v>29</v>
      </c>
      <c r="F2539" t="s">
        <v>345</v>
      </c>
      <c r="G2539">
        <v>10000</v>
      </c>
      <c r="H2539" t="s">
        <v>128</v>
      </c>
      <c r="I2539" t="s">
        <v>136</v>
      </c>
      <c r="J2539" s="10" t="str">
        <f>VLOOKUP(I2539,Categories!A:B,2,FALSE)</f>
        <v>อื่นๆ</v>
      </c>
      <c r="K2539" t="s">
        <v>178</v>
      </c>
      <c r="L2539" s="10" t="str">
        <f>VLOOKUP(K2539,Accounts!A:B,2,FALSE)</f>
        <v>SCB</v>
      </c>
      <c r="M2539" t="s">
        <v>425</v>
      </c>
      <c r="N2539" s="10" t="str">
        <f>VLOOKUP(M2539,Accounts!A:B,2,FALSE)</f>
        <v>Cash</v>
      </c>
      <c r="O2539" t="s">
        <v>125</v>
      </c>
      <c r="Q2539" t="s">
        <v>126</v>
      </c>
      <c r="R2539" t="s">
        <v>124</v>
      </c>
      <c r="S2539" t="b">
        <v>0</v>
      </c>
      <c r="T2539" t="s">
        <v>124</v>
      </c>
    </row>
    <row r="2540">
      <c r="A2540" t="s">
        <v>4767</v>
      </c>
      <c r="B2540" t="s">
        <v>4765</v>
      </c>
      <c r="C2540" s="2">
        <v>2022</v>
      </c>
      <c r="D2540" s="10">
        <v>9</v>
      </c>
      <c r="E2540" s="10">
        <v>29</v>
      </c>
      <c r="F2540" t="s">
        <v>345</v>
      </c>
      <c r="G2540">
        <v>250</v>
      </c>
      <c r="H2540" t="s">
        <v>69</v>
      </c>
      <c r="I2540" t="s">
        <v>150</v>
      </c>
      <c r="J2540" s="10" t="str">
        <f>VLOOKUP(I2540,Categories!A:B,2,FALSE)</f>
        <v xml:space="preserve">Food &amp; Coff</v>
      </c>
      <c r="K2540" t="s">
        <v>178</v>
      </c>
      <c r="L2540" s="10" t="str">
        <f>VLOOKUP(K2540,Accounts!A:B,2,FALSE)</f>
        <v>SCB</v>
      </c>
      <c r="M2540" t="s">
        <v>124</v>
      </c>
      <c r="N2540" s="10"/>
      <c r="O2540" t="s">
        <v>125</v>
      </c>
      <c r="Q2540" t="s">
        <v>126</v>
      </c>
      <c r="R2540" t="s">
        <v>124</v>
      </c>
      <c r="S2540" t="b">
        <v>0</v>
      </c>
      <c r="T2540" t="s">
        <v>124</v>
      </c>
    </row>
    <row r="2541">
      <c r="A2541" t="s">
        <v>4768</v>
      </c>
      <c r="B2541" t="s">
        <v>4769</v>
      </c>
      <c r="C2541" s="2">
        <v>2022</v>
      </c>
      <c r="D2541" s="10">
        <v>9</v>
      </c>
      <c r="E2541" s="10">
        <v>28</v>
      </c>
      <c r="F2541" t="s">
        <v>2822</v>
      </c>
      <c r="G2541">
        <v>114</v>
      </c>
      <c r="H2541" t="s">
        <v>69</v>
      </c>
      <c r="I2541" t="s">
        <v>150</v>
      </c>
      <c r="J2541" s="10" t="str">
        <f>VLOOKUP(I2541,Categories!A:B,2,FALSE)</f>
        <v xml:space="preserve">Food &amp; Coff</v>
      </c>
      <c r="K2541" t="s">
        <v>178</v>
      </c>
      <c r="L2541" s="10" t="str">
        <f>VLOOKUP(K2541,Accounts!A:B,2,FALSE)</f>
        <v>SCB</v>
      </c>
      <c r="M2541" t="s">
        <v>124</v>
      </c>
      <c r="N2541" s="10"/>
      <c r="O2541" t="s">
        <v>125</v>
      </c>
      <c r="Q2541" t="s">
        <v>126</v>
      </c>
      <c r="R2541" t="s">
        <v>124</v>
      </c>
      <c r="S2541" t="b">
        <v>0</v>
      </c>
      <c r="T2541" t="s">
        <v>124</v>
      </c>
    </row>
    <row r="2542">
      <c r="A2542" t="s">
        <v>4770</v>
      </c>
      <c r="B2542" t="s">
        <v>4769</v>
      </c>
      <c r="C2542" s="2">
        <v>2022</v>
      </c>
      <c r="D2542" s="10">
        <v>9</v>
      </c>
      <c r="E2542" s="10">
        <v>28</v>
      </c>
      <c r="F2542" t="s">
        <v>639</v>
      </c>
      <c r="G2542">
        <v>50</v>
      </c>
      <c r="H2542" t="s">
        <v>69</v>
      </c>
      <c r="I2542" t="s">
        <v>150</v>
      </c>
      <c r="J2542" s="10" t="str">
        <f>VLOOKUP(I2542,Categories!A:B,2,FALSE)</f>
        <v xml:space="preserve">Food &amp; Coff</v>
      </c>
      <c r="K2542" t="s">
        <v>178</v>
      </c>
      <c r="L2542" s="10" t="str">
        <f>VLOOKUP(K2542,Accounts!A:B,2,FALSE)</f>
        <v>SCB</v>
      </c>
      <c r="M2542" t="s">
        <v>124</v>
      </c>
      <c r="N2542" s="10"/>
      <c r="O2542" t="s">
        <v>125</v>
      </c>
      <c r="Q2542" t="s">
        <v>126</v>
      </c>
      <c r="R2542" t="s">
        <v>124</v>
      </c>
      <c r="S2542" t="b">
        <v>0</v>
      </c>
      <c r="T2542" t="s">
        <v>124</v>
      </c>
    </row>
    <row r="2543">
      <c r="A2543" t="s">
        <v>4771</v>
      </c>
      <c r="B2543" t="s">
        <v>4769</v>
      </c>
      <c r="C2543" s="2">
        <v>2022</v>
      </c>
      <c r="D2543" s="10">
        <v>9</v>
      </c>
      <c r="E2543" s="10">
        <v>28</v>
      </c>
      <c r="F2543" t="s">
        <v>1079</v>
      </c>
      <c r="G2543">
        <v>20000</v>
      </c>
      <c r="H2543" t="s">
        <v>69</v>
      </c>
      <c r="I2543" t="s">
        <v>1455</v>
      </c>
      <c r="J2543" s="10" t="str">
        <f>VLOOKUP(I2543,Categories!A:B,2,FALSE)</f>
        <v xml:space="preserve">Merit and gift</v>
      </c>
      <c r="K2543" t="s">
        <v>425</v>
      </c>
      <c r="L2543" s="10" t="str">
        <f>VLOOKUP(K2543,Accounts!A:B,2,FALSE)</f>
        <v>Cash</v>
      </c>
      <c r="M2543" t="s">
        <v>124</v>
      </c>
      <c r="N2543" s="10"/>
      <c r="O2543" t="s">
        <v>125</v>
      </c>
      <c r="Q2543" t="s">
        <v>126</v>
      </c>
      <c r="R2543" t="s">
        <v>124</v>
      </c>
      <c r="S2543" t="b">
        <v>0</v>
      </c>
      <c r="T2543" t="s">
        <v>124</v>
      </c>
    </row>
    <row r="2544">
      <c r="A2544" t="s">
        <v>4772</v>
      </c>
      <c r="B2544" t="s">
        <v>4769</v>
      </c>
      <c r="C2544" s="2">
        <v>2022</v>
      </c>
      <c r="D2544" s="10">
        <v>9</v>
      </c>
      <c r="E2544" s="10">
        <v>28</v>
      </c>
      <c r="F2544" t="s">
        <v>1035</v>
      </c>
      <c r="G2544">
        <v>20000</v>
      </c>
      <c r="H2544" t="s">
        <v>128</v>
      </c>
      <c r="I2544" t="s">
        <v>136</v>
      </c>
      <c r="J2544" s="10" t="str">
        <f>VLOOKUP(I2544,Categories!A:B,2,FALSE)</f>
        <v>อื่นๆ</v>
      </c>
      <c r="K2544" t="s">
        <v>844</v>
      </c>
      <c r="L2544" s="10" t="str">
        <f>VLOOKUP(K2544,Accounts!A:B,2,FALSE)</f>
        <v>BBL</v>
      </c>
      <c r="M2544" t="s">
        <v>425</v>
      </c>
      <c r="N2544" s="10" t="str">
        <f>VLOOKUP(M2544,Accounts!A:B,2,FALSE)</f>
        <v>Cash</v>
      </c>
      <c r="O2544" t="s">
        <v>125</v>
      </c>
      <c r="Q2544" t="s">
        <v>126</v>
      </c>
      <c r="R2544" t="s">
        <v>124</v>
      </c>
      <c r="S2544" t="b">
        <v>0</v>
      </c>
      <c r="T2544" t="s">
        <v>124</v>
      </c>
    </row>
    <row r="2545">
      <c r="A2545" t="s">
        <v>4773</v>
      </c>
      <c r="B2545" t="s">
        <v>4769</v>
      </c>
      <c r="C2545" s="2">
        <v>2022</v>
      </c>
      <c r="D2545" s="10">
        <v>9</v>
      </c>
      <c r="E2545" s="10">
        <v>28</v>
      </c>
      <c r="F2545" t="s">
        <v>1035</v>
      </c>
      <c r="G2545">
        <v>5000</v>
      </c>
      <c r="H2545" t="s">
        <v>128</v>
      </c>
      <c r="I2545" t="s">
        <v>136</v>
      </c>
      <c r="J2545" s="10" t="str">
        <f>VLOOKUP(I2545,Categories!A:B,2,FALSE)</f>
        <v>อื่นๆ</v>
      </c>
      <c r="K2545" t="s">
        <v>844</v>
      </c>
      <c r="L2545" s="10" t="str">
        <f>VLOOKUP(K2545,Accounts!A:B,2,FALSE)</f>
        <v>BBL</v>
      </c>
      <c r="M2545" t="s">
        <v>425</v>
      </c>
      <c r="N2545" s="10" t="str">
        <f>VLOOKUP(M2545,Accounts!A:B,2,FALSE)</f>
        <v>Cash</v>
      </c>
      <c r="O2545" t="s">
        <v>125</v>
      </c>
      <c r="Q2545" t="s">
        <v>126</v>
      </c>
      <c r="R2545" t="s">
        <v>124</v>
      </c>
      <c r="S2545" t="b">
        <v>0</v>
      </c>
      <c r="T2545" t="s">
        <v>124</v>
      </c>
    </row>
    <row r="2546">
      <c r="A2546" t="s">
        <v>4774</v>
      </c>
      <c r="B2546" t="s">
        <v>4769</v>
      </c>
      <c r="C2546" s="2">
        <v>2022</v>
      </c>
      <c r="D2546" s="10">
        <v>9</v>
      </c>
      <c r="E2546" s="10">
        <v>28</v>
      </c>
      <c r="F2546" t="s">
        <v>2619</v>
      </c>
      <c r="G2546">
        <v>120</v>
      </c>
      <c r="H2546" t="s">
        <v>69</v>
      </c>
      <c r="I2546" t="s">
        <v>150</v>
      </c>
      <c r="J2546" s="10" t="str">
        <f>VLOOKUP(I2546,Categories!A:B,2,FALSE)</f>
        <v xml:space="preserve">Food &amp; Coff</v>
      </c>
      <c r="K2546" t="s">
        <v>178</v>
      </c>
      <c r="L2546" s="10" t="str">
        <f>VLOOKUP(K2546,Accounts!A:B,2,FALSE)</f>
        <v>SCB</v>
      </c>
      <c r="M2546" t="s">
        <v>124</v>
      </c>
      <c r="N2546" s="10"/>
      <c r="O2546" t="s">
        <v>125</v>
      </c>
      <c r="Q2546" t="s">
        <v>126</v>
      </c>
      <c r="R2546" t="s">
        <v>124</v>
      </c>
      <c r="S2546" t="b">
        <v>0</v>
      </c>
      <c r="T2546" t="s">
        <v>124</v>
      </c>
    </row>
    <row r="2547">
      <c r="A2547" t="s">
        <v>4775</v>
      </c>
      <c r="B2547" t="s">
        <v>4769</v>
      </c>
      <c r="C2547" s="2">
        <v>2022</v>
      </c>
      <c r="D2547" s="10">
        <v>9</v>
      </c>
      <c r="E2547" s="10">
        <v>28</v>
      </c>
      <c r="F2547" t="s">
        <v>1624</v>
      </c>
      <c r="G2547">
        <v>5000</v>
      </c>
      <c r="H2547" t="s">
        <v>69</v>
      </c>
      <c r="I2547" t="s">
        <v>144</v>
      </c>
      <c r="J2547" s="10" t="str">
        <f>VLOOKUP(I2547,Categories!A:B,2,FALSE)</f>
        <v xml:space="preserve">Family paid</v>
      </c>
      <c r="K2547" t="s">
        <v>425</v>
      </c>
      <c r="L2547" s="10" t="str">
        <f>VLOOKUP(K2547,Accounts!A:B,2,FALSE)</f>
        <v>Cash</v>
      </c>
      <c r="M2547" t="s">
        <v>124</v>
      </c>
      <c r="N2547" s="10"/>
      <c r="O2547" t="s">
        <v>125</v>
      </c>
      <c r="Q2547" t="s">
        <v>126</v>
      </c>
      <c r="R2547" t="s">
        <v>124</v>
      </c>
      <c r="S2547" t="b">
        <v>0</v>
      </c>
      <c r="T2547" t="s">
        <v>124</v>
      </c>
    </row>
    <row r="2548">
      <c r="A2548" t="s">
        <v>4776</v>
      </c>
      <c r="B2548" t="s">
        <v>4777</v>
      </c>
      <c r="C2548" s="2">
        <v>2022</v>
      </c>
      <c r="D2548" s="10">
        <v>9</v>
      </c>
      <c r="E2548" s="10">
        <v>27</v>
      </c>
      <c r="F2548" t="s">
        <v>121</v>
      </c>
      <c r="G2548">
        <v>661.19000000000005</v>
      </c>
      <c r="H2548" t="s">
        <v>69</v>
      </c>
      <c r="I2548" t="s">
        <v>199</v>
      </c>
      <c r="J2548" s="10" t="str">
        <f>VLOOKUP(I2548,Categories!A:B,2,FALSE)</f>
        <v xml:space="preserve">Home Chomthong Interest</v>
      </c>
      <c r="K2548" t="s">
        <v>178</v>
      </c>
      <c r="L2548" s="10" t="str">
        <f>VLOOKUP(K2548,Accounts!A:B,2,FALSE)</f>
        <v>SCB</v>
      </c>
      <c r="M2548" t="s">
        <v>124</v>
      </c>
      <c r="N2548" s="10"/>
      <c r="O2548" t="s">
        <v>125</v>
      </c>
      <c r="Q2548" t="s">
        <v>126</v>
      </c>
      <c r="R2548" t="s">
        <v>124</v>
      </c>
      <c r="S2548" t="b">
        <v>0</v>
      </c>
      <c r="T2548" t="s">
        <v>124</v>
      </c>
    </row>
    <row r="2549">
      <c r="A2549" t="s">
        <v>4778</v>
      </c>
      <c r="B2549" t="s">
        <v>4777</v>
      </c>
      <c r="C2549" s="2">
        <v>2022</v>
      </c>
      <c r="D2549" s="10">
        <v>9</v>
      </c>
      <c r="E2549" s="10">
        <v>27</v>
      </c>
      <c r="F2549" t="s">
        <v>121</v>
      </c>
      <c r="G2549">
        <v>2066.4000000000001</v>
      </c>
      <c r="H2549" t="s">
        <v>128</v>
      </c>
      <c r="I2549" t="s">
        <v>136</v>
      </c>
      <c r="J2549" s="10" t="str">
        <f>VLOOKUP(I2549,Categories!A:B,2,FALSE)</f>
        <v>อื่นๆ</v>
      </c>
      <c r="K2549" t="s">
        <v>178</v>
      </c>
      <c r="L2549" s="10" t="str">
        <f>VLOOKUP(K2549,Accounts!A:B,2,FALSE)</f>
        <v>SCB</v>
      </c>
      <c r="M2549" t="s">
        <v>203</v>
      </c>
      <c r="N2549" s="10" t="str">
        <f>VLOOKUP(M2549,Accounts!A:B,2,FALSE)</f>
        <v xml:space="preserve">Provident Fund</v>
      </c>
      <c r="O2549" t="s">
        <v>125</v>
      </c>
      <c r="Q2549" t="s">
        <v>126</v>
      </c>
      <c r="R2549" t="s">
        <v>124</v>
      </c>
      <c r="S2549" t="b">
        <v>0</v>
      </c>
      <c r="T2549" t="s">
        <v>124</v>
      </c>
    </row>
    <row r="2550">
      <c r="A2550" t="s">
        <v>4779</v>
      </c>
      <c r="B2550" t="s">
        <v>4777</v>
      </c>
      <c r="C2550" s="2">
        <v>2022</v>
      </c>
      <c r="D2550" s="10">
        <v>9</v>
      </c>
      <c r="E2550" s="10">
        <v>27</v>
      </c>
      <c r="F2550" t="s">
        <v>121</v>
      </c>
      <c r="G2550">
        <v>7290</v>
      </c>
      <c r="H2550" t="s">
        <v>128</v>
      </c>
      <c r="I2550" t="s">
        <v>136</v>
      </c>
      <c r="J2550" s="10" t="str">
        <f>VLOOKUP(I2550,Categories!A:B,2,FALSE)</f>
        <v>อื่นๆ</v>
      </c>
      <c r="K2550" t="s">
        <v>178</v>
      </c>
      <c r="L2550" s="10" t="str">
        <f>VLOOKUP(K2550,Accounts!A:B,2,FALSE)</f>
        <v>SCB</v>
      </c>
      <c r="M2550" t="s">
        <v>1244</v>
      </c>
      <c r="N2550" s="10" t="str">
        <f>VLOOKUP(M2550,Accounts!A:B,2,FALSE)</f>
        <v xml:space="preserve">Home chomthong Loan</v>
      </c>
      <c r="O2550" t="s">
        <v>125</v>
      </c>
      <c r="Q2550" t="s">
        <v>126</v>
      </c>
      <c r="R2550" t="s">
        <v>124</v>
      </c>
      <c r="S2550" t="b">
        <v>0</v>
      </c>
      <c r="T2550" t="s">
        <v>124</v>
      </c>
    </row>
    <row r="2551">
      <c r="A2551" t="s">
        <v>4780</v>
      </c>
      <c r="B2551" t="s">
        <v>4777</v>
      </c>
      <c r="C2551" s="2">
        <v>2022</v>
      </c>
      <c r="D2551" s="10">
        <v>9</v>
      </c>
      <c r="E2551" s="10">
        <v>27</v>
      </c>
      <c r="F2551" t="s">
        <v>121</v>
      </c>
      <c r="G2551">
        <v>119.48</v>
      </c>
      <c r="H2551" t="s">
        <v>69</v>
      </c>
      <c r="I2551" t="s">
        <v>443</v>
      </c>
      <c r="J2551" s="10" t="str">
        <f>VLOOKUP(I2551,Categories!A:B,2,FALSE)</f>
        <v xml:space="preserve">City SV Interest</v>
      </c>
      <c r="K2551" t="s">
        <v>178</v>
      </c>
      <c r="L2551" s="10" t="str">
        <f>VLOOKUP(K2551,Accounts!A:B,2,FALSE)</f>
        <v>SCB</v>
      </c>
      <c r="M2551" t="s">
        <v>124</v>
      </c>
      <c r="N2551" s="10"/>
      <c r="O2551" t="s">
        <v>125</v>
      </c>
      <c r="Q2551" t="s">
        <v>126</v>
      </c>
      <c r="R2551" t="s">
        <v>124</v>
      </c>
      <c r="S2551" t="b">
        <v>0</v>
      </c>
      <c r="T2551" t="s">
        <v>124</v>
      </c>
    </row>
    <row r="2552">
      <c r="A2552" t="s">
        <v>4781</v>
      </c>
      <c r="B2552" t="s">
        <v>4777</v>
      </c>
      <c r="C2552" s="2">
        <v>2022</v>
      </c>
      <c r="D2552" s="10">
        <v>9</v>
      </c>
      <c r="E2552" s="10">
        <v>27</v>
      </c>
      <c r="F2552" t="s">
        <v>121</v>
      </c>
      <c r="G2552">
        <v>103320</v>
      </c>
      <c r="H2552" t="s">
        <v>206</v>
      </c>
      <c r="I2552" t="s">
        <v>207</v>
      </c>
      <c r="J2552" s="10" t="str">
        <f>VLOOKUP(I2552,Categories!A:B,2,FALSE)</f>
        <v>Salary</v>
      </c>
      <c r="K2552" t="s">
        <v>178</v>
      </c>
      <c r="L2552" s="10" t="str">
        <f>VLOOKUP(K2552,Accounts!A:B,2,FALSE)</f>
        <v>SCB</v>
      </c>
      <c r="M2552" t="s">
        <v>124</v>
      </c>
      <c r="N2552" s="10"/>
      <c r="O2552" t="s">
        <v>125</v>
      </c>
      <c r="Q2552" t="s">
        <v>126</v>
      </c>
      <c r="R2552" t="s">
        <v>124</v>
      </c>
      <c r="S2552" t="b">
        <v>0</v>
      </c>
      <c r="T2552" t="s">
        <v>124</v>
      </c>
    </row>
    <row r="2553">
      <c r="A2553" t="s">
        <v>4782</v>
      </c>
      <c r="B2553" t="s">
        <v>4777</v>
      </c>
      <c r="C2553" s="2">
        <v>2022</v>
      </c>
      <c r="D2553" s="10">
        <v>9</v>
      </c>
      <c r="E2553" s="10">
        <v>27</v>
      </c>
      <c r="F2553" t="s">
        <v>121</v>
      </c>
      <c r="G2553">
        <v>500</v>
      </c>
      <c r="H2553" t="s">
        <v>128</v>
      </c>
      <c r="I2553" t="s">
        <v>136</v>
      </c>
      <c r="J2553" s="10" t="str">
        <f>VLOOKUP(I2553,Categories!A:B,2,FALSE)</f>
        <v>อื่นๆ</v>
      </c>
      <c r="K2553" t="s">
        <v>178</v>
      </c>
      <c r="L2553" s="10" t="str">
        <f>VLOOKUP(K2553,Accounts!A:B,2,FALSE)</f>
        <v>SCB</v>
      </c>
      <c r="M2553" t="s">
        <v>201</v>
      </c>
      <c r="N2553" s="10" t="str">
        <f>VLOOKUP(M2553,Accounts!A:B,2,FALSE)</f>
        <v>Coop</v>
      </c>
      <c r="O2553" t="s">
        <v>125</v>
      </c>
      <c r="Q2553" t="s">
        <v>126</v>
      </c>
      <c r="R2553" t="s">
        <v>124</v>
      </c>
      <c r="S2553" t="b">
        <v>0</v>
      </c>
      <c r="T2553" t="s">
        <v>124</v>
      </c>
    </row>
    <row r="2554">
      <c r="A2554" t="s">
        <v>4783</v>
      </c>
      <c r="B2554" t="s">
        <v>4777</v>
      </c>
      <c r="C2554" s="2">
        <v>2022</v>
      </c>
      <c r="D2554" s="10">
        <v>9</v>
      </c>
      <c r="E2554" s="10">
        <v>27</v>
      </c>
      <c r="F2554" t="s">
        <v>121</v>
      </c>
      <c r="G2554">
        <v>9240</v>
      </c>
      <c r="H2554" t="s">
        <v>128</v>
      </c>
      <c r="I2554" t="s">
        <v>136</v>
      </c>
      <c r="J2554" s="10" t="str">
        <f>VLOOKUP(I2554,Categories!A:B,2,FALSE)</f>
        <v>อื่นๆ</v>
      </c>
      <c r="K2554" t="s">
        <v>178</v>
      </c>
      <c r="L2554" s="10" t="str">
        <f>VLOOKUP(K2554,Accounts!A:B,2,FALSE)</f>
        <v>SCB</v>
      </c>
      <c r="M2554" t="s">
        <v>1246</v>
      </c>
      <c r="N2554" s="10" t="str">
        <f>VLOOKUP(M2554,Accounts!A:B,2,FALSE)</f>
        <v xml:space="preserve">Car Loan</v>
      </c>
      <c r="O2554" t="s">
        <v>125</v>
      </c>
      <c r="Q2554" t="s">
        <v>126</v>
      </c>
      <c r="R2554" t="s">
        <v>124</v>
      </c>
      <c r="S2554" t="b">
        <v>0</v>
      </c>
      <c r="T2554" t="s">
        <v>124</v>
      </c>
    </row>
    <row r="2555">
      <c r="A2555" t="s">
        <v>4784</v>
      </c>
      <c r="B2555" t="s">
        <v>4777</v>
      </c>
      <c r="C2555" s="2">
        <v>2022</v>
      </c>
      <c r="D2555" s="10">
        <v>9</v>
      </c>
      <c r="E2555" s="10">
        <v>27</v>
      </c>
      <c r="F2555" t="s">
        <v>121</v>
      </c>
      <c r="G2555">
        <v>505.93000000000001</v>
      </c>
      <c r="H2555" t="s">
        <v>69</v>
      </c>
      <c r="I2555" t="s">
        <v>195</v>
      </c>
      <c r="J2555" s="10" t="str">
        <f>VLOOKUP(I2555,Categories!A:B,2,FALSE)</f>
        <v>Tax</v>
      </c>
      <c r="K2555" t="s">
        <v>178</v>
      </c>
      <c r="L2555" s="10" t="str">
        <f>VLOOKUP(K2555,Accounts!A:B,2,FALSE)</f>
        <v>SCB</v>
      </c>
      <c r="M2555" t="s">
        <v>124</v>
      </c>
      <c r="N2555" s="10"/>
      <c r="O2555" t="s">
        <v>125</v>
      </c>
      <c r="Q2555" t="s">
        <v>126</v>
      </c>
      <c r="R2555" t="s">
        <v>124</v>
      </c>
      <c r="S2555" t="b">
        <v>0</v>
      </c>
      <c r="T2555" t="s">
        <v>124</v>
      </c>
    </row>
    <row r="2556">
      <c r="A2556" t="s">
        <v>4785</v>
      </c>
      <c r="B2556" t="s">
        <v>4777</v>
      </c>
      <c r="C2556" s="2">
        <v>2022</v>
      </c>
      <c r="D2556" s="10">
        <v>9</v>
      </c>
      <c r="E2556" s="10">
        <v>27</v>
      </c>
      <c r="F2556" t="s">
        <v>121</v>
      </c>
      <c r="G2556">
        <v>90</v>
      </c>
      <c r="H2556" t="s">
        <v>69</v>
      </c>
      <c r="I2556" t="s">
        <v>144</v>
      </c>
      <c r="J2556" s="10" t="str">
        <f>VLOOKUP(I2556,Categories!A:B,2,FALSE)</f>
        <v xml:space="preserve">Family paid</v>
      </c>
      <c r="K2556" t="s">
        <v>178</v>
      </c>
      <c r="L2556" s="10" t="str">
        <f>VLOOKUP(K2556,Accounts!A:B,2,FALSE)</f>
        <v>SCB</v>
      </c>
      <c r="M2556" t="s">
        <v>124</v>
      </c>
      <c r="N2556" s="10"/>
      <c r="O2556" t="s">
        <v>1413</v>
      </c>
      <c r="Q2556" t="s">
        <v>126</v>
      </c>
      <c r="R2556" t="s">
        <v>124</v>
      </c>
      <c r="S2556" t="b">
        <v>0</v>
      </c>
      <c r="T2556" t="s">
        <v>124</v>
      </c>
    </row>
    <row r="2557">
      <c r="A2557" t="s">
        <v>4786</v>
      </c>
      <c r="B2557" t="s">
        <v>4777</v>
      </c>
      <c r="C2557" s="2">
        <v>2022</v>
      </c>
      <c r="D2557" s="10">
        <v>9</v>
      </c>
      <c r="E2557" s="10">
        <v>27</v>
      </c>
      <c r="F2557" t="s">
        <v>2677</v>
      </c>
      <c r="G2557">
        <v>245</v>
      </c>
      <c r="H2557" t="s">
        <v>69</v>
      </c>
      <c r="I2557" t="s">
        <v>150</v>
      </c>
      <c r="J2557" s="10" t="str">
        <f>VLOOKUP(I2557,Categories!A:B,2,FALSE)</f>
        <v xml:space="preserve">Food &amp; Coff</v>
      </c>
      <c r="K2557" t="s">
        <v>2513</v>
      </c>
      <c r="L2557" s="10" t="str">
        <f>VLOOKUP(K2557,Accounts!A:B,2,FALSE)</f>
        <v xml:space="preserve">Pao tung</v>
      </c>
      <c r="M2557" t="s">
        <v>124</v>
      </c>
      <c r="N2557" s="10"/>
      <c r="O2557" t="s">
        <v>125</v>
      </c>
      <c r="Q2557" t="s">
        <v>126</v>
      </c>
      <c r="R2557" t="s">
        <v>124</v>
      </c>
      <c r="S2557" t="b">
        <v>0</v>
      </c>
      <c r="T2557" t="s">
        <v>124</v>
      </c>
    </row>
    <row r="2558">
      <c r="A2558" t="s">
        <v>4787</v>
      </c>
      <c r="B2558" t="s">
        <v>4777</v>
      </c>
      <c r="C2558" s="2">
        <v>2022</v>
      </c>
      <c r="D2558" s="10">
        <v>9</v>
      </c>
      <c r="E2558" s="10">
        <v>27</v>
      </c>
      <c r="F2558" t="s">
        <v>3119</v>
      </c>
      <c r="G2558">
        <v>110</v>
      </c>
      <c r="H2558" t="s">
        <v>69</v>
      </c>
      <c r="I2558" t="s">
        <v>150</v>
      </c>
      <c r="J2558" s="10" t="str">
        <f>VLOOKUP(I2558,Categories!A:B,2,FALSE)</f>
        <v xml:space="preserve">Food &amp; Coff</v>
      </c>
      <c r="K2558" t="s">
        <v>2317</v>
      </c>
      <c r="L2558" s="10" t="str">
        <f>VLOOKUP(K2558,Accounts!A:B,2,FALSE)</f>
        <v xml:space="preserve">Marriage account</v>
      </c>
      <c r="M2558" t="s">
        <v>124</v>
      </c>
      <c r="N2558" s="10"/>
      <c r="O2558" t="s">
        <v>125</v>
      </c>
      <c r="Q2558" t="s">
        <v>126</v>
      </c>
      <c r="R2558" t="s">
        <v>124</v>
      </c>
      <c r="S2558" t="b">
        <v>0</v>
      </c>
      <c r="T2558" t="s">
        <v>124</v>
      </c>
    </row>
    <row r="2559">
      <c r="A2559" t="s">
        <v>4788</v>
      </c>
      <c r="B2559" t="s">
        <v>4777</v>
      </c>
      <c r="C2559" s="2">
        <v>2022</v>
      </c>
      <c r="D2559" s="10">
        <v>9</v>
      </c>
      <c r="E2559" s="10">
        <v>27</v>
      </c>
      <c r="F2559" t="s">
        <v>2134</v>
      </c>
      <c r="G2559">
        <v>70</v>
      </c>
      <c r="H2559" t="s">
        <v>69</v>
      </c>
      <c r="I2559" t="s">
        <v>150</v>
      </c>
      <c r="J2559" s="10" t="str">
        <f>VLOOKUP(I2559,Categories!A:B,2,FALSE)</f>
        <v xml:space="preserve">Food &amp; Coff</v>
      </c>
      <c r="K2559" t="s">
        <v>123</v>
      </c>
      <c r="L2559" s="10" t="str">
        <f>VLOOKUP(K2559,Accounts!A:B,2,FALSE)</f>
        <v>KBank</v>
      </c>
      <c r="M2559" t="s">
        <v>124</v>
      </c>
      <c r="N2559" s="10"/>
      <c r="O2559" t="s">
        <v>125</v>
      </c>
      <c r="Q2559" t="s">
        <v>126</v>
      </c>
      <c r="R2559" t="s">
        <v>124</v>
      </c>
      <c r="S2559" t="b">
        <v>0</v>
      </c>
      <c r="T2559" t="s">
        <v>124</v>
      </c>
    </row>
    <row r="2560">
      <c r="A2560" t="s">
        <v>4789</v>
      </c>
      <c r="B2560" t="s">
        <v>4790</v>
      </c>
      <c r="C2560" s="2">
        <v>2022</v>
      </c>
      <c r="D2560" s="10">
        <v>9</v>
      </c>
      <c r="E2560" s="10">
        <v>26</v>
      </c>
      <c r="F2560" t="s">
        <v>4791</v>
      </c>
      <c r="G2560">
        <v>87</v>
      </c>
      <c r="H2560" t="s">
        <v>69</v>
      </c>
      <c r="I2560" t="s">
        <v>150</v>
      </c>
      <c r="J2560" s="10" t="str">
        <f>VLOOKUP(I2560,Categories!A:B,2,FALSE)</f>
        <v xml:space="preserve">Food &amp; Coff</v>
      </c>
      <c r="K2560" t="s">
        <v>123</v>
      </c>
      <c r="L2560" s="10" t="str">
        <f>VLOOKUP(K2560,Accounts!A:B,2,FALSE)</f>
        <v>KBank</v>
      </c>
      <c r="M2560" t="s">
        <v>124</v>
      </c>
      <c r="N2560" s="10"/>
      <c r="O2560" t="s">
        <v>125</v>
      </c>
      <c r="Q2560" t="s">
        <v>126</v>
      </c>
      <c r="R2560" t="s">
        <v>124</v>
      </c>
      <c r="S2560" t="b">
        <v>0</v>
      </c>
      <c r="T2560" t="s">
        <v>124</v>
      </c>
    </row>
    <row r="2561">
      <c r="A2561" t="s">
        <v>4792</v>
      </c>
      <c r="B2561" t="s">
        <v>4790</v>
      </c>
      <c r="C2561" s="2">
        <v>2022</v>
      </c>
      <c r="D2561" s="10">
        <v>9</v>
      </c>
      <c r="E2561" s="10">
        <v>26</v>
      </c>
      <c r="F2561" t="s">
        <v>3119</v>
      </c>
      <c r="G2561">
        <v>35</v>
      </c>
      <c r="H2561" t="s">
        <v>69</v>
      </c>
      <c r="I2561" t="s">
        <v>150</v>
      </c>
      <c r="J2561" s="10" t="str">
        <f>VLOOKUP(I2561,Categories!A:B,2,FALSE)</f>
        <v xml:space="preserve">Food &amp; Coff</v>
      </c>
      <c r="K2561" t="s">
        <v>2317</v>
      </c>
      <c r="L2561" s="10" t="str">
        <f>VLOOKUP(K2561,Accounts!A:B,2,FALSE)</f>
        <v xml:space="preserve">Marriage account</v>
      </c>
      <c r="M2561" t="s">
        <v>124</v>
      </c>
      <c r="N2561" s="10"/>
      <c r="O2561" t="s">
        <v>125</v>
      </c>
      <c r="Q2561" t="s">
        <v>126</v>
      </c>
      <c r="R2561" t="s">
        <v>124</v>
      </c>
      <c r="S2561" t="b">
        <v>0</v>
      </c>
      <c r="T2561" t="s">
        <v>124</v>
      </c>
    </row>
    <row r="2562">
      <c r="A2562" t="s">
        <v>4793</v>
      </c>
      <c r="B2562" t="s">
        <v>4794</v>
      </c>
      <c r="C2562" s="2">
        <v>2022</v>
      </c>
      <c r="D2562" s="10">
        <v>9</v>
      </c>
      <c r="E2562" s="10">
        <v>25</v>
      </c>
      <c r="F2562" t="s">
        <v>992</v>
      </c>
      <c r="G2562">
        <v>1150</v>
      </c>
      <c r="H2562" t="s">
        <v>69</v>
      </c>
      <c r="I2562" t="s">
        <v>3276</v>
      </c>
      <c r="J2562" s="10" t="str">
        <f>VLOOKUP(I2562,Categories!A:B,2,FALSE)</f>
        <v>Fuel</v>
      </c>
      <c r="K2562" t="s">
        <v>2317</v>
      </c>
      <c r="L2562" s="10" t="str">
        <f>VLOOKUP(K2562,Accounts!A:B,2,FALSE)</f>
        <v xml:space="preserve">Marriage account</v>
      </c>
      <c r="M2562" t="s">
        <v>124</v>
      </c>
      <c r="N2562" s="10"/>
      <c r="O2562" t="s">
        <v>125</v>
      </c>
      <c r="Q2562" t="s">
        <v>126</v>
      </c>
      <c r="R2562" t="s">
        <v>124</v>
      </c>
      <c r="S2562" t="b">
        <v>0</v>
      </c>
      <c r="T2562" t="s">
        <v>124</v>
      </c>
    </row>
    <row r="2563">
      <c r="A2563" t="s">
        <v>4795</v>
      </c>
      <c r="B2563" t="s">
        <v>4794</v>
      </c>
      <c r="C2563" s="2">
        <v>2022</v>
      </c>
      <c r="D2563" s="10">
        <v>9</v>
      </c>
      <c r="E2563" s="10">
        <v>25</v>
      </c>
      <c r="F2563" t="s">
        <v>992</v>
      </c>
      <c r="G2563">
        <v>364</v>
      </c>
      <c r="H2563" t="s">
        <v>69</v>
      </c>
      <c r="I2563" t="s">
        <v>150</v>
      </c>
      <c r="J2563" s="10" t="str">
        <f>VLOOKUP(I2563,Categories!A:B,2,FALSE)</f>
        <v xml:space="preserve">Food &amp; Coff</v>
      </c>
      <c r="K2563" t="s">
        <v>123</v>
      </c>
      <c r="L2563" s="10" t="str">
        <f>VLOOKUP(K2563,Accounts!A:B,2,FALSE)</f>
        <v>KBank</v>
      </c>
      <c r="M2563" t="s">
        <v>124</v>
      </c>
      <c r="N2563" s="10"/>
      <c r="O2563" t="s">
        <v>4796</v>
      </c>
      <c r="Q2563" t="s">
        <v>126</v>
      </c>
      <c r="R2563" t="s">
        <v>124</v>
      </c>
      <c r="S2563" t="b">
        <v>0</v>
      </c>
      <c r="T2563" t="s">
        <v>124</v>
      </c>
    </row>
    <row r="2564">
      <c r="A2564" t="s">
        <v>4797</v>
      </c>
      <c r="B2564" t="s">
        <v>4794</v>
      </c>
      <c r="C2564" s="2">
        <v>2022</v>
      </c>
      <c r="D2564" s="10">
        <v>9</v>
      </c>
      <c r="E2564" s="10">
        <v>25</v>
      </c>
      <c r="F2564" t="s">
        <v>3444</v>
      </c>
      <c r="G2564">
        <v>165</v>
      </c>
      <c r="H2564" t="s">
        <v>69</v>
      </c>
      <c r="I2564" t="s">
        <v>3504</v>
      </c>
      <c r="J2564" s="10" t="str">
        <f>VLOOKUP(I2564,Categories!A:B,2,FALSE)</f>
        <v xml:space="preserve">Condo suppliers</v>
      </c>
      <c r="K2564" t="s">
        <v>123</v>
      </c>
      <c r="L2564" s="10" t="str">
        <f>VLOOKUP(K2564,Accounts!A:B,2,FALSE)</f>
        <v>KBank</v>
      </c>
      <c r="M2564" t="s">
        <v>124</v>
      </c>
      <c r="N2564" s="10"/>
      <c r="O2564" t="s">
        <v>4798</v>
      </c>
      <c r="Q2564" t="s">
        <v>126</v>
      </c>
      <c r="R2564" t="s">
        <v>124</v>
      </c>
      <c r="S2564" t="b">
        <v>0</v>
      </c>
      <c r="T2564" t="s">
        <v>124</v>
      </c>
    </row>
    <row r="2565">
      <c r="A2565" t="s">
        <v>4799</v>
      </c>
      <c r="B2565" t="s">
        <v>4794</v>
      </c>
      <c r="C2565" s="2">
        <v>2022</v>
      </c>
      <c r="D2565" s="10">
        <v>9</v>
      </c>
      <c r="E2565" s="10">
        <v>25</v>
      </c>
      <c r="F2565" t="s">
        <v>2143</v>
      </c>
      <c r="G2565">
        <v>351</v>
      </c>
      <c r="H2565" t="s">
        <v>69</v>
      </c>
      <c r="I2565" t="s">
        <v>150</v>
      </c>
      <c r="J2565" s="10" t="str">
        <f>VLOOKUP(I2565,Categories!A:B,2,FALSE)</f>
        <v xml:space="preserve">Food &amp; Coff</v>
      </c>
      <c r="K2565" t="s">
        <v>2317</v>
      </c>
      <c r="L2565" s="10" t="str">
        <f>VLOOKUP(K2565,Accounts!A:B,2,FALSE)</f>
        <v xml:space="preserve">Marriage account</v>
      </c>
      <c r="M2565" t="s">
        <v>124</v>
      </c>
      <c r="N2565" s="10"/>
      <c r="O2565" t="s">
        <v>4800</v>
      </c>
      <c r="Q2565" t="s">
        <v>126</v>
      </c>
      <c r="R2565" t="s">
        <v>124</v>
      </c>
      <c r="S2565" t="b">
        <v>0</v>
      </c>
      <c r="T2565" t="s">
        <v>124</v>
      </c>
    </row>
    <row r="2566">
      <c r="A2566" t="s">
        <v>4801</v>
      </c>
      <c r="B2566" t="s">
        <v>4794</v>
      </c>
      <c r="C2566" s="2">
        <v>2022</v>
      </c>
      <c r="D2566" s="10">
        <v>9</v>
      </c>
      <c r="E2566" s="10">
        <v>25</v>
      </c>
      <c r="F2566" t="s">
        <v>3623</v>
      </c>
      <c r="G2566">
        <v>141</v>
      </c>
      <c r="H2566" t="s">
        <v>69</v>
      </c>
      <c r="I2566" t="s">
        <v>150</v>
      </c>
      <c r="J2566" s="10" t="str">
        <f>VLOOKUP(I2566,Categories!A:B,2,FALSE)</f>
        <v xml:space="preserve">Food &amp; Coff</v>
      </c>
      <c r="K2566" t="s">
        <v>123</v>
      </c>
      <c r="L2566" s="10" t="str">
        <f>VLOOKUP(K2566,Accounts!A:B,2,FALSE)</f>
        <v>KBank</v>
      </c>
      <c r="M2566" t="s">
        <v>124</v>
      </c>
      <c r="N2566" s="10"/>
      <c r="O2566" t="s">
        <v>125</v>
      </c>
      <c r="Q2566" t="s">
        <v>126</v>
      </c>
      <c r="R2566" t="s">
        <v>124</v>
      </c>
      <c r="S2566" t="b">
        <v>0</v>
      </c>
      <c r="T2566" t="s">
        <v>124</v>
      </c>
    </row>
    <row r="2567">
      <c r="A2567" t="s">
        <v>4802</v>
      </c>
      <c r="B2567" t="s">
        <v>4794</v>
      </c>
      <c r="C2567" s="2">
        <v>2022</v>
      </c>
      <c r="D2567" s="10">
        <v>9</v>
      </c>
      <c r="E2567" s="10">
        <v>25</v>
      </c>
      <c r="F2567" t="s">
        <v>3620</v>
      </c>
      <c r="G2567">
        <v>659</v>
      </c>
      <c r="H2567" t="s">
        <v>128</v>
      </c>
      <c r="I2567" t="s">
        <v>136</v>
      </c>
      <c r="J2567" s="10" t="str">
        <f>VLOOKUP(I2567,Categories!A:B,2,FALSE)</f>
        <v>อื่นๆ</v>
      </c>
      <c r="K2567" t="s">
        <v>123</v>
      </c>
      <c r="L2567" s="10" t="str">
        <f>VLOOKUP(K2567,Accounts!A:B,2,FALSE)</f>
        <v>KBank</v>
      </c>
      <c r="M2567" t="s">
        <v>131</v>
      </c>
      <c r="N2567" s="10" t="str">
        <f>VLOOKUP(M2567,Accounts!A:B,2,FALSE)</f>
        <v xml:space="preserve">Advance Paid</v>
      </c>
      <c r="O2567" t="s">
        <v>125</v>
      </c>
      <c r="Q2567" t="s">
        <v>126</v>
      </c>
      <c r="R2567" t="s">
        <v>124</v>
      </c>
      <c r="S2567" t="b">
        <v>0</v>
      </c>
      <c r="T2567" t="s">
        <v>124</v>
      </c>
    </row>
    <row r="2568">
      <c r="A2568" t="s">
        <v>4803</v>
      </c>
      <c r="B2568" t="s">
        <v>4794</v>
      </c>
      <c r="C2568" s="2">
        <v>2022</v>
      </c>
      <c r="D2568" s="10">
        <v>9</v>
      </c>
      <c r="E2568" s="10">
        <v>25</v>
      </c>
      <c r="F2568" t="s">
        <v>3620</v>
      </c>
      <c r="G2568">
        <v>418</v>
      </c>
      <c r="H2568" t="s">
        <v>128</v>
      </c>
      <c r="I2568" t="s">
        <v>136</v>
      </c>
      <c r="J2568" s="10" t="str">
        <f>VLOOKUP(I2568,Categories!A:B,2,FALSE)</f>
        <v>อื่นๆ</v>
      </c>
      <c r="K2568" t="s">
        <v>131</v>
      </c>
      <c r="L2568" s="10" t="str">
        <f>VLOOKUP(K2568,Accounts!A:B,2,FALSE)</f>
        <v xml:space="preserve">Advance Paid</v>
      </c>
      <c r="M2568" t="s">
        <v>178</v>
      </c>
      <c r="N2568" s="10" t="str">
        <f>VLOOKUP(M2568,Accounts!A:B,2,FALSE)</f>
        <v>SCB</v>
      </c>
      <c r="O2568" t="s">
        <v>125</v>
      </c>
      <c r="Q2568" t="s">
        <v>126</v>
      </c>
      <c r="R2568" t="s">
        <v>124</v>
      </c>
      <c r="S2568" t="b">
        <v>0</v>
      </c>
      <c r="T2568" t="s">
        <v>124</v>
      </c>
    </row>
    <row r="2569">
      <c r="A2569" t="s">
        <v>4804</v>
      </c>
      <c r="B2569" t="s">
        <v>4794</v>
      </c>
      <c r="C2569" s="2">
        <v>2022</v>
      </c>
      <c r="D2569" s="10">
        <v>9</v>
      </c>
      <c r="E2569" s="10">
        <v>25</v>
      </c>
      <c r="F2569" t="s">
        <v>599</v>
      </c>
      <c r="G2569">
        <v>500</v>
      </c>
      <c r="H2569" t="s">
        <v>69</v>
      </c>
      <c r="I2569" t="s">
        <v>1882</v>
      </c>
      <c r="J2569" s="10" t="str">
        <f>VLOOKUP(I2569,Categories!A:B,2,FALSE)</f>
        <v>utility</v>
      </c>
      <c r="K2569" t="s">
        <v>2317</v>
      </c>
      <c r="L2569" s="10" t="str">
        <f>VLOOKUP(K2569,Accounts!A:B,2,FALSE)</f>
        <v xml:space="preserve">Marriage account</v>
      </c>
      <c r="M2569" t="s">
        <v>124</v>
      </c>
      <c r="N2569" s="10"/>
      <c r="O2569" t="s">
        <v>3268</v>
      </c>
      <c r="Q2569" t="s">
        <v>126</v>
      </c>
      <c r="R2569" t="s">
        <v>124</v>
      </c>
      <c r="S2569" t="b">
        <v>0</v>
      </c>
      <c r="T2569" t="s">
        <v>124</v>
      </c>
    </row>
    <row r="2570">
      <c r="A2570" t="s">
        <v>4805</v>
      </c>
      <c r="B2570" t="s">
        <v>4794</v>
      </c>
      <c r="C2570" s="2">
        <v>2022</v>
      </c>
      <c r="D2570" s="10">
        <v>9</v>
      </c>
      <c r="E2570" s="10">
        <v>25</v>
      </c>
      <c r="F2570" t="s">
        <v>249</v>
      </c>
      <c r="G2570">
        <v>354.93000000000001</v>
      </c>
      <c r="H2570" t="s">
        <v>69</v>
      </c>
      <c r="I2570" t="s">
        <v>1882</v>
      </c>
      <c r="J2570" s="10" t="str">
        <f>VLOOKUP(I2570,Categories!A:B,2,FALSE)</f>
        <v>utility</v>
      </c>
      <c r="K2570" t="s">
        <v>178</v>
      </c>
      <c r="L2570" s="10" t="str">
        <f>VLOOKUP(K2570,Accounts!A:B,2,FALSE)</f>
        <v>SCB</v>
      </c>
      <c r="M2570" t="s">
        <v>124</v>
      </c>
      <c r="N2570" s="10"/>
      <c r="O2570" t="s">
        <v>4806</v>
      </c>
      <c r="Q2570" t="s">
        <v>126</v>
      </c>
      <c r="R2570" t="s">
        <v>124</v>
      </c>
      <c r="S2570" t="b">
        <v>0</v>
      </c>
      <c r="T2570" t="s">
        <v>124</v>
      </c>
    </row>
    <row r="2571">
      <c r="A2571" t="s">
        <v>4807</v>
      </c>
      <c r="B2571" t="s">
        <v>4794</v>
      </c>
      <c r="C2571" s="2">
        <v>2022</v>
      </c>
      <c r="D2571" s="10">
        <v>9</v>
      </c>
      <c r="E2571" s="10">
        <v>25</v>
      </c>
      <c r="F2571" t="s">
        <v>3153</v>
      </c>
      <c r="G2571">
        <v>1380</v>
      </c>
      <c r="H2571" t="s">
        <v>69</v>
      </c>
      <c r="I2571" t="s">
        <v>1882</v>
      </c>
      <c r="J2571" s="10" t="str">
        <f>VLOOKUP(I2571,Categories!A:B,2,FALSE)</f>
        <v>utility</v>
      </c>
      <c r="K2571" t="s">
        <v>2317</v>
      </c>
      <c r="L2571" s="10" t="str">
        <f>VLOOKUP(K2571,Accounts!A:B,2,FALSE)</f>
        <v xml:space="preserve">Marriage account</v>
      </c>
      <c r="M2571" t="s">
        <v>124</v>
      </c>
      <c r="N2571" s="10"/>
      <c r="O2571" t="s">
        <v>4808</v>
      </c>
      <c r="Q2571" t="s">
        <v>126</v>
      </c>
      <c r="R2571" t="s">
        <v>124</v>
      </c>
      <c r="S2571" t="b">
        <v>0</v>
      </c>
      <c r="T2571" t="s">
        <v>124</v>
      </c>
    </row>
    <row r="2572">
      <c r="A2572" t="s">
        <v>4809</v>
      </c>
      <c r="B2572" t="s">
        <v>4794</v>
      </c>
      <c r="C2572" s="2">
        <v>2022</v>
      </c>
      <c r="D2572" s="10">
        <v>9</v>
      </c>
      <c r="E2572" s="10">
        <v>25</v>
      </c>
      <c r="F2572" t="s">
        <v>3153</v>
      </c>
      <c r="G2572">
        <v>2999</v>
      </c>
      <c r="H2572" t="s">
        <v>69</v>
      </c>
      <c r="I2572" t="s">
        <v>150</v>
      </c>
      <c r="J2572" s="10" t="str">
        <f>VLOOKUP(I2572,Categories!A:B,2,FALSE)</f>
        <v xml:space="preserve">Food &amp; Coff</v>
      </c>
      <c r="K2572" t="s">
        <v>2317</v>
      </c>
      <c r="L2572" s="10" t="str">
        <f>VLOOKUP(K2572,Accounts!A:B,2,FALSE)</f>
        <v xml:space="preserve">Marriage account</v>
      </c>
      <c r="M2572" t="s">
        <v>124</v>
      </c>
      <c r="N2572" s="10"/>
      <c r="O2572" t="s">
        <v>4810</v>
      </c>
      <c r="Q2572" t="s">
        <v>126</v>
      </c>
      <c r="R2572" t="s">
        <v>124</v>
      </c>
      <c r="S2572" t="b">
        <v>0</v>
      </c>
      <c r="T2572" t="s">
        <v>124</v>
      </c>
    </row>
    <row r="2573">
      <c r="A2573" t="s">
        <v>4811</v>
      </c>
      <c r="B2573" t="s">
        <v>4794</v>
      </c>
      <c r="C2573" s="2">
        <v>2022</v>
      </c>
      <c r="D2573" s="10">
        <v>9</v>
      </c>
      <c r="E2573" s="10">
        <v>25</v>
      </c>
      <c r="F2573" t="s">
        <v>355</v>
      </c>
      <c r="G2573">
        <v>375</v>
      </c>
      <c r="H2573" t="s">
        <v>69</v>
      </c>
      <c r="I2573" t="s">
        <v>141</v>
      </c>
      <c r="J2573" s="10" t="str">
        <f>VLOOKUP(I2573,Categories!A:B,2,FALSE)</f>
        <v>Other</v>
      </c>
      <c r="K2573" t="s">
        <v>766</v>
      </c>
      <c r="L2573" s="10" t="str">
        <f>VLOOKUP(K2573,Accounts!A:B,2,FALSE)</f>
        <v>KRUNGSRI</v>
      </c>
      <c r="M2573" t="s">
        <v>124</v>
      </c>
      <c r="N2573" s="10"/>
      <c r="O2573" t="s">
        <v>125</v>
      </c>
      <c r="Q2573" t="s">
        <v>126</v>
      </c>
      <c r="R2573" t="s">
        <v>124</v>
      </c>
      <c r="S2573" t="b">
        <v>0</v>
      </c>
      <c r="T2573" t="s">
        <v>124</v>
      </c>
    </row>
    <row r="2574">
      <c r="A2574" t="s">
        <v>4812</v>
      </c>
      <c r="B2574" t="s">
        <v>4794</v>
      </c>
      <c r="C2574" s="2">
        <v>2022</v>
      </c>
      <c r="D2574" s="10">
        <v>9</v>
      </c>
      <c r="E2574" s="10">
        <v>25</v>
      </c>
      <c r="F2574" t="s">
        <v>1068</v>
      </c>
      <c r="G2574">
        <v>400</v>
      </c>
      <c r="H2574" t="s">
        <v>128</v>
      </c>
      <c r="I2574" t="s">
        <v>136</v>
      </c>
      <c r="J2574" s="10" t="str">
        <f>VLOOKUP(I2574,Categories!A:B,2,FALSE)</f>
        <v>อื่นๆ</v>
      </c>
      <c r="K2574" t="s">
        <v>131</v>
      </c>
      <c r="L2574" s="10" t="str">
        <f>VLOOKUP(K2574,Accounts!A:B,2,FALSE)</f>
        <v xml:space="preserve">Advance Paid</v>
      </c>
      <c r="M2574" t="s">
        <v>844</v>
      </c>
      <c r="N2574" s="10" t="str">
        <f>VLOOKUP(M2574,Accounts!A:B,2,FALSE)</f>
        <v>BBL</v>
      </c>
      <c r="O2574" t="s">
        <v>125</v>
      </c>
      <c r="Q2574" t="s">
        <v>126</v>
      </c>
      <c r="R2574" t="s">
        <v>124</v>
      </c>
      <c r="S2574" t="b">
        <v>0</v>
      </c>
      <c r="T2574" t="s">
        <v>124</v>
      </c>
    </row>
    <row r="2575">
      <c r="A2575" t="s">
        <v>4813</v>
      </c>
      <c r="B2575" t="s">
        <v>4794</v>
      </c>
      <c r="C2575" s="2">
        <v>2022</v>
      </c>
      <c r="D2575" s="10">
        <v>9</v>
      </c>
      <c r="E2575" s="10">
        <v>25</v>
      </c>
      <c r="F2575" t="s">
        <v>3176</v>
      </c>
      <c r="G2575">
        <v>662</v>
      </c>
      <c r="H2575" t="s">
        <v>69</v>
      </c>
      <c r="I2575" t="s">
        <v>150</v>
      </c>
      <c r="J2575" s="10" t="str">
        <f>VLOOKUP(I2575,Categories!A:B,2,FALSE)</f>
        <v xml:space="preserve">Food &amp; Coff</v>
      </c>
      <c r="K2575" t="s">
        <v>2317</v>
      </c>
      <c r="L2575" s="10" t="str">
        <f>VLOOKUP(K2575,Accounts!A:B,2,FALSE)</f>
        <v xml:space="preserve">Marriage account</v>
      </c>
      <c r="M2575" t="s">
        <v>124</v>
      </c>
      <c r="N2575" s="10"/>
      <c r="O2575" t="s">
        <v>125</v>
      </c>
      <c r="Q2575" t="s">
        <v>126</v>
      </c>
      <c r="R2575" t="s">
        <v>124</v>
      </c>
      <c r="S2575" t="b">
        <v>0</v>
      </c>
      <c r="T2575" t="s">
        <v>124</v>
      </c>
    </row>
    <row r="2576">
      <c r="A2576" t="s">
        <v>4814</v>
      </c>
      <c r="B2576" t="s">
        <v>4794</v>
      </c>
      <c r="C2576" s="2">
        <v>2022</v>
      </c>
      <c r="D2576" s="10">
        <v>9</v>
      </c>
      <c r="E2576" s="10">
        <v>25</v>
      </c>
      <c r="F2576" t="s">
        <v>1616</v>
      </c>
      <c r="G2576">
        <v>590</v>
      </c>
      <c r="H2576" t="s">
        <v>69</v>
      </c>
      <c r="I2576" t="s">
        <v>150</v>
      </c>
      <c r="J2576" s="10" t="str">
        <f>VLOOKUP(I2576,Categories!A:B,2,FALSE)</f>
        <v xml:space="preserve">Food &amp; Coff</v>
      </c>
      <c r="K2576" t="s">
        <v>2317</v>
      </c>
      <c r="L2576" s="10" t="str">
        <f>VLOOKUP(K2576,Accounts!A:B,2,FALSE)</f>
        <v xml:space="preserve">Marriage account</v>
      </c>
      <c r="M2576" t="s">
        <v>124</v>
      </c>
      <c r="N2576" s="10"/>
      <c r="O2576" t="s">
        <v>4815</v>
      </c>
      <c r="Q2576" t="s">
        <v>126</v>
      </c>
      <c r="R2576" t="s">
        <v>124</v>
      </c>
      <c r="S2576" t="b">
        <v>0</v>
      </c>
      <c r="T2576" t="s">
        <v>124</v>
      </c>
    </row>
    <row r="2577">
      <c r="A2577" t="s">
        <v>4816</v>
      </c>
      <c r="B2577" t="s">
        <v>4794</v>
      </c>
      <c r="C2577" s="2">
        <v>2022</v>
      </c>
      <c r="D2577" s="10">
        <v>9</v>
      </c>
      <c r="E2577" s="10">
        <v>25</v>
      </c>
      <c r="F2577" t="s">
        <v>746</v>
      </c>
      <c r="G2577">
        <v>110</v>
      </c>
      <c r="H2577" t="s">
        <v>69</v>
      </c>
      <c r="I2577" t="s">
        <v>150</v>
      </c>
      <c r="J2577" s="10" t="str">
        <f>VLOOKUP(I2577,Categories!A:B,2,FALSE)</f>
        <v xml:space="preserve">Food &amp; Coff</v>
      </c>
      <c r="K2577" t="s">
        <v>178</v>
      </c>
      <c r="L2577" s="10" t="str">
        <f>VLOOKUP(K2577,Accounts!A:B,2,FALSE)</f>
        <v>SCB</v>
      </c>
      <c r="M2577" t="s">
        <v>124</v>
      </c>
      <c r="N2577" s="10"/>
      <c r="O2577" t="s">
        <v>125</v>
      </c>
      <c r="Q2577" t="s">
        <v>126</v>
      </c>
      <c r="R2577" t="s">
        <v>124</v>
      </c>
      <c r="S2577" t="b">
        <v>0</v>
      </c>
      <c r="T2577" t="s">
        <v>124</v>
      </c>
    </row>
    <row r="2578">
      <c r="A2578" t="s">
        <v>4817</v>
      </c>
      <c r="B2578" t="s">
        <v>4818</v>
      </c>
      <c r="C2578" s="2">
        <v>2022</v>
      </c>
      <c r="D2578" s="10">
        <v>9</v>
      </c>
      <c r="E2578" s="10">
        <v>24</v>
      </c>
      <c r="F2578" t="s">
        <v>4310</v>
      </c>
      <c r="G2578">
        <v>400</v>
      </c>
      <c r="H2578" t="s">
        <v>128</v>
      </c>
      <c r="I2578" t="s">
        <v>136</v>
      </c>
      <c r="J2578" s="10" t="str">
        <f>VLOOKUP(I2578,Categories!A:B,2,FALSE)</f>
        <v>อื่นๆ</v>
      </c>
      <c r="K2578" t="s">
        <v>844</v>
      </c>
      <c r="L2578" s="10" t="str">
        <f>VLOOKUP(K2578,Accounts!A:B,2,FALSE)</f>
        <v>BBL</v>
      </c>
      <c r="M2578" t="s">
        <v>425</v>
      </c>
      <c r="N2578" s="10" t="str">
        <f>VLOOKUP(M2578,Accounts!A:B,2,FALSE)</f>
        <v>Cash</v>
      </c>
      <c r="O2578" t="s">
        <v>125</v>
      </c>
      <c r="Q2578" t="s">
        <v>126</v>
      </c>
      <c r="R2578" t="s">
        <v>124</v>
      </c>
      <c r="S2578" t="b">
        <v>0</v>
      </c>
      <c r="T2578" t="s">
        <v>124</v>
      </c>
    </row>
    <row r="2579">
      <c r="A2579" t="s">
        <v>4819</v>
      </c>
      <c r="B2579" t="s">
        <v>4818</v>
      </c>
      <c r="C2579" s="2">
        <v>2022</v>
      </c>
      <c r="D2579" s="10">
        <v>9</v>
      </c>
      <c r="E2579" s="10">
        <v>24</v>
      </c>
      <c r="F2579" t="s">
        <v>4310</v>
      </c>
      <c r="G2579">
        <v>120</v>
      </c>
      <c r="H2579" t="s">
        <v>69</v>
      </c>
      <c r="I2579" t="s">
        <v>1508</v>
      </c>
      <c r="J2579" s="10" t="str">
        <f>VLOOKUP(I2579,Categories!A:B,2,FALSE)</f>
        <v>Other</v>
      </c>
      <c r="K2579" t="s">
        <v>425</v>
      </c>
      <c r="L2579" s="10" t="str">
        <f>VLOOKUP(K2579,Accounts!A:B,2,FALSE)</f>
        <v>Cash</v>
      </c>
      <c r="M2579" t="s">
        <v>124</v>
      </c>
      <c r="N2579" s="10"/>
      <c r="O2579" t="s">
        <v>125</v>
      </c>
      <c r="Q2579" t="s">
        <v>126</v>
      </c>
      <c r="R2579" t="s">
        <v>124</v>
      </c>
      <c r="S2579" t="b">
        <v>0</v>
      </c>
      <c r="T2579" t="s">
        <v>124</v>
      </c>
    </row>
    <row r="2580">
      <c r="A2580" t="s">
        <v>4820</v>
      </c>
      <c r="B2580" t="s">
        <v>4818</v>
      </c>
      <c r="C2580" s="2">
        <v>2022</v>
      </c>
      <c r="D2580" s="10">
        <v>9</v>
      </c>
      <c r="E2580" s="10">
        <v>24</v>
      </c>
      <c r="F2580" t="s">
        <v>2447</v>
      </c>
      <c r="G2580">
        <v>836</v>
      </c>
      <c r="H2580" t="s">
        <v>69</v>
      </c>
      <c r="I2580" t="s">
        <v>150</v>
      </c>
      <c r="J2580" s="10" t="str">
        <f>VLOOKUP(I2580,Categories!A:B,2,FALSE)</f>
        <v xml:space="preserve">Food &amp; Coff</v>
      </c>
      <c r="K2580" t="s">
        <v>2317</v>
      </c>
      <c r="L2580" s="10" t="str">
        <f>VLOOKUP(K2580,Accounts!A:B,2,FALSE)</f>
        <v xml:space="preserve">Marriage account</v>
      </c>
      <c r="M2580" t="s">
        <v>124</v>
      </c>
      <c r="N2580" s="10"/>
      <c r="O2580" t="s">
        <v>125</v>
      </c>
      <c r="Q2580" t="s">
        <v>126</v>
      </c>
      <c r="R2580" t="s">
        <v>124</v>
      </c>
      <c r="S2580" t="b">
        <v>0</v>
      </c>
      <c r="T2580" t="s">
        <v>124</v>
      </c>
    </row>
    <row r="2581">
      <c r="A2581" t="s">
        <v>4821</v>
      </c>
      <c r="B2581" t="s">
        <v>4818</v>
      </c>
      <c r="C2581" s="2">
        <v>2022</v>
      </c>
      <c r="D2581" s="10">
        <v>9</v>
      </c>
      <c r="E2581" s="10">
        <v>24</v>
      </c>
      <c r="F2581" t="s">
        <v>3977</v>
      </c>
      <c r="G2581">
        <v>419</v>
      </c>
      <c r="H2581" t="s">
        <v>128</v>
      </c>
      <c r="I2581" t="s">
        <v>136</v>
      </c>
      <c r="J2581" s="10" t="str">
        <f>VLOOKUP(I2581,Categories!A:B,2,FALSE)</f>
        <v>อื่นๆ</v>
      </c>
      <c r="K2581" t="s">
        <v>178</v>
      </c>
      <c r="L2581" s="10" t="str">
        <f>VLOOKUP(K2581,Accounts!A:B,2,FALSE)</f>
        <v>SCB</v>
      </c>
      <c r="M2581" t="s">
        <v>131</v>
      </c>
      <c r="N2581" s="10" t="str">
        <f>VLOOKUP(M2581,Accounts!A:B,2,FALSE)</f>
        <v xml:space="preserve">Advance Paid</v>
      </c>
      <c r="O2581" t="s">
        <v>4822</v>
      </c>
      <c r="Q2581" t="s">
        <v>126</v>
      </c>
      <c r="R2581" t="s">
        <v>124</v>
      </c>
      <c r="S2581" t="b">
        <v>0</v>
      </c>
      <c r="T2581" t="s">
        <v>124</v>
      </c>
    </row>
    <row r="2582">
      <c r="A2582" t="s">
        <v>4823</v>
      </c>
      <c r="B2582" t="s">
        <v>4824</v>
      </c>
      <c r="C2582" s="2">
        <v>2022</v>
      </c>
      <c r="D2582" s="10">
        <v>9</v>
      </c>
      <c r="E2582" s="10">
        <v>23</v>
      </c>
      <c r="F2582" t="s">
        <v>606</v>
      </c>
      <c r="G2582">
        <v>258</v>
      </c>
      <c r="H2582" t="s">
        <v>69</v>
      </c>
      <c r="I2582" t="s">
        <v>150</v>
      </c>
      <c r="J2582" s="10" t="str">
        <f>VLOOKUP(I2582,Categories!A:B,2,FALSE)</f>
        <v xml:space="preserve">Food &amp; Coff</v>
      </c>
      <c r="K2582" t="s">
        <v>2317</v>
      </c>
      <c r="L2582" s="10" t="str">
        <f>VLOOKUP(K2582,Accounts!A:B,2,FALSE)</f>
        <v xml:space="preserve">Marriage account</v>
      </c>
      <c r="M2582" t="s">
        <v>124</v>
      </c>
      <c r="N2582" s="10"/>
      <c r="O2582" t="s">
        <v>125</v>
      </c>
      <c r="Q2582" t="s">
        <v>126</v>
      </c>
      <c r="R2582" t="s">
        <v>124</v>
      </c>
      <c r="S2582" t="b">
        <v>0</v>
      </c>
      <c r="T2582" t="s">
        <v>124</v>
      </c>
    </row>
    <row r="2583">
      <c r="A2583" t="s">
        <v>4825</v>
      </c>
      <c r="B2583" t="s">
        <v>4824</v>
      </c>
      <c r="C2583" s="2">
        <v>2022</v>
      </c>
      <c r="D2583" s="10">
        <v>9</v>
      </c>
      <c r="E2583" s="10">
        <v>23</v>
      </c>
      <c r="F2583" t="s">
        <v>1797</v>
      </c>
      <c r="G2583">
        <v>57</v>
      </c>
      <c r="H2583" t="s">
        <v>69</v>
      </c>
      <c r="I2583" t="s">
        <v>150</v>
      </c>
      <c r="J2583" s="10" t="str">
        <f>VLOOKUP(I2583,Categories!A:B,2,FALSE)</f>
        <v xml:space="preserve">Food &amp; Coff</v>
      </c>
      <c r="K2583" t="s">
        <v>178</v>
      </c>
      <c r="L2583" s="10" t="str">
        <f>VLOOKUP(K2583,Accounts!A:B,2,FALSE)</f>
        <v>SCB</v>
      </c>
      <c r="M2583" t="s">
        <v>124</v>
      </c>
      <c r="N2583" s="10"/>
      <c r="O2583" t="s">
        <v>125</v>
      </c>
      <c r="Q2583" t="s">
        <v>126</v>
      </c>
      <c r="R2583" t="s">
        <v>124</v>
      </c>
      <c r="S2583" t="b">
        <v>0</v>
      </c>
      <c r="T2583" t="s">
        <v>124</v>
      </c>
    </row>
    <row r="2584">
      <c r="A2584" t="s">
        <v>4826</v>
      </c>
      <c r="B2584" t="s">
        <v>4827</v>
      </c>
      <c r="C2584" s="2">
        <v>2022</v>
      </c>
      <c r="D2584" s="10">
        <v>9</v>
      </c>
      <c r="E2584" s="10">
        <v>20</v>
      </c>
      <c r="F2584" t="s">
        <v>2730</v>
      </c>
      <c r="G2584">
        <v>50</v>
      </c>
      <c r="H2584" t="s">
        <v>69</v>
      </c>
      <c r="I2584" t="s">
        <v>150</v>
      </c>
      <c r="J2584" s="10" t="str">
        <f>VLOOKUP(I2584,Categories!A:B,2,FALSE)</f>
        <v xml:space="preserve">Food &amp; Coff</v>
      </c>
      <c r="K2584" t="s">
        <v>178</v>
      </c>
      <c r="L2584" s="10" t="str">
        <f>VLOOKUP(K2584,Accounts!A:B,2,FALSE)</f>
        <v>SCB</v>
      </c>
      <c r="M2584" t="s">
        <v>124</v>
      </c>
      <c r="N2584" s="10"/>
      <c r="O2584" t="s">
        <v>125</v>
      </c>
      <c r="Q2584" t="s">
        <v>126</v>
      </c>
      <c r="R2584" t="s">
        <v>124</v>
      </c>
      <c r="S2584" t="b">
        <v>0</v>
      </c>
      <c r="T2584" t="s">
        <v>124</v>
      </c>
    </row>
    <row r="2585">
      <c r="A2585" t="s">
        <v>4828</v>
      </c>
      <c r="B2585" t="s">
        <v>4827</v>
      </c>
      <c r="C2585" s="2">
        <v>2022</v>
      </c>
      <c r="D2585" s="10">
        <v>9</v>
      </c>
      <c r="E2585" s="10">
        <v>20</v>
      </c>
      <c r="F2585" t="s">
        <v>606</v>
      </c>
      <c r="G2585">
        <v>100</v>
      </c>
      <c r="H2585" t="s">
        <v>69</v>
      </c>
      <c r="I2585" t="s">
        <v>150</v>
      </c>
      <c r="J2585" s="10" t="str">
        <f>VLOOKUP(I2585,Categories!A:B,2,FALSE)</f>
        <v xml:space="preserve">Food &amp; Coff</v>
      </c>
      <c r="K2585" t="s">
        <v>2317</v>
      </c>
      <c r="L2585" s="10" t="str">
        <f>VLOOKUP(K2585,Accounts!A:B,2,FALSE)</f>
        <v xml:space="preserve">Marriage account</v>
      </c>
      <c r="M2585" t="s">
        <v>124</v>
      </c>
      <c r="N2585" s="10"/>
      <c r="O2585" t="s">
        <v>125</v>
      </c>
      <c r="Q2585" t="s">
        <v>126</v>
      </c>
      <c r="R2585" t="s">
        <v>124</v>
      </c>
      <c r="S2585" t="b">
        <v>0</v>
      </c>
      <c r="T2585" t="s">
        <v>124</v>
      </c>
    </row>
    <row r="2586">
      <c r="A2586" t="s">
        <v>4829</v>
      </c>
      <c r="B2586" t="s">
        <v>4827</v>
      </c>
      <c r="C2586" s="2">
        <v>2022</v>
      </c>
      <c r="D2586" s="10">
        <v>9</v>
      </c>
      <c r="E2586" s="10">
        <v>20</v>
      </c>
      <c r="F2586" t="s">
        <v>1784</v>
      </c>
      <c r="G2586">
        <v>38775</v>
      </c>
      <c r="H2586" t="s">
        <v>128</v>
      </c>
      <c r="I2586" t="s">
        <v>136</v>
      </c>
      <c r="J2586" s="10" t="str">
        <f>VLOOKUP(I2586,Categories!A:B,2,FALSE)</f>
        <v>อื่นๆ</v>
      </c>
      <c r="K2586" t="s">
        <v>178</v>
      </c>
      <c r="L2586" s="10" t="str">
        <f>VLOOKUP(K2586,Accounts!A:B,2,FALSE)</f>
        <v>SCB</v>
      </c>
      <c r="M2586" t="s">
        <v>131</v>
      </c>
      <c r="N2586" s="10" t="str">
        <f>VLOOKUP(M2586,Accounts!A:B,2,FALSE)</f>
        <v xml:space="preserve">Advance Paid</v>
      </c>
      <c r="O2586" t="s">
        <v>232</v>
      </c>
      <c r="Q2586" t="s">
        <v>126</v>
      </c>
      <c r="R2586" t="s">
        <v>124</v>
      </c>
      <c r="S2586" t="b">
        <v>0</v>
      </c>
      <c r="T2586" t="s">
        <v>124</v>
      </c>
    </row>
    <row r="2587">
      <c r="A2587" t="s">
        <v>4830</v>
      </c>
      <c r="B2587" t="s">
        <v>4831</v>
      </c>
      <c r="C2587" s="2">
        <v>2022</v>
      </c>
      <c r="D2587" s="10">
        <v>9</v>
      </c>
      <c r="E2587" s="10">
        <v>19</v>
      </c>
      <c r="F2587" t="s">
        <v>4730</v>
      </c>
      <c r="G2587">
        <v>85</v>
      </c>
      <c r="H2587" t="s">
        <v>69</v>
      </c>
      <c r="I2587" t="s">
        <v>150</v>
      </c>
      <c r="J2587" s="10" t="str">
        <f>VLOOKUP(I2587,Categories!A:B,2,FALSE)</f>
        <v xml:space="preserve">Food &amp; Coff</v>
      </c>
      <c r="K2587" t="s">
        <v>2317</v>
      </c>
      <c r="L2587" s="10" t="str">
        <f>VLOOKUP(K2587,Accounts!A:B,2,FALSE)</f>
        <v xml:space="preserve">Marriage account</v>
      </c>
      <c r="M2587" t="s">
        <v>124</v>
      </c>
      <c r="N2587" s="10"/>
      <c r="O2587" t="s">
        <v>125</v>
      </c>
      <c r="Q2587" t="s">
        <v>126</v>
      </c>
      <c r="R2587" t="s">
        <v>124</v>
      </c>
      <c r="S2587" t="b">
        <v>0</v>
      </c>
      <c r="T2587" t="s">
        <v>124</v>
      </c>
    </row>
    <row r="2588">
      <c r="A2588" t="s">
        <v>4832</v>
      </c>
      <c r="B2588" t="s">
        <v>4831</v>
      </c>
      <c r="C2588" s="2">
        <v>2022</v>
      </c>
      <c r="D2588" s="10">
        <v>9</v>
      </c>
      <c r="E2588" s="10">
        <v>19</v>
      </c>
      <c r="F2588" t="s">
        <v>1685</v>
      </c>
      <c r="G2588">
        <v>80</v>
      </c>
      <c r="H2588" t="s">
        <v>69</v>
      </c>
      <c r="I2588" t="s">
        <v>150</v>
      </c>
      <c r="J2588" s="10" t="str">
        <f>VLOOKUP(I2588,Categories!A:B,2,FALSE)</f>
        <v xml:space="preserve">Food &amp; Coff</v>
      </c>
      <c r="K2588" t="s">
        <v>178</v>
      </c>
      <c r="L2588" s="10" t="str">
        <f>VLOOKUP(K2588,Accounts!A:B,2,FALSE)</f>
        <v>SCB</v>
      </c>
      <c r="M2588" t="s">
        <v>124</v>
      </c>
      <c r="N2588" s="10"/>
      <c r="O2588" t="s">
        <v>125</v>
      </c>
      <c r="Q2588" t="s">
        <v>126</v>
      </c>
      <c r="R2588" t="s">
        <v>124</v>
      </c>
      <c r="S2588" t="b">
        <v>0</v>
      </c>
      <c r="T2588" t="s">
        <v>124</v>
      </c>
    </row>
    <row r="2589">
      <c r="A2589" t="s">
        <v>4833</v>
      </c>
      <c r="B2589" t="s">
        <v>4831</v>
      </c>
      <c r="C2589" s="2">
        <v>2022</v>
      </c>
      <c r="D2589" s="10">
        <v>9</v>
      </c>
      <c r="E2589" s="10">
        <v>19</v>
      </c>
      <c r="F2589" t="s">
        <v>905</v>
      </c>
      <c r="G2589">
        <v>200</v>
      </c>
      <c r="H2589" t="s">
        <v>69</v>
      </c>
      <c r="I2589" t="s">
        <v>150</v>
      </c>
      <c r="J2589" s="10" t="str">
        <f>VLOOKUP(I2589,Categories!A:B,2,FALSE)</f>
        <v xml:space="preserve">Food &amp; Coff</v>
      </c>
      <c r="K2589" t="s">
        <v>178</v>
      </c>
      <c r="L2589" s="10" t="str">
        <f>VLOOKUP(K2589,Accounts!A:B,2,FALSE)</f>
        <v>SCB</v>
      </c>
      <c r="M2589" t="s">
        <v>124</v>
      </c>
      <c r="N2589" s="10"/>
      <c r="O2589" t="s">
        <v>125</v>
      </c>
      <c r="Q2589" t="s">
        <v>126</v>
      </c>
      <c r="R2589" t="s">
        <v>124</v>
      </c>
      <c r="S2589" t="b">
        <v>0</v>
      </c>
      <c r="T2589" t="s">
        <v>124</v>
      </c>
    </row>
    <row r="2590">
      <c r="A2590" t="s">
        <v>4834</v>
      </c>
      <c r="B2590" t="s">
        <v>4831</v>
      </c>
      <c r="C2590" s="2">
        <v>2022</v>
      </c>
      <c r="D2590" s="10">
        <v>9</v>
      </c>
      <c r="E2590" s="10">
        <v>19</v>
      </c>
      <c r="F2590" t="s">
        <v>1360</v>
      </c>
      <c r="G2590">
        <v>30</v>
      </c>
      <c r="H2590" t="s">
        <v>69</v>
      </c>
      <c r="I2590" t="s">
        <v>1508</v>
      </c>
      <c r="J2590" s="10" t="str">
        <f>VLOOKUP(I2590,Categories!A:B,2,FALSE)</f>
        <v>Other</v>
      </c>
      <c r="K2590" t="s">
        <v>178</v>
      </c>
      <c r="L2590" s="10" t="str">
        <f>VLOOKUP(K2590,Accounts!A:B,2,FALSE)</f>
        <v>SCB</v>
      </c>
      <c r="M2590" t="s">
        <v>124</v>
      </c>
      <c r="N2590" s="10"/>
      <c r="O2590" t="s">
        <v>125</v>
      </c>
      <c r="Q2590" t="s">
        <v>126</v>
      </c>
      <c r="R2590" t="s">
        <v>124</v>
      </c>
      <c r="S2590" t="b">
        <v>0</v>
      </c>
      <c r="T2590" t="s">
        <v>124</v>
      </c>
    </row>
    <row r="2591">
      <c r="A2591" t="s">
        <v>4835</v>
      </c>
      <c r="B2591" t="s">
        <v>4836</v>
      </c>
      <c r="C2591" s="2">
        <v>2022</v>
      </c>
      <c r="D2591" s="10">
        <v>9</v>
      </c>
      <c r="E2591" s="10">
        <v>18</v>
      </c>
      <c r="F2591" t="s">
        <v>613</v>
      </c>
      <c r="G2591">
        <v>588</v>
      </c>
      <c r="H2591" t="s">
        <v>69</v>
      </c>
      <c r="I2591" t="s">
        <v>150</v>
      </c>
      <c r="J2591" s="10" t="str">
        <f>VLOOKUP(I2591,Categories!A:B,2,FALSE)</f>
        <v xml:space="preserve">Food &amp; Coff</v>
      </c>
      <c r="K2591" t="s">
        <v>2317</v>
      </c>
      <c r="L2591" s="10" t="str">
        <f>VLOOKUP(K2591,Accounts!A:B,2,FALSE)</f>
        <v xml:space="preserve">Marriage account</v>
      </c>
      <c r="M2591" t="s">
        <v>124</v>
      </c>
      <c r="N2591" s="10"/>
      <c r="O2591" t="s">
        <v>3328</v>
      </c>
      <c r="Q2591" t="s">
        <v>126</v>
      </c>
      <c r="R2591" t="s">
        <v>124</v>
      </c>
      <c r="S2591" t="b">
        <v>0</v>
      </c>
      <c r="T2591" t="s">
        <v>124</v>
      </c>
    </row>
    <row r="2592">
      <c r="A2592" t="s">
        <v>4837</v>
      </c>
      <c r="B2592" t="s">
        <v>4836</v>
      </c>
      <c r="C2592" s="2">
        <v>2022</v>
      </c>
      <c r="D2592" s="10">
        <v>9</v>
      </c>
      <c r="E2592" s="10">
        <v>18</v>
      </c>
      <c r="F2592" t="s">
        <v>180</v>
      </c>
      <c r="G2592">
        <v>958</v>
      </c>
      <c r="H2592" t="s">
        <v>69</v>
      </c>
      <c r="I2592" t="s">
        <v>3504</v>
      </c>
      <c r="J2592" s="10" t="str">
        <f>VLOOKUP(I2592,Categories!A:B,2,FALSE)</f>
        <v xml:space="preserve">Condo suppliers</v>
      </c>
      <c r="K2592" t="s">
        <v>2317</v>
      </c>
      <c r="L2592" s="10" t="str">
        <f>VLOOKUP(K2592,Accounts!A:B,2,FALSE)</f>
        <v xml:space="preserve">Marriage account</v>
      </c>
      <c r="M2592" t="s">
        <v>124</v>
      </c>
      <c r="N2592" s="10"/>
      <c r="O2592" t="s">
        <v>3505</v>
      </c>
      <c r="Q2592" t="s">
        <v>126</v>
      </c>
      <c r="R2592" t="s">
        <v>124</v>
      </c>
      <c r="S2592" t="b">
        <v>0</v>
      </c>
      <c r="T2592" t="s">
        <v>124</v>
      </c>
    </row>
    <row r="2593">
      <c r="A2593" t="s">
        <v>4838</v>
      </c>
      <c r="B2593" t="s">
        <v>4836</v>
      </c>
      <c r="C2593" s="2">
        <v>2022</v>
      </c>
      <c r="D2593" s="10">
        <v>9</v>
      </c>
      <c r="E2593" s="10">
        <v>18</v>
      </c>
      <c r="F2593" t="s">
        <v>4839</v>
      </c>
      <c r="G2593">
        <v>100000</v>
      </c>
      <c r="H2593" t="s">
        <v>128</v>
      </c>
      <c r="I2593" t="s">
        <v>136</v>
      </c>
      <c r="J2593" s="10" t="str">
        <f>VLOOKUP(I2593,Categories!A:B,2,FALSE)</f>
        <v>อื่นๆ</v>
      </c>
      <c r="K2593" t="s">
        <v>178</v>
      </c>
      <c r="L2593" s="10" t="str">
        <f>VLOOKUP(K2593,Accounts!A:B,2,FALSE)</f>
        <v>SCB</v>
      </c>
      <c r="M2593" t="s">
        <v>213</v>
      </c>
      <c r="N2593" s="10" t="str">
        <f>VLOOKUP(M2593,Accounts!A:B,2,FALSE)</f>
        <v xml:space="preserve">Krungthai Next</v>
      </c>
      <c r="O2593" t="s">
        <v>125</v>
      </c>
      <c r="Q2593" t="s">
        <v>126</v>
      </c>
      <c r="R2593" t="s">
        <v>124</v>
      </c>
      <c r="S2593" t="b">
        <v>0</v>
      </c>
      <c r="T2593" t="s">
        <v>124</v>
      </c>
    </row>
    <row r="2594">
      <c r="A2594" t="s">
        <v>4840</v>
      </c>
      <c r="B2594" t="s">
        <v>4841</v>
      </c>
      <c r="C2594" s="2">
        <v>2022</v>
      </c>
      <c r="D2594" s="10">
        <v>9</v>
      </c>
      <c r="E2594" s="10">
        <v>14</v>
      </c>
      <c r="F2594" t="s">
        <v>121</v>
      </c>
      <c r="G2594">
        <v>419</v>
      </c>
      <c r="H2594" t="s">
        <v>128</v>
      </c>
      <c r="I2594" t="s">
        <v>136</v>
      </c>
      <c r="J2594" s="10" t="str">
        <f>VLOOKUP(I2594,Categories!A:B,2,FALSE)</f>
        <v>อื่นๆ</v>
      </c>
      <c r="K2594" t="s">
        <v>178</v>
      </c>
      <c r="L2594" s="10" t="str">
        <f>VLOOKUP(K2594,Accounts!A:B,2,FALSE)</f>
        <v>SCB</v>
      </c>
      <c r="M2594" t="s">
        <v>747</v>
      </c>
      <c r="N2594" s="10" t="str">
        <f>VLOOKUP(M2594,Accounts!A:B,2,FALSE)</f>
        <v xml:space="preserve">UOB world</v>
      </c>
      <c r="O2594" t="s">
        <v>125</v>
      </c>
      <c r="Q2594" t="s">
        <v>126</v>
      </c>
      <c r="R2594" t="s">
        <v>124</v>
      </c>
      <c r="S2594" t="b">
        <v>0</v>
      </c>
      <c r="T2594" t="s">
        <v>124</v>
      </c>
    </row>
    <row r="2595">
      <c r="A2595" t="s">
        <v>4842</v>
      </c>
      <c r="B2595" t="s">
        <v>4841</v>
      </c>
      <c r="C2595" s="2">
        <v>2022</v>
      </c>
      <c r="D2595" s="10">
        <v>9</v>
      </c>
      <c r="E2595" s="10">
        <v>14</v>
      </c>
      <c r="F2595" t="s">
        <v>121</v>
      </c>
      <c r="G2595">
        <v>419</v>
      </c>
      <c r="H2595" t="s">
        <v>69</v>
      </c>
      <c r="I2595" t="s">
        <v>1903</v>
      </c>
      <c r="J2595" s="10" t="str">
        <f>VLOOKUP(I2595,Categories!A:B,2,FALSE)</f>
        <v xml:space="preserve">Monthly subscription</v>
      </c>
      <c r="K2595" t="s">
        <v>747</v>
      </c>
      <c r="L2595" s="10" t="str">
        <f>VLOOKUP(K2595,Accounts!A:B,2,FALSE)</f>
        <v xml:space="preserve">UOB world</v>
      </c>
      <c r="M2595" t="s">
        <v>124</v>
      </c>
      <c r="N2595" s="10"/>
      <c r="O2595" t="s">
        <v>125</v>
      </c>
      <c r="Q2595" t="s">
        <v>126</v>
      </c>
      <c r="R2595" t="s">
        <v>124</v>
      </c>
      <c r="S2595" t="b">
        <v>0</v>
      </c>
      <c r="T2595" t="s">
        <v>124</v>
      </c>
    </row>
    <row r="2596">
      <c r="A2596" t="s">
        <v>4843</v>
      </c>
      <c r="B2596" t="s">
        <v>4841</v>
      </c>
      <c r="C2596" s="2">
        <v>2022</v>
      </c>
      <c r="D2596" s="10">
        <v>9</v>
      </c>
      <c r="E2596" s="10">
        <v>14</v>
      </c>
      <c r="F2596" t="s">
        <v>1659</v>
      </c>
      <c r="G2596">
        <v>185</v>
      </c>
      <c r="H2596" t="s">
        <v>128</v>
      </c>
      <c r="I2596" t="s">
        <v>136</v>
      </c>
      <c r="J2596" s="10" t="str">
        <f>VLOOKUP(I2596,Categories!A:B,2,FALSE)</f>
        <v>อื่นๆ</v>
      </c>
      <c r="K2596" t="s">
        <v>178</v>
      </c>
      <c r="L2596" s="10" t="str">
        <f>VLOOKUP(K2596,Accounts!A:B,2,FALSE)</f>
        <v>SCB</v>
      </c>
      <c r="M2596" t="s">
        <v>131</v>
      </c>
      <c r="N2596" s="10" t="str">
        <f>VLOOKUP(M2596,Accounts!A:B,2,FALSE)</f>
        <v xml:space="preserve">Advance Paid</v>
      </c>
      <c r="O2596" t="s">
        <v>4844</v>
      </c>
      <c r="Q2596" t="s">
        <v>126</v>
      </c>
      <c r="R2596" t="s">
        <v>124</v>
      </c>
      <c r="S2596" t="b">
        <v>0</v>
      </c>
      <c r="T2596" t="s">
        <v>124</v>
      </c>
    </row>
    <row r="2597">
      <c r="A2597" t="s">
        <v>4845</v>
      </c>
      <c r="B2597" t="s">
        <v>4841</v>
      </c>
      <c r="C2597" s="2">
        <v>2022</v>
      </c>
      <c r="D2597" s="10">
        <v>9</v>
      </c>
      <c r="E2597" s="10">
        <v>14</v>
      </c>
      <c r="F2597" t="s">
        <v>3390</v>
      </c>
      <c r="G2597">
        <v>395</v>
      </c>
      <c r="H2597" t="s">
        <v>69</v>
      </c>
      <c r="I2597" t="s">
        <v>150</v>
      </c>
      <c r="J2597" s="10" t="str">
        <f>VLOOKUP(I2597,Categories!A:B,2,FALSE)</f>
        <v xml:space="preserve">Food &amp; Coff</v>
      </c>
      <c r="K2597" t="s">
        <v>178</v>
      </c>
      <c r="L2597" s="10" t="str">
        <f>VLOOKUP(K2597,Accounts!A:B,2,FALSE)</f>
        <v>SCB</v>
      </c>
      <c r="M2597" t="s">
        <v>124</v>
      </c>
      <c r="N2597" s="10"/>
      <c r="O2597" t="s">
        <v>4844</v>
      </c>
      <c r="Q2597" t="s">
        <v>126</v>
      </c>
      <c r="R2597" t="s">
        <v>124</v>
      </c>
      <c r="S2597" t="b">
        <v>0</v>
      </c>
      <c r="T2597" t="s">
        <v>124</v>
      </c>
    </row>
    <row r="2598">
      <c r="A2598" t="s">
        <v>4846</v>
      </c>
      <c r="B2598" t="s">
        <v>4841</v>
      </c>
      <c r="C2598" s="2">
        <v>2022</v>
      </c>
      <c r="D2598" s="10">
        <v>9</v>
      </c>
      <c r="E2598" s="10">
        <v>14</v>
      </c>
      <c r="F2598" t="s">
        <v>380</v>
      </c>
      <c r="G2598">
        <v>60</v>
      </c>
      <c r="H2598" t="s">
        <v>69</v>
      </c>
      <c r="I2598" t="s">
        <v>150</v>
      </c>
      <c r="J2598" s="10" t="str">
        <f>VLOOKUP(I2598,Categories!A:B,2,FALSE)</f>
        <v xml:space="preserve">Food &amp; Coff</v>
      </c>
      <c r="K2598" t="s">
        <v>178</v>
      </c>
      <c r="L2598" s="10" t="str">
        <f>VLOOKUP(K2598,Accounts!A:B,2,FALSE)</f>
        <v>SCB</v>
      </c>
      <c r="M2598" t="s">
        <v>124</v>
      </c>
      <c r="N2598" s="10"/>
      <c r="O2598" t="s">
        <v>125</v>
      </c>
      <c r="Q2598" t="s">
        <v>126</v>
      </c>
      <c r="R2598" t="s">
        <v>124</v>
      </c>
      <c r="S2598" t="b">
        <v>0</v>
      </c>
      <c r="T2598" t="s">
        <v>124</v>
      </c>
    </row>
    <row r="2599">
      <c r="A2599" t="s">
        <v>4847</v>
      </c>
      <c r="B2599" t="s">
        <v>4841</v>
      </c>
      <c r="C2599" s="2">
        <v>2022</v>
      </c>
      <c r="D2599" s="10">
        <v>9</v>
      </c>
      <c r="E2599" s="10">
        <v>14</v>
      </c>
      <c r="F2599" t="s">
        <v>1233</v>
      </c>
      <c r="G2599">
        <v>540</v>
      </c>
      <c r="H2599" t="s">
        <v>69</v>
      </c>
      <c r="I2599" t="s">
        <v>259</v>
      </c>
      <c r="J2599" s="10" t="str">
        <f>VLOOKUP(I2599,Categories!A:B,2,FALSE)</f>
        <v xml:space="preserve">Team BOT</v>
      </c>
      <c r="K2599" t="s">
        <v>131</v>
      </c>
      <c r="L2599" s="10" t="str">
        <f>VLOOKUP(K2599,Accounts!A:B,2,FALSE)</f>
        <v xml:space="preserve">Advance Paid</v>
      </c>
      <c r="M2599" t="s">
        <v>124</v>
      </c>
      <c r="N2599" s="10"/>
      <c r="O2599" t="s">
        <v>4848</v>
      </c>
      <c r="Q2599" t="s">
        <v>126</v>
      </c>
      <c r="R2599" t="s">
        <v>124</v>
      </c>
      <c r="S2599" t="b">
        <v>0</v>
      </c>
      <c r="T2599" t="s">
        <v>124</v>
      </c>
    </row>
    <row r="2600">
      <c r="A2600" t="s">
        <v>4849</v>
      </c>
      <c r="B2600" t="s">
        <v>4841</v>
      </c>
      <c r="C2600" s="2">
        <v>2022</v>
      </c>
      <c r="D2600" s="10">
        <v>9</v>
      </c>
      <c r="E2600" s="10">
        <v>14</v>
      </c>
      <c r="F2600" t="s">
        <v>1125</v>
      </c>
      <c r="G2600">
        <v>1080</v>
      </c>
      <c r="H2600" t="s">
        <v>128</v>
      </c>
      <c r="I2600" t="s">
        <v>136</v>
      </c>
      <c r="J2600" s="10" t="str">
        <f>VLOOKUP(I2600,Categories!A:B,2,FALSE)</f>
        <v>อื่นๆ</v>
      </c>
      <c r="K2600" t="s">
        <v>131</v>
      </c>
      <c r="L2600" s="10" t="str">
        <f>VLOOKUP(K2600,Accounts!A:B,2,FALSE)</f>
        <v xml:space="preserve">Advance Paid</v>
      </c>
      <c r="M2600" t="s">
        <v>178</v>
      </c>
      <c r="N2600" s="10" t="str">
        <f>VLOOKUP(M2600,Accounts!A:B,2,FALSE)</f>
        <v>SCB</v>
      </c>
      <c r="O2600" t="s">
        <v>4850</v>
      </c>
      <c r="Q2600" t="s">
        <v>126</v>
      </c>
      <c r="R2600" t="s">
        <v>124</v>
      </c>
      <c r="S2600" t="b">
        <v>0</v>
      </c>
      <c r="T2600" t="s">
        <v>124</v>
      </c>
    </row>
    <row r="2601">
      <c r="A2601" t="s">
        <v>4851</v>
      </c>
      <c r="B2601" t="s">
        <v>4841</v>
      </c>
      <c r="C2601" s="2">
        <v>2022</v>
      </c>
      <c r="D2601" s="10">
        <v>9</v>
      </c>
      <c r="E2601" s="10">
        <v>14</v>
      </c>
      <c r="F2601" t="s">
        <v>2470</v>
      </c>
      <c r="G2601">
        <v>3840</v>
      </c>
      <c r="H2601" t="s">
        <v>69</v>
      </c>
      <c r="I2601" t="s">
        <v>157</v>
      </c>
      <c r="J2601" s="10" t="str">
        <f>VLOOKUP(I2601,Categories!A:B,2,FALSE)</f>
        <v>Boardgame</v>
      </c>
      <c r="K2601" t="s">
        <v>178</v>
      </c>
      <c r="L2601" s="10" t="str">
        <f>VLOOKUP(K2601,Accounts!A:B,2,FALSE)</f>
        <v>SCB</v>
      </c>
      <c r="M2601" t="s">
        <v>124</v>
      </c>
      <c r="N2601" s="10"/>
      <c r="O2601" t="s">
        <v>125</v>
      </c>
      <c r="Q2601" t="s">
        <v>126</v>
      </c>
      <c r="R2601" t="s">
        <v>124</v>
      </c>
      <c r="S2601" t="b">
        <v>0</v>
      </c>
      <c r="T2601" t="s">
        <v>124</v>
      </c>
    </row>
    <row r="2602">
      <c r="A2602" t="s">
        <v>4852</v>
      </c>
      <c r="B2602" t="s">
        <v>4841</v>
      </c>
      <c r="C2602" s="2">
        <v>2022</v>
      </c>
      <c r="D2602" s="10">
        <v>9</v>
      </c>
      <c r="E2602" s="10">
        <v>14</v>
      </c>
      <c r="F2602" t="s">
        <v>4853</v>
      </c>
      <c r="G2602">
        <v>540</v>
      </c>
      <c r="H2602" t="s">
        <v>128</v>
      </c>
      <c r="I2602" t="s">
        <v>136</v>
      </c>
      <c r="J2602" s="10" t="str">
        <f>VLOOKUP(I2602,Categories!A:B,2,FALSE)</f>
        <v>อื่นๆ</v>
      </c>
      <c r="K2602" t="s">
        <v>131</v>
      </c>
      <c r="L2602" s="10" t="str">
        <f>VLOOKUP(K2602,Accounts!A:B,2,FALSE)</f>
        <v xml:space="preserve">Advance Paid</v>
      </c>
      <c r="M2602" t="s">
        <v>844</v>
      </c>
      <c r="N2602" s="10" t="str">
        <f>VLOOKUP(M2602,Accounts!A:B,2,FALSE)</f>
        <v>BBL</v>
      </c>
      <c r="O2602" t="s">
        <v>4854</v>
      </c>
      <c r="Q2602" t="s">
        <v>126</v>
      </c>
      <c r="R2602" t="s">
        <v>124</v>
      </c>
      <c r="S2602" t="b">
        <v>0</v>
      </c>
      <c r="T2602" t="s">
        <v>124</v>
      </c>
    </row>
    <row r="2603">
      <c r="A2603" t="s">
        <v>4855</v>
      </c>
      <c r="B2603" t="s">
        <v>4841</v>
      </c>
      <c r="C2603" s="2">
        <v>2022</v>
      </c>
      <c r="D2603" s="10">
        <v>9</v>
      </c>
      <c r="E2603" s="10">
        <v>14</v>
      </c>
      <c r="F2603" t="s">
        <v>440</v>
      </c>
      <c r="G2603">
        <v>1370</v>
      </c>
      <c r="H2603" t="s">
        <v>128</v>
      </c>
      <c r="I2603" t="s">
        <v>136</v>
      </c>
      <c r="J2603" s="10" t="str">
        <f>VLOOKUP(I2603,Categories!A:B,2,FALSE)</f>
        <v>อื่นๆ</v>
      </c>
      <c r="K2603" t="s">
        <v>131</v>
      </c>
      <c r="L2603" s="10" t="str">
        <f>VLOOKUP(K2603,Accounts!A:B,2,FALSE)</f>
        <v xml:space="preserve">Advance Paid</v>
      </c>
      <c r="M2603" t="s">
        <v>178</v>
      </c>
      <c r="N2603" s="10" t="str">
        <f>VLOOKUP(M2603,Accounts!A:B,2,FALSE)</f>
        <v>SCB</v>
      </c>
      <c r="O2603" t="s">
        <v>4856</v>
      </c>
      <c r="Q2603" t="s">
        <v>126</v>
      </c>
      <c r="R2603" t="s">
        <v>124</v>
      </c>
      <c r="S2603" t="b">
        <v>0</v>
      </c>
      <c r="T2603" t="s">
        <v>124</v>
      </c>
    </row>
    <row r="2604">
      <c r="A2604" t="s">
        <v>4857</v>
      </c>
      <c r="B2604" t="s">
        <v>4841</v>
      </c>
      <c r="C2604" s="2">
        <v>2022</v>
      </c>
      <c r="D2604" s="10">
        <v>9</v>
      </c>
      <c r="E2604" s="10">
        <v>14</v>
      </c>
      <c r="F2604" t="s">
        <v>649</v>
      </c>
      <c r="G2604">
        <v>149</v>
      </c>
      <c r="H2604" t="s">
        <v>69</v>
      </c>
      <c r="I2604" t="s">
        <v>150</v>
      </c>
      <c r="J2604" s="10" t="str">
        <f>VLOOKUP(I2604,Categories!A:B,2,FALSE)</f>
        <v xml:space="preserve">Food &amp; Coff</v>
      </c>
      <c r="K2604" t="s">
        <v>178</v>
      </c>
      <c r="L2604" s="10" t="str">
        <f>VLOOKUP(K2604,Accounts!A:B,2,FALSE)</f>
        <v>SCB</v>
      </c>
      <c r="M2604" t="s">
        <v>124</v>
      </c>
      <c r="N2604" s="10"/>
      <c r="O2604" t="s">
        <v>125</v>
      </c>
      <c r="Q2604" t="s">
        <v>126</v>
      </c>
      <c r="R2604" t="s">
        <v>124</v>
      </c>
      <c r="S2604" t="b">
        <v>0</v>
      </c>
      <c r="T2604" t="s">
        <v>124</v>
      </c>
    </row>
    <row r="2605">
      <c r="A2605" t="s">
        <v>4858</v>
      </c>
      <c r="B2605" t="s">
        <v>4859</v>
      </c>
      <c r="C2605" s="2">
        <v>2022</v>
      </c>
      <c r="D2605" s="10">
        <v>9</v>
      </c>
      <c r="E2605" s="10">
        <v>13</v>
      </c>
      <c r="F2605" t="s">
        <v>613</v>
      </c>
      <c r="G2605">
        <v>110</v>
      </c>
      <c r="H2605" t="s">
        <v>69</v>
      </c>
      <c r="I2605" t="s">
        <v>150</v>
      </c>
      <c r="J2605" s="10" t="str">
        <f>VLOOKUP(I2605,Categories!A:B,2,FALSE)</f>
        <v xml:space="preserve">Food &amp; Coff</v>
      </c>
      <c r="K2605" t="s">
        <v>2317</v>
      </c>
      <c r="L2605" s="10" t="str">
        <f>VLOOKUP(K2605,Accounts!A:B,2,FALSE)</f>
        <v xml:space="preserve">Marriage account</v>
      </c>
      <c r="M2605" t="s">
        <v>124</v>
      </c>
      <c r="N2605" s="10"/>
      <c r="O2605" t="s">
        <v>125</v>
      </c>
      <c r="Q2605" t="s">
        <v>126</v>
      </c>
      <c r="R2605" t="s">
        <v>124</v>
      </c>
      <c r="S2605" t="b">
        <v>0</v>
      </c>
      <c r="T2605" t="s">
        <v>124</v>
      </c>
    </row>
    <row r="2606">
      <c r="A2606" t="s">
        <v>4860</v>
      </c>
      <c r="B2606" t="s">
        <v>4859</v>
      </c>
      <c r="C2606" s="2">
        <v>2022</v>
      </c>
      <c r="D2606" s="10">
        <v>9</v>
      </c>
      <c r="E2606" s="10">
        <v>13</v>
      </c>
      <c r="F2606" t="s">
        <v>270</v>
      </c>
      <c r="G2606">
        <v>88</v>
      </c>
      <c r="H2606" t="s">
        <v>69</v>
      </c>
      <c r="I2606" t="s">
        <v>150</v>
      </c>
      <c r="J2606" s="10" t="str">
        <f>VLOOKUP(I2606,Categories!A:B,2,FALSE)</f>
        <v xml:space="preserve">Food &amp; Coff</v>
      </c>
      <c r="K2606" t="s">
        <v>178</v>
      </c>
      <c r="L2606" s="10" t="str">
        <f>VLOOKUP(K2606,Accounts!A:B,2,FALSE)</f>
        <v>SCB</v>
      </c>
      <c r="M2606" t="s">
        <v>124</v>
      </c>
      <c r="N2606" s="10"/>
      <c r="O2606" t="s">
        <v>125</v>
      </c>
      <c r="Q2606" t="s">
        <v>126</v>
      </c>
      <c r="R2606" t="s">
        <v>124</v>
      </c>
      <c r="S2606" t="b">
        <v>0</v>
      </c>
      <c r="T2606" t="s">
        <v>124</v>
      </c>
    </row>
    <row r="2607">
      <c r="A2607" t="s">
        <v>4861</v>
      </c>
      <c r="B2607" t="s">
        <v>4859</v>
      </c>
      <c r="C2607" s="2">
        <v>2022</v>
      </c>
      <c r="D2607" s="10">
        <v>9</v>
      </c>
      <c r="E2607" s="10">
        <v>13</v>
      </c>
      <c r="F2607" t="s">
        <v>3119</v>
      </c>
      <c r="G2607">
        <v>60</v>
      </c>
      <c r="H2607" t="s">
        <v>69</v>
      </c>
      <c r="I2607" t="s">
        <v>150</v>
      </c>
      <c r="J2607" s="10" t="str">
        <f>VLOOKUP(I2607,Categories!A:B,2,FALSE)</f>
        <v xml:space="preserve">Food &amp; Coff</v>
      </c>
      <c r="K2607" t="s">
        <v>178</v>
      </c>
      <c r="L2607" s="10" t="str">
        <f>VLOOKUP(K2607,Accounts!A:B,2,FALSE)</f>
        <v>SCB</v>
      </c>
      <c r="M2607" t="s">
        <v>124</v>
      </c>
      <c r="N2607" s="10"/>
      <c r="O2607" t="s">
        <v>125</v>
      </c>
      <c r="Q2607" t="s">
        <v>126</v>
      </c>
      <c r="R2607" t="s">
        <v>124</v>
      </c>
      <c r="S2607" t="b">
        <v>0</v>
      </c>
      <c r="T2607" t="s">
        <v>124</v>
      </c>
    </row>
    <row r="2608">
      <c r="A2608" t="s">
        <v>4862</v>
      </c>
      <c r="B2608" t="s">
        <v>4859</v>
      </c>
      <c r="C2608" s="2">
        <v>2022</v>
      </c>
      <c r="D2608" s="10">
        <v>9</v>
      </c>
      <c r="E2608" s="10">
        <v>13</v>
      </c>
      <c r="F2608" t="s">
        <v>3057</v>
      </c>
      <c r="G2608">
        <v>1000</v>
      </c>
      <c r="H2608" t="s">
        <v>128</v>
      </c>
      <c r="I2608" t="s">
        <v>136</v>
      </c>
      <c r="J2608" s="10" t="str">
        <f>VLOOKUP(I2608,Categories!A:B,2,FALSE)</f>
        <v>อื่นๆ</v>
      </c>
      <c r="K2608" t="s">
        <v>178</v>
      </c>
      <c r="L2608" s="10" t="str">
        <f>VLOOKUP(K2608,Accounts!A:B,2,FALSE)</f>
        <v>SCB</v>
      </c>
      <c r="M2608" t="s">
        <v>131</v>
      </c>
      <c r="N2608" s="10" t="str">
        <f>VLOOKUP(M2608,Accounts!A:B,2,FALSE)</f>
        <v xml:space="preserve">Advance Paid</v>
      </c>
      <c r="O2608" t="s">
        <v>4844</v>
      </c>
      <c r="Q2608" t="s">
        <v>126</v>
      </c>
      <c r="R2608" t="s">
        <v>124</v>
      </c>
      <c r="S2608" t="b">
        <v>0</v>
      </c>
      <c r="T2608" t="s">
        <v>124</v>
      </c>
    </row>
    <row r="2609">
      <c r="A2609" t="s">
        <v>4863</v>
      </c>
      <c r="B2609" t="s">
        <v>4864</v>
      </c>
      <c r="C2609" s="2">
        <v>2022</v>
      </c>
      <c r="D2609" s="10">
        <v>9</v>
      </c>
      <c r="E2609" s="10">
        <v>12</v>
      </c>
      <c r="F2609" t="s">
        <v>2699</v>
      </c>
      <c r="G2609">
        <v>45</v>
      </c>
      <c r="H2609" t="s">
        <v>69</v>
      </c>
      <c r="I2609" t="s">
        <v>150</v>
      </c>
      <c r="J2609" s="10" t="str">
        <f>VLOOKUP(I2609,Categories!A:B,2,FALSE)</f>
        <v xml:space="preserve">Food &amp; Coff</v>
      </c>
      <c r="K2609" t="s">
        <v>178</v>
      </c>
      <c r="L2609" s="10" t="str">
        <f>VLOOKUP(K2609,Accounts!A:B,2,FALSE)</f>
        <v>SCB</v>
      </c>
      <c r="M2609" t="s">
        <v>124</v>
      </c>
      <c r="N2609" s="10"/>
      <c r="O2609" t="s">
        <v>125</v>
      </c>
      <c r="Q2609" t="s">
        <v>126</v>
      </c>
      <c r="R2609" t="s">
        <v>124</v>
      </c>
      <c r="S2609" t="b">
        <v>0</v>
      </c>
      <c r="T2609" t="s">
        <v>124</v>
      </c>
    </row>
    <row r="2610">
      <c r="A2610" t="s">
        <v>4865</v>
      </c>
      <c r="B2610" t="s">
        <v>4864</v>
      </c>
      <c r="C2610" s="2">
        <v>2022</v>
      </c>
      <c r="D2610" s="10">
        <v>9</v>
      </c>
      <c r="E2610" s="10">
        <v>12</v>
      </c>
      <c r="F2610" t="s">
        <v>2131</v>
      </c>
      <c r="G2610">
        <v>659</v>
      </c>
      <c r="H2610" t="s">
        <v>128</v>
      </c>
      <c r="I2610" t="s">
        <v>136</v>
      </c>
      <c r="J2610" s="10" t="str">
        <f>VLOOKUP(I2610,Categories!A:B,2,FALSE)</f>
        <v>อื่นๆ</v>
      </c>
      <c r="K2610" t="s">
        <v>131</v>
      </c>
      <c r="L2610" s="10" t="str">
        <f>VLOOKUP(K2610,Accounts!A:B,2,FALSE)</f>
        <v xml:space="preserve">Advance Paid</v>
      </c>
      <c r="M2610" t="s">
        <v>178</v>
      </c>
      <c r="N2610" s="10" t="str">
        <f>VLOOKUP(M2610,Accounts!A:B,2,FALSE)</f>
        <v>SCB</v>
      </c>
      <c r="O2610" t="s">
        <v>4866</v>
      </c>
      <c r="Q2610" t="s">
        <v>126</v>
      </c>
      <c r="R2610" t="s">
        <v>124</v>
      </c>
      <c r="S2610" t="b">
        <v>0</v>
      </c>
      <c r="T2610" t="s">
        <v>124</v>
      </c>
    </row>
    <row r="2611">
      <c r="A2611" t="s">
        <v>4867</v>
      </c>
      <c r="B2611" t="s">
        <v>4868</v>
      </c>
      <c r="C2611" s="2">
        <v>2022</v>
      </c>
      <c r="D2611" s="10">
        <v>9</v>
      </c>
      <c r="E2611" s="10">
        <v>11</v>
      </c>
      <c r="F2611" t="s">
        <v>1594</v>
      </c>
      <c r="G2611">
        <v>50</v>
      </c>
      <c r="H2611" t="s">
        <v>69</v>
      </c>
      <c r="I2611" t="s">
        <v>150</v>
      </c>
      <c r="J2611" s="10" t="str">
        <f>VLOOKUP(I2611,Categories!A:B,2,FALSE)</f>
        <v xml:space="preserve">Food &amp; Coff</v>
      </c>
      <c r="K2611" t="s">
        <v>178</v>
      </c>
      <c r="L2611" s="10" t="str">
        <f>VLOOKUP(K2611,Accounts!A:B,2,FALSE)</f>
        <v>SCB</v>
      </c>
      <c r="M2611" t="s">
        <v>124</v>
      </c>
      <c r="N2611" s="10"/>
      <c r="O2611" t="s">
        <v>125</v>
      </c>
      <c r="Q2611" t="s">
        <v>126</v>
      </c>
      <c r="R2611" t="s">
        <v>124</v>
      </c>
      <c r="S2611" t="b">
        <v>0</v>
      </c>
      <c r="T2611" t="s">
        <v>124</v>
      </c>
    </row>
    <row r="2612">
      <c r="A2612" t="s">
        <v>4869</v>
      </c>
      <c r="B2612" t="s">
        <v>4868</v>
      </c>
      <c r="C2612" s="2">
        <v>2022</v>
      </c>
      <c r="D2612" s="10">
        <v>9</v>
      </c>
      <c r="E2612" s="10">
        <v>11</v>
      </c>
      <c r="F2612" t="s">
        <v>1594</v>
      </c>
      <c r="G2612">
        <v>410</v>
      </c>
      <c r="H2612" t="s">
        <v>69</v>
      </c>
      <c r="I2612" t="s">
        <v>150</v>
      </c>
      <c r="J2612" s="10" t="str">
        <f>VLOOKUP(I2612,Categories!A:B,2,FALSE)</f>
        <v xml:space="preserve">Food &amp; Coff</v>
      </c>
      <c r="K2612" t="s">
        <v>2317</v>
      </c>
      <c r="L2612" s="10" t="str">
        <f>VLOOKUP(K2612,Accounts!A:B,2,FALSE)</f>
        <v xml:space="preserve">Marriage account</v>
      </c>
      <c r="M2612" t="s">
        <v>124</v>
      </c>
      <c r="N2612" s="10"/>
      <c r="O2612" t="s">
        <v>4870</v>
      </c>
      <c r="Q2612" t="s">
        <v>126</v>
      </c>
      <c r="R2612" t="s">
        <v>124</v>
      </c>
      <c r="S2612" t="b">
        <v>0</v>
      </c>
      <c r="T2612" t="s">
        <v>124</v>
      </c>
    </row>
    <row r="2613">
      <c r="A2613" t="s">
        <v>4871</v>
      </c>
      <c r="B2613" t="s">
        <v>4868</v>
      </c>
      <c r="C2613" s="2">
        <v>2022</v>
      </c>
      <c r="D2613" s="10">
        <v>9</v>
      </c>
      <c r="E2613" s="10">
        <v>11</v>
      </c>
      <c r="F2613" t="s">
        <v>1594</v>
      </c>
      <c r="G2613">
        <v>60</v>
      </c>
      <c r="H2613" t="s">
        <v>69</v>
      </c>
      <c r="I2613" t="s">
        <v>1679</v>
      </c>
      <c r="J2613" s="10" t="str">
        <f>VLOOKUP(I2613,Categories!A:B,2,FALSE)</f>
        <v xml:space="preserve">Condo stuff</v>
      </c>
      <c r="K2613" t="s">
        <v>2317</v>
      </c>
      <c r="L2613" s="10" t="str">
        <f>VLOOKUP(K2613,Accounts!A:B,2,FALSE)</f>
        <v xml:space="preserve">Marriage account</v>
      </c>
      <c r="M2613" t="s">
        <v>124</v>
      </c>
      <c r="N2613" s="10"/>
      <c r="O2613" t="s">
        <v>4872</v>
      </c>
      <c r="Q2613" t="s">
        <v>126</v>
      </c>
      <c r="R2613" t="s">
        <v>124</v>
      </c>
      <c r="S2613" t="b">
        <v>0</v>
      </c>
      <c r="T2613" t="s">
        <v>124</v>
      </c>
    </row>
    <row r="2614">
      <c r="A2614" t="s">
        <v>4873</v>
      </c>
      <c r="B2614" t="s">
        <v>4868</v>
      </c>
      <c r="C2614" s="2">
        <v>2022</v>
      </c>
      <c r="D2614" s="10">
        <v>9</v>
      </c>
      <c r="E2614" s="10">
        <v>11</v>
      </c>
      <c r="F2614" t="s">
        <v>1759</v>
      </c>
      <c r="G2614">
        <v>1318</v>
      </c>
      <c r="H2614" t="s">
        <v>69</v>
      </c>
      <c r="I2614" t="s">
        <v>150</v>
      </c>
      <c r="J2614" s="10" t="str">
        <f>VLOOKUP(I2614,Categories!A:B,2,FALSE)</f>
        <v xml:space="preserve">Food &amp; Coff</v>
      </c>
      <c r="K2614" t="s">
        <v>2317</v>
      </c>
      <c r="L2614" s="10" t="str">
        <f>VLOOKUP(K2614,Accounts!A:B,2,FALSE)</f>
        <v xml:space="preserve">Marriage account</v>
      </c>
      <c r="M2614" t="s">
        <v>124</v>
      </c>
      <c r="N2614" s="10"/>
      <c r="O2614" t="s">
        <v>125</v>
      </c>
      <c r="Q2614" t="s">
        <v>126</v>
      </c>
      <c r="R2614" t="s">
        <v>124</v>
      </c>
      <c r="S2614" t="b">
        <v>0</v>
      </c>
      <c r="T2614" t="s">
        <v>124</v>
      </c>
    </row>
    <row r="2615">
      <c r="A2615" t="s">
        <v>4874</v>
      </c>
      <c r="B2615" t="s">
        <v>4868</v>
      </c>
      <c r="C2615" s="2">
        <v>2022</v>
      </c>
      <c r="D2615" s="10">
        <v>9</v>
      </c>
      <c r="E2615" s="10">
        <v>11</v>
      </c>
      <c r="F2615" t="s">
        <v>1759</v>
      </c>
      <c r="G2615">
        <v>56</v>
      </c>
      <c r="H2615" t="s">
        <v>69</v>
      </c>
      <c r="I2615" t="s">
        <v>150</v>
      </c>
      <c r="J2615" s="10" t="str">
        <f>VLOOKUP(I2615,Categories!A:B,2,FALSE)</f>
        <v xml:space="preserve">Food &amp; Coff</v>
      </c>
      <c r="K2615" t="s">
        <v>2317</v>
      </c>
      <c r="L2615" s="10" t="str">
        <f>VLOOKUP(K2615,Accounts!A:B,2,FALSE)</f>
        <v xml:space="preserve">Marriage account</v>
      </c>
      <c r="M2615" t="s">
        <v>124</v>
      </c>
      <c r="N2615" s="10"/>
      <c r="O2615" t="s">
        <v>125</v>
      </c>
      <c r="Q2615" t="s">
        <v>126</v>
      </c>
      <c r="R2615" t="s">
        <v>124</v>
      </c>
      <c r="S2615" t="b">
        <v>0</v>
      </c>
      <c r="T2615" t="s">
        <v>124</v>
      </c>
    </row>
    <row r="2616">
      <c r="A2616" t="s">
        <v>4875</v>
      </c>
      <c r="B2616" t="s">
        <v>4868</v>
      </c>
      <c r="C2616" s="2">
        <v>2022</v>
      </c>
      <c r="D2616" s="10">
        <v>9</v>
      </c>
      <c r="E2616" s="10">
        <v>11</v>
      </c>
      <c r="F2616" t="s">
        <v>1759</v>
      </c>
      <c r="G2616">
        <v>525</v>
      </c>
      <c r="H2616" t="s">
        <v>69</v>
      </c>
      <c r="I2616" t="s">
        <v>157</v>
      </c>
      <c r="J2616" s="10" t="str">
        <f>VLOOKUP(I2616,Categories!A:B,2,FALSE)</f>
        <v>Boardgame</v>
      </c>
      <c r="K2616" t="s">
        <v>178</v>
      </c>
      <c r="L2616" s="10" t="str">
        <f>VLOOKUP(K2616,Accounts!A:B,2,FALSE)</f>
        <v>SCB</v>
      </c>
      <c r="M2616" t="s">
        <v>124</v>
      </c>
      <c r="N2616" s="10"/>
      <c r="O2616" t="s">
        <v>125</v>
      </c>
      <c r="Q2616" t="s">
        <v>126</v>
      </c>
      <c r="R2616" t="s">
        <v>124</v>
      </c>
      <c r="S2616" t="b">
        <v>0</v>
      </c>
      <c r="T2616" t="s">
        <v>124</v>
      </c>
    </row>
    <row r="2617">
      <c r="A2617" t="s">
        <v>4876</v>
      </c>
      <c r="B2617" t="s">
        <v>4877</v>
      </c>
      <c r="C2617" s="2">
        <v>2022</v>
      </c>
      <c r="D2617" s="10">
        <v>9</v>
      </c>
      <c r="E2617" s="10">
        <v>10</v>
      </c>
      <c r="F2617" t="s">
        <v>121</v>
      </c>
      <c r="G2617">
        <v>10000</v>
      </c>
      <c r="H2617" t="s">
        <v>128</v>
      </c>
      <c r="I2617" t="s">
        <v>136</v>
      </c>
      <c r="J2617" s="10" t="str">
        <f>VLOOKUP(I2617,Categories!A:B,2,FALSE)</f>
        <v>อื่นๆ</v>
      </c>
      <c r="K2617" t="s">
        <v>178</v>
      </c>
      <c r="L2617" s="10" t="str">
        <f>VLOOKUP(K2617,Accounts!A:B,2,FALSE)</f>
        <v>SCB</v>
      </c>
      <c r="M2617" t="s">
        <v>2317</v>
      </c>
      <c r="N2617" s="10" t="str">
        <f>VLOOKUP(M2617,Accounts!A:B,2,FALSE)</f>
        <v xml:space="preserve">Marriage account</v>
      </c>
      <c r="O2617" t="s">
        <v>125</v>
      </c>
      <c r="Q2617" t="s">
        <v>126</v>
      </c>
      <c r="R2617" t="s">
        <v>124</v>
      </c>
      <c r="S2617" t="b">
        <v>0</v>
      </c>
      <c r="T2617" t="s">
        <v>124</v>
      </c>
    </row>
    <row r="2618">
      <c r="A2618" t="s">
        <v>4878</v>
      </c>
      <c r="B2618" t="s">
        <v>4877</v>
      </c>
      <c r="C2618" s="2">
        <v>2022</v>
      </c>
      <c r="D2618" s="10">
        <v>9</v>
      </c>
      <c r="E2618" s="10">
        <v>10</v>
      </c>
      <c r="F2618" t="s">
        <v>2709</v>
      </c>
      <c r="G2618">
        <v>100</v>
      </c>
      <c r="H2618" t="s">
        <v>69</v>
      </c>
      <c r="I2618" t="s">
        <v>150</v>
      </c>
      <c r="J2618" s="10" t="str">
        <f>VLOOKUP(I2618,Categories!A:B,2,FALSE)</f>
        <v xml:space="preserve">Food &amp; Coff</v>
      </c>
      <c r="K2618" t="s">
        <v>2317</v>
      </c>
      <c r="L2618" s="10" t="str">
        <f>VLOOKUP(K2618,Accounts!A:B,2,FALSE)</f>
        <v xml:space="preserve">Marriage account</v>
      </c>
      <c r="M2618" t="s">
        <v>124</v>
      </c>
      <c r="N2618" s="10"/>
      <c r="O2618" t="s">
        <v>4879</v>
      </c>
      <c r="Q2618" t="s">
        <v>126</v>
      </c>
      <c r="R2618" t="s">
        <v>124</v>
      </c>
      <c r="S2618" t="b">
        <v>0</v>
      </c>
      <c r="T2618" t="s">
        <v>124</v>
      </c>
    </row>
    <row r="2619">
      <c r="A2619" t="s">
        <v>4880</v>
      </c>
      <c r="B2619" t="s">
        <v>4877</v>
      </c>
      <c r="C2619" s="2">
        <v>2022</v>
      </c>
      <c r="D2619" s="10">
        <v>9</v>
      </c>
      <c r="E2619" s="10">
        <v>10</v>
      </c>
      <c r="F2619" t="s">
        <v>2909</v>
      </c>
      <c r="G2619">
        <v>189</v>
      </c>
      <c r="H2619" t="s">
        <v>69</v>
      </c>
      <c r="I2619" t="s">
        <v>150</v>
      </c>
      <c r="J2619" s="10" t="str">
        <f>VLOOKUP(I2619,Categories!A:B,2,FALSE)</f>
        <v xml:space="preserve">Food &amp; Coff</v>
      </c>
      <c r="K2619" t="s">
        <v>2317</v>
      </c>
      <c r="L2619" s="10" t="str">
        <f>VLOOKUP(K2619,Accounts!A:B,2,FALSE)</f>
        <v xml:space="preserve">Marriage account</v>
      </c>
      <c r="M2619" t="s">
        <v>124</v>
      </c>
      <c r="N2619" s="10"/>
      <c r="O2619" t="s">
        <v>4881</v>
      </c>
      <c r="Q2619" t="s">
        <v>126</v>
      </c>
      <c r="R2619" t="s">
        <v>124</v>
      </c>
      <c r="S2619" t="b">
        <v>0</v>
      </c>
      <c r="T2619" t="s">
        <v>124</v>
      </c>
    </row>
    <row r="2620">
      <c r="A2620" t="s">
        <v>4882</v>
      </c>
      <c r="B2620" t="s">
        <v>4877</v>
      </c>
      <c r="C2620" s="2">
        <v>2022</v>
      </c>
      <c r="D2620" s="10">
        <v>9</v>
      </c>
      <c r="E2620" s="10">
        <v>10</v>
      </c>
      <c r="F2620" t="s">
        <v>337</v>
      </c>
      <c r="G2620">
        <v>55</v>
      </c>
      <c r="H2620" t="s">
        <v>69</v>
      </c>
      <c r="I2620" t="s">
        <v>150</v>
      </c>
      <c r="J2620" s="10" t="str">
        <f>VLOOKUP(I2620,Categories!A:B,2,FALSE)</f>
        <v xml:space="preserve">Food &amp; Coff</v>
      </c>
      <c r="K2620" t="s">
        <v>178</v>
      </c>
      <c r="L2620" s="10" t="str">
        <f>VLOOKUP(K2620,Accounts!A:B,2,FALSE)</f>
        <v>SCB</v>
      </c>
      <c r="M2620" t="s">
        <v>124</v>
      </c>
      <c r="N2620" s="10"/>
      <c r="O2620" t="s">
        <v>4883</v>
      </c>
      <c r="Q2620" t="s">
        <v>126</v>
      </c>
      <c r="R2620" t="s">
        <v>124</v>
      </c>
      <c r="S2620" t="b">
        <v>0</v>
      </c>
      <c r="T2620" t="s">
        <v>124</v>
      </c>
    </row>
    <row r="2621">
      <c r="A2621" t="s">
        <v>4884</v>
      </c>
      <c r="B2621" t="s">
        <v>4877</v>
      </c>
      <c r="C2621" s="2">
        <v>2022</v>
      </c>
      <c r="D2621" s="10">
        <v>9</v>
      </c>
      <c r="E2621" s="10">
        <v>10</v>
      </c>
      <c r="F2621" t="s">
        <v>154</v>
      </c>
      <c r="G2621">
        <v>165</v>
      </c>
      <c r="H2621" t="s">
        <v>69</v>
      </c>
      <c r="I2621" t="s">
        <v>3504</v>
      </c>
      <c r="J2621" s="10" t="str">
        <f>VLOOKUP(I2621,Categories!A:B,2,FALSE)</f>
        <v xml:space="preserve">Condo suppliers</v>
      </c>
      <c r="K2621" t="s">
        <v>2317</v>
      </c>
      <c r="L2621" s="10" t="str">
        <f>VLOOKUP(K2621,Accounts!A:B,2,FALSE)</f>
        <v xml:space="preserve">Marriage account</v>
      </c>
      <c r="M2621" t="s">
        <v>124</v>
      </c>
      <c r="N2621" s="10"/>
      <c r="O2621" t="s">
        <v>4885</v>
      </c>
      <c r="Q2621" t="s">
        <v>126</v>
      </c>
      <c r="R2621" t="s">
        <v>124</v>
      </c>
      <c r="S2621" t="b">
        <v>0</v>
      </c>
      <c r="T2621" t="s">
        <v>124</v>
      </c>
    </row>
    <row r="2622">
      <c r="A2622" t="s">
        <v>4886</v>
      </c>
      <c r="B2622" t="s">
        <v>4877</v>
      </c>
      <c r="C2622" s="2">
        <v>2022</v>
      </c>
      <c r="D2622" s="10">
        <v>9</v>
      </c>
      <c r="E2622" s="10">
        <v>10</v>
      </c>
      <c r="F2622" t="s">
        <v>458</v>
      </c>
      <c r="G2622">
        <v>174</v>
      </c>
      <c r="H2622" t="s">
        <v>69</v>
      </c>
      <c r="I2622" t="s">
        <v>150</v>
      </c>
      <c r="J2622" s="10" t="str">
        <f>VLOOKUP(I2622,Categories!A:B,2,FALSE)</f>
        <v xml:space="preserve">Food &amp; Coff</v>
      </c>
      <c r="K2622" t="s">
        <v>2317</v>
      </c>
      <c r="L2622" s="10" t="str">
        <f>VLOOKUP(K2622,Accounts!A:B,2,FALSE)</f>
        <v xml:space="preserve">Marriage account</v>
      </c>
      <c r="M2622" t="s">
        <v>124</v>
      </c>
      <c r="N2622" s="10"/>
      <c r="O2622" t="s">
        <v>4887</v>
      </c>
      <c r="Q2622" t="s">
        <v>126</v>
      </c>
      <c r="R2622" t="s">
        <v>124</v>
      </c>
      <c r="S2622" t="b">
        <v>0</v>
      </c>
      <c r="T2622" t="s">
        <v>124</v>
      </c>
    </row>
    <row r="2623">
      <c r="A2623" t="s">
        <v>4888</v>
      </c>
      <c r="B2623" t="s">
        <v>4877</v>
      </c>
      <c r="C2623" s="2">
        <v>2022</v>
      </c>
      <c r="D2623" s="10">
        <v>9</v>
      </c>
      <c r="E2623" s="10">
        <v>10</v>
      </c>
      <c r="F2623" t="s">
        <v>3454</v>
      </c>
      <c r="G2623">
        <v>86</v>
      </c>
      <c r="H2623" t="s">
        <v>69</v>
      </c>
      <c r="I2623" t="s">
        <v>259</v>
      </c>
      <c r="J2623" s="10" t="str">
        <f>VLOOKUP(I2623,Categories!A:B,2,FALSE)</f>
        <v xml:space="preserve">Team BOT</v>
      </c>
      <c r="K2623" t="s">
        <v>123</v>
      </c>
      <c r="L2623" s="10" t="str">
        <f>VLOOKUP(K2623,Accounts!A:B,2,FALSE)</f>
        <v>KBank</v>
      </c>
      <c r="M2623" t="s">
        <v>124</v>
      </c>
      <c r="N2623" s="10"/>
      <c r="O2623" t="s">
        <v>4889</v>
      </c>
      <c r="Q2623" t="s">
        <v>126</v>
      </c>
      <c r="R2623" t="s">
        <v>124</v>
      </c>
      <c r="S2623" t="b">
        <v>0</v>
      </c>
      <c r="T2623" t="s">
        <v>124</v>
      </c>
    </row>
    <row r="2624">
      <c r="A2624" t="s">
        <v>4890</v>
      </c>
      <c r="B2624" t="s">
        <v>4877</v>
      </c>
      <c r="C2624" s="2">
        <v>2022</v>
      </c>
      <c r="D2624" s="10">
        <v>9</v>
      </c>
      <c r="E2624" s="10">
        <v>10</v>
      </c>
      <c r="F2624" t="s">
        <v>461</v>
      </c>
      <c r="G2624">
        <v>500</v>
      </c>
      <c r="H2624" t="s">
        <v>128</v>
      </c>
      <c r="I2624" t="s">
        <v>136</v>
      </c>
      <c r="J2624" s="10" t="str">
        <f>VLOOKUP(I2624,Categories!A:B,2,FALSE)</f>
        <v>อื่นๆ</v>
      </c>
      <c r="K2624" t="s">
        <v>123</v>
      </c>
      <c r="L2624" s="10" t="str">
        <f>VLOOKUP(K2624,Accounts!A:B,2,FALSE)</f>
        <v>KBank</v>
      </c>
      <c r="M2624" t="s">
        <v>178</v>
      </c>
      <c r="N2624" s="10" t="str">
        <f>VLOOKUP(M2624,Accounts!A:B,2,FALSE)</f>
        <v>SCB</v>
      </c>
      <c r="O2624" t="s">
        <v>125</v>
      </c>
      <c r="Q2624" t="s">
        <v>126</v>
      </c>
      <c r="R2624" t="s">
        <v>124</v>
      </c>
      <c r="S2624" t="b">
        <v>0</v>
      </c>
      <c r="T2624" t="s">
        <v>124</v>
      </c>
    </row>
    <row r="2625">
      <c r="A2625" t="s">
        <v>4891</v>
      </c>
      <c r="B2625" t="s">
        <v>4877</v>
      </c>
      <c r="C2625" s="2">
        <v>2022</v>
      </c>
      <c r="D2625" s="10">
        <v>9</v>
      </c>
      <c r="E2625" s="10">
        <v>10</v>
      </c>
      <c r="F2625" t="s">
        <v>4892</v>
      </c>
      <c r="G2625">
        <v>1230.72</v>
      </c>
      <c r="H2625" t="s">
        <v>69</v>
      </c>
      <c r="I2625" t="s">
        <v>1882</v>
      </c>
      <c r="J2625" s="10" t="str">
        <f>VLOOKUP(I2625,Categories!A:B,2,FALSE)</f>
        <v>utility</v>
      </c>
      <c r="K2625" t="s">
        <v>2317</v>
      </c>
      <c r="L2625" s="10" t="str">
        <f>VLOOKUP(K2625,Accounts!A:B,2,FALSE)</f>
        <v xml:space="preserve">Marriage account</v>
      </c>
      <c r="M2625" t="s">
        <v>124</v>
      </c>
      <c r="N2625" s="10"/>
      <c r="O2625" t="s">
        <v>4893</v>
      </c>
      <c r="Q2625" t="s">
        <v>126</v>
      </c>
      <c r="R2625" t="s">
        <v>124</v>
      </c>
      <c r="S2625" t="b">
        <v>0</v>
      </c>
      <c r="T2625" t="s">
        <v>124</v>
      </c>
    </row>
    <row r="2626">
      <c r="A2626" t="s">
        <v>4894</v>
      </c>
      <c r="B2626" t="s">
        <v>4877</v>
      </c>
      <c r="C2626" s="2">
        <v>2022</v>
      </c>
      <c r="D2626" s="10">
        <v>9</v>
      </c>
      <c r="E2626" s="10">
        <v>10</v>
      </c>
      <c r="F2626" t="s">
        <v>1624</v>
      </c>
      <c r="G2626">
        <v>1100</v>
      </c>
      <c r="H2626" t="s">
        <v>69</v>
      </c>
      <c r="I2626" t="s">
        <v>3276</v>
      </c>
      <c r="J2626" s="10" t="str">
        <f>VLOOKUP(I2626,Categories!A:B,2,FALSE)</f>
        <v>Fuel</v>
      </c>
      <c r="K2626" t="s">
        <v>2317</v>
      </c>
      <c r="L2626" s="10" t="str">
        <f>VLOOKUP(K2626,Accounts!A:B,2,FALSE)</f>
        <v xml:space="preserve">Marriage account</v>
      </c>
      <c r="M2626" t="s">
        <v>124</v>
      </c>
      <c r="N2626" s="10"/>
      <c r="O2626" t="s">
        <v>4895</v>
      </c>
      <c r="Q2626" t="s">
        <v>126</v>
      </c>
      <c r="R2626" t="s">
        <v>124</v>
      </c>
      <c r="S2626" t="b">
        <v>0</v>
      </c>
      <c r="T2626" t="s">
        <v>124</v>
      </c>
    </row>
    <row r="2627">
      <c r="A2627" t="s">
        <v>4896</v>
      </c>
      <c r="B2627" t="s">
        <v>4877</v>
      </c>
      <c r="C2627" s="2">
        <v>2022</v>
      </c>
      <c r="D2627" s="10">
        <v>9</v>
      </c>
      <c r="E2627" s="10">
        <v>10</v>
      </c>
      <c r="F2627" t="s">
        <v>3295</v>
      </c>
      <c r="G2627">
        <v>45</v>
      </c>
      <c r="H2627" t="s">
        <v>206</v>
      </c>
      <c r="I2627" t="s">
        <v>254</v>
      </c>
      <c r="J2627" s="10" t="str">
        <f>VLOOKUP(I2627,Categories!A:B,2,FALSE)</f>
        <v xml:space="preserve">Modified Bal.</v>
      </c>
      <c r="K2627" t="s">
        <v>2349</v>
      </c>
      <c r="L2627" s="10" t="str">
        <f>VLOOKUP(K2627,Accounts!A:B,2,FALSE)</f>
        <v>Bluewallet</v>
      </c>
      <c r="M2627" t="s">
        <v>124</v>
      </c>
      <c r="N2627" s="10"/>
      <c r="O2627" t="s">
        <v>255</v>
      </c>
      <c r="Q2627" t="s">
        <v>126</v>
      </c>
      <c r="R2627" t="s">
        <v>124</v>
      </c>
      <c r="S2627" t="b">
        <v>0</v>
      </c>
      <c r="T2627" t="s">
        <v>124</v>
      </c>
    </row>
    <row r="2628">
      <c r="A2628" t="s">
        <v>4897</v>
      </c>
      <c r="B2628" t="s">
        <v>4877</v>
      </c>
      <c r="C2628" s="2">
        <v>2022</v>
      </c>
      <c r="D2628" s="10">
        <v>9</v>
      </c>
      <c r="E2628" s="10">
        <v>10</v>
      </c>
      <c r="F2628" t="s">
        <v>1957</v>
      </c>
      <c r="G2628">
        <v>1050</v>
      </c>
      <c r="H2628" t="s">
        <v>128</v>
      </c>
      <c r="I2628" t="s">
        <v>136</v>
      </c>
      <c r="J2628" s="10" t="str">
        <f>VLOOKUP(I2628,Categories!A:B,2,FALSE)</f>
        <v>อื่นๆ</v>
      </c>
      <c r="K2628" t="s">
        <v>2349</v>
      </c>
      <c r="L2628" s="10" t="str">
        <f>VLOOKUP(K2628,Accounts!A:B,2,FALSE)</f>
        <v>Bluewallet</v>
      </c>
      <c r="M2628" t="s">
        <v>178</v>
      </c>
      <c r="N2628" s="10" t="str">
        <f>VLOOKUP(M2628,Accounts!A:B,2,FALSE)</f>
        <v>SCB</v>
      </c>
      <c r="O2628" t="s">
        <v>125</v>
      </c>
      <c r="Q2628" t="s">
        <v>126</v>
      </c>
      <c r="R2628" t="s">
        <v>124</v>
      </c>
      <c r="S2628" t="b">
        <v>0</v>
      </c>
      <c r="T2628" t="s">
        <v>124</v>
      </c>
    </row>
    <row r="2629">
      <c r="A2629" t="s">
        <v>4898</v>
      </c>
      <c r="B2629" t="s">
        <v>4877</v>
      </c>
      <c r="C2629" s="2">
        <v>2022</v>
      </c>
      <c r="D2629" s="10">
        <v>9</v>
      </c>
      <c r="E2629" s="10">
        <v>10</v>
      </c>
      <c r="F2629" t="s">
        <v>4060</v>
      </c>
      <c r="G2629">
        <v>1050</v>
      </c>
      <c r="H2629" t="s">
        <v>69</v>
      </c>
      <c r="I2629" t="s">
        <v>3276</v>
      </c>
      <c r="J2629" s="10" t="str">
        <f>VLOOKUP(I2629,Categories!A:B,2,FALSE)</f>
        <v>Fuel</v>
      </c>
      <c r="K2629" t="s">
        <v>2317</v>
      </c>
      <c r="L2629" s="10" t="str">
        <f>VLOOKUP(K2629,Accounts!A:B,2,FALSE)</f>
        <v xml:space="preserve">Marriage account</v>
      </c>
      <c r="M2629" t="s">
        <v>124</v>
      </c>
      <c r="N2629" s="10"/>
      <c r="O2629" t="s">
        <v>4899</v>
      </c>
      <c r="Q2629" t="s">
        <v>126</v>
      </c>
      <c r="R2629" t="s">
        <v>124</v>
      </c>
      <c r="S2629" t="b">
        <v>0</v>
      </c>
      <c r="T2629" t="s">
        <v>124</v>
      </c>
    </row>
    <row r="2630">
      <c r="A2630" t="s">
        <v>4900</v>
      </c>
      <c r="B2630" t="s">
        <v>4877</v>
      </c>
      <c r="C2630" s="2">
        <v>2022</v>
      </c>
      <c r="D2630" s="10">
        <v>9</v>
      </c>
      <c r="E2630" s="10">
        <v>10</v>
      </c>
      <c r="F2630" t="s">
        <v>394</v>
      </c>
      <c r="G2630">
        <v>1462</v>
      </c>
      <c r="H2630" t="s">
        <v>69</v>
      </c>
      <c r="I2630" t="s">
        <v>152</v>
      </c>
      <c r="J2630" s="10" t="str">
        <f>VLOOKUP(I2630,Categories!A:B,2,FALSE)</f>
        <v xml:space="preserve">Office Suit</v>
      </c>
      <c r="K2630" t="s">
        <v>178</v>
      </c>
      <c r="L2630" s="10" t="str">
        <f>VLOOKUP(K2630,Accounts!A:B,2,FALSE)</f>
        <v>SCB</v>
      </c>
      <c r="M2630" t="s">
        <v>124</v>
      </c>
      <c r="N2630" s="10"/>
      <c r="O2630" t="s">
        <v>4901</v>
      </c>
      <c r="Q2630" t="s">
        <v>126</v>
      </c>
      <c r="R2630" t="s">
        <v>124</v>
      </c>
      <c r="S2630" t="b">
        <v>0</v>
      </c>
      <c r="T2630" t="s">
        <v>124</v>
      </c>
    </row>
    <row r="2631">
      <c r="A2631" t="s">
        <v>4902</v>
      </c>
      <c r="B2631" t="s">
        <v>4877</v>
      </c>
      <c r="C2631" s="2">
        <v>2022</v>
      </c>
      <c r="D2631" s="10">
        <v>9</v>
      </c>
      <c r="E2631" s="10">
        <v>10</v>
      </c>
      <c r="F2631" t="s">
        <v>394</v>
      </c>
      <c r="G2631">
        <v>2723</v>
      </c>
      <c r="H2631" t="s">
        <v>128</v>
      </c>
      <c r="I2631" t="s">
        <v>136</v>
      </c>
      <c r="J2631" s="10" t="str">
        <f>VLOOKUP(I2631,Categories!A:B,2,FALSE)</f>
        <v>อื่นๆ</v>
      </c>
      <c r="K2631" t="s">
        <v>178</v>
      </c>
      <c r="L2631" s="10" t="str">
        <f>VLOOKUP(K2631,Accounts!A:B,2,FALSE)</f>
        <v>SCB</v>
      </c>
      <c r="M2631" t="s">
        <v>131</v>
      </c>
      <c r="N2631" s="10" t="str">
        <f>VLOOKUP(M2631,Accounts!A:B,2,FALSE)</f>
        <v xml:space="preserve">Advance Paid</v>
      </c>
      <c r="O2631" t="s">
        <v>4903</v>
      </c>
      <c r="Q2631" t="s">
        <v>126</v>
      </c>
      <c r="R2631" t="s">
        <v>124</v>
      </c>
      <c r="S2631" t="b">
        <v>0</v>
      </c>
      <c r="T2631" t="s">
        <v>124</v>
      </c>
    </row>
    <row r="2632">
      <c r="A2632" t="s">
        <v>4904</v>
      </c>
      <c r="B2632" t="s">
        <v>4877</v>
      </c>
      <c r="C2632" s="2">
        <v>2022</v>
      </c>
      <c r="D2632" s="10">
        <v>9</v>
      </c>
      <c r="E2632" s="10">
        <v>10</v>
      </c>
      <c r="F2632" t="s">
        <v>2900</v>
      </c>
      <c r="G2632">
        <v>401</v>
      </c>
      <c r="H2632" t="s">
        <v>69</v>
      </c>
      <c r="I2632" t="s">
        <v>254</v>
      </c>
      <c r="J2632" s="10" t="str">
        <f>VLOOKUP(I2632,Categories!A:B,2,FALSE)</f>
        <v xml:space="preserve">Modified Bal.</v>
      </c>
      <c r="K2632" t="s">
        <v>2513</v>
      </c>
      <c r="L2632" s="10" t="str">
        <f>VLOOKUP(K2632,Accounts!A:B,2,FALSE)</f>
        <v xml:space="preserve">Pao tung</v>
      </c>
      <c r="M2632" t="s">
        <v>124</v>
      </c>
      <c r="N2632" s="10"/>
      <c r="O2632" t="s">
        <v>255</v>
      </c>
      <c r="Q2632" t="s">
        <v>126</v>
      </c>
      <c r="R2632" t="s">
        <v>124</v>
      </c>
      <c r="S2632" t="b">
        <v>0</v>
      </c>
      <c r="T2632" t="s">
        <v>124</v>
      </c>
    </row>
    <row r="2633">
      <c r="A2633" t="s">
        <v>4905</v>
      </c>
      <c r="B2633" t="s">
        <v>4877</v>
      </c>
      <c r="C2633" s="2">
        <v>2022</v>
      </c>
      <c r="D2633" s="10">
        <v>9</v>
      </c>
      <c r="E2633" s="10">
        <v>10</v>
      </c>
      <c r="F2633" t="s">
        <v>3558</v>
      </c>
      <c r="G2633">
        <v>46752.760000000002</v>
      </c>
      <c r="H2633" t="s">
        <v>69</v>
      </c>
      <c r="I2633" t="s">
        <v>122</v>
      </c>
      <c r="J2633" s="10" t="str">
        <f>VLOOKUP(I2633,Categories!A:B,2,FALSE)</f>
        <v>Other</v>
      </c>
      <c r="K2633" t="s">
        <v>178</v>
      </c>
      <c r="L2633" s="10" t="str">
        <f>VLOOKUP(K2633,Accounts!A:B,2,FALSE)</f>
        <v>SCB</v>
      </c>
      <c r="M2633" t="s">
        <v>124</v>
      </c>
      <c r="N2633" s="10"/>
      <c r="O2633" t="s">
        <v>4906</v>
      </c>
      <c r="Q2633" t="s">
        <v>126</v>
      </c>
      <c r="R2633" t="s">
        <v>124</v>
      </c>
      <c r="S2633" t="b">
        <v>0</v>
      </c>
      <c r="T2633" t="s">
        <v>124</v>
      </c>
    </row>
    <row r="2634">
      <c r="A2634" t="s">
        <v>4907</v>
      </c>
      <c r="B2634" t="s">
        <v>4877</v>
      </c>
      <c r="C2634" s="2">
        <v>2022</v>
      </c>
      <c r="D2634" s="10">
        <v>9</v>
      </c>
      <c r="E2634" s="10">
        <v>10</v>
      </c>
      <c r="F2634" t="s">
        <v>3558</v>
      </c>
      <c r="G2634">
        <v>830.26999999999998</v>
      </c>
      <c r="H2634" t="s">
        <v>69</v>
      </c>
      <c r="I2634" t="s">
        <v>134</v>
      </c>
      <c r="J2634" s="10" t="str">
        <f>VLOOKUP(I2634,Categories!A:B,2,FALSE)</f>
        <v>Hong</v>
      </c>
      <c r="K2634" t="s">
        <v>178</v>
      </c>
      <c r="L2634" s="10" t="str">
        <f>VLOOKUP(K2634,Accounts!A:B,2,FALSE)</f>
        <v>SCB</v>
      </c>
      <c r="M2634" t="s">
        <v>124</v>
      </c>
      <c r="N2634" s="10"/>
      <c r="O2634" t="s">
        <v>4908</v>
      </c>
      <c r="Q2634" t="s">
        <v>126</v>
      </c>
      <c r="R2634" t="s">
        <v>124</v>
      </c>
      <c r="S2634" t="b">
        <v>0</v>
      </c>
      <c r="T2634" t="s">
        <v>124</v>
      </c>
    </row>
    <row r="2635">
      <c r="A2635" t="s">
        <v>4909</v>
      </c>
      <c r="B2635" t="s">
        <v>4877</v>
      </c>
      <c r="C2635" s="2">
        <v>2022</v>
      </c>
      <c r="D2635" s="10">
        <v>9</v>
      </c>
      <c r="E2635" s="10">
        <v>10</v>
      </c>
      <c r="F2635" t="s">
        <v>253</v>
      </c>
      <c r="G2635">
        <v>380</v>
      </c>
      <c r="H2635" t="s">
        <v>69</v>
      </c>
      <c r="I2635" t="s">
        <v>141</v>
      </c>
      <c r="J2635" s="10" t="str">
        <f>VLOOKUP(I2635,Categories!A:B,2,FALSE)</f>
        <v>Other</v>
      </c>
      <c r="K2635" t="s">
        <v>123</v>
      </c>
      <c r="L2635" s="10" t="str">
        <f>VLOOKUP(K2635,Accounts!A:B,2,FALSE)</f>
        <v>KBank</v>
      </c>
      <c r="M2635" t="s">
        <v>124</v>
      </c>
      <c r="N2635" s="10"/>
      <c r="O2635" t="s">
        <v>4910</v>
      </c>
      <c r="Q2635" t="s">
        <v>126</v>
      </c>
      <c r="R2635" t="s">
        <v>124</v>
      </c>
      <c r="S2635" t="b">
        <v>0</v>
      </c>
      <c r="T2635" t="s">
        <v>124</v>
      </c>
    </row>
    <row r="2636">
      <c r="A2636" t="s">
        <v>4911</v>
      </c>
      <c r="B2636" t="s">
        <v>4877</v>
      </c>
      <c r="C2636" s="2">
        <v>2022</v>
      </c>
      <c r="D2636" s="10">
        <v>9</v>
      </c>
      <c r="E2636" s="10">
        <v>10</v>
      </c>
      <c r="F2636" t="s">
        <v>4016</v>
      </c>
      <c r="G2636">
        <v>1463</v>
      </c>
      <c r="H2636" t="s">
        <v>128</v>
      </c>
      <c r="I2636" t="s">
        <v>136</v>
      </c>
      <c r="J2636" s="10" t="str">
        <f>VLOOKUP(I2636,Categories!A:B,2,FALSE)</f>
        <v>อื่นๆ</v>
      </c>
      <c r="K2636" t="s">
        <v>131</v>
      </c>
      <c r="L2636" s="10" t="str">
        <f>VLOOKUP(K2636,Accounts!A:B,2,FALSE)</f>
        <v xml:space="preserve">Advance Paid</v>
      </c>
      <c r="M2636" t="s">
        <v>178</v>
      </c>
      <c r="N2636" s="10" t="str">
        <f>VLOOKUP(M2636,Accounts!A:B,2,FALSE)</f>
        <v>SCB</v>
      </c>
      <c r="O2636" t="s">
        <v>125</v>
      </c>
      <c r="Q2636" t="s">
        <v>126</v>
      </c>
      <c r="R2636" t="s">
        <v>124</v>
      </c>
      <c r="S2636" t="b">
        <v>0</v>
      </c>
      <c r="T2636" t="s">
        <v>124</v>
      </c>
    </row>
    <row r="2637">
      <c r="A2637" t="s">
        <v>4912</v>
      </c>
      <c r="B2637" t="s">
        <v>4877</v>
      </c>
      <c r="C2637" s="2">
        <v>2022</v>
      </c>
      <c r="D2637" s="10">
        <v>9</v>
      </c>
      <c r="E2637" s="10">
        <v>10</v>
      </c>
      <c r="F2637" t="s">
        <v>1803</v>
      </c>
      <c r="G2637">
        <v>1463</v>
      </c>
      <c r="H2637" t="s">
        <v>69</v>
      </c>
      <c r="I2637" t="s">
        <v>150</v>
      </c>
      <c r="J2637" s="10" t="str">
        <f>VLOOKUP(I2637,Categories!A:B,2,FALSE)</f>
        <v xml:space="preserve">Food &amp; Coff</v>
      </c>
      <c r="K2637" t="s">
        <v>2317</v>
      </c>
      <c r="L2637" s="10" t="str">
        <f>VLOOKUP(K2637,Accounts!A:B,2,FALSE)</f>
        <v xml:space="preserve">Marriage account</v>
      </c>
      <c r="M2637" t="s">
        <v>124</v>
      </c>
      <c r="N2637" s="10"/>
      <c r="O2637" t="s">
        <v>125</v>
      </c>
      <c r="Q2637" t="s">
        <v>126</v>
      </c>
      <c r="R2637" t="s">
        <v>124</v>
      </c>
      <c r="S2637" t="b">
        <v>0</v>
      </c>
      <c r="T2637" t="s">
        <v>124</v>
      </c>
    </row>
    <row r="2638">
      <c r="A2638" t="s">
        <v>4913</v>
      </c>
      <c r="B2638" t="s">
        <v>4877</v>
      </c>
      <c r="C2638" s="2">
        <v>2022</v>
      </c>
      <c r="D2638" s="10">
        <v>9</v>
      </c>
      <c r="E2638" s="10">
        <v>10</v>
      </c>
      <c r="F2638" t="s">
        <v>1898</v>
      </c>
      <c r="G2638">
        <v>182</v>
      </c>
      <c r="H2638" t="s">
        <v>69</v>
      </c>
      <c r="I2638" t="s">
        <v>150</v>
      </c>
      <c r="J2638" s="10" t="str">
        <f>VLOOKUP(I2638,Categories!A:B,2,FALSE)</f>
        <v xml:space="preserve">Food &amp; Coff</v>
      </c>
      <c r="K2638" t="s">
        <v>2317</v>
      </c>
      <c r="L2638" s="10" t="str">
        <f>VLOOKUP(K2638,Accounts!A:B,2,FALSE)</f>
        <v xml:space="preserve">Marriage account</v>
      </c>
      <c r="M2638" t="s">
        <v>124</v>
      </c>
      <c r="N2638" s="10"/>
      <c r="O2638" t="s">
        <v>4914</v>
      </c>
      <c r="Q2638" t="s">
        <v>126</v>
      </c>
      <c r="R2638" t="s">
        <v>124</v>
      </c>
      <c r="S2638" t="b">
        <v>0</v>
      </c>
      <c r="T2638" t="s">
        <v>124</v>
      </c>
    </row>
    <row r="2639">
      <c r="A2639" t="s">
        <v>4915</v>
      </c>
      <c r="B2639" t="s">
        <v>4877</v>
      </c>
      <c r="C2639" s="2">
        <v>2022</v>
      </c>
      <c r="D2639" s="10">
        <v>9</v>
      </c>
      <c r="E2639" s="10">
        <v>10</v>
      </c>
      <c r="F2639" t="s">
        <v>1228</v>
      </c>
      <c r="G2639">
        <v>788</v>
      </c>
      <c r="H2639" t="s">
        <v>128</v>
      </c>
      <c r="I2639" t="s">
        <v>136</v>
      </c>
      <c r="J2639" s="10" t="str">
        <f>VLOOKUP(I2639,Categories!A:B,2,FALSE)</f>
        <v>อื่นๆ</v>
      </c>
      <c r="K2639" t="s">
        <v>178</v>
      </c>
      <c r="L2639" s="10" t="str">
        <f>VLOOKUP(K2639,Accounts!A:B,2,FALSE)</f>
        <v>SCB</v>
      </c>
      <c r="M2639" t="s">
        <v>747</v>
      </c>
      <c r="N2639" s="10" t="str">
        <f>VLOOKUP(M2639,Accounts!A:B,2,FALSE)</f>
        <v xml:space="preserve">UOB world</v>
      </c>
      <c r="O2639" t="s">
        <v>125</v>
      </c>
      <c r="Q2639" t="s">
        <v>126</v>
      </c>
      <c r="R2639" t="s">
        <v>124</v>
      </c>
      <c r="S2639" t="b">
        <v>0</v>
      </c>
      <c r="T2639" t="s">
        <v>124</v>
      </c>
    </row>
    <row r="2640">
      <c r="A2640" t="s">
        <v>4916</v>
      </c>
      <c r="B2640" t="s">
        <v>4917</v>
      </c>
      <c r="C2640" s="2">
        <v>2022</v>
      </c>
      <c r="D2640" s="10">
        <v>9</v>
      </c>
      <c r="E2640" s="10">
        <v>9</v>
      </c>
      <c r="F2640" t="s">
        <v>4456</v>
      </c>
      <c r="G2640">
        <v>172</v>
      </c>
      <c r="H2640" t="s">
        <v>128</v>
      </c>
      <c r="I2640" t="s">
        <v>136</v>
      </c>
      <c r="J2640" s="10" t="str">
        <f>VLOOKUP(I2640,Categories!A:B,2,FALSE)</f>
        <v>อื่นๆ</v>
      </c>
      <c r="K2640" t="s">
        <v>893</v>
      </c>
      <c r="L2640" s="10" t="str">
        <f>VLOOKUP(K2640,Accounts!A:B,2,FALSE)</f>
        <v>Shopee</v>
      </c>
      <c r="M2640" t="s">
        <v>131</v>
      </c>
      <c r="N2640" s="10" t="str">
        <f>VLOOKUP(M2640,Accounts!A:B,2,FALSE)</f>
        <v xml:space="preserve">Advance Paid</v>
      </c>
      <c r="O2640" t="s">
        <v>125</v>
      </c>
      <c r="Q2640" t="s">
        <v>126</v>
      </c>
      <c r="R2640" t="s">
        <v>124</v>
      </c>
      <c r="S2640" t="b">
        <v>0</v>
      </c>
      <c r="T2640" t="s">
        <v>124</v>
      </c>
    </row>
    <row r="2641">
      <c r="A2641" t="s">
        <v>4918</v>
      </c>
      <c r="B2641" t="s">
        <v>4917</v>
      </c>
      <c r="C2641" s="2">
        <v>2022</v>
      </c>
      <c r="D2641" s="10">
        <v>9</v>
      </c>
      <c r="E2641" s="10">
        <v>9</v>
      </c>
      <c r="F2641" t="s">
        <v>4919</v>
      </c>
      <c r="G2641">
        <v>60</v>
      </c>
      <c r="H2641" t="s">
        <v>69</v>
      </c>
      <c r="I2641" t="s">
        <v>150</v>
      </c>
      <c r="J2641" s="10" t="str">
        <f>VLOOKUP(I2641,Categories!A:B,2,FALSE)</f>
        <v xml:space="preserve">Food &amp; Coff</v>
      </c>
      <c r="K2641" t="s">
        <v>178</v>
      </c>
      <c r="L2641" s="10" t="str">
        <f>VLOOKUP(K2641,Accounts!A:B,2,FALSE)</f>
        <v>SCB</v>
      </c>
      <c r="M2641" t="s">
        <v>124</v>
      </c>
      <c r="N2641" s="10"/>
      <c r="O2641" t="s">
        <v>125</v>
      </c>
      <c r="Q2641" t="s">
        <v>126</v>
      </c>
      <c r="R2641" t="s">
        <v>124</v>
      </c>
      <c r="S2641" t="b">
        <v>0</v>
      </c>
      <c r="T2641" t="s">
        <v>124</v>
      </c>
    </row>
    <row r="2642">
      <c r="A2642" t="s">
        <v>4920</v>
      </c>
      <c r="B2642" t="s">
        <v>4917</v>
      </c>
      <c r="C2642" s="2">
        <v>2022</v>
      </c>
      <c r="D2642" s="10">
        <v>9</v>
      </c>
      <c r="E2642" s="10">
        <v>9</v>
      </c>
      <c r="F2642" t="s">
        <v>2709</v>
      </c>
      <c r="G2642">
        <v>90</v>
      </c>
      <c r="H2642" t="s">
        <v>69</v>
      </c>
      <c r="I2642" t="s">
        <v>144</v>
      </c>
      <c r="J2642" s="10" t="str">
        <f>VLOOKUP(I2642,Categories!A:B,2,FALSE)</f>
        <v xml:space="preserve">Family paid</v>
      </c>
      <c r="K2642" t="s">
        <v>178</v>
      </c>
      <c r="L2642" s="10" t="str">
        <f>VLOOKUP(K2642,Accounts!A:B,2,FALSE)</f>
        <v>SCB</v>
      </c>
      <c r="M2642" t="s">
        <v>124</v>
      </c>
      <c r="N2642" s="10"/>
      <c r="O2642" t="s">
        <v>125</v>
      </c>
      <c r="Q2642" t="s">
        <v>126</v>
      </c>
      <c r="R2642" t="s">
        <v>124</v>
      </c>
      <c r="S2642" t="b">
        <v>0</v>
      </c>
      <c r="T2642" t="s">
        <v>124</v>
      </c>
    </row>
    <row r="2643">
      <c r="A2643" t="s">
        <v>4921</v>
      </c>
      <c r="B2643" t="s">
        <v>4917</v>
      </c>
      <c r="C2643" s="2">
        <v>2022</v>
      </c>
      <c r="D2643" s="10">
        <v>9</v>
      </c>
      <c r="E2643" s="10">
        <v>9</v>
      </c>
      <c r="F2643" t="s">
        <v>485</v>
      </c>
      <c r="G2643">
        <v>552</v>
      </c>
      <c r="H2643" t="s">
        <v>69</v>
      </c>
      <c r="I2643" t="s">
        <v>150</v>
      </c>
      <c r="J2643" s="10" t="str">
        <f>VLOOKUP(I2643,Categories!A:B,2,FALSE)</f>
        <v xml:space="preserve">Food &amp; Coff</v>
      </c>
      <c r="K2643" t="s">
        <v>2317</v>
      </c>
      <c r="L2643" s="10" t="str">
        <f>VLOOKUP(K2643,Accounts!A:B,2,FALSE)</f>
        <v xml:space="preserve">Marriage account</v>
      </c>
      <c r="M2643" t="s">
        <v>124</v>
      </c>
      <c r="N2643" s="10"/>
      <c r="O2643" t="s">
        <v>4451</v>
      </c>
      <c r="Q2643" t="s">
        <v>126</v>
      </c>
      <c r="R2643" t="s">
        <v>124</v>
      </c>
      <c r="S2643" t="b">
        <v>0</v>
      </c>
      <c r="T2643" t="s">
        <v>124</v>
      </c>
    </row>
    <row r="2644">
      <c r="A2644" t="s">
        <v>4922</v>
      </c>
      <c r="B2644" t="s">
        <v>4917</v>
      </c>
      <c r="C2644" s="2">
        <v>2022</v>
      </c>
      <c r="D2644" s="10">
        <v>9</v>
      </c>
      <c r="E2644" s="10">
        <v>9</v>
      </c>
      <c r="F2644" t="s">
        <v>4923</v>
      </c>
      <c r="G2644">
        <v>375</v>
      </c>
      <c r="H2644" t="s">
        <v>69</v>
      </c>
      <c r="I2644" t="s">
        <v>141</v>
      </c>
      <c r="J2644" s="10" t="str">
        <f>VLOOKUP(I2644,Categories!A:B,2,FALSE)</f>
        <v>Other</v>
      </c>
      <c r="K2644" t="s">
        <v>743</v>
      </c>
      <c r="L2644" s="10" t="str">
        <f>VLOOKUP(K2644,Accounts!A:B,2,FALSE)</f>
        <v>HOMEPRO</v>
      </c>
      <c r="M2644" t="s">
        <v>124</v>
      </c>
      <c r="N2644" s="10"/>
      <c r="O2644" t="s">
        <v>125</v>
      </c>
      <c r="Q2644" t="s">
        <v>126</v>
      </c>
      <c r="R2644" t="s">
        <v>124</v>
      </c>
      <c r="S2644" t="b">
        <v>0</v>
      </c>
      <c r="T2644" t="s">
        <v>124</v>
      </c>
    </row>
    <row r="2645">
      <c r="A2645" t="s">
        <v>4924</v>
      </c>
      <c r="B2645" t="s">
        <v>4925</v>
      </c>
      <c r="C2645" s="2">
        <v>2022</v>
      </c>
      <c r="D2645" s="10">
        <v>9</v>
      </c>
      <c r="E2645" s="10">
        <v>8</v>
      </c>
      <c r="F2645" t="s">
        <v>3701</v>
      </c>
      <c r="G2645">
        <v>60</v>
      </c>
      <c r="H2645" t="s">
        <v>69</v>
      </c>
      <c r="I2645" t="s">
        <v>150</v>
      </c>
      <c r="J2645" s="10" t="str">
        <f>VLOOKUP(I2645,Categories!A:B,2,FALSE)</f>
        <v xml:space="preserve">Food &amp; Coff</v>
      </c>
      <c r="K2645" t="s">
        <v>178</v>
      </c>
      <c r="L2645" s="10" t="str">
        <f>VLOOKUP(K2645,Accounts!A:B,2,FALSE)</f>
        <v>SCB</v>
      </c>
      <c r="M2645" t="s">
        <v>124</v>
      </c>
      <c r="N2645" s="10"/>
      <c r="O2645" t="s">
        <v>125</v>
      </c>
      <c r="Q2645" t="s">
        <v>126</v>
      </c>
      <c r="R2645" t="s">
        <v>124</v>
      </c>
      <c r="S2645" t="b">
        <v>0</v>
      </c>
      <c r="T2645" t="s">
        <v>124</v>
      </c>
    </row>
    <row r="2646">
      <c r="A2646" t="s">
        <v>4926</v>
      </c>
      <c r="B2646" t="s">
        <v>4925</v>
      </c>
      <c r="C2646" s="2">
        <v>2022</v>
      </c>
      <c r="D2646" s="10">
        <v>9</v>
      </c>
      <c r="E2646" s="10">
        <v>8</v>
      </c>
      <c r="F2646" t="s">
        <v>4098</v>
      </c>
      <c r="G2646">
        <v>110</v>
      </c>
      <c r="H2646" t="s">
        <v>69</v>
      </c>
      <c r="I2646" t="s">
        <v>150</v>
      </c>
      <c r="J2646" s="10" t="str">
        <f>VLOOKUP(I2646,Categories!A:B,2,FALSE)</f>
        <v xml:space="preserve">Food &amp; Coff</v>
      </c>
      <c r="K2646" t="s">
        <v>2317</v>
      </c>
      <c r="L2646" s="10" t="str">
        <f>VLOOKUP(K2646,Accounts!A:B,2,FALSE)</f>
        <v xml:space="preserve">Marriage account</v>
      </c>
      <c r="M2646" t="s">
        <v>124</v>
      </c>
      <c r="N2646" s="10"/>
      <c r="O2646" t="s">
        <v>125</v>
      </c>
      <c r="Q2646" t="s">
        <v>126</v>
      </c>
      <c r="R2646" t="s">
        <v>124</v>
      </c>
      <c r="S2646" t="b">
        <v>0</v>
      </c>
      <c r="T2646" t="s">
        <v>124</v>
      </c>
    </row>
    <row r="2647">
      <c r="A2647" t="s">
        <v>4927</v>
      </c>
      <c r="B2647" t="s">
        <v>4925</v>
      </c>
      <c r="C2647" s="2">
        <v>2022</v>
      </c>
      <c r="D2647" s="10">
        <v>9</v>
      </c>
      <c r="E2647" s="10">
        <v>8</v>
      </c>
      <c r="F2647" t="s">
        <v>2498</v>
      </c>
      <c r="G2647">
        <v>50</v>
      </c>
      <c r="H2647" t="s">
        <v>69</v>
      </c>
      <c r="I2647" t="s">
        <v>150</v>
      </c>
      <c r="J2647" s="10" t="str">
        <f>VLOOKUP(I2647,Categories!A:B,2,FALSE)</f>
        <v xml:space="preserve">Food &amp; Coff</v>
      </c>
      <c r="K2647" t="s">
        <v>178</v>
      </c>
      <c r="L2647" s="10" t="str">
        <f>VLOOKUP(K2647,Accounts!A:B,2,FALSE)</f>
        <v>SCB</v>
      </c>
      <c r="M2647" t="s">
        <v>124</v>
      </c>
      <c r="N2647" s="10"/>
      <c r="O2647" t="s">
        <v>4928</v>
      </c>
      <c r="Q2647" t="s">
        <v>126</v>
      </c>
      <c r="R2647" t="s">
        <v>124</v>
      </c>
      <c r="S2647" t="b">
        <v>0</v>
      </c>
      <c r="T2647" t="s">
        <v>124</v>
      </c>
    </row>
    <row r="2648">
      <c r="A2648" t="s">
        <v>4929</v>
      </c>
      <c r="B2648" t="s">
        <v>4925</v>
      </c>
      <c r="C2648" s="2">
        <v>2022</v>
      </c>
      <c r="D2648" s="10">
        <v>9</v>
      </c>
      <c r="E2648" s="10">
        <v>8</v>
      </c>
      <c r="F2648" t="s">
        <v>595</v>
      </c>
      <c r="G2648">
        <v>20</v>
      </c>
      <c r="H2648" t="s">
        <v>69</v>
      </c>
      <c r="I2648" t="s">
        <v>150</v>
      </c>
      <c r="J2648" s="10" t="str">
        <f>VLOOKUP(I2648,Categories!A:B,2,FALSE)</f>
        <v xml:space="preserve">Food &amp; Coff</v>
      </c>
      <c r="K2648" t="s">
        <v>178</v>
      </c>
      <c r="L2648" s="10" t="str">
        <f>VLOOKUP(K2648,Accounts!A:B,2,FALSE)</f>
        <v>SCB</v>
      </c>
      <c r="M2648" t="s">
        <v>124</v>
      </c>
      <c r="N2648" s="10"/>
      <c r="O2648" t="s">
        <v>125</v>
      </c>
      <c r="Q2648" t="s">
        <v>126</v>
      </c>
      <c r="R2648" t="s">
        <v>124</v>
      </c>
      <c r="S2648" t="b">
        <v>0</v>
      </c>
      <c r="T2648" t="s">
        <v>124</v>
      </c>
    </row>
    <row r="2649">
      <c r="A2649" t="s">
        <v>4930</v>
      </c>
      <c r="B2649" t="s">
        <v>4925</v>
      </c>
      <c r="C2649" s="2">
        <v>2022</v>
      </c>
      <c r="D2649" s="10">
        <v>9</v>
      </c>
      <c r="E2649" s="10">
        <v>8</v>
      </c>
      <c r="F2649" t="s">
        <v>3508</v>
      </c>
      <c r="G2649">
        <v>85</v>
      </c>
      <c r="H2649" t="s">
        <v>69</v>
      </c>
      <c r="I2649" t="s">
        <v>150</v>
      </c>
      <c r="J2649" s="10" t="str">
        <f>VLOOKUP(I2649,Categories!A:B,2,FALSE)</f>
        <v xml:space="preserve">Food &amp; Coff</v>
      </c>
      <c r="K2649" t="s">
        <v>178</v>
      </c>
      <c r="L2649" s="10" t="str">
        <f>VLOOKUP(K2649,Accounts!A:B,2,FALSE)</f>
        <v>SCB</v>
      </c>
      <c r="M2649" t="s">
        <v>124</v>
      </c>
      <c r="N2649" s="10"/>
      <c r="O2649" t="s">
        <v>125</v>
      </c>
      <c r="Q2649" t="s">
        <v>126</v>
      </c>
      <c r="R2649" t="s">
        <v>124</v>
      </c>
      <c r="S2649" t="b">
        <v>0</v>
      </c>
      <c r="T2649" t="s">
        <v>124</v>
      </c>
    </row>
    <row r="2650">
      <c r="A2650" t="s">
        <v>4931</v>
      </c>
      <c r="B2650" t="s">
        <v>4925</v>
      </c>
      <c r="C2650" s="2">
        <v>2022</v>
      </c>
      <c r="D2650" s="10">
        <v>9</v>
      </c>
      <c r="E2650" s="10">
        <v>8</v>
      </c>
      <c r="F2650" t="s">
        <v>1759</v>
      </c>
      <c r="G2650">
        <v>116</v>
      </c>
      <c r="H2650" t="s">
        <v>128</v>
      </c>
      <c r="I2650" t="s">
        <v>136</v>
      </c>
      <c r="J2650" s="10" t="str">
        <f>VLOOKUP(I2650,Categories!A:B,2,FALSE)</f>
        <v>อื่นๆ</v>
      </c>
      <c r="K2650" t="s">
        <v>747</v>
      </c>
      <c r="L2650" s="10" t="str">
        <f>VLOOKUP(K2650,Accounts!A:B,2,FALSE)</f>
        <v xml:space="preserve">UOB world</v>
      </c>
      <c r="M2650" t="s">
        <v>131</v>
      </c>
      <c r="N2650" s="10" t="str">
        <f>VLOOKUP(M2650,Accounts!A:B,2,FALSE)</f>
        <v xml:space="preserve">Advance Paid</v>
      </c>
      <c r="O2650" t="s">
        <v>125</v>
      </c>
      <c r="Q2650" t="s">
        <v>126</v>
      </c>
      <c r="R2650" t="s">
        <v>124</v>
      </c>
      <c r="S2650" t="b">
        <v>0</v>
      </c>
      <c r="T2650" t="s">
        <v>124</v>
      </c>
    </row>
    <row r="2651">
      <c r="A2651" t="s">
        <v>4932</v>
      </c>
      <c r="B2651" t="s">
        <v>4925</v>
      </c>
      <c r="C2651" s="2">
        <v>2022</v>
      </c>
      <c r="D2651" s="10">
        <v>9</v>
      </c>
      <c r="E2651" s="10">
        <v>8</v>
      </c>
      <c r="F2651" t="s">
        <v>1759</v>
      </c>
      <c r="G2651">
        <v>88</v>
      </c>
      <c r="H2651" t="s">
        <v>128</v>
      </c>
      <c r="I2651" t="s">
        <v>136</v>
      </c>
      <c r="J2651" s="10" t="str">
        <f>VLOOKUP(I2651,Categories!A:B,2,FALSE)</f>
        <v>อื่นๆ</v>
      </c>
      <c r="K2651" t="s">
        <v>747</v>
      </c>
      <c r="L2651" s="10" t="str">
        <f>VLOOKUP(K2651,Accounts!A:B,2,FALSE)</f>
        <v xml:space="preserve">UOB world</v>
      </c>
      <c r="M2651" t="s">
        <v>131</v>
      </c>
      <c r="N2651" s="10" t="str">
        <f>VLOOKUP(M2651,Accounts!A:B,2,FALSE)</f>
        <v xml:space="preserve">Advance Paid</v>
      </c>
      <c r="O2651" t="s">
        <v>125</v>
      </c>
      <c r="Q2651" t="s">
        <v>126</v>
      </c>
      <c r="R2651" t="s">
        <v>124</v>
      </c>
      <c r="S2651" t="b">
        <v>0</v>
      </c>
      <c r="T2651" t="s">
        <v>124</v>
      </c>
    </row>
    <row r="2652">
      <c r="A2652" t="s">
        <v>4933</v>
      </c>
      <c r="B2652" t="s">
        <v>4934</v>
      </c>
      <c r="C2652" s="2">
        <v>2022</v>
      </c>
      <c r="D2652" s="10">
        <v>9</v>
      </c>
      <c r="E2652" s="10">
        <v>7</v>
      </c>
      <c r="F2652" t="s">
        <v>4098</v>
      </c>
      <c r="G2652">
        <v>110</v>
      </c>
      <c r="H2652" t="s">
        <v>69</v>
      </c>
      <c r="I2652" t="s">
        <v>150</v>
      </c>
      <c r="J2652" s="10" t="str">
        <f>VLOOKUP(I2652,Categories!A:B,2,FALSE)</f>
        <v xml:space="preserve">Food &amp; Coff</v>
      </c>
      <c r="K2652" t="s">
        <v>2317</v>
      </c>
      <c r="L2652" s="10" t="str">
        <f>VLOOKUP(K2652,Accounts!A:B,2,FALSE)</f>
        <v xml:space="preserve">Marriage account</v>
      </c>
      <c r="M2652" t="s">
        <v>124</v>
      </c>
      <c r="N2652" s="10"/>
      <c r="O2652" t="s">
        <v>125</v>
      </c>
      <c r="Q2652" t="s">
        <v>126</v>
      </c>
      <c r="R2652" t="s">
        <v>124</v>
      </c>
      <c r="S2652" t="b">
        <v>0</v>
      </c>
      <c r="T2652" t="s">
        <v>124</v>
      </c>
    </row>
    <row r="2653">
      <c r="A2653" t="s">
        <v>4935</v>
      </c>
      <c r="B2653" t="s">
        <v>4934</v>
      </c>
      <c r="C2653" s="2">
        <v>2022</v>
      </c>
      <c r="D2653" s="10">
        <v>9</v>
      </c>
      <c r="E2653" s="10">
        <v>7</v>
      </c>
      <c r="F2653" t="s">
        <v>3760</v>
      </c>
      <c r="G2653">
        <v>72</v>
      </c>
      <c r="H2653" t="s">
        <v>69</v>
      </c>
      <c r="I2653" t="s">
        <v>150</v>
      </c>
      <c r="J2653" s="10" t="str">
        <f>VLOOKUP(I2653,Categories!A:B,2,FALSE)</f>
        <v xml:space="preserve">Food &amp; Coff</v>
      </c>
      <c r="K2653" t="s">
        <v>178</v>
      </c>
      <c r="L2653" s="10" t="str">
        <f>VLOOKUP(K2653,Accounts!A:B,2,FALSE)</f>
        <v>SCB</v>
      </c>
      <c r="M2653" t="s">
        <v>124</v>
      </c>
      <c r="N2653" s="10"/>
      <c r="O2653" t="s">
        <v>125</v>
      </c>
      <c r="Q2653" t="s">
        <v>126</v>
      </c>
      <c r="R2653" t="s">
        <v>124</v>
      </c>
      <c r="S2653" t="b">
        <v>0</v>
      </c>
      <c r="T2653" t="s">
        <v>124</v>
      </c>
    </row>
    <row r="2654">
      <c r="A2654" t="s">
        <v>4936</v>
      </c>
      <c r="B2654" t="s">
        <v>4934</v>
      </c>
      <c r="C2654" s="2">
        <v>2022</v>
      </c>
      <c r="D2654" s="10">
        <v>9</v>
      </c>
      <c r="E2654" s="10">
        <v>7</v>
      </c>
      <c r="F2654" t="s">
        <v>3760</v>
      </c>
      <c r="G2654">
        <v>60</v>
      </c>
      <c r="H2654" t="s">
        <v>69</v>
      </c>
      <c r="I2654" t="s">
        <v>150</v>
      </c>
      <c r="J2654" s="10" t="str">
        <f>VLOOKUP(I2654,Categories!A:B,2,FALSE)</f>
        <v xml:space="preserve">Food &amp; Coff</v>
      </c>
      <c r="K2654" t="s">
        <v>178</v>
      </c>
      <c r="L2654" s="10" t="str">
        <f>VLOOKUP(K2654,Accounts!A:B,2,FALSE)</f>
        <v>SCB</v>
      </c>
      <c r="M2654" t="s">
        <v>124</v>
      </c>
      <c r="N2654" s="10"/>
      <c r="O2654" t="s">
        <v>125</v>
      </c>
      <c r="Q2654" t="s">
        <v>126</v>
      </c>
      <c r="R2654" t="s">
        <v>124</v>
      </c>
      <c r="S2654" t="b">
        <v>0</v>
      </c>
      <c r="T2654" t="s">
        <v>124</v>
      </c>
    </row>
    <row r="2655">
      <c r="A2655" t="s">
        <v>4937</v>
      </c>
      <c r="B2655" t="s">
        <v>4934</v>
      </c>
      <c r="C2655" s="2">
        <v>2022</v>
      </c>
      <c r="D2655" s="10">
        <v>9</v>
      </c>
      <c r="E2655" s="10">
        <v>7</v>
      </c>
      <c r="F2655" t="s">
        <v>1759</v>
      </c>
      <c r="G2655">
        <v>30</v>
      </c>
      <c r="H2655" t="s">
        <v>128</v>
      </c>
      <c r="I2655" t="s">
        <v>136</v>
      </c>
      <c r="J2655" s="10" t="str">
        <f>VLOOKUP(I2655,Categories!A:B,2,FALSE)</f>
        <v>อื่นๆ</v>
      </c>
      <c r="K2655" t="s">
        <v>747</v>
      </c>
      <c r="L2655" s="10" t="str">
        <f>VLOOKUP(K2655,Accounts!A:B,2,FALSE)</f>
        <v xml:space="preserve">UOB world</v>
      </c>
      <c r="M2655" t="s">
        <v>131</v>
      </c>
      <c r="N2655" s="10" t="str">
        <f>VLOOKUP(M2655,Accounts!A:B,2,FALSE)</f>
        <v xml:space="preserve">Advance Paid</v>
      </c>
      <c r="O2655" t="s">
        <v>125</v>
      </c>
      <c r="Q2655" t="s">
        <v>126</v>
      </c>
      <c r="R2655" t="s">
        <v>124</v>
      </c>
      <c r="S2655" t="b">
        <v>0</v>
      </c>
      <c r="T2655" t="s">
        <v>124</v>
      </c>
    </row>
    <row r="2656">
      <c r="A2656" t="s">
        <v>4938</v>
      </c>
      <c r="B2656" t="s">
        <v>4939</v>
      </c>
      <c r="C2656" s="2">
        <v>2022</v>
      </c>
      <c r="D2656" s="10">
        <v>9</v>
      </c>
      <c r="E2656" s="10">
        <v>6</v>
      </c>
      <c r="F2656" t="s">
        <v>3038</v>
      </c>
      <c r="G2656">
        <v>110</v>
      </c>
      <c r="H2656" t="s">
        <v>69</v>
      </c>
      <c r="I2656" t="s">
        <v>150</v>
      </c>
      <c r="J2656" s="10" t="str">
        <f>VLOOKUP(I2656,Categories!A:B,2,FALSE)</f>
        <v xml:space="preserve">Food &amp; Coff</v>
      </c>
      <c r="K2656" t="s">
        <v>2317</v>
      </c>
      <c r="L2656" s="10" t="str">
        <f>VLOOKUP(K2656,Accounts!A:B,2,FALSE)</f>
        <v xml:space="preserve">Marriage account</v>
      </c>
      <c r="M2656" t="s">
        <v>124</v>
      </c>
      <c r="N2656" s="10"/>
      <c r="O2656" t="s">
        <v>125</v>
      </c>
      <c r="Q2656" t="s">
        <v>126</v>
      </c>
      <c r="R2656" t="s">
        <v>124</v>
      </c>
      <c r="S2656" t="b">
        <v>0</v>
      </c>
      <c r="T2656" t="s">
        <v>124</v>
      </c>
    </row>
    <row r="2657">
      <c r="A2657" t="s">
        <v>4940</v>
      </c>
      <c r="B2657" t="s">
        <v>4939</v>
      </c>
      <c r="C2657" s="2">
        <v>2022</v>
      </c>
      <c r="D2657" s="10">
        <v>9</v>
      </c>
      <c r="E2657" s="10">
        <v>6</v>
      </c>
      <c r="F2657" t="s">
        <v>3282</v>
      </c>
      <c r="G2657">
        <v>110</v>
      </c>
      <c r="H2657" t="s">
        <v>69</v>
      </c>
      <c r="I2657" t="s">
        <v>150</v>
      </c>
      <c r="J2657" s="10" t="str">
        <f>VLOOKUP(I2657,Categories!A:B,2,FALSE)</f>
        <v xml:space="preserve">Food &amp; Coff</v>
      </c>
      <c r="K2657" t="s">
        <v>2317</v>
      </c>
      <c r="L2657" s="10" t="str">
        <f>VLOOKUP(K2657,Accounts!A:B,2,FALSE)</f>
        <v xml:space="preserve">Marriage account</v>
      </c>
      <c r="M2657" t="s">
        <v>124</v>
      </c>
      <c r="N2657" s="10"/>
      <c r="O2657" t="s">
        <v>125</v>
      </c>
      <c r="Q2657" t="s">
        <v>126</v>
      </c>
      <c r="R2657" t="s">
        <v>124</v>
      </c>
      <c r="S2657" t="b">
        <v>0</v>
      </c>
      <c r="T2657" t="s">
        <v>124</v>
      </c>
    </row>
    <row r="2658">
      <c r="A2658" t="s">
        <v>4941</v>
      </c>
      <c r="B2658" t="s">
        <v>4939</v>
      </c>
      <c r="C2658" s="2">
        <v>2022</v>
      </c>
      <c r="D2658" s="10">
        <v>9</v>
      </c>
      <c r="E2658" s="10">
        <v>6</v>
      </c>
      <c r="F2658" t="s">
        <v>1057</v>
      </c>
      <c r="G2658">
        <v>10000</v>
      </c>
      <c r="H2658" t="s">
        <v>206</v>
      </c>
      <c r="I2658" t="s">
        <v>207</v>
      </c>
      <c r="J2658" s="10" t="str">
        <f>VLOOKUP(I2658,Categories!A:B,2,FALSE)</f>
        <v>Salary</v>
      </c>
      <c r="K2658" t="s">
        <v>2317</v>
      </c>
      <c r="L2658" s="10" t="str">
        <f>VLOOKUP(K2658,Accounts!A:B,2,FALSE)</f>
        <v xml:space="preserve">Marriage account</v>
      </c>
      <c r="M2658" t="s">
        <v>124</v>
      </c>
      <c r="N2658" s="10"/>
      <c r="O2658" t="s">
        <v>4942</v>
      </c>
      <c r="Q2658" t="s">
        <v>126</v>
      </c>
      <c r="R2658" t="s">
        <v>124</v>
      </c>
      <c r="S2658" t="b">
        <v>0</v>
      </c>
      <c r="T2658" t="s">
        <v>124</v>
      </c>
    </row>
    <row r="2659">
      <c r="A2659" t="s">
        <v>4943</v>
      </c>
      <c r="B2659" t="s">
        <v>4939</v>
      </c>
      <c r="C2659" s="2">
        <v>2022</v>
      </c>
      <c r="D2659" s="10">
        <v>9</v>
      </c>
      <c r="E2659" s="10">
        <v>6</v>
      </c>
      <c r="F2659" t="s">
        <v>3757</v>
      </c>
      <c r="G2659">
        <v>67</v>
      </c>
      <c r="H2659" t="s">
        <v>69</v>
      </c>
      <c r="I2659" t="s">
        <v>150</v>
      </c>
      <c r="J2659" s="10" t="str">
        <f>VLOOKUP(I2659,Categories!A:B,2,FALSE)</f>
        <v xml:space="preserve">Food &amp; Coff</v>
      </c>
      <c r="K2659" t="s">
        <v>178</v>
      </c>
      <c r="L2659" s="10" t="str">
        <f>VLOOKUP(K2659,Accounts!A:B,2,FALSE)</f>
        <v>SCB</v>
      </c>
      <c r="M2659" t="s">
        <v>124</v>
      </c>
      <c r="N2659" s="10"/>
      <c r="O2659" t="s">
        <v>125</v>
      </c>
      <c r="Q2659" t="s">
        <v>126</v>
      </c>
      <c r="R2659" t="s">
        <v>124</v>
      </c>
      <c r="S2659" t="b">
        <v>0</v>
      </c>
      <c r="T2659" t="s">
        <v>124</v>
      </c>
    </row>
    <row r="2660">
      <c r="A2660" t="s">
        <v>4944</v>
      </c>
      <c r="B2660" t="s">
        <v>4939</v>
      </c>
      <c r="C2660" s="2">
        <v>2022</v>
      </c>
      <c r="D2660" s="10">
        <v>9</v>
      </c>
      <c r="E2660" s="10">
        <v>6</v>
      </c>
      <c r="F2660" t="s">
        <v>1759</v>
      </c>
      <c r="G2660">
        <v>16</v>
      </c>
      <c r="H2660" t="s">
        <v>128</v>
      </c>
      <c r="I2660" t="s">
        <v>136</v>
      </c>
      <c r="J2660" s="10" t="str">
        <f>VLOOKUP(I2660,Categories!A:B,2,FALSE)</f>
        <v>อื่นๆ</v>
      </c>
      <c r="K2660" t="s">
        <v>747</v>
      </c>
      <c r="L2660" s="10" t="str">
        <f>VLOOKUP(K2660,Accounts!A:B,2,FALSE)</f>
        <v xml:space="preserve">UOB world</v>
      </c>
      <c r="M2660" t="s">
        <v>131</v>
      </c>
      <c r="N2660" s="10" t="str">
        <f>VLOOKUP(M2660,Accounts!A:B,2,FALSE)</f>
        <v xml:space="preserve">Advance Paid</v>
      </c>
      <c r="O2660" t="s">
        <v>125</v>
      </c>
      <c r="Q2660" t="s">
        <v>126</v>
      </c>
      <c r="R2660" t="s">
        <v>124</v>
      </c>
      <c r="S2660" t="b">
        <v>0</v>
      </c>
      <c r="T2660" t="s">
        <v>124</v>
      </c>
    </row>
    <row r="2661">
      <c r="A2661" t="s">
        <v>4945</v>
      </c>
      <c r="B2661" t="s">
        <v>4939</v>
      </c>
      <c r="C2661" s="2">
        <v>2022</v>
      </c>
      <c r="D2661" s="10">
        <v>9</v>
      </c>
      <c r="E2661" s="10">
        <v>6</v>
      </c>
      <c r="F2661" t="s">
        <v>1920</v>
      </c>
      <c r="G2661">
        <v>4504</v>
      </c>
      <c r="H2661" t="s">
        <v>69</v>
      </c>
      <c r="I2661" t="s">
        <v>139</v>
      </c>
      <c r="J2661" s="10" t="str">
        <f>VLOOKUP(I2661,Categories!A:B,2,FALSE)</f>
        <v>Condo</v>
      </c>
      <c r="K2661" t="s">
        <v>178</v>
      </c>
      <c r="L2661" s="10" t="str">
        <f>VLOOKUP(K2661,Accounts!A:B,2,FALSE)</f>
        <v>SCB</v>
      </c>
      <c r="M2661" t="s">
        <v>124</v>
      </c>
      <c r="N2661" s="10"/>
      <c r="O2661" t="s">
        <v>125</v>
      </c>
      <c r="Q2661" t="s">
        <v>126</v>
      </c>
      <c r="R2661" t="s">
        <v>124</v>
      </c>
      <c r="S2661" t="b">
        <v>0</v>
      </c>
      <c r="T2661" t="s">
        <v>124</v>
      </c>
    </row>
    <row r="2662">
      <c r="A2662" t="s">
        <v>4946</v>
      </c>
      <c r="B2662" t="s">
        <v>4947</v>
      </c>
      <c r="C2662" s="2">
        <v>2022</v>
      </c>
      <c r="D2662" s="10">
        <v>9</v>
      </c>
      <c r="E2662" s="10">
        <v>5</v>
      </c>
      <c r="F2662" t="s">
        <v>999</v>
      </c>
      <c r="G2662">
        <v>84</v>
      </c>
      <c r="H2662" t="s">
        <v>128</v>
      </c>
      <c r="I2662" t="s">
        <v>136</v>
      </c>
      <c r="J2662" s="10" t="str">
        <f>VLOOKUP(I2662,Categories!A:B,2,FALSE)</f>
        <v>อื่นๆ</v>
      </c>
      <c r="K2662" t="s">
        <v>893</v>
      </c>
      <c r="L2662" s="10" t="str">
        <f>VLOOKUP(K2662,Accounts!A:B,2,FALSE)</f>
        <v>Shopee</v>
      </c>
      <c r="M2662" t="s">
        <v>131</v>
      </c>
      <c r="N2662" s="10" t="str">
        <f>VLOOKUP(M2662,Accounts!A:B,2,FALSE)</f>
        <v xml:space="preserve">Advance Paid</v>
      </c>
      <c r="O2662" t="s">
        <v>125</v>
      </c>
      <c r="Q2662" t="s">
        <v>126</v>
      </c>
      <c r="R2662" t="s">
        <v>124</v>
      </c>
      <c r="S2662" t="b">
        <v>0</v>
      </c>
      <c r="T2662" t="s">
        <v>124</v>
      </c>
    </row>
    <row r="2663">
      <c r="A2663" t="s">
        <v>4948</v>
      </c>
      <c r="B2663" t="s">
        <v>4949</v>
      </c>
      <c r="C2663" s="2">
        <v>2022</v>
      </c>
      <c r="D2663" s="10">
        <v>9</v>
      </c>
      <c r="E2663" s="10">
        <v>4</v>
      </c>
      <c r="F2663" t="s">
        <v>1028</v>
      </c>
      <c r="G2663">
        <v>801</v>
      </c>
      <c r="H2663" t="s">
        <v>128</v>
      </c>
      <c r="I2663" t="s">
        <v>136</v>
      </c>
      <c r="J2663" s="10" t="str">
        <f>VLOOKUP(I2663,Categories!A:B,2,FALSE)</f>
        <v>อื่นๆ</v>
      </c>
      <c r="K2663" t="s">
        <v>178</v>
      </c>
      <c r="L2663" s="10" t="str">
        <f>VLOOKUP(K2663,Accounts!A:B,2,FALSE)</f>
        <v>SCB</v>
      </c>
      <c r="M2663" t="s">
        <v>131</v>
      </c>
      <c r="N2663" s="10" t="str">
        <f>VLOOKUP(M2663,Accounts!A:B,2,FALSE)</f>
        <v xml:space="preserve">Advance Paid</v>
      </c>
      <c r="O2663" t="s">
        <v>4950</v>
      </c>
      <c r="Q2663" t="s">
        <v>126</v>
      </c>
      <c r="R2663" t="s">
        <v>124</v>
      </c>
      <c r="S2663" t="b">
        <v>0</v>
      </c>
      <c r="T2663" t="s">
        <v>124</v>
      </c>
    </row>
    <row r="2664">
      <c r="A2664" t="s">
        <v>4951</v>
      </c>
      <c r="B2664" t="s">
        <v>4949</v>
      </c>
      <c r="C2664" s="2">
        <v>2022</v>
      </c>
      <c r="D2664" s="10">
        <v>9</v>
      </c>
      <c r="E2664" s="10">
        <v>4</v>
      </c>
      <c r="F2664" t="s">
        <v>582</v>
      </c>
      <c r="G2664">
        <v>785</v>
      </c>
      <c r="H2664" t="s">
        <v>128</v>
      </c>
      <c r="I2664" t="s">
        <v>136</v>
      </c>
      <c r="J2664" s="10" t="str">
        <f>VLOOKUP(I2664,Categories!A:B,2,FALSE)</f>
        <v>อื่นๆ</v>
      </c>
      <c r="K2664" t="s">
        <v>178</v>
      </c>
      <c r="L2664" s="10" t="str">
        <f>VLOOKUP(K2664,Accounts!A:B,2,FALSE)</f>
        <v>SCB</v>
      </c>
      <c r="M2664" t="s">
        <v>131</v>
      </c>
      <c r="N2664" s="10" t="str">
        <f>VLOOKUP(M2664,Accounts!A:B,2,FALSE)</f>
        <v xml:space="preserve">Advance Paid</v>
      </c>
      <c r="O2664" t="s">
        <v>4952</v>
      </c>
      <c r="Q2664" t="s">
        <v>126</v>
      </c>
      <c r="R2664" t="s">
        <v>124</v>
      </c>
      <c r="S2664" t="b">
        <v>0</v>
      </c>
      <c r="T2664" t="s">
        <v>124</v>
      </c>
    </row>
    <row r="2665">
      <c r="A2665" t="s">
        <v>4953</v>
      </c>
      <c r="B2665" t="s">
        <v>4949</v>
      </c>
      <c r="C2665" s="2">
        <v>2022</v>
      </c>
      <c r="D2665" s="10">
        <v>9</v>
      </c>
      <c r="E2665" s="10">
        <v>4</v>
      </c>
      <c r="F2665" t="s">
        <v>1100</v>
      </c>
      <c r="G2665">
        <v>35</v>
      </c>
      <c r="H2665" t="s">
        <v>69</v>
      </c>
      <c r="I2665" t="s">
        <v>150</v>
      </c>
      <c r="J2665" s="10" t="str">
        <f>VLOOKUP(I2665,Categories!A:B,2,FALSE)</f>
        <v xml:space="preserve">Food &amp; Coff</v>
      </c>
      <c r="K2665" t="s">
        <v>178</v>
      </c>
      <c r="L2665" s="10" t="str">
        <f>VLOOKUP(K2665,Accounts!A:B,2,FALSE)</f>
        <v>SCB</v>
      </c>
      <c r="M2665" t="s">
        <v>124</v>
      </c>
      <c r="N2665" s="10"/>
      <c r="O2665" t="s">
        <v>4954</v>
      </c>
      <c r="Q2665" t="s">
        <v>126</v>
      </c>
      <c r="R2665" t="s">
        <v>124</v>
      </c>
      <c r="S2665" t="b">
        <v>0</v>
      </c>
      <c r="T2665" t="s">
        <v>124</v>
      </c>
    </row>
    <row r="2666">
      <c r="A2666" t="s">
        <v>4955</v>
      </c>
      <c r="B2666" t="s">
        <v>4949</v>
      </c>
      <c r="C2666" s="2">
        <v>2022</v>
      </c>
      <c r="D2666" s="10">
        <v>9</v>
      </c>
      <c r="E2666" s="10">
        <v>4</v>
      </c>
      <c r="F2666" t="s">
        <v>149</v>
      </c>
      <c r="G2666">
        <v>295</v>
      </c>
      <c r="H2666" t="s">
        <v>69</v>
      </c>
      <c r="I2666" t="s">
        <v>150</v>
      </c>
      <c r="J2666" s="10" t="str">
        <f>VLOOKUP(I2666,Categories!A:B,2,FALSE)</f>
        <v xml:space="preserve">Food &amp; Coff</v>
      </c>
      <c r="K2666" t="s">
        <v>2317</v>
      </c>
      <c r="L2666" s="10" t="str">
        <f>VLOOKUP(K2666,Accounts!A:B,2,FALSE)</f>
        <v xml:space="preserve">Marriage account</v>
      </c>
      <c r="M2666" t="s">
        <v>124</v>
      </c>
      <c r="N2666" s="10"/>
      <c r="O2666" t="s">
        <v>4956</v>
      </c>
      <c r="Q2666" t="s">
        <v>126</v>
      </c>
      <c r="R2666" t="s">
        <v>124</v>
      </c>
      <c r="S2666" t="b">
        <v>0</v>
      </c>
      <c r="T2666" t="s">
        <v>124</v>
      </c>
    </row>
    <row r="2667">
      <c r="A2667" t="s">
        <v>4957</v>
      </c>
      <c r="B2667" t="s">
        <v>4949</v>
      </c>
      <c r="C2667" s="2">
        <v>2022</v>
      </c>
      <c r="D2667" s="10">
        <v>9</v>
      </c>
      <c r="E2667" s="10">
        <v>4</v>
      </c>
      <c r="F2667" t="s">
        <v>3176</v>
      </c>
      <c r="G2667">
        <v>2000</v>
      </c>
      <c r="H2667" t="s">
        <v>128</v>
      </c>
      <c r="I2667" t="s">
        <v>136</v>
      </c>
      <c r="J2667" s="10" t="str">
        <f>VLOOKUP(I2667,Categories!A:B,2,FALSE)</f>
        <v>อื่นๆ</v>
      </c>
      <c r="K2667" t="s">
        <v>123</v>
      </c>
      <c r="L2667" s="10" t="str">
        <f>VLOOKUP(K2667,Accounts!A:B,2,FALSE)</f>
        <v>KBank</v>
      </c>
      <c r="M2667" t="s">
        <v>2349</v>
      </c>
      <c r="N2667" s="10" t="str">
        <f>VLOOKUP(M2667,Accounts!A:B,2,FALSE)</f>
        <v>Bluewallet</v>
      </c>
      <c r="O2667" t="s">
        <v>125</v>
      </c>
      <c r="Q2667" t="s">
        <v>126</v>
      </c>
      <c r="R2667" t="s">
        <v>124</v>
      </c>
      <c r="S2667" t="b">
        <v>0</v>
      </c>
      <c r="T2667" t="s">
        <v>124</v>
      </c>
    </row>
    <row r="2668">
      <c r="A2668" t="s">
        <v>4958</v>
      </c>
      <c r="B2668" t="s">
        <v>4949</v>
      </c>
      <c r="C2668" s="2">
        <v>2022</v>
      </c>
      <c r="D2668" s="10">
        <v>9</v>
      </c>
      <c r="E2668" s="10">
        <v>4</v>
      </c>
      <c r="F2668" t="s">
        <v>2900</v>
      </c>
      <c r="G2668">
        <v>5000</v>
      </c>
      <c r="H2668" t="s">
        <v>128</v>
      </c>
      <c r="I2668" t="s">
        <v>136</v>
      </c>
      <c r="J2668" s="10" t="str">
        <f>VLOOKUP(I2668,Categories!A:B,2,FALSE)</f>
        <v>อื่นๆ</v>
      </c>
      <c r="K2668" t="s">
        <v>131</v>
      </c>
      <c r="L2668" s="10" t="str">
        <f>VLOOKUP(K2668,Accounts!A:B,2,FALSE)</f>
        <v xml:space="preserve">Advance Paid</v>
      </c>
      <c r="M2668" t="s">
        <v>178</v>
      </c>
      <c r="N2668" s="10" t="str">
        <f>VLOOKUP(M2668,Accounts!A:B,2,FALSE)</f>
        <v>SCB</v>
      </c>
      <c r="O2668" t="s">
        <v>125</v>
      </c>
      <c r="Q2668" t="s">
        <v>126</v>
      </c>
      <c r="R2668" t="s">
        <v>124</v>
      </c>
      <c r="S2668" t="b">
        <v>0</v>
      </c>
      <c r="T2668" t="s">
        <v>124</v>
      </c>
    </row>
    <row r="2669">
      <c r="A2669" t="s">
        <v>4959</v>
      </c>
      <c r="B2669" t="s">
        <v>4949</v>
      </c>
      <c r="C2669" s="2">
        <v>2022</v>
      </c>
      <c r="D2669" s="10">
        <v>9</v>
      </c>
      <c r="E2669" s="10">
        <v>4</v>
      </c>
      <c r="F2669" t="s">
        <v>1781</v>
      </c>
      <c r="G2669">
        <v>1189</v>
      </c>
      <c r="H2669" t="s">
        <v>69</v>
      </c>
      <c r="I2669" t="s">
        <v>122</v>
      </c>
      <c r="J2669" s="10" t="str">
        <f>VLOOKUP(I2669,Categories!A:B,2,FALSE)</f>
        <v>Other</v>
      </c>
      <c r="K2669" t="s">
        <v>131</v>
      </c>
      <c r="L2669" s="10" t="str">
        <f>VLOOKUP(K2669,Accounts!A:B,2,FALSE)</f>
        <v xml:space="preserve">Advance Paid</v>
      </c>
      <c r="M2669" t="s">
        <v>124</v>
      </c>
      <c r="N2669" s="10"/>
      <c r="O2669" t="s">
        <v>125</v>
      </c>
      <c r="Q2669" t="s">
        <v>126</v>
      </c>
      <c r="R2669" t="s">
        <v>124</v>
      </c>
      <c r="S2669" t="b">
        <v>0</v>
      </c>
      <c r="T2669" t="s">
        <v>124</v>
      </c>
    </row>
    <row r="2670">
      <c r="A2670" t="s">
        <v>4960</v>
      </c>
      <c r="B2670" t="s">
        <v>4961</v>
      </c>
      <c r="C2670" s="2">
        <v>2022</v>
      </c>
      <c r="D2670" s="10">
        <v>9</v>
      </c>
      <c r="E2670" s="10">
        <v>3</v>
      </c>
      <c r="F2670" t="s">
        <v>1002</v>
      </c>
      <c r="G2670">
        <v>164</v>
      </c>
      <c r="H2670" t="s">
        <v>128</v>
      </c>
      <c r="I2670" t="s">
        <v>136</v>
      </c>
      <c r="J2670" s="10" t="str">
        <f>VLOOKUP(I2670,Categories!A:B,2,FALSE)</f>
        <v>อื่นๆ</v>
      </c>
      <c r="K2670" t="s">
        <v>893</v>
      </c>
      <c r="L2670" s="10" t="str">
        <f>VLOOKUP(K2670,Accounts!A:B,2,FALSE)</f>
        <v>Shopee</v>
      </c>
      <c r="M2670" t="s">
        <v>131</v>
      </c>
      <c r="N2670" s="10" t="str">
        <f>VLOOKUP(M2670,Accounts!A:B,2,FALSE)</f>
        <v xml:space="preserve">Advance Paid</v>
      </c>
      <c r="O2670" t="s">
        <v>3852</v>
      </c>
      <c r="Q2670" t="s">
        <v>126</v>
      </c>
      <c r="R2670" t="s">
        <v>124</v>
      </c>
      <c r="S2670" t="b">
        <v>0</v>
      </c>
      <c r="T2670" t="s">
        <v>124</v>
      </c>
    </row>
    <row r="2671">
      <c r="A2671" t="s">
        <v>4962</v>
      </c>
      <c r="B2671" t="s">
        <v>4961</v>
      </c>
      <c r="C2671" s="2">
        <v>2022</v>
      </c>
      <c r="D2671" s="10">
        <v>9</v>
      </c>
      <c r="E2671" s="10">
        <v>3</v>
      </c>
      <c r="F2671" t="s">
        <v>3282</v>
      </c>
      <c r="G2671">
        <v>300</v>
      </c>
      <c r="H2671" t="s">
        <v>128</v>
      </c>
      <c r="I2671" t="s">
        <v>136</v>
      </c>
      <c r="J2671" s="10" t="str">
        <f>VLOOKUP(I2671,Categories!A:B,2,FALSE)</f>
        <v>อื่นๆ</v>
      </c>
      <c r="K2671" t="s">
        <v>178</v>
      </c>
      <c r="L2671" s="10" t="str">
        <f>VLOOKUP(K2671,Accounts!A:B,2,FALSE)</f>
        <v>SCB</v>
      </c>
      <c r="M2671" t="s">
        <v>893</v>
      </c>
      <c r="N2671" s="10" t="str">
        <f>VLOOKUP(M2671,Accounts!A:B,2,FALSE)</f>
        <v>Shopee</v>
      </c>
      <c r="O2671" t="s">
        <v>125</v>
      </c>
      <c r="Q2671" t="s">
        <v>126</v>
      </c>
      <c r="R2671" t="s">
        <v>124</v>
      </c>
      <c r="S2671" t="b">
        <v>0</v>
      </c>
      <c r="T2671" t="s">
        <v>124</v>
      </c>
    </row>
    <row r="2672">
      <c r="A2672" t="s">
        <v>4963</v>
      </c>
      <c r="B2672" t="s">
        <v>4961</v>
      </c>
      <c r="C2672" s="2">
        <v>2022</v>
      </c>
      <c r="D2672" s="10">
        <v>9</v>
      </c>
      <c r="E2672" s="10">
        <v>3</v>
      </c>
      <c r="F2672" t="s">
        <v>4964</v>
      </c>
      <c r="G2672">
        <v>1797</v>
      </c>
      <c r="H2672" t="s">
        <v>128</v>
      </c>
      <c r="I2672" t="s">
        <v>136</v>
      </c>
      <c r="J2672" s="10" t="str">
        <f>VLOOKUP(I2672,Categories!A:B,2,FALSE)</f>
        <v>อื่นๆ</v>
      </c>
      <c r="K2672" t="s">
        <v>2513</v>
      </c>
      <c r="L2672" s="10" t="str">
        <f>VLOOKUP(K2672,Accounts!A:B,2,FALSE)</f>
        <v xml:space="preserve">Pao tung</v>
      </c>
      <c r="M2672" t="s">
        <v>131</v>
      </c>
      <c r="N2672" s="10" t="str">
        <f>VLOOKUP(M2672,Accounts!A:B,2,FALSE)</f>
        <v xml:space="preserve">Advance Paid</v>
      </c>
      <c r="O2672" t="s">
        <v>4965</v>
      </c>
      <c r="Q2672" t="s">
        <v>126</v>
      </c>
      <c r="R2672" t="s">
        <v>124</v>
      </c>
      <c r="S2672" t="b">
        <v>0</v>
      </c>
      <c r="T2672" t="s">
        <v>124</v>
      </c>
    </row>
    <row r="2673">
      <c r="A2673" t="s">
        <v>4966</v>
      </c>
      <c r="B2673" t="s">
        <v>4961</v>
      </c>
      <c r="C2673" s="2">
        <v>2022</v>
      </c>
      <c r="D2673" s="10">
        <v>9</v>
      </c>
      <c r="E2673" s="10">
        <v>3</v>
      </c>
      <c r="F2673" t="s">
        <v>556</v>
      </c>
      <c r="G2673">
        <v>3000</v>
      </c>
      <c r="H2673" t="s">
        <v>128</v>
      </c>
      <c r="I2673" t="s">
        <v>136</v>
      </c>
      <c r="J2673" s="10" t="str">
        <f>VLOOKUP(I2673,Categories!A:B,2,FALSE)</f>
        <v>อื่นๆ</v>
      </c>
      <c r="K2673" t="s">
        <v>178</v>
      </c>
      <c r="L2673" s="10" t="str">
        <f>VLOOKUP(K2673,Accounts!A:B,2,FALSE)</f>
        <v>SCB</v>
      </c>
      <c r="M2673" t="s">
        <v>2513</v>
      </c>
      <c r="N2673" s="10" t="str">
        <f>VLOOKUP(M2673,Accounts!A:B,2,FALSE)</f>
        <v xml:space="preserve">Pao tung</v>
      </c>
      <c r="O2673" t="s">
        <v>125</v>
      </c>
      <c r="Q2673" t="s">
        <v>126</v>
      </c>
      <c r="R2673" t="s">
        <v>124</v>
      </c>
      <c r="S2673" t="b">
        <v>0</v>
      </c>
      <c r="T2673" t="s">
        <v>124</v>
      </c>
    </row>
    <row r="2674">
      <c r="A2674" t="s">
        <v>4967</v>
      </c>
      <c r="B2674" t="s">
        <v>4961</v>
      </c>
      <c r="C2674" s="2">
        <v>2022</v>
      </c>
      <c r="D2674" s="10">
        <v>9</v>
      </c>
      <c r="E2674" s="10">
        <v>3</v>
      </c>
      <c r="F2674" t="s">
        <v>686</v>
      </c>
      <c r="G2674">
        <v>93</v>
      </c>
      <c r="H2674" t="s">
        <v>128</v>
      </c>
      <c r="I2674" t="s">
        <v>136</v>
      </c>
      <c r="J2674" s="10" t="str">
        <f>VLOOKUP(I2674,Categories!A:B,2,FALSE)</f>
        <v>อื่นๆ</v>
      </c>
      <c r="K2674" t="s">
        <v>893</v>
      </c>
      <c r="L2674" s="10" t="str">
        <f>VLOOKUP(K2674,Accounts!A:B,2,FALSE)</f>
        <v>Shopee</v>
      </c>
      <c r="M2674" t="s">
        <v>131</v>
      </c>
      <c r="N2674" s="10" t="str">
        <f>VLOOKUP(M2674,Accounts!A:B,2,FALSE)</f>
        <v xml:space="preserve">Advance Paid</v>
      </c>
      <c r="O2674" t="s">
        <v>125</v>
      </c>
      <c r="Q2674" t="s">
        <v>126</v>
      </c>
      <c r="R2674" t="s">
        <v>124</v>
      </c>
      <c r="S2674" t="b">
        <v>0</v>
      </c>
      <c r="T2674" t="s">
        <v>124</v>
      </c>
    </row>
    <row r="2675">
      <c r="A2675" t="s">
        <v>4968</v>
      </c>
      <c r="B2675" t="s">
        <v>4969</v>
      </c>
      <c r="C2675" s="2">
        <v>2022</v>
      </c>
      <c r="D2675" s="10">
        <v>9</v>
      </c>
      <c r="E2675" s="10">
        <v>2</v>
      </c>
      <c r="F2675" t="s">
        <v>3701</v>
      </c>
      <c r="G2675">
        <v>155</v>
      </c>
      <c r="H2675" t="s">
        <v>69</v>
      </c>
      <c r="I2675" t="s">
        <v>150</v>
      </c>
      <c r="J2675" s="10" t="str">
        <f>VLOOKUP(I2675,Categories!A:B,2,FALSE)</f>
        <v xml:space="preserve">Food &amp; Coff</v>
      </c>
      <c r="K2675" t="s">
        <v>2317</v>
      </c>
      <c r="L2675" s="10" t="str">
        <f>VLOOKUP(K2675,Accounts!A:B,2,FALSE)</f>
        <v xml:space="preserve">Marriage account</v>
      </c>
      <c r="M2675" t="s">
        <v>124</v>
      </c>
      <c r="N2675" s="10"/>
      <c r="O2675" t="s">
        <v>125</v>
      </c>
      <c r="Q2675" t="s">
        <v>126</v>
      </c>
      <c r="R2675" t="s">
        <v>124</v>
      </c>
      <c r="S2675" t="b">
        <v>0</v>
      </c>
      <c r="T2675" t="s">
        <v>124</v>
      </c>
    </row>
    <row r="2676">
      <c r="A2676" t="s">
        <v>4970</v>
      </c>
      <c r="B2676" t="s">
        <v>4969</v>
      </c>
      <c r="C2676" s="2">
        <v>2022</v>
      </c>
      <c r="D2676" s="10">
        <v>9</v>
      </c>
      <c r="E2676" s="10">
        <v>2</v>
      </c>
      <c r="F2676" t="s">
        <v>2493</v>
      </c>
      <c r="G2676">
        <v>100</v>
      </c>
      <c r="H2676" t="s">
        <v>69</v>
      </c>
      <c r="I2676" t="s">
        <v>150</v>
      </c>
      <c r="J2676" s="10" t="str">
        <f>VLOOKUP(I2676,Categories!A:B,2,FALSE)</f>
        <v xml:space="preserve">Food &amp; Coff</v>
      </c>
      <c r="K2676" t="s">
        <v>2317</v>
      </c>
      <c r="L2676" s="10" t="str">
        <f>VLOOKUP(K2676,Accounts!A:B,2,FALSE)</f>
        <v xml:space="preserve">Marriage account</v>
      </c>
      <c r="M2676" t="s">
        <v>124</v>
      </c>
      <c r="N2676" s="10"/>
      <c r="O2676" t="s">
        <v>125</v>
      </c>
      <c r="Q2676" t="s">
        <v>126</v>
      </c>
      <c r="R2676" t="s">
        <v>124</v>
      </c>
      <c r="S2676" t="b">
        <v>0</v>
      </c>
      <c r="T2676" t="s">
        <v>124</v>
      </c>
    </row>
    <row r="2677">
      <c r="A2677" t="s">
        <v>4971</v>
      </c>
      <c r="B2677" t="s">
        <v>4969</v>
      </c>
      <c r="C2677" s="2">
        <v>2022</v>
      </c>
      <c r="D2677" s="10">
        <v>9</v>
      </c>
      <c r="E2677" s="10">
        <v>2</v>
      </c>
      <c r="F2677" t="s">
        <v>1108</v>
      </c>
      <c r="G2677">
        <v>570</v>
      </c>
      <c r="H2677" t="s">
        <v>69</v>
      </c>
      <c r="I2677" t="s">
        <v>259</v>
      </c>
      <c r="J2677" s="10" t="str">
        <f>VLOOKUP(I2677,Categories!A:B,2,FALSE)</f>
        <v xml:space="preserve">Team BOT</v>
      </c>
      <c r="K2677" t="s">
        <v>123</v>
      </c>
      <c r="L2677" s="10" t="str">
        <f>VLOOKUP(K2677,Accounts!A:B,2,FALSE)</f>
        <v>KBank</v>
      </c>
      <c r="M2677" t="s">
        <v>124</v>
      </c>
      <c r="N2677" s="10"/>
      <c r="O2677" t="s">
        <v>4972</v>
      </c>
      <c r="Q2677" t="s">
        <v>126</v>
      </c>
      <c r="R2677" t="s">
        <v>124</v>
      </c>
      <c r="S2677" t="b">
        <v>0</v>
      </c>
      <c r="T2677" t="s">
        <v>124</v>
      </c>
    </row>
    <row r="2678">
      <c r="A2678" t="s">
        <v>4973</v>
      </c>
      <c r="B2678" t="s">
        <v>4969</v>
      </c>
      <c r="C2678" s="2">
        <v>2022</v>
      </c>
      <c r="D2678" s="10">
        <v>9</v>
      </c>
      <c r="E2678" s="10">
        <v>2</v>
      </c>
      <c r="F2678" t="s">
        <v>643</v>
      </c>
      <c r="G2678">
        <v>16</v>
      </c>
      <c r="H2678" t="s">
        <v>128</v>
      </c>
      <c r="I2678" t="s">
        <v>136</v>
      </c>
      <c r="J2678" s="10" t="str">
        <f>VLOOKUP(I2678,Categories!A:B,2,FALSE)</f>
        <v>อื่นๆ</v>
      </c>
      <c r="K2678" t="s">
        <v>747</v>
      </c>
      <c r="L2678" s="10" t="str">
        <f>VLOOKUP(K2678,Accounts!A:B,2,FALSE)</f>
        <v xml:space="preserve">UOB world</v>
      </c>
      <c r="M2678" t="s">
        <v>131</v>
      </c>
      <c r="N2678" s="10" t="str">
        <f>VLOOKUP(M2678,Accounts!A:B,2,FALSE)</f>
        <v xml:space="preserve">Advance Paid</v>
      </c>
      <c r="O2678" t="s">
        <v>125</v>
      </c>
      <c r="Q2678" t="s">
        <v>126</v>
      </c>
      <c r="R2678" t="s">
        <v>124</v>
      </c>
      <c r="S2678" t="b">
        <v>0</v>
      </c>
      <c r="T2678" t="s">
        <v>124</v>
      </c>
    </row>
    <row r="2679">
      <c r="A2679" t="s">
        <v>4974</v>
      </c>
      <c r="B2679" t="s">
        <v>4975</v>
      </c>
      <c r="C2679" s="2">
        <v>2022</v>
      </c>
      <c r="D2679" s="10">
        <v>9</v>
      </c>
      <c r="E2679" s="10">
        <v>1</v>
      </c>
      <c r="F2679" t="s">
        <v>2384</v>
      </c>
      <c r="G2679">
        <v>110</v>
      </c>
      <c r="H2679" t="s">
        <v>69</v>
      </c>
      <c r="I2679" t="s">
        <v>150</v>
      </c>
      <c r="J2679" s="10" t="str">
        <f>VLOOKUP(I2679,Categories!A:B,2,FALSE)</f>
        <v xml:space="preserve">Food &amp; Coff</v>
      </c>
      <c r="K2679" t="s">
        <v>2317</v>
      </c>
      <c r="L2679" s="10" t="str">
        <f>VLOOKUP(K2679,Accounts!A:B,2,FALSE)</f>
        <v xml:space="preserve">Marriage account</v>
      </c>
      <c r="M2679" t="s">
        <v>124</v>
      </c>
      <c r="N2679" s="10"/>
      <c r="O2679" t="s">
        <v>125</v>
      </c>
      <c r="Q2679" t="s">
        <v>126</v>
      </c>
      <c r="R2679" t="s">
        <v>124</v>
      </c>
      <c r="S2679" t="b">
        <v>0</v>
      </c>
      <c r="T2679" t="s">
        <v>124</v>
      </c>
    </row>
    <row r="2680">
      <c r="A2680" t="s">
        <v>4976</v>
      </c>
      <c r="B2680" t="s">
        <v>4975</v>
      </c>
      <c r="C2680" s="2">
        <v>2022</v>
      </c>
      <c r="D2680" s="10">
        <v>9</v>
      </c>
      <c r="E2680" s="10">
        <v>1</v>
      </c>
      <c r="F2680" t="s">
        <v>226</v>
      </c>
      <c r="G2680">
        <v>50</v>
      </c>
      <c r="H2680" t="s">
        <v>69</v>
      </c>
      <c r="I2680" t="s">
        <v>150</v>
      </c>
      <c r="J2680" s="10" t="str">
        <f>VLOOKUP(I2680,Categories!A:B,2,FALSE)</f>
        <v xml:space="preserve">Food &amp; Coff</v>
      </c>
      <c r="K2680" t="s">
        <v>178</v>
      </c>
      <c r="L2680" s="10" t="str">
        <f>VLOOKUP(K2680,Accounts!A:B,2,FALSE)</f>
        <v>SCB</v>
      </c>
      <c r="M2680" t="s">
        <v>124</v>
      </c>
      <c r="N2680" s="10"/>
      <c r="O2680" t="s">
        <v>125</v>
      </c>
      <c r="Q2680" t="s">
        <v>126</v>
      </c>
      <c r="R2680" t="s">
        <v>124</v>
      </c>
      <c r="S2680" t="b">
        <v>0</v>
      </c>
      <c r="T2680" t="s">
        <v>124</v>
      </c>
    </row>
    <row r="2681">
      <c r="A2681" t="s">
        <v>4977</v>
      </c>
      <c r="B2681" t="s">
        <v>4975</v>
      </c>
      <c r="C2681" s="2">
        <v>2022</v>
      </c>
      <c r="D2681" s="10">
        <v>9</v>
      </c>
      <c r="E2681" s="10">
        <v>1</v>
      </c>
      <c r="F2681" t="s">
        <v>1513</v>
      </c>
      <c r="G2681">
        <v>50</v>
      </c>
      <c r="H2681" t="s">
        <v>69</v>
      </c>
      <c r="I2681" t="s">
        <v>150</v>
      </c>
      <c r="J2681" s="10" t="str">
        <f>VLOOKUP(I2681,Categories!A:B,2,FALSE)</f>
        <v xml:space="preserve">Food &amp; Coff</v>
      </c>
      <c r="K2681" t="s">
        <v>178</v>
      </c>
      <c r="L2681" s="10" t="str">
        <f>VLOOKUP(K2681,Accounts!A:B,2,FALSE)</f>
        <v>SCB</v>
      </c>
      <c r="M2681" t="s">
        <v>124</v>
      </c>
      <c r="N2681" s="10"/>
      <c r="O2681" t="s">
        <v>3852</v>
      </c>
      <c r="Q2681" t="s">
        <v>126</v>
      </c>
      <c r="R2681" t="s">
        <v>124</v>
      </c>
      <c r="S2681" t="b">
        <v>0</v>
      </c>
      <c r="T2681" t="s">
        <v>124</v>
      </c>
    </row>
    <row r="2682">
      <c r="A2682" t="s">
        <v>4978</v>
      </c>
      <c r="B2682" t="s">
        <v>4975</v>
      </c>
      <c r="C2682" s="2">
        <v>2022</v>
      </c>
      <c r="D2682" s="10">
        <v>9</v>
      </c>
      <c r="E2682" s="10">
        <v>1</v>
      </c>
      <c r="F2682" t="s">
        <v>1968</v>
      </c>
      <c r="G2682">
        <v>317</v>
      </c>
      <c r="H2682" t="s">
        <v>69</v>
      </c>
      <c r="I2682" t="s">
        <v>150</v>
      </c>
      <c r="J2682" s="10" t="str">
        <f>VLOOKUP(I2682,Categories!A:B,2,FALSE)</f>
        <v xml:space="preserve">Food &amp; Coff</v>
      </c>
      <c r="K2682" t="s">
        <v>2317</v>
      </c>
      <c r="L2682" s="10" t="str">
        <f>VLOOKUP(K2682,Accounts!A:B,2,FALSE)</f>
        <v xml:space="preserve">Marriage account</v>
      </c>
      <c r="M2682" t="s">
        <v>124</v>
      </c>
      <c r="N2682" s="10"/>
      <c r="O2682" t="s">
        <v>4979</v>
      </c>
      <c r="Q2682" t="s">
        <v>126</v>
      </c>
      <c r="R2682" t="s">
        <v>124</v>
      </c>
      <c r="S2682" t="b">
        <v>0</v>
      </c>
      <c r="T2682" t="s">
        <v>124</v>
      </c>
    </row>
    <row r="2683">
      <c r="A2683" t="s">
        <v>4980</v>
      </c>
      <c r="B2683" t="s">
        <v>4981</v>
      </c>
      <c r="C2683" s="2">
        <v>2022</v>
      </c>
      <c r="D2683" s="10">
        <v>8</v>
      </c>
      <c r="E2683" s="10">
        <v>31</v>
      </c>
      <c r="F2683" t="s">
        <v>4098</v>
      </c>
      <c r="G2683">
        <v>155</v>
      </c>
      <c r="H2683" t="s">
        <v>128</v>
      </c>
      <c r="I2683" t="s">
        <v>136</v>
      </c>
      <c r="J2683" s="10" t="str">
        <f>VLOOKUP(I2683,Categories!A:B,2,FALSE)</f>
        <v>อื่นๆ</v>
      </c>
      <c r="K2683" t="s">
        <v>747</v>
      </c>
      <c r="L2683" s="10" t="str">
        <f>VLOOKUP(K2683,Accounts!A:B,2,FALSE)</f>
        <v xml:space="preserve">UOB world</v>
      </c>
      <c r="M2683" t="s">
        <v>131</v>
      </c>
      <c r="N2683" s="10" t="str">
        <f>VLOOKUP(M2683,Accounts!A:B,2,FALSE)</f>
        <v xml:space="preserve">Advance Paid</v>
      </c>
      <c r="O2683" t="s">
        <v>125</v>
      </c>
      <c r="Q2683" t="s">
        <v>126</v>
      </c>
      <c r="R2683" t="s">
        <v>124</v>
      </c>
      <c r="S2683" t="b">
        <v>0</v>
      </c>
      <c r="T2683" t="s">
        <v>124</v>
      </c>
    </row>
    <row r="2684">
      <c r="A2684" t="s">
        <v>4982</v>
      </c>
      <c r="B2684" t="s">
        <v>4981</v>
      </c>
      <c r="C2684" s="2">
        <v>2022</v>
      </c>
      <c r="D2684" s="10">
        <v>8</v>
      </c>
      <c r="E2684" s="10">
        <v>31</v>
      </c>
      <c r="F2684" t="s">
        <v>1079</v>
      </c>
      <c r="G2684">
        <v>7000</v>
      </c>
      <c r="H2684" t="s">
        <v>128</v>
      </c>
      <c r="I2684" t="s">
        <v>136</v>
      </c>
      <c r="J2684" s="10" t="str">
        <f>VLOOKUP(I2684,Categories!A:B,2,FALSE)</f>
        <v>อื่นๆ</v>
      </c>
      <c r="K2684" t="s">
        <v>3248</v>
      </c>
      <c r="L2684" s="10" t="str">
        <f>VLOOKUP(K2684,Accounts!A:B,2,FALSE)</f>
        <v>Loan</v>
      </c>
      <c r="M2684" t="s">
        <v>178</v>
      </c>
      <c r="N2684" s="10" t="str">
        <f>VLOOKUP(M2684,Accounts!A:B,2,FALSE)</f>
        <v>SCB</v>
      </c>
      <c r="O2684" t="s">
        <v>3249</v>
      </c>
      <c r="Q2684" t="s">
        <v>126</v>
      </c>
      <c r="R2684" t="s">
        <v>124</v>
      </c>
      <c r="S2684" t="b">
        <v>0</v>
      </c>
      <c r="T2684" t="s">
        <v>124</v>
      </c>
    </row>
    <row r="2685">
      <c r="A2685" t="s">
        <v>4983</v>
      </c>
      <c r="B2685" t="s">
        <v>4981</v>
      </c>
      <c r="C2685" s="2">
        <v>2022</v>
      </c>
      <c r="D2685" s="10">
        <v>8</v>
      </c>
      <c r="E2685" s="10">
        <v>31</v>
      </c>
      <c r="F2685" t="s">
        <v>1613</v>
      </c>
      <c r="G2685">
        <v>230</v>
      </c>
      <c r="H2685" t="s">
        <v>128</v>
      </c>
      <c r="I2685" t="s">
        <v>136</v>
      </c>
      <c r="J2685" s="10" t="str">
        <f>VLOOKUP(I2685,Categories!A:B,2,FALSE)</f>
        <v>อื่นๆ</v>
      </c>
      <c r="K2685" t="s">
        <v>893</v>
      </c>
      <c r="L2685" s="10" t="str">
        <f>VLOOKUP(K2685,Accounts!A:B,2,FALSE)</f>
        <v>Shopee</v>
      </c>
      <c r="M2685" t="s">
        <v>131</v>
      </c>
      <c r="N2685" s="10" t="str">
        <f>VLOOKUP(M2685,Accounts!A:B,2,FALSE)</f>
        <v xml:space="preserve">Advance Paid</v>
      </c>
      <c r="O2685" t="s">
        <v>125</v>
      </c>
      <c r="Q2685" t="s">
        <v>126</v>
      </c>
      <c r="R2685" t="s">
        <v>124</v>
      </c>
      <c r="S2685" t="b">
        <v>0</v>
      </c>
      <c r="T2685" t="s">
        <v>124</v>
      </c>
    </row>
    <row r="2686">
      <c r="A2686" t="s">
        <v>4984</v>
      </c>
      <c r="B2686" t="s">
        <v>4981</v>
      </c>
      <c r="C2686" s="2">
        <v>2022</v>
      </c>
      <c r="D2686" s="10">
        <v>8</v>
      </c>
      <c r="E2686" s="10">
        <v>31</v>
      </c>
      <c r="F2686" t="s">
        <v>1654</v>
      </c>
      <c r="G2686">
        <v>300</v>
      </c>
      <c r="H2686" t="s">
        <v>128</v>
      </c>
      <c r="I2686" t="s">
        <v>136</v>
      </c>
      <c r="J2686" s="10" t="str">
        <f>VLOOKUP(I2686,Categories!A:B,2,FALSE)</f>
        <v>อื่นๆ</v>
      </c>
      <c r="K2686" t="s">
        <v>178</v>
      </c>
      <c r="L2686" s="10" t="str">
        <f>VLOOKUP(K2686,Accounts!A:B,2,FALSE)</f>
        <v>SCB</v>
      </c>
      <c r="M2686" t="s">
        <v>893</v>
      </c>
      <c r="N2686" s="10" t="str">
        <f>VLOOKUP(M2686,Accounts!A:B,2,FALSE)</f>
        <v>Shopee</v>
      </c>
      <c r="O2686" t="s">
        <v>125</v>
      </c>
      <c r="Q2686" t="s">
        <v>126</v>
      </c>
      <c r="R2686" t="s">
        <v>124</v>
      </c>
      <c r="S2686" t="b">
        <v>0</v>
      </c>
      <c r="T2686" t="s">
        <v>124</v>
      </c>
    </row>
    <row r="2687">
      <c r="A2687" t="s">
        <v>4985</v>
      </c>
      <c r="B2687" t="s">
        <v>4981</v>
      </c>
      <c r="C2687" s="2">
        <v>2022</v>
      </c>
      <c r="D2687" s="10">
        <v>8</v>
      </c>
      <c r="E2687" s="10">
        <v>31</v>
      </c>
      <c r="F2687" t="s">
        <v>3368</v>
      </c>
      <c r="G2687">
        <v>299</v>
      </c>
      <c r="H2687" t="s">
        <v>128</v>
      </c>
      <c r="I2687" t="s">
        <v>136</v>
      </c>
      <c r="J2687" s="10" t="str">
        <f>VLOOKUP(I2687,Categories!A:B,2,FALSE)</f>
        <v>อื่นๆ</v>
      </c>
      <c r="K2687" t="s">
        <v>747</v>
      </c>
      <c r="L2687" s="10" t="str">
        <f>VLOOKUP(K2687,Accounts!A:B,2,FALSE)</f>
        <v xml:space="preserve">UOB world</v>
      </c>
      <c r="M2687" t="s">
        <v>131</v>
      </c>
      <c r="N2687" s="10" t="str">
        <f>VLOOKUP(M2687,Accounts!A:B,2,FALSE)</f>
        <v xml:space="preserve">Advance Paid</v>
      </c>
      <c r="O2687" t="s">
        <v>125</v>
      </c>
      <c r="Q2687" t="s">
        <v>126</v>
      </c>
      <c r="R2687" t="s">
        <v>124</v>
      </c>
      <c r="S2687" t="b">
        <v>0</v>
      </c>
      <c r="T2687" t="s">
        <v>124</v>
      </c>
    </row>
    <row r="2688">
      <c r="A2688" t="s">
        <v>4986</v>
      </c>
      <c r="B2688" t="s">
        <v>4981</v>
      </c>
      <c r="C2688" s="2">
        <v>2022</v>
      </c>
      <c r="D2688" s="10">
        <v>8</v>
      </c>
      <c r="E2688" s="10">
        <v>31</v>
      </c>
      <c r="F2688" t="s">
        <v>4987</v>
      </c>
      <c r="G2688">
        <v>100</v>
      </c>
      <c r="H2688" t="s">
        <v>128</v>
      </c>
      <c r="I2688" t="s">
        <v>136</v>
      </c>
      <c r="J2688" s="10" t="str">
        <f>VLOOKUP(I2688,Categories!A:B,2,FALSE)</f>
        <v>อื่นๆ</v>
      </c>
      <c r="K2688" t="s">
        <v>2513</v>
      </c>
      <c r="L2688" s="10" t="str">
        <f>VLOOKUP(K2688,Accounts!A:B,2,FALSE)</f>
        <v xml:space="preserve">Pao tung</v>
      </c>
      <c r="M2688" t="s">
        <v>178</v>
      </c>
      <c r="N2688" s="10" t="str">
        <f>VLOOKUP(M2688,Accounts!A:B,2,FALSE)</f>
        <v>SCB</v>
      </c>
      <c r="O2688" t="s">
        <v>125</v>
      </c>
      <c r="Q2688" t="s">
        <v>126</v>
      </c>
      <c r="R2688" t="s">
        <v>124</v>
      </c>
      <c r="S2688" t="b">
        <v>0</v>
      </c>
      <c r="T2688" t="s">
        <v>124</v>
      </c>
    </row>
    <row r="2689">
      <c r="A2689" t="s">
        <v>4988</v>
      </c>
      <c r="B2689" t="s">
        <v>4989</v>
      </c>
      <c r="C2689" s="2">
        <v>2022</v>
      </c>
      <c r="D2689" s="10">
        <v>8</v>
      </c>
      <c r="E2689" s="10">
        <v>30</v>
      </c>
      <c r="F2689" t="s">
        <v>2699</v>
      </c>
      <c r="G2689">
        <v>100</v>
      </c>
      <c r="H2689" t="s">
        <v>69</v>
      </c>
      <c r="I2689" t="s">
        <v>150</v>
      </c>
      <c r="J2689" s="10" t="str">
        <f>VLOOKUP(I2689,Categories!A:B,2,FALSE)</f>
        <v xml:space="preserve">Food &amp; Coff</v>
      </c>
      <c r="K2689" t="s">
        <v>2317</v>
      </c>
      <c r="L2689" s="10" t="str">
        <f>VLOOKUP(K2689,Accounts!A:B,2,FALSE)</f>
        <v xml:space="preserve">Marriage account</v>
      </c>
      <c r="M2689" t="s">
        <v>124</v>
      </c>
      <c r="N2689" s="10"/>
      <c r="O2689" t="s">
        <v>125</v>
      </c>
      <c r="Q2689" t="s">
        <v>126</v>
      </c>
      <c r="R2689" t="s">
        <v>124</v>
      </c>
      <c r="S2689" t="b">
        <v>0</v>
      </c>
      <c r="T2689" t="s">
        <v>124</v>
      </c>
    </row>
    <row r="2690">
      <c r="A2690" t="s">
        <v>4990</v>
      </c>
      <c r="B2690" t="s">
        <v>4989</v>
      </c>
      <c r="C2690" s="2">
        <v>2022</v>
      </c>
      <c r="D2690" s="10">
        <v>8</v>
      </c>
      <c r="E2690" s="10">
        <v>30</v>
      </c>
      <c r="F2690" t="s">
        <v>2150</v>
      </c>
      <c r="G2690">
        <v>50</v>
      </c>
      <c r="H2690" t="s">
        <v>69</v>
      </c>
      <c r="I2690" t="s">
        <v>150</v>
      </c>
      <c r="J2690" s="10" t="str">
        <f>VLOOKUP(I2690,Categories!A:B,2,FALSE)</f>
        <v xml:space="preserve">Food &amp; Coff</v>
      </c>
      <c r="K2690" t="s">
        <v>178</v>
      </c>
      <c r="L2690" s="10" t="str">
        <f>VLOOKUP(K2690,Accounts!A:B,2,FALSE)</f>
        <v>SCB</v>
      </c>
      <c r="M2690" t="s">
        <v>124</v>
      </c>
      <c r="N2690" s="10"/>
      <c r="O2690" t="s">
        <v>125</v>
      </c>
      <c r="Q2690" t="s">
        <v>126</v>
      </c>
      <c r="R2690" t="s">
        <v>124</v>
      </c>
      <c r="S2690" t="b">
        <v>0</v>
      </c>
      <c r="T2690" t="s">
        <v>124</v>
      </c>
    </row>
    <row r="2691">
      <c r="A2691" t="s">
        <v>4991</v>
      </c>
      <c r="B2691" t="s">
        <v>4989</v>
      </c>
      <c r="C2691" s="2">
        <v>2022</v>
      </c>
      <c r="D2691" s="10">
        <v>8</v>
      </c>
      <c r="E2691" s="10">
        <v>30</v>
      </c>
      <c r="F2691" t="s">
        <v>2709</v>
      </c>
      <c r="G2691">
        <v>50</v>
      </c>
      <c r="H2691" t="s">
        <v>69</v>
      </c>
      <c r="I2691" t="s">
        <v>150</v>
      </c>
      <c r="J2691" s="10" t="str">
        <f>VLOOKUP(I2691,Categories!A:B,2,FALSE)</f>
        <v xml:space="preserve">Food &amp; Coff</v>
      </c>
      <c r="K2691" t="s">
        <v>178</v>
      </c>
      <c r="L2691" s="10" t="str">
        <f>VLOOKUP(K2691,Accounts!A:B,2,FALSE)</f>
        <v>SCB</v>
      </c>
      <c r="M2691" t="s">
        <v>124</v>
      </c>
      <c r="N2691" s="10"/>
      <c r="O2691" t="s">
        <v>3852</v>
      </c>
      <c r="Q2691" t="s">
        <v>126</v>
      </c>
      <c r="R2691" t="s">
        <v>124</v>
      </c>
      <c r="S2691" t="b">
        <v>0</v>
      </c>
      <c r="T2691" t="s">
        <v>124</v>
      </c>
    </row>
    <row r="2692">
      <c r="A2692" t="s">
        <v>4992</v>
      </c>
      <c r="B2692" t="s">
        <v>4989</v>
      </c>
      <c r="C2692" s="2">
        <v>2022</v>
      </c>
      <c r="D2692" s="10">
        <v>8</v>
      </c>
      <c r="E2692" s="10">
        <v>30</v>
      </c>
      <c r="F2692" t="s">
        <v>930</v>
      </c>
      <c r="G2692">
        <v>237</v>
      </c>
      <c r="H2692" t="s">
        <v>206</v>
      </c>
      <c r="I2692" t="s">
        <v>531</v>
      </c>
      <c r="J2692" s="10" t="str">
        <f>VLOOKUP(I2692,Categories!A:B,2,FALSE)</f>
        <v>Dividends</v>
      </c>
      <c r="K2692" t="s">
        <v>123</v>
      </c>
      <c r="L2692" s="10" t="str">
        <f>VLOOKUP(K2692,Accounts!A:B,2,FALSE)</f>
        <v>KBank</v>
      </c>
      <c r="M2692" t="s">
        <v>124</v>
      </c>
      <c r="N2692" s="10"/>
      <c r="O2692" t="s">
        <v>125</v>
      </c>
      <c r="Q2692" t="s">
        <v>126</v>
      </c>
      <c r="R2692" t="s">
        <v>124</v>
      </c>
      <c r="S2692" t="b">
        <v>0</v>
      </c>
      <c r="T2692" t="s">
        <v>124</v>
      </c>
    </row>
    <row r="2693">
      <c r="A2693" t="s">
        <v>4993</v>
      </c>
      <c r="B2693" t="s">
        <v>4994</v>
      </c>
      <c r="C2693" s="2">
        <v>2022</v>
      </c>
      <c r="D2693" s="10">
        <v>8</v>
      </c>
      <c r="E2693" s="10">
        <v>29</v>
      </c>
      <c r="F2693" t="s">
        <v>4098</v>
      </c>
      <c r="G2693">
        <v>85</v>
      </c>
      <c r="H2693" t="s">
        <v>69</v>
      </c>
      <c r="I2693" t="s">
        <v>150</v>
      </c>
      <c r="J2693" s="10" t="str">
        <f>VLOOKUP(I2693,Categories!A:B,2,FALSE)</f>
        <v xml:space="preserve">Food &amp; Coff</v>
      </c>
      <c r="K2693" t="s">
        <v>2317</v>
      </c>
      <c r="L2693" s="10" t="str">
        <f>VLOOKUP(K2693,Accounts!A:B,2,FALSE)</f>
        <v xml:space="preserve">Marriage account</v>
      </c>
      <c r="M2693" t="s">
        <v>124</v>
      </c>
      <c r="N2693" s="10"/>
      <c r="O2693" t="s">
        <v>125</v>
      </c>
      <c r="Q2693" t="s">
        <v>126</v>
      </c>
      <c r="R2693" t="s">
        <v>124</v>
      </c>
      <c r="S2693" t="b">
        <v>0</v>
      </c>
      <c r="T2693" t="s">
        <v>124</v>
      </c>
    </row>
    <row r="2694">
      <c r="A2694" t="s">
        <v>4995</v>
      </c>
      <c r="B2694" t="s">
        <v>4994</v>
      </c>
      <c r="C2694" s="2">
        <v>2022</v>
      </c>
      <c r="D2694" s="10">
        <v>8</v>
      </c>
      <c r="E2694" s="10">
        <v>29</v>
      </c>
      <c r="F2694" t="s">
        <v>3282</v>
      </c>
      <c r="G2694">
        <v>105</v>
      </c>
      <c r="H2694" t="s">
        <v>69</v>
      </c>
      <c r="I2694" t="s">
        <v>150</v>
      </c>
      <c r="J2694" s="10" t="str">
        <f>VLOOKUP(I2694,Categories!A:B,2,FALSE)</f>
        <v xml:space="preserve">Food &amp; Coff</v>
      </c>
      <c r="K2694" t="s">
        <v>2317</v>
      </c>
      <c r="L2694" s="10" t="str">
        <f>VLOOKUP(K2694,Accounts!A:B,2,FALSE)</f>
        <v xml:space="preserve">Marriage account</v>
      </c>
      <c r="M2694" t="s">
        <v>124</v>
      </c>
      <c r="N2694" s="10"/>
      <c r="O2694" t="s">
        <v>125</v>
      </c>
      <c r="Q2694" t="s">
        <v>126</v>
      </c>
      <c r="R2694" t="s">
        <v>124</v>
      </c>
      <c r="S2694" t="b">
        <v>0</v>
      </c>
      <c r="T2694" t="s">
        <v>124</v>
      </c>
    </row>
    <row r="2695">
      <c r="A2695" t="s">
        <v>4996</v>
      </c>
      <c r="B2695" t="s">
        <v>4994</v>
      </c>
      <c r="C2695" s="2">
        <v>2022</v>
      </c>
      <c r="D2695" s="10">
        <v>8</v>
      </c>
      <c r="E2695" s="10">
        <v>29</v>
      </c>
      <c r="F2695" t="s">
        <v>2709</v>
      </c>
      <c r="G2695">
        <v>60</v>
      </c>
      <c r="H2695" t="s">
        <v>69</v>
      </c>
      <c r="I2695" t="s">
        <v>150</v>
      </c>
      <c r="J2695" s="10" t="str">
        <f>VLOOKUP(I2695,Categories!A:B,2,FALSE)</f>
        <v xml:space="preserve">Food &amp; Coff</v>
      </c>
      <c r="K2695" t="s">
        <v>178</v>
      </c>
      <c r="L2695" s="10" t="str">
        <f>VLOOKUP(K2695,Accounts!A:B,2,FALSE)</f>
        <v>SCB</v>
      </c>
      <c r="M2695" t="s">
        <v>124</v>
      </c>
      <c r="N2695" s="10"/>
      <c r="O2695" t="s">
        <v>125</v>
      </c>
      <c r="Q2695" t="s">
        <v>126</v>
      </c>
      <c r="R2695" t="s">
        <v>124</v>
      </c>
      <c r="S2695" t="b">
        <v>0</v>
      </c>
      <c r="T2695" t="s">
        <v>124</v>
      </c>
    </row>
    <row r="2696">
      <c r="A2696" t="s">
        <v>4997</v>
      </c>
      <c r="B2696" t="s">
        <v>4998</v>
      </c>
      <c r="C2696" s="2">
        <v>2022</v>
      </c>
      <c r="D2696" s="10">
        <v>8</v>
      </c>
      <c r="E2696" s="10">
        <v>28</v>
      </c>
      <c r="F2696" t="s">
        <v>3408</v>
      </c>
      <c r="G2696">
        <v>375</v>
      </c>
      <c r="H2696" t="s">
        <v>69</v>
      </c>
      <c r="I2696" t="s">
        <v>150</v>
      </c>
      <c r="J2696" s="10" t="str">
        <f>VLOOKUP(I2696,Categories!A:B,2,FALSE)</f>
        <v xml:space="preserve">Food &amp; Coff</v>
      </c>
      <c r="K2696" t="s">
        <v>2317</v>
      </c>
      <c r="L2696" s="10" t="str">
        <f>VLOOKUP(K2696,Accounts!A:B,2,FALSE)</f>
        <v xml:space="preserve">Marriage account</v>
      </c>
      <c r="M2696" t="s">
        <v>124</v>
      </c>
      <c r="N2696" s="10"/>
      <c r="O2696" t="s">
        <v>4999</v>
      </c>
      <c r="Q2696" t="s">
        <v>126</v>
      </c>
      <c r="R2696" t="s">
        <v>124</v>
      </c>
      <c r="S2696" t="b">
        <v>0</v>
      </c>
      <c r="T2696" t="s">
        <v>124</v>
      </c>
    </row>
    <row r="2697">
      <c r="A2697" t="s">
        <v>5000</v>
      </c>
      <c r="B2697" t="s">
        <v>4998</v>
      </c>
      <c r="C2697" s="2">
        <v>2022</v>
      </c>
      <c r="D2697" s="10">
        <v>8</v>
      </c>
      <c r="E2697" s="10">
        <v>28</v>
      </c>
      <c r="F2697" t="s">
        <v>2656</v>
      </c>
      <c r="G2697">
        <v>529</v>
      </c>
      <c r="H2697" t="s">
        <v>69</v>
      </c>
      <c r="I2697" t="s">
        <v>150</v>
      </c>
      <c r="J2697" s="10" t="str">
        <f>VLOOKUP(I2697,Categories!A:B,2,FALSE)</f>
        <v xml:space="preserve">Food &amp; Coff</v>
      </c>
      <c r="K2697" t="s">
        <v>2317</v>
      </c>
      <c r="L2697" s="10" t="str">
        <f>VLOOKUP(K2697,Accounts!A:B,2,FALSE)</f>
        <v xml:space="preserve">Marriage account</v>
      </c>
      <c r="M2697" t="s">
        <v>124</v>
      </c>
      <c r="N2697" s="10"/>
      <c r="O2697" t="s">
        <v>5001</v>
      </c>
      <c r="Q2697" t="s">
        <v>126</v>
      </c>
      <c r="R2697" t="s">
        <v>124</v>
      </c>
      <c r="S2697" t="b">
        <v>0</v>
      </c>
      <c r="T2697" t="s">
        <v>124</v>
      </c>
    </row>
    <row r="2698">
      <c r="A2698" t="s">
        <v>5002</v>
      </c>
      <c r="B2698" t="s">
        <v>4998</v>
      </c>
      <c r="C2698" s="2">
        <v>2022</v>
      </c>
      <c r="D2698" s="10">
        <v>8</v>
      </c>
      <c r="E2698" s="10">
        <v>28</v>
      </c>
      <c r="F2698" t="s">
        <v>2914</v>
      </c>
      <c r="G2698">
        <v>582</v>
      </c>
      <c r="H2698" t="s">
        <v>69</v>
      </c>
      <c r="I2698" t="s">
        <v>150</v>
      </c>
      <c r="J2698" s="10" t="str">
        <f>VLOOKUP(I2698,Categories!A:B,2,FALSE)</f>
        <v xml:space="preserve">Food &amp; Coff</v>
      </c>
      <c r="K2698" t="s">
        <v>123</v>
      </c>
      <c r="L2698" s="10" t="str">
        <f>VLOOKUP(K2698,Accounts!A:B,2,FALSE)</f>
        <v>KBank</v>
      </c>
      <c r="M2698" t="s">
        <v>124</v>
      </c>
      <c r="N2698" s="10"/>
      <c r="O2698" t="s">
        <v>5003</v>
      </c>
      <c r="Q2698" t="s">
        <v>126</v>
      </c>
      <c r="R2698" t="s">
        <v>124</v>
      </c>
      <c r="S2698" t="b">
        <v>0</v>
      </c>
      <c r="T2698" t="s">
        <v>124</v>
      </c>
    </row>
    <row r="2699">
      <c r="A2699" t="s">
        <v>5004</v>
      </c>
      <c r="B2699" t="s">
        <v>4998</v>
      </c>
      <c r="C2699" s="2">
        <v>2022</v>
      </c>
      <c r="D2699" s="10">
        <v>8</v>
      </c>
      <c r="E2699" s="10">
        <v>28</v>
      </c>
      <c r="F2699" t="s">
        <v>2925</v>
      </c>
      <c r="G2699">
        <v>246.88</v>
      </c>
      <c r="H2699" t="s">
        <v>206</v>
      </c>
      <c r="I2699" t="s">
        <v>254</v>
      </c>
      <c r="J2699" s="10" t="str">
        <f>VLOOKUP(I2699,Categories!A:B,2,FALSE)</f>
        <v xml:space="preserve">Modified Bal.</v>
      </c>
      <c r="K2699" t="s">
        <v>2520</v>
      </c>
      <c r="L2699" s="10" t="str">
        <f>VLOOKUP(K2699,Accounts!A:B,2,FALSE)</f>
        <v>Truewallet</v>
      </c>
      <c r="M2699" t="s">
        <v>124</v>
      </c>
      <c r="N2699" s="10"/>
      <c r="O2699" t="s">
        <v>255</v>
      </c>
      <c r="Q2699" t="s">
        <v>126</v>
      </c>
      <c r="R2699" t="s">
        <v>124</v>
      </c>
      <c r="S2699" t="b">
        <v>0</v>
      </c>
      <c r="T2699" t="s">
        <v>124</v>
      </c>
    </row>
    <row r="2700">
      <c r="A2700" t="s">
        <v>5005</v>
      </c>
      <c r="B2700" t="s">
        <v>4998</v>
      </c>
      <c r="C2700" s="2">
        <v>2022</v>
      </c>
      <c r="D2700" s="10">
        <v>8</v>
      </c>
      <c r="E2700" s="10">
        <v>28</v>
      </c>
      <c r="F2700" t="s">
        <v>1701</v>
      </c>
      <c r="G2700">
        <v>500</v>
      </c>
      <c r="H2700" t="s">
        <v>69</v>
      </c>
      <c r="I2700" t="s">
        <v>1882</v>
      </c>
      <c r="J2700" s="10" t="str">
        <f>VLOOKUP(I2700,Categories!A:B,2,FALSE)</f>
        <v>utility</v>
      </c>
      <c r="K2700" t="s">
        <v>2317</v>
      </c>
      <c r="L2700" s="10" t="str">
        <f>VLOOKUP(K2700,Accounts!A:B,2,FALSE)</f>
        <v xml:space="preserve">Marriage account</v>
      </c>
      <c r="M2700" t="s">
        <v>124</v>
      </c>
      <c r="N2700" s="10"/>
      <c r="O2700" t="s">
        <v>3268</v>
      </c>
      <c r="Q2700" t="s">
        <v>126</v>
      </c>
      <c r="R2700" t="s">
        <v>124</v>
      </c>
      <c r="S2700" t="b">
        <v>0</v>
      </c>
      <c r="T2700" t="s">
        <v>124</v>
      </c>
    </row>
    <row r="2701">
      <c r="A2701" t="s">
        <v>5006</v>
      </c>
      <c r="B2701" t="s">
        <v>4998</v>
      </c>
      <c r="C2701" s="2">
        <v>2022</v>
      </c>
      <c r="D2701" s="10">
        <v>8</v>
      </c>
      <c r="E2701" s="10">
        <v>28</v>
      </c>
      <c r="F2701" t="s">
        <v>1701</v>
      </c>
      <c r="G2701">
        <v>354.93000000000001</v>
      </c>
      <c r="H2701" t="s">
        <v>69</v>
      </c>
      <c r="I2701" t="s">
        <v>1882</v>
      </c>
      <c r="J2701" s="10" t="str">
        <f>VLOOKUP(I2701,Categories!A:B,2,FALSE)</f>
        <v>utility</v>
      </c>
      <c r="K2701" t="s">
        <v>178</v>
      </c>
      <c r="L2701" s="10" t="str">
        <f>VLOOKUP(K2701,Accounts!A:B,2,FALSE)</f>
        <v>SCB</v>
      </c>
      <c r="M2701" t="s">
        <v>124</v>
      </c>
      <c r="N2701" s="10"/>
      <c r="O2701" t="s">
        <v>5007</v>
      </c>
      <c r="Q2701" t="s">
        <v>126</v>
      </c>
      <c r="R2701" t="s">
        <v>124</v>
      </c>
      <c r="S2701" t="b">
        <v>0</v>
      </c>
      <c r="T2701" t="s">
        <v>124</v>
      </c>
    </row>
    <row r="2702">
      <c r="A2702" t="s">
        <v>5008</v>
      </c>
      <c r="B2702" t="s">
        <v>4998</v>
      </c>
      <c r="C2702" s="2">
        <v>2022</v>
      </c>
      <c r="D2702" s="10">
        <v>8</v>
      </c>
      <c r="E2702" s="10">
        <v>28</v>
      </c>
      <c r="F2702" t="s">
        <v>1513</v>
      </c>
      <c r="G2702">
        <v>50</v>
      </c>
      <c r="H2702" t="s">
        <v>69</v>
      </c>
      <c r="I2702" t="s">
        <v>150</v>
      </c>
      <c r="J2702" s="10" t="str">
        <f>VLOOKUP(I2702,Categories!A:B,2,FALSE)</f>
        <v xml:space="preserve">Food &amp; Coff</v>
      </c>
      <c r="K2702" t="s">
        <v>178</v>
      </c>
      <c r="L2702" s="10" t="str">
        <f>VLOOKUP(K2702,Accounts!A:B,2,FALSE)</f>
        <v>SCB</v>
      </c>
      <c r="M2702" t="s">
        <v>124</v>
      </c>
      <c r="N2702" s="10"/>
      <c r="O2702" t="s">
        <v>125</v>
      </c>
      <c r="Q2702" t="s">
        <v>126</v>
      </c>
      <c r="R2702" t="s">
        <v>124</v>
      </c>
      <c r="S2702" t="b">
        <v>0</v>
      </c>
      <c r="T2702" t="s">
        <v>124</v>
      </c>
    </row>
    <row r="2703">
      <c r="A2703" t="s">
        <v>5009</v>
      </c>
      <c r="B2703" t="s">
        <v>4998</v>
      </c>
      <c r="C2703" s="2">
        <v>2022</v>
      </c>
      <c r="D2703" s="10">
        <v>8</v>
      </c>
      <c r="E2703" s="10">
        <v>28</v>
      </c>
      <c r="F2703" t="s">
        <v>2253</v>
      </c>
      <c r="G2703">
        <v>2177</v>
      </c>
      <c r="H2703" t="s">
        <v>69</v>
      </c>
      <c r="I2703" t="s">
        <v>144</v>
      </c>
      <c r="J2703" s="10" t="str">
        <f>VLOOKUP(I2703,Categories!A:B,2,FALSE)</f>
        <v xml:space="preserve">Family paid</v>
      </c>
      <c r="K2703" t="s">
        <v>178</v>
      </c>
      <c r="L2703" s="10" t="str">
        <f>VLOOKUP(K2703,Accounts!A:B,2,FALSE)</f>
        <v>SCB</v>
      </c>
      <c r="M2703" t="s">
        <v>124</v>
      </c>
      <c r="N2703" s="10"/>
      <c r="O2703" t="s">
        <v>5010</v>
      </c>
      <c r="Q2703" t="s">
        <v>126</v>
      </c>
      <c r="R2703" t="s">
        <v>124</v>
      </c>
      <c r="S2703" t="b">
        <v>0</v>
      </c>
      <c r="T2703" t="s">
        <v>124</v>
      </c>
    </row>
    <row r="2704">
      <c r="A2704" t="s">
        <v>5011</v>
      </c>
      <c r="B2704" t="s">
        <v>4998</v>
      </c>
      <c r="C2704" s="2">
        <v>2022</v>
      </c>
      <c r="D2704" s="10">
        <v>8</v>
      </c>
      <c r="E2704" s="10">
        <v>28</v>
      </c>
      <c r="F2704" t="s">
        <v>984</v>
      </c>
      <c r="G2704">
        <v>60</v>
      </c>
      <c r="H2704" t="s">
        <v>69</v>
      </c>
      <c r="I2704" t="s">
        <v>150</v>
      </c>
      <c r="J2704" s="10" t="str">
        <f>VLOOKUP(I2704,Categories!A:B,2,FALSE)</f>
        <v xml:space="preserve">Food &amp; Coff</v>
      </c>
      <c r="K2704" t="s">
        <v>123</v>
      </c>
      <c r="L2704" s="10" t="str">
        <f>VLOOKUP(K2704,Accounts!A:B,2,FALSE)</f>
        <v>KBank</v>
      </c>
      <c r="M2704" t="s">
        <v>124</v>
      </c>
      <c r="N2704" s="10"/>
      <c r="O2704" t="s">
        <v>125</v>
      </c>
      <c r="Q2704" t="s">
        <v>126</v>
      </c>
      <c r="R2704" t="s">
        <v>124</v>
      </c>
      <c r="S2704" t="b">
        <v>0</v>
      </c>
      <c r="T2704" t="s">
        <v>124</v>
      </c>
    </row>
    <row r="2705">
      <c r="A2705" t="s">
        <v>5012</v>
      </c>
      <c r="B2705" t="s">
        <v>5013</v>
      </c>
      <c r="C2705" s="2">
        <v>2022</v>
      </c>
      <c r="D2705" s="10">
        <v>8</v>
      </c>
      <c r="E2705" s="10">
        <v>27</v>
      </c>
      <c r="F2705" t="s">
        <v>121</v>
      </c>
      <c r="G2705">
        <v>5000</v>
      </c>
      <c r="H2705" t="s">
        <v>69</v>
      </c>
      <c r="I2705" t="s">
        <v>144</v>
      </c>
      <c r="J2705" s="10" t="str">
        <f>VLOOKUP(I2705,Categories!A:B,2,FALSE)</f>
        <v xml:space="preserve">Family paid</v>
      </c>
      <c r="K2705" t="s">
        <v>123</v>
      </c>
      <c r="L2705" s="10" t="str">
        <f>VLOOKUP(K2705,Accounts!A:B,2,FALSE)</f>
        <v>KBank</v>
      </c>
      <c r="M2705" t="s">
        <v>124</v>
      </c>
      <c r="N2705" s="10"/>
      <c r="O2705" t="s">
        <v>125</v>
      </c>
      <c r="Q2705" t="s">
        <v>126</v>
      </c>
      <c r="R2705" t="s">
        <v>124</v>
      </c>
      <c r="S2705" t="b">
        <v>0</v>
      </c>
      <c r="T2705" t="s">
        <v>124</v>
      </c>
    </row>
    <row r="2706">
      <c r="A2706" t="s">
        <v>5014</v>
      </c>
      <c r="B2706" t="s">
        <v>5013</v>
      </c>
      <c r="C2706" s="2">
        <v>2022</v>
      </c>
      <c r="D2706" s="10">
        <v>8</v>
      </c>
      <c r="E2706" s="10">
        <v>27</v>
      </c>
      <c r="F2706" t="s">
        <v>1530</v>
      </c>
      <c r="G2706">
        <v>120</v>
      </c>
      <c r="H2706" t="s">
        <v>69</v>
      </c>
      <c r="I2706" t="s">
        <v>150</v>
      </c>
      <c r="J2706" s="10" t="str">
        <f>VLOOKUP(I2706,Categories!A:B,2,FALSE)</f>
        <v xml:space="preserve">Food &amp; Coff</v>
      </c>
      <c r="K2706" t="s">
        <v>2317</v>
      </c>
      <c r="L2706" s="10" t="str">
        <f>VLOOKUP(K2706,Accounts!A:B,2,FALSE)</f>
        <v xml:space="preserve">Marriage account</v>
      </c>
      <c r="M2706" t="s">
        <v>124</v>
      </c>
      <c r="N2706" s="10"/>
      <c r="O2706" t="s">
        <v>125</v>
      </c>
      <c r="Q2706" t="s">
        <v>126</v>
      </c>
      <c r="R2706" t="s">
        <v>124</v>
      </c>
      <c r="S2706" t="b">
        <v>0</v>
      </c>
      <c r="T2706" t="s">
        <v>124</v>
      </c>
    </row>
    <row r="2707">
      <c r="A2707" t="s">
        <v>5015</v>
      </c>
      <c r="B2707" t="s">
        <v>5013</v>
      </c>
      <c r="C2707" s="2">
        <v>2022</v>
      </c>
      <c r="D2707" s="10">
        <v>8</v>
      </c>
      <c r="E2707" s="10">
        <v>27</v>
      </c>
      <c r="F2707" t="s">
        <v>1012</v>
      </c>
      <c r="G2707">
        <v>286</v>
      </c>
      <c r="H2707" t="s">
        <v>69</v>
      </c>
      <c r="I2707" t="s">
        <v>144</v>
      </c>
      <c r="J2707" s="10" t="str">
        <f>VLOOKUP(I2707,Categories!A:B,2,FALSE)</f>
        <v xml:space="preserve">Family paid</v>
      </c>
      <c r="K2707" t="s">
        <v>425</v>
      </c>
      <c r="L2707" s="10" t="str">
        <f>VLOOKUP(K2707,Accounts!A:B,2,FALSE)</f>
        <v>Cash</v>
      </c>
      <c r="M2707" t="s">
        <v>124</v>
      </c>
      <c r="N2707" s="10"/>
      <c r="O2707" t="s">
        <v>5016</v>
      </c>
      <c r="Q2707" t="s">
        <v>126</v>
      </c>
      <c r="R2707" t="s">
        <v>124</v>
      </c>
      <c r="S2707" t="b">
        <v>0</v>
      </c>
      <c r="T2707" t="s">
        <v>124</v>
      </c>
    </row>
    <row r="2708">
      <c r="A2708" t="s">
        <v>5017</v>
      </c>
      <c r="B2708" t="s">
        <v>5013</v>
      </c>
      <c r="C2708" s="2">
        <v>2022</v>
      </c>
      <c r="D2708" s="10">
        <v>8</v>
      </c>
      <c r="E2708" s="10">
        <v>27</v>
      </c>
      <c r="F2708" t="s">
        <v>3495</v>
      </c>
      <c r="G2708">
        <v>69</v>
      </c>
      <c r="H2708" t="s">
        <v>69</v>
      </c>
      <c r="I2708" t="s">
        <v>150</v>
      </c>
      <c r="J2708" s="10" t="str">
        <f>VLOOKUP(I2708,Categories!A:B,2,FALSE)</f>
        <v xml:space="preserve">Food &amp; Coff</v>
      </c>
      <c r="K2708" t="s">
        <v>893</v>
      </c>
      <c r="L2708" s="10" t="str">
        <f>VLOOKUP(K2708,Accounts!A:B,2,FALSE)</f>
        <v>Shopee</v>
      </c>
      <c r="M2708" t="s">
        <v>124</v>
      </c>
      <c r="N2708" s="10"/>
      <c r="O2708" t="s">
        <v>5018</v>
      </c>
      <c r="Q2708" t="s">
        <v>126</v>
      </c>
      <c r="R2708" t="s">
        <v>124</v>
      </c>
      <c r="S2708" t="b">
        <v>0</v>
      </c>
      <c r="T2708" t="s">
        <v>124</v>
      </c>
    </row>
    <row r="2709">
      <c r="A2709" t="s">
        <v>5019</v>
      </c>
      <c r="B2709" t="s">
        <v>5013</v>
      </c>
      <c r="C2709" s="2">
        <v>2022</v>
      </c>
      <c r="D2709" s="10">
        <v>8</v>
      </c>
      <c r="E2709" s="10">
        <v>27</v>
      </c>
      <c r="F2709" t="s">
        <v>4403</v>
      </c>
      <c r="G2709">
        <v>105</v>
      </c>
      <c r="H2709" t="s">
        <v>69</v>
      </c>
      <c r="I2709" t="s">
        <v>150</v>
      </c>
      <c r="J2709" s="10" t="str">
        <f>VLOOKUP(I2709,Categories!A:B,2,FALSE)</f>
        <v xml:space="preserve">Food &amp; Coff</v>
      </c>
      <c r="K2709" t="s">
        <v>2317</v>
      </c>
      <c r="L2709" s="10" t="str">
        <f>VLOOKUP(K2709,Accounts!A:B,2,FALSE)</f>
        <v xml:space="preserve">Marriage account</v>
      </c>
      <c r="M2709" t="s">
        <v>124</v>
      </c>
      <c r="N2709" s="10"/>
      <c r="O2709" t="s">
        <v>5020</v>
      </c>
      <c r="Q2709" t="s">
        <v>126</v>
      </c>
      <c r="R2709" t="s">
        <v>124</v>
      </c>
      <c r="S2709" t="b">
        <v>0</v>
      </c>
      <c r="T2709" t="s">
        <v>124</v>
      </c>
    </row>
    <row r="2710">
      <c r="A2710" t="s">
        <v>5021</v>
      </c>
      <c r="B2710" t="s">
        <v>5013</v>
      </c>
      <c r="C2710" s="2">
        <v>2022</v>
      </c>
      <c r="D2710" s="10">
        <v>8</v>
      </c>
      <c r="E2710" s="10">
        <v>27</v>
      </c>
      <c r="F2710" t="s">
        <v>2166</v>
      </c>
      <c r="G2710">
        <v>1395.8900000000001</v>
      </c>
      <c r="H2710" t="s">
        <v>69</v>
      </c>
      <c r="I2710" t="s">
        <v>1882</v>
      </c>
      <c r="J2710" s="10" t="str">
        <f>VLOOKUP(I2710,Categories!A:B,2,FALSE)</f>
        <v>utility</v>
      </c>
      <c r="K2710" t="s">
        <v>2317</v>
      </c>
      <c r="L2710" s="10" t="str">
        <f>VLOOKUP(K2710,Accounts!A:B,2,FALSE)</f>
        <v xml:space="preserve">Marriage account</v>
      </c>
      <c r="M2710" t="s">
        <v>124</v>
      </c>
      <c r="N2710" s="10"/>
      <c r="O2710" t="s">
        <v>125</v>
      </c>
      <c r="Q2710" t="s">
        <v>126</v>
      </c>
      <c r="R2710" t="s">
        <v>124</v>
      </c>
      <c r="S2710" t="b">
        <v>0</v>
      </c>
      <c r="T2710" t="s">
        <v>124</v>
      </c>
    </row>
    <row r="2711">
      <c r="A2711" t="s">
        <v>5022</v>
      </c>
      <c r="B2711" t="s">
        <v>5023</v>
      </c>
      <c r="C2711" s="2">
        <v>2022</v>
      </c>
      <c r="D2711" s="10">
        <v>8</v>
      </c>
      <c r="E2711" s="10">
        <v>26</v>
      </c>
      <c r="F2711" t="s">
        <v>121</v>
      </c>
      <c r="G2711">
        <v>2066.4000000000001</v>
      </c>
      <c r="H2711" t="s">
        <v>128</v>
      </c>
      <c r="I2711" t="s">
        <v>136</v>
      </c>
      <c r="J2711" s="10" t="str">
        <f>VLOOKUP(I2711,Categories!A:B,2,FALSE)</f>
        <v>อื่นๆ</v>
      </c>
      <c r="K2711" t="s">
        <v>178</v>
      </c>
      <c r="L2711" s="10" t="str">
        <f>VLOOKUP(K2711,Accounts!A:B,2,FALSE)</f>
        <v>SCB</v>
      </c>
      <c r="M2711" t="s">
        <v>203</v>
      </c>
      <c r="N2711" s="10" t="str">
        <f>VLOOKUP(M2711,Accounts!A:B,2,FALSE)</f>
        <v xml:space="preserve">Provident Fund</v>
      </c>
      <c r="O2711" t="s">
        <v>125</v>
      </c>
      <c r="Q2711" t="s">
        <v>126</v>
      </c>
      <c r="R2711" t="s">
        <v>124</v>
      </c>
      <c r="S2711" t="b">
        <v>0</v>
      </c>
      <c r="T2711" t="s">
        <v>124</v>
      </c>
    </row>
    <row r="2712">
      <c r="A2712" t="s">
        <v>5024</v>
      </c>
      <c r="B2712" t="s">
        <v>5023</v>
      </c>
      <c r="C2712" s="2">
        <v>2022</v>
      </c>
      <c r="D2712" s="10">
        <v>8</v>
      </c>
      <c r="E2712" s="10">
        <v>26</v>
      </c>
      <c r="F2712" t="s">
        <v>121</v>
      </c>
      <c r="G2712">
        <v>7290</v>
      </c>
      <c r="H2712" t="s">
        <v>128</v>
      </c>
      <c r="I2712" t="s">
        <v>136</v>
      </c>
      <c r="J2712" s="10" t="str">
        <f>VLOOKUP(I2712,Categories!A:B,2,FALSE)</f>
        <v>อื่นๆ</v>
      </c>
      <c r="K2712" t="s">
        <v>178</v>
      </c>
      <c r="L2712" s="10" t="str">
        <f>VLOOKUP(K2712,Accounts!A:B,2,FALSE)</f>
        <v>SCB</v>
      </c>
      <c r="M2712" t="s">
        <v>1244</v>
      </c>
      <c r="N2712" s="10" t="str">
        <f>VLOOKUP(M2712,Accounts!A:B,2,FALSE)</f>
        <v xml:space="preserve">Home chomthong Loan</v>
      </c>
      <c r="O2712" t="s">
        <v>125</v>
      </c>
      <c r="Q2712" t="s">
        <v>126</v>
      </c>
      <c r="R2712" t="s">
        <v>124</v>
      </c>
      <c r="S2712" t="b">
        <v>0</v>
      </c>
      <c r="T2712" t="s">
        <v>124</v>
      </c>
    </row>
    <row r="2713">
      <c r="A2713" t="s">
        <v>5025</v>
      </c>
      <c r="B2713" t="s">
        <v>5023</v>
      </c>
      <c r="C2713" s="2">
        <v>2022</v>
      </c>
      <c r="D2713" s="10">
        <v>8</v>
      </c>
      <c r="E2713" s="10">
        <v>26</v>
      </c>
      <c r="F2713" t="s">
        <v>121</v>
      </c>
      <c r="G2713">
        <v>725.69000000000005</v>
      </c>
      <c r="H2713" t="s">
        <v>69</v>
      </c>
      <c r="I2713" t="s">
        <v>199</v>
      </c>
      <c r="J2713" s="10" t="str">
        <f>VLOOKUP(I2713,Categories!A:B,2,FALSE)</f>
        <v xml:space="preserve">Home Chomthong Interest</v>
      </c>
      <c r="K2713" t="s">
        <v>178</v>
      </c>
      <c r="L2713" s="10" t="str">
        <f>VLOOKUP(K2713,Accounts!A:B,2,FALSE)</f>
        <v>SCB</v>
      </c>
      <c r="M2713" t="s">
        <v>124</v>
      </c>
      <c r="N2713" s="10"/>
      <c r="O2713" t="s">
        <v>125</v>
      </c>
      <c r="Q2713" t="s">
        <v>126</v>
      </c>
      <c r="R2713" t="s">
        <v>124</v>
      </c>
      <c r="S2713" t="b">
        <v>0</v>
      </c>
      <c r="T2713" t="s">
        <v>124</v>
      </c>
    </row>
    <row r="2714">
      <c r="A2714" t="s">
        <v>5026</v>
      </c>
      <c r="B2714" t="s">
        <v>5023</v>
      </c>
      <c r="C2714" s="2">
        <v>2022</v>
      </c>
      <c r="D2714" s="10">
        <v>8</v>
      </c>
      <c r="E2714" s="10">
        <v>26</v>
      </c>
      <c r="F2714" t="s">
        <v>121</v>
      </c>
      <c r="G2714">
        <v>133.87</v>
      </c>
      <c r="H2714" t="s">
        <v>69</v>
      </c>
      <c r="I2714" t="s">
        <v>443</v>
      </c>
      <c r="J2714" s="10" t="str">
        <f>VLOOKUP(I2714,Categories!A:B,2,FALSE)</f>
        <v xml:space="preserve">City SV Interest</v>
      </c>
      <c r="K2714" t="s">
        <v>178</v>
      </c>
      <c r="L2714" s="10" t="str">
        <f>VLOOKUP(K2714,Accounts!A:B,2,FALSE)</f>
        <v>SCB</v>
      </c>
      <c r="M2714" t="s">
        <v>124</v>
      </c>
      <c r="N2714" s="10"/>
      <c r="O2714" t="s">
        <v>125</v>
      </c>
      <c r="Q2714" t="s">
        <v>126</v>
      </c>
      <c r="R2714" t="s">
        <v>124</v>
      </c>
      <c r="S2714" t="b">
        <v>0</v>
      </c>
      <c r="T2714" t="s">
        <v>124</v>
      </c>
    </row>
    <row r="2715">
      <c r="A2715" t="s">
        <v>5027</v>
      </c>
      <c r="B2715" t="s">
        <v>5023</v>
      </c>
      <c r="C2715" s="2">
        <v>2022</v>
      </c>
      <c r="D2715" s="10">
        <v>8</v>
      </c>
      <c r="E2715" s="10">
        <v>26</v>
      </c>
      <c r="F2715" t="s">
        <v>121</v>
      </c>
      <c r="G2715">
        <v>500</v>
      </c>
      <c r="H2715" t="s">
        <v>128</v>
      </c>
      <c r="I2715" t="s">
        <v>136</v>
      </c>
      <c r="J2715" s="10" t="str">
        <f>VLOOKUP(I2715,Categories!A:B,2,FALSE)</f>
        <v>อื่นๆ</v>
      </c>
      <c r="K2715" t="s">
        <v>178</v>
      </c>
      <c r="L2715" s="10" t="str">
        <f>VLOOKUP(K2715,Accounts!A:B,2,FALSE)</f>
        <v>SCB</v>
      </c>
      <c r="M2715" t="s">
        <v>201</v>
      </c>
      <c r="N2715" s="10" t="str">
        <f>VLOOKUP(M2715,Accounts!A:B,2,FALSE)</f>
        <v>Coop</v>
      </c>
      <c r="O2715" t="s">
        <v>125</v>
      </c>
      <c r="Q2715" t="s">
        <v>126</v>
      </c>
      <c r="R2715" t="s">
        <v>124</v>
      </c>
      <c r="S2715" t="b">
        <v>0</v>
      </c>
      <c r="T2715" t="s">
        <v>124</v>
      </c>
    </row>
    <row r="2716">
      <c r="A2716" t="s">
        <v>5028</v>
      </c>
      <c r="B2716" t="s">
        <v>5023</v>
      </c>
      <c r="C2716" s="2">
        <v>2022</v>
      </c>
      <c r="D2716" s="10">
        <v>8</v>
      </c>
      <c r="E2716" s="10">
        <v>26</v>
      </c>
      <c r="F2716" t="s">
        <v>121</v>
      </c>
      <c r="G2716">
        <v>103320</v>
      </c>
      <c r="H2716" t="s">
        <v>206</v>
      </c>
      <c r="I2716" t="s">
        <v>207</v>
      </c>
      <c r="J2716" s="10" t="str">
        <f>VLOOKUP(I2716,Categories!A:B,2,FALSE)</f>
        <v>Salary</v>
      </c>
      <c r="K2716" t="s">
        <v>178</v>
      </c>
      <c r="L2716" s="10" t="str">
        <f>VLOOKUP(K2716,Accounts!A:B,2,FALSE)</f>
        <v>SCB</v>
      </c>
      <c r="M2716" t="s">
        <v>124</v>
      </c>
      <c r="N2716" s="10"/>
      <c r="O2716" t="s">
        <v>125</v>
      </c>
      <c r="Q2716" t="s">
        <v>126</v>
      </c>
      <c r="R2716" t="s">
        <v>124</v>
      </c>
      <c r="S2716" t="b">
        <v>0</v>
      </c>
      <c r="T2716" t="s">
        <v>124</v>
      </c>
    </row>
    <row r="2717">
      <c r="A2717" t="s">
        <v>5029</v>
      </c>
      <c r="B2717" t="s">
        <v>5023</v>
      </c>
      <c r="C2717" s="2">
        <v>2022</v>
      </c>
      <c r="D2717" s="10">
        <v>8</v>
      </c>
      <c r="E2717" s="10">
        <v>26</v>
      </c>
      <c r="F2717" t="s">
        <v>121</v>
      </c>
      <c r="G2717">
        <v>9240</v>
      </c>
      <c r="H2717" t="s">
        <v>128</v>
      </c>
      <c r="I2717" t="s">
        <v>136</v>
      </c>
      <c r="J2717" s="10" t="str">
        <f>VLOOKUP(I2717,Categories!A:B,2,FALSE)</f>
        <v>อื่นๆ</v>
      </c>
      <c r="K2717" t="s">
        <v>178</v>
      </c>
      <c r="L2717" s="10" t="str">
        <f>VLOOKUP(K2717,Accounts!A:B,2,FALSE)</f>
        <v>SCB</v>
      </c>
      <c r="M2717" t="s">
        <v>1246</v>
      </c>
      <c r="N2717" s="10" t="str">
        <f>VLOOKUP(M2717,Accounts!A:B,2,FALSE)</f>
        <v xml:space="preserve">Car Loan</v>
      </c>
      <c r="O2717" t="s">
        <v>125</v>
      </c>
      <c r="Q2717" t="s">
        <v>126</v>
      </c>
      <c r="R2717" t="s">
        <v>124</v>
      </c>
      <c r="S2717" t="b">
        <v>0</v>
      </c>
      <c r="T2717" t="s">
        <v>124</v>
      </c>
    </row>
    <row r="2718">
      <c r="A2718" t="s">
        <v>5030</v>
      </c>
      <c r="B2718" t="s">
        <v>5023</v>
      </c>
      <c r="C2718" s="2">
        <v>2022</v>
      </c>
      <c r="D2718" s="10">
        <v>8</v>
      </c>
      <c r="E2718" s="10">
        <v>26</v>
      </c>
      <c r="F2718" t="s">
        <v>5031</v>
      </c>
      <c r="G2718">
        <v>505.93000000000001</v>
      </c>
      <c r="H2718" t="s">
        <v>69</v>
      </c>
      <c r="I2718" t="s">
        <v>195</v>
      </c>
      <c r="J2718" s="10" t="str">
        <f>VLOOKUP(I2718,Categories!A:B,2,FALSE)</f>
        <v>Tax</v>
      </c>
      <c r="K2718" t="s">
        <v>178</v>
      </c>
      <c r="L2718" s="10" t="str">
        <f>VLOOKUP(K2718,Accounts!A:B,2,FALSE)</f>
        <v>SCB</v>
      </c>
      <c r="M2718" t="s">
        <v>124</v>
      </c>
      <c r="N2718" s="10"/>
      <c r="O2718" t="s">
        <v>125</v>
      </c>
      <c r="Q2718" t="s">
        <v>126</v>
      </c>
      <c r="R2718" t="s">
        <v>124</v>
      </c>
      <c r="S2718" t="b">
        <v>0</v>
      </c>
      <c r="T2718" t="s">
        <v>124</v>
      </c>
    </row>
    <row r="2719">
      <c r="A2719" t="s">
        <v>5032</v>
      </c>
      <c r="B2719" t="s">
        <v>5023</v>
      </c>
      <c r="C2719" s="2">
        <v>2022</v>
      </c>
      <c r="D2719" s="10">
        <v>8</v>
      </c>
      <c r="E2719" s="10">
        <v>26</v>
      </c>
      <c r="F2719" t="s">
        <v>4083</v>
      </c>
      <c r="G2719">
        <v>7000</v>
      </c>
      <c r="H2719" t="s">
        <v>128</v>
      </c>
      <c r="I2719" t="s">
        <v>136</v>
      </c>
      <c r="J2719" s="10" t="str">
        <f>VLOOKUP(I2719,Categories!A:B,2,FALSE)</f>
        <v>อื่นๆ</v>
      </c>
      <c r="K2719" t="s">
        <v>178</v>
      </c>
      <c r="L2719" s="10" t="str">
        <f>VLOOKUP(K2719,Accounts!A:B,2,FALSE)</f>
        <v>SCB</v>
      </c>
      <c r="M2719" t="s">
        <v>3248</v>
      </c>
      <c r="N2719" s="10" t="str">
        <f>VLOOKUP(M2719,Accounts!A:B,2,FALSE)</f>
        <v>Loan</v>
      </c>
      <c r="O2719" t="s">
        <v>3249</v>
      </c>
      <c r="Q2719" t="s">
        <v>126</v>
      </c>
      <c r="R2719" t="s">
        <v>124</v>
      </c>
      <c r="S2719" t="b">
        <v>0</v>
      </c>
      <c r="T2719" t="s">
        <v>124</v>
      </c>
    </row>
    <row r="2720">
      <c r="A2720" t="s">
        <v>5033</v>
      </c>
      <c r="B2720" t="s">
        <v>5034</v>
      </c>
      <c r="C2720" s="2">
        <v>2022</v>
      </c>
      <c r="D2720" s="10">
        <v>8</v>
      </c>
      <c r="E2720" s="10">
        <v>25</v>
      </c>
      <c r="F2720" t="s">
        <v>2687</v>
      </c>
      <c r="G2720">
        <v>157</v>
      </c>
      <c r="H2720" t="s">
        <v>69</v>
      </c>
      <c r="I2720" t="s">
        <v>150</v>
      </c>
      <c r="J2720" s="10" t="str">
        <f>VLOOKUP(I2720,Categories!A:B,2,FALSE)</f>
        <v xml:space="preserve">Food &amp; Coff</v>
      </c>
      <c r="K2720" t="s">
        <v>178</v>
      </c>
      <c r="L2720" s="10" t="str">
        <f>VLOOKUP(K2720,Accounts!A:B,2,FALSE)</f>
        <v>SCB</v>
      </c>
      <c r="M2720" t="s">
        <v>124</v>
      </c>
      <c r="N2720" s="10"/>
      <c r="O2720" t="s">
        <v>125</v>
      </c>
      <c r="Q2720" t="s">
        <v>126</v>
      </c>
      <c r="R2720" t="s">
        <v>124</v>
      </c>
      <c r="S2720" t="b">
        <v>0</v>
      </c>
      <c r="T2720" t="s">
        <v>124</v>
      </c>
    </row>
    <row r="2721">
      <c r="A2721" t="s">
        <v>5035</v>
      </c>
      <c r="B2721" t="s">
        <v>5034</v>
      </c>
      <c r="C2721" s="2">
        <v>2022</v>
      </c>
      <c r="D2721" s="10">
        <v>8</v>
      </c>
      <c r="E2721" s="10">
        <v>25</v>
      </c>
      <c r="F2721" t="s">
        <v>2687</v>
      </c>
      <c r="G2721">
        <v>3000</v>
      </c>
      <c r="H2721" t="s">
        <v>128</v>
      </c>
      <c r="I2721" t="s">
        <v>136</v>
      </c>
      <c r="J2721" s="10" t="str">
        <f>VLOOKUP(I2721,Categories!A:B,2,FALSE)</f>
        <v>อื่นๆ</v>
      </c>
      <c r="K2721" t="s">
        <v>178</v>
      </c>
      <c r="L2721" s="10" t="str">
        <f>VLOOKUP(K2721,Accounts!A:B,2,FALSE)</f>
        <v>SCB</v>
      </c>
      <c r="M2721" t="s">
        <v>2513</v>
      </c>
      <c r="N2721" s="10" t="str">
        <f>VLOOKUP(M2721,Accounts!A:B,2,FALSE)</f>
        <v xml:space="preserve">Pao tung</v>
      </c>
      <c r="O2721" t="s">
        <v>125</v>
      </c>
      <c r="Q2721" t="s">
        <v>126</v>
      </c>
      <c r="R2721" t="s">
        <v>124</v>
      </c>
      <c r="S2721" t="b">
        <v>0</v>
      </c>
      <c r="T2721" t="s">
        <v>124</v>
      </c>
    </row>
    <row r="2722">
      <c r="A2722" t="s">
        <v>5036</v>
      </c>
      <c r="B2722" t="s">
        <v>5034</v>
      </c>
      <c r="C2722" s="2">
        <v>2022</v>
      </c>
      <c r="D2722" s="10">
        <v>8</v>
      </c>
      <c r="E2722" s="10">
        <v>25</v>
      </c>
      <c r="F2722" t="s">
        <v>1097</v>
      </c>
      <c r="G2722">
        <v>805</v>
      </c>
      <c r="H2722" t="s">
        <v>69</v>
      </c>
      <c r="I2722" t="s">
        <v>152</v>
      </c>
      <c r="J2722" s="10" t="str">
        <f>VLOOKUP(I2722,Categories!A:B,2,FALSE)</f>
        <v xml:space="preserve">Office Suit</v>
      </c>
      <c r="K2722" t="s">
        <v>123</v>
      </c>
      <c r="L2722" s="10" t="str">
        <f>VLOOKUP(K2722,Accounts!A:B,2,FALSE)</f>
        <v>KBank</v>
      </c>
      <c r="M2722" t="s">
        <v>124</v>
      </c>
      <c r="N2722" s="10"/>
      <c r="O2722" t="s">
        <v>125</v>
      </c>
      <c r="Q2722" t="s">
        <v>126</v>
      </c>
      <c r="R2722" t="s">
        <v>124</v>
      </c>
      <c r="S2722" t="b">
        <v>0</v>
      </c>
      <c r="T2722" t="s">
        <v>124</v>
      </c>
    </row>
    <row r="2723">
      <c r="A2723" t="s">
        <v>5037</v>
      </c>
      <c r="B2723" t="s">
        <v>5034</v>
      </c>
      <c r="C2723" s="2">
        <v>2022</v>
      </c>
      <c r="D2723" s="10">
        <v>8</v>
      </c>
      <c r="E2723" s="10">
        <v>25</v>
      </c>
      <c r="F2723" t="s">
        <v>885</v>
      </c>
      <c r="G2723">
        <v>500</v>
      </c>
      <c r="H2723" t="s">
        <v>128</v>
      </c>
      <c r="I2723" t="s">
        <v>136</v>
      </c>
      <c r="J2723" s="10" t="str">
        <f>VLOOKUP(I2723,Categories!A:B,2,FALSE)</f>
        <v>อื่นๆ</v>
      </c>
      <c r="K2723" t="s">
        <v>178</v>
      </c>
      <c r="L2723" s="10" t="str">
        <f>VLOOKUP(K2723,Accounts!A:B,2,FALSE)</f>
        <v>SCB</v>
      </c>
      <c r="M2723" t="s">
        <v>2520</v>
      </c>
      <c r="N2723" s="10" t="str">
        <f>VLOOKUP(M2723,Accounts!A:B,2,FALSE)</f>
        <v>Truewallet</v>
      </c>
      <c r="O2723" t="s">
        <v>125</v>
      </c>
      <c r="Q2723" t="s">
        <v>126</v>
      </c>
      <c r="R2723" t="s">
        <v>124</v>
      </c>
      <c r="S2723" t="b">
        <v>0</v>
      </c>
      <c r="T2723" t="s">
        <v>124</v>
      </c>
    </row>
    <row r="2724">
      <c r="A2724" t="s">
        <v>5038</v>
      </c>
      <c r="B2724" t="s">
        <v>5034</v>
      </c>
      <c r="C2724" s="2">
        <v>2022</v>
      </c>
      <c r="D2724" s="10">
        <v>8</v>
      </c>
      <c r="E2724" s="10">
        <v>25</v>
      </c>
      <c r="F2724" t="s">
        <v>1875</v>
      </c>
      <c r="G2724">
        <v>2806.6500000000001</v>
      </c>
      <c r="H2724" t="s">
        <v>128</v>
      </c>
      <c r="I2724" t="s">
        <v>136</v>
      </c>
      <c r="J2724" s="10" t="str">
        <f>VLOOKUP(I2724,Categories!A:B,2,FALSE)</f>
        <v>อื่นๆ</v>
      </c>
      <c r="K2724" t="s">
        <v>2513</v>
      </c>
      <c r="L2724" s="10" t="str">
        <f>VLOOKUP(K2724,Accounts!A:B,2,FALSE)</f>
        <v xml:space="preserve">Pao tung</v>
      </c>
      <c r="M2724" t="s">
        <v>131</v>
      </c>
      <c r="N2724" s="10" t="str">
        <f>VLOOKUP(M2724,Accounts!A:B,2,FALSE)</f>
        <v xml:space="preserve">Advance Paid</v>
      </c>
      <c r="O2724" t="s">
        <v>125</v>
      </c>
      <c r="Q2724" t="s">
        <v>126</v>
      </c>
      <c r="R2724" t="s">
        <v>124</v>
      </c>
      <c r="S2724" t="b">
        <v>0</v>
      </c>
      <c r="T2724" t="s">
        <v>124</v>
      </c>
    </row>
    <row r="2725">
      <c r="A2725" t="s">
        <v>5039</v>
      </c>
      <c r="B2725" t="s">
        <v>5034</v>
      </c>
      <c r="C2725" s="2">
        <v>2022</v>
      </c>
      <c r="D2725" s="10">
        <v>8</v>
      </c>
      <c r="E2725" s="10">
        <v>25</v>
      </c>
      <c r="F2725" t="s">
        <v>843</v>
      </c>
      <c r="G2725">
        <v>68</v>
      </c>
      <c r="H2725" t="s">
        <v>69</v>
      </c>
      <c r="I2725" t="s">
        <v>150</v>
      </c>
      <c r="J2725" s="10" t="str">
        <f>VLOOKUP(I2725,Categories!A:B,2,FALSE)</f>
        <v xml:space="preserve">Food &amp; Coff</v>
      </c>
      <c r="K2725" t="s">
        <v>747</v>
      </c>
      <c r="L2725" s="10" t="str">
        <f>VLOOKUP(K2725,Accounts!A:B,2,FALSE)</f>
        <v xml:space="preserve">UOB world</v>
      </c>
      <c r="M2725" t="s">
        <v>124</v>
      </c>
      <c r="N2725" s="10"/>
      <c r="O2725" t="s">
        <v>125</v>
      </c>
      <c r="Q2725" t="s">
        <v>126</v>
      </c>
      <c r="R2725" t="s">
        <v>124</v>
      </c>
      <c r="S2725" t="b">
        <v>0</v>
      </c>
      <c r="T2725" t="s">
        <v>124</v>
      </c>
    </row>
    <row r="2726">
      <c r="A2726" t="s">
        <v>5040</v>
      </c>
      <c r="B2726" t="s">
        <v>5041</v>
      </c>
      <c r="C2726" s="2">
        <v>2022</v>
      </c>
      <c r="D2726" s="10">
        <v>8</v>
      </c>
      <c r="E2726" s="10">
        <v>24</v>
      </c>
      <c r="F2726" t="s">
        <v>2670</v>
      </c>
      <c r="G2726">
        <v>50</v>
      </c>
      <c r="H2726" t="s">
        <v>69</v>
      </c>
      <c r="I2726" t="s">
        <v>150</v>
      </c>
      <c r="J2726" s="10" t="str">
        <f>VLOOKUP(I2726,Categories!A:B,2,FALSE)</f>
        <v xml:space="preserve">Food &amp; Coff</v>
      </c>
      <c r="K2726" t="s">
        <v>178</v>
      </c>
      <c r="L2726" s="10" t="str">
        <f>VLOOKUP(K2726,Accounts!A:B,2,FALSE)</f>
        <v>SCB</v>
      </c>
      <c r="M2726" t="s">
        <v>124</v>
      </c>
      <c r="N2726" s="10"/>
      <c r="O2726" t="s">
        <v>3852</v>
      </c>
      <c r="Q2726" t="s">
        <v>126</v>
      </c>
      <c r="R2726" t="s">
        <v>124</v>
      </c>
      <c r="S2726" t="b">
        <v>0</v>
      </c>
      <c r="T2726" t="s">
        <v>124</v>
      </c>
    </row>
    <row r="2727">
      <c r="A2727" t="s">
        <v>5042</v>
      </c>
      <c r="B2727" t="s">
        <v>5041</v>
      </c>
      <c r="C2727" s="2">
        <v>2022</v>
      </c>
      <c r="D2727" s="10">
        <v>8</v>
      </c>
      <c r="E2727" s="10">
        <v>24</v>
      </c>
      <c r="F2727" t="s">
        <v>1898</v>
      </c>
      <c r="G2727">
        <v>849</v>
      </c>
      <c r="H2727" t="s">
        <v>69</v>
      </c>
      <c r="I2727" t="s">
        <v>152</v>
      </c>
      <c r="J2727" s="10" t="str">
        <f>VLOOKUP(I2727,Categories!A:B,2,FALSE)</f>
        <v xml:space="preserve">Office Suit</v>
      </c>
      <c r="K2727" t="s">
        <v>178</v>
      </c>
      <c r="L2727" s="10" t="str">
        <f>VLOOKUP(K2727,Accounts!A:B,2,FALSE)</f>
        <v>SCB</v>
      </c>
      <c r="M2727" t="s">
        <v>124</v>
      </c>
      <c r="N2727" s="10"/>
      <c r="O2727" t="s">
        <v>4731</v>
      </c>
      <c r="Q2727" t="s">
        <v>126</v>
      </c>
      <c r="R2727" t="s">
        <v>124</v>
      </c>
      <c r="S2727" t="b">
        <v>0</v>
      </c>
      <c r="T2727" t="s">
        <v>124</v>
      </c>
    </row>
    <row r="2728">
      <c r="A2728" t="s">
        <v>5043</v>
      </c>
      <c r="B2728" t="s">
        <v>5044</v>
      </c>
      <c r="C2728" s="2">
        <v>2022</v>
      </c>
      <c r="D2728" s="10">
        <v>8</v>
      </c>
      <c r="E2728" s="10">
        <v>23</v>
      </c>
      <c r="F2728" t="s">
        <v>1506</v>
      </c>
      <c r="G2728">
        <v>120</v>
      </c>
      <c r="H2728" t="s">
        <v>69</v>
      </c>
      <c r="I2728" t="s">
        <v>150</v>
      </c>
      <c r="J2728" s="10" t="str">
        <f>VLOOKUP(I2728,Categories!A:B,2,FALSE)</f>
        <v xml:space="preserve">Food &amp; Coff</v>
      </c>
      <c r="K2728" t="s">
        <v>2317</v>
      </c>
      <c r="L2728" s="10" t="str">
        <f>VLOOKUP(K2728,Accounts!A:B,2,FALSE)</f>
        <v xml:space="preserve">Marriage account</v>
      </c>
      <c r="M2728" t="s">
        <v>124</v>
      </c>
      <c r="N2728" s="10"/>
      <c r="O2728" t="s">
        <v>5045</v>
      </c>
      <c r="Q2728" t="s">
        <v>126</v>
      </c>
      <c r="R2728" t="s">
        <v>124</v>
      </c>
      <c r="S2728" t="b">
        <v>0</v>
      </c>
      <c r="T2728" t="s">
        <v>124</v>
      </c>
    </row>
    <row r="2729">
      <c r="A2729" t="s">
        <v>5046</v>
      </c>
      <c r="B2729" t="s">
        <v>5044</v>
      </c>
      <c r="C2729" s="2">
        <v>2022</v>
      </c>
      <c r="D2729" s="10">
        <v>8</v>
      </c>
      <c r="E2729" s="10">
        <v>23</v>
      </c>
      <c r="F2729" t="s">
        <v>1513</v>
      </c>
      <c r="G2729">
        <v>40</v>
      </c>
      <c r="H2729" t="s">
        <v>69</v>
      </c>
      <c r="I2729" t="s">
        <v>150</v>
      </c>
      <c r="J2729" s="10" t="str">
        <f>VLOOKUP(I2729,Categories!A:B,2,FALSE)</f>
        <v xml:space="preserve">Food &amp; Coff</v>
      </c>
      <c r="K2729" t="s">
        <v>178</v>
      </c>
      <c r="L2729" s="10" t="str">
        <f>VLOOKUP(K2729,Accounts!A:B,2,FALSE)</f>
        <v>SCB</v>
      </c>
      <c r="M2729" t="s">
        <v>124</v>
      </c>
      <c r="N2729" s="10"/>
      <c r="O2729" t="s">
        <v>125</v>
      </c>
      <c r="Q2729" t="s">
        <v>126</v>
      </c>
      <c r="R2729" t="s">
        <v>124</v>
      </c>
      <c r="S2729" t="b">
        <v>0</v>
      </c>
      <c r="T2729" t="s">
        <v>124</v>
      </c>
    </row>
    <row r="2730">
      <c r="A2730" t="s">
        <v>5047</v>
      </c>
      <c r="B2730" t="s">
        <v>5044</v>
      </c>
      <c r="C2730" s="2">
        <v>2022</v>
      </c>
      <c r="D2730" s="10">
        <v>8</v>
      </c>
      <c r="E2730" s="10">
        <v>23</v>
      </c>
      <c r="F2730" t="s">
        <v>247</v>
      </c>
      <c r="G2730">
        <v>50</v>
      </c>
      <c r="H2730" t="s">
        <v>69</v>
      </c>
      <c r="I2730" t="s">
        <v>150</v>
      </c>
      <c r="J2730" s="10" t="str">
        <f>VLOOKUP(I2730,Categories!A:B,2,FALSE)</f>
        <v xml:space="preserve">Food &amp; Coff</v>
      </c>
      <c r="K2730" t="s">
        <v>178</v>
      </c>
      <c r="L2730" s="10" t="str">
        <f>VLOOKUP(K2730,Accounts!A:B,2,FALSE)</f>
        <v>SCB</v>
      </c>
      <c r="M2730" t="s">
        <v>124</v>
      </c>
      <c r="N2730" s="10"/>
      <c r="O2730" t="s">
        <v>3852</v>
      </c>
      <c r="Q2730" t="s">
        <v>126</v>
      </c>
      <c r="R2730" t="s">
        <v>124</v>
      </c>
      <c r="S2730" t="b">
        <v>0</v>
      </c>
      <c r="T2730" t="s">
        <v>124</v>
      </c>
    </row>
    <row r="2731">
      <c r="A2731" t="s">
        <v>5048</v>
      </c>
      <c r="B2731" t="s">
        <v>5049</v>
      </c>
      <c r="C2731" s="2">
        <v>2022</v>
      </c>
      <c r="D2731" s="10">
        <v>8</v>
      </c>
      <c r="E2731" s="10">
        <v>22</v>
      </c>
      <c r="F2731" t="s">
        <v>2584</v>
      </c>
      <c r="G2731">
        <v>165</v>
      </c>
      <c r="H2731" t="s">
        <v>69</v>
      </c>
      <c r="I2731" t="s">
        <v>150</v>
      </c>
      <c r="J2731" s="10" t="str">
        <f>VLOOKUP(I2731,Categories!A:B,2,FALSE)</f>
        <v xml:space="preserve">Food &amp; Coff</v>
      </c>
      <c r="K2731" t="s">
        <v>2317</v>
      </c>
      <c r="L2731" s="10" t="str">
        <f>VLOOKUP(K2731,Accounts!A:B,2,FALSE)</f>
        <v xml:space="preserve">Marriage account</v>
      </c>
      <c r="M2731" t="s">
        <v>124</v>
      </c>
      <c r="N2731" s="10"/>
      <c r="O2731" t="s">
        <v>5050</v>
      </c>
      <c r="Q2731" t="s">
        <v>126</v>
      </c>
      <c r="R2731" t="s">
        <v>124</v>
      </c>
      <c r="S2731" t="b">
        <v>0</v>
      </c>
      <c r="T2731" t="s">
        <v>124</v>
      </c>
    </row>
    <row r="2732">
      <c r="A2732" t="s">
        <v>5051</v>
      </c>
      <c r="B2732" t="s">
        <v>5049</v>
      </c>
      <c r="C2732" s="2">
        <v>2022</v>
      </c>
      <c r="D2732" s="10">
        <v>8</v>
      </c>
      <c r="E2732" s="10">
        <v>22</v>
      </c>
      <c r="F2732" t="s">
        <v>2916</v>
      </c>
      <c r="G2732">
        <v>90</v>
      </c>
      <c r="H2732" t="s">
        <v>69</v>
      </c>
      <c r="I2732" t="s">
        <v>150</v>
      </c>
      <c r="J2732" s="10" t="str">
        <f>VLOOKUP(I2732,Categories!A:B,2,FALSE)</f>
        <v xml:space="preserve">Food &amp; Coff</v>
      </c>
      <c r="K2732" t="s">
        <v>2317</v>
      </c>
      <c r="L2732" s="10" t="str">
        <f>VLOOKUP(K2732,Accounts!A:B,2,FALSE)</f>
        <v xml:space="preserve">Marriage account</v>
      </c>
      <c r="M2732" t="s">
        <v>124</v>
      </c>
      <c r="N2732" s="10"/>
      <c r="O2732" t="s">
        <v>3852</v>
      </c>
      <c r="Q2732" t="s">
        <v>126</v>
      </c>
      <c r="R2732" t="s">
        <v>124</v>
      </c>
      <c r="S2732" t="b">
        <v>0</v>
      </c>
      <c r="T2732" t="s">
        <v>124</v>
      </c>
    </row>
    <row r="2733">
      <c r="A2733" t="s">
        <v>5052</v>
      </c>
      <c r="B2733" t="s">
        <v>5049</v>
      </c>
      <c r="C2733" s="2">
        <v>2022</v>
      </c>
      <c r="D2733" s="10">
        <v>8</v>
      </c>
      <c r="E2733" s="10">
        <v>22</v>
      </c>
      <c r="F2733" t="s">
        <v>2134</v>
      </c>
      <c r="G2733">
        <v>112</v>
      </c>
      <c r="H2733" t="s">
        <v>69</v>
      </c>
      <c r="I2733" t="s">
        <v>150</v>
      </c>
      <c r="J2733" s="10" t="str">
        <f>VLOOKUP(I2733,Categories!A:B,2,FALSE)</f>
        <v xml:space="preserve">Food &amp; Coff</v>
      </c>
      <c r="K2733" t="s">
        <v>2317</v>
      </c>
      <c r="L2733" s="10" t="str">
        <f>VLOOKUP(K2733,Accounts!A:B,2,FALSE)</f>
        <v xml:space="preserve">Marriage account</v>
      </c>
      <c r="M2733" t="s">
        <v>124</v>
      </c>
      <c r="N2733" s="10"/>
      <c r="O2733" t="s">
        <v>125</v>
      </c>
      <c r="Q2733" t="s">
        <v>126</v>
      </c>
      <c r="R2733" t="s">
        <v>124</v>
      </c>
      <c r="S2733" t="b">
        <v>0</v>
      </c>
      <c r="T2733" t="s">
        <v>124</v>
      </c>
    </row>
    <row r="2734">
      <c r="A2734" t="s">
        <v>5053</v>
      </c>
      <c r="B2734" t="s">
        <v>5054</v>
      </c>
      <c r="C2734" s="2">
        <v>2022</v>
      </c>
      <c r="D2734" s="10">
        <v>8</v>
      </c>
      <c r="E2734" s="10">
        <v>21</v>
      </c>
      <c r="F2734" t="s">
        <v>3342</v>
      </c>
      <c r="G2734">
        <v>481</v>
      </c>
      <c r="H2734" t="s">
        <v>69</v>
      </c>
      <c r="I2734" t="s">
        <v>144</v>
      </c>
      <c r="J2734" s="10" t="str">
        <f>VLOOKUP(I2734,Categories!A:B,2,FALSE)</f>
        <v xml:space="preserve">Family paid</v>
      </c>
      <c r="K2734" t="s">
        <v>1308</v>
      </c>
      <c r="L2734" s="10" t="str">
        <f>VLOOKUP(K2734,Accounts!A:B,2,FALSE)</f>
        <v xml:space="preserve">UOB Privilages</v>
      </c>
      <c r="M2734" t="s">
        <v>124</v>
      </c>
      <c r="N2734" s="10"/>
      <c r="O2734" t="s">
        <v>5055</v>
      </c>
      <c r="Q2734" t="s">
        <v>126</v>
      </c>
      <c r="R2734" t="s">
        <v>124</v>
      </c>
      <c r="S2734" t="b">
        <v>0</v>
      </c>
      <c r="T2734" t="s">
        <v>124</v>
      </c>
    </row>
    <row r="2735">
      <c r="A2735" t="s">
        <v>5056</v>
      </c>
      <c r="B2735" t="s">
        <v>5054</v>
      </c>
      <c r="C2735" s="2">
        <v>2022</v>
      </c>
      <c r="D2735" s="10">
        <v>8</v>
      </c>
      <c r="E2735" s="10">
        <v>21</v>
      </c>
      <c r="F2735" t="s">
        <v>1094</v>
      </c>
      <c r="G2735">
        <v>300</v>
      </c>
      <c r="H2735" t="s">
        <v>128</v>
      </c>
      <c r="I2735" t="s">
        <v>136</v>
      </c>
      <c r="J2735" s="10" t="str">
        <f>VLOOKUP(I2735,Categories!A:B,2,FALSE)</f>
        <v>อื่นๆ</v>
      </c>
      <c r="K2735" t="s">
        <v>178</v>
      </c>
      <c r="L2735" s="10" t="str">
        <f>VLOOKUP(K2735,Accounts!A:B,2,FALSE)</f>
        <v>SCB</v>
      </c>
      <c r="M2735" t="s">
        <v>893</v>
      </c>
      <c r="N2735" s="10" t="str">
        <f>VLOOKUP(M2735,Accounts!A:B,2,FALSE)</f>
        <v>Shopee</v>
      </c>
      <c r="O2735" t="s">
        <v>125</v>
      </c>
      <c r="Q2735" t="s">
        <v>126</v>
      </c>
      <c r="R2735" t="s">
        <v>124</v>
      </c>
      <c r="S2735" t="b">
        <v>0</v>
      </c>
      <c r="T2735" t="s">
        <v>124</v>
      </c>
    </row>
    <row r="2736">
      <c r="A2736" t="s">
        <v>5057</v>
      </c>
      <c r="B2736" t="s">
        <v>5054</v>
      </c>
      <c r="C2736" s="2">
        <v>2022</v>
      </c>
      <c r="D2736" s="10">
        <v>8</v>
      </c>
      <c r="E2736" s="10">
        <v>21</v>
      </c>
      <c r="F2736" t="s">
        <v>3377</v>
      </c>
      <c r="G2736">
        <v>1071.95</v>
      </c>
      <c r="H2736" t="s">
        <v>69</v>
      </c>
      <c r="I2736" t="s">
        <v>3276</v>
      </c>
      <c r="J2736" s="10" t="str">
        <f>VLOOKUP(I2736,Categories!A:B,2,FALSE)</f>
        <v>Fuel</v>
      </c>
      <c r="K2736" t="s">
        <v>2317</v>
      </c>
      <c r="L2736" s="10" t="str">
        <f>VLOOKUP(K2736,Accounts!A:B,2,FALSE)</f>
        <v xml:space="preserve">Marriage account</v>
      </c>
      <c r="M2736" t="s">
        <v>124</v>
      </c>
      <c r="N2736" s="10"/>
      <c r="O2736" t="s">
        <v>125</v>
      </c>
      <c r="Q2736" t="s">
        <v>126</v>
      </c>
      <c r="R2736" t="s">
        <v>124</v>
      </c>
      <c r="S2736" t="b">
        <v>0</v>
      </c>
      <c r="T2736" t="s">
        <v>124</v>
      </c>
    </row>
    <row r="2737">
      <c r="A2737" t="s">
        <v>5058</v>
      </c>
      <c r="B2737" t="s">
        <v>5054</v>
      </c>
      <c r="C2737" s="2">
        <v>2022</v>
      </c>
      <c r="D2737" s="10">
        <v>8</v>
      </c>
      <c r="E2737" s="10">
        <v>21</v>
      </c>
      <c r="F2737" t="s">
        <v>5059</v>
      </c>
      <c r="G2737">
        <v>74.75</v>
      </c>
      <c r="H2737" t="s">
        <v>69</v>
      </c>
      <c r="I2737" t="s">
        <v>141</v>
      </c>
      <c r="J2737" s="10" t="str">
        <f>VLOOKUP(I2737,Categories!A:B,2,FALSE)</f>
        <v>Other</v>
      </c>
      <c r="K2737" t="s">
        <v>123</v>
      </c>
      <c r="L2737" s="10" t="str">
        <f>VLOOKUP(K2737,Accounts!A:B,2,FALSE)</f>
        <v>KBank</v>
      </c>
      <c r="M2737" t="s">
        <v>124</v>
      </c>
      <c r="N2737" s="10"/>
      <c r="O2737" t="s">
        <v>5060</v>
      </c>
      <c r="Q2737" t="s">
        <v>126</v>
      </c>
      <c r="R2737" t="s">
        <v>124</v>
      </c>
      <c r="S2737" t="b">
        <v>0</v>
      </c>
      <c r="T2737" t="s">
        <v>124</v>
      </c>
    </row>
    <row r="2738">
      <c r="A2738" t="s">
        <v>5061</v>
      </c>
      <c r="B2738" t="s">
        <v>5054</v>
      </c>
      <c r="C2738" s="2">
        <v>2022</v>
      </c>
      <c r="D2738" s="10">
        <v>8</v>
      </c>
      <c r="E2738" s="10">
        <v>21</v>
      </c>
      <c r="F2738" t="s">
        <v>1097</v>
      </c>
      <c r="G2738">
        <v>159</v>
      </c>
      <c r="H2738" t="s">
        <v>69</v>
      </c>
      <c r="I2738" t="s">
        <v>150</v>
      </c>
      <c r="J2738" s="10" t="str">
        <f>VLOOKUP(I2738,Categories!A:B,2,FALSE)</f>
        <v xml:space="preserve">Food &amp; Coff</v>
      </c>
      <c r="K2738" t="s">
        <v>2317</v>
      </c>
      <c r="L2738" s="10" t="str">
        <f>VLOOKUP(K2738,Accounts!A:B,2,FALSE)</f>
        <v xml:space="preserve">Marriage account</v>
      </c>
      <c r="M2738" t="s">
        <v>124</v>
      </c>
      <c r="N2738" s="10"/>
      <c r="O2738" t="s">
        <v>5062</v>
      </c>
      <c r="Q2738" t="s">
        <v>126</v>
      </c>
      <c r="R2738" t="s">
        <v>124</v>
      </c>
      <c r="S2738" t="b">
        <v>0</v>
      </c>
      <c r="T2738" t="s">
        <v>124</v>
      </c>
    </row>
    <row r="2739">
      <c r="A2739" t="s">
        <v>5063</v>
      </c>
      <c r="B2739" t="s">
        <v>5054</v>
      </c>
      <c r="C2739" s="2">
        <v>2022</v>
      </c>
      <c r="D2739" s="10">
        <v>8</v>
      </c>
      <c r="E2739" s="10">
        <v>21</v>
      </c>
      <c r="F2739" t="s">
        <v>2701</v>
      </c>
      <c r="G2739">
        <v>705</v>
      </c>
      <c r="H2739" t="s">
        <v>69</v>
      </c>
      <c r="I2739" t="s">
        <v>141</v>
      </c>
      <c r="J2739" s="10" t="str">
        <f>VLOOKUP(I2739,Categories!A:B,2,FALSE)</f>
        <v>Other</v>
      </c>
      <c r="K2739" t="s">
        <v>123</v>
      </c>
      <c r="L2739" s="10" t="str">
        <f>VLOOKUP(K2739,Accounts!A:B,2,FALSE)</f>
        <v>KBank</v>
      </c>
      <c r="M2739" t="s">
        <v>124</v>
      </c>
      <c r="N2739" s="10"/>
      <c r="O2739" t="s">
        <v>5064</v>
      </c>
      <c r="Q2739" t="s">
        <v>126</v>
      </c>
      <c r="R2739" t="s">
        <v>124</v>
      </c>
      <c r="S2739" t="b">
        <v>0</v>
      </c>
      <c r="T2739" t="s">
        <v>124</v>
      </c>
    </row>
    <row r="2740">
      <c r="A2740" t="s">
        <v>5065</v>
      </c>
      <c r="B2740" t="s">
        <v>5054</v>
      </c>
      <c r="C2740" s="2">
        <v>2022</v>
      </c>
      <c r="D2740" s="10">
        <v>8</v>
      </c>
      <c r="E2740" s="10">
        <v>21</v>
      </c>
      <c r="F2740" t="s">
        <v>284</v>
      </c>
      <c r="G2740">
        <v>225</v>
      </c>
      <c r="H2740" t="s">
        <v>69</v>
      </c>
      <c r="I2740" t="s">
        <v>150</v>
      </c>
      <c r="J2740" s="10" t="str">
        <f>VLOOKUP(I2740,Categories!A:B,2,FALSE)</f>
        <v xml:space="preserve">Food &amp; Coff</v>
      </c>
      <c r="K2740" t="s">
        <v>2317</v>
      </c>
      <c r="L2740" s="10" t="str">
        <f>VLOOKUP(K2740,Accounts!A:B,2,FALSE)</f>
        <v xml:space="preserve">Marriage account</v>
      </c>
      <c r="M2740" t="s">
        <v>124</v>
      </c>
      <c r="N2740" s="10"/>
      <c r="O2740" t="s">
        <v>5066</v>
      </c>
      <c r="Q2740" t="s">
        <v>126</v>
      </c>
      <c r="R2740" t="s">
        <v>124</v>
      </c>
      <c r="S2740" t="b">
        <v>0</v>
      </c>
      <c r="T2740" t="s">
        <v>124</v>
      </c>
    </row>
    <row r="2741">
      <c r="A2741" t="s">
        <v>5067</v>
      </c>
      <c r="B2741" t="s">
        <v>5054</v>
      </c>
      <c r="C2741" s="2">
        <v>2022</v>
      </c>
      <c r="D2741" s="10">
        <v>8</v>
      </c>
      <c r="E2741" s="10">
        <v>21</v>
      </c>
      <c r="F2741" t="s">
        <v>270</v>
      </c>
      <c r="G2741">
        <v>546</v>
      </c>
      <c r="H2741" t="s">
        <v>69</v>
      </c>
      <c r="I2741" t="s">
        <v>150</v>
      </c>
      <c r="J2741" s="10" t="str">
        <f>VLOOKUP(I2741,Categories!A:B,2,FALSE)</f>
        <v xml:space="preserve">Food &amp; Coff</v>
      </c>
      <c r="K2741" t="s">
        <v>2317</v>
      </c>
      <c r="L2741" s="10" t="str">
        <f>VLOOKUP(K2741,Accounts!A:B,2,FALSE)</f>
        <v xml:space="preserve">Marriage account</v>
      </c>
      <c r="M2741" t="s">
        <v>124</v>
      </c>
      <c r="N2741" s="10"/>
      <c r="O2741" t="s">
        <v>5068</v>
      </c>
      <c r="Q2741" t="s">
        <v>126</v>
      </c>
      <c r="R2741" t="s">
        <v>124</v>
      </c>
      <c r="S2741" t="b">
        <v>0</v>
      </c>
      <c r="T2741" t="s">
        <v>124</v>
      </c>
    </row>
    <row r="2742">
      <c r="A2742" t="s">
        <v>5069</v>
      </c>
      <c r="B2742" t="s">
        <v>5054</v>
      </c>
      <c r="C2742" s="2">
        <v>2022</v>
      </c>
      <c r="D2742" s="10">
        <v>8</v>
      </c>
      <c r="E2742" s="10">
        <v>21</v>
      </c>
      <c r="F2742" t="s">
        <v>228</v>
      </c>
      <c r="G2742">
        <v>164</v>
      </c>
      <c r="H2742" t="s">
        <v>69</v>
      </c>
      <c r="I2742" t="s">
        <v>150</v>
      </c>
      <c r="J2742" s="10" t="str">
        <f>VLOOKUP(I2742,Categories!A:B,2,FALSE)</f>
        <v xml:space="preserve">Food &amp; Coff</v>
      </c>
      <c r="K2742" t="s">
        <v>893</v>
      </c>
      <c r="L2742" s="10" t="str">
        <f>VLOOKUP(K2742,Accounts!A:B,2,FALSE)</f>
        <v>Shopee</v>
      </c>
      <c r="M2742" t="s">
        <v>124</v>
      </c>
      <c r="N2742" s="10"/>
      <c r="O2742" t="s">
        <v>125</v>
      </c>
      <c r="Q2742" t="s">
        <v>126</v>
      </c>
      <c r="R2742" t="s">
        <v>124</v>
      </c>
      <c r="S2742" t="b">
        <v>0</v>
      </c>
      <c r="T2742" t="s">
        <v>124</v>
      </c>
    </row>
    <row r="2743">
      <c r="A2743" t="s">
        <v>5070</v>
      </c>
      <c r="B2743" t="s">
        <v>5054</v>
      </c>
      <c r="C2743" s="2">
        <v>2022</v>
      </c>
      <c r="D2743" s="10">
        <v>8</v>
      </c>
      <c r="E2743" s="10">
        <v>21</v>
      </c>
      <c r="F2743" t="s">
        <v>228</v>
      </c>
      <c r="G2743">
        <v>164</v>
      </c>
      <c r="H2743" t="s">
        <v>128</v>
      </c>
      <c r="I2743" t="s">
        <v>136</v>
      </c>
      <c r="J2743" s="10" t="str">
        <f>VLOOKUP(I2743,Categories!A:B,2,FALSE)</f>
        <v>อื่นๆ</v>
      </c>
      <c r="K2743" t="s">
        <v>2317</v>
      </c>
      <c r="L2743" s="10" t="str">
        <f>VLOOKUP(K2743,Accounts!A:B,2,FALSE)</f>
        <v xml:space="preserve">Marriage account</v>
      </c>
      <c r="M2743" t="s">
        <v>178</v>
      </c>
      <c r="N2743" s="10" t="str">
        <f>VLOOKUP(M2743,Accounts!A:B,2,FALSE)</f>
        <v>SCB</v>
      </c>
      <c r="O2743" t="s">
        <v>125</v>
      </c>
      <c r="Q2743" t="s">
        <v>126</v>
      </c>
      <c r="R2743" t="s">
        <v>124</v>
      </c>
      <c r="S2743" t="b">
        <v>0</v>
      </c>
      <c r="T2743" t="s">
        <v>124</v>
      </c>
    </row>
    <row r="2744">
      <c r="A2744" t="s">
        <v>5071</v>
      </c>
      <c r="B2744" t="s">
        <v>5054</v>
      </c>
      <c r="C2744" s="2">
        <v>2022</v>
      </c>
      <c r="D2744" s="10">
        <v>8</v>
      </c>
      <c r="E2744" s="10">
        <v>21</v>
      </c>
      <c r="F2744" t="s">
        <v>3390</v>
      </c>
      <c r="G2744">
        <v>92</v>
      </c>
      <c r="H2744" t="s">
        <v>128</v>
      </c>
      <c r="I2744" t="s">
        <v>136</v>
      </c>
      <c r="J2744" s="10" t="str">
        <f>VLOOKUP(I2744,Categories!A:B,2,FALSE)</f>
        <v>อื่นๆ</v>
      </c>
      <c r="K2744" t="s">
        <v>2317</v>
      </c>
      <c r="L2744" s="10" t="str">
        <f>VLOOKUP(K2744,Accounts!A:B,2,FALSE)</f>
        <v xml:space="preserve">Marriage account</v>
      </c>
      <c r="M2744" t="s">
        <v>178</v>
      </c>
      <c r="N2744" s="10" t="str">
        <f>VLOOKUP(M2744,Accounts!A:B,2,FALSE)</f>
        <v>SCB</v>
      </c>
      <c r="O2744" t="s">
        <v>5045</v>
      </c>
      <c r="Q2744" t="s">
        <v>126</v>
      </c>
      <c r="R2744" t="s">
        <v>124</v>
      </c>
      <c r="S2744" t="b">
        <v>0</v>
      </c>
      <c r="T2744" t="s">
        <v>124</v>
      </c>
    </row>
    <row r="2745">
      <c r="A2745" t="s">
        <v>5072</v>
      </c>
      <c r="B2745" t="s">
        <v>5054</v>
      </c>
      <c r="C2745" s="2">
        <v>2022</v>
      </c>
      <c r="D2745" s="10">
        <v>8</v>
      </c>
      <c r="E2745" s="10">
        <v>21</v>
      </c>
      <c r="F2745" t="s">
        <v>2909</v>
      </c>
      <c r="G2745">
        <v>52.350000000000001</v>
      </c>
      <c r="H2745" t="s">
        <v>69</v>
      </c>
      <c r="I2745" t="s">
        <v>254</v>
      </c>
      <c r="J2745" s="10" t="str">
        <f>VLOOKUP(I2745,Categories!A:B,2,FALSE)</f>
        <v xml:space="preserve">Modified Bal.</v>
      </c>
      <c r="K2745" t="s">
        <v>893</v>
      </c>
      <c r="L2745" s="10" t="str">
        <f>VLOOKUP(K2745,Accounts!A:B,2,FALSE)</f>
        <v>Shopee</v>
      </c>
      <c r="M2745" t="s">
        <v>124</v>
      </c>
      <c r="N2745" s="10"/>
      <c r="O2745" t="s">
        <v>255</v>
      </c>
      <c r="Q2745" t="s">
        <v>126</v>
      </c>
      <c r="R2745" t="s">
        <v>124</v>
      </c>
      <c r="S2745" t="b">
        <v>0</v>
      </c>
      <c r="T2745" t="s">
        <v>124</v>
      </c>
    </row>
    <row r="2746">
      <c r="A2746" t="s">
        <v>5073</v>
      </c>
      <c r="B2746" t="s">
        <v>5054</v>
      </c>
      <c r="C2746" s="2">
        <v>2022</v>
      </c>
      <c r="D2746" s="10">
        <v>8</v>
      </c>
      <c r="E2746" s="10">
        <v>21</v>
      </c>
      <c r="F2746" t="s">
        <v>3760</v>
      </c>
      <c r="G2746">
        <v>577.00999999999999</v>
      </c>
      <c r="H2746" t="s">
        <v>69</v>
      </c>
      <c r="I2746" t="s">
        <v>338</v>
      </c>
      <c r="J2746" s="10" t="str">
        <f>VLOOKUP(I2746,Categories!A:B,2,FALSE)</f>
        <v>Trips</v>
      </c>
      <c r="K2746" t="s">
        <v>2317</v>
      </c>
      <c r="L2746" s="10" t="str">
        <f>VLOOKUP(K2746,Accounts!A:B,2,FALSE)</f>
        <v xml:space="preserve">Marriage account</v>
      </c>
      <c r="M2746" t="s">
        <v>124</v>
      </c>
      <c r="N2746" s="10"/>
      <c r="O2746" t="s">
        <v>5074</v>
      </c>
      <c r="Q2746" t="s">
        <v>126</v>
      </c>
      <c r="R2746" t="s">
        <v>124</v>
      </c>
      <c r="S2746" t="b">
        <v>0</v>
      </c>
      <c r="T2746" t="s">
        <v>124</v>
      </c>
    </row>
    <row r="2747">
      <c r="A2747" t="s">
        <v>5075</v>
      </c>
      <c r="B2747" t="s">
        <v>5054</v>
      </c>
      <c r="C2747" s="2">
        <v>2022</v>
      </c>
      <c r="D2747" s="10">
        <v>8</v>
      </c>
      <c r="E2747" s="10">
        <v>21</v>
      </c>
      <c r="F2747" t="s">
        <v>3760</v>
      </c>
      <c r="G2747">
        <v>481</v>
      </c>
      <c r="H2747" t="s">
        <v>128</v>
      </c>
      <c r="I2747" t="s">
        <v>136</v>
      </c>
      <c r="J2747" s="10" t="str">
        <f>VLOOKUP(I2747,Categories!A:B,2,FALSE)</f>
        <v>อื่นๆ</v>
      </c>
      <c r="K2747" t="s">
        <v>178</v>
      </c>
      <c r="L2747" s="10" t="str">
        <f>VLOOKUP(K2747,Accounts!A:B,2,FALSE)</f>
        <v>SCB</v>
      </c>
      <c r="M2747" t="s">
        <v>1308</v>
      </c>
      <c r="N2747" s="10" t="str">
        <f>VLOOKUP(M2747,Accounts!A:B,2,FALSE)</f>
        <v xml:space="preserve">UOB Privilages</v>
      </c>
      <c r="O2747" t="s">
        <v>125</v>
      </c>
      <c r="Q2747" t="s">
        <v>126</v>
      </c>
      <c r="R2747" t="s">
        <v>124</v>
      </c>
      <c r="S2747" t="b">
        <v>0</v>
      </c>
      <c r="T2747" t="s">
        <v>124</v>
      </c>
    </row>
    <row r="2748">
      <c r="A2748" t="s">
        <v>5076</v>
      </c>
      <c r="B2748" t="s">
        <v>5054</v>
      </c>
      <c r="C2748" s="2">
        <v>2022</v>
      </c>
      <c r="D2748" s="10">
        <v>8</v>
      </c>
      <c r="E2748" s="10">
        <v>21</v>
      </c>
      <c r="F2748" t="s">
        <v>3397</v>
      </c>
      <c r="G2748">
        <v>233.93000000000001</v>
      </c>
      <c r="H2748" t="s">
        <v>69</v>
      </c>
      <c r="I2748" t="s">
        <v>150</v>
      </c>
      <c r="J2748" s="10" t="str">
        <f>VLOOKUP(I2748,Categories!A:B,2,FALSE)</f>
        <v xml:space="preserve">Food &amp; Coff</v>
      </c>
      <c r="K2748" t="s">
        <v>2317</v>
      </c>
      <c r="L2748" s="10" t="str">
        <f>VLOOKUP(K2748,Accounts!A:B,2,FALSE)</f>
        <v xml:space="preserve">Marriage account</v>
      </c>
      <c r="M2748" t="s">
        <v>124</v>
      </c>
      <c r="N2748" s="10"/>
      <c r="O2748" t="s">
        <v>5077</v>
      </c>
      <c r="Q2748" t="s">
        <v>126</v>
      </c>
      <c r="R2748" t="s">
        <v>124</v>
      </c>
      <c r="S2748" t="b">
        <v>0</v>
      </c>
      <c r="T2748" t="s">
        <v>124</v>
      </c>
    </row>
    <row r="2749">
      <c r="A2749" t="s">
        <v>5078</v>
      </c>
      <c r="B2749" t="s">
        <v>5054</v>
      </c>
      <c r="C2749" s="2">
        <v>2022</v>
      </c>
      <c r="D2749" s="10">
        <v>8</v>
      </c>
      <c r="E2749" s="10">
        <v>21</v>
      </c>
      <c r="F2749" t="s">
        <v>3450</v>
      </c>
      <c r="G2749">
        <v>78</v>
      </c>
      <c r="H2749" t="s">
        <v>206</v>
      </c>
      <c r="I2749" t="s">
        <v>254</v>
      </c>
      <c r="J2749" s="10" t="str">
        <f>VLOOKUP(I2749,Categories!A:B,2,FALSE)</f>
        <v xml:space="preserve">Modified Bal.</v>
      </c>
      <c r="K2749" t="s">
        <v>2862</v>
      </c>
      <c r="L2749" s="10" t="str">
        <f>VLOOKUP(K2749,Accounts!A:B,2,FALSE)</f>
        <v xml:space="preserve">Kbank onesiam</v>
      </c>
      <c r="M2749" t="s">
        <v>124</v>
      </c>
      <c r="N2749" s="10"/>
      <c r="O2749" t="s">
        <v>255</v>
      </c>
      <c r="Q2749" t="s">
        <v>126</v>
      </c>
      <c r="R2749" t="s">
        <v>124</v>
      </c>
      <c r="S2749" t="b">
        <v>0</v>
      </c>
      <c r="T2749" t="s">
        <v>124</v>
      </c>
    </row>
    <row r="2750">
      <c r="A2750" t="s">
        <v>5079</v>
      </c>
      <c r="B2750" t="s">
        <v>5054</v>
      </c>
      <c r="C2750" s="2">
        <v>2022</v>
      </c>
      <c r="D2750" s="10">
        <v>8</v>
      </c>
      <c r="E2750" s="10">
        <v>21</v>
      </c>
      <c r="F2750" t="s">
        <v>249</v>
      </c>
      <c r="G2750">
        <v>249</v>
      </c>
      <c r="H2750" t="s">
        <v>128</v>
      </c>
      <c r="I2750" t="s">
        <v>136</v>
      </c>
      <c r="J2750" s="10" t="str">
        <f>VLOOKUP(I2750,Categories!A:B,2,FALSE)</f>
        <v>อื่นๆ</v>
      </c>
      <c r="K2750" t="s">
        <v>766</v>
      </c>
      <c r="L2750" s="10" t="str">
        <f>VLOOKUP(K2750,Accounts!A:B,2,FALSE)</f>
        <v>KRUNGSRI</v>
      </c>
      <c r="M2750" t="s">
        <v>743</v>
      </c>
      <c r="N2750" s="10" t="str">
        <f>VLOOKUP(M2750,Accounts!A:B,2,FALSE)</f>
        <v>HOMEPRO</v>
      </c>
      <c r="O2750" t="s">
        <v>125</v>
      </c>
      <c r="Q2750" t="s">
        <v>126</v>
      </c>
      <c r="R2750" t="s">
        <v>124</v>
      </c>
      <c r="S2750" t="b">
        <v>0</v>
      </c>
      <c r="T2750" t="s">
        <v>124</v>
      </c>
    </row>
    <row r="2751">
      <c r="A2751" t="s">
        <v>5080</v>
      </c>
      <c r="B2751" t="s">
        <v>5081</v>
      </c>
      <c r="C2751" s="2">
        <v>2022</v>
      </c>
      <c r="D2751" s="10">
        <v>8</v>
      </c>
      <c r="E2751" s="10">
        <v>20</v>
      </c>
      <c r="F2751" t="s">
        <v>1026</v>
      </c>
      <c r="G2751">
        <v>187</v>
      </c>
      <c r="H2751" t="s">
        <v>69</v>
      </c>
      <c r="I2751" t="s">
        <v>150</v>
      </c>
      <c r="J2751" s="10" t="str">
        <f>VLOOKUP(I2751,Categories!A:B,2,FALSE)</f>
        <v xml:space="preserve">Food &amp; Coff</v>
      </c>
      <c r="K2751" t="s">
        <v>2317</v>
      </c>
      <c r="L2751" s="10" t="str">
        <f>VLOOKUP(K2751,Accounts!A:B,2,FALSE)</f>
        <v xml:space="preserve">Marriage account</v>
      </c>
      <c r="M2751" t="s">
        <v>124</v>
      </c>
      <c r="N2751" s="10"/>
      <c r="O2751" t="s">
        <v>5082</v>
      </c>
      <c r="Q2751" t="s">
        <v>126</v>
      </c>
      <c r="R2751" t="s">
        <v>124</v>
      </c>
      <c r="S2751" t="b">
        <v>0</v>
      </c>
      <c r="T2751" t="s">
        <v>124</v>
      </c>
    </row>
    <row r="2752">
      <c r="A2752" t="s">
        <v>5083</v>
      </c>
      <c r="B2752" t="s">
        <v>5081</v>
      </c>
      <c r="C2752" s="2">
        <v>2022</v>
      </c>
      <c r="D2752" s="10">
        <v>8</v>
      </c>
      <c r="E2752" s="10">
        <v>20</v>
      </c>
      <c r="F2752" t="s">
        <v>579</v>
      </c>
      <c r="G2752">
        <v>180</v>
      </c>
      <c r="H2752" t="s">
        <v>69</v>
      </c>
      <c r="I2752" t="s">
        <v>150</v>
      </c>
      <c r="J2752" s="10" t="str">
        <f>VLOOKUP(I2752,Categories!A:B,2,FALSE)</f>
        <v xml:space="preserve">Food &amp; Coff</v>
      </c>
      <c r="K2752" t="s">
        <v>2317</v>
      </c>
      <c r="L2752" s="10" t="str">
        <f>VLOOKUP(K2752,Accounts!A:B,2,FALSE)</f>
        <v xml:space="preserve">Marriage account</v>
      </c>
      <c r="M2752" t="s">
        <v>124</v>
      </c>
      <c r="N2752" s="10"/>
      <c r="O2752" t="s">
        <v>5084</v>
      </c>
      <c r="Q2752" t="s">
        <v>126</v>
      </c>
      <c r="R2752" t="s">
        <v>124</v>
      </c>
      <c r="S2752" t="b">
        <v>0</v>
      </c>
      <c r="T2752" t="s">
        <v>124</v>
      </c>
    </row>
    <row r="2753">
      <c r="A2753" t="s">
        <v>5085</v>
      </c>
      <c r="B2753" t="s">
        <v>5081</v>
      </c>
      <c r="C2753" s="2">
        <v>2022</v>
      </c>
      <c r="D2753" s="10">
        <v>8</v>
      </c>
      <c r="E2753" s="10">
        <v>20</v>
      </c>
      <c r="F2753" t="s">
        <v>499</v>
      </c>
      <c r="G2753">
        <v>552</v>
      </c>
      <c r="H2753" t="s">
        <v>69</v>
      </c>
      <c r="I2753" t="s">
        <v>150</v>
      </c>
      <c r="J2753" s="10" t="str">
        <f>VLOOKUP(I2753,Categories!A:B,2,FALSE)</f>
        <v xml:space="preserve">Food &amp; Coff</v>
      </c>
      <c r="K2753" t="s">
        <v>2317</v>
      </c>
      <c r="L2753" s="10" t="str">
        <f>VLOOKUP(K2753,Accounts!A:B,2,FALSE)</f>
        <v xml:space="preserve">Marriage account</v>
      </c>
      <c r="M2753" t="s">
        <v>124</v>
      </c>
      <c r="N2753" s="10"/>
      <c r="O2753" t="s">
        <v>5086</v>
      </c>
      <c r="Q2753" t="s">
        <v>126</v>
      </c>
      <c r="R2753" t="s">
        <v>124</v>
      </c>
      <c r="S2753" t="b">
        <v>0</v>
      </c>
      <c r="T2753" t="s">
        <v>124</v>
      </c>
    </row>
    <row r="2754">
      <c r="A2754" t="s">
        <v>5087</v>
      </c>
      <c r="B2754" t="s">
        <v>5081</v>
      </c>
      <c r="C2754" s="2">
        <v>2022</v>
      </c>
      <c r="D2754" s="10">
        <v>8</v>
      </c>
      <c r="E2754" s="10">
        <v>20</v>
      </c>
      <c r="F2754" t="s">
        <v>1438</v>
      </c>
      <c r="G2754">
        <v>1046</v>
      </c>
      <c r="H2754" t="s">
        <v>69</v>
      </c>
      <c r="I2754" t="s">
        <v>3504</v>
      </c>
      <c r="J2754" s="10" t="str">
        <f>VLOOKUP(I2754,Categories!A:B,2,FALSE)</f>
        <v xml:space="preserve">Condo suppliers</v>
      </c>
      <c r="K2754" t="s">
        <v>2317</v>
      </c>
      <c r="L2754" s="10" t="str">
        <f>VLOOKUP(K2754,Accounts!A:B,2,FALSE)</f>
        <v xml:space="preserve">Marriage account</v>
      </c>
      <c r="M2754" t="s">
        <v>124</v>
      </c>
      <c r="N2754" s="10"/>
      <c r="O2754" t="s">
        <v>5088</v>
      </c>
      <c r="Q2754" t="s">
        <v>126</v>
      </c>
      <c r="R2754" t="s">
        <v>124</v>
      </c>
      <c r="S2754" t="b">
        <v>0</v>
      </c>
      <c r="T2754" t="s">
        <v>124</v>
      </c>
    </row>
    <row r="2755">
      <c r="A2755" t="s">
        <v>5089</v>
      </c>
      <c r="B2755" t="s">
        <v>5090</v>
      </c>
      <c r="C2755" s="2">
        <v>2022</v>
      </c>
      <c r="D2755" s="10">
        <v>8</v>
      </c>
      <c r="E2755" s="10">
        <v>19</v>
      </c>
      <c r="F2755" t="s">
        <v>4591</v>
      </c>
      <c r="G2755">
        <v>50</v>
      </c>
      <c r="H2755" t="s">
        <v>69</v>
      </c>
      <c r="I2755" t="s">
        <v>150</v>
      </c>
      <c r="J2755" s="10" t="str">
        <f>VLOOKUP(I2755,Categories!A:B,2,FALSE)</f>
        <v xml:space="preserve">Food &amp; Coff</v>
      </c>
      <c r="K2755" t="s">
        <v>178</v>
      </c>
      <c r="L2755" s="10" t="str">
        <f>VLOOKUP(K2755,Accounts!A:B,2,FALSE)</f>
        <v>SCB</v>
      </c>
      <c r="M2755" t="s">
        <v>124</v>
      </c>
      <c r="N2755" s="10"/>
      <c r="O2755" t="s">
        <v>125</v>
      </c>
      <c r="Q2755" t="s">
        <v>126</v>
      </c>
      <c r="R2755" t="s">
        <v>124</v>
      </c>
      <c r="S2755" t="b">
        <v>0</v>
      </c>
      <c r="T2755" t="s">
        <v>124</v>
      </c>
    </row>
    <row r="2756">
      <c r="A2756" t="s">
        <v>5091</v>
      </c>
      <c r="B2756" t="s">
        <v>5092</v>
      </c>
      <c r="C2756" s="2">
        <v>2022</v>
      </c>
      <c r="D2756" s="10">
        <v>8</v>
      </c>
      <c r="E2756" s="10">
        <v>18</v>
      </c>
      <c r="F2756" t="s">
        <v>5093</v>
      </c>
      <c r="G2756">
        <v>100</v>
      </c>
      <c r="H2756" t="s">
        <v>69</v>
      </c>
      <c r="I2756" t="s">
        <v>150</v>
      </c>
      <c r="J2756" s="10" t="str">
        <f>VLOOKUP(I2756,Categories!A:B,2,FALSE)</f>
        <v xml:space="preserve">Food &amp; Coff</v>
      </c>
      <c r="K2756" t="s">
        <v>893</v>
      </c>
      <c r="L2756" s="10" t="str">
        <f>VLOOKUP(K2756,Accounts!A:B,2,FALSE)</f>
        <v>Shopee</v>
      </c>
      <c r="M2756" t="s">
        <v>124</v>
      </c>
      <c r="N2756" s="10"/>
      <c r="O2756" t="s">
        <v>125</v>
      </c>
      <c r="Q2756" t="s">
        <v>126</v>
      </c>
      <c r="R2756" t="s">
        <v>124</v>
      </c>
      <c r="S2756" t="b">
        <v>0</v>
      </c>
      <c r="T2756" t="s">
        <v>124</v>
      </c>
    </row>
    <row r="2757">
      <c r="A2757" t="s">
        <v>5094</v>
      </c>
      <c r="B2757" t="s">
        <v>5095</v>
      </c>
      <c r="C2757" s="2">
        <v>2022</v>
      </c>
      <c r="D2757" s="10">
        <v>8</v>
      </c>
      <c r="E2757" s="10">
        <v>17</v>
      </c>
      <c r="F2757" t="s">
        <v>2384</v>
      </c>
      <c r="G2757">
        <v>95</v>
      </c>
      <c r="H2757" t="s">
        <v>69</v>
      </c>
      <c r="I2757" t="s">
        <v>150</v>
      </c>
      <c r="J2757" s="10" t="str">
        <f>VLOOKUP(I2757,Categories!A:B,2,FALSE)</f>
        <v xml:space="preserve">Food &amp; Coff</v>
      </c>
      <c r="K2757" t="s">
        <v>2317</v>
      </c>
      <c r="L2757" s="10" t="str">
        <f>VLOOKUP(K2757,Accounts!A:B,2,FALSE)</f>
        <v xml:space="preserve">Marriage account</v>
      </c>
      <c r="M2757" t="s">
        <v>124</v>
      </c>
      <c r="N2757" s="10"/>
      <c r="O2757" t="s">
        <v>4655</v>
      </c>
      <c r="Q2757" t="s">
        <v>126</v>
      </c>
      <c r="R2757" t="s">
        <v>124</v>
      </c>
      <c r="S2757" t="b">
        <v>0</v>
      </c>
      <c r="T2757" t="s">
        <v>124</v>
      </c>
    </row>
    <row r="2758">
      <c r="A2758" t="s">
        <v>5096</v>
      </c>
      <c r="B2758" t="s">
        <v>5095</v>
      </c>
      <c r="C2758" s="2">
        <v>2022</v>
      </c>
      <c r="D2758" s="10">
        <v>8</v>
      </c>
      <c r="E2758" s="10">
        <v>17</v>
      </c>
      <c r="F2758" t="s">
        <v>221</v>
      </c>
      <c r="G2758">
        <v>52</v>
      </c>
      <c r="H2758" t="s">
        <v>69</v>
      </c>
      <c r="I2758" t="s">
        <v>150</v>
      </c>
      <c r="J2758" s="10" t="str">
        <f>VLOOKUP(I2758,Categories!A:B,2,FALSE)</f>
        <v xml:space="preserve">Food &amp; Coff</v>
      </c>
      <c r="K2758" t="s">
        <v>178</v>
      </c>
      <c r="L2758" s="10" t="str">
        <f>VLOOKUP(K2758,Accounts!A:B,2,FALSE)</f>
        <v>SCB</v>
      </c>
      <c r="M2758" t="s">
        <v>124</v>
      </c>
      <c r="N2758" s="10"/>
      <c r="O2758" t="s">
        <v>125</v>
      </c>
      <c r="Q2758" t="s">
        <v>126</v>
      </c>
      <c r="R2758" t="s">
        <v>124</v>
      </c>
      <c r="S2758" t="b">
        <v>0</v>
      </c>
      <c r="T2758" t="s">
        <v>124</v>
      </c>
    </row>
    <row r="2759">
      <c r="A2759" t="s">
        <v>5097</v>
      </c>
      <c r="B2759" t="s">
        <v>5095</v>
      </c>
      <c r="C2759" s="2">
        <v>2022</v>
      </c>
      <c r="D2759" s="10">
        <v>8</v>
      </c>
      <c r="E2759" s="10">
        <v>17</v>
      </c>
      <c r="F2759" t="s">
        <v>533</v>
      </c>
      <c r="G2759">
        <v>105</v>
      </c>
      <c r="H2759" t="s">
        <v>69</v>
      </c>
      <c r="I2759" t="s">
        <v>259</v>
      </c>
      <c r="J2759" s="10" t="str">
        <f>VLOOKUP(I2759,Categories!A:B,2,FALSE)</f>
        <v xml:space="preserve">Team BOT</v>
      </c>
      <c r="K2759" t="s">
        <v>178</v>
      </c>
      <c r="L2759" s="10" t="str">
        <f>VLOOKUP(K2759,Accounts!A:B,2,FALSE)</f>
        <v>SCB</v>
      </c>
      <c r="M2759" t="s">
        <v>124</v>
      </c>
      <c r="N2759" s="10"/>
      <c r="O2759" t="s">
        <v>125</v>
      </c>
      <c r="Q2759" t="s">
        <v>126</v>
      </c>
      <c r="R2759" t="s">
        <v>124</v>
      </c>
      <c r="S2759" t="b">
        <v>0</v>
      </c>
      <c r="T2759" t="s">
        <v>124</v>
      </c>
    </row>
    <row r="2760">
      <c r="A2760" t="s">
        <v>5098</v>
      </c>
      <c r="B2760" t="s">
        <v>5095</v>
      </c>
      <c r="C2760" s="2">
        <v>2022</v>
      </c>
      <c r="D2760" s="10">
        <v>8</v>
      </c>
      <c r="E2760" s="10">
        <v>17</v>
      </c>
      <c r="F2760" t="s">
        <v>1889</v>
      </c>
      <c r="G2760">
        <v>100</v>
      </c>
      <c r="H2760" t="s">
        <v>69</v>
      </c>
      <c r="I2760" t="s">
        <v>150</v>
      </c>
      <c r="J2760" s="10" t="str">
        <f>VLOOKUP(I2760,Categories!A:B,2,FALSE)</f>
        <v xml:space="preserve">Food &amp; Coff</v>
      </c>
      <c r="K2760" t="s">
        <v>2317</v>
      </c>
      <c r="L2760" s="10" t="str">
        <f>VLOOKUP(K2760,Accounts!A:B,2,FALSE)</f>
        <v xml:space="preserve">Marriage account</v>
      </c>
      <c r="M2760" t="s">
        <v>124</v>
      </c>
      <c r="N2760" s="10"/>
      <c r="O2760" t="s">
        <v>3493</v>
      </c>
      <c r="Q2760" t="s">
        <v>126</v>
      </c>
      <c r="R2760" t="s">
        <v>124</v>
      </c>
      <c r="S2760" t="b">
        <v>0</v>
      </c>
      <c r="T2760" t="s">
        <v>124</v>
      </c>
    </row>
    <row r="2761">
      <c r="A2761" t="s">
        <v>5099</v>
      </c>
      <c r="B2761" t="s">
        <v>5100</v>
      </c>
      <c r="C2761" s="2">
        <v>2022</v>
      </c>
      <c r="D2761" s="10">
        <v>8</v>
      </c>
      <c r="E2761" s="10">
        <v>16</v>
      </c>
      <c r="F2761" t="s">
        <v>2937</v>
      </c>
      <c r="G2761">
        <v>70</v>
      </c>
      <c r="H2761" t="s">
        <v>69</v>
      </c>
      <c r="I2761" t="s">
        <v>150</v>
      </c>
      <c r="J2761" s="10" t="str">
        <f>VLOOKUP(I2761,Categories!A:B,2,FALSE)</f>
        <v xml:space="preserve">Food &amp; Coff</v>
      </c>
      <c r="K2761" t="s">
        <v>178</v>
      </c>
      <c r="L2761" s="10" t="str">
        <f>VLOOKUP(K2761,Accounts!A:B,2,FALSE)</f>
        <v>SCB</v>
      </c>
      <c r="M2761" t="s">
        <v>124</v>
      </c>
      <c r="N2761" s="10"/>
      <c r="O2761" t="s">
        <v>125</v>
      </c>
      <c r="Q2761" t="s">
        <v>126</v>
      </c>
      <c r="R2761" t="s">
        <v>124</v>
      </c>
      <c r="S2761" t="b">
        <v>0</v>
      </c>
      <c r="T2761" t="s">
        <v>124</v>
      </c>
    </row>
    <row r="2762">
      <c r="A2762" t="s">
        <v>5101</v>
      </c>
      <c r="B2762" t="s">
        <v>5100</v>
      </c>
      <c r="C2762" s="2">
        <v>2022</v>
      </c>
      <c r="D2762" s="10">
        <v>8</v>
      </c>
      <c r="E2762" s="10">
        <v>16</v>
      </c>
      <c r="F2762" t="s">
        <v>1797</v>
      </c>
      <c r="G2762">
        <v>10000</v>
      </c>
      <c r="H2762" t="s">
        <v>206</v>
      </c>
      <c r="I2762" t="s">
        <v>207</v>
      </c>
      <c r="J2762" s="10" t="str">
        <f>VLOOKUP(I2762,Categories!A:B,2,FALSE)</f>
        <v>Salary</v>
      </c>
      <c r="K2762" t="s">
        <v>2317</v>
      </c>
      <c r="L2762" s="10" t="str">
        <f>VLOOKUP(K2762,Accounts!A:B,2,FALSE)</f>
        <v xml:space="preserve">Marriage account</v>
      </c>
      <c r="M2762" t="s">
        <v>124</v>
      </c>
      <c r="N2762" s="10"/>
      <c r="O2762" t="s">
        <v>5102</v>
      </c>
      <c r="Q2762" t="s">
        <v>126</v>
      </c>
      <c r="R2762" t="s">
        <v>124</v>
      </c>
      <c r="S2762" t="b">
        <v>0</v>
      </c>
      <c r="T2762" t="s">
        <v>124</v>
      </c>
    </row>
    <row r="2763">
      <c r="A2763" t="s">
        <v>5103</v>
      </c>
      <c r="B2763" t="s">
        <v>5100</v>
      </c>
      <c r="C2763" s="2">
        <v>2022</v>
      </c>
      <c r="D2763" s="10">
        <v>8</v>
      </c>
      <c r="E2763" s="10">
        <v>16</v>
      </c>
      <c r="F2763" t="s">
        <v>1797</v>
      </c>
      <c r="G2763">
        <v>134</v>
      </c>
      <c r="H2763" t="s">
        <v>69</v>
      </c>
      <c r="I2763" t="s">
        <v>150</v>
      </c>
      <c r="J2763" s="10" t="str">
        <f>VLOOKUP(I2763,Categories!A:B,2,FALSE)</f>
        <v xml:space="preserve">Food &amp; Coff</v>
      </c>
      <c r="K2763" t="s">
        <v>2317</v>
      </c>
      <c r="L2763" s="10" t="str">
        <f>VLOOKUP(K2763,Accounts!A:B,2,FALSE)</f>
        <v xml:space="preserve">Marriage account</v>
      </c>
      <c r="M2763" t="s">
        <v>124</v>
      </c>
      <c r="N2763" s="10"/>
      <c r="O2763" t="s">
        <v>3633</v>
      </c>
      <c r="Q2763" t="s">
        <v>126</v>
      </c>
      <c r="R2763" t="s">
        <v>124</v>
      </c>
      <c r="S2763" t="b">
        <v>0</v>
      </c>
      <c r="T2763" t="s">
        <v>124</v>
      </c>
    </row>
    <row r="2764">
      <c r="A2764" t="s">
        <v>5104</v>
      </c>
      <c r="B2764" t="s">
        <v>5100</v>
      </c>
      <c r="C2764" s="2">
        <v>2022</v>
      </c>
      <c r="D2764" s="10">
        <v>8</v>
      </c>
      <c r="E2764" s="10">
        <v>16</v>
      </c>
      <c r="F2764" t="s">
        <v>3390</v>
      </c>
      <c r="G2764">
        <v>100</v>
      </c>
      <c r="H2764" t="s">
        <v>69</v>
      </c>
      <c r="I2764" t="s">
        <v>150</v>
      </c>
      <c r="J2764" s="10" t="str">
        <f>VLOOKUP(I2764,Categories!A:B,2,FALSE)</f>
        <v xml:space="preserve">Food &amp; Coff</v>
      </c>
      <c r="K2764" t="s">
        <v>2317</v>
      </c>
      <c r="L2764" s="10" t="str">
        <f>VLOOKUP(K2764,Accounts!A:B,2,FALSE)</f>
        <v xml:space="preserve">Marriage account</v>
      </c>
      <c r="M2764" t="s">
        <v>124</v>
      </c>
      <c r="N2764" s="10"/>
      <c r="O2764" t="s">
        <v>3852</v>
      </c>
      <c r="Q2764" t="s">
        <v>126</v>
      </c>
      <c r="R2764" t="s">
        <v>124</v>
      </c>
      <c r="S2764" t="b">
        <v>0</v>
      </c>
      <c r="T2764" t="s">
        <v>124</v>
      </c>
    </row>
    <row r="2765">
      <c r="A2765" t="s">
        <v>5105</v>
      </c>
      <c r="B2765" t="s">
        <v>5106</v>
      </c>
      <c r="C2765" s="2">
        <v>2022</v>
      </c>
      <c r="D2765" s="10">
        <v>8</v>
      </c>
      <c r="E2765" s="10">
        <v>15</v>
      </c>
      <c r="F2765" t="s">
        <v>3932</v>
      </c>
      <c r="G2765">
        <v>100</v>
      </c>
      <c r="H2765" t="s">
        <v>69</v>
      </c>
      <c r="I2765" t="s">
        <v>150</v>
      </c>
      <c r="J2765" s="10" t="str">
        <f>VLOOKUP(I2765,Categories!A:B,2,FALSE)</f>
        <v xml:space="preserve">Food &amp; Coff</v>
      </c>
      <c r="K2765" t="s">
        <v>2317</v>
      </c>
      <c r="L2765" s="10" t="str">
        <f>VLOOKUP(K2765,Accounts!A:B,2,FALSE)</f>
        <v xml:space="preserve">Marriage account</v>
      </c>
      <c r="M2765" t="s">
        <v>124</v>
      </c>
      <c r="N2765" s="10"/>
      <c r="O2765" t="s">
        <v>3852</v>
      </c>
      <c r="Q2765" t="s">
        <v>126</v>
      </c>
      <c r="R2765" t="s">
        <v>124</v>
      </c>
      <c r="S2765" t="b">
        <v>0</v>
      </c>
      <c r="T2765" t="s">
        <v>124</v>
      </c>
    </row>
    <row r="2766">
      <c r="A2766" t="s">
        <v>5107</v>
      </c>
      <c r="B2766" t="s">
        <v>5106</v>
      </c>
      <c r="C2766" s="2">
        <v>2022</v>
      </c>
      <c r="D2766" s="10">
        <v>8</v>
      </c>
      <c r="E2766" s="10">
        <v>15</v>
      </c>
      <c r="F2766" t="s">
        <v>1651</v>
      </c>
      <c r="G2766">
        <v>456</v>
      </c>
      <c r="H2766" t="s">
        <v>69</v>
      </c>
      <c r="I2766" t="s">
        <v>259</v>
      </c>
      <c r="J2766" s="10" t="str">
        <f>VLOOKUP(I2766,Categories!A:B,2,FALSE)</f>
        <v xml:space="preserve">Team BOT</v>
      </c>
      <c r="K2766" t="s">
        <v>178</v>
      </c>
      <c r="L2766" s="10" t="str">
        <f>VLOOKUP(K2766,Accounts!A:B,2,FALSE)</f>
        <v>SCB</v>
      </c>
      <c r="M2766" t="s">
        <v>124</v>
      </c>
      <c r="N2766" s="10"/>
      <c r="O2766" t="s">
        <v>5108</v>
      </c>
      <c r="Q2766" t="s">
        <v>126</v>
      </c>
      <c r="R2766" t="s">
        <v>124</v>
      </c>
      <c r="S2766" t="b">
        <v>0</v>
      </c>
      <c r="T2766" t="s">
        <v>124</v>
      </c>
    </row>
    <row r="2767">
      <c r="A2767" t="s">
        <v>5109</v>
      </c>
      <c r="B2767" t="s">
        <v>5106</v>
      </c>
      <c r="C2767" s="2">
        <v>2022</v>
      </c>
      <c r="D2767" s="10">
        <v>8</v>
      </c>
      <c r="E2767" s="10">
        <v>15</v>
      </c>
      <c r="F2767" t="s">
        <v>2150</v>
      </c>
      <c r="G2767">
        <v>50</v>
      </c>
      <c r="H2767" t="s">
        <v>69</v>
      </c>
      <c r="I2767" t="s">
        <v>150</v>
      </c>
      <c r="J2767" s="10" t="str">
        <f>VLOOKUP(I2767,Categories!A:B,2,FALSE)</f>
        <v xml:space="preserve">Food &amp; Coff</v>
      </c>
      <c r="K2767" t="s">
        <v>178</v>
      </c>
      <c r="L2767" s="10" t="str">
        <f>VLOOKUP(K2767,Accounts!A:B,2,FALSE)</f>
        <v>SCB</v>
      </c>
      <c r="M2767" t="s">
        <v>124</v>
      </c>
      <c r="N2767" s="10"/>
      <c r="O2767" t="s">
        <v>3852</v>
      </c>
      <c r="Q2767" t="s">
        <v>126</v>
      </c>
      <c r="R2767" t="s">
        <v>124</v>
      </c>
      <c r="S2767" t="b">
        <v>0</v>
      </c>
      <c r="T2767" t="s">
        <v>124</v>
      </c>
    </row>
    <row r="2768">
      <c r="A2768" t="s">
        <v>5110</v>
      </c>
      <c r="B2768" t="s">
        <v>5111</v>
      </c>
      <c r="C2768" s="2">
        <v>2022</v>
      </c>
      <c r="D2768" s="10">
        <v>8</v>
      </c>
      <c r="E2768" s="10">
        <v>14</v>
      </c>
      <c r="F2768" t="s">
        <v>121</v>
      </c>
      <c r="G2768">
        <v>419</v>
      </c>
      <c r="H2768" t="s">
        <v>128</v>
      </c>
      <c r="I2768" t="s">
        <v>136</v>
      </c>
      <c r="J2768" s="10" t="str">
        <f>VLOOKUP(I2768,Categories!A:B,2,FALSE)</f>
        <v>อื่นๆ</v>
      </c>
      <c r="K2768" t="s">
        <v>178</v>
      </c>
      <c r="L2768" s="10" t="str">
        <f>VLOOKUP(K2768,Accounts!A:B,2,FALSE)</f>
        <v>SCB</v>
      </c>
      <c r="M2768" t="s">
        <v>747</v>
      </c>
      <c r="N2768" s="10" t="str">
        <f>VLOOKUP(M2768,Accounts!A:B,2,FALSE)</f>
        <v xml:space="preserve">UOB world</v>
      </c>
      <c r="O2768" t="s">
        <v>125</v>
      </c>
      <c r="Q2768" t="s">
        <v>126</v>
      </c>
      <c r="R2768" t="s">
        <v>124</v>
      </c>
      <c r="S2768" t="b">
        <v>0</v>
      </c>
      <c r="T2768" t="s">
        <v>124</v>
      </c>
    </row>
    <row r="2769">
      <c r="A2769" t="s">
        <v>5112</v>
      </c>
      <c r="B2769" t="s">
        <v>5111</v>
      </c>
      <c r="C2769" s="2">
        <v>2022</v>
      </c>
      <c r="D2769" s="10">
        <v>8</v>
      </c>
      <c r="E2769" s="10">
        <v>14</v>
      </c>
      <c r="F2769" t="s">
        <v>121</v>
      </c>
      <c r="G2769">
        <v>419</v>
      </c>
      <c r="H2769" t="s">
        <v>69</v>
      </c>
      <c r="I2769" t="s">
        <v>1903</v>
      </c>
      <c r="J2769" s="10" t="str">
        <f>VLOOKUP(I2769,Categories!A:B,2,FALSE)</f>
        <v xml:space="preserve">Monthly subscription</v>
      </c>
      <c r="K2769" t="s">
        <v>747</v>
      </c>
      <c r="L2769" s="10" t="str">
        <f>VLOOKUP(K2769,Accounts!A:B,2,FALSE)</f>
        <v xml:space="preserve">UOB world</v>
      </c>
      <c r="M2769" t="s">
        <v>124</v>
      </c>
      <c r="N2769" s="10"/>
      <c r="O2769" t="s">
        <v>125</v>
      </c>
      <c r="Q2769" t="s">
        <v>126</v>
      </c>
      <c r="R2769" t="s">
        <v>124</v>
      </c>
      <c r="S2769" t="b">
        <v>0</v>
      </c>
      <c r="T2769" t="s">
        <v>124</v>
      </c>
    </row>
    <row r="2770">
      <c r="A2770" t="s">
        <v>5113</v>
      </c>
      <c r="B2770" t="s">
        <v>5111</v>
      </c>
      <c r="C2770" s="2">
        <v>2022</v>
      </c>
      <c r="D2770" s="10">
        <v>8</v>
      </c>
      <c r="E2770" s="10">
        <v>14</v>
      </c>
      <c r="F2770" t="s">
        <v>1659</v>
      </c>
      <c r="G2770">
        <v>82</v>
      </c>
      <c r="H2770" t="s">
        <v>69</v>
      </c>
      <c r="I2770" t="s">
        <v>150</v>
      </c>
      <c r="J2770" s="10" t="str">
        <f>VLOOKUP(I2770,Categories!A:B,2,FALSE)</f>
        <v xml:space="preserve">Food &amp; Coff</v>
      </c>
      <c r="K2770" t="s">
        <v>178</v>
      </c>
      <c r="L2770" s="10" t="str">
        <f>VLOOKUP(K2770,Accounts!A:B,2,FALSE)</f>
        <v>SCB</v>
      </c>
      <c r="M2770" t="s">
        <v>124</v>
      </c>
      <c r="N2770" s="10"/>
      <c r="O2770" t="s">
        <v>5114</v>
      </c>
      <c r="Q2770" t="s">
        <v>126</v>
      </c>
      <c r="R2770" t="s">
        <v>124</v>
      </c>
      <c r="S2770" t="b">
        <v>0</v>
      </c>
      <c r="T2770" t="s">
        <v>124</v>
      </c>
    </row>
    <row r="2771">
      <c r="A2771" t="s">
        <v>5115</v>
      </c>
      <c r="B2771" t="s">
        <v>5111</v>
      </c>
      <c r="C2771" s="2">
        <v>2022</v>
      </c>
      <c r="D2771" s="10">
        <v>8</v>
      </c>
      <c r="E2771" s="10">
        <v>14</v>
      </c>
      <c r="F2771" t="s">
        <v>794</v>
      </c>
      <c r="G2771">
        <v>1381</v>
      </c>
      <c r="H2771" t="s">
        <v>69</v>
      </c>
      <c r="I2771" t="s">
        <v>150</v>
      </c>
      <c r="J2771" s="10" t="str">
        <f>VLOOKUP(I2771,Categories!A:B,2,FALSE)</f>
        <v xml:space="preserve">Food &amp; Coff</v>
      </c>
      <c r="K2771" t="s">
        <v>178</v>
      </c>
      <c r="L2771" s="10" t="str">
        <f>VLOOKUP(K2771,Accounts!A:B,2,FALSE)</f>
        <v>SCB</v>
      </c>
      <c r="M2771" t="s">
        <v>124</v>
      </c>
      <c r="N2771" s="10"/>
      <c r="O2771" t="s">
        <v>125</v>
      </c>
      <c r="Q2771" t="s">
        <v>126</v>
      </c>
      <c r="R2771" t="s">
        <v>124</v>
      </c>
      <c r="S2771" t="b">
        <v>0</v>
      </c>
      <c r="T2771" t="s">
        <v>124</v>
      </c>
    </row>
    <row r="2772">
      <c r="A2772" t="s">
        <v>5116</v>
      </c>
      <c r="B2772" t="s">
        <v>5117</v>
      </c>
      <c r="C2772" s="2">
        <v>2022</v>
      </c>
      <c r="D2772" s="10">
        <v>8</v>
      </c>
      <c r="E2772" s="10">
        <v>13</v>
      </c>
      <c r="F2772" t="s">
        <v>3164</v>
      </c>
      <c r="G2772">
        <v>100</v>
      </c>
      <c r="H2772" t="s">
        <v>69</v>
      </c>
      <c r="I2772" t="s">
        <v>150</v>
      </c>
      <c r="J2772" s="10" t="str">
        <f>VLOOKUP(I2772,Categories!A:B,2,FALSE)</f>
        <v xml:space="preserve">Food &amp; Coff</v>
      </c>
      <c r="K2772" t="s">
        <v>178</v>
      </c>
      <c r="L2772" s="10" t="str">
        <f>VLOOKUP(K2772,Accounts!A:B,2,FALSE)</f>
        <v>SCB</v>
      </c>
      <c r="M2772" t="s">
        <v>124</v>
      </c>
      <c r="N2772" s="10"/>
      <c r="O2772" t="s">
        <v>5118</v>
      </c>
      <c r="Q2772" t="s">
        <v>126</v>
      </c>
      <c r="R2772" t="s">
        <v>124</v>
      </c>
      <c r="S2772" t="b">
        <v>0</v>
      </c>
      <c r="T2772" t="s">
        <v>124</v>
      </c>
    </row>
    <row r="2773">
      <c r="A2773" t="s">
        <v>5119</v>
      </c>
      <c r="B2773" t="s">
        <v>5117</v>
      </c>
      <c r="C2773" s="2">
        <v>2022</v>
      </c>
      <c r="D2773" s="10">
        <v>8</v>
      </c>
      <c r="E2773" s="10">
        <v>13</v>
      </c>
      <c r="F2773" t="s">
        <v>468</v>
      </c>
      <c r="G2773">
        <v>1318</v>
      </c>
      <c r="H2773" t="s">
        <v>69</v>
      </c>
      <c r="I2773" t="s">
        <v>150</v>
      </c>
      <c r="J2773" s="10" t="str">
        <f>VLOOKUP(I2773,Categories!A:B,2,FALSE)</f>
        <v xml:space="preserve">Food &amp; Coff</v>
      </c>
      <c r="K2773" t="s">
        <v>2317</v>
      </c>
      <c r="L2773" s="10" t="str">
        <f>VLOOKUP(K2773,Accounts!A:B,2,FALSE)</f>
        <v xml:space="preserve">Marriage account</v>
      </c>
      <c r="M2773" t="s">
        <v>124</v>
      </c>
      <c r="N2773" s="10"/>
      <c r="O2773" t="s">
        <v>4235</v>
      </c>
      <c r="Q2773" t="s">
        <v>126</v>
      </c>
      <c r="R2773" t="s">
        <v>124</v>
      </c>
      <c r="S2773" t="b">
        <v>0</v>
      </c>
      <c r="T2773" t="s">
        <v>124</v>
      </c>
    </row>
    <row r="2774">
      <c r="A2774" t="s">
        <v>5120</v>
      </c>
      <c r="B2774" t="s">
        <v>5117</v>
      </c>
      <c r="C2774" s="2">
        <v>2022</v>
      </c>
      <c r="D2774" s="10">
        <v>8</v>
      </c>
      <c r="E2774" s="10">
        <v>13</v>
      </c>
      <c r="F2774" t="s">
        <v>3305</v>
      </c>
      <c r="G2774">
        <v>1105.2</v>
      </c>
      <c r="H2774" t="s">
        <v>69</v>
      </c>
      <c r="I2774" t="s">
        <v>3276</v>
      </c>
      <c r="J2774" s="10" t="str">
        <f>VLOOKUP(I2774,Categories!A:B,2,FALSE)</f>
        <v>Fuel</v>
      </c>
      <c r="K2774" t="s">
        <v>2317</v>
      </c>
      <c r="L2774" s="10" t="str">
        <f>VLOOKUP(K2774,Accounts!A:B,2,FALSE)</f>
        <v xml:space="preserve">Marriage account</v>
      </c>
      <c r="M2774" t="s">
        <v>124</v>
      </c>
      <c r="N2774" s="10"/>
      <c r="O2774" t="s">
        <v>125</v>
      </c>
      <c r="Q2774" t="s">
        <v>126</v>
      </c>
      <c r="R2774" t="s">
        <v>124</v>
      </c>
      <c r="S2774" t="b">
        <v>0</v>
      </c>
      <c r="T2774" t="s">
        <v>124</v>
      </c>
    </row>
    <row r="2775">
      <c r="A2775" t="s">
        <v>5121</v>
      </c>
      <c r="B2775" t="s">
        <v>5117</v>
      </c>
      <c r="C2775" s="2">
        <v>2022</v>
      </c>
      <c r="D2775" s="10">
        <v>8</v>
      </c>
      <c r="E2775" s="10">
        <v>13</v>
      </c>
      <c r="F2775" t="s">
        <v>3305</v>
      </c>
      <c r="G2775">
        <v>56</v>
      </c>
      <c r="H2775" t="s">
        <v>69</v>
      </c>
      <c r="I2775" t="s">
        <v>150</v>
      </c>
      <c r="J2775" s="10" t="str">
        <f>VLOOKUP(I2775,Categories!A:B,2,FALSE)</f>
        <v xml:space="preserve">Food &amp; Coff</v>
      </c>
      <c r="K2775" t="s">
        <v>2317</v>
      </c>
      <c r="L2775" s="10" t="str">
        <f>VLOOKUP(K2775,Accounts!A:B,2,FALSE)</f>
        <v xml:space="preserve">Marriage account</v>
      </c>
      <c r="M2775" t="s">
        <v>124</v>
      </c>
      <c r="N2775" s="10"/>
      <c r="O2775" t="s">
        <v>5122</v>
      </c>
      <c r="Q2775" t="s">
        <v>126</v>
      </c>
      <c r="R2775" t="s">
        <v>124</v>
      </c>
      <c r="S2775" t="b">
        <v>0</v>
      </c>
      <c r="T2775" t="s">
        <v>124</v>
      </c>
    </row>
    <row r="2776">
      <c r="A2776" t="s">
        <v>5123</v>
      </c>
      <c r="B2776" t="s">
        <v>5117</v>
      </c>
      <c r="C2776" s="2">
        <v>2022</v>
      </c>
      <c r="D2776" s="10">
        <v>8</v>
      </c>
      <c r="E2776" s="10">
        <v>13</v>
      </c>
      <c r="F2776" t="s">
        <v>3305</v>
      </c>
      <c r="G2776">
        <v>33</v>
      </c>
      <c r="H2776" t="s">
        <v>69</v>
      </c>
      <c r="I2776" t="s">
        <v>150</v>
      </c>
      <c r="J2776" s="10" t="str">
        <f>VLOOKUP(I2776,Categories!A:B,2,FALSE)</f>
        <v xml:space="preserve">Food &amp; Coff</v>
      </c>
      <c r="K2776" t="s">
        <v>2317</v>
      </c>
      <c r="L2776" s="10" t="str">
        <f>VLOOKUP(K2776,Accounts!A:B,2,FALSE)</f>
        <v xml:space="preserve">Marriage account</v>
      </c>
      <c r="M2776" t="s">
        <v>124</v>
      </c>
      <c r="N2776" s="10"/>
      <c r="O2776" t="s">
        <v>5124</v>
      </c>
      <c r="Q2776" t="s">
        <v>126</v>
      </c>
      <c r="R2776" t="s">
        <v>124</v>
      </c>
      <c r="S2776" t="b">
        <v>0</v>
      </c>
      <c r="T2776" t="s">
        <v>124</v>
      </c>
    </row>
    <row r="2777">
      <c r="A2777" t="s">
        <v>5125</v>
      </c>
      <c r="B2777" t="s">
        <v>5117</v>
      </c>
      <c r="C2777" s="2">
        <v>2022</v>
      </c>
      <c r="D2777" s="10">
        <v>8</v>
      </c>
      <c r="E2777" s="10">
        <v>13</v>
      </c>
      <c r="F2777" t="s">
        <v>1974</v>
      </c>
      <c r="G2777">
        <v>531</v>
      </c>
      <c r="H2777" t="s">
        <v>69</v>
      </c>
      <c r="I2777" t="s">
        <v>150</v>
      </c>
      <c r="J2777" s="10" t="str">
        <f>VLOOKUP(I2777,Categories!A:B,2,FALSE)</f>
        <v xml:space="preserve">Food &amp; Coff</v>
      </c>
      <c r="K2777" t="s">
        <v>2317</v>
      </c>
      <c r="L2777" s="10" t="str">
        <f>VLOOKUP(K2777,Accounts!A:B,2,FALSE)</f>
        <v xml:space="preserve">Marriage account</v>
      </c>
      <c r="M2777" t="s">
        <v>124</v>
      </c>
      <c r="N2777" s="10"/>
      <c r="O2777" t="s">
        <v>5126</v>
      </c>
      <c r="Q2777" t="s">
        <v>126</v>
      </c>
      <c r="R2777" t="s">
        <v>124</v>
      </c>
      <c r="S2777" t="b">
        <v>0</v>
      </c>
      <c r="T2777" t="s">
        <v>124</v>
      </c>
    </row>
    <row r="2778">
      <c r="A2778" t="s">
        <v>5127</v>
      </c>
      <c r="B2778" t="s">
        <v>5117</v>
      </c>
      <c r="C2778" s="2">
        <v>2022</v>
      </c>
      <c r="D2778" s="10">
        <v>8</v>
      </c>
      <c r="E2778" s="10">
        <v>13</v>
      </c>
      <c r="F2778" t="s">
        <v>984</v>
      </c>
      <c r="G2778">
        <v>4593.8500000000004</v>
      </c>
      <c r="H2778" t="s">
        <v>69</v>
      </c>
      <c r="I2778" t="s">
        <v>259</v>
      </c>
      <c r="J2778" s="10" t="str">
        <f>VLOOKUP(I2778,Categories!A:B,2,FALSE)</f>
        <v xml:space="preserve">Team BOT</v>
      </c>
      <c r="K2778" t="s">
        <v>123</v>
      </c>
      <c r="L2778" s="10" t="str">
        <f>VLOOKUP(K2778,Accounts!A:B,2,FALSE)</f>
        <v>KBank</v>
      </c>
      <c r="M2778" t="s">
        <v>124</v>
      </c>
      <c r="N2778" s="10"/>
      <c r="O2778" t="s">
        <v>1526</v>
      </c>
      <c r="Q2778" t="s">
        <v>126</v>
      </c>
      <c r="R2778" t="s">
        <v>124</v>
      </c>
      <c r="S2778" t="b">
        <v>0</v>
      </c>
      <c r="T2778" t="s">
        <v>124</v>
      </c>
    </row>
    <row r="2779">
      <c r="A2779" t="s">
        <v>5128</v>
      </c>
      <c r="B2779" t="s">
        <v>5129</v>
      </c>
      <c r="C2779" s="2">
        <v>2022</v>
      </c>
      <c r="D2779" s="10">
        <v>8</v>
      </c>
      <c r="E2779" s="10">
        <v>12</v>
      </c>
      <c r="F2779" t="s">
        <v>1066</v>
      </c>
      <c r="G2779">
        <v>345</v>
      </c>
      <c r="H2779" t="s">
        <v>69</v>
      </c>
      <c r="I2779" t="s">
        <v>144</v>
      </c>
      <c r="J2779" s="10" t="str">
        <f>VLOOKUP(I2779,Categories!A:B,2,FALSE)</f>
        <v xml:space="preserve">Family paid</v>
      </c>
      <c r="K2779" t="s">
        <v>178</v>
      </c>
      <c r="L2779" s="10" t="str">
        <f>VLOOKUP(K2779,Accounts!A:B,2,FALSE)</f>
        <v>SCB</v>
      </c>
      <c r="M2779" t="s">
        <v>124</v>
      </c>
      <c r="N2779" s="10"/>
      <c r="O2779" t="s">
        <v>1488</v>
      </c>
      <c r="Q2779" t="s">
        <v>126</v>
      </c>
      <c r="R2779" t="s">
        <v>124</v>
      </c>
      <c r="S2779" t="b">
        <v>0</v>
      </c>
      <c r="T2779" t="s">
        <v>124</v>
      </c>
    </row>
    <row r="2780">
      <c r="A2780" t="s">
        <v>5130</v>
      </c>
      <c r="B2780" t="s">
        <v>5129</v>
      </c>
      <c r="C2780" s="2">
        <v>2022</v>
      </c>
      <c r="D2780" s="10">
        <v>8</v>
      </c>
      <c r="E2780" s="10">
        <v>12</v>
      </c>
      <c r="F2780" t="s">
        <v>924</v>
      </c>
      <c r="G2780">
        <v>269</v>
      </c>
      <c r="H2780" t="s">
        <v>69</v>
      </c>
      <c r="I2780" t="s">
        <v>141</v>
      </c>
      <c r="J2780" s="10" t="str">
        <f>VLOOKUP(I2780,Categories!A:B,2,FALSE)</f>
        <v>Other</v>
      </c>
      <c r="K2780" t="s">
        <v>2317</v>
      </c>
      <c r="L2780" s="10" t="str">
        <f>VLOOKUP(K2780,Accounts!A:B,2,FALSE)</f>
        <v xml:space="preserve">Marriage account</v>
      </c>
      <c r="M2780" t="s">
        <v>124</v>
      </c>
      <c r="N2780" s="10"/>
      <c r="O2780" t="s">
        <v>5131</v>
      </c>
      <c r="Q2780" t="s">
        <v>126</v>
      </c>
      <c r="R2780" t="s">
        <v>124</v>
      </c>
      <c r="S2780" t="b">
        <v>0</v>
      </c>
      <c r="T2780" t="s">
        <v>124</v>
      </c>
    </row>
    <row r="2781">
      <c r="A2781" t="s">
        <v>5132</v>
      </c>
      <c r="B2781" t="s">
        <v>5129</v>
      </c>
      <c r="C2781" s="2">
        <v>2022</v>
      </c>
      <c r="D2781" s="10">
        <v>8</v>
      </c>
      <c r="E2781" s="10">
        <v>12</v>
      </c>
      <c r="F2781" t="s">
        <v>903</v>
      </c>
      <c r="G2781">
        <v>269</v>
      </c>
      <c r="H2781" t="s">
        <v>128</v>
      </c>
      <c r="I2781" t="s">
        <v>136</v>
      </c>
      <c r="J2781" s="10" t="str">
        <f>VLOOKUP(I2781,Categories!A:B,2,FALSE)</f>
        <v>อื่นๆ</v>
      </c>
      <c r="K2781" t="s">
        <v>893</v>
      </c>
      <c r="L2781" s="10" t="str">
        <f>VLOOKUP(K2781,Accounts!A:B,2,FALSE)</f>
        <v>Shopee</v>
      </c>
      <c r="M2781" t="s">
        <v>178</v>
      </c>
      <c r="N2781" s="10" t="str">
        <f>VLOOKUP(M2781,Accounts!A:B,2,FALSE)</f>
        <v>SCB</v>
      </c>
      <c r="O2781" t="s">
        <v>125</v>
      </c>
      <c r="Q2781" t="s">
        <v>126</v>
      </c>
      <c r="R2781" t="s">
        <v>124</v>
      </c>
      <c r="S2781" t="b">
        <v>0</v>
      </c>
      <c r="T2781" t="s">
        <v>124</v>
      </c>
    </row>
    <row r="2782">
      <c r="A2782" t="s">
        <v>5133</v>
      </c>
      <c r="B2782" t="s">
        <v>5134</v>
      </c>
      <c r="C2782" s="2">
        <v>2022</v>
      </c>
      <c r="D2782" s="10">
        <v>8</v>
      </c>
      <c r="E2782" s="10">
        <v>10</v>
      </c>
      <c r="F2782" t="s">
        <v>5135</v>
      </c>
      <c r="G2782">
        <v>50000</v>
      </c>
      <c r="H2782" t="s">
        <v>128</v>
      </c>
      <c r="I2782" t="s">
        <v>136</v>
      </c>
      <c r="J2782" s="10" t="str">
        <f>VLOOKUP(I2782,Categories!A:B,2,FALSE)</f>
        <v>อื่นๆ</v>
      </c>
      <c r="K2782" t="s">
        <v>201</v>
      </c>
      <c r="L2782" s="10" t="str">
        <f>VLOOKUP(K2782,Accounts!A:B,2,FALSE)</f>
        <v>Coop</v>
      </c>
      <c r="M2782" t="s">
        <v>178</v>
      </c>
      <c r="N2782" s="10" t="str">
        <f>VLOOKUP(M2782,Accounts!A:B,2,FALSE)</f>
        <v>SCB</v>
      </c>
      <c r="O2782" t="s">
        <v>5136</v>
      </c>
      <c r="Q2782" t="s">
        <v>126</v>
      </c>
      <c r="R2782" t="s">
        <v>124</v>
      </c>
      <c r="S2782" t="b">
        <v>0</v>
      </c>
      <c r="T2782" t="s">
        <v>124</v>
      </c>
    </row>
    <row r="2783">
      <c r="A2783" t="s">
        <v>5137</v>
      </c>
      <c r="B2783" t="s">
        <v>5134</v>
      </c>
      <c r="C2783" s="2">
        <v>2022</v>
      </c>
      <c r="D2783" s="10">
        <v>8</v>
      </c>
      <c r="E2783" s="10">
        <v>10</v>
      </c>
      <c r="F2783" t="s">
        <v>3111</v>
      </c>
      <c r="G2783">
        <v>100</v>
      </c>
      <c r="H2783" t="s">
        <v>69</v>
      </c>
      <c r="I2783" t="s">
        <v>150</v>
      </c>
      <c r="J2783" s="10" t="str">
        <f>VLOOKUP(I2783,Categories!A:B,2,FALSE)</f>
        <v xml:space="preserve">Food &amp; Coff</v>
      </c>
      <c r="K2783" t="s">
        <v>2317</v>
      </c>
      <c r="L2783" s="10" t="str">
        <f>VLOOKUP(K2783,Accounts!A:B,2,FALSE)</f>
        <v xml:space="preserve">Marriage account</v>
      </c>
      <c r="M2783" t="s">
        <v>124</v>
      </c>
      <c r="N2783" s="10"/>
      <c r="O2783" t="s">
        <v>125</v>
      </c>
      <c r="Q2783" t="s">
        <v>126</v>
      </c>
      <c r="R2783" t="s">
        <v>124</v>
      </c>
      <c r="S2783" t="b">
        <v>0</v>
      </c>
      <c r="T2783" t="s">
        <v>124</v>
      </c>
    </row>
    <row r="2784">
      <c r="A2784" t="s">
        <v>5138</v>
      </c>
      <c r="B2784" t="s">
        <v>5134</v>
      </c>
      <c r="C2784" s="2">
        <v>2022</v>
      </c>
      <c r="D2784" s="10">
        <v>8</v>
      </c>
      <c r="E2784" s="10">
        <v>10</v>
      </c>
      <c r="F2784" t="s">
        <v>1797</v>
      </c>
      <c r="G2784">
        <v>86</v>
      </c>
      <c r="H2784" t="s">
        <v>69</v>
      </c>
      <c r="I2784" t="s">
        <v>150</v>
      </c>
      <c r="J2784" s="10" t="str">
        <f>VLOOKUP(I2784,Categories!A:B,2,FALSE)</f>
        <v xml:space="preserve">Food &amp; Coff</v>
      </c>
      <c r="K2784" t="s">
        <v>178</v>
      </c>
      <c r="L2784" s="10" t="str">
        <f>VLOOKUP(K2784,Accounts!A:B,2,FALSE)</f>
        <v>SCB</v>
      </c>
      <c r="M2784" t="s">
        <v>124</v>
      </c>
      <c r="N2784" s="10"/>
      <c r="O2784" t="s">
        <v>125</v>
      </c>
      <c r="Q2784" t="s">
        <v>126</v>
      </c>
      <c r="R2784" t="s">
        <v>124</v>
      </c>
      <c r="S2784" t="b">
        <v>0</v>
      </c>
      <c r="T2784" t="s">
        <v>124</v>
      </c>
    </row>
    <row r="2785">
      <c r="A2785" t="s">
        <v>5139</v>
      </c>
      <c r="B2785" t="s">
        <v>5134</v>
      </c>
      <c r="C2785" s="2">
        <v>2022</v>
      </c>
      <c r="D2785" s="10">
        <v>8</v>
      </c>
      <c r="E2785" s="10">
        <v>10</v>
      </c>
      <c r="F2785" t="s">
        <v>2150</v>
      </c>
      <c r="G2785">
        <v>60</v>
      </c>
      <c r="H2785" t="s">
        <v>69</v>
      </c>
      <c r="I2785" t="s">
        <v>150</v>
      </c>
      <c r="J2785" s="10" t="str">
        <f>VLOOKUP(I2785,Categories!A:B,2,FALSE)</f>
        <v xml:space="preserve">Food &amp; Coff</v>
      </c>
      <c r="K2785" t="s">
        <v>178</v>
      </c>
      <c r="L2785" s="10" t="str">
        <f>VLOOKUP(K2785,Accounts!A:B,2,FALSE)</f>
        <v>SCB</v>
      </c>
      <c r="M2785" t="s">
        <v>124</v>
      </c>
      <c r="N2785" s="10"/>
      <c r="O2785" t="s">
        <v>5140</v>
      </c>
      <c r="Q2785" t="s">
        <v>126</v>
      </c>
      <c r="R2785" t="s">
        <v>124</v>
      </c>
      <c r="S2785" t="b">
        <v>0</v>
      </c>
      <c r="T2785" t="s">
        <v>124</v>
      </c>
    </row>
    <row r="2786">
      <c r="A2786" t="s">
        <v>5141</v>
      </c>
      <c r="B2786" t="s">
        <v>5134</v>
      </c>
      <c r="C2786" s="2">
        <v>2022</v>
      </c>
      <c r="D2786" s="10">
        <v>8</v>
      </c>
      <c r="E2786" s="10">
        <v>10</v>
      </c>
      <c r="F2786" t="s">
        <v>1957</v>
      </c>
      <c r="G2786">
        <v>85</v>
      </c>
      <c r="H2786" t="s">
        <v>69</v>
      </c>
      <c r="I2786" t="s">
        <v>150</v>
      </c>
      <c r="J2786" s="10" t="str">
        <f>VLOOKUP(I2786,Categories!A:B,2,FALSE)</f>
        <v xml:space="preserve">Food &amp; Coff</v>
      </c>
      <c r="K2786" t="s">
        <v>2317</v>
      </c>
      <c r="L2786" s="10" t="str">
        <f>VLOOKUP(K2786,Accounts!A:B,2,FALSE)</f>
        <v xml:space="preserve">Marriage account</v>
      </c>
      <c r="M2786" t="s">
        <v>124</v>
      </c>
      <c r="N2786" s="10"/>
      <c r="O2786" t="s">
        <v>4655</v>
      </c>
      <c r="Q2786" t="s">
        <v>126</v>
      </c>
      <c r="R2786" t="s">
        <v>124</v>
      </c>
      <c r="S2786" t="b">
        <v>0</v>
      </c>
      <c r="T2786" t="s">
        <v>124</v>
      </c>
    </row>
    <row r="2787">
      <c r="A2787" t="s">
        <v>5142</v>
      </c>
      <c r="B2787" t="s">
        <v>5134</v>
      </c>
      <c r="C2787" s="2">
        <v>2022</v>
      </c>
      <c r="D2787" s="10">
        <v>8</v>
      </c>
      <c r="E2787" s="10">
        <v>10</v>
      </c>
      <c r="F2787" t="s">
        <v>5143</v>
      </c>
      <c r="G2787">
        <v>100</v>
      </c>
      <c r="H2787" t="s">
        <v>69</v>
      </c>
      <c r="I2787" t="s">
        <v>150</v>
      </c>
      <c r="J2787" s="10" t="str">
        <f>VLOOKUP(I2787,Categories!A:B,2,FALSE)</f>
        <v xml:space="preserve">Food &amp; Coff</v>
      </c>
      <c r="K2787" t="s">
        <v>2317</v>
      </c>
      <c r="L2787" s="10" t="str">
        <f>VLOOKUP(K2787,Accounts!A:B,2,FALSE)</f>
        <v xml:space="preserve">Marriage account</v>
      </c>
      <c r="M2787" t="s">
        <v>124</v>
      </c>
      <c r="N2787" s="10"/>
      <c r="O2787" t="s">
        <v>5144</v>
      </c>
      <c r="Q2787" t="s">
        <v>126</v>
      </c>
      <c r="R2787" t="s">
        <v>124</v>
      </c>
      <c r="S2787" t="b">
        <v>0</v>
      </c>
      <c r="T2787" t="s">
        <v>124</v>
      </c>
    </row>
    <row r="2788">
      <c r="A2788" t="s">
        <v>5145</v>
      </c>
      <c r="B2788" t="s">
        <v>5146</v>
      </c>
      <c r="C2788" s="2">
        <v>2022</v>
      </c>
      <c r="D2788" s="10">
        <v>8</v>
      </c>
      <c r="E2788" s="10">
        <v>9</v>
      </c>
      <c r="F2788" t="s">
        <v>3408</v>
      </c>
      <c r="G2788">
        <v>100</v>
      </c>
      <c r="H2788" t="s">
        <v>69</v>
      </c>
      <c r="I2788" t="s">
        <v>150</v>
      </c>
      <c r="J2788" s="10" t="str">
        <f>VLOOKUP(I2788,Categories!A:B,2,FALSE)</f>
        <v xml:space="preserve">Food &amp; Coff</v>
      </c>
      <c r="K2788" t="s">
        <v>2317</v>
      </c>
      <c r="L2788" s="10" t="str">
        <f>VLOOKUP(K2788,Accounts!A:B,2,FALSE)</f>
        <v xml:space="preserve">Marriage account</v>
      </c>
      <c r="M2788" t="s">
        <v>124</v>
      </c>
      <c r="N2788" s="10"/>
      <c r="O2788" t="s">
        <v>125</v>
      </c>
      <c r="Q2788" t="s">
        <v>126</v>
      </c>
      <c r="R2788" t="s">
        <v>124</v>
      </c>
      <c r="S2788" t="b">
        <v>0</v>
      </c>
      <c r="T2788" t="s">
        <v>124</v>
      </c>
    </row>
    <row r="2789">
      <c r="A2789" t="s">
        <v>5147</v>
      </c>
      <c r="B2789" t="s">
        <v>5146</v>
      </c>
      <c r="C2789" s="2">
        <v>2022</v>
      </c>
      <c r="D2789" s="10">
        <v>8</v>
      </c>
      <c r="E2789" s="10">
        <v>9</v>
      </c>
      <c r="F2789" t="s">
        <v>2916</v>
      </c>
      <c r="G2789">
        <v>55</v>
      </c>
      <c r="H2789" t="s">
        <v>69</v>
      </c>
      <c r="I2789" t="s">
        <v>150</v>
      </c>
      <c r="J2789" s="10" t="str">
        <f>VLOOKUP(I2789,Categories!A:B,2,FALSE)</f>
        <v xml:space="preserve">Food &amp; Coff</v>
      </c>
      <c r="K2789" t="s">
        <v>178</v>
      </c>
      <c r="L2789" s="10" t="str">
        <f>VLOOKUP(K2789,Accounts!A:B,2,FALSE)</f>
        <v>SCB</v>
      </c>
      <c r="M2789" t="s">
        <v>124</v>
      </c>
      <c r="N2789" s="10"/>
      <c r="O2789" t="s">
        <v>125</v>
      </c>
      <c r="Q2789" t="s">
        <v>126</v>
      </c>
      <c r="R2789" t="s">
        <v>124</v>
      </c>
      <c r="S2789" t="b">
        <v>0</v>
      </c>
      <c r="T2789" t="s">
        <v>124</v>
      </c>
    </row>
    <row r="2790">
      <c r="A2790" t="s">
        <v>5148</v>
      </c>
      <c r="B2790" t="s">
        <v>5146</v>
      </c>
      <c r="C2790" s="2">
        <v>2022</v>
      </c>
      <c r="D2790" s="10">
        <v>8</v>
      </c>
      <c r="E2790" s="10">
        <v>9</v>
      </c>
      <c r="F2790" t="s">
        <v>221</v>
      </c>
      <c r="G2790">
        <v>57</v>
      </c>
      <c r="H2790" t="s">
        <v>69</v>
      </c>
      <c r="I2790" t="s">
        <v>150</v>
      </c>
      <c r="J2790" s="10" t="str">
        <f>VLOOKUP(I2790,Categories!A:B,2,FALSE)</f>
        <v xml:space="preserve">Food &amp; Coff</v>
      </c>
      <c r="K2790" t="s">
        <v>178</v>
      </c>
      <c r="L2790" s="10" t="str">
        <f>VLOOKUP(K2790,Accounts!A:B,2,FALSE)</f>
        <v>SCB</v>
      </c>
      <c r="M2790" t="s">
        <v>124</v>
      </c>
      <c r="N2790" s="10"/>
      <c r="O2790" t="s">
        <v>125</v>
      </c>
      <c r="Q2790" t="s">
        <v>126</v>
      </c>
      <c r="R2790" t="s">
        <v>124</v>
      </c>
      <c r="S2790" t="b">
        <v>0</v>
      </c>
      <c r="T2790" t="s">
        <v>124</v>
      </c>
    </row>
    <row r="2791">
      <c r="A2791" t="s">
        <v>5149</v>
      </c>
      <c r="B2791" t="s">
        <v>5146</v>
      </c>
      <c r="C2791" s="2">
        <v>2022</v>
      </c>
      <c r="D2791" s="10">
        <v>8</v>
      </c>
      <c r="E2791" s="10">
        <v>9</v>
      </c>
      <c r="F2791" t="s">
        <v>247</v>
      </c>
      <c r="G2791">
        <v>50</v>
      </c>
      <c r="H2791" t="s">
        <v>69</v>
      </c>
      <c r="I2791" t="s">
        <v>150</v>
      </c>
      <c r="J2791" s="10" t="str">
        <f>VLOOKUP(I2791,Categories!A:B,2,FALSE)</f>
        <v xml:space="preserve">Food &amp; Coff</v>
      </c>
      <c r="K2791" t="s">
        <v>178</v>
      </c>
      <c r="L2791" s="10" t="str">
        <f>VLOOKUP(K2791,Accounts!A:B,2,FALSE)</f>
        <v>SCB</v>
      </c>
      <c r="M2791" t="s">
        <v>124</v>
      </c>
      <c r="N2791" s="10"/>
      <c r="O2791" t="s">
        <v>3852</v>
      </c>
      <c r="Q2791" t="s">
        <v>126</v>
      </c>
      <c r="R2791" t="s">
        <v>124</v>
      </c>
      <c r="S2791" t="b">
        <v>0</v>
      </c>
      <c r="T2791" t="s">
        <v>124</v>
      </c>
    </row>
    <row r="2792">
      <c r="A2792" t="s">
        <v>5150</v>
      </c>
      <c r="B2792" t="s">
        <v>5151</v>
      </c>
      <c r="C2792" s="2">
        <v>2022</v>
      </c>
      <c r="D2792" s="10">
        <v>8</v>
      </c>
      <c r="E2792" s="10">
        <v>8</v>
      </c>
      <c r="F2792" t="s">
        <v>3197</v>
      </c>
      <c r="G2792">
        <v>50</v>
      </c>
      <c r="H2792" t="s">
        <v>69</v>
      </c>
      <c r="I2792" t="s">
        <v>150</v>
      </c>
      <c r="J2792" s="10" t="str">
        <f>VLOOKUP(I2792,Categories!A:B,2,FALSE)</f>
        <v xml:space="preserve">Food &amp; Coff</v>
      </c>
      <c r="K2792" t="s">
        <v>123</v>
      </c>
      <c r="L2792" s="10" t="str">
        <f>VLOOKUP(K2792,Accounts!A:B,2,FALSE)</f>
        <v>KBank</v>
      </c>
      <c r="M2792" t="s">
        <v>124</v>
      </c>
      <c r="N2792" s="10"/>
      <c r="O2792" t="s">
        <v>125</v>
      </c>
      <c r="Q2792" t="s">
        <v>126</v>
      </c>
      <c r="R2792" t="s">
        <v>124</v>
      </c>
      <c r="S2792" t="b">
        <v>0</v>
      </c>
      <c r="T2792" t="s">
        <v>124</v>
      </c>
    </row>
    <row r="2793">
      <c r="A2793" t="s">
        <v>5152</v>
      </c>
      <c r="B2793" t="s">
        <v>5151</v>
      </c>
      <c r="C2793" s="2">
        <v>2022</v>
      </c>
      <c r="D2793" s="10">
        <v>8</v>
      </c>
      <c r="E2793" s="10">
        <v>8</v>
      </c>
      <c r="F2793" t="s">
        <v>1594</v>
      </c>
      <c r="G2793">
        <v>50</v>
      </c>
      <c r="H2793" t="s">
        <v>69</v>
      </c>
      <c r="I2793" t="s">
        <v>150</v>
      </c>
      <c r="J2793" s="10" t="str">
        <f>VLOOKUP(I2793,Categories!A:B,2,FALSE)</f>
        <v xml:space="preserve">Food &amp; Coff</v>
      </c>
      <c r="K2793" t="s">
        <v>178</v>
      </c>
      <c r="L2793" s="10" t="str">
        <f>VLOOKUP(K2793,Accounts!A:B,2,FALSE)</f>
        <v>SCB</v>
      </c>
      <c r="M2793" t="s">
        <v>124</v>
      </c>
      <c r="N2793" s="10"/>
      <c r="O2793" t="s">
        <v>125</v>
      </c>
      <c r="Q2793" t="s">
        <v>126</v>
      </c>
      <c r="R2793" t="s">
        <v>124</v>
      </c>
      <c r="S2793" t="b">
        <v>0</v>
      </c>
      <c r="T2793" t="s">
        <v>124</v>
      </c>
    </row>
    <row r="2794">
      <c r="A2794" t="s">
        <v>5153</v>
      </c>
      <c r="B2794" t="s">
        <v>5151</v>
      </c>
      <c r="C2794" s="2">
        <v>2022</v>
      </c>
      <c r="D2794" s="10">
        <v>8</v>
      </c>
      <c r="E2794" s="10">
        <v>8</v>
      </c>
      <c r="F2794" t="s">
        <v>3390</v>
      </c>
      <c r="G2794">
        <v>200</v>
      </c>
      <c r="H2794" t="s">
        <v>69</v>
      </c>
      <c r="I2794" t="s">
        <v>150</v>
      </c>
      <c r="J2794" s="10" t="str">
        <f>VLOOKUP(I2794,Categories!A:B,2,FALSE)</f>
        <v xml:space="preserve">Food &amp; Coff</v>
      </c>
      <c r="K2794" t="s">
        <v>2317</v>
      </c>
      <c r="L2794" s="10" t="str">
        <f>VLOOKUP(K2794,Accounts!A:B,2,FALSE)</f>
        <v xml:space="preserve">Marriage account</v>
      </c>
      <c r="M2794" t="s">
        <v>124</v>
      </c>
      <c r="N2794" s="10"/>
      <c r="O2794" t="s">
        <v>125</v>
      </c>
      <c r="Q2794" t="s">
        <v>126</v>
      </c>
      <c r="R2794" t="s">
        <v>124</v>
      </c>
      <c r="S2794" t="b">
        <v>0</v>
      </c>
      <c r="T2794" t="s">
        <v>124</v>
      </c>
    </row>
    <row r="2795">
      <c r="A2795" t="s">
        <v>5154</v>
      </c>
      <c r="B2795" t="s">
        <v>5151</v>
      </c>
      <c r="C2795" s="2">
        <v>2022</v>
      </c>
      <c r="D2795" s="10">
        <v>8</v>
      </c>
      <c r="E2795" s="10">
        <v>8</v>
      </c>
      <c r="F2795" t="s">
        <v>1913</v>
      </c>
      <c r="G2795">
        <v>30</v>
      </c>
      <c r="H2795" t="s">
        <v>69</v>
      </c>
      <c r="I2795" t="s">
        <v>141</v>
      </c>
      <c r="J2795" s="10" t="str">
        <f>VLOOKUP(I2795,Categories!A:B,2,FALSE)</f>
        <v>Other</v>
      </c>
      <c r="K2795" t="s">
        <v>893</v>
      </c>
      <c r="L2795" s="10" t="str">
        <f>VLOOKUP(K2795,Accounts!A:B,2,FALSE)</f>
        <v>Shopee</v>
      </c>
      <c r="M2795" t="s">
        <v>124</v>
      </c>
      <c r="N2795" s="10"/>
      <c r="O2795" t="s">
        <v>5155</v>
      </c>
      <c r="Q2795" t="s">
        <v>126</v>
      </c>
      <c r="R2795" t="s">
        <v>124</v>
      </c>
      <c r="S2795" t="b">
        <v>0</v>
      </c>
      <c r="T2795" t="s">
        <v>124</v>
      </c>
    </row>
    <row r="2796">
      <c r="A2796" t="s">
        <v>5156</v>
      </c>
      <c r="B2796" t="s">
        <v>5151</v>
      </c>
      <c r="C2796" s="2">
        <v>2022</v>
      </c>
      <c r="D2796" s="10">
        <v>8</v>
      </c>
      <c r="E2796" s="10">
        <v>8</v>
      </c>
      <c r="F2796" t="s">
        <v>5157</v>
      </c>
      <c r="G2796">
        <v>202</v>
      </c>
      <c r="H2796" t="s">
        <v>69</v>
      </c>
      <c r="I2796" t="s">
        <v>141</v>
      </c>
      <c r="J2796" s="10" t="str">
        <f>VLOOKUP(I2796,Categories!A:B,2,FALSE)</f>
        <v>Other</v>
      </c>
      <c r="K2796" t="s">
        <v>178</v>
      </c>
      <c r="L2796" s="10" t="str">
        <f>VLOOKUP(K2796,Accounts!A:B,2,FALSE)</f>
        <v>SCB</v>
      </c>
      <c r="M2796" t="s">
        <v>124</v>
      </c>
      <c r="N2796" s="10"/>
      <c r="O2796" t="s">
        <v>5158</v>
      </c>
      <c r="Q2796" t="s">
        <v>126</v>
      </c>
      <c r="R2796" t="s">
        <v>124</v>
      </c>
      <c r="S2796" t="b">
        <v>0</v>
      </c>
      <c r="T2796" t="s">
        <v>124</v>
      </c>
    </row>
    <row r="2797">
      <c r="A2797" t="s">
        <v>5159</v>
      </c>
      <c r="B2797" t="s">
        <v>5151</v>
      </c>
      <c r="C2797" s="2">
        <v>2022</v>
      </c>
      <c r="D2797" s="10">
        <v>8</v>
      </c>
      <c r="E2797" s="10">
        <v>8</v>
      </c>
      <c r="F2797" t="s">
        <v>1418</v>
      </c>
      <c r="G2797">
        <v>300</v>
      </c>
      <c r="H2797" t="s">
        <v>128</v>
      </c>
      <c r="I2797" t="s">
        <v>136</v>
      </c>
      <c r="J2797" s="10" t="str">
        <f>VLOOKUP(I2797,Categories!A:B,2,FALSE)</f>
        <v>อื่นๆ</v>
      </c>
      <c r="K2797" t="s">
        <v>178</v>
      </c>
      <c r="L2797" s="10" t="str">
        <f>VLOOKUP(K2797,Accounts!A:B,2,FALSE)</f>
        <v>SCB</v>
      </c>
      <c r="M2797" t="s">
        <v>893</v>
      </c>
      <c r="N2797" s="10" t="str">
        <f>VLOOKUP(M2797,Accounts!A:B,2,FALSE)</f>
        <v>Shopee</v>
      </c>
      <c r="O2797" t="s">
        <v>125</v>
      </c>
      <c r="Q2797" t="s">
        <v>126</v>
      </c>
      <c r="R2797" t="s">
        <v>124</v>
      </c>
      <c r="S2797" t="b">
        <v>0</v>
      </c>
      <c r="T2797" t="s">
        <v>124</v>
      </c>
    </row>
    <row r="2798">
      <c r="A2798" t="s">
        <v>5160</v>
      </c>
      <c r="B2798" t="s">
        <v>5161</v>
      </c>
      <c r="C2798" s="2">
        <v>2022</v>
      </c>
      <c r="D2798" s="10">
        <v>8</v>
      </c>
      <c r="E2798" s="10">
        <v>7</v>
      </c>
      <c r="F2798" t="s">
        <v>1349</v>
      </c>
      <c r="G2798">
        <v>310</v>
      </c>
      <c r="H2798" t="s">
        <v>69</v>
      </c>
      <c r="I2798" t="s">
        <v>338</v>
      </c>
      <c r="J2798" s="10" t="str">
        <f>VLOOKUP(I2798,Categories!A:B,2,FALSE)</f>
        <v>Trips</v>
      </c>
      <c r="K2798" t="s">
        <v>2317</v>
      </c>
      <c r="L2798" s="10" t="str">
        <f>VLOOKUP(K2798,Accounts!A:B,2,FALSE)</f>
        <v xml:space="preserve">Marriage account</v>
      </c>
      <c r="M2798" t="s">
        <v>124</v>
      </c>
      <c r="N2798" s="10"/>
      <c r="O2798" t="s">
        <v>5162</v>
      </c>
      <c r="Q2798" t="s">
        <v>126</v>
      </c>
      <c r="R2798" t="s">
        <v>124</v>
      </c>
      <c r="S2798" t="b">
        <v>0</v>
      </c>
      <c r="T2798" t="s">
        <v>124</v>
      </c>
    </row>
    <row r="2799">
      <c r="A2799" t="s">
        <v>5163</v>
      </c>
      <c r="B2799" t="s">
        <v>5161</v>
      </c>
      <c r="C2799" s="2">
        <v>2022</v>
      </c>
      <c r="D2799" s="10">
        <v>8</v>
      </c>
      <c r="E2799" s="10">
        <v>7</v>
      </c>
      <c r="F2799" t="s">
        <v>5164</v>
      </c>
      <c r="G2799">
        <v>50</v>
      </c>
      <c r="H2799" t="s">
        <v>69</v>
      </c>
      <c r="I2799" t="s">
        <v>150</v>
      </c>
      <c r="J2799" s="10" t="str">
        <f>VLOOKUP(I2799,Categories!A:B,2,FALSE)</f>
        <v xml:space="preserve">Food &amp; Coff</v>
      </c>
      <c r="K2799" t="s">
        <v>2317</v>
      </c>
      <c r="L2799" s="10" t="str">
        <f>VLOOKUP(K2799,Accounts!A:B,2,FALSE)</f>
        <v xml:space="preserve">Marriage account</v>
      </c>
      <c r="M2799" t="s">
        <v>124</v>
      </c>
      <c r="N2799" s="10"/>
      <c r="O2799" t="s">
        <v>5165</v>
      </c>
      <c r="Q2799" t="s">
        <v>126</v>
      </c>
      <c r="R2799" t="s">
        <v>124</v>
      </c>
      <c r="S2799" t="b">
        <v>0</v>
      </c>
      <c r="T2799" t="s">
        <v>124</v>
      </c>
    </row>
    <row r="2800">
      <c r="A2800" t="s">
        <v>5166</v>
      </c>
      <c r="B2800" t="s">
        <v>5161</v>
      </c>
      <c r="C2800" s="2">
        <v>2022</v>
      </c>
      <c r="D2800" s="10">
        <v>8</v>
      </c>
      <c r="E2800" s="10">
        <v>7</v>
      </c>
      <c r="F2800" t="s">
        <v>2667</v>
      </c>
      <c r="G2800">
        <v>310</v>
      </c>
      <c r="H2800" t="s">
        <v>128</v>
      </c>
      <c r="I2800" t="s">
        <v>136</v>
      </c>
      <c r="J2800" s="10" t="str">
        <f>VLOOKUP(I2800,Categories!A:B,2,FALSE)</f>
        <v>อื่นๆ</v>
      </c>
      <c r="K2800" t="s">
        <v>425</v>
      </c>
      <c r="L2800" s="10" t="str">
        <f>VLOOKUP(K2800,Accounts!A:B,2,FALSE)</f>
        <v>Cash</v>
      </c>
      <c r="M2800" t="s">
        <v>178</v>
      </c>
      <c r="N2800" s="10" t="str">
        <f>VLOOKUP(M2800,Accounts!A:B,2,FALSE)</f>
        <v>SCB</v>
      </c>
      <c r="O2800" t="s">
        <v>5167</v>
      </c>
      <c r="Q2800" t="s">
        <v>126</v>
      </c>
      <c r="R2800" t="s">
        <v>124</v>
      </c>
      <c r="S2800" t="b">
        <v>0</v>
      </c>
      <c r="T2800" t="s">
        <v>124</v>
      </c>
    </row>
    <row r="2801">
      <c r="A2801" t="s">
        <v>5168</v>
      </c>
      <c r="B2801" t="s">
        <v>5161</v>
      </c>
      <c r="C2801" s="2">
        <v>2022</v>
      </c>
      <c r="D2801" s="10">
        <v>8</v>
      </c>
      <c r="E2801" s="10">
        <v>7</v>
      </c>
      <c r="F2801" t="s">
        <v>1998</v>
      </c>
      <c r="G2801">
        <v>50</v>
      </c>
      <c r="H2801" t="s">
        <v>128</v>
      </c>
      <c r="I2801" t="s">
        <v>136</v>
      </c>
      <c r="J2801" s="10" t="str">
        <f>VLOOKUP(I2801,Categories!A:B,2,FALSE)</f>
        <v>อื่นๆ</v>
      </c>
      <c r="K2801" t="s">
        <v>425</v>
      </c>
      <c r="L2801" s="10" t="str">
        <f>VLOOKUP(K2801,Accounts!A:B,2,FALSE)</f>
        <v>Cash</v>
      </c>
      <c r="M2801" t="s">
        <v>178</v>
      </c>
      <c r="N2801" s="10" t="str">
        <f>VLOOKUP(M2801,Accounts!A:B,2,FALSE)</f>
        <v>SCB</v>
      </c>
      <c r="O2801" t="s">
        <v>125</v>
      </c>
      <c r="Q2801" t="s">
        <v>126</v>
      </c>
      <c r="R2801" t="s">
        <v>124</v>
      </c>
      <c r="S2801" t="b">
        <v>0</v>
      </c>
      <c r="T2801" t="s">
        <v>124</v>
      </c>
    </row>
    <row r="2802">
      <c r="A2802" t="s">
        <v>5169</v>
      </c>
      <c r="B2802" t="s">
        <v>5161</v>
      </c>
      <c r="C2802" s="2">
        <v>2022</v>
      </c>
      <c r="D2802" s="10">
        <v>8</v>
      </c>
      <c r="E2802" s="10">
        <v>7</v>
      </c>
      <c r="F2802" t="s">
        <v>2203</v>
      </c>
      <c r="G2802">
        <v>175</v>
      </c>
      <c r="H2802" t="s">
        <v>69</v>
      </c>
      <c r="I2802" t="s">
        <v>150</v>
      </c>
      <c r="J2802" s="10" t="str">
        <f>VLOOKUP(I2802,Categories!A:B,2,FALSE)</f>
        <v xml:space="preserve">Food &amp; Coff</v>
      </c>
      <c r="K2802" t="s">
        <v>2317</v>
      </c>
      <c r="L2802" s="10" t="str">
        <f>VLOOKUP(K2802,Accounts!A:B,2,FALSE)</f>
        <v xml:space="preserve">Marriage account</v>
      </c>
      <c r="M2802" t="s">
        <v>124</v>
      </c>
      <c r="N2802" s="10"/>
      <c r="O2802" t="s">
        <v>5170</v>
      </c>
      <c r="Q2802" t="s">
        <v>126</v>
      </c>
      <c r="R2802" t="s">
        <v>124</v>
      </c>
      <c r="S2802" t="b">
        <v>0</v>
      </c>
      <c r="T2802" t="s">
        <v>124</v>
      </c>
    </row>
    <row r="2803">
      <c r="A2803" t="s">
        <v>5171</v>
      </c>
      <c r="B2803" t="s">
        <v>5161</v>
      </c>
      <c r="C2803" s="2">
        <v>2022</v>
      </c>
      <c r="D2803" s="10">
        <v>8</v>
      </c>
      <c r="E2803" s="10">
        <v>7</v>
      </c>
      <c r="F2803" t="s">
        <v>5172</v>
      </c>
      <c r="G2803">
        <v>1650</v>
      </c>
      <c r="H2803" t="s">
        <v>128</v>
      </c>
      <c r="I2803" t="s">
        <v>136</v>
      </c>
      <c r="J2803" s="10" t="str">
        <f>VLOOKUP(I2803,Categories!A:B,2,FALSE)</f>
        <v>อื่นๆ</v>
      </c>
      <c r="K2803" t="s">
        <v>425</v>
      </c>
      <c r="L2803" s="10" t="str">
        <f>VLOOKUP(K2803,Accounts!A:B,2,FALSE)</f>
        <v>Cash</v>
      </c>
      <c r="M2803" t="s">
        <v>178</v>
      </c>
      <c r="N2803" s="10" t="str">
        <f>VLOOKUP(M2803,Accounts!A:B,2,FALSE)</f>
        <v>SCB</v>
      </c>
      <c r="O2803" t="s">
        <v>5173</v>
      </c>
      <c r="Q2803" t="s">
        <v>126</v>
      </c>
      <c r="R2803" t="s">
        <v>124</v>
      </c>
      <c r="S2803" t="b">
        <v>0</v>
      </c>
      <c r="T2803" t="s">
        <v>124</v>
      </c>
    </row>
    <row r="2804">
      <c r="A2804" t="s">
        <v>5174</v>
      </c>
      <c r="B2804" t="s">
        <v>5161</v>
      </c>
      <c r="C2804" s="2">
        <v>2022</v>
      </c>
      <c r="D2804" s="10">
        <v>8</v>
      </c>
      <c r="E2804" s="10">
        <v>7</v>
      </c>
      <c r="F2804" t="s">
        <v>671</v>
      </c>
      <c r="G2804">
        <v>24422.84</v>
      </c>
      <c r="H2804" t="s">
        <v>69</v>
      </c>
      <c r="I2804" t="s">
        <v>254</v>
      </c>
      <c r="J2804" s="10" t="str">
        <f>VLOOKUP(I2804,Categories!A:B,2,FALSE)</f>
        <v xml:space="preserve">Modified Bal.</v>
      </c>
      <c r="K2804" t="s">
        <v>131</v>
      </c>
      <c r="L2804" s="10" t="str">
        <f>VLOOKUP(K2804,Accounts!A:B,2,FALSE)</f>
        <v xml:space="preserve">Advance Paid</v>
      </c>
      <c r="M2804" t="s">
        <v>124</v>
      </c>
      <c r="N2804" s="10"/>
      <c r="O2804" t="s">
        <v>255</v>
      </c>
      <c r="Q2804" t="s">
        <v>126</v>
      </c>
      <c r="R2804" t="s">
        <v>124</v>
      </c>
      <c r="S2804" t="b">
        <v>0</v>
      </c>
      <c r="T2804" t="s">
        <v>124</v>
      </c>
    </row>
    <row r="2805">
      <c r="A2805" t="s">
        <v>5175</v>
      </c>
      <c r="B2805" t="s">
        <v>5161</v>
      </c>
      <c r="C2805" s="2">
        <v>2022</v>
      </c>
      <c r="D2805" s="10">
        <v>8</v>
      </c>
      <c r="E2805" s="10">
        <v>7</v>
      </c>
      <c r="F2805" t="s">
        <v>675</v>
      </c>
      <c r="G2805">
        <v>1300</v>
      </c>
      <c r="H2805" t="s">
        <v>69</v>
      </c>
      <c r="I2805" t="s">
        <v>150</v>
      </c>
      <c r="J2805" s="10" t="str">
        <f>VLOOKUP(I2805,Categories!A:B,2,FALSE)</f>
        <v xml:space="preserve">Food &amp; Coff</v>
      </c>
      <c r="K2805" t="s">
        <v>2317</v>
      </c>
      <c r="L2805" s="10" t="str">
        <f>VLOOKUP(K2805,Accounts!A:B,2,FALSE)</f>
        <v xml:space="preserve">Marriage account</v>
      </c>
      <c r="M2805" t="s">
        <v>124</v>
      </c>
      <c r="N2805" s="10"/>
      <c r="O2805" t="s">
        <v>5176</v>
      </c>
      <c r="Q2805" t="s">
        <v>126</v>
      </c>
      <c r="R2805" t="s">
        <v>124</v>
      </c>
      <c r="S2805" t="b">
        <v>0</v>
      </c>
      <c r="T2805" t="s">
        <v>124</v>
      </c>
    </row>
    <row r="2806">
      <c r="A2806" t="s">
        <v>5177</v>
      </c>
      <c r="B2806" t="s">
        <v>5161</v>
      </c>
      <c r="C2806" s="2">
        <v>2022</v>
      </c>
      <c r="D2806" s="10">
        <v>8</v>
      </c>
      <c r="E2806" s="10">
        <v>7</v>
      </c>
      <c r="F2806" t="s">
        <v>4110</v>
      </c>
      <c r="G2806">
        <v>105</v>
      </c>
      <c r="H2806" t="s">
        <v>69</v>
      </c>
      <c r="I2806" t="s">
        <v>150</v>
      </c>
      <c r="J2806" s="10" t="str">
        <f>VLOOKUP(I2806,Categories!A:B,2,FALSE)</f>
        <v xml:space="preserve">Food &amp; Coff</v>
      </c>
      <c r="K2806" t="s">
        <v>2317</v>
      </c>
      <c r="L2806" s="10" t="str">
        <f>VLOOKUP(K2806,Accounts!A:B,2,FALSE)</f>
        <v xml:space="preserve">Marriage account</v>
      </c>
      <c r="M2806" t="s">
        <v>124</v>
      </c>
      <c r="N2806" s="10"/>
      <c r="O2806" t="s">
        <v>5178</v>
      </c>
      <c r="Q2806" t="s">
        <v>126</v>
      </c>
      <c r="R2806" t="s">
        <v>124</v>
      </c>
      <c r="S2806" t="b">
        <v>0</v>
      </c>
      <c r="T2806" t="s">
        <v>124</v>
      </c>
    </row>
    <row r="2807">
      <c r="A2807" t="s">
        <v>5179</v>
      </c>
      <c r="B2807" t="s">
        <v>5161</v>
      </c>
      <c r="C2807" s="2">
        <v>2022</v>
      </c>
      <c r="D2807" s="10">
        <v>8</v>
      </c>
      <c r="E2807" s="10">
        <v>7</v>
      </c>
      <c r="F2807" t="s">
        <v>2004</v>
      </c>
      <c r="G2807">
        <v>1150</v>
      </c>
      <c r="H2807" t="s">
        <v>69</v>
      </c>
      <c r="I2807" t="s">
        <v>3276</v>
      </c>
      <c r="J2807" s="10" t="str">
        <f>VLOOKUP(I2807,Categories!A:B,2,FALSE)</f>
        <v>Fuel</v>
      </c>
      <c r="K2807" t="s">
        <v>2317</v>
      </c>
      <c r="L2807" s="10" t="str">
        <f>VLOOKUP(K2807,Accounts!A:B,2,FALSE)</f>
        <v xml:space="preserve">Marriage account</v>
      </c>
      <c r="M2807" t="s">
        <v>124</v>
      </c>
      <c r="N2807" s="10"/>
      <c r="O2807" t="s">
        <v>5180</v>
      </c>
      <c r="Q2807" t="s">
        <v>126</v>
      </c>
      <c r="R2807" t="s">
        <v>124</v>
      </c>
      <c r="S2807" t="b">
        <v>0</v>
      </c>
      <c r="T2807" t="s">
        <v>124</v>
      </c>
    </row>
    <row r="2808">
      <c r="A2808" t="s">
        <v>5181</v>
      </c>
      <c r="B2808" t="s">
        <v>5161</v>
      </c>
      <c r="C2808" s="2">
        <v>2022</v>
      </c>
      <c r="D2808" s="10">
        <v>8</v>
      </c>
      <c r="E2808" s="10">
        <v>7</v>
      </c>
      <c r="F2808" t="s">
        <v>2045</v>
      </c>
      <c r="G2808">
        <v>5</v>
      </c>
      <c r="H2808" t="s">
        <v>69</v>
      </c>
      <c r="I2808" t="s">
        <v>254</v>
      </c>
      <c r="J2808" s="10" t="str">
        <f>VLOOKUP(I2808,Categories!A:B,2,FALSE)</f>
        <v xml:space="preserve">Modified Bal.</v>
      </c>
      <c r="K2808" t="s">
        <v>178</v>
      </c>
      <c r="L2808" s="10" t="str">
        <f>VLOOKUP(K2808,Accounts!A:B,2,FALSE)</f>
        <v>SCB</v>
      </c>
      <c r="M2808" t="s">
        <v>124</v>
      </c>
      <c r="N2808" s="10"/>
      <c r="O2808" t="s">
        <v>255</v>
      </c>
      <c r="Q2808" t="s">
        <v>126</v>
      </c>
      <c r="R2808" t="s">
        <v>124</v>
      </c>
      <c r="S2808" t="b">
        <v>0</v>
      </c>
      <c r="T2808" t="s">
        <v>124</v>
      </c>
    </row>
    <row r="2809">
      <c r="A2809" t="s">
        <v>5182</v>
      </c>
      <c r="B2809" t="s">
        <v>5183</v>
      </c>
      <c r="C2809" s="2">
        <v>2022</v>
      </c>
      <c r="D2809" s="10">
        <v>8</v>
      </c>
      <c r="E2809" s="10">
        <v>6</v>
      </c>
      <c r="F2809" t="s">
        <v>5184</v>
      </c>
      <c r="G2809">
        <v>799</v>
      </c>
      <c r="H2809" t="s">
        <v>69</v>
      </c>
      <c r="I2809" t="s">
        <v>150</v>
      </c>
      <c r="J2809" s="10" t="str">
        <f>VLOOKUP(I2809,Categories!A:B,2,FALSE)</f>
        <v xml:space="preserve">Food &amp; Coff</v>
      </c>
      <c r="K2809" t="s">
        <v>2317</v>
      </c>
      <c r="L2809" s="10" t="str">
        <f>VLOOKUP(K2809,Accounts!A:B,2,FALSE)</f>
        <v xml:space="preserve">Marriage account</v>
      </c>
      <c r="M2809" t="s">
        <v>124</v>
      </c>
      <c r="N2809" s="10"/>
      <c r="O2809" t="s">
        <v>5185</v>
      </c>
      <c r="Q2809" t="s">
        <v>126</v>
      </c>
      <c r="R2809" t="s">
        <v>124</v>
      </c>
      <c r="S2809" t="b">
        <v>0</v>
      </c>
      <c r="T2809" t="s">
        <v>124</v>
      </c>
    </row>
    <row r="2810">
      <c r="A2810" t="s">
        <v>5186</v>
      </c>
      <c r="B2810" t="s">
        <v>5183</v>
      </c>
      <c r="C2810" s="2">
        <v>2022</v>
      </c>
      <c r="D2810" s="10">
        <v>8</v>
      </c>
      <c r="E2810" s="10">
        <v>6</v>
      </c>
      <c r="F2810" t="s">
        <v>3932</v>
      </c>
      <c r="G2810">
        <v>10000</v>
      </c>
      <c r="H2810" t="s">
        <v>128</v>
      </c>
      <c r="I2810" t="s">
        <v>136</v>
      </c>
      <c r="J2810" s="10" t="str">
        <f>VLOOKUP(I2810,Categories!A:B,2,FALSE)</f>
        <v>อื่นๆ</v>
      </c>
      <c r="K2810" t="s">
        <v>178</v>
      </c>
      <c r="L2810" s="10" t="str">
        <f>VLOOKUP(K2810,Accounts!A:B,2,FALSE)</f>
        <v>SCB</v>
      </c>
      <c r="M2810" t="s">
        <v>2317</v>
      </c>
      <c r="N2810" s="10" t="str">
        <f>VLOOKUP(M2810,Accounts!A:B,2,FALSE)</f>
        <v xml:space="preserve">Marriage account</v>
      </c>
      <c r="O2810" t="s">
        <v>125</v>
      </c>
      <c r="Q2810" t="s">
        <v>126</v>
      </c>
      <c r="R2810" t="s">
        <v>124</v>
      </c>
      <c r="S2810" t="b">
        <v>0</v>
      </c>
      <c r="T2810" t="s">
        <v>124</v>
      </c>
    </row>
    <row r="2811">
      <c r="A2811" t="s">
        <v>5187</v>
      </c>
      <c r="B2811" t="s">
        <v>5183</v>
      </c>
      <c r="C2811" s="2">
        <v>2022</v>
      </c>
      <c r="D2811" s="10">
        <v>8</v>
      </c>
      <c r="E2811" s="10">
        <v>6</v>
      </c>
      <c r="F2811" t="s">
        <v>3932</v>
      </c>
      <c r="G2811">
        <v>11853.33</v>
      </c>
      <c r="H2811" t="s">
        <v>128</v>
      </c>
      <c r="I2811" t="s">
        <v>136</v>
      </c>
      <c r="J2811" s="10" t="str">
        <f>VLOOKUP(I2811,Categories!A:B,2,FALSE)</f>
        <v>อื่นๆ</v>
      </c>
      <c r="K2811" t="s">
        <v>178</v>
      </c>
      <c r="L2811" s="10" t="str">
        <f>VLOOKUP(K2811,Accounts!A:B,2,FALSE)</f>
        <v>SCB</v>
      </c>
      <c r="M2811" t="s">
        <v>131</v>
      </c>
      <c r="N2811" s="10" t="str">
        <f>VLOOKUP(M2811,Accounts!A:B,2,FALSE)</f>
        <v xml:space="preserve">Advance Paid</v>
      </c>
      <c r="O2811" t="s">
        <v>5188</v>
      </c>
      <c r="Q2811" t="s">
        <v>126</v>
      </c>
      <c r="R2811" t="s">
        <v>124</v>
      </c>
      <c r="S2811" t="b">
        <v>0</v>
      </c>
      <c r="T2811" t="s">
        <v>124</v>
      </c>
    </row>
    <row r="2812">
      <c r="A2812" t="s">
        <v>5189</v>
      </c>
      <c r="B2812" t="s">
        <v>5183</v>
      </c>
      <c r="C2812" s="2">
        <v>2022</v>
      </c>
      <c r="D2812" s="10">
        <v>8</v>
      </c>
      <c r="E2812" s="10">
        <v>6</v>
      </c>
      <c r="F2812" t="s">
        <v>3299</v>
      </c>
      <c r="G2812">
        <v>4172.8699999999999</v>
      </c>
      <c r="H2812" t="s">
        <v>69</v>
      </c>
      <c r="I2812" t="s">
        <v>139</v>
      </c>
      <c r="J2812" s="10" t="str">
        <f>VLOOKUP(I2812,Categories!A:B,2,FALSE)</f>
        <v>Condo</v>
      </c>
      <c r="K2812" t="s">
        <v>178</v>
      </c>
      <c r="L2812" s="10" t="str">
        <f>VLOOKUP(K2812,Accounts!A:B,2,FALSE)</f>
        <v>SCB</v>
      </c>
      <c r="M2812" t="s">
        <v>124</v>
      </c>
      <c r="N2812" s="10"/>
      <c r="O2812" t="s">
        <v>125</v>
      </c>
      <c r="Q2812" t="s">
        <v>126</v>
      </c>
      <c r="R2812" t="s">
        <v>124</v>
      </c>
      <c r="S2812" t="b">
        <v>0</v>
      </c>
      <c r="T2812" t="s">
        <v>124</v>
      </c>
    </row>
    <row r="2813">
      <c r="A2813" t="s">
        <v>5190</v>
      </c>
      <c r="B2813" t="s">
        <v>5183</v>
      </c>
      <c r="C2813" s="2">
        <v>2022</v>
      </c>
      <c r="D2813" s="10">
        <v>8</v>
      </c>
      <c r="E2813" s="10">
        <v>6</v>
      </c>
      <c r="F2813" t="s">
        <v>332</v>
      </c>
      <c r="G2813">
        <v>124</v>
      </c>
      <c r="H2813" t="s">
        <v>69</v>
      </c>
      <c r="I2813" t="s">
        <v>150</v>
      </c>
      <c r="J2813" s="10" t="str">
        <f>VLOOKUP(I2813,Categories!A:B,2,FALSE)</f>
        <v xml:space="preserve">Food &amp; Coff</v>
      </c>
      <c r="K2813" t="s">
        <v>2317</v>
      </c>
      <c r="L2813" s="10" t="str">
        <f>VLOOKUP(K2813,Accounts!A:B,2,FALSE)</f>
        <v xml:space="preserve">Marriage account</v>
      </c>
      <c r="M2813" t="s">
        <v>124</v>
      </c>
      <c r="N2813" s="10"/>
      <c r="O2813" t="s">
        <v>5191</v>
      </c>
      <c r="Q2813" t="s">
        <v>126</v>
      </c>
      <c r="R2813" t="s">
        <v>124</v>
      </c>
      <c r="S2813" t="b">
        <v>0</v>
      </c>
      <c r="T2813" t="s">
        <v>124</v>
      </c>
    </row>
    <row r="2814">
      <c r="A2814" t="s">
        <v>5192</v>
      </c>
      <c r="B2814" t="s">
        <v>5183</v>
      </c>
      <c r="C2814" s="2">
        <v>2022</v>
      </c>
      <c r="D2814" s="10">
        <v>8</v>
      </c>
      <c r="E2814" s="10">
        <v>6</v>
      </c>
      <c r="F2814" t="s">
        <v>3530</v>
      </c>
      <c r="G2814">
        <v>250</v>
      </c>
      <c r="H2814" t="s">
        <v>69</v>
      </c>
      <c r="I2814" t="s">
        <v>150</v>
      </c>
      <c r="J2814" s="10" t="str">
        <f>VLOOKUP(I2814,Categories!A:B,2,FALSE)</f>
        <v xml:space="preserve">Food &amp; Coff</v>
      </c>
      <c r="K2814" t="s">
        <v>2317</v>
      </c>
      <c r="L2814" s="10" t="str">
        <f>VLOOKUP(K2814,Accounts!A:B,2,FALSE)</f>
        <v xml:space="preserve">Marriage account</v>
      </c>
      <c r="M2814" t="s">
        <v>124</v>
      </c>
      <c r="N2814" s="10"/>
      <c r="O2814" t="s">
        <v>5193</v>
      </c>
      <c r="Q2814" t="s">
        <v>126</v>
      </c>
      <c r="R2814" t="s">
        <v>124</v>
      </c>
      <c r="S2814" t="b">
        <v>0</v>
      </c>
      <c r="T2814" t="s">
        <v>124</v>
      </c>
    </row>
    <row r="2815">
      <c r="A2815" t="s">
        <v>5194</v>
      </c>
      <c r="B2815" t="s">
        <v>5183</v>
      </c>
      <c r="C2815" s="2">
        <v>2022</v>
      </c>
      <c r="D2815" s="10">
        <v>8</v>
      </c>
      <c r="E2815" s="10">
        <v>6</v>
      </c>
      <c r="F2815" t="s">
        <v>5195</v>
      </c>
      <c r="G2815">
        <v>45</v>
      </c>
      <c r="H2815" t="s">
        <v>69</v>
      </c>
      <c r="I2815" t="s">
        <v>150</v>
      </c>
      <c r="J2815" s="10" t="str">
        <f>VLOOKUP(I2815,Categories!A:B,2,FALSE)</f>
        <v xml:space="preserve">Food &amp; Coff</v>
      </c>
      <c r="K2815" t="s">
        <v>2317</v>
      </c>
      <c r="L2815" s="10" t="str">
        <f>VLOOKUP(K2815,Accounts!A:B,2,FALSE)</f>
        <v xml:space="preserve">Marriage account</v>
      </c>
      <c r="M2815" t="s">
        <v>124</v>
      </c>
      <c r="N2815" s="10"/>
      <c r="O2815" t="s">
        <v>5196</v>
      </c>
      <c r="Q2815" t="s">
        <v>126</v>
      </c>
      <c r="R2815" t="s">
        <v>124</v>
      </c>
      <c r="S2815" t="b">
        <v>0</v>
      </c>
      <c r="T2815" t="s">
        <v>124</v>
      </c>
    </row>
    <row r="2816">
      <c r="A2816" t="s">
        <v>5197</v>
      </c>
      <c r="B2816" t="s">
        <v>5183</v>
      </c>
      <c r="C2816" s="2">
        <v>2022</v>
      </c>
      <c r="D2816" s="10">
        <v>8</v>
      </c>
      <c r="E2816" s="10">
        <v>6</v>
      </c>
      <c r="F2816" t="s">
        <v>5195</v>
      </c>
      <c r="G2816">
        <v>100</v>
      </c>
      <c r="H2816" t="s">
        <v>69</v>
      </c>
      <c r="I2816" t="s">
        <v>150</v>
      </c>
      <c r="J2816" s="10" t="str">
        <f>VLOOKUP(I2816,Categories!A:B,2,FALSE)</f>
        <v xml:space="preserve">Food &amp; Coff</v>
      </c>
      <c r="K2816" t="s">
        <v>2317</v>
      </c>
      <c r="L2816" s="10" t="str">
        <f>VLOOKUP(K2816,Accounts!A:B,2,FALSE)</f>
        <v xml:space="preserve">Marriage account</v>
      </c>
      <c r="M2816" t="s">
        <v>124</v>
      </c>
      <c r="N2816" s="10"/>
      <c r="O2816" t="s">
        <v>5198</v>
      </c>
      <c r="Q2816" t="s">
        <v>126</v>
      </c>
      <c r="R2816" t="s">
        <v>124</v>
      </c>
      <c r="S2816" t="b">
        <v>0</v>
      </c>
      <c r="T2816" t="s">
        <v>124</v>
      </c>
    </row>
    <row r="2817">
      <c r="A2817" t="s">
        <v>5199</v>
      </c>
      <c r="B2817" t="s">
        <v>5183</v>
      </c>
      <c r="C2817" s="2">
        <v>2022</v>
      </c>
      <c r="D2817" s="10">
        <v>8</v>
      </c>
      <c r="E2817" s="10">
        <v>6</v>
      </c>
      <c r="F2817" t="s">
        <v>649</v>
      </c>
      <c r="G2817">
        <v>70</v>
      </c>
      <c r="H2817" t="s">
        <v>69</v>
      </c>
      <c r="I2817" t="s">
        <v>150</v>
      </c>
      <c r="J2817" s="10" t="str">
        <f>VLOOKUP(I2817,Categories!A:B,2,FALSE)</f>
        <v xml:space="preserve">Food &amp; Coff</v>
      </c>
      <c r="K2817" t="s">
        <v>425</v>
      </c>
      <c r="L2817" s="10" t="str">
        <f>VLOOKUP(K2817,Accounts!A:B,2,FALSE)</f>
        <v>Cash</v>
      </c>
      <c r="M2817" t="s">
        <v>124</v>
      </c>
      <c r="N2817" s="10"/>
      <c r="O2817" t="s">
        <v>5200</v>
      </c>
      <c r="Q2817" t="s">
        <v>126</v>
      </c>
      <c r="R2817" t="s">
        <v>124</v>
      </c>
      <c r="S2817" t="b">
        <v>0</v>
      </c>
      <c r="T2817" t="s">
        <v>124</v>
      </c>
    </row>
    <row r="2818">
      <c r="A2818" t="s">
        <v>5201</v>
      </c>
      <c r="B2818" t="s">
        <v>5183</v>
      </c>
      <c r="C2818" s="2">
        <v>2022</v>
      </c>
      <c r="D2818" s="10">
        <v>8</v>
      </c>
      <c r="E2818" s="10">
        <v>6</v>
      </c>
      <c r="F2818" t="s">
        <v>1759</v>
      </c>
      <c r="G2818">
        <v>190</v>
      </c>
      <c r="H2818" t="s">
        <v>69</v>
      </c>
      <c r="I2818" t="s">
        <v>150</v>
      </c>
      <c r="J2818" s="10" t="str">
        <f>VLOOKUP(I2818,Categories!A:B,2,FALSE)</f>
        <v xml:space="preserve">Food &amp; Coff</v>
      </c>
      <c r="K2818" t="s">
        <v>2317</v>
      </c>
      <c r="L2818" s="10" t="str">
        <f>VLOOKUP(K2818,Accounts!A:B,2,FALSE)</f>
        <v xml:space="preserve">Marriage account</v>
      </c>
      <c r="M2818" t="s">
        <v>124</v>
      </c>
      <c r="N2818" s="10"/>
      <c r="O2818" t="s">
        <v>5202</v>
      </c>
      <c r="Q2818" t="s">
        <v>126</v>
      </c>
      <c r="R2818" t="s">
        <v>124</v>
      </c>
      <c r="S2818" t="b">
        <v>0</v>
      </c>
      <c r="T2818" t="s">
        <v>124</v>
      </c>
    </row>
    <row r="2819">
      <c r="A2819" t="s">
        <v>5203</v>
      </c>
      <c r="B2819" t="s">
        <v>5204</v>
      </c>
      <c r="C2819" s="2">
        <v>2022</v>
      </c>
      <c r="D2819" s="10">
        <v>8</v>
      </c>
      <c r="E2819" s="10">
        <v>5</v>
      </c>
      <c r="F2819" t="s">
        <v>4546</v>
      </c>
      <c r="G2819">
        <v>100</v>
      </c>
      <c r="H2819" t="s">
        <v>69</v>
      </c>
      <c r="I2819" t="s">
        <v>150</v>
      </c>
      <c r="J2819" s="10" t="str">
        <f>VLOOKUP(I2819,Categories!A:B,2,FALSE)</f>
        <v xml:space="preserve">Food &amp; Coff</v>
      </c>
      <c r="K2819" t="s">
        <v>2317</v>
      </c>
      <c r="L2819" s="10" t="str">
        <f>VLOOKUP(K2819,Accounts!A:B,2,FALSE)</f>
        <v xml:space="preserve">Marriage account</v>
      </c>
      <c r="M2819" t="s">
        <v>124</v>
      </c>
      <c r="N2819" s="10"/>
      <c r="O2819" t="s">
        <v>125</v>
      </c>
      <c r="Q2819" t="s">
        <v>126</v>
      </c>
      <c r="R2819" t="s">
        <v>124</v>
      </c>
      <c r="S2819" t="b">
        <v>0</v>
      </c>
      <c r="T2819" t="s">
        <v>124</v>
      </c>
    </row>
    <row r="2820">
      <c r="A2820" t="s">
        <v>5205</v>
      </c>
      <c r="B2820" t="s">
        <v>5204</v>
      </c>
      <c r="C2820" s="2">
        <v>2022</v>
      </c>
      <c r="D2820" s="10">
        <v>8</v>
      </c>
      <c r="E2820" s="10">
        <v>5</v>
      </c>
      <c r="F2820" t="s">
        <v>2709</v>
      </c>
      <c r="G2820">
        <v>120</v>
      </c>
      <c r="H2820" t="s">
        <v>69</v>
      </c>
      <c r="I2820" t="s">
        <v>150</v>
      </c>
      <c r="J2820" s="10" t="str">
        <f>VLOOKUP(I2820,Categories!A:B,2,FALSE)</f>
        <v xml:space="preserve">Food &amp; Coff</v>
      </c>
      <c r="K2820" t="s">
        <v>178</v>
      </c>
      <c r="L2820" s="10" t="str">
        <f>VLOOKUP(K2820,Accounts!A:B,2,FALSE)</f>
        <v>SCB</v>
      </c>
      <c r="M2820" t="s">
        <v>124</v>
      </c>
      <c r="N2820" s="10"/>
      <c r="O2820" t="s">
        <v>5206</v>
      </c>
      <c r="Q2820" t="s">
        <v>126</v>
      </c>
      <c r="R2820" t="s">
        <v>124</v>
      </c>
      <c r="S2820" t="b">
        <v>0</v>
      </c>
      <c r="T2820" t="s">
        <v>124</v>
      </c>
    </row>
    <row r="2821">
      <c r="A2821" t="s">
        <v>5207</v>
      </c>
      <c r="B2821" t="s">
        <v>5204</v>
      </c>
      <c r="C2821" s="2">
        <v>2022</v>
      </c>
      <c r="D2821" s="10">
        <v>8</v>
      </c>
      <c r="E2821" s="10">
        <v>5</v>
      </c>
      <c r="F2821" t="s">
        <v>1834</v>
      </c>
      <c r="G2821">
        <v>552</v>
      </c>
      <c r="H2821" t="s">
        <v>69</v>
      </c>
      <c r="I2821" t="s">
        <v>150</v>
      </c>
      <c r="J2821" s="10" t="str">
        <f>VLOOKUP(I2821,Categories!A:B,2,FALSE)</f>
        <v xml:space="preserve">Food &amp; Coff</v>
      </c>
      <c r="K2821" t="s">
        <v>2317</v>
      </c>
      <c r="L2821" s="10" t="str">
        <f>VLOOKUP(K2821,Accounts!A:B,2,FALSE)</f>
        <v xml:space="preserve">Marriage account</v>
      </c>
      <c r="M2821" t="s">
        <v>124</v>
      </c>
      <c r="N2821" s="10"/>
      <c r="O2821" t="s">
        <v>5208</v>
      </c>
      <c r="Q2821" t="s">
        <v>126</v>
      </c>
      <c r="R2821" t="s">
        <v>124</v>
      </c>
      <c r="S2821" t="b">
        <v>0</v>
      </c>
      <c r="T2821" t="s">
        <v>124</v>
      </c>
    </row>
    <row r="2822">
      <c r="A2822" t="s">
        <v>5209</v>
      </c>
      <c r="B2822" t="s">
        <v>5210</v>
      </c>
      <c r="C2822" s="2">
        <v>2022</v>
      </c>
      <c r="D2822" s="10">
        <v>8</v>
      </c>
      <c r="E2822" s="10">
        <v>4</v>
      </c>
      <c r="F2822" t="s">
        <v>2670</v>
      </c>
      <c r="G2822">
        <v>351</v>
      </c>
      <c r="H2822" t="s">
        <v>69</v>
      </c>
      <c r="I2822" t="s">
        <v>150</v>
      </c>
      <c r="J2822" s="10" t="str">
        <f>VLOOKUP(I2822,Categories!A:B,2,FALSE)</f>
        <v xml:space="preserve">Food &amp; Coff</v>
      </c>
      <c r="K2822" t="s">
        <v>2317</v>
      </c>
      <c r="L2822" s="10" t="str">
        <f>VLOOKUP(K2822,Accounts!A:B,2,FALSE)</f>
        <v xml:space="preserve">Marriage account</v>
      </c>
      <c r="M2822" t="s">
        <v>124</v>
      </c>
      <c r="N2822" s="10"/>
      <c r="O2822" t="s">
        <v>5211</v>
      </c>
      <c r="Q2822" t="s">
        <v>126</v>
      </c>
      <c r="R2822" t="s">
        <v>124</v>
      </c>
      <c r="S2822" t="b">
        <v>0</v>
      </c>
      <c r="T2822" t="s">
        <v>124</v>
      </c>
    </row>
    <row r="2823">
      <c r="A2823" t="s">
        <v>5212</v>
      </c>
      <c r="B2823" t="s">
        <v>5213</v>
      </c>
      <c r="C2823" s="2">
        <v>2022</v>
      </c>
      <c r="D2823" s="10">
        <v>8</v>
      </c>
      <c r="E2823" s="10">
        <v>3</v>
      </c>
      <c r="F2823" t="s">
        <v>3390</v>
      </c>
      <c r="G2823">
        <v>92</v>
      </c>
      <c r="H2823" t="s">
        <v>69</v>
      </c>
      <c r="I2823" t="s">
        <v>150</v>
      </c>
      <c r="J2823" s="10" t="str">
        <f>VLOOKUP(I2823,Categories!A:B,2,FALSE)</f>
        <v xml:space="preserve">Food &amp; Coff</v>
      </c>
      <c r="K2823" t="s">
        <v>893</v>
      </c>
      <c r="L2823" s="10" t="str">
        <f>VLOOKUP(K2823,Accounts!A:B,2,FALSE)</f>
        <v>Shopee</v>
      </c>
      <c r="M2823" t="s">
        <v>124</v>
      </c>
      <c r="N2823" s="10"/>
      <c r="O2823" t="s">
        <v>125</v>
      </c>
      <c r="Q2823" t="s">
        <v>126</v>
      </c>
      <c r="R2823" t="s">
        <v>124</v>
      </c>
      <c r="S2823" t="b">
        <v>0</v>
      </c>
      <c r="T2823" t="s">
        <v>124</v>
      </c>
    </row>
    <row r="2824">
      <c r="A2824" t="s">
        <v>5214</v>
      </c>
      <c r="B2824" t="s">
        <v>5215</v>
      </c>
      <c r="C2824" s="2">
        <v>2022</v>
      </c>
      <c r="D2824" s="10">
        <v>8</v>
      </c>
      <c r="E2824" s="10">
        <v>2</v>
      </c>
      <c r="F2824" t="s">
        <v>2498</v>
      </c>
      <c r="G2824">
        <v>87</v>
      </c>
      <c r="H2824" t="s">
        <v>69</v>
      </c>
      <c r="I2824" t="s">
        <v>150</v>
      </c>
      <c r="J2824" s="10" t="str">
        <f>VLOOKUP(I2824,Categories!A:B,2,FALSE)</f>
        <v xml:space="preserve">Food &amp; Coff</v>
      </c>
      <c r="K2824" t="s">
        <v>178</v>
      </c>
      <c r="L2824" s="10" t="str">
        <f>VLOOKUP(K2824,Accounts!A:B,2,FALSE)</f>
        <v>SCB</v>
      </c>
      <c r="M2824" t="s">
        <v>124</v>
      </c>
      <c r="N2824" s="10"/>
      <c r="O2824" t="s">
        <v>125</v>
      </c>
      <c r="Q2824" t="s">
        <v>126</v>
      </c>
      <c r="R2824" t="s">
        <v>124</v>
      </c>
      <c r="S2824" t="b">
        <v>0</v>
      </c>
      <c r="T2824" t="s">
        <v>124</v>
      </c>
    </row>
    <row r="2825">
      <c r="A2825" t="s">
        <v>5216</v>
      </c>
      <c r="B2825" t="s">
        <v>5215</v>
      </c>
      <c r="C2825" s="2">
        <v>2022</v>
      </c>
      <c r="D2825" s="10">
        <v>8</v>
      </c>
      <c r="E2825" s="10">
        <v>2</v>
      </c>
      <c r="F2825" t="s">
        <v>3444</v>
      </c>
      <c r="G2825">
        <v>110</v>
      </c>
      <c r="H2825" t="s">
        <v>69</v>
      </c>
      <c r="I2825" t="s">
        <v>150</v>
      </c>
      <c r="J2825" s="10" t="str">
        <f>VLOOKUP(I2825,Categories!A:B,2,FALSE)</f>
        <v xml:space="preserve">Food &amp; Coff</v>
      </c>
      <c r="K2825" t="s">
        <v>178</v>
      </c>
      <c r="L2825" s="10" t="str">
        <f>VLOOKUP(K2825,Accounts!A:B,2,FALSE)</f>
        <v>SCB</v>
      </c>
      <c r="M2825" t="s">
        <v>124</v>
      </c>
      <c r="N2825" s="10"/>
      <c r="O2825" t="s">
        <v>5217</v>
      </c>
      <c r="Q2825" t="s">
        <v>126</v>
      </c>
      <c r="R2825" t="s">
        <v>124</v>
      </c>
      <c r="S2825" t="b">
        <v>0</v>
      </c>
      <c r="T2825" t="s">
        <v>124</v>
      </c>
    </row>
    <row r="2826">
      <c r="A2826" t="s">
        <v>5218</v>
      </c>
      <c r="B2826" t="s">
        <v>5215</v>
      </c>
      <c r="C2826" s="2">
        <v>2022</v>
      </c>
      <c r="D2826" s="10">
        <v>8</v>
      </c>
      <c r="E2826" s="10">
        <v>2</v>
      </c>
      <c r="F2826" t="s">
        <v>2470</v>
      </c>
      <c r="G2826">
        <v>10000</v>
      </c>
      <c r="H2826" t="s">
        <v>128</v>
      </c>
      <c r="I2826" t="s">
        <v>136</v>
      </c>
      <c r="J2826" s="10" t="str">
        <f>VLOOKUP(I2826,Categories!A:B,2,FALSE)</f>
        <v>อื่นๆ</v>
      </c>
      <c r="K2826" t="s">
        <v>3248</v>
      </c>
      <c r="L2826" s="10" t="str">
        <f>VLOOKUP(K2826,Accounts!A:B,2,FALSE)</f>
        <v>Loan</v>
      </c>
      <c r="M2826" t="s">
        <v>178</v>
      </c>
      <c r="N2826" s="10" t="str">
        <f>VLOOKUP(M2826,Accounts!A:B,2,FALSE)</f>
        <v>SCB</v>
      </c>
      <c r="O2826" t="s">
        <v>3249</v>
      </c>
      <c r="Q2826" t="s">
        <v>126</v>
      </c>
      <c r="R2826" t="s">
        <v>124</v>
      </c>
      <c r="S2826" t="b">
        <v>0</v>
      </c>
      <c r="T2826" t="s">
        <v>124</v>
      </c>
    </row>
    <row r="2827">
      <c r="A2827" t="s">
        <v>5219</v>
      </c>
      <c r="B2827" t="s">
        <v>5215</v>
      </c>
      <c r="C2827" s="2">
        <v>2022</v>
      </c>
      <c r="D2827" s="10">
        <v>8</v>
      </c>
      <c r="E2827" s="10">
        <v>2</v>
      </c>
      <c r="F2827" t="s">
        <v>556</v>
      </c>
      <c r="G2827">
        <v>5000</v>
      </c>
      <c r="H2827" t="s">
        <v>69</v>
      </c>
      <c r="I2827" t="s">
        <v>144</v>
      </c>
      <c r="J2827" s="10" t="str">
        <f>VLOOKUP(I2827,Categories!A:B,2,FALSE)</f>
        <v xml:space="preserve">Family paid</v>
      </c>
      <c r="K2827" t="s">
        <v>178</v>
      </c>
      <c r="L2827" s="10" t="str">
        <f>VLOOKUP(K2827,Accounts!A:B,2,FALSE)</f>
        <v>SCB</v>
      </c>
      <c r="M2827" t="s">
        <v>124</v>
      </c>
      <c r="N2827" s="10"/>
      <c r="O2827" t="s">
        <v>125</v>
      </c>
      <c r="Q2827" t="s">
        <v>126</v>
      </c>
      <c r="R2827" t="s">
        <v>124</v>
      </c>
      <c r="S2827" t="b">
        <v>0</v>
      </c>
      <c r="T2827" t="s">
        <v>124</v>
      </c>
    </row>
    <row r="2828">
      <c r="A2828" t="s">
        <v>5220</v>
      </c>
      <c r="B2828" t="s">
        <v>5221</v>
      </c>
      <c r="C2828" s="2">
        <v>2022</v>
      </c>
      <c r="D2828" s="10">
        <v>8</v>
      </c>
      <c r="E2828" s="10">
        <v>1</v>
      </c>
      <c r="F2828" t="s">
        <v>276</v>
      </c>
      <c r="G2828">
        <v>42</v>
      </c>
      <c r="H2828" t="s">
        <v>69</v>
      </c>
      <c r="I2828" t="s">
        <v>150</v>
      </c>
      <c r="J2828" s="10" t="str">
        <f>VLOOKUP(I2828,Categories!A:B,2,FALSE)</f>
        <v xml:space="preserve">Food &amp; Coff</v>
      </c>
      <c r="K2828" t="s">
        <v>123</v>
      </c>
      <c r="L2828" s="10" t="str">
        <f>VLOOKUP(K2828,Accounts!A:B,2,FALSE)</f>
        <v>KBank</v>
      </c>
      <c r="M2828" t="s">
        <v>124</v>
      </c>
      <c r="N2828" s="10"/>
      <c r="O2828" t="s">
        <v>125</v>
      </c>
      <c r="Q2828" t="s">
        <v>126</v>
      </c>
      <c r="R2828" t="s">
        <v>124</v>
      </c>
      <c r="S2828" t="b">
        <v>0</v>
      </c>
      <c r="T2828" t="s">
        <v>124</v>
      </c>
    </row>
    <row r="2829">
      <c r="A2829" t="s">
        <v>5222</v>
      </c>
      <c r="B2829" t="s">
        <v>5221</v>
      </c>
      <c r="C2829" s="2">
        <v>2022</v>
      </c>
      <c r="D2829" s="10">
        <v>8</v>
      </c>
      <c r="E2829" s="10">
        <v>1</v>
      </c>
      <c r="F2829" t="s">
        <v>3881</v>
      </c>
      <c r="G2829">
        <v>50</v>
      </c>
      <c r="H2829" t="s">
        <v>69</v>
      </c>
      <c r="I2829" t="s">
        <v>150</v>
      </c>
      <c r="J2829" s="10" t="str">
        <f>VLOOKUP(I2829,Categories!A:B,2,FALSE)</f>
        <v xml:space="preserve">Food &amp; Coff</v>
      </c>
      <c r="K2829" t="s">
        <v>178</v>
      </c>
      <c r="L2829" s="10" t="str">
        <f>VLOOKUP(K2829,Accounts!A:B,2,FALSE)</f>
        <v>SCB</v>
      </c>
      <c r="M2829" t="s">
        <v>124</v>
      </c>
      <c r="N2829" s="10"/>
      <c r="O2829" t="s">
        <v>125</v>
      </c>
      <c r="Q2829" t="s">
        <v>126</v>
      </c>
      <c r="R2829" t="s">
        <v>124</v>
      </c>
      <c r="S2829" t="b">
        <v>0</v>
      </c>
      <c r="T2829" t="s">
        <v>124</v>
      </c>
    </row>
    <row r="2830">
      <c r="A2830" t="s">
        <v>5223</v>
      </c>
      <c r="B2830" t="s">
        <v>5224</v>
      </c>
      <c r="C2830" s="2">
        <v>2022</v>
      </c>
      <c r="D2830" s="10">
        <v>7</v>
      </c>
      <c r="E2830" s="10">
        <v>31</v>
      </c>
      <c r="F2830" t="s">
        <v>4306</v>
      </c>
      <c r="G2830">
        <v>50225</v>
      </c>
      <c r="H2830" t="s">
        <v>69</v>
      </c>
      <c r="I2830" t="s">
        <v>254</v>
      </c>
      <c r="J2830" s="10" t="str">
        <f>VLOOKUP(I2830,Categories!A:B,2,FALSE)</f>
        <v xml:space="preserve">Modified Bal.</v>
      </c>
      <c r="K2830" t="s">
        <v>2317</v>
      </c>
      <c r="L2830" s="10" t="str">
        <f>VLOOKUP(K2830,Accounts!A:B,2,FALSE)</f>
        <v xml:space="preserve">Marriage account</v>
      </c>
      <c r="M2830" t="s">
        <v>124</v>
      </c>
      <c r="N2830" s="10"/>
      <c r="O2830" t="s">
        <v>255</v>
      </c>
      <c r="Q2830" t="s">
        <v>126</v>
      </c>
      <c r="R2830" t="s">
        <v>124</v>
      </c>
      <c r="S2830" t="b">
        <v>0</v>
      </c>
      <c r="T2830" t="s">
        <v>124</v>
      </c>
    </row>
    <row r="2831">
      <c r="A2831" t="s">
        <v>5225</v>
      </c>
      <c r="B2831" t="s">
        <v>5226</v>
      </c>
      <c r="C2831" s="2">
        <v>2022</v>
      </c>
      <c r="D2831" s="10">
        <v>7</v>
      </c>
      <c r="E2831" s="10">
        <v>29</v>
      </c>
      <c r="F2831" t="s">
        <v>332</v>
      </c>
      <c r="G2831">
        <v>110</v>
      </c>
      <c r="H2831" t="s">
        <v>69</v>
      </c>
      <c r="I2831" t="s">
        <v>150</v>
      </c>
      <c r="J2831" s="10" t="str">
        <f>VLOOKUP(I2831,Categories!A:B,2,FALSE)</f>
        <v xml:space="preserve">Food &amp; Coff</v>
      </c>
      <c r="K2831" t="s">
        <v>178</v>
      </c>
      <c r="L2831" s="10" t="str">
        <f>VLOOKUP(K2831,Accounts!A:B,2,FALSE)</f>
        <v>SCB</v>
      </c>
      <c r="M2831" t="s">
        <v>124</v>
      </c>
      <c r="N2831" s="10"/>
      <c r="O2831" t="s">
        <v>125</v>
      </c>
      <c r="Q2831" t="s">
        <v>126</v>
      </c>
      <c r="R2831" t="s">
        <v>124</v>
      </c>
      <c r="S2831" t="b">
        <v>0</v>
      </c>
      <c r="T2831" t="s">
        <v>124</v>
      </c>
    </row>
    <row r="2832">
      <c r="A2832" t="s">
        <v>5227</v>
      </c>
      <c r="B2832" t="s">
        <v>5228</v>
      </c>
      <c r="C2832" s="2">
        <v>2022</v>
      </c>
      <c r="D2832" s="10">
        <v>7</v>
      </c>
      <c r="E2832" s="10">
        <v>28</v>
      </c>
      <c r="F2832" t="s">
        <v>3038</v>
      </c>
      <c r="G2832">
        <v>77</v>
      </c>
      <c r="H2832" t="s">
        <v>69</v>
      </c>
      <c r="I2832" t="s">
        <v>122</v>
      </c>
      <c r="J2832" s="10" t="str">
        <f>VLOOKUP(I2832,Categories!A:B,2,FALSE)</f>
        <v>Other</v>
      </c>
      <c r="K2832" t="s">
        <v>893</v>
      </c>
      <c r="L2832" s="10" t="str">
        <f>VLOOKUP(K2832,Accounts!A:B,2,FALSE)</f>
        <v>Shopee</v>
      </c>
      <c r="M2832" t="s">
        <v>124</v>
      </c>
      <c r="N2832" s="10"/>
      <c r="O2832" t="s">
        <v>5229</v>
      </c>
      <c r="Q2832" t="s">
        <v>126</v>
      </c>
      <c r="R2832" t="s">
        <v>124</v>
      </c>
      <c r="S2832" t="b">
        <v>0</v>
      </c>
      <c r="T2832" t="s">
        <v>124</v>
      </c>
    </row>
    <row r="2833">
      <c r="A2833" t="s">
        <v>5230</v>
      </c>
      <c r="B2833" t="s">
        <v>5228</v>
      </c>
      <c r="C2833" s="2">
        <v>2022</v>
      </c>
      <c r="D2833" s="10">
        <v>7</v>
      </c>
      <c r="E2833" s="10">
        <v>28</v>
      </c>
      <c r="F2833" t="s">
        <v>1867</v>
      </c>
      <c r="G2833">
        <v>300</v>
      </c>
      <c r="H2833" t="s">
        <v>128</v>
      </c>
      <c r="I2833" t="s">
        <v>136</v>
      </c>
      <c r="J2833" s="10" t="str">
        <f>VLOOKUP(I2833,Categories!A:B,2,FALSE)</f>
        <v>อื่นๆ</v>
      </c>
      <c r="K2833" t="s">
        <v>178</v>
      </c>
      <c r="L2833" s="10" t="str">
        <f>VLOOKUP(K2833,Accounts!A:B,2,FALSE)</f>
        <v>SCB</v>
      </c>
      <c r="M2833" t="s">
        <v>893</v>
      </c>
      <c r="N2833" s="10" t="str">
        <f>VLOOKUP(M2833,Accounts!A:B,2,FALSE)</f>
        <v>Shopee</v>
      </c>
      <c r="O2833" t="s">
        <v>125</v>
      </c>
      <c r="Q2833" t="s">
        <v>126</v>
      </c>
      <c r="R2833" t="s">
        <v>124</v>
      </c>
      <c r="S2833" t="b">
        <v>0</v>
      </c>
      <c r="T2833" t="s">
        <v>124</v>
      </c>
    </row>
    <row r="2834">
      <c r="A2834" t="s">
        <v>5231</v>
      </c>
      <c r="B2834" t="s">
        <v>5232</v>
      </c>
      <c r="C2834" s="2">
        <v>2022</v>
      </c>
      <c r="D2834" s="10">
        <v>7</v>
      </c>
      <c r="E2834" s="10">
        <v>27</v>
      </c>
      <c r="F2834" t="s">
        <v>1591</v>
      </c>
      <c r="G2834">
        <v>89</v>
      </c>
      <c r="H2834" t="s">
        <v>69</v>
      </c>
      <c r="I2834" t="s">
        <v>150</v>
      </c>
      <c r="J2834" s="10" t="str">
        <f>VLOOKUP(I2834,Categories!A:B,2,FALSE)</f>
        <v xml:space="preserve">Food &amp; Coff</v>
      </c>
      <c r="K2834" t="s">
        <v>178</v>
      </c>
      <c r="L2834" s="10" t="str">
        <f>VLOOKUP(K2834,Accounts!A:B,2,FALSE)</f>
        <v>SCB</v>
      </c>
      <c r="M2834" t="s">
        <v>124</v>
      </c>
      <c r="N2834" s="10"/>
      <c r="O2834" t="s">
        <v>5233</v>
      </c>
      <c r="Q2834" t="s">
        <v>126</v>
      </c>
      <c r="R2834" t="s">
        <v>124</v>
      </c>
      <c r="S2834" t="b">
        <v>0</v>
      </c>
      <c r="T2834" t="s">
        <v>124</v>
      </c>
    </row>
    <row r="2835">
      <c r="A2835" t="s">
        <v>5234</v>
      </c>
      <c r="B2835" t="s">
        <v>5232</v>
      </c>
      <c r="C2835" s="2">
        <v>2022</v>
      </c>
      <c r="D2835" s="10">
        <v>7</v>
      </c>
      <c r="E2835" s="10">
        <v>27</v>
      </c>
      <c r="F2835" t="s">
        <v>1233</v>
      </c>
      <c r="G2835">
        <v>50</v>
      </c>
      <c r="H2835" t="s">
        <v>69</v>
      </c>
      <c r="I2835" t="s">
        <v>150</v>
      </c>
      <c r="J2835" s="10" t="str">
        <f>VLOOKUP(I2835,Categories!A:B,2,FALSE)</f>
        <v xml:space="preserve">Food &amp; Coff</v>
      </c>
      <c r="K2835" t="s">
        <v>178</v>
      </c>
      <c r="L2835" s="10" t="str">
        <f>VLOOKUP(K2835,Accounts!A:B,2,FALSE)</f>
        <v>SCB</v>
      </c>
      <c r="M2835" t="s">
        <v>124</v>
      </c>
      <c r="N2835" s="10"/>
      <c r="O2835" t="s">
        <v>125</v>
      </c>
      <c r="Q2835" t="s">
        <v>126</v>
      </c>
      <c r="R2835" t="s">
        <v>124</v>
      </c>
      <c r="S2835" t="b">
        <v>0</v>
      </c>
      <c r="T2835" t="s">
        <v>124</v>
      </c>
    </row>
    <row r="2836">
      <c r="A2836" t="s">
        <v>5235</v>
      </c>
      <c r="B2836" t="s">
        <v>5236</v>
      </c>
      <c r="C2836" s="2">
        <v>2022</v>
      </c>
      <c r="D2836" s="10">
        <v>7</v>
      </c>
      <c r="E2836" s="10">
        <v>26</v>
      </c>
      <c r="F2836" t="s">
        <v>2699</v>
      </c>
      <c r="G2836">
        <v>45</v>
      </c>
      <c r="H2836" t="s">
        <v>69</v>
      </c>
      <c r="I2836" t="s">
        <v>150</v>
      </c>
      <c r="J2836" s="10" t="str">
        <f>VLOOKUP(I2836,Categories!A:B,2,FALSE)</f>
        <v xml:space="preserve">Food &amp; Coff</v>
      </c>
      <c r="K2836" t="s">
        <v>178</v>
      </c>
      <c r="L2836" s="10" t="str">
        <f>VLOOKUP(K2836,Accounts!A:B,2,FALSE)</f>
        <v>SCB</v>
      </c>
      <c r="M2836" t="s">
        <v>124</v>
      </c>
      <c r="N2836" s="10"/>
      <c r="O2836" t="s">
        <v>125</v>
      </c>
      <c r="Q2836" t="s">
        <v>126</v>
      </c>
      <c r="R2836" t="s">
        <v>124</v>
      </c>
      <c r="S2836" t="b">
        <v>0</v>
      </c>
      <c r="T2836" t="s">
        <v>124</v>
      </c>
    </row>
    <row r="2837">
      <c r="A2837" t="s">
        <v>5237</v>
      </c>
      <c r="B2837" t="s">
        <v>5236</v>
      </c>
      <c r="C2837" s="2">
        <v>2022</v>
      </c>
      <c r="D2837" s="10">
        <v>7</v>
      </c>
      <c r="E2837" s="10">
        <v>26</v>
      </c>
      <c r="F2837" t="s">
        <v>2699</v>
      </c>
      <c r="G2837">
        <v>105</v>
      </c>
      <c r="H2837" t="s">
        <v>128</v>
      </c>
      <c r="I2837" t="s">
        <v>136</v>
      </c>
      <c r="J2837" s="10" t="str">
        <f>VLOOKUP(I2837,Categories!A:B,2,FALSE)</f>
        <v>อื่นๆ</v>
      </c>
      <c r="K2837" t="s">
        <v>5238</v>
      </c>
      <c r="L2837" s="10" t="str">
        <f>VLOOKUP(K2837,Accounts!A:B,2,FALSE)</f>
        <v xml:space="preserve">marriage savings</v>
      </c>
      <c r="M2837" t="s">
        <v>178</v>
      </c>
      <c r="N2837" s="10" t="str">
        <f>VLOOKUP(M2837,Accounts!A:B,2,FALSE)</f>
        <v>SCB</v>
      </c>
      <c r="O2837" t="s">
        <v>125</v>
      </c>
      <c r="Q2837" t="s">
        <v>126</v>
      </c>
      <c r="R2837" t="s">
        <v>124</v>
      </c>
      <c r="S2837" t="b">
        <v>0</v>
      </c>
      <c r="T2837" t="s">
        <v>124</v>
      </c>
    </row>
    <row r="2838">
      <c r="A2838" t="s">
        <v>5239</v>
      </c>
      <c r="B2838" t="s">
        <v>5236</v>
      </c>
      <c r="C2838" s="2">
        <v>2022</v>
      </c>
      <c r="D2838" s="10">
        <v>7</v>
      </c>
      <c r="E2838" s="10">
        <v>26</v>
      </c>
      <c r="F2838" t="s">
        <v>1662</v>
      </c>
      <c r="G2838">
        <v>260</v>
      </c>
      <c r="H2838" t="s">
        <v>69</v>
      </c>
      <c r="I2838" t="s">
        <v>134</v>
      </c>
      <c r="J2838" s="10" t="str">
        <f>VLOOKUP(I2838,Categories!A:B,2,FALSE)</f>
        <v>Hong</v>
      </c>
      <c r="K2838" t="s">
        <v>123</v>
      </c>
      <c r="L2838" s="10" t="str">
        <f>VLOOKUP(K2838,Accounts!A:B,2,FALSE)</f>
        <v>KBank</v>
      </c>
      <c r="M2838" t="s">
        <v>124</v>
      </c>
      <c r="N2838" s="10"/>
      <c r="O2838" t="s">
        <v>125</v>
      </c>
      <c r="Q2838" t="s">
        <v>126</v>
      </c>
      <c r="R2838" t="s">
        <v>124</v>
      </c>
      <c r="S2838" t="b">
        <v>0</v>
      </c>
      <c r="T2838" t="s">
        <v>124</v>
      </c>
    </row>
    <row r="2839">
      <c r="A2839" t="s">
        <v>5240</v>
      </c>
      <c r="B2839" t="s">
        <v>5236</v>
      </c>
      <c r="C2839" s="2">
        <v>2022</v>
      </c>
      <c r="D2839" s="10">
        <v>7</v>
      </c>
      <c r="E2839" s="10">
        <v>26</v>
      </c>
      <c r="F2839" t="s">
        <v>1822</v>
      </c>
      <c r="G2839">
        <v>86</v>
      </c>
      <c r="H2839" t="s">
        <v>69</v>
      </c>
      <c r="I2839" t="s">
        <v>150</v>
      </c>
      <c r="J2839" s="10" t="str">
        <f>VLOOKUP(I2839,Categories!A:B,2,FALSE)</f>
        <v xml:space="preserve">Food &amp; Coff</v>
      </c>
      <c r="K2839" t="s">
        <v>178</v>
      </c>
      <c r="L2839" s="10" t="str">
        <f>VLOOKUP(K2839,Accounts!A:B,2,FALSE)</f>
        <v>SCB</v>
      </c>
      <c r="M2839" t="s">
        <v>124</v>
      </c>
      <c r="N2839" s="10"/>
      <c r="O2839" t="s">
        <v>125</v>
      </c>
      <c r="Q2839" t="s">
        <v>126</v>
      </c>
      <c r="R2839" t="s">
        <v>124</v>
      </c>
      <c r="S2839" t="b">
        <v>0</v>
      </c>
      <c r="T2839" t="s">
        <v>124</v>
      </c>
    </row>
    <row r="2840">
      <c r="A2840" t="s">
        <v>5241</v>
      </c>
      <c r="B2840" t="s">
        <v>5236</v>
      </c>
      <c r="C2840" s="2">
        <v>2022</v>
      </c>
      <c r="D2840" s="10">
        <v>7</v>
      </c>
      <c r="E2840" s="10">
        <v>26</v>
      </c>
      <c r="F2840" t="s">
        <v>1594</v>
      </c>
      <c r="G2840">
        <v>60</v>
      </c>
      <c r="H2840" t="s">
        <v>69</v>
      </c>
      <c r="I2840" t="s">
        <v>150</v>
      </c>
      <c r="J2840" s="10" t="str">
        <f>VLOOKUP(I2840,Categories!A:B,2,FALSE)</f>
        <v xml:space="preserve">Food &amp; Coff</v>
      </c>
      <c r="K2840" t="s">
        <v>178</v>
      </c>
      <c r="L2840" s="10" t="str">
        <f>VLOOKUP(K2840,Accounts!A:B,2,FALSE)</f>
        <v>SCB</v>
      </c>
      <c r="M2840" t="s">
        <v>124</v>
      </c>
      <c r="N2840" s="10"/>
      <c r="O2840" t="s">
        <v>5140</v>
      </c>
      <c r="Q2840" t="s">
        <v>126</v>
      </c>
      <c r="R2840" t="s">
        <v>124</v>
      </c>
      <c r="S2840" t="b">
        <v>0</v>
      </c>
      <c r="T2840" t="s">
        <v>124</v>
      </c>
    </row>
    <row r="2841">
      <c r="A2841" t="s">
        <v>5242</v>
      </c>
      <c r="B2841" t="s">
        <v>5243</v>
      </c>
      <c r="C2841" s="2">
        <v>2022</v>
      </c>
      <c r="D2841" s="10">
        <v>7</v>
      </c>
      <c r="E2841" s="10">
        <v>25</v>
      </c>
      <c r="F2841" t="s">
        <v>5244</v>
      </c>
      <c r="G2841">
        <v>50</v>
      </c>
      <c r="H2841" t="s">
        <v>69</v>
      </c>
      <c r="I2841" t="s">
        <v>150</v>
      </c>
      <c r="J2841" s="10" t="str">
        <f>VLOOKUP(I2841,Categories!A:B,2,FALSE)</f>
        <v xml:space="preserve">Food &amp; Coff</v>
      </c>
      <c r="K2841" t="s">
        <v>178</v>
      </c>
      <c r="L2841" s="10" t="str">
        <f>VLOOKUP(K2841,Accounts!A:B,2,FALSE)</f>
        <v>SCB</v>
      </c>
      <c r="M2841" t="s">
        <v>124</v>
      </c>
      <c r="N2841" s="10"/>
      <c r="O2841" t="s">
        <v>125</v>
      </c>
      <c r="Q2841" t="s">
        <v>126</v>
      </c>
      <c r="R2841" t="s">
        <v>124</v>
      </c>
      <c r="S2841" t="b">
        <v>0</v>
      </c>
      <c r="T2841" t="s">
        <v>124</v>
      </c>
    </row>
    <row r="2842">
      <c r="A2842" t="s">
        <v>5245</v>
      </c>
      <c r="B2842" t="s">
        <v>5243</v>
      </c>
      <c r="C2842" s="2">
        <v>2022</v>
      </c>
      <c r="D2842" s="10">
        <v>7</v>
      </c>
      <c r="E2842" s="10">
        <v>25</v>
      </c>
      <c r="F2842" t="s">
        <v>2181</v>
      </c>
      <c r="G2842">
        <v>50</v>
      </c>
      <c r="H2842" t="s">
        <v>69</v>
      </c>
      <c r="I2842" t="s">
        <v>150</v>
      </c>
      <c r="J2842" s="10" t="str">
        <f>VLOOKUP(I2842,Categories!A:B,2,FALSE)</f>
        <v xml:space="preserve">Food &amp; Coff</v>
      </c>
      <c r="K2842" t="s">
        <v>178</v>
      </c>
      <c r="L2842" s="10" t="str">
        <f>VLOOKUP(K2842,Accounts!A:B,2,FALSE)</f>
        <v>SCB</v>
      </c>
      <c r="M2842" t="s">
        <v>124</v>
      </c>
      <c r="N2842" s="10"/>
      <c r="O2842" t="s">
        <v>125</v>
      </c>
      <c r="Q2842" t="s">
        <v>126</v>
      </c>
      <c r="R2842" t="s">
        <v>124</v>
      </c>
      <c r="S2842" t="b">
        <v>0</v>
      </c>
      <c r="T2842" t="s">
        <v>124</v>
      </c>
    </row>
    <row r="2843">
      <c r="A2843" t="s">
        <v>5246</v>
      </c>
      <c r="B2843" t="s">
        <v>5243</v>
      </c>
      <c r="C2843" s="2">
        <v>2022</v>
      </c>
      <c r="D2843" s="10">
        <v>7</v>
      </c>
      <c r="E2843" s="10">
        <v>25</v>
      </c>
      <c r="F2843" t="s">
        <v>2495</v>
      </c>
      <c r="G2843">
        <v>140</v>
      </c>
      <c r="H2843" t="s">
        <v>128</v>
      </c>
      <c r="I2843" t="s">
        <v>136</v>
      </c>
      <c r="J2843" s="10" t="str">
        <f>VLOOKUP(I2843,Categories!A:B,2,FALSE)</f>
        <v>อื่นๆ</v>
      </c>
      <c r="K2843" t="s">
        <v>178</v>
      </c>
      <c r="L2843" s="10" t="str">
        <f>VLOOKUP(K2843,Accounts!A:B,2,FALSE)</f>
        <v>SCB</v>
      </c>
      <c r="M2843" t="s">
        <v>425</v>
      </c>
      <c r="N2843" s="10" t="str">
        <f>VLOOKUP(M2843,Accounts!A:B,2,FALSE)</f>
        <v>Cash</v>
      </c>
      <c r="O2843" t="s">
        <v>125</v>
      </c>
      <c r="Q2843" t="s">
        <v>126</v>
      </c>
      <c r="R2843" t="s">
        <v>124</v>
      </c>
      <c r="S2843" t="b">
        <v>0</v>
      </c>
      <c r="T2843" t="s">
        <v>124</v>
      </c>
    </row>
    <row r="2844">
      <c r="A2844" t="s">
        <v>5247</v>
      </c>
      <c r="B2844" t="s">
        <v>5243</v>
      </c>
      <c r="C2844" s="2">
        <v>2022</v>
      </c>
      <c r="D2844" s="10">
        <v>7</v>
      </c>
      <c r="E2844" s="10">
        <v>25</v>
      </c>
      <c r="F2844" t="s">
        <v>2495</v>
      </c>
      <c r="G2844">
        <v>144</v>
      </c>
      <c r="H2844" t="s">
        <v>69</v>
      </c>
      <c r="I2844" t="s">
        <v>150</v>
      </c>
      <c r="J2844" s="10" t="str">
        <f>VLOOKUP(I2844,Categories!A:B,2,FALSE)</f>
        <v xml:space="preserve">Food &amp; Coff</v>
      </c>
      <c r="K2844" t="s">
        <v>178</v>
      </c>
      <c r="L2844" s="10" t="str">
        <f>VLOOKUP(K2844,Accounts!A:B,2,FALSE)</f>
        <v>SCB</v>
      </c>
      <c r="M2844" t="s">
        <v>124</v>
      </c>
      <c r="N2844" s="10"/>
      <c r="O2844" t="s">
        <v>125</v>
      </c>
      <c r="Q2844" t="s">
        <v>126</v>
      </c>
      <c r="R2844" t="s">
        <v>124</v>
      </c>
      <c r="S2844" t="b">
        <v>0</v>
      </c>
      <c r="T2844" t="s">
        <v>124</v>
      </c>
    </row>
    <row r="2845">
      <c r="A2845" t="s">
        <v>5248</v>
      </c>
      <c r="B2845" t="s">
        <v>5249</v>
      </c>
      <c r="C2845" s="2">
        <v>2022</v>
      </c>
      <c r="D2845" s="10">
        <v>7</v>
      </c>
      <c r="E2845" s="10">
        <v>23</v>
      </c>
      <c r="F2845" t="s">
        <v>121</v>
      </c>
      <c r="G2845">
        <v>7290</v>
      </c>
      <c r="H2845" t="s">
        <v>128</v>
      </c>
      <c r="I2845" t="s">
        <v>136</v>
      </c>
      <c r="J2845" s="10" t="str">
        <f>VLOOKUP(I2845,Categories!A:B,2,FALSE)</f>
        <v>อื่นๆ</v>
      </c>
      <c r="K2845" t="s">
        <v>178</v>
      </c>
      <c r="L2845" s="10" t="str">
        <f>VLOOKUP(K2845,Accounts!A:B,2,FALSE)</f>
        <v>SCB</v>
      </c>
      <c r="M2845" t="s">
        <v>1244</v>
      </c>
      <c r="N2845" s="10" t="str">
        <f>VLOOKUP(M2845,Accounts!A:B,2,FALSE)</f>
        <v xml:space="preserve">Home chomthong Loan</v>
      </c>
      <c r="O2845" t="s">
        <v>125</v>
      </c>
      <c r="Q2845" t="s">
        <v>126</v>
      </c>
      <c r="R2845" t="s">
        <v>124</v>
      </c>
      <c r="S2845" t="b">
        <v>0</v>
      </c>
      <c r="T2845" t="s">
        <v>124</v>
      </c>
    </row>
    <row r="2846">
      <c r="A2846" t="s">
        <v>5250</v>
      </c>
      <c r="B2846" t="s">
        <v>5249</v>
      </c>
      <c r="C2846" s="2">
        <v>2022</v>
      </c>
      <c r="D2846" s="10">
        <v>7</v>
      </c>
      <c r="E2846" s="10">
        <v>23</v>
      </c>
      <c r="F2846" t="s">
        <v>121</v>
      </c>
      <c r="G2846">
        <v>2066.4000000000001</v>
      </c>
      <c r="H2846" t="s">
        <v>128</v>
      </c>
      <c r="I2846" t="s">
        <v>136</v>
      </c>
      <c r="J2846" s="10" t="str">
        <f>VLOOKUP(I2846,Categories!A:B,2,FALSE)</f>
        <v>อื่นๆ</v>
      </c>
      <c r="K2846" t="s">
        <v>178</v>
      </c>
      <c r="L2846" s="10" t="str">
        <f>VLOOKUP(K2846,Accounts!A:B,2,FALSE)</f>
        <v>SCB</v>
      </c>
      <c r="M2846" t="s">
        <v>203</v>
      </c>
      <c r="N2846" s="10" t="str">
        <f>VLOOKUP(M2846,Accounts!A:B,2,FALSE)</f>
        <v xml:space="preserve">Provident Fund</v>
      </c>
      <c r="O2846" t="s">
        <v>125</v>
      </c>
      <c r="Q2846" t="s">
        <v>126</v>
      </c>
      <c r="R2846" t="s">
        <v>124</v>
      </c>
      <c r="S2846" t="b">
        <v>0</v>
      </c>
      <c r="T2846" t="s">
        <v>124</v>
      </c>
    </row>
    <row r="2847">
      <c r="A2847" t="s">
        <v>5251</v>
      </c>
      <c r="B2847" t="s">
        <v>5249</v>
      </c>
      <c r="C2847" s="2">
        <v>2022</v>
      </c>
      <c r="D2847" s="10">
        <v>7</v>
      </c>
      <c r="E2847" s="10">
        <v>23</v>
      </c>
      <c r="F2847" t="s">
        <v>121</v>
      </c>
      <c r="G2847">
        <v>520.14999999999998</v>
      </c>
      <c r="H2847" t="s">
        <v>69</v>
      </c>
      <c r="I2847" t="s">
        <v>199</v>
      </c>
      <c r="J2847" s="10" t="str">
        <f>VLOOKUP(I2847,Categories!A:B,2,FALSE)</f>
        <v xml:space="preserve">Home Chomthong Interest</v>
      </c>
      <c r="K2847" t="s">
        <v>178</v>
      </c>
      <c r="L2847" s="10" t="str">
        <f>VLOOKUP(K2847,Accounts!A:B,2,FALSE)</f>
        <v>SCB</v>
      </c>
      <c r="M2847" t="s">
        <v>124</v>
      </c>
      <c r="N2847" s="10"/>
      <c r="O2847" t="s">
        <v>125</v>
      </c>
      <c r="Q2847" t="s">
        <v>126</v>
      </c>
      <c r="R2847" t="s">
        <v>124</v>
      </c>
      <c r="S2847" t="b">
        <v>0</v>
      </c>
      <c r="T2847" t="s">
        <v>124</v>
      </c>
    </row>
    <row r="2848">
      <c r="A2848" t="s">
        <v>5252</v>
      </c>
      <c r="B2848" t="s">
        <v>5249</v>
      </c>
      <c r="C2848" s="2">
        <v>2022</v>
      </c>
      <c r="D2848" s="10">
        <v>7</v>
      </c>
      <c r="E2848" s="10">
        <v>23</v>
      </c>
      <c r="F2848" t="s">
        <v>121</v>
      </c>
      <c r="G2848">
        <v>97.900000000000006</v>
      </c>
      <c r="H2848" t="s">
        <v>69</v>
      </c>
      <c r="I2848" t="s">
        <v>443</v>
      </c>
      <c r="J2848" s="10" t="str">
        <f>VLOOKUP(I2848,Categories!A:B,2,FALSE)</f>
        <v xml:space="preserve">City SV Interest</v>
      </c>
      <c r="K2848" t="s">
        <v>178</v>
      </c>
      <c r="L2848" s="10" t="str">
        <f>VLOOKUP(K2848,Accounts!A:B,2,FALSE)</f>
        <v>SCB</v>
      </c>
      <c r="M2848" t="s">
        <v>124</v>
      </c>
      <c r="N2848" s="10"/>
      <c r="O2848" t="s">
        <v>125</v>
      </c>
      <c r="Q2848" t="s">
        <v>126</v>
      </c>
      <c r="R2848" t="s">
        <v>124</v>
      </c>
      <c r="S2848" t="b">
        <v>0</v>
      </c>
      <c r="T2848" t="s">
        <v>124</v>
      </c>
    </row>
    <row r="2849">
      <c r="A2849" t="s">
        <v>5253</v>
      </c>
      <c r="B2849" t="s">
        <v>5249</v>
      </c>
      <c r="C2849" s="2">
        <v>2022</v>
      </c>
      <c r="D2849" s="10">
        <v>7</v>
      </c>
      <c r="E2849" s="10">
        <v>23</v>
      </c>
      <c r="F2849" t="s">
        <v>121</v>
      </c>
      <c r="G2849">
        <v>9240</v>
      </c>
      <c r="H2849" t="s">
        <v>128</v>
      </c>
      <c r="I2849" t="s">
        <v>136</v>
      </c>
      <c r="J2849" s="10" t="str">
        <f>VLOOKUP(I2849,Categories!A:B,2,FALSE)</f>
        <v>อื่นๆ</v>
      </c>
      <c r="K2849" t="s">
        <v>178</v>
      </c>
      <c r="L2849" s="10" t="str">
        <f>VLOOKUP(K2849,Accounts!A:B,2,FALSE)</f>
        <v>SCB</v>
      </c>
      <c r="M2849" t="s">
        <v>1246</v>
      </c>
      <c r="N2849" s="10" t="str">
        <f>VLOOKUP(M2849,Accounts!A:B,2,FALSE)</f>
        <v xml:space="preserve">Car Loan</v>
      </c>
      <c r="O2849" t="s">
        <v>125</v>
      </c>
      <c r="Q2849" t="s">
        <v>126</v>
      </c>
      <c r="R2849" t="s">
        <v>124</v>
      </c>
      <c r="S2849" t="b">
        <v>0</v>
      </c>
      <c r="T2849" t="s">
        <v>124</v>
      </c>
    </row>
    <row r="2850">
      <c r="A2850" t="s">
        <v>5254</v>
      </c>
      <c r="B2850" t="s">
        <v>5249</v>
      </c>
      <c r="C2850" s="2">
        <v>2022</v>
      </c>
      <c r="D2850" s="10">
        <v>7</v>
      </c>
      <c r="E2850" s="10">
        <v>23</v>
      </c>
      <c r="F2850" t="s">
        <v>121</v>
      </c>
      <c r="G2850">
        <v>500</v>
      </c>
      <c r="H2850" t="s">
        <v>128</v>
      </c>
      <c r="I2850" t="s">
        <v>136</v>
      </c>
      <c r="J2850" s="10" t="str">
        <f>VLOOKUP(I2850,Categories!A:B,2,FALSE)</f>
        <v>อื่นๆ</v>
      </c>
      <c r="K2850" t="s">
        <v>178</v>
      </c>
      <c r="L2850" s="10" t="str">
        <f>VLOOKUP(K2850,Accounts!A:B,2,FALSE)</f>
        <v>SCB</v>
      </c>
      <c r="M2850" t="s">
        <v>201</v>
      </c>
      <c r="N2850" s="10" t="str">
        <f>VLOOKUP(M2850,Accounts!A:B,2,FALSE)</f>
        <v>Coop</v>
      </c>
      <c r="O2850" t="s">
        <v>125</v>
      </c>
      <c r="Q2850" t="s">
        <v>126</v>
      </c>
      <c r="R2850" t="s">
        <v>124</v>
      </c>
      <c r="S2850" t="b">
        <v>0</v>
      </c>
      <c r="T2850" t="s">
        <v>124</v>
      </c>
    </row>
    <row r="2851">
      <c r="A2851" t="s">
        <v>5255</v>
      </c>
      <c r="B2851" t="s">
        <v>5249</v>
      </c>
      <c r="C2851" s="2">
        <v>2022</v>
      </c>
      <c r="D2851" s="10">
        <v>7</v>
      </c>
      <c r="E2851" s="10">
        <v>23</v>
      </c>
      <c r="F2851" t="s">
        <v>121</v>
      </c>
      <c r="G2851">
        <v>103320</v>
      </c>
      <c r="H2851" t="s">
        <v>206</v>
      </c>
      <c r="I2851" t="s">
        <v>207</v>
      </c>
      <c r="J2851" s="10" t="str">
        <f>VLOOKUP(I2851,Categories!A:B,2,FALSE)</f>
        <v>Salary</v>
      </c>
      <c r="K2851" t="s">
        <v>178</v>
      </c>
      <c r="L2851" s="10" t="str">
        <f>VLOOKUP(K2851,Accounts!A:B,2,FALSE)</f>
        <v>SCB</v>
      </c>
      <c r="M2851" t="s">
        <v>124</v>
      </c>
      <c r="N2851" s="10"/>
      <c r="O2851" t="s">
        <v>125</v>
      </c>
      <c r="Q2851" t="s">
        <v>126</v>
      </c>
      <c r="R2851" t="s">
        <v>124</v>
      </c>
      <c r="S2851" t="b">
        <v>0</v>
      </c>
      <c r="T2851" t="s">
        <v>124</v>
      </c>
    </row>
    <row r="2852">
      <c r="A2852" t="s">
        <v>5256</v>
      </c>
      <c r="B2852" t="s">
        <v>5249</v>
      </c>
      <c r="C2852" s="2">
        <v>2022</v>
      </c>
      <c r="D2852" s="10">
        <v>7</v>
      </c>
      <c r="E2852" s="10">
        <v>23</v>
      </c>
      <c r="F2852" t="s">
        <v>121</v>
      </c>
      <c r="G2852">
        <v>505.38999999999999</v>
      </c>
      <c r="H2852" t="s">
        <v>69</v>
      </c>
      <c r="I2852" t="s">
        <v>195</v>
      </c>
      <c r="J2852" s="10" t="str">
        <f>VLOOKUP(I2852,Categories!A:B,2,FALSE)</f>
        <v>Tax</v>
      </c>
      <c r="K2852" t="s">
        <v>178</v>
      </c>
      <c r="L2852" s="10" t="str">
        <f>VLOOKUP(K2852,Accounts!A:B,2,FALSE)</f>
        <v>SCB</v>
      </c>
      <c r="M2852" t="s">
        <v>124</v>
      </c>
      <c r="N2852" s="10"/>
      <c r="O2852" t="s">
        <v>125</v>
      </c>
      <c r="Q2852" t="s">
        <v>126</v>
      </c>
      <c r="R2852" t="s">
        <v>124</v>
      </c>
      <c r="S2852" t="b">
        <v>0</v>
      </c>
      <c r="T2852" t="s">
        <v>124</v>
      </c>
    </row>
    <row r="2853">
      <c r="A2853" t="s">
        <v>5257</v>
      </c>
      <c r="B2853" t="s">
        <v>5249</v>
      </c>
      <c r="C2853" s="2">
        <v>2022</v>
      </c>
      <c r="D2853" s="10">
        <v>7</v>
      </c>
      <c r="E2853" s="10">
        <v>23</v>
      </c>
      <c r="F2853" t="s">
        <v>121</v>
      </c>
      <c r="G2853">
        <v>135</v>
      </c>
      <c r="H2853" t="s">
        <v>69</v>
      </c>
      <c r="I2853" t="s">
        <v>144</v>
      </c>
      <c r="J2853" s="10" t="str">
        <f>VLOOKUP(I2853,Categories!A:B,2,FALSE)</f>
        <v xml:space="preserve">Family paid</v>
      </c>
      <c r="K2853" t="s">
        <v>178</v>
      </c>
      <c r="L2853" s="10" t="str">
        <f>VLOOKUP(K2853,Accounts!A:B,2,FALSE)</f>
        <v>SCB</v>
      </c>
      <c r="M2853" t="s">
        <v>124</v>
      </c>
      <c r="N2853" s="10"/>
      <c r="O2853" t="s">
        <v>125</v>
      </c>
      <c r="Q2853" t="s">
        <v>126</v>
      </c>
      <c r="R2853" t="s">
        <v>124</v>
      </c>
      <c r="S2853" t="b">
        <v>0</v>
      </c>
      <c r="T2853" t="s">
        <v>124</v>
      </c>
    </row>
    <row r="2854">
      <c r="A2854" t="s">
        <v>5258</v>
      </c>
      <c r="B2854" t="s">
        <v>5249</v>
      </c>
      <c r="C2854" s="2">
        <v>2022</v>
      </c>
      <c r="D2854" s="10">
        <v>7</v>
      </c>
      <c r="E2854" s="10">
        <v>23</v>
      </c>
      <c r="F2854" t="s">
        <v>2143</v>
      </c>
      <c r="G2854">
        <v>270</v>
      </c>
      <c r="H2854" t="s">
        <v>69</v>
      </c>
      <c r="I2854" t="s">
        <v>141</v>
      </c>
      <c r="J2854" s="10" t="str">
        <f>VLOOKUP(I2854,Categories!A:B,2,FALSE)</f>
        <v>Other</v>
      </c>
      <c r="K2854" t="s">
        <v>123</v>
      </c>
      <c r="L2854" s="10" t="str">
        <f>VLOOKUP(K2854,Accounts!A:B,2,FALSE)</f>
        <v>KBank</v>
      </c>
      <c r="M2854" t="s">
        <v>124</v>
      </c>
      <c r="N2854" s="10"/>
      <c r="O2854" t="s">
        <v>5259</v>
      </c>
      <c r="Q2854" t="s">
        <v>126</v>
      </c>
      <c r="R2854" t="s">
        <v>124</v>
      </c>
      <c r="S2854" t="b">
        <v>0</v>
      </c>
      <c r="T2854" t="s">
        <v>124</v>
      </c>
    </row>
    <row r="2855">
      <c r="A2855" t="s">
        <v>5260</v>
      </c>
      <c r="B2855" t="s">
        <v>5249</v>
      </c>
      <c r="C2855" s="2">
        <v>2022</v>
      </c>
      <c r="D2855" s="10">
        <v>7</v>
      </c>
      <c r="E2855" s="10">
        <v>23</v>
      </c>
      <c r="F2855" t="s">
        <v>3392</v>
      </c>
      <c r="G2855">
        <v>470</v>
      </c>
      <c r="H2855" t="s">
        <v>128</v>
      </c>
      <c r="I2855" t="s">
        <v>136</v>
      </c>
      <c r="J2855" s="10" t="str">
        <f>VLOOKUP(I2855,Categories!A:B,2,FALSE)</f>
        <v>อื่นๆ</v>
      </c>
      <c r="K2855" t="s">
        <v>131</v>
      </c>
      <c r="L2855" s="10" t="str">
        <f>VLOOKUP(K2855,Accounts!A:B,2,FALSE)</f>
        <v xml:space="preserve">Advance Paid</v>
      </c>
      <c r="M2855" t="s">
        <v>178</v>
      </c>
      <c r="N2855" s="10" t="str">
        <f>VLOOKUP(M2855,Accounts!A:B,2,FALSE)</f>
        <v>SCB</v>
      </c>
      <c r="O2855" t="s">
        <v>125</v>
      </c>
      <c r="Q2855" t="s">
        <v>126</v>
      </c>
      <c r="R2855" t="s">
        <v>124</v>
      </c>
      <c r="S2855" t="b">
        <v>0</v>
      </c>
      <c r="T2855" t="s">
        <v>124</v>
      </c>
    </row>
    <row r="2856">
      <c r="A2856" t="s">
        <v>5261</v>
      </c>
      <c r="B2856" t="s">
        <v>5249</v>
      </c>
      <c r="C2856" s="2">
        <v>2022</v>
      </c>
      <c r="D2856" s="10">
        <v>7</v>
      </c>
      <c r="E2856" s="10">
        <v>23</v>
      </c>
      <c r="F2856" t="s">
        <v>2909</v>
      </c>
      <c r="G2856">
        <v>115</v>
      </c>
      <c r="H2856" t="s">
        <v>128</v>
      </c>
      <c r="I2856" t="s">
        <v>136</v>
      </c>
      <c r="J2856" s="10" t="str">
        <f>VLOOKUP(I2856,Categories!A:B,2,FALSE)</f>
        <v>อื่นๆ</v>
      </c>
      <c r="K2856" t="s">
        <v>747</v>
      </c>
      <c r="L2856" s="10" t="str">
        <f>VLOOKUP(K2856,Accounts!A:B,2,FALSE)</f>
        <v xml:space="preserve">UOB world</v>
      </c>
      <c r="M2856" t="s">
        <v>178</v>
      </c>
      <c r="N2856" s="10" t="str">
        <f>VLOOKUP(M2856,Accounts!A:B,2,FALSE)</f>
        <v>SCB</v>
      </c>
      <c r="O2856" t="s">
        <v>125</v>
      </c>
      <c r="Q2856" t="s">
        <v>126</v>
      </c>
      <c r="R2856" t="s">
        <v>124</v>
      </c>
      <c r="S2856" t="b">
        <v>0</v>
      </c>
      <c r="T2856" t="s">
        <v>124</v>
      </c>
    </row>
    <row r="2857">
      <c r="A2857" t="s">
        <v>5262</v>
      </c>
      <c r="B2857" t="s">
        <v>5249</v>
      </c>
      <c r="C2857" s="2">
        <v>2022</v>
      </c>
      <c r="D2857" s="10">
        <v>7</v>
      </c>
      <c r="E2857" s="10">
        <v>23</v>
      </c>
      <c r="F2857" t="s">
        <v>2909</v>
      </c>
      <c r="G2857">
        <v>100</v>
      </c>
      <c r="H2857" t="s">
        <v>128</v>
      </c>
      <c r="I2857" t="s">
        <v>136</v>
      </c>
      <c r="J2857" s="10" t="str">
        <f>VLOOKUP(I2857,Categories!A:B,2,FALSE)</f>
        <v>อื่นๆ</v>
      </c>
      <c r="K2857" t="s">
        <v>425</v>
      </c>
      <c r="L2857" s="10" t="str">
        <f>VLOOKUP(K2857,Accounts!A:B,2,FALSE)</f>
        <v>Cash</v>
      </c>
      <c r="M2857" t="s">
        <v>178</v>
      </c>
      <c r="N2857" s="10" t="str">
        <f>VLOOKUP(M2857,Accounts!A:B,2,FALSE)</f>
        <v>SCB</v>
      </c>
      <c r="O2857" t="s">
        <v>125</v>
      </c>
      <c r="Q2857" t="s">
        <v>126</v>
      </c>
      <c r="R2857" t="s">
        <v>124</v>
      </c>
      <c r="S2857" t="b">
        <v>0</v>
      </c>
      <c r="T2857" t="s">
        <v>124</v>
      </c>
    </row>
    <row r="2858">
      <c r="A2858" t="s">
        <v>5263</v>
      </c>
      <c r="B2858" t="s">
        <v>5249</v>
      </c>
      <c r="C2858" s="2">
        <v>2022</v>
      </c>
      <c r="D2858" s="10">
        <v>7</v>
      </c>
      <c r="E2858" s="10">
        <v>23</v>
      </c>
      <c r="F2858" t="s">
        <v>4383</v>
      </c>
      <c r="G2858">
        <v>250</v>
      </c>
      <c r="H2858" t="s">
        <v>128</v>
      </c>
      <c r="I2858" t="s">
        <v>136</v>
      </c>
      <c r="J2858" s="10" t="str">
        <f>VLOOKUP(I2858,Categories!A:B,2,FALSE)</f>
        <v>อื่นๆ</v>
      </c>
      <c r="K2858" t="s">
        <v>131</v>
      </c>
      <c r="L2858" s="10" t="str">
        <f>VLOOKUP(K2858,Accounts!A:B,2,FALSE)</f>
        <v xml:space="preserve">Advance Paid</v>
      </c>
      <c r="M2858" t="s">
        <v>178</v>
      </c>
      <c r="N2858" s="10" t="str">
        <f>VLOOKUP(M2858,Accounts!A:B,2,FALSE)</f>
        <v>SCB</v>
      </c>
      <c r="O2858" t="s">
        <v>5264</v>
      </c>
      <c r="Q2858" t="s">
        <v>126</v>
      </c>
      <c r="R2858" t="s">
        <v>124</v>
      </c>
      <c r="S2858" t="b">
        <v>0</v>
      </c>
      <c r="T2858" t="s">
        <v>124</v>
      </c>
    </row>
    <row r="2859">
      <c r="A2859" t="s">
        <v>5265</v>
      </c>
      <c r="B2859" t="s">
        <v>5249</v>
      </c>
      <c r="C2859" s="2">
        <v>2022</v>
      </c>
      <c r="D2859" s="10">
        <v>7</v>
      </c>
      <c r="E2859" s="10">
        <v>23</v>
      </c>
      <c r="F2859" t="s">
        <v>4383</v>
      </c>
      <c r="G2859">
        <v>50</v>
      </c>
      <c r="H2859" t="s">
        <v>69</v>
      </c>
      <c r="I2859" t="s">
        <v>150</v>
      </c>
      <c r="J2859" s="10" t="str">
        <f>VLOOKUP(I2859,Categories!A:B,2,FALSE)</f>
        <v xml:space="preserve">Food &amp; Coff</v>
      </c>
      <c r="K2859" t="s">
        <v>131</v>
      </c>
      <c r="L2859" s="10" t="str">
        <f>VLOOKUP(K2859,Accounts!A:B,2,FALSE)</f>
        <v xml:space="preserve">Advance Paid</v>
      </c>
      <c r="M2859" t="s">
        <v>124</v>
      </c>
      <c r="N2859" s="10"/>
      <c r="O2859" t="s">
        <v>125</v>
      </c>
      <c r="Q2859" t="s">
        <v>126</v>
      </c>
      <c r="R2859" t="s">
        <v>124</v>
      </c>
      <c r="S2859" t="b">
        <v>0</v>
      </c>
      <c r="T2859" t="s">
        <v>124</v>
      </c>
    </row>
    <row r="2860">
      <c r="A2860" t="s">
        <v>5266</v>
      </c>
      <c r="B2860" t="s">
        <v>5249</v>
      </c>
      <c r="C2860" s="2">
        <v>2022</v>
      </c>
      <c r="D2860" s="10">
        <v>7</v>
      </c>
      <c r="E2860" s="10">
        <v>23</v>
      </c>
      <c r="F2860" t="s">
        <v>1800</v>
      </c>
      <c r="G2860">
        <v>580</v>
      </c>
      <c r="H2860" t="s">
        <v>128</v>
      </c>
      <c r="I2860" t="s">
        <v>136</v>
      </c>
      <c r="J2860" s="10" t="str">
        <f>VLOOKUP(I2860,Categories!A:B,2,FALSE)</f>
        <v>อื่นๆ</v>
      </c>
      <c r="K2860" t="s">
        <v>747</v>
      </c>
      <c r="L2860" s="10" t="str">
        <f>VLOOKUP(K2860,Accounts!A:B,2,FALSE)</f>
        <v xml:space="preserve">UOB world</v>
      </c>
      <c r="M2860" t="s">
        <v>131</v>
      </c>
      <c r="N2860" s="10" t="str">
        <f>VLOOKUP(M2860,Accounts!A:B,2,FALSE)</f>
        <v xml:space="preserve">Advance Paid</v>
      </c>
      <c r="O2860" t="s">
        <v>125</v>
      </c>
      <c r="Q2860" t="s">
        <v>126</v>
      </c>
      <c r="R2860" t="s">
        <v>124</v>
      </c>
      <c r="S2860" t="b">
        <v>0</v>
      </c>
      <c r="T2860" t="s">
        <v>124</v>
      </c>
    </row>
    <row r="2861">
      <c r="A2861" t="s">
        <v>5267</v>
      </c>
      <c r="B2861" t="s">
        <v>5249</v>
      </c>
      <c r="C2861" s="2">
        <v>2022</v>
      </c>
      <c r="D2861" s="10">
        <v>7</v>
      </c>
      <c r="E2861" s="10">
        <v>23</v>
      </c>
      <c r="F2861" t="s">
        <v>3397</v>
      </c>
      <c r="G2861">
        <v>580</v>
      </c>
      <c r="H2861" t="s">
        <v>128</v>
      </c>
      <c r="I2861" t="s">
        <v>136</v>
      </c>
      <c r="J2861" s="10" t="str">
        <f>VLOOKUP(I2861,Categories!A:B,2,FALSE)</f>
        <v>อื่นๆ</v>
      </c>
      <c r="K2861" t="s">
        <v>131</v>
      </c>
      <c r="L2861" s="10" t="str">
        <f>VLOOKUP(K2861,Accounts!A:B,2,FALSE)</f>
        <v xml:space="preserve">Advance Paid</v>
      </c>
      <c r="M2861" t="s">
        <v>747</v>
      </c>
      <c r="N2861" s="10" t="str">
        <f>VLOOKUP(M2861,Accounts!A:B,2,FALSE)</f>
        <v xml:space="preserve">UOB world</v>
      </c>
      <c r="O2861" t="s">
        <v>125</v>
      </c>
      <c r="Q2861" t="s">
        <v>126</v>
      </c>
      <c r="R2861" t="s">
        <v>124</v>
      </c>
      <c r="S2861" t="b">
        <v>0</v>
      </c>
      <c r="T2861" t="s">
        <v>124</v>
      </c>
    </row>
    <row r="2862">
      <c r="A2862" t="s">
        <v>5268</v>
      </c>
      <c r="B2862" t="s">
        <v>5249</v>
      </c>
      <c r="C2862" s="2">
        <v>2022</v>
      </c>
      <c r="D2862" s="10">
        <v>7</v>
      </c>
      <c r="E2862" s="10">
        <v>23</v>
      </c>
      <c r="F2862" t="s">
        <v>599</v>
      </c>
      <c r="G2862">
        <v>2122.4200000000001</v>
      </c>
      <c r="H2862" t="s">
        <v>128</v>
      </c>
      <c r="I2862" t="s">
        <v>136</v>
      </c>
      <c r="J2862" s="10" t="str">
        <f>VLOOKUP(I2862,Categories!A:B,2,FALSE)</f>
        <v>อื่นๆ</v>
      </c>
      <c r="K2862" t="s">
        <v>131</v>
      </c>
      <c r="L2862" s="10" t="str">
        <f>VLOOKUP(K2862,Accounts!A:B,2,FALSE)</f>
        <v xml:space="preserve">Advance Paid</v>
      </c>
      <c r="M2862" t="s">
        <v>747</v>
      </c>
      <c r="N2862" s="10" t="str">
        <f>VLOOKUP(M2862,Accounts!A:B,2,FALSE)</f>
        <v xml:space="preserve">UOB world</v>
      </c>
      <c r="O2862" t="s">
        <v>125</v>
      </c>
      <c r="Q2862" t="s">
        <v>126</v>
      </c>
      <c r="R2862" t="s">
        <v>124</v>
      </c>
      <c r="S2862" t="b">
        <v>0</v>
      </c>
      <c r="T2862" t="s">
        <v>124</v>
      </c>
    </row>
    <row r="2863">
      <c r="A2863" t="s">
        <v>5269</v>
      </c>
      <c r="B2863" t="s">
        <v>5249</v>
      </c>
      <c r="C2863" s="2">
        <v>2022</v>
      </c>
      <c r="D2863" s="10">
        <v>7</v>
      </c>
      <c r="E2863" s="10">
        <v>23</v>
      </c>
      <c r="F2863" t="s">
        <v>249</v>
      </c>
      <c r="G2863">
        <v>892.32000000000005</v>
      </c>
      <c r="H2863" t="s">
        <v>206</v>
      </c>
      <c r="I2863" t="s">
        <v>254</v>
      </c>
      <c r="J2863" s="10" t="str">
        <f>VLOOKUP(I2863,Categories!A:B,2,FALSE)</f>
        <v xml:space="preserve">Modified Bal.</v>
      </c>
      <c r="K2863" t="s">
        <v>747</v>
      </c>
      <c r="L2863" s="10" t="str">
        <f>VLOOKUP(K2863,Accounts!A:B,2,FALSE)</f>
        <v xml:space="preserve">UOB world</v>
      </c>
      <c r="M2863" t="s">
        <v>124</v>
      </c>
      <c r="N2863" s="10"/>
      <c r="O2863" t="s">
        <v>255</v>
      </c>
      <c r="Q2863" t="s">
        <v>126</v>
      </c>
      <c r="R2863" t="s">
        <v>124</v>
      </c>
      <c r="S2863" t="b">
        <v>0</v>
      </c>
      <c r="T2863" t="s">
        <v>124</v>
      </c>
    </row>
    <row r="2864">
      <c r="A2864" t="s">
        <v>5270</v>
      </c>
      <c r="B2864" t="s">
        <v>5249</v>
      </c>
      <c r="C2864" s="2">
        <v>2022</v>
      </c>
      <c r="D2864" s="10">
        <v>7</v>
      </c>
      <c r="E2864" s="10">
        <v>23</v>
      </c>
      <c r="F2864" t="s">
        <v>389</v>
      </c>
      <c r="G2864">
        <v>586.30999999999995</v>
      </c>
      <c r="H2864" t="s">
        <v>128</v>
      </c>
      <c r="I2864" t="s">
        <v>136</v>
      </c>
      <c r="J2864" s="10" t="str">
        <f>VLOOKUP(I2864,Categories!A:B,2,FALSE)</f>
        <v>อื่นๆ</v>
      </c>
      <c r="K2864" t="s">
        <v>178</v>
      </c>
      <c r="L2864" s="10" t="str">
        <f>VLOOKUP(K2864,Accounts!A:B,2,FALSE)</f>
        <v>SCB</v>
      </c>
      <c r="M2864" t="s">
        <v>131</v>
      </c>
      <c r="N2864" s="10" t="str">
        <f>VLOOKUP(M2864,Accounts!A:B,2,FALSE)</f>
        <v xml:space="preserve">Advance Paid</v>
      </c>
      <c r="O2864" t="s">
        <v>125</v>
      </c>
      <c r="Q2864" t="s">
        <v>126</v>
      </c>
      <c r="R2864" t="s">
        <v>124</v>
      </c>
      <c r="S2864" t="b">
        <v>0</v>
      </c>
      <c r="T2864" t="s">
        <v>124</v>
      </c>
    </row>
    <row r="2865">
      <c r="A2865" t="s">
        <v>5271</v>
      </c>
      <c r="B2865" t="s">
        <v>5249</v>
      </c>
      <c r="C2865" s="2">
        <v>2022</v>
      </c>
      <c r="D2865" s="10">
        <v>7</v>
      </c>
      <c r="E2865" s="10">
        <v>23</v>
      </c>
      <c r="F2865" t="s">
        <v>376</v>
      </c>
      <c r="G2865">
        <v>354</v>
      </c>
      <c r="H2865" t="s">
        <v>69</v>
      </c>
      <c r="I2865" t="s">
        <v>1903</v>
      </c>
      <c r="J2865" s="10" t="str">
        <f>VLOOKUP(I2865,Categories!A:B,2,FALSE)</f>
        <v xml:space="preserve">Monthly subscription</v>
      </c>
      <c r="K2865" t="s">
        <v>178</v>
      </c>
      <c r="L2865" s="10" t="str">
        <f>VLOOKUP(K2865,Accounts!A:B,2,FALSE)</f>
        <v>SCB</v>
      </c>
      <c r="M2865" t="s">
        <v>124</v>
      </c>
      <c r="N2865" s="10"/>
      <c r="O2865" t="s">
        <v>125</v>
      </c>
      <c r="Q2865" t="s">
        <v>126</v>
      </c>
      <c r="R2865" t="s">
        <v>124</v>
      </c>
      <c r="S2865" t="b">
        <v>0</v>
      </c>
      <c r="T2865" t="s">
        <v>124</v>
      </c>
    </row>
    <row r="2866">
      <c r="A2866" t="s">
        <v>5272</v>
      </c>
      <c r="B2866" t="s">
        <v>5249</v>
      </c>
      <c r="C2866" s="2">
        <v>2022</v>
      </c>
      <c r="D2866" s="10">
        <v>7</v>
      </c>
      <c r="E2866" s="10">
        <v>23</v>
      </c>
      <c r="F2866" t="s">
        <v>1957</v>
      </c>
      <c r="G2866">
        <v>249</v>
      </c>
      <c r="H2866" t="s">
        <v>69</v>
      </c>
      <c r="I2866" t="s">
        <v>141</v>
      </c>
      <c r="J2866" s="10" t="str">
        <f>VLOOKUP(I2866,Categories!A:B,2,FALSE)</f>
        <v>Other</v>
      </c>
      <c r="K2866" t="s">
        <v>743</v>
      </c>
      <c r="L2866" s="10" t="str">
        <f>VLOOKUP(K2866,Accounts!A:B,2,FALSE)</f>
        <v>HOMEPRO</v>
      </c>
      <c r="M2866" t="s">
        <v>124</v>
      </c>
      <c r="N2866" s="10"/>
      <c r="O2866" t="s">
        <v>5273</v>
      </c>
      <c r="Q2866" t="s">
        <v>126</v>
      </c>
      <c r="R2866" t="s">
        <v>124</v>
      </c>
      <c r="S2866" t="b">
        <v>0</v>
      </c>
      <c r="T2866" t="s">
        <v>124</v>
      </c>
    </row>
    <row r="2867">
      <c r="A2867" t="s">
        <v>5274</v>
      </c>
      <c r="B2867" t="s">
        <v>5275</v>
      </c>
      <c r="C2867" s="2">
        <v>2022</v>
      </c>
      <c r="D2867" s="10">
        <v>7</v>
      </c>
      <c r="E2867" s="10">
        <v>22</v>
      </c>
      <c r="F2867" t="s">
        <v>3119</v>
      </c>
      <c r="G2867">
        <v>130</v>
      </c>
      <c r="H2867" t="s">
        <v>69</v>
      </c>
      <c r="I2867" t="s">
        <v>150</v>
      </c>
      <c r="J2867" s="10" t="str">
        <f>VLOOKUP(I2867,Categories!A:B,2,FALSE)</f>
        <v xml:space="preserve">Food &amp; Coff</v>
      </c>
      <c r="K2867" t="s">
        <v>178</v>
      </c>
      <c r="L2867" s="10" t="str">
        <f>VLOOKUP(K2867,Accounts!A:B,2,FALSE)</f>
        <v>SCB</v>
      </c>
      <c r="M2867" t="s">
        <v>124</v>
      </c>
      <c r="N2867" s="10"/>
      <c r="O2867" t="s">
        <v>125</v>
      </c>
      <c r="Q2867" t="s">
        <v>126</v>
      </c>
      <c r="R2867" t="s">
        <v>124</v>
      </c>
      <c r="S2867" t="b">
        <v>0</v>
      </c>
      <c r="T2867" t="s">
        <v>124</v>
      </c>
    </row>
    <row r="2868">
      <c r="A2868" t="s">
        <v>5276</v>
      </c>
      <c r="B2868" t="s">
        <v>5275</v>
      </c>
      <c r="C2868" s="2">
        <v>2022</v>
      </c>
      <c r="D2868" s="10">
        <v>7</v>
      </c>
      <c r="E2868" s="10">
        <v>22</v>
      </c>
      <c r="F2868" t="s">
        <v>1158</v>
      </c>
      <c r="G2868">
        <v>150</v>
      </c>
      <c r="H2868" t="s">
        <v>69</v>
      </c>
      <c r="I2868" t="s">
        <v>150</v>
      </c>
      <c r="J2868" s="10" t="str">
        <f>VLOOKUP(I2868,Categories!A:B,2,FALSE)</f>
        <v xml:space="preserve">Food &amp; Coff</v>
      </c>
      <c r="K2868" t="s">
        <v>178</v>
      </c>
      <c r="L2868" s="10" t="str">
        <f>VLOOKUP(K2868,Accounts!A:B,2,FALSE)</f>
        <v>SCB</v>
      </c>
      <c r="M2868" t="s">
        <v>124</v>
      </c>
      <c r="N2868" s="10"/>
      <c r="O2868" t="s">
        <v>125</v>
      </c>
      <c r="Q2868" t="s">
        <v>126</v>
      </c>
      <c r="R2868" t="s">
        <v>124</v>
      </c>
      <c r="S2868" t="b">
        <v>0</v>
      </c>
      <c r="T2868" t="s">
        <v>124</v>
      </c>
    </row>
    <row r="2869">
      <c r="A2869" t="s">
        <v>5277</v>
      </c>
      <c r="B2869" t="s">
        <v>5275</v>
      </c>
      <c r="C2869" s="2">
        <v>2022</v>
      </c>
      <c r="D2869" s="10">
        <v>7</v>
      </c>
      <c r="E2869" s="10">
        <v>22</v>
      </c>
      <c r="F2869" t="s">
        <v>293</v>
      </c>
      <c r="G2869">
        <v>2072</v>
      </c>
      <c r="H2869" t="s">
        <v>69</v>
      </c>
      <c r="I2869" t="s">
        <v>259</v>
      </c>
      <c r="J2869" s="10" t="str">
        <f>VLOOKUP(I2869,Categories!A:B,2,FALSE)</f>
        <v xml:space="preserve">Team BOT</v>
      </c>
      <c r="K2869" t="s">
        <v>178</v>
      </c>
      <c r="L2869" s="10" t="str">
        <f>VLOOKUP(K2869,Accounts!A:B,2,FALSE)</f>
        <v>SCB</v>
      </c>
      <c r="M2869" t="s">
        <v>124</v>
      </c>
      <c r="N2869" s="10"/>
      <c r="O2869" t="s">
        <v>5278</v>
      </c>
      <c r="Q2869" t="s">
        <v>126</v>
      </c>
      <c r="R2869" t="s">
        <v>124</v>
      </c>
      <c r="S2869" t="b">
        <v>0</v>
      </c>
      <c r="T2869" t="s">
        <v>124</v>
      </c>
    </row>
    <row r="2870">
      <c r="A2870" t="s">
        <v>5279</v>
      </c>
      <c r="B2870" t="s">
        <v>5280</v>
      </c>
      <c r="C2870" s="2">
        <v>2022</v>
      </c>
      <c r="D2870" s="10">
        <v>7</v>
      </c>
      <c r="E2870" s="10">
        <v>21</v>
      </c>
      <c r="F2870" t="s">
        <v>1822</v>
      </c>
      <c r="G2870">
        <v>50</v>
      </c>
      <c r="H2870" t="s">
        <v>69</v>
      </c>
      <c r="I2870" t="s">
        <v>150</v>
      </c>
      <c r="J2870" s="10" t="str">
        <f>VLOOKUP(I2870,Categories!A:B,2,FALSE)</f>
        <v xml:space="preserve">Food &amp; Coff</v>
      </c>
      <c r="K2870" t="s">
        <v>178</v>
      </c>
      <c r="L2870" s="10" t="str">
        <f>VLOOKUP(K2870,Accounts!A:B,2,FALSE)</f>
        <v>SCB</v>
      </c>
      <c r="M2870" t="s">
        <v>124</v>
      </c>
      <c r="N2870" s="10"/>
      <c r="O2870" t="s">
        <v>125</v>
      </c>
      <c r="Q2870" t="s">
        <v>126</v>
      </c>
      <c r="R2870" t="s">
        <v>124</v>
      </c>
      <c r="S2870" t="b">
        <v>0</v>
      </c>
      <c r="T2870" t="s">
        <v>124</v>
      </c>
    </row>
    <row r="2871">
      <c r="A2871" t="s">
        <v>5281</v>
      </c>
      <c r="B2871" t="s">
        <v>5280</v>
      </c>
      <c r="C2871" s="2">
        <v>2022</v>
      </c>
      <c r="D2871" s="10">
        <v>7</v>
      </c>
      <c r="E2871" s="10">
        <v>21</v>
      </c>
      <c r="F2871" t="s">
        <v>3119</v>
      </c>
      <c r="G2871">
        <v>1000</v>
      </c>
      <c r="H2871" t="s">
        <v>128</v>
      </c>
      <c r="I2871" t="s">
        <v>136</v>
      </c>
      <c r="J2871" s="10" t="str">
        <f>VLOOKUP(I2871,Categories!A:B,2,FALSE)</f>
        <v>อื่นๆ</v>
      </c>
      <c r="K2871" t="s">
        <v>425</v>
      </c>
      <c r="L2871" s="10" t="str">
        <f>VLOOKUP(K2871,Accounts!A:B,2,FALSE)</f>
        <v>Cash</v>
      </c>
      <c r="M2871" t="s">
        <v>178</v>
      </c>
      <c r="N2871" s="10" t="str">
        <f>VLOOKUP(M2871,Accounts!A:B,2,FALSE)</f>
        <v>SCB</v>
      </c>
      <c r="O2871" t="s">
        <v>125</v>
      </c>
      <c r="Q2871" t="s">
        <v>126</v>
      </c>
      <c r="R2871" t="s">
        <v>124</v>
      </c>
      <c r="S2871" t="b">
        <v>0</v>
      </c>
      <c r="T2871" t="s">
        <v>124</v>
      </c>
    </row>
    <row r="2872">
      <c r="A2872" t="s">
        <v>5282</v>
      </c>
      <c r="B2872" t="s">
        <v>5280</v>
      </c>
      <c r="C2872" s="2">
        <v>2022</v>
      </c>
      <c r="D2872" s="10">
        <v>7</v>
      </c>
      <c r="E2872" s="10">
        <v>21</v>
      </c>
      <c r="F2872" t="s">
        <v>1800</v>
      </c>
      <c r="G2872">
        <v>24</v>
      </c>
      <c r="H2872" t="s">
        <v>69</v>
      </c>
      <c r="I2872" t="s">
        <v>150</v>
      </c>
      <c r="J2872" s="10" t="str">
        <f>VLOOKUP(I2872,Categories!A:B,2,FALSE)</f>
        <v xml:space="preserve">Food &amp; Coff</v>
      </c>
      <c r="K2872" t="s">
        <v>747</v>
      </c>
      <c r="L2872" s="10" t="str">
        <f>VLOOKUP(K2872,Accounts!A:B,2,FALSE)</f>
        <v xml:space="preserve">UOB world</v>
      </c>
      <c r="M2872" t="s">
        <v>124</v>
      </c>
      <c r="N2872" s="10"/>
      <c r="O2872" t="s">
        <v>125</v>
      </c>
      <c r="Q2872" t="s">
        <v>126</v>
      </c>
      <c r="R2872" t="s">
        <v>124</v>
      </c>
      <c r="S2872" t="b">
        <v>0</v>
      </c>
      <c r="T2872" t="s">
        <v>124</v>
      </c>
    </row>
    <row r="2873">
      <c r="A2873" t="s">
        <v>5283</v>
      </c>
      <c r="B2873" t="s">
        <v>5284</v>
      </c>
      <c r="C2873" s="2">
        <v>2022</v>
      </c>
      <c r="D2873" s="10">
        <v>7</v>
      </c>
      <c r="E2873" s="10">
        <v>20</v>
      </c>
      <c r="F2873" t="s">
        <v>1822</v>
      </c>
      <c r="G2873">
        <v>45</v>
      </c>
      <c r="H2873" t="s">
        <v>69</v>
      </c>
      <c r="I2873" t="s">
        <v>150</v>
      </c>
      <c r="J2873" s="10" t="str">
        <f>VLOOKUP(I2873,Categories!A:B,2,FALSE)</f>
        <v xml:space="preserve">Food &amp; Coff</v>
      </c>
      <c r="K2873" t="s">
        <v>178</v>
      </c>
      <c r="L2873" s="10" t="str">
        <f>VLOOKUP(K2873,Accounts!A:B,2,FALSE)</f>
        <v>SCB</v>
      </c>
      <c r="M2873" t="s">
        <v>124</v>
      </c>
      <c r="N2873" s="10"/>
      <c r="O2873" t="s">
        <v>125</v>
      </c>
      <c r="Q2873" t="s">
        <v>126</v>
      </c>
      <c r="R2873" t="s">
        <v>124</v>
      </c>
      <c r="S2873" t="b">
        <v>0</v>
      </c>
      <c r="T2873" t="s">
        <v>124</v>
      </c>
    </row>
    <row r="2874">
      <c r="A2874" t="s">
        <v>5285</v>
      </c>
      <c r="B2874" t="s">
        <v>5284</v>
      </c>
      <c r="C2874" s="2">
        <v>2022</v>
      </c>
      <c r="D2874" s="10">
        <v>7</v>
      </c>
      <c r="E2874" s="10">
        <v>20</v>
      </c>
      <c r="F2874" t="s">
        <v>1822</v>
      </c>
      <c r="G2874">
        <v>100</v>
      </c>
      <c r="H2874" t="s">
        <v>69</v>
      </c>
      <c r="I2874" t="s">
        <v>150</v>
      </c>
      <c r="J2874" s="10" t="str">
        <f>VLOOKUP(I2874,Categories!A:B,2,FALSE)</f>
        <v xml:space="preserve">Food &amp; Coff</v>
      </c>
      <c r="K2874" t="s">
        <v>178</v>
      </c>
      <c r="L2874" s="10" t="str">
        <f>VLOOKUP(K2874,Accounts!A:B,2,FALSE)</f>
        <v>SCB</v>
      </c>
      <c r="M2874" t="s">
        <v>124</v>
      </c>
      <c r="N2874" s="10"/>
      <c r="O2874" t="s">
        <v>125</v>
      </c>
      <c r="Q2874" t="s">
        <v>126</v>
      </c>
      <c r="R2874" t="s">
        <v>124</v>
      </c>
      <c r="S2874" t="b">
        <v>0</v>
      </c>
      <c r="T2874" t="s">
        <v>124</v>
      </c>
    </row>
    <row r="2875">
      <c r="A2875" t="s">
        <v>5286</v>
      </c>
      <c r="B2875" t="s">
        <v>5287</v>
      </c>
      <c r="C2875" s="2">
        <v>2022</v>
      </c>
      <c r="D2875" s="10">
        <v>7</v>
      </c>
      <c r="E2875" s="10">
        <v>19</v>
      </c>
      <c r="F2875" t="s">
        <v>2181</v>
      </c>
      <c r="G2875">
        <v>1890</v>
      </c>
      <c r="H2875" t="s">
        <v>128</v>
      </c>
      <c r="I2875" t="s">
        <v>136</v>
      </c>
      <c r="J2875" s="10" t="str">
        <f>VLOOKUP(I2875,Categories!A:B,2,FALSE)</f>
        <v>อื่นๆ</v>
      </c>
      <c r="K2875" t="s">
        <v>1311</v>
      </c>
      <c r="L2875" s="10" t="str">
        <f>VLOOKUP(K2875,Accounts!A:B,2,FALSE)</f>
        <v xml:space="preserve">Netflix in Adv</v>
      </c>
      <c r="M2875" t="s">
        <v>178</v>
      </c>
      <c r="N2875" s="10" t="str">
        <f>VLOOKUP(M2875,Accounts!A:B,2,FALSE)</f>
        <v>SCB</v>
      </c>
      <c r="O2875" t="s">
        <v>125</v>
      </c>
      <c r="Q2875" t="s">
        <v>126</v>
      </c>
      <c r="R2875" t="s">
        <v>124</v>
      </c>
      <c r="S2875" t="b">
        <v>0</v>
      </c>
      <c r="T2875" t="s">
        <v>124</v>
      </c>
    </row>
    <row r="2876">
      <c r="A2876" t="s">
        <v>5288</v>
      </c>
      <c r="B2876" t="s">
        <v>5289</v>
      </c>
      <c r="C2876" s="2">
        <v>2022</v>
      </c>
      <c r="D2876" s="10">
        <v>7</v>
      </c>
      <c r="E2876" s="10">
        <v>18</v>
      </c>
      <c r="F2876" t="s">
        <v>212</v>
      </c>
      <c r="G2876">
        <v>57</v>
      </c>
      <c r="H2876" t="s">
        <v>69</v>
      </c>
      <c r="I2876" t="s">
        <v>150</v>
      </c>
      <c r="J2876" s="10" t="str">
        <f>VLOOKUP(I2876,Categories!A:B,2,FALSE)</f>
        <v xml:space="preserve">Food &amp; Coff</v>
      </c>
      <c r="K2876" t="s">
        <v>178</v>
      </c>
      <c r="L2876" s="10" t="str">
        <f>VLOOKUP(K2876,Accounts!A:B,2,FALSE)</f>
        <v>SCB</v>
      </c>
      <c r="M2876" t="s">
        <v>124</v>
      </c>
      <c r="N2876" s="10"/>
      <c r="O2876" t="s">
        <v>5290</v>
      </c>
      <c r="Q2876" t="s">
        <v>126</v>
      </c>
      <c r="R2876" t="s">
        <v>124</v>
      </c>
      <c r="S2876" t="b">
        <v>0</v>
      </c>
      <c r="T2876" t="s">
        <v>124</v>
      </c>
    </row>
    <row r="2877">
      <c r="A2877" t="s">
        <v>5291</v>
      </c>
      <c r="B2877" t="s">
        <v>5289</v>
      </c>
      <c r="C2877" s="2">
        <v>2022</v>
      </c>
      <c r="D2877" s="10">
        <v>7</v>
      </c>
      <c r="E2877" s="10">
        <v>18</v>
      </c>
      <c r="F2877" t="s">
        <v>189</v>
      </c>
      <c r="G2877">
        <v>100</v>
      </c>
      <c r="H2877" t="s">
        <v>69</v>
      </c>
      <c r="I2877" t="s">
        <v>150</v>
      </c>
      <c r="J2877" s="10" t="str">
        <f>VLOOKUP(I2877,Categories!A:B,2,FALSE)</f>
        <v xml:space="preserve">Food &amp; Coff</v>
      </c>
      <c r="K2877" t="s">
        <v>178</v>
      </c>
      <c r="L2877" s="10" t="str">
        <f>VLOOKUP(K2877,Accounts!A:B,2,FALSE)</f>
        <v>SCB</v>
      </c>
      <c r="M2877" t="s">
        <v>124</v>
      </c>
      <c r="N2877" s="10"/>
      <c r="O2877" t="s">
        <v>3852</v>
      </c>
      <c r="Q2877" t="s">
        <v>126</v>
      </c>
      <c r="R2877" t="s">
        <v>124</v>
      </c>
      <c r="S2877" t="b">
        <v>0</v>
      </c>
      <c r="T2877" t="s">
        <v>124</v>
      </c>
    </row>
    <row r="2878">
      <c r="A2878" t="s">
        <v>5292</v>
      </c>
      <c r="B2878" t="s">
        <v>5293</v>
      </c>
      <c r="C2878" s="2">
        <v>2022</v>
      </c>
      <c r="D2878" s="10">
        <v>7</v>
      </c>
      <c r="E2878" s="10">
        <v>15</v>
      </c>
      <c r="F2878" t="s">
        <v>4259</v>
      </c>
      <c r="G2878">
        <v>29.809999999999999</v>
      </c>
      <c r="H2878" t="s">
        <v>69</v>
      </c>
      <c r="I2878" t="s">
        <v>122</v>
      </c>
      <c r="J2878" s="10" t="str">
        <f>VLOOKUP(I2878,Categories!A:B,2,FALSE)</f>
        <v>Other</v>
      </c>
      <c r="K2878" t="s">
        <v>747</v>
      </c>
      <c r="L2878" s="10" t="str">
        <f>VLOOKUP(K2878,Accounts!A:B,2,FALSE)</f>
        <v xml:space="preserve">UOB world</v>
      </c>
      <c r="M2878" t="s">
        <v>124</v>
      </c>
      <c r="N2878" s="10"/>
      <c r="O2878" t="s">
        <v>125</v>
      </c>
      <c r="Q2878" t="s">
        <v>126</v>
      </c>
      <c r="R2878" t="s">
        <v>124</v>
      </c>
      <c r="S2878" t="b">
        <v>0</v>
      </c>
      <c r="T2878" t="s">
        <v>124</v>
      </c>
    </row>
    <row r="2879">
      <c r="A2879" t="s">
        <v>5294</v>
      </c>
      <c r="B2879" t="s">
        <v>5295</v>
      </c>
      <c r="C2879" s="2">
        <v>2022</v>
      </c>
      <c r="D2879" s="10">
        <v>7</v>
      </c>
      <c r="E2879" s="10">
        <v>14</v>
      </c>
      <c r="F2879" t="s">
        <v>121</v>
      </c>
      <c r="G2879">
        <v>419</v>
      </c>
      <c r="H2879" t="s">
        <v>128</v>
      </c>
      <c r="I2879" t="s">
        <v>136</v>
      </c>
      <c r="J2879" s="10" t="str">
        <f>VLOOKUP(I2879,Categories!A:B,2,FALSE)</f>
        <v>อื่นๆ</v>
      </c>
      <c r="K2879" t="s">
        <v>178</v>
      </c>
      <c r="L2879" s="10" t="str">
        <f>VLOOKUP(K2879,Accounts!A:B,2,FALSE)</f>
        <v>SCB</v>
      </c>
      <c r="M2879" t="s">
        <v>747</v>
      </c>
      <c r="N2879" s="10" t="str">
        <f>VLOOKUP(M2879,Accounts!A:B,2,FALSE)</f>
        <v xml:space="preserve">UOB world</v>
      </c>
      <c r="O2879" t="s">
        <v>125</v>
      </c>
      <c r="Q2879" t="s">
        <v>126</v>
      </c>
      <c r="R2879" t="s">
        <v>124</v>
      </c>
      <c r="S2879" t="b">
        <v>0</v>
      </c>
      <c r="T2879" t="s">
        <v>124</v>
      </c>
    </row>
    <row r="2880">
      <c r="A2880" t="s">
        <v>5296</v>
      </c>
      <c r="B2880" t="s">
        <v>5295</v>
      </c>
      <c r="C2880" s="2">
        <v>2022</v>
      </c>
      <c r="D2880" s="10">
        <v>7</v>
      </c>
      <c r="E2880" s="10">
        <v>14</v>
      </c>
      <c r="F2880" t="s">
        <v>121</v>
      </c>
      <c r="G2880">
        <v>419</v>
      </c>
      <c r="H2880" t="s">
        <v>69</v>
      </c>
      <c r="I2880" t="s">
        <v>1903</v>
      </c>
      <c r="J2880" s="10" t="str">
        <f>VLOOKUP(I2880,Categories!A:B,2,FALSE)</f>
        <v xml:space="preserve">Monthly subscription</v>
      </c>
      <c r="K2880" t="s">
        <v>747</v>
      </c>
      <c r="L2880" s="10" t="str">
        <f>VLOOKUP(K2880,Accounts!A:B,2,FALSE)</f>
        <v xml:space="preserve">UOB world</v>
      </c>
      <c r="M2880" t="s">
        <v>124</v>
      </c>
      <c r="N2880" s="10"/>
      <c r="O2880" t="s">
        <v>125</v>
      </c>
      <c r="Q2880" t="s">
        <v>126</v>
      </c>
      <c r="R2880" t="s">
        <v>124</v>
      </c>
      <c r="S2880" t="b">
        <v>0</v>
      </c>
      <c r="T2880" t="s">
        <v>124</v>
      </c>
    </row>
    <row r="2881">
      <c r="A2881" t="s">
        <v>5297</v>
      </c>
      <c r="B2881" t="s">
        <v>5295</v>
      </c>
      <c r="C2881" s="2">
        <v>2022</v>
      </c>
      <c r="D2881" s="10">
        <v>7</v>
      </c>
      <c r="E2881" s="10">
        <v>14</v>
      </c>
      <c r="F2881" t="s">
        <v>3477</v>
      </c>
      <c r="G2881">
        <v>55</v>
      </c>
      <c r="H2881" t="s">
        <v>69</v>
      </c>
      <c r="I2881" t="s">
        <v>150</v>
      </c>
      <c r="J2881" s="10" t="str">
        <f>VLOOKUP(I2881,Categories!A:B,2,FALSE)</f>
        <v xml:space="preserve">Food &amp; Coff</v>
      </c>
      <c r="K2881" t="s">
        <v>178</v>
      </c>
      <c r="L2881" s="10" t="str">
        <f>VLOOKUP(K2881,Accounts!A:B,2,FALSE)</f>
        <v>SCB</v>
      </c>
      <c r="M2881" t="s">
        <v>124</v>
      </c>
      <c r="N2881" s="10"/>
      <c r="O2881" t="s">
        <v>5298</v>
      </c>
      <c r="Q2881" t="s">
        <v>126</v>
      </c>
      <c r="R2881" t="s">
        <v>124</v>
      </c>
      <c r="S2881" t="b">
        <v>0</v>
      </c>
      <c r="T2881" t="s">
        <v>124</v>
      </c>
    </row>
    <row r="2882">
      <c r="A2882" t="s">
        <v>5299</v>
      </c>
      <c r="B2882" t="s">
        <v>5295</v>
      </c>
      <c r="C2882" s="2">
        <v>2022</v>
      </c>
      <c r="D2882" s="10">
        <v>7</v>
      </c>
      <c r="E2882" s="10">
        <v>14</v>
      </c>
      <c r="F2882" t="s">
        <v>212</v>
      </c>
      <c r="G2882">
        <v>50</v>
      </c>
      <c r="H2882" t="s">
        <v>69</v>
      </c>
      <c r="I2882" t="s">
        <v>150</v>
      </c>
      <c r="J2882" s="10" t="str">
        <f>VLOOKUP(I2882,Categories!A:B,2,FALSE)</f>
        <v xml:space="preserve">Food &amp; Coff</v>
      </c>
      <c r="K2882" t="s">
        <v>178</v>
      </c>
      <c r="L2882" s="10" t="str">
        <f>VLOOKUP(K2882,Accounts!A:B,2,FALSE)</f>
        <v>SCB</v>
      </c>
      <c r="M2882" t="s">
        <v>124</v>
      </c>
      <c r="N2882" s="10"/>
      <c r="O2882" t="s">
        <v>3852</v>
      </c>
      <c r="Q2882" t="s">
        <v>126</v>
      </c>
      <c r="R2882" t="s">
        <v>124</v>
      </c>
      <c r="S2882" t="b">
        <v>0</v>
      </c>
      <c r="T2882" t="s">
        <v>124</v>
      </c>
    </row>
    <row r="2883">
      <c r="A2883" t="s">
        <v>5300</v>
      </c>
      <c r="B2883" t="s">
        <v>5295</v>
      </c>
      <c r="C2883" s="2">
        <v>2022</v>
      </c>
      <c r="D2883" s="10">
        <v>7</v>
      </c>
      <c r="E2883" s="10">
        <v>14</v>
      </c>
      <c r="F2883" t="s">
        <v>4259</v>
      </c>
      <c r="G2883">
        <v>28</v>
      </c>
      <c r="H2883" t="s">
        <v>69</v>
      </c>
      <c r="I2883" t="s">
        <v>150</v>
      </c>
      <c r="J2883" s="10" t="str">
        <f>VLOOKUP(I2883,Categories!A:B,2,FALSE)</f>
        <v xml:space="preserve">Food &amp; Coff</v>
      </c>
      <c r="K2883" t="s">
        <v>747</v>
      </c>
      <c r="L2883" s="10" t="str">
        <f>VLOOKUP(K2883,Accounts!A:B,2,FALSE)</f>
        <v xml:space="preserve">UOB world</v>
      </c>
      <c r="M2883" t="s">
        <v>124</v>
      </c>
      <c r="N2883" s="10"/>
      <c r="O2883" t="s">
        <v>125</v>
      </c>
      <c r="Q2883" t="s">
        <v>126</v>
      </c>
      <c r="R2883" t="s">
        <v>124</v>
      </c>
      <c r="S2883" t="b">
        <v>0</v>
      </c>
      <c r="T2883" t="s">
        <v>124</v>
      </c>
    </row>
    <row r="2884">
      <c r="A2884" t="s">
        <v>5301</v>
      </c>
      <c r="B2884" t="s">
        <v>5302</v>
      </c>
      <c r="C2884" s="2">
        <v>2022</v>
      </c>
      <c r="D2884" s="10">
        <v>7</v>
      </c>
      <c r="E2884" s="10">
        <v>13</v>
      </c>
      <c r="F2884" t="s">
        <v>270</v>
      </c>
      <c r="G2884">
        <v>770</v>
      </c>
      <c r="H2884" t="s">
        <v>128</v>
      </c>
      <c r="I2884" t="s">
        <v>136</v>
      </c>
      <c r="J2884" s="10" t="str">
        <f>VLOOKUP(I2884,Categories!A:B,2,FALSE)</f>
        <v>อื่นๆ</v>
      </c>
      <c r="K2884" t="s">
        <v>178</v>
      </c>
      <c r="L2884" s="10" t="str">
        <f>VLOOKUP(K2884,Accounts!A:B,2,FALSE)</f>
        <v>SCB</v>
      </c>
      <c r="M2884" t="s">
        <v>131</v>
      </c>
      <c r="N2884" s="10" t="str">
        <f>VLOOKUP(M2884,Accounts!A:B,2,FALSE)</f>
        <v xml:space="preserve">Advance Paid</v>
      </c>
      <c r="O2884" t="s">
        <v>5303</v>
      </c>
      <c r="Q2884" t="s">
        <v>126</v>
      </c>
      <c r="R2884" t="s">
        <v>124</v>
      </c>
      <c r="S2884" t="b">
        <v>0</v>
      </c>
      <c r="T2884" t="s">
        <v>124</v>
      </c>
    </row>
    <row r="2885">
      <c r="A2885" t="s">
        <v>5304</v>
      </c>
      <c r="B2885" t="s">
        <v>5302</v>
      </c>
      <c r="C2885" s="2">
        <v>2022</v>
      </c>
      <c r="D2885" s="10">
        <v>7</v>
      </c>
      <c r="E2885" s="10">
        <v>13</v>
      </c>
      <c r="F2885" t="s">
        <v>1012</v>
      </c>
      <c r="G2885">
        <v>40</v>
      </c>
      <c r="H2885" t="s">
        <v>69</v>
      </c>
      <c r="I2885" t="s">
        <v>150</v>
      </c>
      <c r="J2885" s="10" t="str">
        <f>VLOOKUP(I2885,Categories!A:B,2,FALSE)</f>
        <v xml:space="preserve">Food &amp; Coff</v>
      </c>
      <c r="K2885" t="s">
        <v>178</v>
      </c>
      <c r="L2885" s="10" t="str">
        <f>VLOOKUP(K2885,Accounts!A:B,2,FALSE)</f>
        <v>SCB</v>
      </c>
      <c r="M2885" t="s">
        <v>124</v>
      </c>
      <c r="N2885" s="10"/>
      <c r="O2885" t="s">
        <v>5305</v>
      </c>
      <c r="Q2885" t="s">
        <v>126</v>
      </c>
      <c r="R2885" t="s">
        <v>124</v>
      </c>
      <c r="S2885" t="b">
        <v>0</v>
      </c>
      <c r="T2885" t="s">
        <v>124</v>
      </c>
    </row>
    <row r="2886">
      <c r="A2886" t="s">
        <v>5306</v>
      </c>
      <c r="B2886" t="s">
        <v>5307</v>
      </c>
      <c r="C2886" s="2">
        <v>2022</v>
      </c>
      <c r="D2886" s="10">
        <v>7</v>
      </c>
      <c r="E2886" s="10">
        <v>12</v>
      </c>
      <c r="F2886" t="s">
        <v>1797</v>
      </c>
      <c r="G2886">
        <v>10000</v>
      </c>
      <c r="H2886" t="s">
        <v>128</v>
      </c>
      <c r="I2886" t="s">
        <v>136</v>
      </c>
      <c r="J2886" s="10" t="str">
        <f>VLOOKUP(I2886,Categories!A:B,2,FALSE)</f>
        <v>อื่นๆ</v>
      </c>
      <c r="K2886" t="s">
        <v>178</v>
      </c>
      <c r="L2886" s="10" t="str">
        <f>VLOOKUP(K2886,Accounts!A:B,2,FALSE)</f>
        <v>SCB</v>
      </c>
      <c r="M2886" t="s">
        <v>2317</v>
      </c>
      <c r="N2886" s="10" t="str">
        <f>VLOOKUP(M2886,Accounts!A:B,2,FALSE)</f>
        <v xml:space="preserve">Marriage account</v>
      </c>
      <c r="O2886" t="s">
        <v>125</v>
      </c>
      <c r="Q2886" t="s">
        <v>126</v>
      </c>
      <c r="R2886" t="s">
        <v>124</v>
      </c>
      <c r="S2886" t="b">
        <v>0</v>
      </c>
      <c r="T2886" t="s">
        <v>124</v>
      </c>
    </row>
    <row r="2887">
      <c r="A2887" t="s">
        <v>5308</v>
      </c>
      <c r="B2887" t="s">
        <v>5307</v>
      </c>
      <c r="C2887" s="2">
        <v>2022</v>
      </c>
      <c r="D2887" s="10">
        <v>7</v>
      </c>
      <c r="E2887" s="10">
        <v>12</v>
      </c>
      <c r="F2887" t="s">
        <v>5195</v>
      </c>
      <c r="G2887">
        <v>265</v>
      </c>
      <c r="H2887" t="s">
        <v>69</v>
      </c>
      <c r="I2887" t="s">
        <v>259</v>
      </c>
      <c r="J2887" s="10" t="str">
        <f>VLOOKUP(I2887,Categories!A:B,2,FALSE)</f>
        <v xml:space="preserve">Team BOT</v>
      </c>
      <c r="K2887" t="s">
        <v>178</v>
      </c>
      <c r="L2887" s="10" t="str">
        <f>VLOOKUP(K2887,Accounts!A:B,2,FALSE)</f>
        <v>SCB</v>
      </c>
      <c r="M2887" t="s">
        <v>124</v>
      </c>
      <c r="N2887" s="10"/>
      <c r="O2887" t="s">
        <v>125</v>
      </c>
      <c r="Q2887" t="s">
        <v>126</v>
      </c>
      <c r="R2887" t="s">
        <v>124</v>
      </c>
      <c r="S2887" t="b">
        <v>0</v>
      </c>
      <c r="T2887" t="s">
        <v>124</v>
      </c>
    </row>
    <row r="2888">
      <c r="A2888" t="s">
        <v>5309</v>
      </c>
      <c r="B2888" t="s">
        <v>5307</v>
      </c>
      <c r="C2888" s="2">
        <v>2022</v>
      </c>
      <c r="D2888" s="10">
        <v>7</v>
      </c>
      <c r="E2888" s="10">
        <v>12</v>
      </c>
      <c r="F2888" t="s">
        <v>5310</v>
      </c>
      <c r="G2888">
        <v>14035</v>
      </c>
      <c r="H2888" t="s">
        <v>69</v>
      </c>
      <c r="I2888" t="s">
        <v>141</v>
      </c>
      <c r="J2888" s="10" t="str">
        <f>VLOOKUP(I2888,Categories!A:B,2,FALSE)</f>
        <v>Other</v>
      </c>
      <c r="K2888" t="s">
        <v>123</v>
      </c>
      <c r="L2888" s="10" t="str">
        <f>VLOOKUP(K2888,Accounts!A:B,2,FALSE)</f>
        <v>KBank</v>
      </c>
      <c r="M2888" t="s">
        <v>124</v>
      </c>
      <c r="N2888" s="10"/>
      <c r="O2888" t="s">
        <v>5311</v>
      </c>
      <c r="Q2888" t="s">
        <v>126</v>
      </c>
      <c r="R2888" t="s">
        <v>124</v>
      </c>
      <c r="S2888" t="b">
        <v>0</v>
      </c>
      <c r="T2888" t="s">
        <v>124</v>
      </c>
    </row>
    <row r="2889">
      <c r="A2889" t="s">
        <v>5312</v>
      </c>
      <c r="B2889" t="s">
        <v>5307</v>
      </c>
      <c r="C2889" s="2">
        <v>2022</v>
      </c>
      <c r="D2889" s="10">
        <v>7</v>
      </c>
      <c r="E2889" s="10">
        <v>12</v>
      </c>
      <c r="F2889" t="s">
        <v>533</v>
      </c>
      <c r="G2889">
        <v>532.5</v>
      </c>
      <c r="H2889" t="s">
        <v>128</v>
      </c>
      <c r="I2889" t="s">
        <v>136</v>
      </c>
      <c r="J2889" s="10" t="str">
        <f>VLOOKUP(I2889,Categories!A:B,2,FALSE)</f>
        <v>อื่นๆ</v>
      </c>
      <c r="K2889" t="s">
        <v>747</v>
      </c>
      <c r="L2889" s="10" t="str">
        <f>VLOOKUP(K2889,Accounts!A:B,2,FALSE)</f>
        <v xml:space="preserve">UOB world</v>
      </c>
      <c r="M2889" t="s">
        <v>131</v>
      </c>
      <c r="N2889" s="10" t="str">
        <f>VLOOKUP(M2889,Accounts!A:B,2,FALSE)</f>
        <v xml:space="preserve">Advance Paid</v>
      </c>
      <c r="O2889" t="s">
        <v>5313</v>
      </c>
      <c r="Q2889" t="s">
        <v>126</v>
      </c>
      <c r="R2889" t="s">
        <v>124</v>
      </c>
      <c r="S2889" t="b">
        <v>0</v>
      </c>
      <c r="T2889" t="s">
        <v>124</v>
      </c>
    </row>
    <row r="2890">
      <c r="A2890" t="s">
        <v>5314</v>
      </c>
      <c r="B2890" t="s">
        <v>5307</v>
      </c>
      <c r="C2890" s="2">
        <v>2022</v>
      </c>
      <c r="D2890" s="10">
        <v>7</v>
      </c>
      <c r="E2890" s="10">
        <v>12</v>
      </c>
      <c r="F2890" t="s">
        <v>510</v>
      </c>
      <c r="G2890">
        <v>3134.8699999999999</v>
      </c>
      <c r="H2890" t="s">
        <v>128</v>
      </c>
      <c r="I2890" t="s">
        <v>136</v>
      </c>
      <c r="J2890" s="10" t="str">
        <f>VLOOKUP(I2890,Categories!A:B,2,FALSE)</f>
        <v>อื่นๆ</v>
      </c>
      <c r="K2890" t="s">
        <v>178</v>
      </c>
      <c r="L2890" s="10" t="str">
        <f>VLOOKUP(K2890,Accounts!A:B,2,FALSE)</f>
        <v>SCB</v>
      </c>
      <c r="M2890" t="s">
        <v>747</v>
      </c>
      <c r="N2890" s="10" t="str">
        <f>VLOOKUP(M2890,Accounts!A:B,2,FALSE)</f>
        <v xml:space="preserve">UOB world</v>
      </c>
      <c r="O2890" t="s">
        <v>125</v>
      </c>
      <c r="Q2890" t="s">
        <v>126</v>
      </c>
      <c r="R2890" t="s">
        <v>124</v>
      </c>
      <c r="S2890" t="b">
        <v>0</v>
      </c>
      <c r="T2890" t="s">
        <v>124</v>
      </c>
    </row>
    <row r="2891">
      <c r="A2891" t="s">
        <v>5315</v>
      </c>
      <c r="B2891" t="s">
        <v>5307</v>
      </c>
      <c r="C2891" s="2">
        <v>2022</v>
      </c>
      <c r="D2891" s="10">
        <v>7</v>
      </c>
      <c r="E2891" s="10">
        <v>12</v>
      </c>
      <c r="F2891" t="s">
        <v>482</v>
      </c>
      <c r="G2891">
        <v>16310</v>
      </c>
      <c r="H2891" t="s">
        <v>128</v>
      </c>
      <c r="I2891" t="s">
        <v>136</v>
      </c>
      <c r="J2891" s="10" t="str">
        <f>VLOOKUP(I2891,Categories!A:B,2,FALSE)</f>
        <v>อื่นๆ</v>
      </c>
      <c r="K2891" t="s">
        <v>131</v>
      </c>
      <c r="L2891" s="10" t="str">
        <f>VLOOKUP(K2891,Accounts!A:B,2,FALSE)</f>
        <v xml:space="preserve">Advance Paid</v>
      </c>
      <c r="M2891" t="s">
        <v>178</v>
      </c>
      <c r="N2891" s="10" t="str">
        <f>VLOOKUP(M2891,Accounts!A:B,2,FALSE)</f>
        <v>SCB</v>
      </c>
      <c r="O2891" t="s">
        <v>125</v>
      </c>
      <c r="Q2891" t="s">
        <v>126</v>
      </c>
      <c r="R2891" t="s">
        <v>124</v>
      </c>
      <c r="S2891" t="b">
        <v>0</v>
      </c>
      <c r="T2891" t="s">
        <v>124</v>
      </c>
    </row>
    <row r="2892">
      <c r="A2892" t="s">
        <v>5316</v>
      </c>
      <c r="B2892" t="s">
        <v>5317</v>
      </c>
      <c r="C2892" s="2">
        <v>2022</v>
      </c>
      <c r="D2892" s="10">
        <v>7</v>
      </c>
      <c r="E2892" s="10">
        <v>11</v>
      </c>
      <c r="F2892" t="s">
        <v>2842</v>
      </c>
      <c r="G2892">
        <v>50</v>
      </c>
      <c r="H2892" t="s">
        <v>69</v>
      </c>
      <c r="I2892" t="s">
        <v>150</v>
      </c>
      <c r="J2892" s="10" t="str">
        <f>VLOOKUP(I2892,Categories!A:B,2,FALSE)</f>
        <v xml:space="preserve">Food &amp; Coff</v>
      </c>
      <c r="K2892" t="s">
        <v>178</v>
      </c>
      <c r="L2892" s="10" t="str">
        <f>VLOOKUP(K2892,Accounts!A:B,2,FALSE)</f>
        <v>SCB</v>
      </c>
      <c r="M2892" t="s">
        <v>124</v>
      </c>
      <c r="N2892" s="10"/>
      <c r="O2892" t="s">
        <v>125</v>
      </c>
      <c r="Q2892" t="s">
        <v>126</v>
      </c>
      <c r="R2892" t="s">
        <v>124</v>
      </c>
      <c r="S2892" t="b">
        <v>0</v>
      </c>
      <c r="T2892" t="s">
        <v>124</v>
      </c>
    </row>
    <row r="2893">
      <c r="A2893" t="s">
        <v>5318</v>
      </c>
      <c r="B2893" t="s">
        <v>5319</v>
      </c>
      <c r="C2893" s="2">
        <v>2022</v>
      </c>
      <c r="D2893" s="10">
        <v>7</v>
      </c>
      <c r="E2893" s="10">
        <v>10</v>
      </c>
      <c r="F2893" t="s">
        <v>5320</v>
      </c>
      <c r="G2893">
        <v>3635.6599999999999</v>
      </c>
      <c r="H2893" t="s">
        <v>69</v>
      </c>
      <c r="I2893" t="s">
        <v>1679</v>
      </c>
      <c r="J2893" s="10" t="str">
        <f>VLOOKUP(I2893,Categories!A:B,2,FALSE)</f>
        <v xml:space="preserve">Condo stuff</v>
      </c>
      <c r="K2893" t="s">
        <v>743</v>
      </c>
      <c r="L2893" s="10" t="str">
        <f>VLOOKUP(K2893,Accounts!A:B,2,FALSE)</f>
        <v>HOMEPRO</v>
      </c>
      <c r="M2893" t="s">
        <v>124</v>
      </c>
      <c r="N2893" s="10"/>
      <c r="O2893" t="s">
        <v>5321</v>
      </c>
      <c r="Q2893" t="s">
        <v>126</v>
      </c>
      <c r="R2893" t="s">
        <v>124</v>
      </c>
      <c r="S2893" t="b">
        <v>0</v>
      </c>
      <c r="T2893" t="s">
        <v>124</v>
      </c>
    </row>
    <row r="2894">
      <c r="A2894" t="s">
        <v>5322</v>
      </c>
      <c r="B2894" t="s">
        <v>5323</v>
      </c>
      <c r="C2894" s="2">
        <v>2022</v>
      </c>
      <c r="D2894" s="10">
        <v>7</v>
      </c>
      <c r="E2894" s="10">
        <v>9</v>
      </c>
      <c r="F2894" t="s">
        <v>1500</v>
      </c>
      <c r="G2894">
        <v>5000</v>
      </c>
      <c r="H2894" t="s">
        <v>69</v>
      </c>
      <c r="I2894" t="s">
        <v>144</v>
      </c>
      <c r="J2894" s="10" t="str">
        <f>VLOOKUP(I2894,Categories!A:B,2,FALSE)</f>
        <v xml:space="preserve">Family paid</v>
      </c>
      <c r="K2894" t="s">
        <v>425</v>
      </c>
      <c r="L2894" s="10" t="str">
        <f>VLOOKUP(K2894,Accounts!A:B,2,FALSE)</f>
        <v>Cash</v>
      </c>
      <c r="M2894" t="s">
        <v>124</v>
      </c>
      <c r="N2894" s="10"/>
      <c r="O2894" t="s">
        <v>125</v>
      </c>
      <c r="Q2894" t="s">
        <v>126</v>
      </c>
      <c r="R2894" t="s">
        <v>124</v>
      </c>
      <c r="S2894" t="b">
        <v>0</v>
      </c>
      <c r="T2894" t="s">
        <v>124</v>
      </c>
    </row>
    <row r="2895">
      <c r="A2895" t="s">
        <v>5324</v>
      </c>
      <c r="B2895" t="s">
        <v>5323</v>
      </c>
      <c r="C2895" s="2">
        <v>2022</v>
      </c>
      <c r="D2895" s="10">
        <v>7</v>
      </c>
      <c r="E2895" s="10">
        <v>9</v>
      </c>
      <c r="F2895" t="s">
        <v>815</v>
      </c>
      <c r="G2895">
        <v>45</v>
      </c>
      <c r="H2895" t="s">
        <v>69</v>
      </c>
      <c r="I2895" t="s">
        <v>150</v>
      </c>
      <c r="J2895" s="10" t="str">
        <f>VLOOKUP(I2895,Categories!A:B,2,FALSE)</f>
        <v xml:space="preserve">Food &amp; Coff</v>
      </c>
      <c r="K2895" t="s">
        <v>178</v>
      </c>
      <c r="L2895" s="10" t="str">
        <f>VLOOKUP(K2895,Accounts!A:B,2,FALSE)</f>
        <v>SCB</v>
      </c>
      <c r="M2895" t="s">
        <v>124</v>
      </c>
      <c r="N2895" s="10"/>
      <c r="O2895" t="s">
        <v>125</v>
      </c>
      <c r="Q2895" t="s">
        <v>126</v>
      </c>
      <c r="R2895" t="s">
        <v>124</v>
      </c>
      <c r="S2895" t="b">
        <v>0</v>
      </c>
      <c r="T2895" t="s">
        <v>124</v>
      </c>
    </row>
    <row r="2896">
      <c r="A2896" t="s">
        <v>5325</v>
      </c>
      <c r="B2896" t="s">
        <v>5323</v>
      </c>
      <c r="C2896" s="2">
        <v>2022</v>
      </c>
      <c r="D2896" s="10">
        <v>7</v>
      </c>
      <c r="E2896" s="10">
        <v>9</v>
      </c>
      <c r="F2896" t="s">
        <v>854</v>
      </c>
      <c r="G2896">
        <v>5000</v>
      </c>
      <c r="H2896" t="s">
        <v>128</v>
      </c>
      <c r="I2896" t="s">
        <v>136</v>
      </c>
      <c r="J2896" s="10" t="str">
        <f>VLOOKUP(I2896,Categories!A:B,2,FALSE)</f>
        <v>อื่นๆ</v>
      </c>
      <c r="K2896" t="s">
        <v>178</v>
      </c>
      <c r="L2896" s="10" t="str">
        <f>VLOOKUP(K2896,Accounts!A:B,2,FALSE)</f>
        <v>SCB</v>
      </c>
      <c r="M2896" t="s">
        <v>425</v>
      </c>
      <c r="N2896" s="10" t="str">
        <f>VLOOKUP(M2896,Accounts!A:B,2,FALSE)</f>
        <v>Cash</v>
      </c>
      <c r="O2896" t="s">
        <v>125</v>
      </c>
      <c r="Q2896" t="s">
        <v>126</v>
      </c>
      <c r="R2896" t="s">
        <v>124</v>
      </c>
      <c r="S2896" t="b">
        <v>0</v>
      </c>
      <c r="T2896" t="s">
        <v>124</v>
      </c>
    </row>
    <row r="2897">
      <c r="A2897" t="s">
        <v>5326</v>
      </c>
      <c r="B2897" t="s">
        <v>5327</v>
      </c>
      <c r="C2897" s="2">
        <v>2022</v>
      </c>
      <c r="D2897" s="10">
        <v>7</v>
      </c>
      <c r="E2897" s="10">
        <v>7</v>
      </c>
      <c r="F2897" t="s">
        <v>3365</v>
      </c>
      <c r="G2897">
        <v>300</v>
      </c>
      <c r="H2897" t="s">
        <v>69</v>
      </c>
      <c r="I2897" t="s">
        <v>160</v>
      </c>
      <c r="J2897" s="10" t="str">
        <f>VLOOKUP(I2897,Categories!A:B,2,FALSE)</f>
        <v>Fashion</v>
      </c>
      <c r="K2897" t="s">
        <v>178</v>
      </c>
      <c r="L2897" s="10" t="str">
        <f>VLOOKUP(K2897,Accounts!A:B,2,FALSE)</f>
        <v>SCB</v>
      </c>
      <c r="M2897" t="s">
        <v>124</v>
      </c>
      <c r="N2897" s="10"/>
      <c r="O2897" t="s">
        <v>5328</v>
      </c>
      <c r="Q2897" t="s">
        <v>126</v>
      </c>
      <c r="R2897" t="s">
        <v>124</v>
      </c>
      <c r="S2897" t="b">
        <v>0</v>
      </c>
      <c r="T2897" t="s">
        <v>124</v>
      </c>
    </row>
    <row r="2898">
      <c r="A2898" t="s">
        <v>5329</v>
      </c>
      <c r="B2898" t="s">
        <v>5330</v>
      </c>
      <c r="C2898" s="2">
        <v>2022</v>
      </c>
      <c r="D2898" s="10">
        <v>7</v>
      </c>
      <c r="E2898" s="10">
        <v>6</v>
      </c>
      <c r="F2898" t="s">
        <v>2179</v>
      </c>
      <c r="G2898">
        <v>60</v>
      </c>
      <c r="H2898" t="s">
        <v>69</v>
      </c>
      <c r="I2898" t="s">
        <v>150</v>
      </c>
      <c r="J2898" s="10" t="str">
        <f>VLOOKUP(I2898,Categories!A:B,2,FALSE)</f>
        <v xml:space="preserve">Food &amp; Coff</v>
      </c>
      <c r="K2898" t="s">
        <v>178</v>
      </c>
      <c r="L2898" s="10" t="str">
        <f>VLOOKUP(K2898,Accounts!A:B,2,FALSE)</f>
        <v>SCB</v>
      </c>
      <c r="M2898" t="s">
        <v>124</v>
      </c>
      <c r="N2898" s="10"/>
      <c r="O2898" t="s">
        <v>5140</v>
      </c>
      <c r="Q2898" t="s">
        <v>126</v>
      </c>
      <c r="R2898" t="s">
        <v>124</v>
      </c>
      <c r="S2898" t="b">
        <v>0</v>
      </c>
      <c r="T2898" t="s">
        <v>124</v>
      </c>
    </row>
    <row r="2899">
      <c r="A2899" t="s">
        <v>5331</v>
      </c>
      <c r="B2899" t="s">
        <v>5330</v>
      </c>
      <c r="C2899" s="2">
        <v>2022</v>
      </c>
      <c r="D2899" s="10">
        <v>7</v>
      </c>
      <c r="E2899" s="10">
        <v>6</v>
      </c>
      <c r="F2899" t="s">
        <v>1594</v>
      </c>
      <c r="G2899">
        <v>62</v>
      </c>
      <c r="H2899" t="s">
        <v>69</v>
      </c>
      <c r="I2899" t="s">
        <v>150</v>
      </c>
      <c r="J2899" s="10" t="str">
        <f>VLOOKUP(I2899,Categories!A:B,2,FALSE)</f>
        <v xml:space="preserve">Food &amp; Coff</v>
      </c>
      <c r="K2899" t="s">
        <v>178</v>
      </c>
      <c r="L2899" s="10" t="str">
        <f>VLOOKUP(K2899,Accounts!A:B,2,FALSE)</f>
        <v>SCB</v>
      </c>
      <c r="M2899" t="s">
        <v>124</v>
      </c>
      <c r="N2899" s="10"/>
      <c r="O2899" t="s">
        <v>125</v>
      </c>
      <c r="Q2899" t="s">
        <v>126</v>
      </c>
      <c r="R2899" t="s">
        <v>124</v>
      </c>
      <c r="S2899" t="b">
        <v>0</v>
      </c>
      <c r="T2899" t="s">
        <v>124</v>
      </c>
    </row>
    <row r="2900">
      <c r="A2900" t="s">
        <v>5332</v>
      </c>
      <c r="B2900" t="s">
        <v>5330</v>
      </c>
      <c r="C2900" s="2">
        <v>2022</v>
      </c>
      <c r="D2900" s="10">
        <v>7</v>
      </c>
      <c r="E2900" s="10">
        <v>6</v>
      </c>
      <c r="F2900" t="s">
        <v>3365</v>
      </c>
      <c r="G2900">
        <v>678</v>
      </c>
      <c r="H2900" t="s">
        <v>69</v>
      </c>
      <c r="I2900" t="s">
        <v>150</v>
      </c>
      <c r="J2900" s="10" t="str">
        <f>VLOOKUP(I2900,Categories!A:B,2,FALSE)</f>
        <v xml:space="preserve">Food &amp; Coff</v>
      </c>
      <c r="K2900" t="s">
        <v>178</v>
      </c>
      <c r="L2900" s="10" t="str">
        <f>VLOOKUP(K2900,Accounts!A:B,2,FALSE)</f>
        <v>SCB</v>
      </c>
      <c r="M2900" t="s">
        <v>124</v>
      </c>
      <c r="N2900" s="10"/>
      <c r="O2900" t="s">
        <v>125</v>
      </c>
      <c r="Q2900" t="s">
        <v>126</v>
      </c>
      <c r="R2900" t="s">
        <v>124</v>
      </c>
      <c r="S2900" t="b">
        <v>0</v>
      </c>
      <c r="T2900" t="s">
        <v>124</v>
      </c>
    </row>
    <row r="2901">
      <c r="A2901" t="s">
        <v>5333</v>
      </c>
      <c r="B2901" t="s">
        <v>5334</v>
      </c>
      <c r="C2901" s="2">
        <v>2022</v>
      </c>
      <c r="D2901" s="10">
        <v>7</v>
      </c>
      <c r="E2901" s="10">
        <v>5</v>
      </c>
      <c r="F2901" t="s">
        <v>2811</v>
      </c>
      <c r="G2901">
        <v>100</v>
      </c>
      <c r="H2901" t="s">
        <v>69</v>
      </c>
      <c r="I2901" t="s">
        <v>150</v>
      </c>
      <c r="J2901" s="10" t="str">
        <f>VLOOKUP(I2901,Categories!A:B,2,FALSE)</f>
        <v xml:space="preserve">Food &amp; Coff</v>
      </c>
      <c r="K2901" t="s">
        <v>178</v>
      </c>
      <c r="L2901" s="10" t="str">
        <f>VLOOKUP(K2901,Accounts!A:B,2,FALSE)</f>
        <v>SCB</v>
      </c>
      <c r="M2901" t="s">
        <v>124</v>
      </c>
      <c r="N2901" s="10"/>
      <c r="O2901" t="s">
        <v>3852</v>
      </c>
      <c r="Q2901" t="s">
        <v>126</v>
      </c>
      <c r="R2901" t="s">
        <v>124</v>
      </c>
      <c r="S2901" t="b">
        <v>0</v>
      </c>
      <c r="T2901" t="s">
        <v>124</v>
      </c>
    </row>
    <row r="2902">
      <c r="A2902" t="s">
        <v>5335</v>
      </c>
      <c r="B2902" t="s">
        <v>5334</v>
      </c>
      <c r="C2902" s="2">
        <v>2022</v>
      </c>
      <c r="D2902" s="10">
        <v>7</v>
      </c>
      <c r="E2902" s="10">
        <v>5</v>
      </c>
      <c r="F2902" t="s">
        <v>2709</v>
      </c>
      <c r="G2902">
        <v>67</v>
      </c>
      <c r="H2902" t="s">
        <v>69</v>
      </c>
      <c r="I2902" t="s">
        <v>150</v>
      </c>
      <c r="J2902" s="10" t="str">
        <f>VLOOKUP(I2902,Categories!A:B,2,FALSE)</f>
        <v xml:space="preserve">Food &amp; Coff</v>
      </c>
      <c r="K2902" t="s">
        <v>178</v>
      </c>
      <c r="L2902" s="10" t="str">
        <f>VLOOKUP(K2902,Accounts!A:B,2,FALSE)</f>
        <v>SCB</v>
      </c>
      <c r="M2902" t="s">
        <v>124</v>
      </c>
      <c r="N2902" s="10"/>
      <c r="O2902" t="s">
        <v>125</v>
      </c>
      <c r="Q2902" t="s">
        <v>126</v>
      </c>
      <c r="R2902" t="s">
        <v>124</v>
      </c>
      <c r="S2902" t="b">
        <v>0</v>
      </c>
      <c r="T2902" t="s">
        <v>124</v>
      </c>
    </row>
    <row r="2903">
      <c r="A2903" t="s">
        <v>5336</v>
      </c>
      <c r="B2903" t="s">
        <v>5337</v>
      </c>
      <c r="C2903" s="2">
        <v>2022</v>
      </c>
      <c r="D2903" s="10">
        <v>7</v>
      </c>
      <c r="E2903" s="10">
        <v>4</v>
      </c>
      <c r="F2903" t="s">
        <v>276</v>
      </c>
      <c r="G2903">
        <v>100</v>
      </c>
      <c r="H2903" t="s">
        <v>69</v>
      </c>
      <c r="I2903" t="s">
        <v>150</v>
      </c>
      <c r="J2903" s="10" t="str">
        <f>VLOOKUP(I2903,Categories!A:B,2,FALSE)</f>
        <v xml:space="preserve">Food &amp; Coff</v>
      </c>
      <c r="K2903" t="s">
        <v>178</v>
      </c>
      <c r="L2903" s="10" t="str">
        <f>VLOOKUP(K2903,Accounts!A:B,2,FALSE)</f>
        <v>SCB</v>
      </c>
      <c r="M2903" t="s">
        <v>124</v>
      </c>
      <c r="N2903" s="10"/>
      <c r="O2903" t="s">
        <v>125</v>
      </c>
      <c r="Q2903" t="s">
        <v>126</v>
      </c>
      <c r="R2903" t="s">
        <v>124</v>
      </c>
      <c r="S2903" t="b">
        <v>0</v>
      </c>
      <c r="T2903" t="s">
        <v>124</v>
      </c>
    </row>
    <row r="2904">
      <c r="A2904" t="s">
        <v>5338</v>
      </c>
      <c r="B2904" t="s">
        <v>5337</v>
      </c>
      <c r="C2904" s="2">
        <v>2022</v>
      </c>
      <c r="D2904" s="10">
        <v>7</v>
      </c>
      <c r="E2904" s="10">
        <v>4</v>
      </c>
      <c r="F2904" t="s">
        <v>189</v>
      </c>
      <c r="G2904">
        <v>70</v>
      </c>
      <c r="H2904" t="s">
        <v>69</v>
      </c>
      <c r="I2904" t="s">
        <v>150</v>
      </c>
      <c r="J2904" s="10" t="str">
        <f>VLOOKUP(I2904,Categories!A:B,2,FALSE)</f>
        <v xml:space="preserve">Food &amp; Coff</v>
      </c>
      <c r="K2904" t="s">
        <v>178</v>
      </c>
      <c r="L2904" s="10" t="str">
        <f>VLOOKUP(K2904,Accounts!A:B,2,FALSE)</f>
        <v>SCB</v>
      </c>
      <c r="M2904" t="s">
        <v>124</v>
      </c>
      <c r="N2904" s="10"/>
      <c r="O2904" t="s">
        <v>125</v>
      </c>
      <c r="Q2904" t="s">
        <v>126</v>
      </c>
      <c r="R2904" t="s">
        <v>124</v>
      </c>
      <c r="S2904" t="b">
        <v>0</v>
      </c>
      <c r="T2904" t="s">
        <v>124</v>
      </c>
    </row>
    <row r="2905">
      <c r="A2905" t="s">
        <v>5339</v>
      </c>
      <c r="B2905" t="s">
        <v>5340</v>
      </c>
      <c r="C2905" s="2">
        <v>2022</v>
      </c>
      <c r="D2905" s="10">
        <v>7</v>
      </c>
      <c r="E2905" s="10">
        <v>3</v>
      </c>
      <c r="F2905" t="s">
        <v>573</v>
      </c>
      <c r="G2905">
        <v>316</v>
      </c>
      <c r="H2905" t="s">
        <v>128</v>
      </c>
      <c r="I2905" t="s">
        <v>136</v>
      </c>
      <c r="J2905" s="10" t="str">
        <f>VLOOKUP(I2905,Categories!A:B,2,FALSE)</f>
        <v>อื่นๆ</v>
      </c>
      <c r="K2905" t="s">
        <v>123</v>
      </c>
      <c r="L2905" s="10" t="str">
        <f>VLOOKUP(K2905,Accounts!A:B,2,FALSE)</f>
        <v>KBank</v>
      </c>
      <c r="M2905" t="s">
        <v>178</v>
      </c>
      <c r="N2905" s="10" t="str">
        <f>VLOOKUP(M2905,Accounts!A:B,2,FALSE)</f>
        <v>SCB</v>
      </c>
      <c r="O2905" t="s">
        <v>125</v>
      </c>
      <c r="Q2905" t="s">
        <v>126</v>
      </c>
      <c r="R2905" t="s">
        <v>124</v>
      </c>
      <c r="S2905" t="b">
        <v>0</v>
      </c>
      <c r="T2905" t="s">
        <v>124</v>
      </c>
    </row>
    <row r="2906">
      <c r="A2906" t="s">
        <v>5341</v>
      </c>
      <c r="B2906" t="s">
        <v>5340</v>
      </c>
      <c r="C2906" s="2">
        <v>2022</v>
      </c>
      <c r="D2906" s="10">
        <v>7</v>
      </c>
      <c r="E2906" s="10">
        <v>3</v>
      </c>
      <c r="F2906" t="s">
        <v>570</v>
      </c>
      <c r="G2906">
        <v>4412.8800000000001</v>
      </c>
      <c r="H2906" t="s">
        <v>69</v>
      </c>
      <c r="I2906" t="s">
        <v>139</v>
      </c>
      <c r="J2906" s="10" t="str">
        <f>VLOOKUP(I2906,Categories!A:B,2,FALSE)</f>
        <v>Condo</v>
      </c>
      <c r="K2906" t="s">
        <v>178</v>
      </c>
      <c r="L2906" s="10" t="str">
        <f>VLOOKUP(K2906,Accounts!A:B,2,FALSE)</f>
        <v>SCB</v>
      </c>
      <c r="M2906" t="s">
        <v>124</v>
      </c>
      <c r="N2906" s="10"/>
      <c r="O2906" t="s">
        <v>125</v>
      </c>
      <c r="Q2906" t="s">
        <v>126</v>
      </c>
      <c r="R2906" t="s">
        <v>124</v>
      </c>
      <c r="S2906" t="b">
        <v>0</v>
      </c>
      <c r="T2906" t="s">
        <v>124</v>
      </c>
    </row>
    <row r="2907">
      <c r="A2907" t="s">
        <v>5342</v>
      </c>
      <c r="B2907" t="s">
        <v>5340</v>
      </c>
      <c r="C2907" s="2">
        <v>2022</v>
      </c>
      <c r="D2907" s="10">
        <v>7</v>
      </c>
      <c r="E2907" s="10">
        <v>3</v>
      </c>
      <c r="F2907" t="s">
        <v>570</v>
      </c>
      <c r="G2907">
        <v>200</v>
      </c>
      <c r="H2907" t="s">
        <v>128</v>
      </c>
      <c r="I2907" t="s">
        <v>136</v>
      </c>
      <c r="J2907" s="10" t="str">
        <f>VLOOKUP(I2907,Categories!A:B,2,FALSE)</f>
        <v>อื่นๆ</v>
      </c>
      <c r="K2907" t="s">
        <v>178</v>
      </c>
      <c r="L2907" s="10" t="str">
        <f>VLOOKUP(K2907,Accounts!A:B,2,FALSE)</f>
        <v>SCB</v>
      </c>
      <c r="M2907" t="s">
        <v>2317</v>
      </c>
      <c r="N2907" s="10" t="str">
        <f>VLOOKUP(M2907,Accounts!A:B,2,FALSE)</f>
        <v xml:space="preserve">Marriage account</v>
      </c>
      <c r="O2907" t="s">
        <v>125</v>
      </c>
      <c r="Q2907" t="s">
        <v>126</v>
      </c>
      <c r="R2907" t="s">
        <v>124</v>
      </c>
      <c r="S2907" t="b">
        <v>0</v>
      </c>
      <c r="T2907" t="s">
        <v>124</v>
      </c>
    </row>
    <row r="2908">
      <c r="A2908" t="s">
        <v>5343</v>
      </c>
      <c r="B2908" t="s">
        <v>5344</v>
      </c>
      <c r="C2908" s="2">
        <v>2022</v>
      </c>
      <c r="D2908" s="10">
        <v>7</v>
      </c>
      <c r="E2908" s="10">
        <v>2</v>
      </c>
      <c r="F2908" t="s">
        <v>2884</v>
      </c>
      <c r="G2908">
        <v>40</v>
      </c>
      <c r="H2908" t="s">
        <v>69</v>
      </c>
      <c r="I2908" t="s">
        <v>150</v>
      </c>
      <c r="J2908" s="10" t="str">
        <f>VLOOKUP(I2908,Categories!A:B,2,FALSE)</f>
        <v xml:space="preserve">Food &amp; Coff</v>
      </c>
      <c r="K2908" t="s">
        <v>178</v>
      </c>
      <c r="L2908" s="10" t="str">
        <f>VLOOKUP(K2908,Accounts!A:B,2,FALSE)</f>
        <v>SCB</v>
      </c>
      <c r="M2908" t="s">
        <v>124</v>
      </c>
      <c r="N2908" s="10"/>
      <c r="O2908" t="s">
        <v>125</v>
      </c>
      <c r="Q2908" t="s">
        <v>126</v>
      </c>
      <c r="R2908" t="s">
        <v>124</v>
      </c>
      <c r="S2908" t="b">
        <v>0</v>
      </c>
      <c r="T2908" t="s">
        <v>124</v>
      </c>
    </row>
    <row r="2909">
      <c r="A2909" t="s">
        <v>5345</v>
      </c>
      <c r="B2909" t="s">
        <v>5344</v>
      </c>
      <c r="C2909" s="2">
        <v>2022</v>
      </c>
      <c r="D2909" s="10">
        <v>7</v>
      </c>
      <c r="E2909" s="10">
        <v>2</v>
      </c>
      <c r="F2909" t="s">
        <v>2498</v>
      </c>
      <c r="G2909">
        <v>55</v>
      </c>
      <c r="H2909" t="s">
        <v>69</v>
      </c>
      <c r="I2909" t="s">
        <v>150</v>
      </c>
      <c r="J2909" s="10" t="str">
        <f>VLOOKUP(I2909,Categories!A:B,2,FALSE)</f>
        <v xml:space="preserve">Food &amp; Coff</v>
      </c>
      <c r="K2909" t="s">
        <v>178</v>
      </c>
      <c r="L2909" s="10" t="str">
        <f>VLOOKUP(K2909,Accounts!A:B,2,FALSE)</f>
        <v>SCB</v>
      </c>
      <c r="M2909" t="s">
        <v>124</v>
      </c>
      <c r="N2909" s="10"/>
      <c r="O2909" t="s">
        <v>125</v>
      </c>
      <c r="Q2909" t="s">
        <v>126</v>
      </c>
      <c r="R2909" t="s">
        <v>124</v>
      </c>
      <c r="S2909" t="b">
        <v>0</v>
      </c>
      <c r="T2909" t="s">
        <v>124</v>
      </c>
    </row>
    <row r="2910">
      <c r="A2910" t="s">
        <v>5346</v>
      </c>
      <c r="B2910" t="s">
        <v>5344</v>
      </c>
      <c r="C2910" s="2">
        <v>2022</v>
      </c>
      <c r="D2910" s="10">
        <v>7</v>
      </c>
      <c r="E2910" s="10">
        <v>2</v>
      </c>
      <c r="F2910" t="s">
        <v>2319</v>
      </c>
      <c r="G2910">
        <v>298</v>
      </c>
      <c r="H2910" t="s">
        <v>69</v>
      </c>
      <c r="I2910" t="s">
        <v>160</v>
      </c>
      <c r="J2910" s="10" t="str">
        <f>VLOOKUP(I2910,Categories!A:B,2,FALSE)</f>
        <v>Fashion</v>
      </c>
      <c r="K2910" t="s">
        <v>178</v>
      </c>
      <c r="L2910" s="10" t="str">
        <f>VLOOKUP(K2910,Accounts!A:B,2,FALSE)</f>
        <v>SCB</v>
      </c>
      <c r="M2910" t="s">
        <v>124</v>
      </c>
      <c r="N2910" s="10"/>
      <c r="O2910" t="s">
        <v>125</v>
      </c>
      <c r="Q2910" t="s">
        <v>126</v>
      </c>
      <c r="R2910" t="s">
        <v>124</v>
      </c>
      <c r="S2910" t="b">
        <v>0</v>
      </c>
      <c r="T2910" t="s">
        <v>124</v>
      </c>
    </row>
    <row r="2911">
      <c r="A2911" t="s">
        <v>5347</v>
      </c>
      <c r="B2911" t="s">
        <v>5344</v>
      </c>
      <c r="C2911" s="2">
        <v>2022</v>
      </c>
      <c r="D2911" s="10">
        <v>7</v>
      </c>
      <c r="E2911" s="10">
        <v>2</v>
      </c>
      <c r="F2911" t="s">
        <v>5348</v>
      </c>
      <c r="G2911">
        <v>40</v>
      </c>
      <c r="H2911" t="s">
        <v>69</v>
      </c>
      <c r="I2911" t="s">
        <v>150</v>
      </c>
      <c r="J2911" s="10" t="str">
        <f>VLOOKUP(I2911,Categories!A:B,2,FALSE)</f>
        <v xml:space="preserve">Food &amp; Coff</v>
      </c>
      <c r="K2911" t="s">
        <v>178</v>
      </c>
      <c r="L2911" s="10" t="str">
        <f>VLOOKUP(K2911,Accounts!A:B,2,FALSE)</f>
        <v>SCB</v>
      </c>
      <c r="M2911" t="s">
        <v>124</v>
      </c>
      <c r="N2911" s="10"/>
      <c r="O2911" t="s">
        <v>5349</v>
      </c>
      <c r="Q2911" t="s">
        <v>126</v>
      </c>
      <c r="R2911" t="s">
        <v>124</v>
      </c>
      <c r="S2911" t="b">
        <v>0</v>
      </c>
      <c r="T2911" t="s">
        <v>124</v>
      </c>
    </row>
    <row r="2912">
      <c r="A2912" t="s">
        <v>5350</v>
      </c>
      <c r="B2912" t="s">
        <v>5344</v>
      </c>
      <c r="C2912" s="2">
        <v>2022</v>
      </c>
      <c r="D2912" s="10">
        <v>7</v>
      </c>
      <c r="E2912" s="10">
        <v>2</v>
      </c>
      <c r="F2912" t="s">
        <v>5351</v>
      </c>
      <c r="G2912">
        <v>50</v>
      </c>
      <c r="H2912" t="s">
        <v>69</v>
      </c>
      <c r="I2912" t="s">
        <v>150</v>
      </c>
      <c r="J2912" s="10" t="str">
        <f>VLOOKUP(I2912,Categories!A:B,2,FALSE)</f>
        <v xml:space="preserve">Food &amp; Coff</v>
      </c>
      <c r="K2912" t="s">
        <v>178</v>
      </c>
      <c r="L2912" s="10" t="str">
        <f>VLOOKUP(K2912,Accounts!A:B,2,FALSE)</f>
        <v>SCB</v>
      </c>
      <c r="M2912" t="s">
        <v>124</v>
      </c>
      <c r="N2912" s="10"/>
      <c r="O2912" t="s">
        <v>5352</v>
      </c>
      <c r="Q2912" t="s">
        <v>126</v>
      </c>
      <c r="R2912" t="s">
        <v>124</v>
      </c>
      <c r="S2912" t="b">
        <v>0</v>
      </c>
      <c r="T2912" t="s">
        <v>124</v>
      </c>
    </row>
    <row r="2913">
      <c r="A2913" t="s">
        <v>5353</v>
      </c>
      <c r="B2913" t="s">
        <v>5354</v>
      </c>
      <c r="C2913" s="2">
        <v>2022</v>
      </c>
      <c r="D2913" s="10">
        <v>7</v>
      </c>
      <c r="E2913" s="10">
        <v>1</v>
      </c>
      <c r="F2913" t="s">
        <v>121</v>
      </c>
      <c r="G2913">
        <v>10000</v>
      </c>
      <c r="H2913" t="s">
        <v>128</v>
      </c>
      <c r="I2913" t="s">
        <v>136</v>
      </c>
      <c r="J2913" s="10" t="str">
        <f>VLOOKUP(I2913,Categories!A:B,2,FALSE)</f>
        <v>อื่นๆ</v>
      </c>
      <c r="K2913" t="s">
        <v>178</v>
      </c>
      <c r="L2913" s="10" t="str">
        <f>VLOOKUP(K2913,Accounts!A:B,2,FALSE)</f>
        <v>SCB</v>
      </c>
      <c r="M2913" t="s">
        <v>2317</v>
      </c>
      <c r="N2913" s="10" t="str">
        <f>VLOOKUP(M2913,Accounts!A:B,2,FALSE)</f>
        <v xml:space="preserve">Marriage account</v>
      </c>
      <c r="O2913" t="s">
        <v>125</v>
      </c>
      <c r="Q2913" t="s">
        <v>126</v>
      </c>
      <c r="R2913" t="s">
        <v>124</v>
      </c>
      <c r="S2913" t="b">
        <v>0</v>
      </c>
      <c r="T2913" t="s">
        <v>124</v>
      </c>
    </row>
    <row r="2914">
      <c r="A2914" t="s">
        <v>5355</v>
      </c>
      <c r="B2914" t="s">
        <v>5354</v>
      </c>
      <c r="C2914" s="2">
        <v>2022</v>
      </c>
      <c r="D2914" s="10">
        <v>7</v>
      </c>
      <c r="E2914" s="10">
        <v>1</v>
      </c>
      <c r="F2914" t="s">
        <v>1491</v>
      </c>
      <c r="G2914">
        <v>85</v>
      </c>
      <c r="H2914" t="s">
        <v>69</v>
      </c>
      <c r="I2914" t="s">
        <v>150</v>
      </c>
      <c r="J2914" s="10" t="str">
        <f>VLOOKUP(I2914,Categories!A:B,2,FALSE)</f>
        <v xml:space="preserve">Food &amp; Coff</v>
      </c>
      <c r="K2914" t="s">
        <v>178</v>
      </c>
      <c r="L2914" s="10" t="str">
        <f>VLOOKUP(K2914,Accounts!A:B,2,FALSE)</f>
        <v>SCB</v>
      </c>
      <c r="M2914" t="s">
        <v>124</v>
      </c>
      <c r="N2914" s="10"/>
      <c r="O2914" t="s">
        <v>125</v>
      </c>
      <c r="Q2914" t="s">
        <v>126</v>
      </c>
      <c r="R2914" t="s">
        <v>124</v>
      </c>
      <c r="S2914" t="b">
        <v>0</v>
      </c>
      <c r="T2914" t="s">
        <v>124</v>
      </c>
    </row>
    <row r="2915">
      <c r="A2915" t="s">
        <v>5356</v>
      </c>
      <c r="B2915" t="s">
        <v>5354</v>
      </c>
      <c r="C2915" s="2">
        <v>2022</v>
      </c>
      <c r="D2915" s="10">
        <v>7</v>
      </c>
      <c r="E2915" s="10">
        <v>1</v>
      </c>
      <c r="F2915" t="s">
        <v>4919</v>
      </c>
      <c r="G2915">
        <v>83</v>
      </c>
      <c r="H2915" t="s">
        <v>69</v>
      </c>
      <c r="I2915" t="s">
        <v>150</v>
      </c>
      <c r="J2915" s="10" t="str">
        <f>VLOOKUP(I2915,Categories!A:B,2,FALSE)</f>
        <v xml:space="preserve">Food &amp; Coff</v>
      </c>
      <c r="K2915" t="s">
        <v>178</v>
      </c>
      <c r="L2915" s="10" t="str">
        <f>VLOOKUP(K2915,Accounts!A:B,2,FALSE)</f>
        <v>SCB</v>
      </c>
      <c r="M2915" t="s">
        <v>124</v>
      </c>
      <c r="N2915" s="10"/>
      <c r="O2915" t="s">
        <v>125</v>
      </c>
      <c r="Q2915" t="s">
        <v>126</v>
      </c>
      <c r="R2915" t="s">
        <v>124</v>
      </c>
      <c r="S2915" t="b">
        <v>0</v>
      </c>
      <c r="T2915" t="s">
        <v>124</v>
      </c>
    </row>
    <row r="2916">
      <c r="A2916" t="s">
        <v>5357</v>
      </c>
      <c r="B2916" t="s">
        <v>5354</v>
      </c>
      <c r="C2916" s="2">
        <v>2022</v>
      </c>
      <c r="D2916" s="10">
        <v>7</v>
      </c>
      <c r="E2916" s="10">
        <v>1</v>
      </c>
      <c r="F2916" t="s">
        <v>1513</v>
      </c>
      <c r="G2916">
        <v>50</v>
      </c>
      <c r="H2916" t="s">
        <v>69</v>
      </c>
      <c r="I2916" t="s">
        <v>150</v>
      </c>
      <c r="J2916" s="10" t="str">
        <f>VLOOKUP(I2916,Categories!A:B,2,FALSE)</f>
        <v xml:space="preserve">Food &amp; Coff</v>
      </c>
      <c r="K2916" t="s">
        <v>178</v>
      </c>
      <c r="L2916" s="10" t="str">
        <f>VLOOKUP(K2916,Accounts!A:B,2,FALSE)</f>
        <v>SCB</v>
      </c>
      <c r="M2916" t="s">
        <v>124</v>
      </c>
      <c r="N2916" s="10"/>
      <c r="O2916" t="s">
        <v>125</v>
      </c>
      <c r="Q2916" t="s">
        <v>126</v>
      </c>
      <c r="R2916" t="s">
        <v>124</v>
      </c>
      <c r="S2916" t="b">
        <v>0</v>
      </c>
      <c r="T2916" t="s">
        <v>124</v>
      </c>
    </row>
    <row r="2917">
      <c r="A2917" t="s">
        <v>5358</v>
      </c>
      <c r="B2917" t="s">
        <v>5359</v>
      </c>
      <c r="C2917" s="2">
        <v>2022</v>
      </c>
      <c r="D2917" s="10">
        <v>6</v>
      </c>
      <c r="E2917" s="10">
        <v>30</v>
      </c>
      <c r="F2917" t="s">
        <v>5360</v>
      </c>
      <c r="G2917">
        <v>30</v>
      </c>
      <c r="H2917" t="s">
        <v>69</v>
      </c>
      <c r="I2917" t="s">
        <v>150</v>
      </c>
      <c r="J2917" s="10" t="str">
        <f>VLOOKUP(I2917,Categories!A:B,2,FALSE)</f>
        <v xml:space="preserve">Food &amp; Coff</v>
      </c>
      <c r="K2917" t="s">
        <v>178</v>
      </c>
      <c r="L2917" s="10" t="str">
        <f>VLOOKUP(K2917,Accounts!A:B,2,FALSE)</f>
        <v>SCB</v>
      </c>
      <c r="M2917" t="s">
        <v>124</v>
      </c>
      <c r="N2917" s="10"/>
      <c r="O2917" t="s">
        <v>125</v>
      </c>
      <c r="Q2917" t="s">
        <v>126</v>
      </c>
      <c r="R2917" t="s">
        <v>124</v>
      </c>
      <c r="S2917" t="b">
        <v>0</v>
      </c>
      <c r="T2917" t="s">
        <v>124</v>
      </c>
    </row>
    <row r="2918">
      <c r="A2918" t="s">
        <v>5361</v>
      </c>
      <c r="B2918" t="s">
        <v>5362</v>
      </c>
      <c r="C2918" s="2">
        <v>2022</v>
      </c>
      <c r="D2918" s="10">
        <v>6</v>
      </c>
      <c r="E2918" s="10">
        <v>28</v>
      </c>
      <c r="F2918" t="s">
        <v>1800</v>
      </c>
      <c r="G2918">
        <v>110</v>
      </c>
      <c r="H2918" t="s">
        <v>69</v>
      </c>
      <c r="I2918" t="s">
        <v>150</v>
      </c>
      <c r="J2918" s="10" t="str">
        <f>VLOOKUP(I2918,Categories!A:B,2,FALSE)</f>
        <v xml:space="preserve">Food &amp; Coff</v>
      </c>
      <c r="K2918" t="s">
        <v>178</v>
      </c>
      <c r="L2918" s="10" t="str">
        <f>VLOOKUP(K2918,Accounts!A:B,2,FALSE)</f>
        <v>SCB</v>
      </c>
      <c r="M2918" t="s">
        <v>124</v>
      </c>
      <c r="N2918" s="10"/>
      <c r="O2918" t="s">
        <v>125</v>
      </c>
      <c r="Q2918" t="s">
        <v>126</v>
      </c>
      <c r="R2918" t="s">
        <v>124</v>
      </c>
      <c r="S2918" t="b">
        <v>0</v>
      </c>
      <c r="T2918" t="s">
        <v>124</v>
      </c>
    </row>
    <row r="2919">
      <c r="A2919" t="s">
        <v>5363</v>
      </c>
      <c r="B2919" t="s">
        <v>5362</v>
      </c>
      <c r="C2919" s="2">
        <v>2022</v>
      </c>
      <c r="D2919" s="10">
        <v>6</v>
      </c>
      <c r="E2919" s="10">
        <v>28</v>
      </c>
      <c r="F2919" t="s">
        <v>306</v>
      </c>
      <c r="G2919">
        <v>60</v>
      </c>
      <c r="H2919" t="s">
        <v>69</v>
      </c>
      <c r="I2919" t="s">
        <v>150</v>
      </c>
      <c r="J2919" s="10" t="str">
        <f>VLOOKUP(I2919,Categories!A:B,2,FALSE)</f>
        <v xml:space="preserve">Food &amp; Coff</v>
      </c>
      <c r="K2919" t="s">
        <v>178</v>
      </c>
      <c r="L2919" s="10" t="str">
        <f>VLOOKUP(K2919,Accounts!A:B,2,FALSE)</f>
        <v>SCB</v>
      </c>
      <c r="M2919" t="s">
        <v>124</v>
      </c>
      <c r="N2919" s="10"/>
      <c r="O2919" t="s">
        <v>125</v>
      </c>
      <c r="Q2919" t="s">
        <v>126</v>
      </c>
      <c r="R2919" t="s">
        <v>124</v>
      </c>
      <c r="S2919" t="b">
        <v>0</v>
      </c>
      <c r="T2919" t="s">
        <v>124</v>
      </c>
    </row>
    <row r="2920">
      <c r="A2920" t="s">
        <v>5364</v>
      </c>
      <c r="B2920" t="s">
        <v>5362</v>
      </c>
      <c r="C2920" s="2">
        <v>2022</v>
      </c>
      <c r="D2920" s="10">
        <v>6</v>
      </c>
      <c r="E2920" s="10">
        <v>28</v>
      </c>
      <c r="F2920" t="s">
        <v>437</v>
      </c>
      <c r="G2920">
        <v>10000</v>
      </c>
      <c r="H2920" t="s">
        <v>128</v>
      </c>
      <c r="I2920" t="s">
        <v>136</v>
      </c>
      <c r="J2920" s="10" t="str">
        <f>VLOOKUP(I2920,Categories!A:B,2,FALSE)</f>
        <v>อื่นๆ</v>
      </c>
      <c r="K2920" t="s">
        <v>178</v>
      </c>
      <c r="L2920" s="10" t="str">
        <f>VLOOKUP(K2920,Accounts!A:B,2,FALSE)</f>
        <v>SCB</v>
      </c>
      <c r="M2920" t="s">
        <v>2317</v>
      </c>
      <c r="N2920" s="10" t="str">
        <f>VLOOKUP(M2920,Accounts!A:B,2,FALSE)</f>
        <v xml:space="preserve">Marriage account</v>
      </c>
      <c r="O2920" t="s">
        <v>125</v>
      </c>
      <c r="Q2920" t="s">
        <v>126</v>
      </c>
      <c r="R2920" t="s">
        <v>124</v>
      </c>
      <c r="S2920" t="b">
        <v>0</v>
      </c>
      <c r="T2920" t="s">
        <v>124</v>
      </c>
    </row>
    <row r="2921">
      <c r="A2921" t="s">
        <v>5365</v>
      </c>
      <c r="B2921" t="s">
        <v>5366</v>
      </c>
      <c r="C2921" s="2">
        <v>2022</v>
      </c>
      <c r="D2921" s="10">
        <v>6</v>
      </c>
      <c r="E2921" s="10">
        <v>27</v>
      </c>
      <c r="F2921" t="s">
        <v>121</v>
      </c>
      <c r="G2921">
        <v>2066.4000000000001</v>
      </c>
      <c r="H2921" t="s">
        <v>128</v>
      </c>
      <c r="I2921" t="s">
        <v>136</v>
      </c>
      <c r="J2921" s="10" t="str">
        <f>VLOOKUP(I2921,Categories!A:B,2,FALSE)</f>
        <v>อื่นๆ</v>
      </c>
      <c r="K2921" t="s">
        <v>178</v>
      </c>
      <c r="L2921" s="10" t="str">
        <f>VLOOKUP(K2921,Accounts!A:B,2,FALSE)</f>
        <v>SCB</v>
      </c>
      <c r="M2921" t="s">
        <v>203</v>
      </c>
      <c r="N2921" s="10" t="str">
        <f>VLOOKUP(M2921,Accounts!A:B,2,FALSE)</f>
        <v xml:space="preserve">Provident Fund</v>
      </c>
      <c r="O2921" t="s">
        <v>125</v>
      </c>
      <c r="Q2921" t="s">
        <v>126</v>
      </c>
      <c r="R2921" t="s">
        <v>124</v>
      </c>
      <c r="S2921" t="b">
        <v>0</v>
      </c>
      <c r="T2921" t="s">
        <v>124</v>
      </c>
    </row>
    <row r="2922">
      <c r="A2922" t="s">
        <v>5367</v>
      </c>
      <c r="B2922" t="s">
        <v>5366</v>
      </c>
      <c r="C2922" s="2">
        <v>2022</v>
      </c>
      <c r="D2922" s="10">
        <v>6</v>
      </c>
      <c r="E2922" s="10">
        <v>27</v>
      </c>
      <c r="F2922" t="s">
        <v>121</v>
      </c>
      <c r="G2922">
        <v>9240</v>
      </c>
      <c r="H2922" t="s">
        <v>128</v>
      </c>
      <c r="I2922" t="s">
        <v>136</v>
      </c>
      <c r="J2922" s="10" t="str">
        <f>VLOOKUP(I2922,Categories!A:B,2,FALSE)</f>
        <v>อื่นๆ</v>
      </c>
      <c r="K2922" t="s">
        <v>178</v>
      </c>
      <c r="L2922" s="10" t="str">
        <f>VLOOKUP(K2922,Accounts!A:B,2,FALSE)</f>
        <v>SCB</v>
      </c>
      <c r="M2922" t="s">
        <v>1246</v>
      </c>
      <c r="N2922" s="10" t="str">
        <f>VLOOKUP(M2922,Accounts!A:B,2,FALSE)</f>
        <v xml:space="preserve">Car Loan</v>
      </c>
      <c r="O2922" t="s">
        <v>125</v>
      </c>
      <c r="Q2922" t="s">
        <v>126</v>
      </c>
      <c r="R2922" t="s">
        <v>124</v>
      </c>
      <c r="S2922" t="b">
        <v>0</v>
      </c>
      <c r="T2922" t="s">
        <v>124</v>
      </c>
    </row>
    <row r="2923">
      <c r="A2923" t="s">
        <v>5368</v>
      </c>
      <c r="B2923" t="s">
        <v>5366</v>
      </c>
      <c r="C2923" s="2">
        <v>2022</v>
      </c>
      <c r="D2923" s="10">
        <v>6</v>
      </c>
      <c r="E2923" s="10">
        <v>27</v>
      </c>
      <c r="F2923" t="s">
        <v>121</v>
      </c>
      <c r="G2923">
        <v>7290</v>
      </c>
      <c r="H2923" t="s">
        <v>128</v>
      </c>
      <c r="I2923" t="s">
        <v>136</v>
      </c>
      <c r="J2923" s="10" t="str">
        <f>VLOOKUP(I2923,Categories!A:B,2,FALSE)</f>
        <v>อื่นๆ</v>
      </c>
      <c r="K2923" t="s">
        <v>178</v>
      </c>
      <c r="L2923" s="10" t="str">
        <f>VLOOKUP(K2923,Accounts!A:B,2,FALSE)</f>
        <v>SCB</v>
      </c>
      <c r="M2923" t="s">
        <v>1244</v>
      </c>
      <c r="N2923" s="10" t="str">
        <f>VLOOKUP(M2923,Accounts!A:B,2,FALSE)</f>
        <v xml:space="preserve">Home chomthong Loan</v>
      </c>
      <c r="O2923" t="s">
        <v>125</v>
      </c>
      <c r="Q2923" t="s">
        <v>126</v>
      </c>
      <c r="R2923" t="s">
        <v>124</v>
      </c>
      <c r="S2923" t="b">
        <v>0</v>
      </c>
      <c r="T2923" t="s">
        <v>124</v>
      </c>
    </row>
    <row r="2924">
      <c r="A2924" t="s">
        <v>5369</v>
      </c>
      <c r="B2924" t="s">
        <v>5366</v>
      </c>
      <c r="C2924" s="2">
        <v>2022</v>
      </c>
      <c r="D2924" s="10">
        <v>6</v>
      </c>
      <c r="E2924" s="10">
        <v>27</v>
      </c>
      <c r="F2924" t="s">
        <v>121</v>
      </c>
      <c r="G2924">
        <v>500</v>
      </c>
      <c r="H2924" t="s">
        <v>128</v>
      </c>
      <c r="I2924" t="s">
        <v>136</v>
      </c>
      <c r="J2924" s="10" t="str">
        <f>VLOOKUP(I2924,Categories!A:B,2,FALSE)</f>
        <v>อื่นๆ</v>
      </c>
      <c r="K2924" t="s">
        <v>178</v>
      </c>
      <c r="L2924" s="10" t="str">
        <f>VLOOKUP(K2924,Accounts!A:B,2,FALSE)</f>
        <v>SCB</v>
      </c>
      <c r="M2924" t="s">
        <v>201</v>
      </c>
      <c r="N2924" s="10" t="str">
        <f>VLOOKUP(M2924,Accounts!A:B,2,FALSE)</f>
        <v>Coop</v>
      </c>
      <c r="O2924" t="s">
        <v>125</v>
      </c>
      <c r="Q2924" t="s">
        <v>126</v>
      </c>
      <c r="R2924" t="s">
        <v>124</v>
      </c>
      <c r="S2924" t="b">
        <v>0</v>
      </c>
      <c r="T2924" t="s">
        <v>124</v>
      </c>
    </row>
    <row r="2925">
      <c r="A2925" t="s">
        <v>5370</v>
      </c>
      <c r="B2925" t="s">
        <v>5366</v>
      </c>
      <c r="C2925" s="2">
        <v>2022</v>
      </c>
      <c r="D2925" s="10">
        <v>6</v>
      </c>
      <c r="E2925" s="10">
        <v>27</v>
      </c>
      <c r="F2925" t="s">
        <v>121</v>
      </c>
      <c r="G2925">
        <v>668.09000000000003</v>
      </c>
      <c r="H2925" t="s">
        <v>69</v>
      </c>
      <c r="I2925" t="s">
        <v>199</v>
      </c>
      <c r="J2925" s="10" t="str">
        <f>VLOOKUP(I2925,Categories!A:B,2,FALSE)</f>
        <v xml:space="preserve">Home Chomthong Interest</v>
      </c>
      <c r="K2925" t="s">
        <v>178</v>
      </c>
      <c r="L2925" s="10" t="str">
        <f>VLOOKUP(K2925,Accounts!A:B,2,FALSE)</f>
        <v>SCB</v>
      </c>
      <c r="M2925" t="s">
        <v>124</v>
      </c>
      <c r="N2925" s="10"/>
      <c r="O2925" t="s">
        <v>125</v>
      </c>
      <c r="Q2925" t="s">
        <v>126</v>
      </c>
      <c r="R2925" t="s">
        <v>124</v>
      </c>
      <c r="S2925" t="b">
        <v>0</v>
      </c>
      <c r="T2925" t="s">
        <v>124</v>
      </c>
    </row>
    <row r="2926">
      <c r="A2926" t="s">
        <v>5371</v>
      </c>
      <c r="B2926" t="s">
        <v>5366</v>
      </c>
      <c r="C2926" s="2">
        <v>2022</v>
      </c>
      <c r="D2926" s="10">
        <v>6</v>
      </c>
      <c r="E2926" s="10">
        <v>27</v>
      </c>
      <c r="F2926" t="s">
        <v>121</v>
      </c>
      <c r="G2926">
        <v>128.22999999999999</v>
      </c>
      <c r="H2926" t="s">
        <v>69</v>
      </c>
      <c r="I2926" t="s">
        <v>443</v>
      </c>
      <c r="J2926" s="10" t="str">
        <f>VLOOKUP(I2926,Categories!A:B,2,FALSE)</f>
        <v xml:space="preserve">City SV Interest</v>
      </c>
      <c r="K2926" t="s">
        <v>178</v>
      </c>
      <c r="L2926" s="10" t="str">
        <f>VLOOKUP(K2926,Accounts!A:B,2,FALSE)</f>
        <v>SCB</v>
      </c>
      <c r="M2926" t="s">
        <v>124</v>
      </c>
      <c r="N2926" s="10"/>
      <c r="O2926" t="s">
        <v>125</v>
      </c>
      <c r="Q2926" t="s">
        <v>126</v>
      </c>
      <c r="R2926" t="s">
        <v>124</v>
      </c>
      <c r="S2926" t="b">
        <v>0</v>
      </c>
      <c r="T2926" t="s">
        <v>124</v>
      </c>
    </row>
    <row r="2927">
      <c r="A2927" t="s">
        <v>5372</v>
      </c>
      <c r="B2927" t="s">
        <v>5366</v>
      </c>
      <c r="C2927" s="2">
        <v>2022</v>
      </c>
      <c r="D2927" s="10">
        <v>6</v>
      </c>
      <c r="E2927" s="10">
        <v>27</v>
      </c>
      <c r="F2927" t="s">
        <v>121</v>
      </c>
      <c r="G2927">
        <v>103320</v>
      </c>
      <c r="H2927" t="s">
        <v>206</v>
      </c>
      <c r="I2927" t="s">
        <v>207</v>
      </c>
      <c r="J2927" s="10" t="str">
        <f>VLOOKUP(I2927,Categories!A:B,2,FALSE)</f>
        <v>Salary</v>
      </c>
      <c r="K2927" t="s">
        <v>178</v>
      </c>
      <c r="L2927" s="10" t="str">
        <f>VLOOKUP(K2927,Accounts!A:B,2,FALSE)</f>
        <v>SCB</v>
      </c>
      <c r="M2927" t="s">
        <v>124</v>
      </c>
      <c r="N2927" s="10"/>
      <c r="O2927" t="s">
        <v>125</v>
      </c>
      <c r="Q2927" t="s">
        <v>126</v>
      </c>
      <c r="R2927" t="s">
        <v>124</v>
      </c>
      <c r="S2927" t="b">
        <v>0</v>
      </c>
      <c r="T2927" t="s">
        <v>124</v>
      </c>
    </row>
    <row r="2928">
      <c r="A2928" t="s">
        <v>5373</v>
      </c>
      <c r="B2928" t="s">
        <v>5366</v>
      </c>
      <c r="C2928" s="2">
        <v>2022</v>
      </c>
      <c r="D2928" s="10">
        <v>6</v>
      </c>
      <c r="E2928" s="10">
        <v>27</v>
      </c>
      <c r="F2928" t="s">
        <v>121</v>
      </c>
      <c r="G2928">
        <v>51660</v>
      </c>
      <c r="H2928" t="s">
        <v>206</v>
      </c>
      <c r="I2928" t="s">
        <v>281</v>
      </c>
      <c r="J2928" s="10" t="str">
        <f>VLOOKUP(I2928,Categories!A:B,2,FALSE)</f>
        <v>Others</v>
      </c>
      <c r="K2928" t="s">
        <v>178</v>
      </c>
      <c r="L2928" s="10" t="str">
        <f>VLOOKUP(K2928,Accounts!A:B,2,FALSE)</f>
        <v>SCB</v>
      </c>
      <c r="M2928" t="s">
        <v>124</v>
      </c>
      <c r="N2928" s="10"/>
      <c r="O2928" t="s">
        <v>1719</v>
      </c>
      <c r="Q2928" t="s">
        <v>126</v>
      </c>
      <c r="R2928" t="s">
        <v>124</v>
      </c>
      <c r="S2928" t="b">
        <v>0</v>
      </c>
      <c r="T2928" t="s">
        <v>124</v>
      </c>
    </row>
    <row r="2929">
      <c r="A2929" t="s">
        <v>5374</v>
      </c>
      <c r="B2929" t="s">
        <v>5366</v>
      </c>
      <c r="C2929" s="2">
        <v>2022</v>
      </c>
      <c r="D2929" s="10">
        <v>6</v>
      </c>
      <c r="E2929" s="10">
        <v>27</v>
      </c>
      <c r="F2929" t="s">
        <v>121</v>
      </c>
      <c r="G2929">
        <v>50</v>
      </c>
      <c r="H2929" t="s">
        <v>69</v>
      </c>
      <c r="I2929" t="s">
        <v>144</v>
      </c>
      <c r="J2929" s="10" t="str">
        <f>VLOOKUP(I2929,Categories!A:B,2,FALSE)</f>
        <v xml:space="preserve">Family paid</v>
      </c>
      <c r="K2929" t="s">
        <v>178</v>
      </c>
      <c r="L2929" s="10" t="str">
        <f>VLOOKUP(K2929,Accounts!A:B,2,FALSE)</f>
        <v>SCB</v>
      </c>
      <c r="M2929" t="s">
        <v>124</v>
      </c>
      <c r="N2929" s="10"/>
      <c r="O2929" t="s">
        <v>125</v>
      </c>
      <c r="Q2929" t="s">
        <v>126</v>
      </c>
      <c r="R2929" t="s">
        <v>124</v>
      </c>
      <c r="S2929" t="b">
        <v>0</v>
      </c>
      <c r="T2929" t="s">
        <v>124</v>
      </c>
    </row>
    <row r="2930">
      <c r="A2930" t="s">
        <v>5375</v>
      </c>
      <c r="B2930" t="s">
        <v>5366</v>
      </c>
      <c r="C2930" s="2">
        <v>2022</v>
      </c>
      <c r="D2930" s="10">
        <v>6</v>
      </c>
      <c r="E2930" s="10">
        <v>27</v>
      </c>
      <c r="F2930" t="s">
        <v>121</v>
      </c>
      <c r="G2930">
        <v>4062.7199999999998</v>
      </c>
      <c r="H2930" t="s">
        <v>69</v>
      </c>
      <c r="I2930" t="s">
        <v>195</v>
      </c>
      <c r="J2930" s="10" t="str">
        <f>VLOOKUP(I2930,Categories!A:B,2,FALSE)</f>
        <v>Tax</v>
      </c>
      <c r="K2930" t="s">
        <v>178</v>
      </c>
      <c r="L2930" s="10" t="str">
        <f>VLOOKUP(K2930,Accounts!A:B,2,FALSE)</f>
        <v>SCB</v>
      </c>
      <c r="M2930" t="s">
        <v>124</v>
      </c>
      <c r="N2930" s="10"/>
      <c r="O2930" t="s">
        <v>125</v>
      </c>
      <c r="Q2930" t="s">
        <v>126</v>
      </c>
      <c r="R2930" t="s">
        <v>124</v>
      </c>
      <c r="S2930" t="b">
        <v>0</v>
      </c>
      <c r="T2930" t="s">
        <v>124</v>
      </c>
    </row>
    <row r="2931">
      <c r="A2931" t="s">
        <v>5376</v>
      </c>
      <c r="B2931" t="s">
        <v>5366</v>
      </c>
      <c r="C2931" s="2">
        <v>2022</v>
      </c>
      <c r="D2931" s="10">
        <v>6</v>
      </c>
      <c r="E2931" s="10">
        <v>27</v>
      </c>
      <c r="F2931" t="s">
        <v>924</v>
      </c>
      <c r="G2931">
        <v>2000</v>
      </c>
      <c r="H2931" t="s">
        <v>128</v>
      </c>
      <c r="I2931" t="s">
        <v>136</v>
      </c>
      <c r="J2931" s="10" t="str">
        <f>VLOOKUP(I2931,Categories!A:B,2,FALSE)</f>
        <v>อื่นๆ</v>
      </c>
      <c r="K2931" t="s">
        <v>178</v>
      </c>
      <c r="L2931" s="10" t="str">
        <f>VLOOKUP(K2931,Accounts!A:B,2,FALSE)</f>
        <v>SCB</v>
      </c>
      <c r="M2931" t="s">
        <v>425</v>
      </c>
      <c r="N2931" s="10" t="str">
        <f>VLOOKUP(M2931,Accounts!A:B,2,FALSE)</f>
        <v>Cash</v>
      </c>
      <c r="O2931" t="s">
        <v>125</v>
      </c>
      <c r="Q2931" t="s">
        <v>126</v>
      </c>
      <c r="R2931" t="s">
        <v>124</v>
      </c>
      <c r="S2931" t="b">
        <v>0</v>
      </c>
      <c r="T2931" t="s">
        <v>124</v>
      </c>
    </row>
    <row r="2932">
      <c r="A2932" t="s">
        <v>5377</v>
      </c>
      <c r="B2932" t="s">
        <v>5378</v>
      </c>
      <c r="C2932" s="2">
        <v>2022</v>
      </c>
      <c r="D2932" s="10">
        <v>6</v>
      </c>
      <c r="E2932" s="10">
        <v>26</v>
      </c>
      <c r="F2932" t="s">
        <v>1225</v>
      </c>
      <c r="G2932">
        <v>9.3499999999999996</v>
      </c>
      <c r="H2932" t="s">
        <v>69</v>
      </c>
      <c r="I2932" t="s">
        <v>122</v>
      </c>
      <c r="J2932" s="10" t="str">
        <f>VLOOKUP(I2932,Categories!A:B,2,FALSE)</f>
        <v>Other</v>
      </c>
      <c r="K2932" t="s">
        <v>130</v>
      </c>
      <c r="L2932" s="10" t="str">
        <f>VLOOKUP(K2932,Accounts!A:B,2,FALSE)</f>
        <v xml:space="preserve">KTC JCB</v>
      </c>
      <c r="M2932" t="s">
        <v>124</v>
      </c>
      <c r="N2932" s="10"/>
      <c r="O2932" t="s">
        <v>125</v>
      </c>
      <c r="Q2932" t="s">
        <v>126</v>
      </c>
      <c r="R2932" t="s">
        <v>124</v>
      </c>
      <c r="S2932" t="b">
        <v>0</v>
      </c>
      <c r="T2932" t="s">
        <v>124</v>
      </c>
    </row>
    <row r="2933">
      <c r="A2933" t="s">
        <v>5379</v>
      </c>
      <c r="B2933" t="s">
        <v>5378</v>
      </c>
      <c r="C2933" s="2">
        <v>2022</v>
      </c>
      <c r="D2933" s="10">
        <v>6</v>
      </c>
      <c r="E2933" s="10">
        <v>26</v>
      </c>
      <c r="F2933" t="s">
        <v>1214</v>
      </c>
      <c r="G2933">
        <v>11586.41</v>
      </c>
      <c r="H2933" t="s">
        <v>128</v>
      </c>
      <c r="I2933" t="s">
        <v>136</v>
      </c>
      <c r="J2933" s="10" t="str">
        <f>VLOOKUP(I2933,Categories!A:B,2,FALSE)</f>
        <v>อื่นๆ</v>
      </c>
      <c r="K2933" t="s">
        <v>178</v>
      </c>
      <c r="L2933" s="10" t="str">
        <f>VLOOKUP(K2933,Accounts!A:B,2,FALSE)</f>
        <v>SCB</v>
      </c>
      <c r="M2933" t="s">
        <v>130</v>
      </c>
      <c r="N2933" s="10" t="str">
        <f>VLOOKUP(M2933,Accounts!A:B,2,FALSE)</f>
        <v xml:space="preserve">KTC JCB</v>
      </c>
      <c r="O2933" t="s">
        <v>125</v>
      </c>
      <c r="Q2933" t="s">
        <v>126</v>
      </c>
      <c r="R2933" t="s">
        <v>124</v>
      </c>
      <c r="S2933" t="b">
        <v>0</v>
      </c>
      <c r="T2933" t="s">
        <v>124</v>
      </c>
    </row>
    <row r="2934">
      <c r="A2934" t="s">
        <v>5380</v>
      </c>
      <c r="B2934" t="s">
        <v>5378</v>
      </c>
      <c r="C2934" s="2">
        <v>2022</v>
      </c>
      <c r="D2934" s="10">
        <v>6</v>
      </c>
      <c r="E2934" s="10">
        <v>26</v>
      </c>
      <c r="F2934" t="s">
        <v>737</v>
      </c>
      <c r="G2934">
        <v>1295</v>
      </c>
      <c r="H2934" t="s">
        <v>128</v>
      </c>
      <c r="I2934" t="s">
        <v>136</v>
      </c>
      <c r="J2934" s="10" t="str">
        <f>VLOOKUP(I2934,Categories!A:B,2,FALSE)</f>
        <v>อื่นๆ</v>
      </c>
      <c r="K2934" t="s">
        <v>123</v>
      </c>
      <c r="L2934" s="10" t="str">
        <f>VLOOKUP(K2934,Accounts!A:B,2,FALSE)</f>
        <v>KBank</v>
      </c>
      <c r="M2934" t="s">
        <v>2862</v>
      </c>
      <c r="N2934" s="10" t="str">
        <f>VLOOKUP(M2934,Accounts!A:B,2,FALSE)</f>
        <v xml:space="preserve">Kbank onesiam</v>
      </c>
      <c r="O2934" t="s">
        <v>125</v>
      </c>
      <c r="Q2934" t="s">
        <v>126</v>
      </c>
      <c r="R2934" t="s">
        <v>124</v>
      </c>
      <c r="S2934" t="b">
        <v>0</v>
      </c>
      <c r="T2934" t="s">
        <v>124</v>
      </c>
    </row>
    <row r="2935">
      <c r="A2935" t="s">
        <v>5381</v>
      </c>
      <c r="B2935" t="s">
        <v>5378</v>
      </c>
      <c r="C2935" s="2">
        <v>2022</v>
      </c>
      <c r="D2935" s="10">
        <v>6</v>
      </c>
      <c r="E2935" s="10">
        <v>26</v>
      </c>
      <c r="F2935" t="s">
        <v>5382</v>
      </c>
      <c r="G2935">
        <v>459</v>
      </c>
      <c r="H2935" t="s">
        <v>69</v>
      </c>
      <c r="I2935" t="s">
        <v>254</v>
      </c>
      <c r="J2935" s="10" t="str">
        <f>VLOOKUP(I2935,Categories!A:B,2,FALSE)</f>
        <v xml:space="preserve">Modified Bal.</v>
      </c>
      <c r="K2935" t="s">
        <v>893</v>
      </c>
      <c r="L2935" s="10" t="str">
        <f>VLOOKUP(K2935,Accounts!A:B,2,FALSE)</f>
        <v>Shopee</v>
      </c>
      <c r="M2935" t="s">
        <v>124</v>
      </c>
      <c r="N2935" s="10"/>
      <c r="O2935" t="s">
        <v>255</v>
      </c>
      <c r="Q2935" t="s">
        <v>126</v>
      </c>
      <c r="R2935" t="s">
        <v>124</v>
      </c>
      <c r="S2935" t="b">
        <v>0</v>
      </c>
      <c r="T2935" t="s">
        <v>124</v>
      </c>
    </row>
    <row r="2936">
      <c r="A2936" t="s">
        <v>5383</v>
      </c>
      <c r="B2936" t="s">
        <v>5378</v>
      </c>
      <c r="C2936" s="2">
        <v>2022</v>
      </c>
      <c r="D2936" s="10">
        <v>6</v>
      </c>
      <c r="E2936" s="10">
        <v>26</v>
      </c>
      <c r="F2936" t="s">
        <v>1360</v>
      </c>
      <c r="G2936">
        <v>854.92999999999995</v>
      </c>
      <c r="H2936" t="s">
        <v>128</v>
      </c>
      <c r="I2936" t="s">
        <v>136</v>
      </c>
      <c r="J2936" s="10" t="str">
        <f>VLOOKUP(I2936,Categories!A:B,2,FALSE)</f>
        <v>อื่นๆ</v>
      </c>
      <c r="K2936" t="s">
        <v>747</v>
      </c>
      <c r="L2936" s="10" t="str">
        <f>VLOOKUP(K2936,Accounts!A:B,2,FALSE)</f>
        <v xml:space="preserve">UOB world</v>
      </c>
      <c r="M2936" t="s">
        <v>131</v>
      </c>
      <c r="N2936" s="10" t="str">
        <f>VLOOKUP(M2936,Accounts!A:B,2,FALSE)</f>
        <v xml:space="preserve">Advance Paid</v>
      </c>
      <c r="O2936" t="s">
        <v>5384</v>
      </c>
      <c r="Q2936" t="s">
        <v>126</v>
      </c>
      <c r="R2936" t="s">
        <v>124</v>
      </c>
      <c r="S2936" t="b">
        <v>0</v>
      </c>
      <c r="T2936" t="s">
        <v>124</v>
      </c>
    </row>
    <row r="2937">
      <c r="A2937" t="s">
        <v>5385</v>
      </c>
      <c r="B2937" t="s">
        <v>5378</v>
      </c>
      <c r="C2937" s="2">
        <v>2022</v>
      </c>
      <c r="D2937" s="10">
        <v>6</v>
      </c>
      <c r="E2937" s="10">
        <v>26</v>
      </c>
      <c r="F2937" t="s">
        <v>5386</v>
      </c>
      <c r="G2937">
        <v>810.38</v>
      </c>
      <c r="H2937" t="s">
        <v>128</v>
      </c>
      <c r="I2937" t="s">
        <v>136</v>
      </c>
      <c r="J2937" s="10" t="str">
        <f>VLOOKUP(I2937,Categories!A:B,2,FALSE)</f>
        <v>อื่นๆ</v>
      </c>
      <c r="K2937" t="s">
        <v>747</v>
      </c>
      <c r="L2937" s="10" t="str">
        <f>VLOOKUP(K2937,Accounts!A:B,2,FALSE)</f>
        <v xml:space="preserve">UOB world</v>
      </c>
      <c r="M2937" t="s">
        <v>131</v>
      </c>
      <c r="N2937" s="10" t="str">
        <f>VLOOKUP(M2937,Accounts!A:B,2,FALSE)</f>
        <v xml:space="preserve">Advance Paid</v>
      </c>
      <c r="O2937" t="s">
        <v>5387</v>
      </c>
      <c r="Q2937" t="s">
        <v>126</v>
      </c>
      <c r="R2937" t="s">
        <v>124</v>
      </c>
      <c r="S2937" t="b">
        <v>0</v>
      </c>
      <c r="T2937" t="s">
        <v>124</v>
      </c>
    </row>
    <row r="2938">
      <c r="A2938" t="s">
        <v>5388</v>
      </c>
      <c r="B2938" t="s">
        <v>5378</v>
      </c>
      <c r="C2938" s="2">
        <v>2022</v>
      </c>
      <c r="D2938" s="10">
        <v>6</v>
      </c>
      <c r="E2938" s="10">
        <v>26</v>
      </c>
      <c r="F2938" t="s">
        <v>2091</v>
      </c>
      <c r="G2938">
        <v>500</v>
      </c>
      <c r="H2938" t="s">
        <v>69</v>
      </c>
      <c r="I2938" t="s">
        <v>1903</v>
      </c>
      <c r="J2938" s="10" t="str">
        <f>VLOOKUP(I2938,Categories!A:B,2,FALSE)</f>
        <v xml:space="preserve">Monthly subscription</v>
      </c>
      <c r="K2938" t="s">
        <v>131</v>
      </c>
      <c r="L2938" s="10" t="str">
        <f>VLOOKUP(K2938,Accounts!A:B,2,FALSE)</f>
        <v xml:space="preserve">Advance Paid</v>
      </c>
      <c r="M2938" t="s">
        <v>124</v>
      </c>
      <c r="N2938" s="10"/>
      <c r="O2938" t="s">
        <v>125</v>
      </c>
      <c r="Q2938" t="s">
        <v>126</v>
      </c>
      <c r="R2938" t="s">
        <v>124</v>
      </c>
      <c r="S2938" t="b">
        <v>0</v>
      </c>
      <c r="T2938" t="s">
        <v>124</v>
      </c>
    </row>
    <row r="2939">
      <c r="A2939" t="s">
        <v>5389</v>
      </c>
      <c r="B2939" t="s">
        <v>5390</v>
      </c>
      <c r="C2939" s="2">
        <v>2022</v>
      </c>
      <c r="D2939" s="10">
        <v>6</v>
      </c>
      <c r="E2939" s="10">
        <v>25</v>
      </c>
      <c r="F2939" t="s">
        <v>1856</v>
      </c>
      <c r="G2939">
        <v>1290</v>
      </c>
      <c r="H2939" t="s">
        <v>128</v>
      </c>
      <c r="I2939" t="s">
        <v>136</v>
      </c>
      <c r="J2939" s="10" t="str">
        <f>VLOOKUP(I2939,Categories!A:B,2,FALSE)</f>
        <v>อื่นๆ</v>
      </c>
      <c r="K2939" t="s">
        <v>2862</v>
      </c>
      <c r="L2939" s="10" t="str">
        <f>VLOOKUP(K2939,Accounts!A:B,2,FALSE)</f>
        <v xml:space="preserve">Kbank onesiam</v>
      </c>
      <c r="M2939" t="s">
        <v>178</v>
      </c>
      <c r="N2939" s="10" t="str">
        <f>VLOOKUP(M2939,Accounts!A:B,2,FALSE)</f>
        <v>SCB</v>
      </c>
      <c r="O2939" t="s">
        <v>125</v>
      </c>
      <c r="Q2939" t="s">
        <v>126</v>
      </c>
      <c r="R2939" t="s">
        <v>124</v>
      </c>
      <c r="S2939" t="b">
        <v>0</v>
      </c>
      <c r="T2939" t="s">
        <v>124</v>
      </c>
    </row>
    <row r="2940">
      <c r="A2940" t="s">
        <v>5391</v>
      </c>
      <c r="B2940" t="s">
        <v>5390</v>
      </c>
      <c r="C2940" s="2">
        <v>2022</v>
      </c>
      <c r="D2940" s="10">
        <v>6</v>
      </c>
      <c r="E2940" s="10">
        <v>25</v>
      </c>
      <c r="F2940" t="s">
        <v>1931</v>
      </c>
      <c r="G2940">
        <v>893.76999999999998</v>
      </c>
      <c r="H2940" t="s">
        <v>206</v>
      </c>
      <c r="I2940" t="s">
        <v>531</v>
      </c>
      <c r="J2940" s="10" t="str">
        <f>VLOOKUP(I2940,Categories!A:B,2,FALSE)</f>
        <v>Dividends</v>
      </c>
      <c r="K2940" t="s">
        <v>178</v>
      </c>
      <c r="L2940" s="10" t="str">
        <f>VLOOKUP(K2940,Accounts!A:B,2,FALSE)</f>
        <v>SCB</v>
      </c>
      <c r="M2940" t="s">
        <v>124</v>
      </c>
      <c r="N2940" s="10"/>
      <c r="O2940" t="s">
        <v>125</v>
      </c>
      <c r="Q2940" t="s">
        <v>126</v>
      </c>
      <c r="R2940" t="s">
        <v>124</v>
      </c>
      <c r="S2940" t="b">
        <v>0</v>
      </c>
      <c r="T2940" t="s">
        <v>124</v>
      </c>
    </row>
    <row r="2941">
      <c r="A2941" t="s">
        <v>5392</v>
      </c>
      <c r="B2941" t="s">
        <v>5393</v>
      </c>
      <c r="C2941" s="2">
        <v>2022</v>
      </c>
      <c r="D2941" s="10">
        <v>6</v>
      </c>
      <c r="E2941" s="10">
        <v>23</v>
      </c>
      <c r="F2941" t="s">
        <v>2330</v>
      </c>
      <c r="G2941">
        <v>400</v>
      </c>
      <c r="H2941" t="s">
        <v>128</v>
      </c>
      <c r="I2941" t="s">
        <v>136</v>
      </c>
      <c r="J2941" s="10" t="str">
        <f>VLOOKUP(I2941,Categories!A:B,2,FALSE)</f>
        <v>อื่นๆ</v>
      </c>
      <c r="K2941" t="s">
        <v>123</v>
      </c>
      <c r="L2941" s="10" t="str">
        <f>VLOOKUP(K2941,Accounts!A:B,2,FALSE)</f>
        <v>KBank</v>
      </c>
      <c r="M2941" t="s">
        <v>425</v>
      </c>
      <c r="N2941" s="10" t="str">
        <f>VLOOKUP(M2941,Accounts!A:B,2,FALSE)</f>
        <v>Cash</v>
      </c>
      <c r="O2941" t="s">
        <v>125</v>
      </c>
      <c r="Q2941" t="s">
        <v>126</v>
      </c>
      <c r="R2941" t="s">
        <v>124</v>
      </c>
      <c r="S2941" t="b">
        <v>0</v>
      </c>
      <c r="T2941" t="s">
        <v>124</v>
      </c>
    </row>
    <row r="2942">
      <c r="A2942" t="s">
        <v>5394</v>
      </c>
      <c r="B2942" t="s">
        <v>5393</v>
      </c>
      <c r="C2942" s="2">
        <v>2022</v>
      </c>
      <c r="D2942" s="10">
        <v>6</v>
      </c>
      <c r="E2942" s="10">
        <v>23</v>
      </c>
      <c r="F2942" t="s">
        <v>1929</v>
      </c>
      <c r="G2942">
        <v>286.5</v>
      </c>
      <c r="H2942" t="s">
        <v>69</v>
      </c>
      <c r="I2942" t="s">
        <v>144</v>
      </c>
      <c r="J2942" s="10" t="str">
        <f>VLOOKUP(I2942,Categories!A:B,2,FALSE)</f>
        <v xml:space="preserve">Family paid</v>
      </c>
      <c r="K2942" t="s">
        <v>178</v>
      </c>
      <c r="L2942" s="10" t="str">
        <f>VLOOKUP(K2942,Accounts!A:B,2,FALSE)</f>
        <v>SCB</v>
      </c>
      <c r="M2942" t="s">
        <v>124</v>
      </c>
      <c r="N2942" s="10"/>
      <c r="O2942" t="s">
        <v>5395</v>
      </c>
      <c r="Q2942" t="s">
        <v>126</v>
      </c>
      <c r="R2942" t="s">
        <v>124</v>
      </c>
      <c r="S2942" t="b">
        <v>0</v>
      </c>
      <c r="T2942" t="s">
        <v>124</v>
      </c>
    </row>
    <row r="2943">
      <c r="A2943" t="s">
        <v>5396</v>
      </c>
      <c r="B2943" t="s">
        <v>5397</v>
      </c>
      <c r="C2943" s="2">
        <v>2022</v>
      </c>
      <c r="D2943" s="10">
        <v>6</v>
      </c>
      <c r="E2943" s="10">
        <v>22</v>
      </c>
      <c r="F2943" t="s">
        <v>3390</v>
      </c>
      <c r="G2943">
        <v>110</v>
      </c>
      <c r="H2943" t="s">
        <v>69</v>
      </c>
      <c r="I2943" t="s">
        <v>150</v>
      </c>
      <c r="J2943" s="10" t="str">
        <f>VLOOKUP(I2943,Categories!A:B,2,FALSE)</f>
        <v xml:space="preserve">Food &amp; Coff</v>
      </c>
      <c r="K2943" t="s">
        <v>178</v>
      </c>
      <c r="L2943" s="10" t="str">
        <f>VLOOKUP(K2943,Accounts!A:B,2,FALSE)</f>
        <v>SCB</v>
      </c>
      <c r="M2943" t="s">
        <v>124</v>
      </c>
      <c r="N2943" s="10"/>
      <c r="O2943" t="s">
        <v>125</v>
      </c>
      <c r="Q2943" t="s">
        <v>126</v>
      </c>
      <c r="R2943" t="s">
        <v>124</v>
      </c>
      <c r="S2943" t="b">
        <v>0</v>
      </c>
      <c r="T2943" t="s">
        <v>124</v>
      </c>
    </row>
    <row r="2944">
      <c r="A2944" t="s">
        <v>5398</v>
      </c>
      <c r="B2944" t="s">
        <v>5397</v>
      </c>
      <c r="C2944" s="2">
        <v>2022</v>
      </c>
      <c r="D2944" s="10">
        <v>6</v>
      </c>
      <c r="E2944" s="10">
        <v>22</v>
      </c>
      <c r="F2944" t="s">
        <v>499</v>
      </c>
      <c r="G2944">
        <v>2000</v>
      </c>
      <c r="H2944" t="s">
        <v>69</v>
      </c>
      <c r="I2944" t="s">
        <v>259</v>
      </c>
      <c r="J2944" s="10" t="str">
        <f>VLOOKUP(I2944,Categories!A:B,2,FALSE)</f>
        <v xml:space="preserve">Team BOT</v>
      </c>
      <c r="K2944" t="s">
        <v>425</v>
      </c>
      <c r="L2944" s="10" t="str">
        <f>VLOOKUP(K2944,Accounts!A:B,2,FALSE)</f>
        <v>Cash</v>
      </c>
      <c r="M2944" t="s">
        <v>124</v>
      </c>
      <c r="N2944" s="10"/>
      <c r="O2944" t="s">
        <v>5399</v>
      </c>
      <c r="Q2944" t="s">
        <v>126</v>
      </c>
      <c r="R2944" t="s">
        <v>124</v>
      </c>
      <c r="S2944" t="b">
        <v>0</v>
      </c>
      <c r="T2944" t="s">
        <v>124</v>
      </c>
    </row>
    <row r="2945">
      <c r="A2945" t="s">
        <v>5400</v>
      </c>
      <c r="B2945" t="s">
        <v>5397</v>
      </c>
      <c r="C2945" s="2">
        <v>2022</v>
      </c>
      <c r="D2945" s="10">
        <v>6</v>
      </c>
      <c r="E2945" s="10">
        <v>22</v>
      </c>
      <c r="F2945" t="s">
        <v>489</v>
      </c>
      <c r="G2945">
        <v>45</v>
      </c>
      <c r="H2945" t="s">
        <v>69</v>
      </c>
      <c r="I2945" t="s">
        <v>1508</v>
      </c>
      <c r="J2945" s="10" t="str">
        <f>VLOOKUP(I2945,Categories!A:B,2,FALSE)</f>
        <v>Other</v>
      </c>
      <c r="K2945" t="s">
        <v>178</v>
      </c>
      <c r="L2945" s="10" t="str">
        <f>VLOOKUP(K2945,Accounts!A:B,2,FALSE)</f>
        <v>SCB</v>
      </c>
      <c r="M2945" t="s">
        <v>124</v>
      </c>
      <c r="N2945" s="10"/>
      <c r="O2945" t="s">
        <v>125</v>
      </c>
      <c r="Q2945" t="s">
        <v>126</v>
      </c>
      <c r="R2945" t="s">
        <v>124</v>
      </c>
      <c r="S2945" t="b">
        <v>0</v>
      </c>
      <c r="T2945" t="s">
        <v>124</v>
      </c>
    </row>
    <row r="2946">
      <c r="A2946" t="s">
        <v>5401</v>
      </c>
      <c r="B2946" t="s">
        <v>5402</v>
      </c>
      <c r="C2946" s="2">
        <v>2022</v>
      </c>
      <c r="D2946" s="10">
        <v>6</v>
      </c>
      <c r="E2946" s="10">
        <v>21</v>
      </c>
      <c r="F2946" t="s">
        <v>1513</v>
      </c>
      <c r="G2946">
        <v>80</v>
      </c>
      <c r="H2946" t="s">
        <v>69</v>
      </c>
      <c r="I2946" t="s">
        <v>150</v>
      </c>
      <c r="J2946" s="10" t="str">
        <f>VLOOKUP(I2946,Categories!A:B,2,FALSE)</f>
        <v xml:space="preserve">Food &amp; Coff</v>
      </c>
      <c r="K2946" t="s">
        <v>178</v>
      </c>
      <c r="L2946" s="10" t="str">
        <f>VLOOKUP(K2946,Accounts!A:B,2,FALSE)</f>
        <v>SCB</v>
      </c>
      <c r="M2946" t="s">
        <v>124</v>
      </c>
      <c r="N2946" s="10"/>
      <c r="O2946" t="s">
        <v>125</v>
      </c>
      <c r="Q2946" t="s">
        <v>126</v>
      </c>
      <c r="R2946" t="s">
        <v>124</v>
      </c>
      <c r="S2946" t="b">
        <v>0</v>
      </c>
      <c r="T2946" t="s">
        <v>124</v>
      </c>
    </row>
    <row r="2947">
      <c r="A2947" t="s">
        <v>5403</v>
      </c>
      <c r="B2947" t="s">
        <v>5402</v>
      </c>
      <c r="C2947" s="2">
        <v>2022</v>
      </c>
      <c r="D2947" s="10">
        <v>6</v>
      </c>
      <c r="E2947" s="10">
        <v>21</v>
      </c>
      <c r="F2947" t="s">
        <v>4093</v>
      </c>
      <c r="G2947">
        <v>3000</v>
      </c>
      <c r="H2947" t="s">
        <v>128</v>
      </c>
      <c r="I2947" t="s">
        <v>136</v>
      </c>
      <c r="J2947" s="10" t="str">
        <f>VLOOKUP(I2947,Categories!A:B,2,FALSE)</f>
        <v>อื่นๆ</v>
      </c>
      <c r="K2947" t="s">
        <v>425</v>
      </c>
      <c r="L2947" s="10" t="str">
        <f>VLOOKUP(K2947,Accounts!A:B,2,FALSE)</f>
        <v>Cash</v>
      </c>
      <c r="M2947" t="s">
        <v>178</v>
      </c>
      <c r="N2947" s="10" t="str">
        <f>VLOOKUP(M2947,Accounts!A:B,2,FALSE)</f>
        <v>SCB</v>
      </c>
      <c r="O2947" t="s">
        <v>125</v>
      </c>
      <c r="Q2947" t="s">
        <v>126</v>
      </c>
      <c r="R2947" t="s">
        <v>124</v>
      </c>
      <c r="S2947" t="b">
        <v>0</v>
      </c>
      <c r="T2947" t="s">
        <v>124</v>
      </c>
    </row>
    <row r="2948">
      <c r="A2948" t="s">
        <v>5404</v>
      </c>
      <c r="B2948" t="s">
        <v>5405</v>
      </c>
      <c r="C2948" s="2">
        <v>2022</v>
      </c>
      <c r="D2948" s="10">
        <v>6</v>
      </c>
      <c r="E2948" s="10">
        <v>20</v>
      </c>
      <c r="F2948" t="s">
        <v>2705</v>
      </c>
      <c r="G2948">
        <v>150</v>
      </c>
      <c r="H2948" t="s">
        <v>69</v>
      </c>
      <c r="I2948" t="s">
        <v>150</v>
      </c>
      <c r="J2948" s="10" t="str">
        <f>VLOOKUP(I2948,Categories!A:B,2,FALSE)</f>
        <v xml:space="preserve">Food &amp; Coff</v>
      </c>
      <c r="K2948" t="s">
        <v>123</v>
      </c>
      <c r="L2948" s="10" t="str">
        <f>VLOOKUP(K2948,Accounts!A:B,2,FALSE)</f>
        <v>KBank</v>
      </c>
      <c r="M2948" t="s">
        <v>124</v>
      </c>
      <c r="N2948" s="10"/>
      <c r="O2948" t="s">
        <v>125</v>
      </c>
      <c r="Q2948" t="s">
        <v>126</v>
      </c>
      <c r="R2948" t="s">
        <v>124</v>
      </c>
      <c r="S2948" t="b">
        <v>0</v>
      </c>
      <c r="T2948" t="s">
        <v>124</v>
      </c>
    </row>
    <row r="2949">
      <c r="A2949" t="s">
        <v>5406</v>
      </c>
      <c r="B2949" t="s">
        <v>5407</v>
      </c>
      <c r="C2949" s="2">
        <v>2022</v>
      </c>
      <c r="D2949" s="10">
        <v>6</v>
      </c>
      <c r="E2949" s="10">
        <v>19</v>
      </c>
      <c r="F2949" t="s">
        <v>5386</v>
      </c>
      <c r="G2949">
        <v>439.97000000000003</v>
      </c>
      <c r="H2949" t="s">
        <v>128</v>
      </c>
      <c r="I2949" t="s">
        <v>136</v>
      </c>
      <c r="J2949" s="10" t="str">
        <f>VLOOKUP(I2949,Categories!A:B,2,FALSE)</f>
        <v>อื่นๆ</v>
      </c>
      <c r="K2949" t="s">
        <v>747</v>
      </c>
      <c r="L2949" s="10" t="str">
        <f>VLOOKUP(K2949,Accounts!A:B,2,FALSE)</f>
        <v xml:space="preserve">UOB world</v>
      </c>
      <c r="M2949" t="s">
        <v>131</v>
      </c>
      <c r="N2949" s="10" t="str">
        <f>VLOOKUP(M2949,Accounts!A:B,2,FALSE)</f>
        <v xml:space="preserve">Advance Paid</v>
      </c>
      <c r="O2949" t="s">
        <v>125</v>
      </c>
      <c r="Q2949" t="s">
        <v>126</v>
      </c>
      <c r="R2949" t="s">
        <v>124</v>
      </c>
      <c r="S2949" t="b">
        <v>0</v>
      </c>
      <c r="T2949" t="s">
        <v>124</v>
      </c>
    </row>
    <row r="2950">
      <c r="A2950" t="s">
        <v>5408</v>
      </c>
      <c r="B2950" t="s">
        <v>5409</v>
      </c>
      <c r="C2950" s="2">
        <v>2022</v>
      </c>
      <c r="D2950" s="10">
        <v>6</v>
      </c>
      <c r="E2950" s="10">
        <v>18</v>
      </c>
      <c r="F2950" t="s">
        <v>224</v>
      </c>
      <c r="G2950">
        <v>5000</v>
      </c>
      <c r="H2950" t="s">
        <v>128</v>
      </c>
      <c r="I2950" t="s">
        <v>136</v>
      </c>
      <c r="J2950" s="10" t="str">
        <f>VLOOKUP(I2950,Categories!A:B,2,FALSE)</f>
        <v>อื่นๆ</v>
      </c>
      <c r="K2950" t="s">
        <v>178</v>
      </c>
      <c r="L2950" s="10" t="str">
        <f>VLOOKUP(K2950,Accounts!A:B,2,FALSE)</f>
        <v>SCB</v>
      </c>
      <c r="M2950" t="s">
        <v>425</v>
      </c>
      <c r="N2950" s="10" t="str">
        <f>VLOOKUP(M2950,Accounts!A:B,2,FALSE)</f>
        <v>Cash</v>
      </c>
      <c r="O2950" t="s">
        <v>125</v>
      </c>
      <c r="Q2950" t="s">
        <v>126</v>
      </c>
      <c r="R2950" t="s">
        <v>124</v>
      </c>
      <c r="S2950" t="b">
        <v>0</v>
      </c>
      <c r="T2950" t="s">
        <v>124</v>
      </c>
    </row>
    <row r="2951">
      <c r="A2951" t="s">
        <v>5410</v>
      </c>
      <c r="B2951" t="s">
        <v>5409</v>
      </c>
      <c r="C2951" s="2">
        <v>2022</v>
      </c>
      <c r="D2951" s="10">
        <v>6</v>
      </c>
      <c r="E2951" s="10">
        <v>18</v>
      </c>
      <c r="F2951" t="s">
        <v>1132</v>
      </c>
      <c r="G2951">
        <v>55</v>
      </c>
      <c r="H2951" t="s">
        <v>69</v>
      </c>
      <c r="I2951" t="s">
        <v>150</v>
      </c>
      <c r="J2951" s="10" t="str">
        <f>VLOOKUP(I2951,Categories!A:B,2,FALSE)</f>
        <v xml:space="preserve">Food &amp; Coff</v>
      </c>
      <c r="K2951" t="s">
        <v>178</v>
      </c>
      <c r="L2951" s="10" t="str">
        <f>VLOOKUP(K2951,Accounts!A:B,2,FALSE)</f>
        <v>SCB</v>
      </c>
      <c r="M2951" t="s">
        <v>124</v>
      </c>
      <c r="N2951" s="10"/>
      <c r="O2951" t="s">
        <v>125</v>
      </c>
      <c r="Q2951" t="s">
        <v>126</v>
      </c>
      <c r="R2951" t="s">
        <v>124</v>
      </c>
      <c r="S2951" t="b">
        <v>0</v>
      </c>
      <c r="T2951" t="s">
        <v>124</v>
      </c>
    </row>
    <row r="2952">
      <c r="A2952" t="s">
        <v>5411</v>
      </c>
      <c r="B2952" t="s">
        <v>5412</v>
      </c>
      <c r="C2952" s="2">
        <v>2022</v>
      </c>
      <c r="D2952" s="10">
        <v>6</v>
      </c>
      <c r="E2952" s="10">
        <v>17</v>
      </c>
      <c r="F2952" t="s">
        <v>2914</v>
      </c>
      <c r="G2952">
        <v>1000</v>
      </c>
      <c r="H2952" t="s">
        <v>128</v>
      </c>
      <c r="I2952" t="s">
        <v>136</v>
      </c>
      <c r="J2952" s="10" t="str">
        <f>VLOOKUP(I2952,Categories!A:B,2,FALSE)</f>
        <v>อื่นๆ</v>
      </c>
      <c r="K2952" t="s">
        <v>131</v>
      </c>
      <c r="L2952" s="10" t="str">
        <f>VLOOKUP(K2952,Accounts!A:B,2,FALSE)</f>
        <v xml:space="preserve">Advance Paid</v>
      </c>
      <c r="M2952" t="s">
        <v>178</v>
      </c>
      <c r="N2952" s="10" t="str">
        <f>VLOOKUP(M2952,Accounts!A:B,2,FALSE)</f>
        <v>SCB</v>
      </c>
      <c r="O2952" t="s">
        <v>5413</v>
      </c>
      <c r="Q2952" t="s">
        <v>126</v>
      </c>
      <c r="R2952" t="s">
        <v>124</v>
      </c>
      <c r="S2952" t="b">
        <v>0</v>
      </c>
      <c r="T2952" t="s">
        <v>124</v>
      </c>
    </row>
    <row r="2953">
      <c r="A2953" t="s">
        <v>5414</v>
      </c>
      <c r="B2953" t="s">
        <v>5412</v>
      </c>
      <c r="C2953" s="2">
        <v>2022</v>
      </c>
      <c r="D2953" s="10">
        <v>6</v>
      </c>
      <c r="E2953" s="10">
        <v>17</v>
      </c>
      <c r="F2953" t="s">
        <v>2705</v>
      </c>
      <c r="G2953">
        <v>695.17999999999995</v>
      </c>
      <c r="H2953" t="s">
        <v>206</v>
      </c>
      <c r="I2953" t="s">
        <v>531</v>
      </c>
      <c r="J2953" s="10" t="str">
        <f>VLOOKUP(I2953,Categories!A:B,2,FALSE)</f>
        <v>Dividends</v>
      </c>
      <c r="K2953" t="s">
        <v>123</v>
      </c>
      <c r="L2953" s="10" t="str">
        <f>VLOOKUP(K2953,Accounts!A:B,2,FALSE)</f>
        <v>KBank</v>
      </c>
      <c r="M2953" t="s">
        <v>124</v>
      </c>
      <c r="N2953" s="10"/>
      <c r="O2953" t="s">
        <v>125</v>
      </c>
      <c r="Q2953" t="s">
        <v>126</v>
      </c>
      <c r="R2953" t="s">
        <v>124</v>
      </c>
      <c r="S2953" t="b">
        <v>0</v>
      </c>
      <c r="T2953" t="s">
        <v>124</v>
      </c>
    </row>
    <row r="2954">
      <c r="A2954" t="s">
        <v>5415</v>
      </c>
      <c r="B2954" t="s">
        <v>5412</v>
      </c>
      <c r="C2954" s="2">
        <v>2022</v>
      </c>
      <c r="D2954" s="10">
        <v>6</v>
      </c>
      <c r="E2954" s="10">
        <v>17</v>
      </c>
      <c r="F2954" t="s">
        <v>1396</v>
      </c>
      <c r="G2954">
        <v>400</v>
      </c>
      <c r="H2954" t="s">
        <v>128</v>
      </c>
      <c r="I2954" t="s">
        <v>136</v>
      </c>
      <c r="J2954" s="10" t="str">
        <f>VLOOKUP(I2954,Categories!A:B,2,FALSE)</f>
        <v>อื่นๆ</v>
      </c>
      <c r="K2954" t="s">
        <v>766</v>
      </c>
      <c r="L2954" s="10" t="str">
        <f>VLOOKUP(K2954,Accounts!A:B,2,FALSE)</f>
        <v>KRUNGSRI</v>
      </c>
      <c r="M2954" t="s">
        <v>425</v>
      </c>
      <c r="N2954" s="10" t="str">
        <f>VLOOKUP(M2954,Accounts!A:B,2,FALSE)</f>
        <v>Cash</v>
      </c>
      <c r="O2954" t="s">
        <v>125</v>
      </c>
      <c r="Q2954" t="s">
        <v>126</v>
      </c>
      <c r="R2954" t="s">
        <v>124</v>
      </c>
      <c r="S2954" t="b">
        <v>0</v>
      </c>
      <c r="T2954" t="s">
        <v>124</v>
      </c>
    </row>
    <row r="2955">
      <c r="A2955" t="s">
        <v>5416</v>
      </c>
      <c r="B2955" t="s">
        <v>5417</v>
      </c>
      <c r="C2955" s="2">
        <v>2022</v>
      </c>
      <c r="D2955" s="10">
        <v>6</v>
      </c>
      <c r="E2955" s="10">
        <v>16</v>
      </c>
      <c r="F2955" t="s">
        <v>3620</v>
      </c>
      <c r="G2955">
        <v>182</v>
      </c>
      <c r="H2955" t="s">
        <v>69</v>
      </c>
      <c r="I2955" t="s">
        <v>150</v>
      </c>
      <c r="J2955" s="10" t="str">
        <f>VLOOKUP(I2955,Categories!A:B,2,FALSE)</f>
        <v xml:space="preserve">Food &amp; Coff</v>
      </c>
      <c r="K2955" t="s">
        <v>178</v>
      </c>
      <c r="L2955" s="10" t="str">
        <f>VLOOKUP(K2955,Accounts!A:B,2,FALSE)</f>
        <v>SCB</v>
      </c>
      <c r="M2955" t="s">
        <v>124</v>
      </c>
      <c r="N2955" s="10"/>
      <c r="O2955" t="s">
        <v>125</v>
      </c>
      <c r="Q2955" t="s">
        <v>126</v>
      </c>
      <c r="R2955" t="s">
        <v>124</v>
      </c>
      <c r="S2955" t="b">
        <v>0</v>
      </c>
      <c r="T2955" t="s">
        <v>124</v>
      </c>
    </row>
    <row r="2956">
      <c r="A2956" t="s">
        <v>5418</v>
      </c>
      <c r="B2956" t="s">
        <v>5419</v>
      </c>
      <c r="C2956" s="2">
        <v>2022</v>
      </c>
      <c r="D2956" s="10">
        <v>6</v>
      </c>
      <c r="E2956" s="10">
        <v>15</v>
      </c>
      <c r="F2956" t="s">
        <v>798</v>
      </c>
      <c r="G2956">
        <v>250</v>
      </c>
      <c r="H2956" t="s">
        <v>128</v>
      </c>
      <c r="I2956" t="s">
        <v>136</v>
      </c>
      <c r="J2956" s="10" t="str">
        <f>VLOOKUP(I2956,Categories!A:B,2,FALSE)</f>
        <v>อื่นๆ</v>
      </c>
      <c r="K2956" t="s">
        <v>178</v>
      </c>
      <c r="L2956" s="10" t="str">
        <f>VLOOKUP(K2956,Accounts!A:B,2,FALSE)</f>
        <v>SCB</v>
      </c>
      <c r="M2956" t="s">
        <v>131</v>
      </c>
      <c r="N2956" s="10" t="str">
        <f>VLOOKUP(M2956,Accounts!A:B,2,FALSE)</f>
        <v xml:space="preserve">Advance Paid</v>
      </c>
      <c r="O2956" t="s">
        <v>125</v>
      </c>
      <c r="Q2956" t="s">
        <v>126</v>
      </c>
      <c r="R2956" t="s">
        <v>124</v>
      </c>
      <c r="S2956" t="b">
        <v>0</v>
      </c>
      <c r="T2956" t="s">
        <v>124</v>
      </c>
    </row>
    <row r="2957">
      <c r="A2957" t="s">
        <v>5420</v>
      </c>
      <c r="B2957" t="s">
        <v>5419</v>
      </c>
      <c r="C2957" s="2">
        <v>2022</v>
      </c>
      <c r="D2957" s="10">
        <v>6</v>
      </c>
      <c r="E2957" s="10">
        <v>15</v>
      </c>
      <c r="F2957" t="s">
        <v>964</v>
      </c>
      <c r="G2957">
        <v>5250</v>
      </c>
      <c r="H2957" t="s">
        <v>128</v>
      </c>
      <c r="I2957" t="s">
        <v>136</v>
      </c>
      <c r="J2957" s="10" t="str">
        <f>VLOOKUP(I2957,Categories!A:B,2,FALSE)</f>
        <v>อื่นๆ</v>
      </c>
      <c r="K2957" t="s">
        <v>178</v>
      </c>
      <c r="L2957" s="10" t="str">
        <f>VLOOKUP(K2957,Accounts!A:B,2,FALSE)</f>
        <v>SCB</v>
      </c>
      <c r="M2957" t="s">
        <v>131</v>
      </c>
      <c r="N2957" s="10" t="str">
        <f>VLOOKUP(M2957,Accounts!A:B,2,FALSE)</f>
        <v xml:space="preserve">Advance Paid</v>
      </c>
      <c r="O2957" t="s">
        <v>5421</v>
      </c>
      <c r="Q2957" t="s">
        <v>126</v>
      </c>
      <c r="R2957" t="s">
        <v>124</v>
      </c>
      <c r="S2957" t="b">
        <v>0</v>
      </c>
      <c r="T2957" t="s">
        <v>124</v>
      </c>
    </row>
    <row r="2958">
      <c r="A2958" t="s">
        <v>5422</v>
      </c>
      <c r="B2958" t="s">
        <v>5423</v>
      </c>
      <c r="C2958" s="2">
        <v>2022</v>
      </c>
      <c r="D2958" s="10">
        <v>6</v>
      </c>
      <c r="E2958" s="10">
        <v>14</v>
      </c>
      <c r="F2958" t="s">
        <v>121</v>
      </c>
      <c r="G2958">
        <v>419</v>
      </c>
      <c r="H2958" t="s">
        <v>128</v>
      </c>
      <c r="I2958" t="s">
        <v>136</v>
      </c>
      <c r="J2958" s="10" t="str">
        <f>VLOOKUP(I2958,Categories!A:B,2,FALSE)</f>
        <v>อื่นๆ</v>
      </c>
      <c r="K2958" t="s">
        <v>178</v>
      </c>
      <c r="L2958" s="10" t="str">
        <f>VLOOKUP(K2958,Accounts!A:B,2,FALSE)</f>
        <v>SCB</v>
      </c>
      <c r="M2958" t="s">
        <v>747</v>
      </c>
      <c r="N2958" s="10" t="str">
        <f>VLOOKUP(M2958,Accounts!A:B,2,FALSE)</f>
        <v xml:space="preserve">UOB world</v>
      </c>
      <c r="O2958" t="s">
        <v>125</v>
      </c>
      <c r="Q2958" t="s">
        <v>126</v>
      </c>
      <c r="R2958" t="s">
        <v>124</v>
      </c>
      <c r="S2958" t="b">
        <v>0</v>
      </c>
      <c r="T2958" t="s">
        <v>124</v>
      </c>
    </row>
    <row r="2959">
      <c r="A2959" t="s">
        <v>5424</v>
      </c>
      <c r="B2959" t="s">
        <v>5423</v>
      </c>
      <c r="C2959" s="2">
        <v>2022</v>
      </c>
      <c r="D2959" s="10">
        <v>6</v>
      </c>
      <c r="E2959" s="10">
        <v>14</v>
      </c>
      <c r="F2959" t="s">
        <v>121</v>
      </c>
      <c r="G2959">
        <v>419</v>
      </c>
      <c r="H2959" t="s">
        <v>69</v>
      </c>
      <c r="I2959" t="s">
        <v>1903</v>
      </c>
      <c r="J2959" s="10" t="str">
        <f>VLOOKUP(I2959,Categories!A:B,2,FALSE)</f>
        <v xml:space="preserve">Monthly subscription</v>
      </c>
      <c r="K2959" t="s">
        <v>747</v>
      </c>
      <c r="L2959" s="10" t="str">
        <f>VLOOKUP(K2959,Accounts!A:B,2,FALSE)</f>
        <v xml:space="preserve">UOB world</v>
      </c>
      <c r="M2959" t="s">
        <v>124</v>
      </c>
      <c r="N2959" s="10"/>
      <c r="O2959" t="s">
        <v>125</v>
      </c>
      <c r="Q2959" t="s">
        <v>126</v>
      </c>
      <c r="R2959" t="s">
        <v>124</v>
      </c>
      <c r="S2959" t="b">
        <v>0</v>
      </c>
      <c r="T2959" t="s">
        <v>124</v>
      </c>
    </row>
    <row r="2960">
      <c r="A2960" t="s">
        <v>5425</v>
      </c>
      <c r="B2960" t="s">
        <v>5423</v>
      </c>
      <c r="C2960" s="2">
        <v>2022</v>
      </c>
      <c r="D2960" s="10">
        <v>6</v>
      </c>
      <c r="E2960" s="10">
        <v>14</v>
      </c>
      <c r="F2960" t="s">
        <v>5426</v>
      </c>
      <c r="G2960">
        <v>212</v>
      </c>
      <c r="H2960" t="s">
        <v>69</v>
      </c>
      <c r="I2960" t="s">
        <v>150</v>
      </c>
      <c r="J2960" s="10" t="str">
        <f>VLOOKUP(I2960,Categories!A:B,2,FALSE)</f>
        <v xml:space="preserve">Food &amp; Coff</v>
      </c>
      <c r="K2960" t="s">
        <v>178</v>
      </c>
      <c r="L2960" s="10" t="str">
        <f>VLOOKUP(K2960,Accounts!A:B,2,FALSE)</f>
        <v>SCB</v>
      </c>
      <c r="M2960" t="s">
        <v>124</v>
      </c>
      <c r="N2960" s="10"/>
      <c r="O2960" t="s">
        <v>5427</v>
      </c>
      <c r="Q2960" t="s">
        <v>126</v>
      </c>
      <c r="R2960" t="s">
        <v>124</v>
      </c>
      <c r="S2960" t="b">
        <v>0</v>
      </c>
      <c r="T2960" t="s">
        <v>124</v>
      </c>
    </row>
    <row r="2961">
      <c r="A2961" t="s">
        <v>5428</v>
      </c>
      <c r="B2961" t="s">
        <v>5423</v>
      </c>
      <c r="C2961" s="2">
        <v>2022</v>
      </c>
      <c r="D2961" s="10">
        <v>6</v>
      </c>
      <c r="E2961" s="10">
        <v>14</v>
      </c>
      <c r="F2961" t="s">
        <v>2703</v>
      </c>
      <c r="G2961">
        <v>180</v>
      </c>
      <c r="H2961" t="s">
        <v>128</v>
      </c>
      <c r="I2961" t="s">
        <v>136</v>
      </c>
      <c r="J2961" s="10" t="str">
        <f>VLOOKUP(I2961,Categories!A:B,2,FALSE)</f>
        <v>อื่นๆ</v>
      </c>
      <c r="K2961" t="s">
        <v>130</v>
      </c>
      <c r="L2961" s="10" t="str">
        <f>VLOOKUP(K2961,Accounts!A:B,2,FALSE)</f>
        <v xml:space="preserve">KTC JCB</v>
      </c>
      <c r="M2961" t="s">
        <v>131</v>
      </c>
      <c r="N2961" s="10" t="str">
        <f>VLOOKUP(M2961,Accounts!A:B,2,FALSE)</f>
        <v xml:space="preserve">Advance Paid</v>
      </c>
      <c r="O2961" t="s">
        <v>125</v>
      </c>
      <c r="Q2961" t="s">
        <v>126</v>
      </c>
      <c r="R2961" t="s">
        <v>124</v>
      </c>
      <c r="S2961" t="b">
        <v>0</v>
      </c>
      <c r="T2961" t="s">
        <v>124</v>
      </c>
    </row>
    <row r="2962">
      <c r="A2962" t="s">
        <v>5429</v>
      </c>
      <c r="B2962" t="s">
        <v>5430</v>
      </c>
      <c r="C2962" s="2">
        <v>2022</v>
      </c>
      <c r="D2962" s="10">
        <v>6</v>
      </c>
      <c r="E2962" s="10">
        <v>12</v>
      </c>
      <c r="F2962" t="s">
        <v>1045</v>
      </c>
      <c r="G2962">
        <v>14</v>
      </c>
      <c r="H2962" t="s">
        <v>69</v>
      </c>
      <c r="I2962" t="s">
        <v>150</v>
      </c>
      <c r="J2962" s="10" t="str">
        <f>VLOOKUP(I2962,Categories!A:B,2,FALSE)</f>
        <v xml:space="preserve">Food &amp; Coff</v>
      </c>
      <c r="K2962" t="s">
        <v>178</v>
      </c>
      <c r="L2962" s="10" t="str">
        <f>VLOOKUP(K2962,Accounts!A:B,2,FALSE)</f>
        <v>SCB</v>
      </c>
      <c r="M2962" t="s">
        <v>124</v>
      </c>
      <c r="N2962" s="10"/>
      <c r="O2962" t="s">
        <v>125</v>
      </c>
      <c r="Q2962" t="s">
        <v>126</v>
      </c>
      <c r="R2962" t="s">
        <v>124</v>
      </c>
      <c r="S2962" t="b">
        <v>0</v>
      </c>
      <c r="T2962" t="s">
        <v>124</v>
      </c>
    </row>
    <row r="2963">
      <c r="A2963" t="s">
        <v>5431</v>
      </c>
      <c r="B2963" t="s">
        <v>5430</v>
      </c>
      <c r="C2963" s="2">
        <v>2022</v>
      </c>
      <c r="D2963" s="10">
        <v>6</v>
      </c>
      <c r="E2963" s="10">
        <v>12</v>
      </c>
      <c r="F2963" t="s">
        <v>1898</v>
      </c>
      <c r="G2963">
        <v>1048</v>
      </c>
      <c r="H2963" t="s">
        <v>128</v>
      </c>
      <c r="I2963" t="s">
        <v>136</v>
      </c>
      <c r="J2963" s="10" t="str">
        <f>VLOOKUP(I2963,Categories!A:B,2,FALSE)</f>
        <v>อื่นๆ</v>
      </c>
      <c r="K2963" t="s">
        <v>130</v>
      </c>
      <c r="L2963" s="10" t="str">
        <f>VLOOKUP(K2963,Accounts!A:B,2,FALSE)</f>
        <v xml:space="preserve">KTC JCB</v>
      </c>
      <c r="M2963" t="s">
        <v>131</v>
      </c>
      <c r="N2963" s="10" t="str">
        <f>VLOOKUP(M2963,Accounts!A:B,2,FALSE)</f>
        <v xml:space="preserve">Advance Paid</v>
      </c>
      <c r="O2963" t="s">
        <v>125</v>
      </c>
      <c r="Q2963" t="s">
        <v>126</v>
      </c>
      <c r="R2963" t="s">
        <v>124</v>
      </c>
      <c r="S2963" t="b">
        <v>0</v>
      </c>
      <c r="T2963" t="s">
        <v>124</v>
      </c>
    </row>
    <row r="2964">
      <c r="A2964" t="s">
        <v>5432</v>
      </c>
      <c r="B2964" t="s">
        <v>5430</v>
      </c>
      <c r="C2964" s="2">
        <v>2022</v>
      </c>
      <c r="D2964" s="10">
        <v>6</v>
      </c>
      <c r="E2964" s="10">
        <v>12</v>
      </c>
      <c r="F2964" t="s">
        <v>1898</v>
      </c>
      <c r="G2964">
        <v>1560</v>
      </c>
      <c r="H2964" t="s">
        <v>69</v>
      </c>
      <c r="I2964" t="s">
        <v>3276</v>
      </c>
      <c r="J2964" s="10" t="str">
        <f>VLOOKUP(I2964,Categories!A:B,2,FALSE)</f>
        <v>Fuel</v>
      </c>
      <c r="K2964" t="s">
        <v>130</v>
      </c>
      <c r="L2964" s="10" t="str">
        <f>VLOOKUP(K2964,Accounts!A:B,2,FALSE)</f>
        <v xml:space="preserve">KTC JCB</v>
      </c>
      <c r="M2964" t="s">
        <v>124</v>
      </c>
      <c r="N2964" s="10"/>
      <c r="O2964" t="s">
        <v>125</v>
      </c>
      <c r="Q2964" t="s">
        <v>126</v>
      </c>
      <c r="R2964" t="s">
        <v>124</v>
      </c>
      <c r="S2964" t="b">
        <v>0</v>
      </c>
      <c r="T2964" t="s">
        <v>124</v>
      </c>
    </row>
    <row r="2965">
      <c r="A2965" t="s">
        <v>5433</v>
      </c>
      <c r="B2965" t="s">
        <v>5430</v>
      </c>
      <c r="C2965" s="2">
        <v>2022</v>
      </c>
      <c r="D2965" s="10">
        <v>6</v>
      </c>
      <c r="E2965" s="10">
        <v>12</v>
      </c>
      <c r="F2965" t="s">
        <v>5434</v>
      </c>
      <c r="G2965">
        <v>1000</v>
      </c>
      <c r="H2965" t="s">
        <v>128</v>
      </c>
      <c r="I2965" t="s">
        <v>136</v>
      </c>
      <c r="J2965" s="10" t="str">
        <f>VLOOKUP(I2965,Categories!A:B,2,FALSE)</f>
        <v>อื่นๆ</v>
      </c>
      <c r="K2965" t="s">
        <v>131</v>
      </c>
      <c r="L2965" s="10" t="str">
        <f>VLOOKUP(K2965,Accounts!A:B,2,FALSE)</f>
        <v xml:space="preserve">Advance Paid</v>
      </c>
      <c r="M2965" t="s">
        <v>425</v>
      </c>
      <c r="N2965" s="10" t="str">
        <f>VLOOKUP(M2965,Accounts!A:B,2,FALSE)</f>
        <v>Cash</v>
      </c>
      <c r="O2965" t="s">
        <v>5435</v>
      </c>
      <c r="Q2965" t="s">
        <v>126</v>
      </c>
      <c r="R2965" t="s">
        <v>124</v>
      </c>
      <c r="S2965" t="b">
        <v>0</v>
      </c>
      <c r="T2965" t="s">
        <v>124</v>
      </c>
    </row>
    <row r="2966">
      <c r="A2966" t="s">
        <v>5436</v>
      </c>
      <c r="B2966" t="s">
        <v>5437</v>
      </c>
      <c r="C2966" s="2">
        <v>2022</v>
      </c>
      <c r="D2966" s="10">
        <v>6</v>
      </c>
      <c r="E2966" s="10">
        <v>11</v>
      </c>
      <c r="F2966" t="s">
        <v>613</v>
      </c>
      <c r="G2966">
        <v>40</v>
      </c>
      <c r="H2966" t="s">
        <v>69</v>
      </c>
      <c r="I2966" t="s">
        <v>150</v>
      </c>
      <c r="J2966" s="10" t="str">
        <f>VLOOKUP(I2966,Categories!A:B,2,FALSE)</f>
        <v xml:space="preserve">Food &amp; Coff</v>
      </c>
      <c r="K2966" t="s">
        <v>178</v>
      </c>
      <c r="L2966" s="10" t="str">
        <f>VLOOKUP(K2966,Accounts!A:B,2,FALSE)</f>
        <v>SCB</v>
      </c>
      <c r="M2966" t="s">
        <v>124</v>
      </c>
      <c r="N2966" s="10"/>
      <c r="O2966" t="s">
        <v>125</v>
      </c>
      <c r="Q2966" t="s">
        <v>126</v>
      </c>
      <c r="R2966" t="s">
        <v>124</v>
      </c>
      <c r="S2966" t="b">
        <v>0</v>
      </c>
      <c r="T2966" t="s">
        <v>124</v>
      </c>
    </row>
    <row r="2967">
      <c r="A2967" t="s">
        <v>5438</v>
      </c>
      <c r="B2967" t="s">
        <v>5437</v>
      </c>
      <c r="C2967" s="2">
        <v>2022</v>
      </c>
      <c r="D2967" s="10">
        <v>6</v>
      </c>
      <c r="E2967" s="10">
        <v>11</v>
      </c>
      <c r="F2967" t="s">
        <v>613</v>
      </c>
      <c r="G2967">
        <v>100</v>
      </c>
      <c r="H2967" t="s">
        <v>69</v>
      </c>
      <c r="I2967" t="s">
        <v>152</v>
      </c>
      <c r="J2967" s="10" t="str">
        <f>VLOOKUP(I2967,Categories!A:B,2,FALSE)</f>
        <v xml:space="preserve">Office Suit</v>
      </c>
      <c r="K2967" t="s">
        <v>178</v>
      </c>
      <c r="L2967" s="10" t="str">
        <f>VLOOKUP(K2967,Accounts!A:B,2,FALSE)</f>
        <v>SCB</v>
      </c>
      <c r="M2967" t="s">
        <v>124</v>
      </c>
      <c r="N2967" s="10"/>
      <c r="O2967" t="s">
        <v>5439</v>
      </c>
      <c r="Q2967" t="s">
        <v>126</v>
      </c>
      <c r="R2967" t="s">
        <v>124</v>
      </c>
      <c r="S2967" t="b">
        <v>0</v>
      </c>
      <c r="T2967" t="s">
        <v>124</v>
      </c>
    </row>
    <row r="2968">
      <c r="A2968" t="s">
        <v>5440</v>
      </c>
      <c r="B2968" t="s">
        <v>5437</v>
      </c>
      <c r="C2968" s="2">
        <v>2022</v>
      </c>
      <c r="D2968" s="10">
        <v>6</v>
      </c>
      <c r="E2968" s="10">
        <v>11</v>
      </c>
      <c r="F2968" t="s">
        <v>280</v>
      </c>
      <c r="G2968">
        <v>5810</v>
      </c>
      <c r="H2968" t="s">
        <v>128</v>
      </c>
      <c r="I2968" t="s">
        <v>136</v>
      </c>
      <c r="J2968" s="10" t="str">
        <f>VLOOKUP(I2968,Categories!A:B,2,FALSE)</f>
        <v>อื่นๆ</v>
      </c>
      <c r="K2968" t="s">
        <v>130</v>
      </c>
      <c r="L2968" s="10" t="str">
        <f>VLOOKUP(K2968,Accounts!A:B,2,FALSE)</f>
        <v xml:space="preserve">KTC JCB</v>
      </c>
      <c r="M2968" t="s">
        <v>131</v>
      </c>
      <c r="N2968" s="10" t="str">
        <f>VLOOKUP(M2968,Accounts!A:B,2,FALSE)</f>
        <v xml:space="preserve">Advance Paid</v>
      </c>
      <c r="O2968" t="s">
        <v>5439</v>
      </c>
      <c r="Q2968" t="s">
        <v>126</v>
      </c>
      <c r="R2968" t="s">
        <v>124</v>
      </c>
      <c r="S2968" t="b">
        <v>0</v>
      </c>
      <c r="T2968" t="s">
        <v>124</v>
      </c>
    </row>
    <row r="2969">
      <c r="A2969" t="s">
        <v>5441</v>
      </c>
      <c r="B2969" t="s">
        <v>5437</v>
      </c>
      <c r="C2969" s="2">
        <v>2022</v>
      </c>
      <c r="D2969" s="10">
        <v>6</v>
      </c>
      <c r="E2969" s="10">
        <v>11</v>
      </c>
      <c r="F2969" t="s">
        <v>2097</v>
      </c>
      <c r="G2969">
        <v>1570.6400000000001</v>
      </c>
      <c r="H2969" t="s">
        <v>128</v>
      </c>
      <c r="I2969" t="s">
        <v>136</v>
      </c>
      <c r="J2969" s="10" t="str">
        <f>VLOOKUP(I2969,Categories!A:B,2,FALSE)</f>
        <v>อื่นๆ</v>
      </c>
      <c r="K2969" t="s">
        <v>213</v>
      </c>
      <c r="L2969" s="10" t="str">
        <f>VLOOKUP(K2969,Accounts!A:B,2,FALSE)</f>
        <v xml:space="preserve">Krungthai Next</v>
      </c>
      <c r="M2969" t="s">
        <v>178</v>
      </c>
      <c r="N2969" s="10" t="str">
        <f>VLOOKUP(M2969,Accounts!A:B,2,FALSE)</f>
        <v>SCB</v>
      </c>
      <c r="O2969" t="s">
        <v>125</v>
      </c>
      <c r="Q2969" t="s">
        <v>126</v>
      </c>
      <c r="R2969" t="s">
        <v>124</v>
      </c>
      <c r="S2969" t="b">
        <v>0</v>
      </c>
      <c r="T2969" t="s">
        <v>124</v>
      </c>
    </row>
    <row r="2970">
      <c r="A2970" t="s">
        <v>5442</v>
      </c>
      <c r="B2970" t="s">
        <v>5437</v>
      </c>
      <c r="C2970" s="2">
        <v>2022</v>
      </c>
      <c r="D2970" s="10">
        <v>6</v>
      </c>
      <c r="E2970" s="10">
        <v>11</v>
      </c>
      <c r="F2970" t="s">
        <v>3888</v>
      </c>
      <c r="G2970">
        <v>461</v>
      </c>
      <c r="H2970" t="s">
        <v>128</v>
      </c>
      <c r="I2970" t="s">
        <v>136</v>
      </c>
      <c r="J2970" s="10" t="str">
        <f>VLOOKUP(I2970,Categories!A:B,2,FALSE)</f>
        <v>อื่นๆ</v>
      </c>
      <c r="K2970" t="s">
        <v>131</v>
      </c>
      <c r="L2970" s="10" t="str">
        <f>VLOOKUP(K2970,Accounts!A:B,2,FALSE)</f>
        <v xml:space="preserve">Advance Paid</v>
      </c>
      <c r="M2970" t="s">
        <v>130</v>
      </c>
      <c r="N2970" s="10" t="str">
        <f>VLOOKUP(M2970,Accounts!A:B,2,FALSE)</f>
        <v xml:space="preserve">KTC JCB</v>
      </c>
      <c r="O2970" t="s">
        <v>125</v>
      </c>
      <c r="Q2970" t="s">
        <v>126</v>
      </c>
      <c r="R2970" t="s">
        <v>124</v>
      </c>
      <c r="S2970" t="b">
        <v>0</v>
      </c>
      <c r="T2970" t="s">
        <v>124</v>
      </c>
    </row>
    <row r="2971">
      <c r="A2971" t="s">
        <v>5443</v>
      </c>
      <c r="B2971" t="s">
        <v>5437</v>
      </c>
      <c r="C2971" s="2">
        <v>2022</v>
      </c>
      <c r="D2971" s="10">
        <v>6</v>
      </c>
      <c r="E2971" s="10">
        <v>11</v>
      </c>
      <c r="F2971" t="s">
        <v>778</v>
      </c>
      <c r="G2971">
        <v>5112.04</v>
      </c>
      <c r="H2971" t="s">
        <v>69</v>
      </c>
      <c r="I2971" t="s">
        <v>134</v>
      </c>
      <c r="J2971" s="10" t="str">
        <f>VLOOKUP(I2971,Categories!A:B,2,FALSE)</f>
        <v>Hong</v>
      </c>
      <c r="K2971" t="s">
        <v>178</v>
      </c>
      <c r="L2971" s="10" t="str">
        <f>VLOOKUP(K2971,Accounts!A:B,2,FALSE)</f>
        <v>SCB</v>
      </c>
      <c r="M2971" t="s">
        <v>124</v>
      </c>
      <c r="N2971" s="10"/>
      <c r="O2971" t="s">
        <v>5444</v>
      </c>
      <c r="Q2971" t="s">
        <v>126</v>
      </c>
      <c r="R2971" t="s">
        <v>124</v>
      </c>
      <c r="S2971" t="b">
        <v>0</v>
      </c>
      <c r="T2971" t="s">
        <v>124</v>
      </c>
    </row>
    <row r="2972">
      <c r="A2972" t="s">
        <v>5445</v>
      </c>
      <c r="B2972" t="s">
        <v>5437</v>
      </c>
      <c r="C2972" s="2">
        <v>2022</v>
      </c>
      <c r="D2972" s="10">
        <v>6</v>
      </c>
      <c r="E2972" s="10">
        <v>11</v>
      </c>
      <c r="F2972" t="s">
        <v>2802</v>
      </c>
      <c r="G2972">
        <v>920</v>
      </c>
      <c r="H2972" t="s">
        <v>128</v>
      </c>
      <c r="I2972" t="s">
        <v>136</v>
      </c>
      <c r="J2972" s="10" t="str">
        <f>VLOOKUP(I2972,Categories!A:B,2,FALSE)</f>
        <v>อื่นๆ</v>
      </c>
      <c r="K2972" t="s">
        <v>131</v>
      </c>
      <c r="L2972" s="10" t="str">
        <f>VLOOKUP(K2972,Accounts!A:B,2,FALSE)</f>
        <v xml:space="preserve">Advance Paid</v>
      </c>
      <c r="M2972" t="s">
        <v>178</v>
      </c>
      <c r="N2972" s="10" t="str">
        <f>VLOOKUP(M2972,Accounts!A:B,2,FALSE)</f>
        <v>SCB</v>
      </c>
      <c r="O2972" t="s">
        <v>125</v>
      </c>
      <c r="Q2972" t="s">
        <v>126</v>
      </c>
      <c r="R2972" t="s">
        <v>124</v>
      </c>
      <c r="S2972" t="b">
        <v>0</v>
      </c>
      <c r="T2972" t="s">
        <v>124</v>
      </c>
    </row>
    <row r="2973">
      <c r="A2973" t="s">
        <v>5446</v>
      </c>
      <c r="B2973" t="s">
        <v>5437</v>
      </c>
      <c r="C2973" s="2">
        <v>2022</v>
      </c>
      <c r="D2973" s="10">
        <v>6</v>
      </c>
      <c r="E2973" s="10">
        <v>11</v>
      </c>
      <c r="F2973" t="s">
        <v>5447</v>
      </c>
      <c r="G2973">
        <v>10336.700000000001</v>
      </c>
      <c r="H2973" t="s">
        <v>128</v>
      </c>
      <c r="I2973" t="s">
        <v>136</v>
      </c>
      <c r="J2973" s="10" t="str">
        <f>VLOOKUP(I2973,Categories!A:B,2,FALSE)</f>
        <v>อื่นๆ</v>
      </c>
      <c r="K2973" t="s">
        <v>178</v>
      </c>
      <c r="L2973" s="10" t="str">
        <f>VLOOKUP(K2973,Accounts!A:B,2,FALSE)</f>
        <v>SCB</v>
      </c>
      <c r="M2973" t="s">
        <v>743</v>
      </c>
      <c r="N2973" s="10" t="str">
        <f>VLOOKUP(M2973,Accounts!A:B,2,FALSE)</f>
        <v>HOMEPRO</v>
      </c>
      <c r="O2973" t="s">
        <v>125</v>
      </c>
      <c r="Q2973" t="s">
        <v>126</v>
      </c>
      <c r="R2973" t="s">
        <v>124</v>
      </c>
      <c r="S2973" t="b">
        <v>0</v>
      </c>
      <c r="T2973" t="s">
        <v>124</v>
      </c>
    </row>
    <row r="2974">
      <c r="A2974" t="s">
        <v>5448</v>
      </c>
      <c r="B2974" t="s">
        <v>5449</v>
      </c>
      <c r="C2974" s="2">
        <v>2022</v>
      </c>
      <c r="D2974" s="10">
        <v>6</v>
      </c>
      <c r="E2974" s="10">
        <v>10</v>
      </c>
      <c r="F2974" t="s">
        <v>3674</v>
      </c>
      <c r="G2974">
        <v>3004.9200000000001</v>
      </c>
      <c r="H2974" t="s">
        <v>69</v>
      </c>
      <c r="I2974" t="s">
        <v>1508</v>
      </c>
      <c r="J2974" s="10" t="str">
        <f>VLOOKUP(I2974,Categories!A:B,2,FALSE)</f>
        <v>Other</v>
      </c>
      <c r="K2974" t="s">
        <v>743</v>
      </c>
      <c r="L2974" s="10" t="str">
        <f>VLOOKUP(K2974,Accounts!A:B,2,FALSE)</f>
        <v>HOMEPRO</v>
      </c>
      <c r="M2974" t="s">
        <v>124</v>
      </c>
      <c r="N2974" s="10"/>
      <c r="O2974" t="s">
        <v>5321</v>
      </c>
      <c r="Q2974" t="s">
        <v>126</v>
      </c>
      <c r="R2974" t="s">
        <v>124</v>
      </c>
      <c r="S2974" t="b">
        <v>0</v>
      </c>
      <c r="T2974" t="s">
        <v>124</v>
      </c>
    </row>
    <row r="2975">
      <c r="A2975" t="s">
        <v>5450</v>
      </c>
      <c r="B2975" t="s">
        <v>5449</v>
      </c>
      <c r="C2975" s="2">
        <v>2022</v>
      </c>
      <c r="D2975" s="10">
        <v>6</v>
      </c>
      <c r="E2975" s="10">
        <v>10</v>
      </c>
      <c r="F2975" t="s">
        <v>5320</v>
      </c>
      <c r="G2975">
        <v>3635.6599999999999</v>
      </c>
      <c r="H2975" t="s">
        <v>69</v>
      </c>
      <c r="I2975" t="s">
        <v>1679</v>
      </c>
      <c r="J2975" s="10" t="str">
        <f>VLOOKUP(I2975,Categories!A:B,2,FALSE)</f>
        <v xml:space="preserve">Condo stuff</v>
      </c>
      <c r="K2975" t="s">
        <v>743</v>
      </c>
      <c r="L2975" s="10" t="str">
        <f>VLOOKUP(K2975,Accounts!A:B,2,FALSE)</f>
        <v>HOMEPRO</v>
      </c>
      <c r="M2975" t="s">
        <v>124</v>
      </c>
      <c r="N2975" s="10"/>
      <c r="O2975" t="s">
        <v>5451</v>
      </c>
      <c r="Q2975" t="s">
        <v>126</v>
      </c>
      <c r="R2975" t="s">
        <v>124</v>
      </c>
      <c r="S2975" t="b">
        <v>0</v>
      </c>
      <c r="T2975" t="s">
        <v>124</v>
      </c>
    </row>
    <row r="2976">
      <c r="A2976" t="s">
        <v>5452</v>
      </c>
      <c r="B2976" t="s">
        <v>5453</v>
      </c>
      <c r="C2976" s="2">
        <v>2022</v>
      </c>
      <c r="D2976" s="10">
        <v>6</v>
      </c>
      <c r="E2976" s="10">
        <v>8</v>
      </c>
      <c r="F2976" t="s">
        <v>3301</v>
      </c>
      <c r="G2976">
        <v>532</v>
      </c>
      <c r="H2976" t="s">
        <v>69</v>
      </c>
      <c r="I2976" t="s">
        <v>259</v>
      </c>
      <c r="J2976" s="10" t="str">
        <f>VLOOKUP(I2976,Categories!A:B,2,FALSE)</f>
        <v xml:space="preserve">Team BOT</v>
      </c>
      <c r="K2976" t="s">
        <v>178</v>
      </c>
      <c r="L2976" s="10" t="str">
        <f>VLOOKUP(K2976,Accounts!A:B,2,FALSE)</f>
        <v>SCB</v>
      </c>
      <c r="M2976" t="s">
        <v>124</v>
      </c>
      <c r="N2976" s="10"/>
      <c r="O2976" t="s">
        <v>5454</v>
      </c>
      <c r="Q2976" t="s">
        <v>126</v>
      </c>
      <c r="R2976" t="s">
        <v>124</v>
      </c>
      <c r="S2976" t="b">
        <v>0</v>
      </c>
      <c r="T2976" t="s">
        <v>124</v>
      </c>
    </row>
    <row r="2977">
      <c r="A2977" t="s">
        <v>5455</v>
      </c>
      <c r="B2977" t="s">
        <v>5453</v>
      </c>
      <c r="C2977" s="2">
        <v>2022</v>
      </c>
      <c r="D2977" s="10">
        <v>6</v>
      </c>
      <c r="E2977" s="10">
        <v>8</v>
      </c>
      <c r="F2977" t="s">
        <v>2097</v>
      </c>
      <c r="G2977">
        <v>2000</v>
      </c>
      <c r="H2977" t="s">
        <v>69</v>
      </c>
      <c r="I2977" t="s">
        <v>259</v>
      </c>
      <c r="J2977" s="10" t="str">
        <f>VLOOKUP(I2977,Categories!A:B,2,FALSE)</f>
        <v xml:space="preserve">Team BOT</v>
      </c>
      <c r="K2977" t="s">
        <v>178</v>
      </c>
      <c r="L2977" s="10" t="str">
        <f>VLOOKUP(K2977,Accounts!A:B,2,FALSE)</f>
        <v>SCB</v>
      </c>
      <c r="M2977" t="s">
        <v>124</v>
      </c>
      <c r="N2977" s="10"/>
      <c r="O2977" t="s">
        <v>5456</v>
      </c>
      <c r="Q2977" t="s">
        <v>126</v>
      </c>
      <c r="R2977" t="s">
        <v>124</v>
      </c>
      <c r="S2977" t="b">
        <v>0</v>
      </c>
      <c r="T2977" t="s">
        <v>124</v>
      </c>
    </row>
    <row r="2978">
      <c r="A2978" t="s">
        <v>5457</v>
      </c>
      <c r="B2978" t="s">
        <v>5458</v>
      </c>
      <c r="C2978" s="2">
        <v>2022</v>
      </c>
      <c r="D2978" s="10">
        <v>6</v>
      </c>
      <c r="E2978" s="10">
        <v>7</v>
      </c>
      <c r="F2978" t="s">
        <v>595</v>
      </c>
      <c r="G2978">
        <v>57</v>
      </c>
      <c r="H2978" t="s">
        <v>69</v>
      </c>
      <c r="I2978" t="s">
        <v>150</v>
      </c>
      <c r="J2978" s="10" t="str">
        <f>VLOOKUP(I2978,Categories!A:B,2,FALSE)</f>
        <v xml:space="preserve">Food &amp; Coff</v>
      </c>
      <c r="K2978" t="s">
        <v>178</v>
      </c>
      <c r="L2978" s="10" t="str">
        <f>VLOOKUP(K2978,Accounts!A:B,2,FALSE)</f>
        <v>SCB</v>
      </c>
      <c r="M2978" t="s">
        <v>124</v>
      </c>
      <c r="N2978" s="10"/>
      <c r="O2978" t="s">
        <v>125</v>
      </c>
      <c r="Q2978" t="s">
        <v>126</v>
      </c>
      <c r="R2978" t="s">
        <v>124</v>
      </c>
      <c r="S2978" t="b">
        <v>0</v>
      </c>
      <c r="T2978" t="s">
        <v>124</v>
      </c>
    </row>
    <row r="2979">
      <c r="A2979" t="s">
        <v>5459</v>
      </c>
      <c r="B2979" t="s">
        <v>5458</v>
      </c>
      <c r="C2979" s="2">
        <v>2022</v>
      </c>
      <c r="D2979" s="10">
        <v>6</v>
      </c>
      <c r="E2979" s="10">
        <v>7</v>
      </c>
      <c r="F2979" t="s">
        <v>2709</v>
      </c>
      <c r="G2979">
        <v>50</v>
      </c>
      <c r="H2979" t="s">
        <v>69</v>
      </c>
      <c r="I2979" t="s">
        <v>150</v>
      </c>
      <c r="J2979" s="10" t="str">
        <f>VLOOKUP(I2979,Categories!A:B,2,FALSE)</f>
        <v xml:space="preserve">Food &amp; Coff</v>
      </c>
      <c r="K2979" t="s">
        <v>178</v>
      </c>
      <c r="L2979" s="10" t="str">
        <f>VLOOKUP(K2979,Accounts!A:B,2,FALSE)</f>
        <v>SCB</v>
      </c>
      <c r="M2979" t="s">
        <v>124</v>
      </c>
      <c r="N2979" s="10"/>
      <c r="O2979" t="s">
        <v>125</v>
      </c>
      <c r="Q2979" t="s">
        <v>126</v>
      </c>
      <c r="R2979" t="s">
        <v>124</v>
      </c>
      <c r="S2979" t="b">
        <v>0</v>
      </c>
      <c r="T2979" t="s">
        <v>124</v>
      </c>
    </row>
    <row r="2980">
      <c r="A2980" t="s">
        <v>5460</v>
      </c>
      <c r="B2980" t="s">
        <v>5461</v>
      </c>
      <c r="C2980" s="2">
        <v>2022</v>
      </c>
      <c r="D2980" s="10">
        <v>6</v>
      </c>
      <c r="E2980" s="10">
        <v>6</v>
      </c>
      <c r="F2980" t="s">
        <v>3653</v>
      </c>
      <c r="G2980">
        <v>225</v>
      </c>
      <c r="H2980" t="s">
        <v>128</v>
      </c>
      <c r="I2980" t="s">
        <v>136</v>
      </c>
      <c r="J2980" s="10" t="str">
        <f>VLOOKUP(I2980,Categories!A:B,2,FALSE)</f>
        <v>อื่นๆ</v>
      </c>
      <c r="K2980" t="s">
        <v>893</v>
      </c>
      <c r="L2980" s="10" t="str">
        <f>VLOOKUP(K2980,Accounts!A:B,2,FALSE)</f>
        <v>Shopee</v>
      </c>
      <c r="M2980" t="s">
        <v>131</v>
      </c>
      <c r="N2980" s="10" t="str">
        <f>VLOOKUP(M2980,Accounts!A:B,2,FALSE)</f>
        <v xml:space="preserve">Advance Paid</v>
      </c>
      <c r="O2980" t="s">
        <v>125</v>
      </c>
      <c r="Q2980" t="s">
        <v>126</v>
      </c>
      <c r="R2980" t="s">
        <v>124</v>
      </c>
      <c r="S2980" t="b">
        <v>0</v>
      </c>
      <c r="T2980" t="s">
        <v>124</v>
      </c>
    </row>
    <row r="2981">
      <c r="A2981" t="s">
        <v>5462</v>
      </c>
      <c r="B2981" t="s">
        <v>5461</v>
      </c>
      <c r="C2981" s="2">
        <v>2022</v>
      </c>
      <c r="D2981" s="10">
        <v>6</v>
      </c>
      <c r="E2981" s="10">
        <v>6</v>
      </c>
      <c r="F2981" t="s">
        <v>2054</v>
      </c>
      <c r="G2981">
        <v>300</v>
      </c>
      <c r="H2981" t="s">
        <v>128</v>
      </c>
      <c r="I2981" t="s">
        <v>136</v>
      </c>
      <c r="J2981" s="10" t="str">
        <f>VLOOKUP(I2981,Categories!A:B,2,FALSE)</f>
        <v>อื่นๆ</v>
      </c>
      <c r="K2981" t="s">
        <v>178</v>
      </c>
      <c r="L2981" s="10" t="str">
        <f>VLOOKUP(K2981,Accounts!A:B,2,FALSE)</f>
        <v>SCB</v>
      </c>
      <c r="M2981" t="s">
        <v>893</v>
      </c>
      <c r="N2981" s="10" t="str">
        <f>VLOOKUP(M2981,Accounts!A:B,2,FALSE)</f>
        <v>Shopee</v>
      </c>
      <c r="O2981" t="s">
        <v>125</v>
      </c>
      <c r="Q2981" t="s">
        <v>126</v>
      </c>
      <c r="R2981" t="s">
        <v>124</v>
      </c>
      <c r="S2981" t="b">
        <v>0</v>
      </c>
      <c r="T2981" t="s">
        <v>124</v>
      </c>
    </row>
    <row r="2982">
      <c r="A2982" t="s">
        <v>5463</v>
      </c>
      <c r="B2982" t="s">
        <v>5464</v>
      </c>
      <c r="C2982" s="2">
        <v>2022</v>
      </c>
      <c r="D2982" s="10">
        <v>6</v>
      </c>
      <c r="E2982" s="10">
        <v>4</v>
      </c>
      <c r="F2982" t="s">
        <v>2195</v>
      </c>
      <c r="G2982">
        <v>3000</v>
      </c>
      <c r="H2982" t="s">
        <v>128</v>
      </c>
      <c r="I2982" t="s">
        <v>136</v>
      </c>
      <c r="J2982" s="10" t="str">
        <f>VLOOKUP(I2982,Categories!A:B,2,FALSE)</f>
        <v>อื่นๆ</v>
      </c>
      <c r="K2982" t="s">
        <v>178</v>
      </c>
      <c r="L2982" s="10" t="str">
        <f>VLOOKUP(K2982,Accounts!A:B,2,FALSE)</f>
        <v>SCB</v>
      </c>
      <c r="M2982" t="s">
        <v>425</v>
      </c>
      <c r="N2982" s="10" t="str">
        <f>VLOOKUP(M2982,Accounts!A:B,2,FALSE)</f>
        <v>Cash</v>
      </c>
      <c r="O2982" t="s">
        <v>125</v>
      </c>
      <c r="Q2982" t="s">
        <v>126</v>
      </c>
      <c r="R2982" t="s">
        <v>124</v>
      </c>
      <c r="S2982" t="b">
        <v>0</v>
      </c>
      <c r="T2982" t="s">
        <v>124</v>
      </c>
    </row>
    <row r="2983">
      <c r="A2983" t="s">
        <v>5465</v>
      </c>
      <c r="B2983" t="s">
        <v>5464</v>
      </c>
      <c r="C2983" s="2">
        <v>2022</v>
      </c>
      <c r="D2983" s="10">
        <v>6</v>
      </c>
      <c r="E2983" s="10">
        <v>4</v>
      </c>
      <c r="F2983" t="s">
        <v>1859</v>
      </c>
      <c r="G2983">
        <v>2800</v>
      </c>
      <c r="H2983" t="s">
        <v>69</v>
      </c>
      <c r="I2983" t="s">
        <v>144</v>
      </c>
      <c r="J2983" s="10" t="str">
        <f>VLOOKUP(I2983,Categories!A:B,2,FALSE)</f>
        <v xml:space="preserve">Family paid</v>
      </c>
      <c r="K2983" t="s">
        <v>425</v>
      </c>
      <c r="L2983" s="10" t="str">
        <f>VLOOKUP(K2983,Accounts!A:B,2,FALSE)</f>
        <v>Cash</v>
      </c>
      <c r="M2983" t="s">
        <v>124</v>
      </c>
      <c r="N2983" s="10"/>
      <c r="O2983" t="s">
        <v>125</v>
      </c>
      <c r="Q2983" t="s">
        <v>126</v>
      </c>
      <c r="R2983" t="s">
        <v>124</v>
      </c>
      <c r="S2983" t="b">
        <v>0</v>
      </c>
      <c r="T2983" t="s">
        <v>124</v>
      </c>
    </row>
    <row r="2984">
      <c r="A2984" t="s">
        <v>5466</v>
      </c>
      <c r="B2984" t="s">
        <v>5467</v>
      </c>
      <c r="C2984" s="2">
        <v>2022</v>
      </c>
      <c r="D2984" s="10">
        <v>6</v>
      </c>
      <c r="E2984" s="10">
        <v>3</v>
      </c>
      <c r="F2984" t="s">
        <v>1730</v>
      </c>
      <c r="G2984">
        <v>5000</v>
      </c>
      <c r="H2984" t="s">
        <v>69</v>
      </c>
      <c r="I2984" t="s">
        <v>144</v>
      </c>
      <c r="J2984" s="10" t="str">
        <f>VLOOKUP(I2984,Categories!A:B,2,FALSE)</f>
        <v xml:space="preserve">Family paid</v>
      </c>
      <c r="K2984" t="s">
        <v>123</v>
      </c>
      <c r="L2984" s="10" t="str">
        <f>VLOOKUP(K2984,Accounts!A:B,2,FALSE)</f>
        <v>KBank</v>
      </c>
      <c r="M2984" t="s">
        <v>124</v>
      </c>
      <c r="N2984" s="10"/>
      <c r="O2984" t="s">
        <v>125</v>
      </c>
      <c r="Q2984" t="s">
        <v>126</v>
      </c>
      <c r="R2984" t="s">
        <v>124</v>
      </c>
      <c r="S2984" t="b">
        <v>0</v>
      </c>
      <c r="T2984" t="s">
        <v>124</v>
      </c>
    </row>
    <row r="2985">
      <c r="A2985" t="s">
        <v>5468</v>
      </c>
      <c r="B2985" t="s">
        <v>5467</v>
      </c>
      <c r="C2985" s="2">
        <v>2022</v>
      </c>
      <c r="D2985" s="10">
        <v>6</v>
      </c>
      <c r="E2985" s="10">
        <v>3</v>
      </c>
      <c r="F2985" t="s">
        <v>1446</v>
      </c>
      <c r="G2985">
        <v>1318</v>
      </c>
      <c r="H2985" t="s">
        <v>128</v>
      </c>
      <c r="I2985" t="s">
        <v>136</v>
      </c>
      <c r="J2985" s="10" t="str">
        <f>VLOOKUP(I2985,Categories!A:B,2,FALSE)</f>
        <v>อื่นๆ</v>
      </c>
      <c r="K2985" t="s">
        <v>130</v>
      </c>
      <c r="L2985" s="10" t="str">
        <f>VLOOKUP(K2985,Accounts!A:B,2,FALSE)</f>
        <v xml:space="preserve">KTC JCB</v>
      </c>
      <c r="M2985" t="s">
        <v>131</v>
      </c>
      <c r="N2985" s="10" t="str">
        <f>VLOOKUP(M2985,Accounts!A:B,2,FALSE)</f>
        <v xml:space="preserve">Advance Paid</v>
      </c>
      <c r="O2985" t="s">
        <v>4235</v>
      </c>
      <c r="Q2985" t="s">
        <v>126</v>
      </c>
      <c r="R2985" t="s">
        <v>124</v>
      </c>
      <c r="S2985" t="b">
        <v>0</v>
      </c>
      <c r="T2985" t="s">
        <v>124</v>
      </c>
    </row>
    <row r="2986">
      <c r="A2986" t="s">
        <v>5469</v>
      </c>
      <c r="B2986" t="s">
        <v>5467</v>
      </c>
      <c r="C2986" s="2">
        <v>2022</v>
      </c>
      <c r="D2986" s="10">
        <v>6</v>
      </c>
      <c r="E2986" s="10">
        <v>3</v>
      </c>
      <c r="F2986" t="s">
        <v>3305</v>
      </c>
      <c r="G2986">
        <v>461</v>
      </c>
      <c r="H2986" t="s">
        <v>128</v>
      </c>
      <c r="I2986" t="s">
        <v>136</v>
      </c>
      <c r="J2986" s="10" t="str">
        <f>VLOOKUP(I2986,Categories!A:B,2,FALSE)</f>
        <v>อื่นๆ</v>
      </c>
      <c r="K2986" t="s">
        <v>130</v>
      </c>
      <c r="L2986" s="10" t="str">
        <f>VLOOKUP(K2986,Accounts!A:B,2,FALSE)</f>
        <v xml:space="preserve">KTC JCB</v>
      </c>
      <c r="M2986" t="s">
        <v>131</v>
      </c>
      <c r="N2986" s="10" t="str">
        <f>VLOOKUP(M2986,Accounts!A:B,2,FALSE)</f>
        <v xml:space="preserve">Advance Paid</v>
      </c>
      <c r="O2986" t="s">
        <v>5470</v>
      </c>
      <c r="Q2986" t="s">
        <v>126</v>
      </c>
      <c r="R2986" t="s">
        <v>124</v>
      </c>
      <c r="S2986" t="b">
        <v>0</v>
      </c>
      <c r="T2986" t="s">
        <v>124</v>
      </c>
    </row>
    <row r="2987">
      <c r="A2987" t="s">
        <v>5471</v>
      </c>
      <c r="B2987" t="s">
        <v>5472</v>
      </c>
      <c r="C2987" s="2">
        <v>2022</v>
      </c>
      <c r="D2987" s="10">
        <v>6</v>
      </c>
      <c r="E2987" s="10">
        <v>2</v>
      </c>
      <c r="F2987" t="s">
        <v>315</v>
      </c>
      <c r="G2987">
        <v>57</v>
      </c>
      <c r="H2987" t="s">
        <v>69</v>
      </c>
      <c r="I2987" t="s">
        <v>150</v>
      </c>
      <c r="J2987" s="10" t="str">
        <f>VLOOKUP(I2987,Categories!A:B,2,FALSE)</f>
        <v xml:space="preserve">Food &amp; Coff</v>
      </c>
      <c r="K2987" t="s">
        <v>178</v>
      </c>
      <c r="L2987" s="10" t="str">
        <f>VLOOKUP(K2987,Accounts!A:B,2,FALSE)</f>
        <v>SCB</v>
      </c>
      <c r="M2987" t="s">
        <v>124</v>
      </c>
      <c r="N2987" s="10"/>
      <c r="O2987" t="s">
        <v>5473</v>
      </c>
      <c r="Q2987" t="s">
        <v>126</v>
      </c>
      <c r="R2987" t="s">
        <v>124</v>
      </c>
      <c r="S2987" t="b">
        <v>0</v>
      </c>
      <c r="T2987" t="s">
        <v>124</v>
      </c>
    </row>
    <row r="2988">
      <c r="A2988" t="s">
        <v>5474</v>
      </c>
      <c r="B2988" t="s">
        <v>5472</v>
      </c>
      <c r="C2988" s="2">
        <v>2022</v>
      </c>
      <c r="D2988" s="10">
        <v>6</v>
      </c>
      <c r="E2988" s="10">
        <v>2</v>
      </c>
      <c r="F2988" t="s">
        <v>315</v>
      </c>
      <c r="G2988">
        <v>60</v>
      </c>
      <c r="H2988" t="s">
        <v>69</v>
      </c>
      <c r="I2988" t="s">
        <v>150</v>
      </c>
      <c r="J2988" s="10" t="str">
        <f>VLOOKUP(I2988,Categories!A:B,2,FALSE)</f>
        <v xml:space="preserve">Food &amp; Coff</v>
      </c>
      <c r="K2988" t="s">
        <v>178</v>
      </c>
      <c r="L2988" s="10" t="str">
        <f>VLOOKUP(K2988,Accounts!A:B,2,FALSE)</f>
        <v>SCB</v>
      </c>
      <c r="M2988" t="s">
        <v>124</v>
      </c>
      <c r="N2988" s="10"/>
      <c r="O2988" t="s">
        <v>5475</v>
      </c>
      <c r="Q2988" t="s">
        <v>126</v>
      </c>
      <c r="R2988" t="s">
        <v>124</v>
      </c>
      <c r="S2988" t="b">
        <v>0</v>
      </c>
      <c r="T2988" t="s">
        <v>124</v>
      </c>
    </row>
    <row r="2989">
      <c r="A2989" t="s">
        <v>5476</v>
      </c>
      <c r="B2989" t="s">
        <v>5477</v>
      </c>
      <c r="C2989" s="2">
        <v>2022</v>
      </c>
      <c r="D2989" s="10">
        <v>6</v>
      </c>
      <c r="E2989" s="10">
        <v>1</v>
      </c>
      <c r="F2989" t="s">
        <v>121</v>
      </c>
      <c r="G2989">
        <v>10000</v>
      </c>
      <c r="H2989" t="s">
        <v>128</v>
      </c>
      <c r="I2989" t="s">
        <v>136</v>
      </c>
      <c r="J2989" s="10" t="str">
        <f>VLOOKUP(I2989,Categories!A:B,2,FALSE)</f>
        <v>อื่นๆ</v>
      </c>
      <c r="K2989" t="s">
        <v>178</v>
      </c>
      <c r="L2989" s="10" t="str">
        <f>VLOOKUP(K2989,Accounts!A:B,2,FALSE)</f>
        <v>SCB</v>
      </c>
      <c r="M2989" t="s">
        <v>2317</v>
      </c>
      <c r="N2989" s="10" t="str">
        <f>VLOOKUP(M2989,Accounts!A:B,2,FALSE)</f>
        <v xml:space="preserve">Marriage account</v>
      </c>
      <c r="O2989" t="s">
        <v>125</v>
      </c>
      <c r="Q2989" t="s">
        <v>126</v>
      </c>
      <c r="R2989" t="s">
        <v>124</v>
      </c>
      <c r="S2989" t="b">
        <v>0</v>
      </c>
      <c r="T2989" t="s">
        <v>124</v>
      </c>
    </row>
    <row r="2990">
      <c r="A2990" t="s">
        <v>5478</v>
      </c>
      <c r="B2990" t="s">
        <v>5477</v>
      </c>
      <c r="C2990" s="2">
        <v>2022</v>
      </c>
      <c r="D2990" s="10">
        <v>6</v>
      </c>
      <c r="E2990" s="10">
        <v>1</v>
      </c>
      <c r="F2990" t="s">
        <v>329</v>
      </c>
      <c r="G2990">
        <v>4350</v>
      </c>
      <c r="H2990" t="s">
        <v>69</v>
      </c>
      <c r="I2990" t="s">
        <v>139</v>
      </c>
      <c r="J2990" s="10" t="str">
        <f>VLOOKUP(I2990,Categories!A:B,2,FALSE)</f>
        <v>Condo</v>
      </c>
      <c r="K2990" t="s">
        <v>178</v>
      </c>
      <c r="L2990" s="10" t="str">
        <f>VLOOKUP(K2990,Accounts!A:B,2,FALSE)</f>
        <v>SCB</v>
      </c>
      <c r="M2990" t="s">
        <v>124</v>
      </c>
      <c r="N2990" s="10"/>
      <c r="O2990" t="s">
        <v>125</v>
      </c>
      <c r="Q2990" t="s">
        <v>126</v>
      </c>
      <c r="R2990" t="s">
        <v>124</v>
      </c>
      <c r="S2990" t="b">
        <v>0</v>
      </c>
      <c r="T2990" t="s">
        <v>124</v>
      </c>
    </row>
    <row r="2991">
      <c r="A2991" t="s">
        <v>5479</v>
      </c>
      <c r="B2991" t="s">
        <v>5477</v>
      </c>
      <c r="C2991" s="2">
        <v>2022</v>
      </c>
      <c r="D2991" s="10">
        <v>6</v>
      </c>
      <c r="E2991" s="10">
        <v>1</v>
      </c>
      <c r="F2991" t="s">
        <v>308</v>
      </c>
      <c r="G2991">
        <v>5250</v>
      </c>
      <c r="H2991" t="s">
        <v>128</v>
      </c>
      <c r="I2991" t="s">
        <v>136</v>
      </c>
      <c r="J2991" s="10" t="str">
        <f>VLOOKUP(I2991,Categories!A:B,2,FALSE)</f>
        <v>อื่นๆ</v>
      </c>
      <c r="K2991" t="s">
        <v>178</v>
      </c>
      <c r="L2991" s="10" t="str">
        <f>VLOOKUP(K2991,Accounts!A:B,2,FALSE)</f>
        <v>SCB</v>
      </c>
      <c r="M2991" t="s">
        <v>131</v>
      </c>
      <c r="N2991" s="10" t="str">
        <f>VLOOKUP(M2991,Accounts!A:B,2,FALSE)</f>
        <v xml:space="preserve">Advance Paid</v>
      </c>
      <c r="O2991" t="s">
        <v>5480</v>
      </c>
      <c r="Q2991" t="s">
        <v>126</v>
      </c>
      <c r="R2991" t="s">
        <v>124</v>
      </c>
      <c r="S2991" t="b">
        <v>0</v>
      </c>
      <c r="T2991" t="s">
        <v>124</v>
      </c>
    </row>
    <row r="2992">
      <c r="A2992" t="s">
        <v>5481</v>
      </c>
      <c r="B2992" t="s">
        <v>5477</v>
      </c>
      <c r="C2992" s="2">
        <v>2022</v>
      </c>
      <c r="D2992" s="10">
        <v>6</v>
      </c>
      <c r="E2992" s="10">
        <v>1</v>
      </c>
      <c r="F2992" t="s">
        <v>5482</v>
      </c>
      <c r="G2992">
        <v>854.92999999999995</v>
      </c>
      <c r="H2992" t="s">
        <v>128</v>
      </c>
      <c r="I2992" t="s">
        <v>136</v>
      </c>
      <c r="J2992" s="10" t="str">
        <f>VLOOKUP(I2992,Categories!A:B,2,FALSE)</f>
        <v>อื่นๆ</v>
      </c>
      <c r="K2992" t="s">
        <v>747</v>
      </c>
      <c r="L2992" s="10" t="str">
        <f>VLOOKUP(K2992,Accounts!A:B,2,FALSE)</f>
        <v xml:space="preserve">UOB world</v>
      </c>
      <c r="M2992" t="s">
        <v>131</v>
      </c>
      <c r="N2992" s="10" t="str">
        <f>VLOOKUP(M2992,Accounts!A:B,2,FALSE)</f>
        <v xml:space="preserve">Advance Paid</v>
      </c>
      <c r="O2992" t="s">
        <v>5483</v>
      </c>
      <c r="Q2992" t="s">
        <v>126</v>
      </c>
      <c r="R2992" t="s">
        <v>124</v>
      </c>
      <c r="S2992" t="b">
        <v>0</v>
      </c>
      <c r="T2992" t="s">
        <v>124</v>
      </c>
    </row>
    <row r="2993">
      <c r="A2993" t="s">
        <v>5484</v>
      </c>
      <c r="B2993" t="s">
        <v>5485</v>
      </c>
      <c r="C2993" s="2">
        <v>2022</v>
      </c>
      <c r="D2993" s="10">
        <v>5</v>
      </c>
      <c r="E2993" s="10">
        <v>31</v>
      </c>
      <c r="F2993" t="s">
        <v>329</v>
      </c>
      <c r="G2993">
        <v>190</v>
      </c>
      <c r="H2993" t="s">
        <v>69</v>
      </c>
      <c r="I2993" t="s">
        <v>150</v>
      </c>
      <c r="J2993" s="10" t="str">
        <f>VLOOKUP(I2993,Categories!A:B,2,FALSE)</f>
        <v xml:space="preserve">Food &amp; Coff</v>
      </c>
      <c r="K2993" t="s">
        <v>178</v>
      </c>
      <c r="L2993" s="10" t="str">
        <f>VLOOKUP(K2993,Accounts!A:B,2,FALSE)</f>
        <v>SCB</v>
      </c>
      <c r="M2993" t="s">
        <v>124</v>
      </c>
      <c r="N2993" s="10"/>
      <c r="O2993" t="s">
        <v>125</v>
      </c>
      <c r="Q2993" t="s">
        <v>126</v>
      </c>
      <c r="R2993" t="s">
        <v>124</v>
      </c>
      <c r="S2993" t="b">
        <v>0</v>
      </c>
      <c r="T2993" t="s">
        <v>124</v>
      </c>
    </row>
    <row r="2994">
      <c r="A2994" t="s">
        <v>5486</v>
      </c>
      <c r="B2994" t="s">
        <v>5485</v>
      </c>
      <c r="C2994" s="2">
        <v>2022</v>
      </c>
      <c r="D2994" s="10">
        <v>5</v>
      </c>
      <c r="E2994" s="10">
        <v>31</v>
      </c>
      <c r="F2994" t="s">
        <v>329</v>
      </c>
      <c r="G2994">
        <v>130</v>
      </c>
      <c r="H2994" t="s">
        <v>69</v>
      </c>
      <c r="I2994" t="s">
        <v>150</v>
      </c>
      <c r="J2994" s="10" t="str">
        <f>VLOOKUP(I2994,Categories!A:B,2,FALSE)</f>
        <v xml:space="preserve">Food &amp; Coff</v>
      </c>
      <c r="K2994" t="s">
        <v>178</v>
      </c>
      <c r="L2994" s="10" t="str">
        <f>VLOOKUP(K2994,Accounts!A:B,2,FALSE)</f>
        <v>SCB</v>
      </c>
      <c r="M2994" t="s">
        <v>124</v>
      </c>
      <c r="N2994" s="10"/>
      <c r="O2994" t="s">
        <v>125</v>
      </c>
      <c r="Q2994" t="s">
        <v>126</v>
      </c>
      <c r="R2994" t="s">
        <v>124</v>
      </c>
      <c r="S2994" t="b">
        <v>0</v>
      </c>
      <c r="T2994" t="s">
        <v>124</v>
      </c>
    </row>
    <row r="2995">
      <c r="A2995" t="s">
        <v>5487</v>
      </c>
      <c r="B2995" t="s">
        <v>5488</v>
      </c>
      <c r="C2995" s="2">
        <v>2022</v>
      </c>
      <c r="D2995" s="10">
        <v>5</v>
      </c>
      <c r="E2995" s="10">
        <v>30</v>
      </c>
      <c r="F2995" t="s">
        <v>2835</v>
      </c>
      <c r="G2995">
        <v>85</v>
      </c>
      <c r="H2995" t="s">
        <v>69</v>
      </c>
      <c r="I2995" t="s">
        <v>150</v>
      </c>
      <c r="J2995" s="10" t="str">
        <f>VLOOKUP(I2995,Categories!A:B,2,FALSE)</f>
        <v xml:space="preserve">Food &amp; Coff</v>
      </c>
      <c r="K2995" t="s">
        <v>178</v>
      </c>
      <c r="L2995" s="10" t="str">
        <f>VLOOKUP(K2995,Accounts!A:B,2,FALSE)</f>
        <v>SCB</v>
      </c>
      <c r="M2995" t="s">
        <v>124</v>
      </c>
      <c r="N2995" s="10"/>
      <c r="O2995" t="s">
        <v>5050</v>
      </c>
      <c r="Q2995" t="s">
        <v>126</v>
      </c>
      <c r="R2995" t="s">
        <v>124</v>
      </c>
      <c r="S2995" t="b">
        <v>0</v>
      </c>
      <c r="T2995" t="s">
        <v>124</v>
      </c>
    </row>
    <row r="2996">
      <c r="A2996" t="s">
        <v>5489</v>
      </c>
      <c r="B2996" t="s">
        <v>5488</v>
      </c>
      <c r="C2996" s="2">
        <v>2022</v>
      </c>
      <c r="D2996" s="10">
        <v>5</v>
      </c>
      <c r="E2996" s="10">
        <v>30</v>
      </c>
      <c r="F2996" t="s">
        <v>2584</v>
      </c>
      <c r="G2996">
        <v>50</v>
      </c>
      <c r="H2996" t="s">
        <v>69</v>
      </c>
      <c r="I2996" t="s">
        <v>150</v>
      </c>
      <c r="J2996" s="10" t="str">
        <f>VLOOKUP(I2996,Categories!A:B,2,FALSE)</f>
        <v xml:space="preserve">Food &amp; Coff</v>
      </c>
      <c r="K2996" t="s">
        <v>178</v>
      </c>
      <c r="L2996" s="10" t="str">
        <f>VLOOKUP(K2996,Accounts!A:B,2,FALSE)</f>
        <v>SCB</v>
      </c>
      <c r="M2996" t="s">
        <v>124</v>
      </c>
      <c r="N2996" s="10"/>
      <c r="O2996" t="s">
        <v>125</v>
      </c>
      <c r="Q2996" t="s">
        <v>126</v>
      </c>
      <c r="R2996" t="s">
        <v>124</v>
      </c>
      <c r="S2996" t="b">
        <v>0</v>
      </c>
      <c r="T2996" t="s">
        <v>124</v>
      </c>
    </row>
    <row r="2997">
      <c r="A2997" t="s">
        <v>5490</v>
      </c>
      <c r="B2997" t="s">
        <v>5488</v>
      </c>
      <c r="C2997" s="2">
        <v>2022</v>
      </c>
      <c r="D2997" s="10">
        <v>5</v>
      </c>
      <c r="E2997" s="10">
        <v>30</v>
      </c>
      <c r="F2997" t="s">
        <v>468</v>
      </c>
      <c r="G2997">
        <v>180</v>
      </c>
      <c r="H2997" t="s">
        <v>128</v>
      </c>
      <c r="I2997" t="s">
        <v>136</v>
      </c>
      <c r="J2997" s="10" t="str">
        <f>VLOOKUP(I2997,Categories!A:B,2,FALSE)</f>
        <v>อื่นๆ</v>
      </c>
      <c r="K2997" t="s">
        <v>130</v>
      </c>
      <c r="L2997" s="10" t="str">
        <f>VLOOKUP(K2997,Accounts!A:B,2,FALSE)</f>
        <v xml:space="preserve">KTC JCB</v>
      </c>
      <c r="M2997" t="s">
        <v>131</v>
      </c>
      <c r="N2997" s="10" t="str">
        <f>VLOOKUP(M2997,Accounts!A:B,2,FALSE)</f>
        <v xml:space="preserve">Advance Paid</v>
      </c>
      <c r="O2997" t="s">
        <v>125</v>
      </c>
      <c r="Q2997" t="s">
        <v>126</v>
      </c>
      <c r="R2997" t="s">
        <v>124</v>
      </c>
      <c r="S2997" t="b">
        <v>0</v>
      </c>
      <c r="T2997" t="s">
        <v>124</v>
      </c>
    </row>
    <row r="2998">
      <c r="A2998" t="s">
        <v>5491</v>
      </c>
      <c r="B2998" t="s">
        <v>5488</v>
      </c>
      <c r="C2998" s="2">
        <v>2022</v>
      </c>
      <c r="D2998" s="10">
        <v>5</v>
      </c>
      <c r="E2998" s="10">
        <v>30</v>
      </c>
      <c r="F2998" t="s">
        <v>2472</v>
      </c>
      <c r="G2998">
        <v>225</v>
      </c>
      <c r="H2998" t="s">
        <v>128</v>
      </c>
      <c r="I2998" t="s">
        <v>136</v>
      </c>
      <c r="J2998" s="10" t="str">
        <f>VLOOKUP(I2998,Categories!A:B,2,FALSE)</f>
        <v>อื่นๆ</v>
      </c>
      <c r="K2998" t="s">
        <v>747</v>
      </c>
      <c r="L2998" s="10" t="str">
        <f>VLOOKUP(K2998,Accounts!A:B,2,FALSE)</f>
        <v xml:space="preserve">UOB world</v>
      </c>
      <c r="M2998" t="s">
        <v>131</v>
      </c>
      <c r="N2998" s="10" t="str">
        <f>VLOOKUP(M2998,Accounts!A:B,2,FALSE)</f>
        <v xml:space="preserve">Advance Paid</v>
      </c>
      <c r="O2998" t="s">
        <v>125</v>
      </c>
      <c r="Q2998" t="s">
        <v>126</v>
      </c>
      <c r="R2998" t="s">
        <v>124</v>
      </c>
      <c r="S2998" t="b">
        <v>0</v>
      </c>
      <c r="T2998" t="s">
        <v>124</v>
      </c>
    </row>
    <row r="2999">
      <c r="A2999" t="s">
        <v>5492</v>
      </c>
      <c r="B2999" t="s">
        <v>5493</v>
      </c>
      <c r="C2999" s="2">
        <v>2022</v>
      </c>
      <c r="D2999" s="10">
        <v>5</v>
      </c>
      <c r="E2999" s="10">
        <v>28</v>
      </c>
      <c r="F2999" t="s">
        <v>3635</v>
      </c>
      <c r="G2999">
        <v>1480.6700000000001</v>
      </c>
      <c r="H2999" t="s">
        <v>128</v>
      </c>
      <c r="I2999" t="s">
        <v>136</v>
      </c>
      <c r="J2999" s="10" t="str">
        <f>VLOOKUP(I2999,Categories!A:B,2,FALSE)</f>
        <v>อื่นๆ</v>
      </c>
      <c r="K2999" t="s">
        <v>130</v>
      </c>
      <c r="L2999" s="10" t="str">
        <f>VLOOKUP(K2999,Accounts!A:B,2,FALSE)</f>
        <v xml:space="preserve">KTC JCB</v>
      </c>
      <c r="M2999" t="s">
        <v>131</v>
      </c>
      <c r="N2999" s="10" t="str">
        <f>VLOOKUP(M2999,Accounts!A:B,2,FALSE)</f>
        <v xml:space="preserve">Advance Paid</v>
      </c>
      <c r="O2999" t="s">
        <v>125</v>
      </c>
      <c r="Q2999" t="s">
        <v>126</v>
      </c>
      <c r="R2999" t="s">
        <v>124</v>
      </c>
      <c r="S2999" t="b">
        <v>0</v>
      </c>
      <c r="T2999" t="s">
        <v>124</v>
      </c>
    </row>
    <row r="3000">
      <c r="A3000" t="s">
        <v>5494</v>
      </c>
      <c r="B3000" t="s">
        <v>5495</v>
      </c>
      <c r="C3000" s="2">
        <v>2022</v>
      </c>
      <c r="D3000" s="10">
        <v>5</v>
      </c>
      <c r="E3000" s="10">
        <v>27</v>
      </c>
      <c r="F3000" t="s">
        <v>5496</v>
      </c>
      <c r="G3000">
        <v>7990</v>
      </c>
      <c r="H3000" t="s">
        <v>128</v>
      </c>
      <c r="I3000" t="s">
        <v>136</v>
      </c>
      <c r="J3000" s="10" t="str">
        <f>VLOOKUP(I3000,Categories!A:B,2,FALSE)</f>
        <v>อื่นๆ</v>
      </c>
      <c r="K3000" t="s">
        <v>178</v>
      </c>
      <c r="L3000" s="10" t="str">
        <f>VLOOKUP(K3000,Accounts!A:B,2,FALSE)</f>
        <v>SCB</v>
      </c>
      <c r="M3000" t="s">
        <v>131</v>
      </c>
      <c r="N3000" s="10" t="str">
        <f>VLOOKUP(M3000,Accounts!A:B,2,FALSE)</f>
        <v xml:space="preserve">Advance Paid</v>
      </c>
      <c r="O3000" t="s">
        <v>125</v>
      </c>
      <c r="Q3000" t="s">
        <v>126</v>
      </c>
      <c r="R3000" t="s">
        <v>124</v>
      </c>
      <c r="S3000" t="b">
        <v>0</v>
      </c>
      <c r="T3000" t="s">
        <v>124</v>
      </c>
    </row>
    <row r="3001">
      <c r="A3001" t="s">
        <v>5497</v>
      </c>
      <c r="B3001" t="s">
        <v>5495</v>
      </c>
      <c r="C3001" s="2">
        <v>2022</v>
      </c>
      <c r="D3001" s="10">
        <v>5</v>
      </c>
      <c r="E3001" s="10">
        <v>27</v>
      </c>
      <c r="F3001" t="s">
        <v>2616</v>
      </c>
      <c r="G3001">
        <v>72</v>
      </c>
      <c r="H3001" t="s">
        <v>69</v>
      </c>
      <c r="I3001" t="s">
        <v>122</v>
      </c>
      <c r="J3001" s="10" t="str">
        <f>VLOOKUP(I3001,Categories!A:B,2,FALSE)</f>
        <v>Other</v>
      </c>
      <c r="K3001" t="s">
        <v>178</v>
      </c>
      <c r="L3001" s="10" t="str">
        <f>VLOOKUP(K3001,Accounts!A:B,2,FALSE)</f>
        <v>SCB</v>
      </c>
      <c r="M3001" t="s">
        <v>124</v>
      </c>
      <c r="N3001" s="10"/>
      <c r="O3001" t="s">
        <v>125</v>
      </c>
      <c r="Q3001" t="s">
        <v>126</v>
      </c>
      <c r="R3001" t="s">
        <v>124</v>
      </c>
      <c r="S3001" t="b">
        <v>0</v>
      </c>
      <c r="T3001" t="s">
        <v>124</v>
      </c>
    </row>
    <row r="3002">
      <c r="A3002" t="s">
        <v>5498</v>
      </c>
      <c r="B3002" t="s">
        <v>5495</v>
      </c>
      <c r="C3002" s="2">
        <v>2022</v>
      </c>
      <c r="D3002" s="10">
        <v>5</v>
      </c>
      <c r="E3002" s="10">
        <v>27</v>
      </c>
      <c r="F3002" t="s">
        <v>3223</v>
      </c>
      <c r="G3002">
        <v>902.89999999999998</v>
      </c>
      <c r="H3002" t="s">
        <v>128</v>
      </c>
      <c r="I3002" t="s">
        <v>136</v>
      </c>
      <c r="J3002" s="10" t="str">
        <f>VLOOKUP(I3002,Categories!A:B,2,FALSE)</f>
        <v>อื่นๆ</v>
      </c>
      <c r="K3002" t="s">
        <v>131</v>
      </c>
      <c r="L3002" s="10" t="str">
        <f>VLOOKUP(K3002,Accounts!A:B,2,FALSE)</f>
        <v xml:space="preserve">Advance Paid</v>
      </c>
      <c r="M3002" t="s">
        <v>2862</v>
      </c>
      <c r="N3002" s="10" t="str">
        <f>VLOOKUP(M3002,Accounts!A:B,2,FALSE)</f>
        <v xml:space="preserve">Kbank onesiam</v>
      </c>
      <c r="O3002" t="s">
        <v>125</v>
      </c>
      <c r="Q3002" t="s">
        <v>126</v>
      </c>
      <c r="R3002" t="s">
        <v>124</v>
      </c>
      <c r="S3002" t="b">
        <v>0</v>
      </c>
      <c r="T3002" t="s">
        <v>124</v>
      </c>
    </row>
    <row r="3003">
      <c r="A3003" t="s">
        <v>5499</v>
      </c>
      <c r="B3003" t="s">
        <v>5495</v>
      </c>
      <c r="C3003" s="2">
        <v>2022</v>
      </c>
      <c r="D3003" s="10">
        <v>5</v>
      </c>
      <c r="E3003" s="10">
        <v>27</v>
      </c>
      <c r="F3003" t="s">
        <v>5500</v>
      </c>
      <c r="G3003">
        <v>29</v>
      </c>
      <c r="H3003" t="s">
        <v>128</v>
      </c>
      <c r="I3003" t="s">
        <v>136</v>
      </c>
      <c r="J3003" s="10" t="str">
        <f>VLOOKUP(I3003,Categories!A:B,2,FALSE)</f>
        <v>อื่นๆ</v>
      </c>
      <c r="K3003" t="s">
        <v>747</v>
      </c>
      <c r="L3003" s="10" t="str">
        <f>VLOOKUP(K3003,Accounts!A:B,2,FALSE)</f>
        <v xml:space="preserve">UOB world</v>
      </c>
      <c r="M3003" t="s">
        <v>131</v>
      </c>
      <c r="N3003" s="10" t="str">
        <f>VLOOKUP(M3003,Accounts!A:B,2,FALSE)</f>
        <v xml:space="preserve">Advance Paid</v>
      </c>
      <c r="O3003" t="s">
        <v>125</v>
      </c>
      <c r="Q3003" t="s">
        <v>126</v>
      </c>
      <c r="R3003" t="s">
        <v>124</v>
      </c>
      <c r="S3003" t="b">
        <v>0</v>
      </c>
      <c r="T3003" t="s">
        <v>124</v>
      </c>
    </row>
    <row r="3004">
      <c r="A3004" t="s">
        <v>5501</v>
      </c>
      <c r="B3004" t="s">
        <v>5495</v>
      </c>
      <c r="C3004" s="2">
        <v>2022</v>
      </c>
      <c r="D3004" s="10">
        <v>5</v>
      </c>
      <c r="E3004" s="10">
        <v>27</v>
      </c>
      <c r="F3004" t="s">
        <v>4136</v>
      </c>
      <c r="G3004">
        <v>60</v>
      </c>
      <c r="H3004" t="s">
        <v>69</v>
      </c>
      <c r="I3004" t="s">
        <v>150</v>
      </c>
      <c r="J3004" s="10" t="str">
        <f>VLOOKUP(I3004,Categories!A:B,2,FALSE)</f>
        <v xml:space="preserve">Food &amp; Coff</v>
      </c>
      <c r="K3004" t="s">
        <v>747</v>
      </c>
      <c r="L3004" s="10" t="str">
        <f>VLOOKUP(K3004,Accounts!A:B,2,FALSE)</f>
        <v xml:space="preserve">UOB world</v>
      </c>
      <c r="M3004" t="s">
        <v>124</v>
      </c>
      <c r="N3004" s="10"/>
      <c r="O3004" t="s">
        <v>125</v>
      </c>
      <c r="Q3004" t="s">
        <v>126</v>
      </c>
      <c r="R3004" t="s">
        <v>124</v>
      </c>
      <c r="S3004" t="b">
        <v>0</v>
      </c>
      <c r="T3004" t="s">
        <v>124</v>
      </c>
    </row>
    <row r="3005">
      <c r="A3005" t="s">
        <v>5502</v>
      </c>
      <c r="B3005" t="s">
        <v>5495</v>
      </c>
      <c r="C3005" s="2">
        <v>2022</v>
      </c>
      <c r="D3005" s="10">
        <v>5</v>
      </c>
      <c r="E3005" s="10">
        <v>27</v>
      </c>
      <c r="F3005" t="s">
        <v>4136</v>
      </c>
      <c r="G3005">
        <v>60</v>
      </c>
      <c r="H3005" t="s">
        <v>128</v>
      </c>
      <c r="I3005" t="s">
        <v>136</v>
      </c>
      <c r="J3005" s="10" t="str">
        <f>VLOOKUP(I3005,Categories!A:B,2,FALSE)</f>
        <v>อื่นๆ</v>
      </c>
      <c r="K3005" t="s">
        <v>178</v>
      </c>
      <c r="L3005" s="10" t="str">
        <f>VLOOKUP(K3005,Accounts!A:B,2,FALSE)</f>
        <v>SCB</v>
      </c>
      <c r="M3005" t="s">
        <v>747</v>
      </c>
      <c r="N3005" s="10" t="str">
        <f>VLOOKUP(M3005,Accounts!A:B,2,FALSE)</f>
        <v xml:space="preserve">UOB world</v>
      </c>
      <c r="O3005" t="s">
        <v>125</v>
      </c>
      <c r="Q3005" t="s">
        <v>126</v>
      </c>
      <c r="R3005" t="s">
        <v>124</v>
      </c>
      <c r="S3005" t="b">
        <v>0</v>
      </c>
      <c r="T3005" t="s">
        <v>124</v>
      </c>
    </row>
    <row r="3006">
      <c r="A3006" t="s">
        <v>5503</v>
      </c>
      <c r="B3006" t="s">
        <v>5495</v>
      </c>
      <c r="C3006" s="2">
        <v>2022</v>
      </c>
      <c r="D3006" s="10">
        <v>5</v>
      </c>
      <c r="E3006" s="10">
        <v>27</v>
      </c>
      <c r="F3006" t="s">
        <v>4136</v>
      </c>
      <c r="G3006">
        <v>2171.6999999999998</v>
      </c>
      <c r="H3006" t="s">
        <v>69</v>
      </c>
      <c r="I3006" t="s">
        <v>122</v>
      </c>
      <c r="J3006" s="10" t="str">
        <f>VLOOKUP(I3006,Categories!A:B,2,FALSE)</f>
        <v>Other</v>
      </c>
      <c r="K3006" t="s">
        <v>747</v>
      </c>
      <c r="L3006" s="10" t="str">
        <f>VLOOKUP(K3006,Accounts!A:B,2,FALSE)</f>
        <v xml:space="preserve">UOB world</v>
      </c>
      <c r="M3006" t="s">
        <v>124</v>
      </c>
      <c r="N3006" s="10"/>
      <c r="O3006" t="s">
        <v>5504</v>
      </c>
      <c r="Q3006" t="s">
        <v>126</v>
      </c>
      <c r="R3006" t="s">
        <v>124</v>
      </c>
      <c r="S3006" t="b">
        <v>0</v>
      </c>
      <c r="T3006" t="s">
        <v>124</v>
      </c>
    </row>
    <row r="3007">
      <c r="A3007" t="s">
        <v>5505</v>
      </c>
      <c r="B3007" t="s">
        <v>5495</v>
      </c>
      <c r="C3007" s="2">
        <v>2022</v>
      </c>
      <c r="D3007" s="10">
        <v>5</v>
      </c>
      <c r="E3007" s="10">
        <v>27</v>
      </c>
      <c r="F3007" t="s">
        <v>951</v>
      </c>
      <c r="G3007">
        <v>3300</v>
      </c>
      <c r="H3007" t="s">
        <v>128</v>
      </c>
      <c r="I3007" t="s">
        <v>136</v>
      </c>
      <c r="J3007" s="10" t="str">
        <f>VLOOKUP(I3007,Categories!A:B,2,FALSE)</f>
        <v>อื่นๆ</v>
      </c>
      <c r="K3007" t="s">
        <v>2317</v>
      </c>
      <c r="L3007" s="10" t="str">
        <f>VLOOKUP(K3007,Accounts!A:B,2,FALSE)</f>
        <v xml:space="preserve">Marriage account</v>
      </c>
      <c r="M3007" t="s">
        <v>747</v>
      </c>
      <c r="N3007" s="10" t="str">
        <f>VLOOKUP(M3007,Accounts!A:B,2,FALSE)</f>
        <v xml:space="preserve">UOB world</v>
      </c>
      <c r="O3007" t="s">
        <v>125</v>
      </c>
      <c r="Q3007" t="s">
        <v>126</v>
      </c>
      <c r="R3007" t="s">
        <v>124</v>
      </c>
      <c r="S3007" t="b">
        <v>0</v>
      </c>
      <c r="T3007" t="s">
        <v>124</v>
      </c>
    </row>
    <row r="3008">
      <c r="A3008" t="s">
        <v>5506</v>
      </c>
      <c r="B3008" t="s">
        <v>5507</v>
      </c>
      <c r="C3008" s="2">
        <v>2022</v>
      </c>
      <c r="D3008" s="10">
        <v>5</v>
      </c>
      <c r="E3008" s="10">
        <v>26</v>
      </c>
      <c r="F3008" t="s">
        <v>1097</v>
      </c>
      <c r="G3008">
        <v>50</v>
      </c>
      <c r="H3008" t="s">
        <v>69</v>
      </c>
      <c r="I3008" t="s">
        <v>150</v>
      </c>
      <c r="J3008" s="10" t="str">
        <f>VLOOKUP(I3008,Categories!A:B,2,FALSE)</f>
        <v xml:space="preserve">Food &amp; Coff</v>
      </c>
      <c r="K3008" t="s">
        <v>178</v>
      </c>
      <c r="L3008" s="10" t="str">
        <f>VLOOKUP(K3008,Accounts!A:B,2,FALSE)</f>
        <v>SCB</v>
      </c>
      <c r="M3008" t="s">
        <v>124</v>
      </c>
      <c r="N3008" s="10"/>
      <c r="O3008" t="s">
        <v>125</v>
      </c>
      <c r="Q3008" t="s">
        <v>126</v>
      </c>
      <c r="R3008" t="s">
        <v>124</v>
      </c>
      <c r="S3008" t="b">
        <v>0</v>
      </c>
      <c r="T3008" t="s">
        <v>124</v>
      </c>
    </row>
    <row r="3009">
      <c r="A3009" t="s">
        <v>5508</v>
      </c>
      <c r="B3009" t="s">
        <v>5507</v>
      </c>
      <c r="C3009" s="2">
        <v>2022</v>
      </c>
      <c r="D3009" s="10">
        <v>5</v>
      </c>
      <c r="E3009" s="10">
        <v>26</v>
      </c>
      <c r="F3009" t="s">
        <v>5500</v>
      </c>
      <c r="G3009">
        <v>290</v>
      </c>
      <c r="H3009" t="s">
        <v>128</v>
      </c>
      <c r="I3009" t="s">
        <v>136</v>
      </c>
      <c r="J3009" s="10" t="str">
        <f>VLOOKUP(I3009,Categories!A:B,2,FALSE)</f>
        <v>อื่นๆ</v>
      </c>
      <c r="K3009" t="s">
        <v>747</v>
      </c>
      <c r="L3009" s="10" t="str">
        <f>VLOOKUP(K3009,Accounts!A:B,2,FALSE)</f>
        <v xml:space="preserve">UOB world</v>
      </c>
      <c r="M3009" t="s">
        <v>131</v>
      </c>
      <c r="N3009" s="10" t="str">
        <f>VLOOKUP(M3009,Accounts!A:B,2,FALSE)</f>
        <v xml:space="preserve">Advance Paid</v>
      </c>
      <c r="O3009" t="s">
        <v>5509</v>
      </c>
      <c r="Q3009" t="s">
        <v>126</v>
      </c>
      <c r="R3009" t="s">
        <v>124</v>
      </c>
      <c r="S3009" t="b">
        <v>0</v>
      </c>
      <c r="T3009" t="s">
        <v>124</v>
      </c>
    </row>
    <row r="3010">
      <c r="A3010" t="s">
        <v>5510</v>
      </c>
      <c r="B3010" t="s">
        <v>5511</v>
      </c>
      <c r="C3010" s="2">
        <v>2022</v>
      </c>
      <c r="D3010" s="10">
        <v>5</v>
      </c>
      <c r="E3010" s="10">
        <v>25</v>
      </c>
      <c r="F3010" t="s">
        <v>121</v>
      </c>
      <c r="G3010">
        <v>7290</v>
      </c>
      <c r="H3010" t="s">
        <v>128</v>
      </c>
      <c r="I3010" t="s">
        <v>136</v>
      </c>
      <c r="J3010" s="10" t="str">
        <f>VLOOKUP(I3010,Categories!A:B,2,FALSE)</f>
        <v>อื่นๆ</v>
      </c>
      <c r="K3010" t="s">
        <v>178</v>
      </c>
      <c r="L3010" s="10" t="str">
        <f>VLOOKUP(K3010,Accounts!A:B,2,FALSE)</f>
        <v>SCB</v>
      </c>
      <c r="M3010" t="s">
        <v>1244</v>
      </c>
      <c r="N3010" s="10" t="str">
        <f>VLOOKUP(M3010,Accounts!A:B,2,FALSE)</f>
        <v xml:space="preserve">Home chomthong Loan</v>
      </c>
      <c r="O3010" t="s">
        <v>125</v>
      </c>
      <c r="Q3010" t="s">
        <v>126</v>
      </c>
      <c r="R3010" t="s">
        <v>124</v>
      </c>
      <c r="S3010" t="b">
        <v>0</v>
      </c>
      <c r="T3010" t="s">
        <v>124</v>
      </c>
    </row>
    <row r="3011">
      <c r="A3011" t="s">
        <v>5512</v>
      </c>
      <c r="B3011" t="s">
        <v>5511</v>
      </c>
      <c r="C3011" s="2">
        <v>2022</v>
      </c>
      <c r="D3011" s="10">
        <v>5</v>
      </c>
      <c r="E3011" s="10">
        <v>25</v>
      </c>
      <c r="F3011" t="s">
        <v>121</v>
      </c>
      <c r="G3011">
        <v>2066.4000000000001</v>
      </c>
      <c r="H3011" t="s">
        <v>128</v>
      </c>
      <c r="I3011" t="s">
        <v>136</v>
      </c>
      <c r="J3011" s="10" t="str">
        <f>VLOOKUP(I3011,Categories!A:B,2,FALSE)</f>
        <v>อื่นๆ</v>
      </c>
      <c r="K3011" t="s">
        <v>178</v>
      </c>
      <c r="L3011" s="10" t="str">
        <f>VLOOKUP(K3011,Accounts!A:B,2,FALSE)</f>
        <v>SCB</v>
      </c>
      <c r="M3011" t="s">
        <v>203</v>
      </c>
      <c r="N3011" s="10" t="str">
        <f>VLOOKUP(M3011,Accounts!A:B,2,FALSE)</f>
        <v xml:space="preserve">Provident Fund</v>
      </c>
      <c r="O3011" t="s">
        <v>125</v>
      </c>
      <c r="Q3011" t="s">
        <v>126</v>
      </c>
      <c r="R3011" t="s">
        <v>124</v>
      </c>
      <c r="S3011" t="b">
        <v>0</v>
      </c>
      <c r="T3011" t="s">
        <v>124</v>
      </c>
    </row>
    <row r="3012">
      <c r="A3012" t="s">
        <v>5513</v>
      </c>
      <c r="B3012" t="s">
        <v>5511</v>
      </c>
      <c r="C3012" s="2">
        <v>2022</v>
      </c>
      <c r="D3012" s="10">
        <v>5</v>
      </c>
      <c r="E3012" s="10">
        <v>25</v>
      </c>
      <c r="F3012" t="s">
        <v>121</v>
      </c>
      <c r="G3012">
        <v>628.49000000000001</v>
      </c>
      <c r="H3012" t="s">
        <v>69</v>
      </c>
      <c r="I3012" t="s">
        <v>199</v>
      </c>
      <c r="J3012" s="10" t="str">
        <f>VLOOKUP(I3012,Categories!A:B,2,FALSE)</f>
        <v xml:space="preserve">Home Chomthong Interest</v>
      </c>
      <c r="K3012" t="s">
        <v>178</v>
      </c>
      <c r="L3012" s="10" t="str">
        <f>VLOOKUP(K3012,Accounts!A:B,2,FALSE)</f>
        <v>SCB</v>
      </c>
      <c r="M3012" t="s">
        <v>124</v>
      </c>
      <c r="N3012" s="10"/>
      <c r="O3012" t="s">
        <v>125</v>
      </c>
      <c r="Q3012" t="s">
        <v>126</v>
      </c>
      <c r="R3012" t="s">
        <v>124</v>
      </c>
      <c r="S3012" t="b">
        <v>0</v>
      </c>
      <c r="T3012" t="s">
        <v>124</v>
      </c>
    </row>
    <row r="3013">
      <c r="A3013" t="s">
        <v>5514</v>
      </c>
      <c r="B3013" t="s">
        <v>5511</v>
      </c>
      <c r="C3013" s="2">
        <v>2022</v>
      </c>
      <c r="D3013" s="10">
        <v>5</v>
      </c>
      <c r="E3013" s="10">
        <v>25</v>
      </c>
      <c r="F3013" t="s">
        <v>121</v>
      </c>
      <c r="G3013">
        <v>122.95</v>
      </c>
      <c r="H3013" t="s">
        <v>69</v>
      </c>
      <c r="I3013" t="s">
        <v>443</v>
      </c>
      <c r="J3013" s="10" t="str">
        <f>VLOOKUP(I3013,Categories!A:B,2,FALSE)</f>
        <v xml:space="preserve">City SV Interest</v>
      </c>
      <c r="K3013" t="s">
        <v>178</v>
      </c>
      <c r="L3013" s="10" t="str">
        <f>VLOOKUP(K3013,Accounts!A:B,2,FALSE)</f>
        <v>SCB</v>
      </c>
      <c r="M3013" t="s">
        <v>124</v>
      </c>
      <c r="N3013" s="10"/>
      <c r="O3013" t="s">
        <v>125</v>
      </c>
      <c r="Q3013" t="s">
        <v>126</v>
      </c>
      <c r="R3013" t="s">
        <v>124</v>
      </c>
      <c r="S3013" t="b">
        <v>0</v>
      </c>
      <c r="T3013" t="s">
        <v>124</v>
      </c>
    </row>
    <row r="3014">
      <c r="A3014" t="s">
        <v>5515</v>
      </c>
      <c r="B3014" t="s">
        <v>5511</v>
      </c>
      <c r="C3014" s="2">
        <v>2022</v>
      </c>
      <c r="D3014" s="10">
        <v>5</v>
      </c>
      <c r="E3014" s="10">
        <v>25</v>
      </c>
      <c r="F3014" t="s">
        <v>121</v>
      </c>
      <c r="G3014">
        <v>9240</v>
      </c>
      <c r="H3014" t="s">
        <v>128</v>
      </c>
      <c r="I3014" t="s">
        <v>136</v>
      </c>
      <c r="J3014" s="10" t="str">
        <f>VLOOKUP(I3014,Categories!A:B,2,FALSE)</f>
        <v>อื่นๆ</v>
      </c>
      <c r="K3014" t="s">
        <v>178</v>
      </c>
      <c r="L3014" s="10" t="str">
        <f>VLOOKUP(K3014,Accounts!A:B,2,FALSE)</f>
        <v>SCB</v>
      </c>
      <c r="M3014" t="s">
        <v>1246</v>
      </c>
      <c r="N3014" s="10" t="str">
        <f>VLOOKUP(M3014,Accounts!A:B,2,FALSE)</f>
        <v xml:space="preserve">Car Loan</v>
      </c>
      <c r="O3014" t="s">
        <v>125</v>
      </c>
      <c r="Q3014" t="s">
        <v>126</v>
      </c>
      <c r="R3014" t="s">
        <v>124</v>
      </c>
      <c r="S3014" t="b">
        <v>0</v>
      </c>
      <c r="T3014" t="s">
        <v>124</v>
      </c>
    </row>
    <row r="3015">
      <c r="A3015" t="s">
        <v>5516</v>
      </c>
      <c r="B3015" t="s">
        <v>5511</v>
      </c>
      <c r="C3015" s="2">
        <v>2022</v>
      </c>
      <c r="D3015" s="10">
        <v>5</v>
      </c>
      <c r="E3015" s="10">
        <v>25</v>
      </c>
      <c r="F3015" t="s">
        <v>121</v>
      </c>
      <c r="G3015">
        <v>500</v>
      </c>
      <c r="H3015" t="s">
        <v>128</v>
      </c>
      <c r="I3015" t="s">
        <v>136</v>
      </c>
      <c r="J3015" s="10" t="str">
        <f>VLOOKUP(I3015,Categories!A:B,2,FALSE)</f>
        <v>อื่นๆ</v>
      </c>
      <c r="K3015" t="s">
        <v>178</v>
      </c>
      <c r="L3015" s="10" t="str">
        <f>VLOOKUP(K3015,Accounts!A:B,2,FALSE)</f>
        <v>SCB</v>
      </c>
      <c r="M3015" t="s">
        <v>201</v>
      </c>
      <c r="N3015" s="10" t="str">
        <f>VLOOKUP(M3015,Accounts!A:B,2,FALSE)</f>
        <v>Coop</v>
      </c>
      <c r="O3015" t="s">
        <v>125</v>
      </c>
      <c r="Q3015" t="s">
        <v>126</v>
      </c>
      <c r="R3015" t="s">
        <v>124</v>
      </c>
      <c r="S3015" t="b">
        <v>0</v>
      </c>
      <c r="T3015" t="s">
        <v>124</v>
      </c>
    </row>
    <row r="3016">
      <c r="A3016" t="s">
        <v>5517</v>
      </c>
      <c r="B3016" t="s">
        <v>5511</v>
      </c>
      <c r="C3016" s="2">
        <v>2022</v>
      </c>
      <c r="D3016" s="10">
        <v>5</v>
      </c>
      <c r="E3016" s="10">
        <v>25</v>
      </c>
      <c r="F3016" t="s">
        <v>121</v>
      </c>
      <c r="G3016">
        <v>103320</v>
      </c>
      <c r="H3016" t="s">
        <v>206</v>
      </c>
      <c r="I3016" t="s">
        <v>207</v>
      </c>
      <c r="J3016" s="10" t="str">
        <f>VLOOKUP(I3016,Categories!A:B,2,FALSE)</f>
        <v>Salary</v>
      </c>
      <c r="K3016" t="s">
        <v>178</v>
      </c>
      <c r="L3016" s="10" t="str">
        <f>VLOOKUP(K3016,Accounts!A:B,2,FALSE)</f>
        <v>SCB</v>
      </c>
      <c r="M3016" t="s">
        <v>124</v>
      </c>
      <c r="N3016" s="10"/>
      <c r="O3016" t="s">
        <v>125</v>
      </c>
      <c r="Q3016" t="s">
        <v>126</v>
      </c>
      <c r="R3016" t="s">
        <v>124</v>
      </c>
      <c r="S3016" t="b">
        <v>0</v>
      </c>
      <c r="T3016" t="s">
        <v>124</v>
      </c>
    </row>
    <row r="3017">
      <c r="A3017" t="s">
        <v>5518</v>
      </c>
      <c r="B3017" t="s">
        <v>5511</v>
      </c>
      <c r="C3017" s="2">
        <v>2022</v>
      </c>
      <c r="D3017" s="10">
        <v>5</v>
      </c>
      <c r="E3017" s="10">
        <v>25</v>
      </c>
      <c r="F3017" t="s">
        <v>5519</v>
      </c>
      <c r="G3017">
        <v>416.25999999999999</v>
      </c>
      <c r="H3017" t="s">
        <v>69</v>
      </c>
      <c r="I3017" t="s">
        <v>195</v>
      </c>
      <c r="J3017" s="10" t="str">
        <f>VLOOKUP(I3017,Categories!A:B,2,FALSE)</f>
        <v>Tax</v>
      </c>
      <c r="K3017" t="s">
        <v>178</v>
      </c>
      <c r="L3017" s="10" t="str">
        <f>VLOOKUP(K3017,Accounts!A:B,2,FALSE)</f>
        <v>SCB</v>
      </c>
      <c r="M3017" t="s">
        <v>124</v>
      </c>
      <c r="N3017" s="10"/>
      <c r="O3017" t="s">
        <v>125</v>
      </c>
      <c r="Q3017" t="s">
        <v>126</v>
      </c>
      <c r="R3017" t="s">
        <v>124</v>
      </c>
      <c r="S3017" t="b">
        <v>0</v>
      </c>
      <c r="T3017" t="s">
        <v>124</v>
      </c>
    </row>
    <row r="3018">
      <c r="A3018" t="s">
        <v>5520</v>
      </c>
      <c r="B3018" t="s">
        <v>5511</v>
      </c>
      <c r="C3018" s="2">
        <v>2022</v>
      </c>
      <c r="D3018" s="10">
        <v>5</v>
      </c>
      <c r="E3018" s="10">
        <v>25</v>
      </c>
      <c r="F3018" t="s">
        <v>595</v>
      </c>
      <c r="G3018">
        <v>60</v>
      </c>
      <c r="H3018" t="s">
        <v>69</v>
      </c>
      <c r="I3018" t="s">
        <v>150</v>
      </c>
      <c r="J3018" s="10" t="str">
        <f>VLOOKUP(I3018,Categories!A:B,2,FALSE)</f>
        <v xml:space="preserve">Food &amp; Coff</v>
      </c>
      <c r="K3018" t="s">
        <v>178</v>
      </c>
      <c r="L3018" s="10" t="str">
        <f>VLOOKUP(K3018,Accounts!A:B,2,FALSE)</f>
        <v>SCB</v>
      </c>
      <c r="M3018" t="s">
        <v>124</v>
      </c>
      <c r="N3018" s="10"/>
      <c r="O3018" t="s">
        <v>125</v>
      </c>
      <c r="Q3018" t="s">
        <v>126</v>
      </c>
      <c r="R3018" t="s">
        <v>124</v>
      </c>
      <c r="S3018" t="b">
        <v>0</v>
      </c>
      <c r="T3018" t="s">
        <v>124</v>
      </c>
    </row>
    <row r="3019">
      <c r="A3019" t="s">
        <v>5521</v>
      </c>
      <c r="B3019" t="s">
        <v>5522</v>
      </c>
      <c r="C3019" s="2">
        <v>2022</v>
      </c>
      <c r="D3019" s="10">
        <v>5</v>
      </c>
      <c r="E3019" s="10">
        <v>21</v>
      </c>
      <c r="F3019" t="s">
        <v>1100</v>
      </c>
      <c r="G3019">
        <v>435</v>
      </c>
      <c r="H3019" t="s">
        <v>69</v>
      </c>
      <c r="I3019" t="s">
        <v>150</v>
      </c>
      <c r="J3019" s="10" t="str">
        <f>VLOOKUP(I3019,Categories!A:B,2,FALSE)</f>
        <v xml:space="preserve">Food &amp; Coff</v>
      </c>
      <c r="K3019" t="s">
        <v>178</v>
      </c>
      <c r="L3019" s="10" t="str">
        <f>VLOOKUP(K3019,Accounts!A:B,2,FALSE)</f>
        <v>SCB</v>
      </c>
      <c r="M3019" t="s">
        <v>124</v>
      </c>
      <c r="N3019" s="10"/>
      <c r="O3019" t="s">
        <v>5523</v>
      </c>
      <c r="Q3019" t="s">
        <v>126</v>
      </c>
      <c r="R3019" t="s">
        <v>124</v>
      </c>
      <c r="S3019" t="b">
        <v>0</v>
      </c>
      <c r="T3019" t="s">
        <v>124</v>
      </c>
    </row>
    <row r="3020">
      <c r="A3020" t="s">
        <v>5524</v>
      </c>
      <c r="B3020" t="s">
        <v>5522</v>
      </c>
      <c r="C3020" s="2">
        <v>2022</v>
      </c>
      <c r="D3020" s="10">
        <v>5</v>
      </c>
      <c r="E3020" s="10">
        <v>21</v>
      </c>
      <c r="F3020" t="s">
        <v>820</v>
      </c>
      <c r="G3020">
        <v>10</v>
      </c>
      <c r="H3020" t="s">
        <v>69</v>
      </c>
      <c r="I3020" t="s">
        <v>150</v>
      </c>
      <c r="J3020" s="10" t="str">
        <f>VLOOKUP(I3020,Categories!A:B,2,FALSE)</f>
        <v xml:space="preserve">Food &amp; Coff</v>
      </c>
      <c r="K3020" t="s">
        <v>178</v>
      </c>
      <c r="L3020" s="10" t="str">
        <f>VLOOKUP(K3020,Accounts!A:B,2,FALSE)</f>
        <v>SCB</v>
      </c>
      <c r="M3020" t="s">
        <v>124</v>
      </c>
      <c r="N3020" s="10"/>
      <c r="O3020" t="s">
        <v>125</v>
      </c>
      <c r="Q3020" t="s">
        <v>126</v>
      </c>
      <c r="R3020" t="s">
        <v>124</v>
      </c>
      <c r="S3020" t="b">
        <v>0</v>
      </c>
      <c r="T3020" t="s">
        <v>124</v>
      </c>
    </row>
    <row r="3021">
      <c r="A3021" t="s">
        <v>5525</v>
      </c>
      <c r="B3021" t="s">
        <v>5526</v>
      </c>
      <c r="C3021" s="2">
        <v>2022</v>
      </c>
      <c r="D3021" s="10">
        <v>5</v>
      </c>
      <c r="E3021" s="10">
        <v>19</v>
      </c>
      <c r="F3021" t="s">
        <v>582</v>
      </c>
      <c r="G3021">
        <v>750</v>
      </c>
      <c r="H3021" t="s">
        <v>69</v>
      </c>
      <c r="I3021" t="s">
        <v>150</v>
      </c>
      <c r="J3021" s="10" t="str">
        <f>VLOOKUP(I3021,Categories!A:B,2,FALSE)</f>
        <v xml:space="preserve">Food &amp; Coff</v>
      </c>
      <c r="K3021" t="s">
        <v>178</v>
      </c>
      <c r="L3021" s="10" t="str">
        <f>VLOOKUP(K3021,Accounts!A:B,2,FALSE)</f>
        <v>SCB</v>
      </c>
      <c r="M3021" t="s">
        <v>124</v>
      </c>
      <c r="N3021" s="10"/>
      <c r="O3021" t="s">
        <v>125</v>
      </c>
      <c r="Q3021" t="s">
        <v>126</v>
      </c>
      <c r="R3021" t="s">
        <v>124</v>
      </c>
      <c r="S3021" t="b">
        <v>0</v>
      </c>
      <c r="T3021" t="s">
        <v>124</v>
      </c>
    </row>
    <row r="3022">
      <c r="A3022" t="s">
        <v>5527</v>
      </c>
      <c r="B3022" t="s">
        <v>5526</v>
      </c>
      <c r="C3022" s="2">
        <v>2022</v>
      </c>
      <c r="D3022" s="10">
        <v>5</v>
      </c>
      <c r="E3022" s="10">
        <v>19</v>
      </c>
      <c r="F3022" t="s">
        <v>1100</v>
      </c>
      <c r="G3022">
        <v>60</v>
      </c>
      <c r="H3022" t="s">
        <v>69</v>
      </c>
      <c r="I3022" t="s">
        <v>150</v>
      </c>
      <c r="J3022" s="10" t="str">
        <f>VLOOKUP(I3022,Categories!A:B,2,FALSE)</f>
        <v xml:space="preserve">Food &amp; Coff</v>
      </c>
      <c r="K3022" t="s">
        <v>178</v>
      </c>
      <c r="L3022" s="10" t="str">
        <f>VLOOKUP(K3022,Accounts!A:B,2,FALSE)</f>
        <v>SCB</v>
      </c>
      <c r="M3022" t="s">
        <v>124</v>
      </c>
      <c r="N3022" s="10"/>
      <c r="O3022" t="s">
        <v>125</v>
      </c>
      <c r="Q3022" t="s">
        <v>126</v>
      </c>
      <c r="R3022" t="s">
        <v>124</v>
      </c>
      <c r="S3022" t="b">
        <v>0</v>
      </c>
      <c r="T3022" t="s">
        <v>124</v>
      </c>
    </row>
    <row r="3023">
      <c r="A3023" t="s">
        <v>5528</v>
      </c>
      <c r="B3023" t="s">
        <v>5529</v>
      </c>
      <c r="C3023" s="2">
        <v>2022</v>
      </c>
      <c r="D3023" s="10">
        <v>5</v>
      </c>
      <c r="E3023" s="10">
        <v>18</v>
      </c>
      <c r="F3023" t="s">
        <v>3932</v>
      </c>
      <c r="G3023">
        <v>50</v>
      </c>
      <c r="H3023" t="s">
        <v>69</v>
      </c>
      <c r="I3023" t="s">
        <v>150</v>
      </c>
      <c r="J3023" s="10" t="str">
        <f>VLOOKUP(I3023,Categories!A:B,2,FALSE)</f>
        <v xml:space="preserve">Food &amp; Coff</v>
      </c>
      <c r="K3023" t="s">
        <v>178</v>
      </c>
      <c r="L3023" s="10" t="str">
        <f>VLOOKUP(K3023,Accounts!A:B,2,FALSE)</f>
        <v>SCB</v>
      </c>
      <c r="M3023" t="s">
        <v>124</v>
      </c>
      <c r="N3023" s="10"/>
      <c r="O3023" t="s">
        <v>125</v>
      </c>
      <c r="Q3023" t="s">
        <v>126</v>
      </c>
      <c r="R3023" t="s">
        <v>124</v>
      </c>
      <c r="S3023" t="b">
        <v>0</v>
      </c>
      <c r="T3023" t="s">
        <v>124</v>
      </c>
    </row>
    <row r="3024">
      <c r="A3024" t="s">
        <v>5530</v>
      </c>
      <c r="B3024" t="s">
        <v>5529</v>
      </c>
      <c r="C3024" s="2">
        <v>2022</v>
      </c>
      <c r="D3024" s="10">
        <v>5</v>
      </c>
      <c r="E3024" s="10">
        <v>18</v>
      </c>
      <c r="F3024" t="s">
        <v>1800</v>
      </c>
      <c r="G3024">
        <v>80</v>
      </c>
      <c r="H3024" t="s">
        <v>69</v>
      </c>
      <c r="I3024" t="s">
        <v>150</v>
      </c>
      <c r="J3024" s="10" t="str">
        <f>VLOOKUP(I3024,Categories!A:B,2,FALSE)</f>
        <v xml:space="preserve">Food &amp; Coff</v>
      </c>
      <c r="K3024" t="s">
        <v>178</v>
      </c>
      <c r="L3024" s="10" t="str">
        <f>VLOOKUP(K3024,Accounts!A:B,2,FALSE)</f>
        <v>SCB</v>
      </c>
      <c r="M3024" t="s">
        <v>124</v>
      </c>
      <c r="N3024" s="10"/>
      <c r="O3024" t="s">
        <v>5531</v>
      </c>
      <c r="Q3024" t="s">
        <v>126</v>
      </c>
      <c r="R3024" t="s">
        <v>124</v>
      </c>
      <c r="S3024" t="b">
        <v>0</v>
      </c>
      <c r="T3024" t="s">
        <v>124</v>
      </c>
    </row>
    <row r="3025">
      <c r="A3025" t="s">
        <v>5532</v>
      </c>
      <c r="B3025" t="s">
        <v>5529</v>
      </c>
      <c r="C3025" s="2">
        <v>2022</v>
      </c>
      <c r="D3025" s="10">
        <v>5</v>
      </c>
      <c r="E3025" s="10">
        <v>18</v>
      </c>
      <c r="F3025" t="s">
        <v>147</v>
      </c>
      <c r="G3025">
        <v>478</v>
      </c>
      <c r="H3025" t="s">
        <v>128</v>
      </c>
      <c r="I3025" t="s">
        <v>136</v>
      </c>
      <c r="J3025" s="10" t="str">
        <f>VLOOKUP(I3025,Categories!A:B,2,FALSE)</f>
        <v>อื่นๆ</v>
      </c>
      <c r="K3025" t="s">
        <v>2862</v>
      </c>
      <c r="L3025" s="10" t="str">
        <f>VLOOKUP(K3025,Accounts!A:B,2,FALSE)</f>
        <v xml:space="preserve">Kbank onesiam</v>
      </c>
      <c r="M3025" t="s">
        <v>131</v>
      </c>
      <c r="N3025" s="10" t="str">
        <f>VLOOKUP(M3025,Accounts!A:B,2,FALSE)</f>
        <v xml:space="preserve">Advance Paid</v>
      </c>
      <c r="O3025" t="s">
        <v>125</v>
      </c>
      <c r="Q3025" t="s">
        <v>126</v>
      </c>
      <c r="R3025" t="s">
        <v>124</v>
      </c>
      <c r="S3025" t="b">
        <v>0</v>
      </c>
      <c r="T3025" t="s">
        <v>124</v>
      </c>
    </row>
    <row r="3026">
      <c r="A3026" t="s">
        <v>5533</v>
      </c>
      <c r="B3026" t="s">
        <v>5534</v>
      </c>
      <c r="C3026" s="2">
        <v>2022</v>
      </c>
      <c r="D3026" s="10">
        <v>5</v>
      </c>
      <c r="E3026" s="10">
        <v>17</v>
      </c>
      <c r="F3026" t="s">
        <v>2830</v>
      </c>
      <c r="G3026">
        <v>75</v>
      </c>
      <c r="H3026" t="s">
        <v>69</v>
      </c>
      <c r="I3026" t="s">
        <v>150</v>
      </c>
      <c r="J3026" s="10" t="str">
        <f>VLOOKUP(I3026,Categories!A:B,2,FALSE)</f>
        <v xml:space="preserve">Food &amp; Coff</v>
      </c>
      <c r="K3026" t="s">
        <v>178</v>
      </c>
      <c r="L3026" s="10" t="str">
        <f>VLOOKUP(K3026,Accounts!A:B,2,FALSE)</f>
        <v>SCB</v>
      </c>
      <c r="M3026" t="s">
        <v>124</v>
      </c>
      <c r="N3026" s="10"/>
      <c r="O3026" t="s">
        <v>5535</v>
      </c>
      <c r="Q3026" t="s">
        <v>126</v>
      </c>
      <c r="R3026" t="s">
        <v>124</v>
      </c>
      <c r="S3026" t="b">
        <v>0</v>
      </c>
      <c r="T3026" t="s">
        <v>124</v>
      </c>
    </row>
    <row r="3027">
      <c r="A3027" t="s">
        <v>5536</v>
      </c>
      <c r="B3027" t="s">
        <v>5537</v>
      </c>
      <c r="C3027" s="2">
        <v>2022</v>
      </c>
      <c r="D3027" s="10">
        <v>5</v>
      </c>
      <c r="E3027" s="10">
        <v>16</v>
      </c>
      <c r="F3027" t="s">
        <v>3623</v>
      </c>
      <c r="G3027">
        <v>791</v>
      </c>
      <c r="H3027" t="s">
        <v>69</v>
      </c>
      <c r="I3027" t="s">
        <v>144</v>
      </c>
      <c r="J3027" s="10" t="str">
        <f>VLOOKUP(I3027,Categories!A:B,2,FALSE)</f>
        <v xml:space="preserve">Family paid</v>
      </c>
      <c r="K3027" t="s">
        <v>178</v>
      </c>
      <c r="L3027" s="10" t="str">
        <f>VLOOKUP(K3027,Accounts!A:B,2,FALSE)</f>
        <v>SCB</v>
      </c>
      <c r="M3027" t="s">
        <v>124</v>
      </c>
      <c r="N3027" s="10"/>
      <c r="O3027" t="s">
        <v>125</v>
      </c>
      <c r="Q3027" t="s">
        <v>126</v>
      </c>
      <c r="R3027" t="s">
        <v>124</v>
      </c>
      <c r="S3027" t="b">
        <v>0</v>
      </c>
      <c r="T3027" t="s">
        <v>124</v>
      </c>
    </row>
    <row r="3028">
      <c r="A3028" t="s">
        <v>5538</v>
      </c>
      <c r="B3028" t="s">
        <v>5537</v>
      </c>
      <c r="C3028" s="2">
        <v>2022</v>
      </c>
      <c r="D3028" s="10">
        <v>5</v>
      </c>
      <c r="E3028" s="10">
        <v>16</v>
      </c>
      <c r="F3028" t="s">
        <v>4172</v>
      </c>
      <c r="G3028">
        <v>76</v>
      </c>
      <c r="H3028" t="s">
        <v>69</v>
      </c>
      <c r="I3028" t="s">
        <v>1339</v>
      </c>
      <c r="J3028" s="10" t="str">
        <f>VLOOKUP(I3028,Categories!A:B,2,FALSE)</f>
        <v>Manga</v>
      </c>
      <c r="K3028" t="s">
        <v>178</v>
      </c>
      <c r="L3028" s="10" t="str">
        <f>VLOOKUP(K3028,Accounts!A:B,2,FALSE)</f>
        <v>SCB</v>
      </c>
      <c r="M3028" t="s">
        <v>124</v>
      </c>
      <c r="N3028" s="10"/>
      <c r="O3028" t="s">
        <v>125</v>
      </c>
      <c r="Q3028" t="s">
        <v>126</v>
      </c>
      <c r="R3028" t="s">
        <v>124</v>
      </c>
      <c r="S3028" t="b">
        <v>0</v>
      </c>
      <c r="T3028" t="s">
        <v>124</v>
      </c>
    </row>
    <row r="3029">
      <c r="A3029" t="s">
        <v>5539</v>
      </c>
      <c r="B3029" t="s">
        <v>5540</v>
      </c>
      <c r="C3029" s="2">
        <v>2022</v>
      </c>
      <c r="D3029" s="10">
        <v>5</v>
      </c>
      <c r="E3029" s="10">
        <v>15</v>
      </c>
      <c r="F3029" t="s">
        <v>301</v>
      </c>
      <c r="G3029">
        <v>8000</v>
      </c>
      <c r="H3029" t="s">
        <v>128</v>
      </c>
      <c r="I3029" t="s">
        <v>136</v>
      </c>
      <c r="J3029" s="10" t="str">
        <f>VLOOKUP(I3029,Categories!A:B,2,FALSE)</f>
        <v>อื่นๆ</v>
      </c>
      <c r="K3029" t="s">
        <v>131</v>
      </c>
      <c r="L3029" s="10" t="str">
        <f>VLOOKUP(K3029,Accounts!A:B,2,FALSE)</f>
        <v xml:space="preserve">Advance Paid</v>
      </c>
      <c r="M3029" t="s">
        <v>178</v>
      </c>
      <c r="N3029" s="10" t="str">
        <f>VLOOKUP(M3029,Accounts!A:B,2,FALSE)</f>
        <v>SCB</v>
      </c>
      <c r="O3029" t="s">
        <v>5541</v>
      </c>
      <c r="Q3029" t="s">
        <v>126</v>
      </c>
      <c r="R3029" t="s">
        <v>124</v>
      </c>
      <c r="S3029" t="b">
        <v>0</v>
      </c>
      <c r="T3029" t="s">
        <v>124</v>
      </c>
    </row>
    <row r="3030">
      <c r="A3030" t="s">
        <v>5542</v>
      </c>
      <c r="B3030" t="s">
        <v>5543</v>
      </c>
      <c r="C3030" s="2">
        <v>2022</v>
      </c>
      <c r="D3030" s="10">
        <v>5</v>
      </c>
      <c r="E3030" s="10">
        <v>14</v>
      </c>
      <c r="F3030" t="s">
        <v>121</v>
      </c>
      <c r="G3030">
        <v>419</v>
      </c>
      <c r="H3030" t="s">
        <v>128</v>
      </c>
      <c r="I3030" t="s">
        <v>136</v>
      </c>
      <c r="J3030" s="10" t="str">
        <f>VLOOKUP(I3030,Categories!A:B,2,FALSE)</f>
        <v>อื่นๆ</v>
      </c>
      <c r="K3030" t="s">
        <v>178</v>
      </c>
      <c r="L3030" s="10" t="str">
        <f>VLOOKUP(K3030,Accounts!A:B,2,FALSE)</f>
        <v>SCB</v>
      </c>
      <c r="M3030" t="s">
        <v>747</v>
      </c>
      <c r="N3030" s="10" t="str">
        <f>VLOOKUP(M3030,Accounts!A:B,2,FALSE)</f>
        <v xml:space="preserve">UOB world</v>
      </c>
      <c r="O3030" t="s">
        <v>125</v>
      </c>
      <c r="Q3030" t="s">
        <v>126</v>
      </c>
      <c r="R3030" t="s">
        <v>124</v>
      </c>
      <c r="S3030" t="b">
        <v>0</v>
      </c>
      <c r="T3030" t="s">
        <v>124</v>
      </c>
    </row>
    <row r="3031">
      <c r="A3031" t="s">
        <v>5544</v>
      </c>
      <c r="B3031" t="s">
        <v>5543</v>
      </c>
      <c r="C3031" s="2">
        <v>2022</v>
      </c>
      <c r="D3031" s="10">
        <v>5</v>
      </c>
      <c r="E3031" s="10">
        <v>14</v>
      </c>
      <c r="F3031" t="s">
        <v>121</v>
      </c>
      <c r="G3031">
        <v>419</v>
      </c>
      <c r="H3031" t="s">
        <v>69</v>
      </c>
      <c r="I3031" t="s">
        <v>1903</v>
      </c>
      <c r="J3031" s="10" t="str">
        <f>VLOOKUP(I3031,Categories!A:B,2,FALSE)</f>
        <v xml:space="preserve">Monthly subscription</v>
      </c>
      <c r="K3031" t="s">
        <v>747</v>
      </c>
      <c r="L3031" s="10" t="str">
        <f>VLOOKUP(K3031,Accounts!A:B,2,FALSE)</f>
        <v xml:space="preserve">UOB world</v>
      </c>
      <c r="M3031" t="s">
        <v>124</v>
      </c>
      <c r="N3031" s="10"/>
      <c r="O3031" t="s">
        <v>125</v>
      </c>
      <c r="Q3031" t="s">
        <v>126</v>
      </c>
      <c r="R3031" t="s">
        <v>124</v>
      </c>
      <c r="S3031" t="b">
        <v>0</v>
      </c>
      <c r="T3031" t="s">
        <v>124</v>
      </c>
    </row>
    <row r="3032">
      <c r="A3032" t="s">
        <v>5545</v>
      </c>
      <c r="B3032" t="s">
        <v>5543</v>
      </c>
      <c r="C3032" s="2">
        <v>2022</v>
      </c>
      <c r="D3032" s="10">
        <v>5</v>
      </c>
      <c r="E3032" s="10">
        <v>14</v>
      </c>
      <c r="F3032" t="s">
        <v>2616</v>
      </c>
      <c r="G3032">
        <v>10529.389999999999</v>
      </c>
      <c r="H3032" t="s">
        <v>128</v>
      </c>
      <c r="I3032" t="s">
        <v>136</v>
      </c>
      <c r="J3032" s="10" t="str">
        <f>VLOOKUP(I3032,Categories!A:B,2,FALSE)</f>
        <v>อื่นๆ</v>
      </c>
      <c r="K3032" t="s">
        <v>178</v>
      </c>
      <c r="L3032" s="10" t="str">
        <f>VLOOKUP(K3032,Accounts!A:B,2,FALSE)</f>
        <v>SCB</v>
      </c>
      <c r="M3032" t="s">
        <v>130</v>
      </c>
      <c r="N3032" s="10" t="str">
        <f>VLOOKUP(M3032,Accounts!A:B,2,FALSE)</f>
        <v xml:space="preserve">KTC JCB</v>
      </c>
      <c r="O3032" t="s">
        <v>125</v>
      </c>
      <c r="Q3032" t="s">
        <v>126</v>
      </c>
      <c r="R3032" t="s">
        <v>124</v>
      </c>
      <c r="S3032" t="b">
        <v>0</v>
      </c>
      <c r="T3032" t="s">
        <v>124</v>
      </c>
    </row>
    <row r="3033">
      <c r="A3033" t="s">
        <v>5546</v>
      </c>
      <c r="B3033" t="s">
        <v>5543</v>
      </c>
      <c r="C3033" s="2">
        <v>2022</v>
      </c>
      <c r="D3033" s="10">
        <v>5</v>
      </c>
      <c r="E3033" s="10">
        <v>14</v>
      </c>
      <c r="F3033" t="s">
        <v>4757</v>
      </c>
      <c r="G3033">
        <v>442</v>
      </c>
      <c r="H3033" t="s">
        <v>128</v>
      </c>
      <c r="I3033" t="s">
        <v>136</v>
      </c>
      <c r="J3033" s="10" t="str">
        <f>VLOOKUP(I3033,Categories!A:B,2,FALSE)</f>
        <v>อื่นๆ</v>
      </c>
      <c r="K3033" t="s">
        <v>747</v>
      </c>
      <c r="L3033" s="10" t="str">
        <f>VLOOKUP(K3033,Accounts!A:B,2,FALSE)</f>
        <v xml:space="preserve">UOB world</v>
      </c>
      <c r="M3033" t="s">
        <v>131</v>
      </c>
      <c r="N3033" s="10" t="str">
        <f>VLOOKUP(M3033,Accounts!A:B,2,FALSE)</f>
        <v xml:space="preserve">Advance Paid</v>
      </c>
      <c r="O3033" t="s">
        <v>125</v>
      </c>
      <c r="Q3033" t="s">
        <v>126</v>
      </c>
      <c r="R3033" t="s">
        <v>124</v>
      </c>
      <c r="S3033" t="b">
        <v>0</v>
      </c>
      <c r="T3033" t="s">
        <v>124</v>
      </c>
    </row>
    <row r="3034">
      <c r="A3034" t="s">
        <v>5547</v>
      </c>
      <c r="B3034" t="s">
        <v>5543</v>
      </c>
      <c r="C3034" s="2">
        <v>2022</v>
      </c>
      <c r="D3034" s="10">
        <v>5</v>
      </c>
      <c r="E3034" s="10">
        <v>14</v>
      </c>
      <c r="F3034" t="s">
        <v>3336</v>
      </c>
      <c r="G3034">
        <v>60</v>
      </c>
      <c r="H3034" t="s">
        <v>69</v>
      </c>
      <c r="I3034" t="s">
        <v>141</v>
      </c>
      <c r="J3034" s="10" t="str">
        <f>VLOOKUP(I3034,Categories!A:B,2,FALSE)</f>
        <v>Other</v>
      </c>
      <c r="K3034" t="s">
        <v>743</v>
      </c>
      <c r="L3034" s="10" t="str">
        <f>VLOOKUP(K3034,Accounts!A:B,2,FALSE)</f>
        <v>HOMEPRO</v>
      </c>
      <c r="M3034" t="s">
        <v>124</v>
      </c>
      <c r="N3034" s="10"/>
      <c r="O3034" t="s">
        <v>125</v>
      </c>
      <c r="Q3034" t="s">
        <v>126</v>
      </c>
      <c r="R3034" t="s">
        <v>124</v>
      </c>
      <c r="S3034" t="b">
        <v>0</v>
      </c>
      <c r="T3034" t="s">
        <v>124</v>
      </c>
    </row>
    <row r="3035">
      <c r="A3035" t="s">
        <v>5548</v>
      </c>
      <c r="B3035" t="s">
        <v>5543</v>
      </c>
      <c r="C3035" s="2">
        <v>2022</v>
      </c>
      <c r="D3035" s="10">
        <v>5</v>
      </c>
      <c r="E3035" s="10">
        <v>14</v>
      </c>
      <c r="F3035" t="s">
        <v>1881</v>
      </c>
      <c r="G3035">
        <v>6730.5900000000001</v>
      </c>
      <c r="H3035" t="s">
        <v>128</v>
      </c>
      <c r="I3035" t="s">
        <v>136</v>
      </c>
      <c r="J3035" s="10" t="str">
        <f>VLOOKUP(I3035,Categories!A:B,2,FALSE)</f>
        <v>อื่นๆ</v>
      </c>
      <c r="K3035" t="s">
        <v>766</v>
      </c>
      <c r="L3035" s="10" t="str">
        <f>VLOOKUP(K3035,Accounts!A:B,2,FALSE)</f>
        <v>KRUNGSRI</v>
      </c>
      <c r="M3035" t="s">
        <v>743</v>
      </c>
      <c r="N3035" s="10" t="str">
        <f>VLOOKUP(M3035,Accounts!A:B,2,FALSE)</f>
        <v>HOMEPRO</v>
      </c>
      <c r="O3035" t="s">
        <v>125</v>
      </c>
      <c r="Q3035" t="s">
        <v>126</v>
      </c>
      <c r="R3035" t="s">
        <v>124</v>
      </c>
      <c r="S3035" t="b">
        <v>0</v>
      </c>
      <c r="T3035" t="s">
        <v>124</v>
      </c>
    </row>
    <row r="3036">
      <c r="A3036" t="s">
        <v>5549</v>
      </c>
      <c r="B3036" t="s">
        <v>5543</v>
      </c>
      <c r="C3036" s="2">
        <v>2022</v>
      </c>
      <c r="D3036" s="10">
        <v>5</v>
      </c>
      <c r="E3036" s="10">
        <v>14</v>
      </c>
      <c r="F3036" t="s">
        <v>1105</v>
      </c>
      <c r="G3036">
        <v>168</v>
      </c>
      <c r="H3036" t="s">
        <v>128</v>
      </c>
      <c r="I3036" t="s">
        <v>136</v>
      </c>
      <c r="J3036" s="10" t="str">
        <f>VLOOKUP(I3036,Categories!A:B,2,FALSE)</f>
        <v>อื่นๆ</v>
      </c>
      <c r="K3036" t="s">
        <v>2862</v>
      </c>
      <c r="L3036" s="10" t="str">
        <f>VLOOKUP(K3036,Accounts!A:B,2,FALSE)</f>
        <v xml:space="preserve">Kbank onesiam</v>
      </c>
      <c r="M3036" t="s">
        <v>131</v>
      </c>
      <c r="N3036" s="10" t="str">
        <f>VLOOKUP(M3036,Accounts!A:B,2,FALSE)</f>
        <v xml:space="preserve">Advance Paid</v>
      </c>
      <c r="O3036" t="s">
        <v>5550</v>
      </c>
      <c r="Q3036" t="s">
        <v>126</v>
      </c>
      <c r="R3036" t="s">
        <v>124</v>
      </c>
      <c r="S3036" t="b">
        <v>0</v>
      </c>
      <c r="T3036" t="s">
        <v>124</v>
      </c>
    </row>
    <row r="3037">
      <c r="A3037" t="s">
        <v>5551</v>
      </c>
      <c r="B3037" t="s">
        <v>5543</v>
      </c>
      <c r="C3037" s="2">
        <v>2022</v>
      </c>
      <c r="D3037" s="10">
        <v>5</v>
      </c>
      <c r="E3037" s="10">
        <v>14</v>
      </c>
      <c r="F3037" t="s">
        <v>1146</v>
      </c>
      <c r="G3037">
        <v>2350</v>
      </c>
      <c r="H3037" t="s">
        <v>128</v>
      </c>
      <c r="I3037" t="s">
        <v>136</v>
      </c>
      <c r="J3037" s="10" t="str">
        <f>VLOOKUP(I3037,Categories!A:B,2,FALSE)</f>
        <v>อื่นๆ</v>
      </c>
      <c r="K3037" t="s">
        <v>131</v>
      </c>
      <c r="L3037" s="10" t="str">
        <f>VLOOKUP(K3037,Accounts!A:B,2,FALSE)</f>
        <v xml:space="preserve">Advance Paid</v>
      </c>
      <c r="M3037" t="s">
        <v>5552</v>
      </c>
      <c r="N3037" s="10" t="str">
        <f>VLOOKUP(M3037,Accounts!A:B,2,FALSE)</f>
        <v xml:space="preserve">Kbank BLUECARD</v>
      </c>
      <c r="O3037" t="s">
        <v>125</v>
      </c>
      <c r="Q3037" t="s">
        <v>126</v>
      </c>
      <c r="R3037" t="s">
        <v>124</v>
      </c>
      <c r="S3037" t="b">
        <v>0</v>
      </c>
      <c r="T3037" t="s">
        <v>124</v>
      </c>
    </row>
    <row r="3038">
      <c r="A3038" t="s">
        <v>5553</v>
      </c>
      <c r="B3038" t="s">
        <v>5543</v>
      </c>
      <c r="C3038" s="2">
        <v>2022</v>
      </c>
      <c r="D3038" s="10">
        <v>5</v>
      </c>
      <c r="E3038" s="10">
        <v>14</v>
      </c>
      <c r="F3038" t="s">
        <v>1119</v>
      </c>
      <c r="G3038">
        <v>2879</v>
      </c>
      <c r="H3038" t="s">
        <v>69</v>
      </c>
      <c r="I3038" t="s">
        <v>254</v>
      </c>
      <c r="J3038" s="10" t="str">
        <f>VLOOKUP(I3038,Categories!A:B,2,FALSE)</f>
        <v xml:space="preserve">Modified Bal.</v>
      </c>
      <c r="K3038" t="s">
        <v>425</v>
      </c>
      <c r="L3038" s="10" t="str">
        <f>VLOOKUP(K3038,Accounts!A:B,2,FALSE)</f>
        <v>Cash</v>
      </c>
      <c r="M3038" t="s">
        <v>124</v>
      </c>
      <c r="N3038" s="10"/>
      <c r="O3038" t="s">
        <v>255</v>
      </c>
      <c r="Q3038" t="s">
        <v>126</v>
      </c>
      <c r="R3038" t="s">
        <v>124</v>
      </c>
      <c r="S3038" t="b">
        <v>0</v>
      </c>
      <c r="T3038" t="s">
        <v>124</v>
      </c>
    </row>
    <row r="3039">
      <c r="A3039" t="s">
        <v>5554</v>
      </c>
      <c r="B3039" t="s">
        <v>5555</v>
      </c>
      <c r="C3039" s="2">
        <v>2022</v>
      </c>
      <c r="D3039" s="10">
        <v>5</v>
      </c>
      <c r="E3039" s="10">
        <v>12</v>
      </c>
      <c r="F3039" t="s">
        <v>4214</v>
      </c>
      <c r="G3039">
        <v>40</v>
      </c>
      <c r="H3039" t="s">
        <v>69</v>
      </c>
      <c r="I3039" t="s">
        <v>150</v>
      </c>
      <c r="J3039" s="10" t="str">
        <f>VLOOKUP(I3039,Categories!A:B,2,FALSE)</f>
        <v xml:space="preserve">Food &amp; Coff</v>
      </c>
      <c r="K3039" t="s">
        <v>178</v>
      </c>
      <c r="L3039" s="10" t="str">
        <f>VLOOKUP(K3039,Accounts!A:B,2,FALSE)</f>
        <v>SCB</v>
      </c>
      <c r="M3039" t="s">
        <v>124</v>
      </c>
      <c r="N3039" s="10"/>
      <c r="O3039" t="s">
        <v>125</v>
      </c>
      <c r="Q3039" t="s">
        <v>126</v>
      </c>
      <c r="R3039" t="s">
        <v>124</v>
      </c>
      <c r="S3039" t="b">
        <v>0</v>
      </c>
      <c r="T3039" t="s">
        <v>124</v>
      </c>
    </row>
    <row r="3040">
      <c r="A3040" t="s">
        <v>5556</v>
      </c>
      <c r="B3040" t="s">
        <v>5555</v>
      </c>
      <c r="C3040" s="2">
        <v>2022</v>
      </c>
      <c r="D3040" s="10">
        <v>5</v>
      </c>
      <c r="E3040" s="10">
        <v>12</v>
      </c>
      <c r="F3040" t="s">
        <v>247</v>
      </c>
      <c r="G3040">
        <v>1000</v>
      </c>
      <c r="H3040" t="s">
        <v>69</v>
      </c>
      <c r="I3040" t="s">
        <v>259</v>
      </c>
      <c r="J3040" s="10" t="str">
        <f>VLOOKUP(I3040,Categories!A:B,2,FALSE)</f>
        <v xml:space="preserve">Team BOT</v>
      </c>
      <c r="K3040" t="s">
        <v>178</v>
      </c>
      <c r="L3040" s="10" t="str">
        <f>VLOOKUP(K3040,Accounts!A:B,2,FALSE)</f>
        <v>SCB</v>
      </c>
      <c r="M3040" t="s">
        <v>124</v>
      </c>
      <c r="N3040" s="10"/>
      <c r="O3040" t="s">
        <v>125</v>
      </c>
      <c r="Q3040" t="s">
        <v>126</v>
      </c>
      <c r="R3040" t="s">
        <v>124</v>
      </c>
      <c r="S3040" t="b">
        <v>0</v>
      </c>
      <c r="T3040" t="s">
        <v>124</v>
      </c>
    </row>
    <row r="3041">
      <c r="A3041" t="s">
        <v>5557</v>
      </c>
      <c r="B3041" t="s">
        <v>5555</v>
      </c>
      <c r="C3041" s="2">
        <v>2022</v>
      </c>
      <c r="D3041" s="10">
        <v>5</v>
      </c>
      <c r="E3041" s="10">
        <v>12</v>
      </c>
      <c r="F3041" t="s">
        <v>1461</v>
      </c>
      <c r="G3041">
        <v>195</v>
      </c>
      <c r="H3041" t="s">
        <v>69</v>
      </c>
      <c r="I3041" t="s">
        <v>259</v>
      </c>
      <c r="J3041" s="10" t="str">
        <f>VLOOKUP(I3041,Categories!A:B,2,FALSE)</f>
        <v xml:space="preserve">Team BOT</v>
      </c>
      <c r="K3041" t="s">
        <v>178</v>
      </c>
      <c r="L3041" s="10" t="str">
        <f>VLOOKUP(K3041,Accounts!A:B,2,FALSE)</f>
        <v>SCB</v>
      </c>
      <c r="M3041" t="s">
        <v>124</v>
      </c>
      <c r="N3041" s="10"/>
      <c r="O3041" t="s">
        <v>125</v>
      </c>
      <c r="Q3041" t="s">
        <v>126</v>
      </c>
      <c r="R3041" t="s">
        <v>124</v>
      </c>
      <c r="S3041" t="b">
        <v>0</v>
      </c>
      <c r="T3041" t="s">
        <v>124</v>
      </c>
    </row>
    <row r="3042">
      <c r="A3042" t="s">
        <v>5558</v>
      </c>
      <c r="B3042" t="s">
        <v>5559</v>
      </c>
      <c r="C3042" s="2">
        <v>2022</v>
      </c>
      <c r="D3042" s="10">
        <v>5</v>
      </c>
      <c r="E3042" s="10">
        <v>11</v>
      </c>
      <c r="F3042" t="s">
        <v>603</v>
      </c>
      <c r="G3042">
        <v>220</v>
      </c>
      <c r="H3042" t="s">
        <v>69</v>
      </c>
      <c r="I3042" t="s">
        <v>150</v>
      </c>
      <c r="J3042" s="10" t="str">
        <f>VLOOKUP(I3042,Categories!A:B,2,FALSE)</f>
        <v xml:space="preserve">Food &amp; Coff</v>
      </c>
      <c r="K3042" t="s">
        <v>178</v>
      </c>
      <c r="L3042" s="10" t="str">
        <f>VLOOKUP(K3042,Accounts!A:B,2,FALSE)</f>
        <v>SCB</v>
      </c>
      <c r="M3042" t="s">
        <v>124</v>
      </c>
      <c r="N3042" s="10"/>
      <c r="O3042" t="s">
        <v>125</v>
      </c>
      <c r="Q3042" t="s">
        <v>126</v>
      </c>
      <c r="R3042" t="s">
        <v>124</v>
      </c>
      <c r="S3042" t="b">
        <v>0</v>
      </c>
      <c r="T3042" t="s">
        <v>124</v>
      </c>
    </row>
    <row r="3043">
      <c r="A3043" t="s">
        <v>5560</v>
      </c>
      <c r="B3043" t="s">
        <v>5559</v>
      </c>
      <c r="C3043" s="2">
        <v>2022</v>
      </c>
      <c r="D3043" s="10">
        <v>5</v>
      </c>
      <c r="E3043" s="10">
        <v>11</v>
      </c>
      <c r="F3043" t="s">
        <v>3704</v>
      </c>
      <c r="G3043">
        <v>60</v>
      </c>
      <c r="H3043" t="s">
        <v>69</v>
      </c>
      <c r="I3043" t="s">
        <v>150</v>
      </c>
      <c r="J3043" s="10" t="str">
        <f>VLOOKUP(I3043,Categories!A:B,2,FALSE)</f>
        <v xml:space="preserve">Food &amp; Coff</v>
      </c>
      <c r="K3043" t="s">
        <v>178</v>
      </c>
      <c r="L3043" s="10" t="str">
        <f>VLOOKUP(K3043,Accounts!A:B,2,FALSE)</f>
        <v>SCB</v>
      </c>
      <c r="M3043" t="s">
        <v>124</v>
      </c>
      <c r="N3043" s="10"/>
      <c r="O3043" t="s">
        <v>125</v>
      </c>
      <c r="Q3043" t="s">
        <v>126</v>
      </c>
      <c r="R3043" t="s">
        <v>124</v>
      </c>
      <c r="S3043" t="b">
        <v>0</v>
      </c>
      <c r="T3043" t="s">
        <v>124</v>
      </c>
    </row>
    <row r="3044">
      <c r="A3044" t="s">
        <v>5561</v>
      </c>
      <c r="B3044" t="s">
        <v>5559</v>
      </c>
      <c r="C3044" s="2">
        <v>2022</v>
      </c>
      <c r="D3044" s="10">
        <v>5</v>
      </c>
      <c r="E3044" s="10">
        <v>11</v>
      </c>
      <c r="F3044" t="s">
        <v>5562</v>
      </c>
      <c r="G3044">
        <v>691</v>
      </c>
      <c r="H3044" t="s">
        <v>69</v>
      </c>
      <c r="I3044" t="s">
        <v>141</v>
      </c>
      <c r="J3044" s="10" t="str">
        <f>VLOOKUP(I3044,Categories!A:B,2,FALSE)</f>
        <v>Other</v>
      </c>
      <c r="K3044" t="s">
        <v>130</v>
      </c>
      <c r="L3044" s="10" t="str">
        <f>VLOOKUP(K3044,Accounts!A:B,2,FALSE)</f>
        <v xml:space="preserve">KTC JCB</v>
      </c>
      <c r="M3044" t="s">
        <v>124</v>
      </c>
      <c r="N3044" s="10"/>
      <c r="O3044" t="s">
        <v>5563</v>
      </c>
      <c r="Q3044" t="s">
        <v>126</v>
      </c>
      <c r="R3044" t="s">
        <v>124</v>
      </c>
      <c r="S3044" t="b">
        <v>0</v>
      </c>
      <c r="T3044" t="s">
        <v>124</v>
      </c>
    </row>
    <row r="3045">
      <c r="A3045" t="s">
        <v>5564</v>
      </c>
      <c r="B3045" t="s">
        <v>5565</v>
      </c>
      <c r="C3045" s="2">
        <v>2022</v>
      </c>
      <c r="D3045" s="10">
        <v>5</v>
      </c>
      <c r="E3045" s="10">
        <v>10</v>
      </c>
      <c r="F3045" t="s">
        <v>3674</v>
      </c>
      <c r="G3045">
        <v>3004.9200000000001</v>
      </c>
      <c r="H3045" t="s">
        <v>69</v>
      </c>
      <c r="I3045" t="s">
        <v>1508</v>
      </c>
      <c r="J3045" s="10" t="str">
        <f>VLOOKUP(I3045,Categories!A:B,2,FALSE)</f>
        <v>Other</v>
      </c>
      <c r="K3045" t="s">
        <v>743</v>
      </c>
      <c r="L3045" s="10" t="str">
        <f>VLOOKUP(K3045,Accounts!A:B,2,FALSE)</f>
        <v>HOMEPRO</v>
      </c>
      <c r="M3045" t="s">
        <v>124</v>
      </c>
      <c r="N3045" s="10"/>
      <c r="O3045" t="s">
        <v>5451</v>
      </c>
      <c r="Q3045" t="s">
        <v>126</v>
      </c>
      <c r="R3045" t="s">
        <v>124</v>
      </c>
      <c r="S3045" t="b">
        <v>0</v>
      </c>
      <c r="T3045" t="s">
        <v>124</v>
      </c>
    </row>
    <row r="3046">
      <c r="A3046" t="s">
        <v>5566</v>
      </c>
      <c r="B3046" t="s">
        <v>5565</v>
      </c>
      <c r="C3046" s="2">
        <v>2022</v>
      </c>
      <c r="D3046" s="10">
        <v>5</v>
      </c>
      <c r="E3046" s="10">
        <v>10</v>
      </c>
      <c r="F3046" t="s">
        <v>258</v>
      </c>
      <c r="G3046">
        <v>40</v>
      </c>
      <c r="H3046" t="s">
        <v>69</v>
      </c>
      <c r="I3046" t="s">
        <v>150</v>
      </c>
      <c r="J3046" s="10" t="str">
        <f>VLOOKUP(I3046,Categories!A:B,2,FALSE)</f>
        <v xml:space="preserve">Food &amp; Coff</v>
      </c>
      <c r="K3046" t="s">
        <v>178</v>
      </c>
      <c r="L3046" s="10" t="str">
        <f>VLOOKUP(K3046,Accounts!A:B,2,FALSE)</f>
        <v>SCB</v>
      </c>
      <c r="M3046" t="s">
        <v>124</v>
      </c>
      <c r="N3046" s="10"/>
      <c r="O3046" t="s">
        <v>125</v>
      </c>
      <c r="Q3046" t="s">
        <v>126</v>
      </c>
      <c r="R3046" t="s">
        <v>124</v>
      </c>
      <c r="S3046" t="b">
        <v>0</v>
      </c>
      <c r="T3046" t="s">
        <v>124</v>
      </c>
    </row>
    <row r="3047">
      <c r="A3047" t="s">
        <v>5567</v>
      </c>
      <c r="B3047" t="s">
        <v>5565</v>
      </c>
      <c r="C3047" s="2">
        <v>2022</v>
      </c>
      <c r="D3047" s="10">
        <v>5</v>
      </c>
      <c r="E3047" s="10">
        <v>10</v>
      </c>
      <c r="F3047" t="s">
        <v>212</v>
      </c>
      <c r="G3047">
        <v>60</v>
      </c>
      <c r="H3047" t="s">
        <v>69</v>
      </c>
      <c r="I3047" t="s">
        <v>150</v>
      </c>
      <c r="J3047" s="10" t="str">
        <f>VLOOKUP(I3047,Categories!A:B,2,FALSE)</f>
        <v xml:space="preserve">Food &amp; Coff</v>
      </c>
      <c r="K3047" t="s">
        <v>178</v>
      </c>
      <c r="L3047" s="10" t="str">
        <f>VLOOKUP(K3047,Accounts!A:B,2,FALSE)</f>
        <v>SCB</v>
      </c>
      <c r="M3047" t="s">
        <v>124</v>
      </c>
      <c r="N3047" s="10"/>
      <c r="O3047" t="s">
        <v>125</v>
      </c>
      <c r="Q3047" t="s">
        <v>126</v>
      </c>
      <c r="R3047" t="s">
        <v>124</v>
      </c>
      <c r="S3047" t="b">
        <v>0</v>
      </c>
      <c r="T3047" t="s">
        <v>124</v>
      </c>
    </row>
    <row r="3048">
      <c r="A3048" t="s">
        <v>5568</v>
      </c>
      <c r="B3048" t="s">
        <v>5565</v>
      </c>
      <c r="C3048" s="2">
        <v>2022</v>
      </c>
      <c r="D3048" s="10">
        <v>5</v>
      </c>
      <c r="E3048" s="10">
        <v>10</v>
      </c>
      <c r="F3048" t="s">
        <v>5320</v>
      </c>
      <c r="G3048">
        <v>3635.6599999999999</v>
      </c>
      <c r="H3048" t="s">
        <v>69</v>
      </c>
      <c r="I3048" t="s">
        <v>1679</v>
      </c>
      <c r="J3048" s="10" t="str">
        <f>VLOOKUP(I3048,Categories!A:B,2,FALSE)</f>
        <v xml:space="preserve">Condo stuff</v>
      </c>
      <c r="K3048" t="s">
        <v>743</v>
      </c>
      <c r="L3048" s="10" t="str">
        <f>VLOOKUP(K3048,Accounts!A:B,2,FALSE)</f>
        <v>HOMEPRO</v>
      </c>
      <c r="M3048" t="s">
        <v>124</v>
      </c>
      <c r="N3048" s="10"/>
      <c r="O3048" t="s">
        <v>5569</v>
      </c>
      <c r="Q3048" t="s">
        <v>126</v>
      </c>
      <c r="R3048" t="s">
        <v>124</v>
      </c>
      <c r="S3048" t="b">
        <v>0</v>
      </c>
      <c r="T3048" t="s">
        <v>124</v>
      </c>
    </row>
    <row r="3049">
      <c r="A3049" t="s">
        <v>5570</v>
      </c>
      <c r="B3049" t="s">
        <v>5571</v>
      </c>
      <c r="C3049" s="2">
        <v>2022</v>
      </c>
      <c r="D3049" s="10">
        <v>5</v>
      </c>
      <c r="E3049" s="10">
        <v>8</v>
      </c>
      <c r="F3049" t="s">
        <v>1105</v>
      </c>
      <c r="G3049">
        <v>82.5</v>
      </c>
      <c r="H3049" t="s">
        <v>128</v>
      </c>
      <c r="I3049" t="s">
        <v>136</v>
      </c>
      <c r="J3049" s="10" t="str">
        <f>VLOOKUP(I3049,Categories!A:B,2,FALSE)</f>
        <v>อื่นๆ</v>
      </c>
      <c r="K3049" t="s">
        <v>2862</v>
      </c>
      <c r="L3049" s="10" t="str">
        <f>VLOOKUP(K3049,Accounts!A:B,2,FALSE)</f>
        <v xml:space="preserve">Kbank onesiam</v>
      </c>
      <c r="M3049" t="s">
        <v>131</v>
      </c>
      <c r="N3049" s="10" t="str">
        <f>VLOOKUP(M3049,Accounts!A:B,2,FALSE)</f>
        <v xml:space="preserve">Advance Paid</v>
      </c>
      <c r="O3049" t="s">
        <v>5572</v>
      </c>
      <c r="Q3049" t="s">
        <v>126</v>
      </c>
      <c r="R3049" t="s">
        <v>124</v>
      </c>
      <c r="S3049" t="b">
        <v>0</v>
      </c>
      <c r="T3049" t="s">
        <v>124</v>
      </c>
    </row>
    <row r="3050">
      <c r="A3050" t="s">
        <v>5573</v>
      </c>
      <c r="B3050" t="s">
        <v>5571</v>
      </c>
      <c r="C3050" s="2">
        <v>2022</v>
      </c>
      <c r="D3050" s="10">
        <v>5</v>
      </c>
      <c r="E3050" s="10">
        <v>8</v>
      </c>
      <c r="F3050" t="s">
        <v>3216</v>
      </c>
      <c r="G3050">
        <v>79</v>
      </c>
      <c r="H3050" t="s">
        <v>69</v>
      </c>
      <c r="I3050" t="s">
        <v>150</v>
      </c>
      <c r="J3050" s="10" t="str">
        <f>VLOOKUP(I3050,Categories!A:B,2,FALSE)</f>
        <v xml:space="preserve">Food &amp; Coff</v>
      </c>
      <c r="K3050" t="s">
        <v>178</v>
      </c>
      <c r="L3050" s="10" t="str">
        <f>VLOOKUP(K3050,Accounts!A:B,2,FALSE)</f>
        <v>SCB</v>
      </c>
      <c r="M3050" t="s">
        <v>124</v>
      </c>
      <c r="N3050" s="10"/>
      <c r="O3050" t="s">
        <v>5574</v>
      </c>
      <c r="Q3050" t="s">
        <v>126</v>
      </c>
      <c r="R3050" t="s">
        <v>124</v>
      </c>
      <c r="S3050" t="b">
        <v>0</v>
      </c>
      <c r="T3050" t="s">
        <v>124</v>
      </c>
    </row>
    <row r="3051">
      <c r="A3051" t="s">
        <v>5575</v>
      </c>
      <c r="B3051" t="s">
        <v>5571</v>
      </c>
      <c r="C3051" s="2">
        <v>2022</v>
      </c>
      <c r="D3051" s="10">
        <v>5</v>
      </c>
      <c r="E3051" s="10">
        <v>8</v>
      </c>
      <c r="F3051" t="s">
        <v>5576</v>
      </c>
      <c r="G3051">
        <v>139</v>
      </c>
      <c r="H3051" t="s">
        <v>128</v>
      </c>
      <c r="I3051" t="s">
        <v>136</v>
      </c>
      <c r="J3051" s="10" t="str">
        <f>VLOOKUP(I3051,Categories!A:B,2,FALSE)</f>
        <v>อื่นๆ</v>
      </c>
      <c r="K3051" t="s">
        <v>178</v>
      </c>
      <c r="L3051" s="10" t="str">
        <f>VLOOKUP(K3051,Accounts!A:B,2,FALSE)</f>
        <v>SCB</v>
      </c>
      <c r="M3051" t="s">
        <v>131</v>
      </c>
      <c r="N3051" s="10" t="str">
        <f>VLOOKUP(M3051,Accounts!A:B,2,FALSE)</f>
        <v xml:space="preserve">Advance Paid</v>
      </c>
      <c r="O3051" t="s">
        <v>5577</v>
      </c>
      <c r="Q3051" t="s">
        <v>126</v>
      </c>
      <c r="R3051" t="s">
        <v>124</v>
      </c>
      <c r="S3051" t="b">
        <v>0</v>
      </c>
      <c r="T3051" t="s">
        <v>124</v>
      </c>
    </row>
    <row r="3052">
      <c r="A3052" t="s">
        <v>5578</v>
      </c>
      <c r="B3052" t="s">
        <v>5571</v>
      </c>
      <c r="C3052" s="2">
        <v>2022</v>
      </c>
      <c r="D3052" s="10">
        <v>5</v>
      </c>
      <c r="E3052" s="10">
        <v>8</v>
      </c>
      <c r="F3052" t="s">
        <v>1963</v>
      </c>
      <c r="G3052">
        <v>55</v>
      </c>
      <c r="H3052" t="s">
        <v>69</v>
      </c>
      <c r="I3052" t="s">
        <v>150</v>
      </c>
      <c r="J3052" s="10" t="str">
        <f>VLOOKUP(I3052,Categories!A:B,2,FALSE)</f>
        <v xml:space="preserve">Food &amp; Coff</v>
      </c>
      <c r="K3052" t="s">
        <v>425</v>
      </c>
      <c r="L3052" s="10" t="str">
        <f>VLOOKUP(K3052,Accounts!A:B,2,FALSE)</f>
        <v>Cash</v>
      </c>
      <c r="M3052" t="s">
        <v>124</v>
      </c>
      <c r="N3052" s="10"/>
      <c r="O3052" t="s">
        <v>125</v>
      </c>
      <c r="Q3052" t="s">
        <v>126</v>
      </c>
      <c r="R3052" t="s">
        <v>124</v>
      </c>
      <c r="S3052" t="b">
        <v>0</v>
      </c>
      <c r="T3052" t="s">
        <v>124</v>
      </c>
    </row>
    <row r="3053">
      <c r="A3053" t="s">
        <v>5579</v>
      </c>
      <c r="B3053" t="s">
        <v>5580</v>
      </c>
      <c r="C3053" s="2">
        <v>2022</v>
      </c>
      <c r="D3053" s="10">
        <v>5</v>
      </c>
      <c r="E3053" s="10">
        <v>6</v>
      </c>
      <c r="F3053" t="s">
        <v>3185</v>
      </c>
      <c r="G3053">
        <v>305</v>
      </c>
      <c r="H3053" t="s">
        <v>69</v>
      </c>
      <c r="I3053" t="s">
        <v>259</v>
      </c>
      <c r="J3053" s="10" t="str">
        <f>VLOOKUP(I3053,Categories!A:B,2,FALSE)</f>
        <v xml:space="preserve">Team BOT</v>
      </c>
      <c r="K3053" t="s">
        <v>178</v>
      </c>
      <c r="L3053" s="10" t="str">
        <f>VLOOKUP(K3053,Accounts!A:B,2,FALSE)</f>
        <v>SCB</v>
      </c>
      <c r="M3053" t="s">
        <v>124</v>
      </c>
      <c r="N3053" s="10"/>
      <c r="O3053" t="s">
        <v>125</v>
      </c>
      <c r="Q3053" t="s">
        <v>126</v>
      </c>
      <c r="R3053" t="s">
        <v>124</v>
      </c>
      <c r="S3053" t="b">
        <v>0</v>
      </c>
      <c r="T3053" t="s">
        <v>124</v>
      </c>
    </row>
    <row r="3054">
      <c r="A3054" t="s">
        <v>5581</v>
      </c>
      <c r="B3054" t="s">
        <v>5582</v>
      </c>
      <c r="C3054" s="2">
        <v>2022</v>
      </c>
      <c r="D3054" s="10">
        <v>5</v>
      </c>
      <c r="E3054" s="10">
        <v>5</v>
      </c>
      <c r="F3054" t="s">
        <v>3289</v>
      </c>
      <c r="G3054">
        <v>72</v>
      </c>
      <c r="H3054" t="s">
        <v>69</v>
      </c>
      <c r="I3054" t="s">
        <v>150</v>
      </c>
      <c r="J3054" s="10" t="str">
        <f>VLOOKUP(I3054,Categories!A:B,2,FALSE)</f>
        <v xml:space="preserve">Food &amp; Coff</v>
      </c>
      <c r="K3054" t="s">
        <v>178</v>
      </c>
      <c r="L3054" s="10" t="str">
        <f>VLOOKUP(K3054,Accounts!A:B,2,FALSE)</f>
        <v>SCB</v>
      </c>
      <c r="M3054" t="s">
        <v>124</v>
      </c>
      <c r="N3054" s="10"/>
      <c r="O3054" t="s">
        <v>5583</v>
      </c>
      <c r="Q3054" t="s">
        <v>126</v>
      </c>
      <c r="R3054" t="s">
        <v>124</v>
      </c>
      <c r="S3054" t="b">
        <v>0</v>
      </c>
      <c r="T3054" t="s">
        <v>124</v>
      </c>
    </row>
    <row r="3055">
      <c r="A3055" t="s">
        <v>5584</v>
      </c>
      <c r="B3055" t="s">
        <v>5585</v>
      </c>
      <c r="C3055" s="2">
        <v>2022</v>
      </c>
      <c r="D3055" s="10">
        <v>5</v>
      </c>
      <c r="E3055" s="10">
        <v>4</v>
      </c>
      <c r="F3055" t="s">
        <v>2403</v>
      </c>
      <c r="G3055">
        <v>82</v>
      </c>
      <c r="H3055" t="s">
        <v>69</v>
      </c>
      <c r="I3055" t="s">
        <v>150</v>
      </c>
      <c r="J3055" s="10" t="str">
        <f>VLOOKUP(I3055,Categories!A:B,2,FALSE)</f>
        <v xml:space="preserve">Food &amp; Coff</v>
      </c>
      <c r="K3055" t="s">
        <v>178</v>
      </c>
      <c r="L3055" s="10" t="str">
        <f>VLOOKUP(K3055,Accounts!A:B,2,FALSE)</f>
        <v>SCB</v>
      </c>
      <c r="M3055" t="s">
        <v>124</v>
      </c>
      <c r="N3055" s="10"/>
      <c r="O3055" t="s">
        <v>5114</v>
      </c>
      <c r="Q3055" t="s">
        <v>126</v>
      </c>
      <c r="R3055" t="s">
        <v>124</v>
      </c>
      <c r="S3055" t="b">
        <v>0</v>
      </c>
      <c r="T3055" t="s">
        <v>124</v>
      </c>
    </row>
    <row r="3056">
      <c r="A3056" t="s">
        <v>5586</v>
      </c>
      <c r="B3056" t="s">
        <v>5587</v>
      </c>
      <c r="C3056" s="2">
        <v>2022</v>
      </c>
      <c r="D3056" s="10">
        <v>5</v>
      </c>
      <c r="E3056" s="10">
        <v>3</v>
      </c>
      <c r="F3056" t="s">
        <v>5588</v>
      </c>
      <c r="G3056">
        <v>783.46000000000004</v>
      </c>
      <c r="H3056" t="s">
        <v>69</v>
      </c>
      <c r="I3056" t="s">
        <v>144</v>
      </c>
      <c r="J3056" s="10" t="str">
        <f>VLOOKUP(I3056,Categories!A:B,2,FALSE)</f>
        <v xml:space="preserve">Family paid</v>
      </c>
      <c r="K3056" t="s">
        <v>747</v>
      </c>
      <c r="L3056" s="10" t="str">
        <f>VLOOKUP(K3056,Accounts!A:B,2,FALSE)</f>
        <v xml:space="preserve">UOB world</v>
      </c>
      <c r="M3056" t="s">
        <v>124</v>
      </c>
      <c r="N3056" s="10"/>
      <c r="O3056" t="s">
        <v>125</v>
      </c>
      <c r="Q3056" t="s">
        <v>126</v>
      </c>
      <c r="R3056" t="s">
        <v>124</v>
      </c>
      <c r="S3056" t="b">
        <v>0</v>
      </c>
      <c r="T3056" t="s">
        <v>124</v>
      </c>
    </row>
    <row r="3057">
      <c r="A3057" t="s">
        <v>5589</v>
      </c>
      <c r="B3057" t="s">
        <v>5587</v>
      </c>
      <c r="C3057" s="2">
        <v>2022</v>
      </c>
      <c r="D3057" s="10">
        <v>5</v>
      </c>
      <c r="E3057" s="10">
        <v>3</v>
      </c>
      <c r="F3057" t="s">
        <v>1206</v>
      </c>
      <c r="G3057">
        <v>4320.1199999999999</v>
      </c>
      <c r="H3057" t="s">
        <v>69</v>
      </c>
      <c r="I3057" t="s">
        <v>139</v>
      </c>
      <c r="J3057" s="10" t="str">
        <f>VLOOKUP(I3057,Categories!A:B,2,FALSE)</f>
        <v>Condo</v>
      </c>
      <c r="K3057" t="s">
        <v>178</v>
      </c>
      <c r="L3057" s="10" t="str">
        <f>VLOOKUP(K3057,Accounts!A:B,2,FALSE)</f>
        <v>SCB</v>
      </c>
      <c r="M3057" t="s">
        <v>124</v>
      </c>
      <c r="N3057" s="10"/>
      <c r="O3057" t="s">
        <v>125</v>
      </c>
      <c r="Q3057" t="s">
        <v>126</v>
      </c>
      <c r="R3057" t="s">
        <v>124</v>
      </c>
      <c r="S3057" t="b">
        <v>0</v>
      </c>
      <c r="T3057" t="s">
        <v>124</v>
      </c>
    </row>
    <row r="3058">
      <c r="A3058" t="s">
        <v>5590</v>
      </c>
      <c r="B3058" t="s">
        <v>5587</v>
      </c>
      <c r="C3058" s="2">
        <v>2022</v>
      </c>
      <c r="D3058" s="10">
        <v>5</v>
      </c>
      <c r="E3058" s="10">
        <v>3</v>
      </c>
      <c r="F3058" t="s">
        <v>1206</v>
      </c>
      <c r="G3058">
        <v>2000</v>
      </c>
      <c r="H3058" t="s">
        <v>128</v>
      </c>
      <c r="I3058" t="s">
        <v>136</v>
      </c>
      <c r="J3058" s="10" t="str">
        <f>VLOOKUP(I3058,Categories!A:B,2,FALSE)</f>
        <v>อื่นๆ</v>
      </c>
      <c r="K3058" t="s">
        <v>178</v>
      </c>
      <c r="L3058" s="10" t="str">
        <f>VLOOKUP(K3058,Accounts!A:B,2,FALSE)</f>
        <v>SCB</v>
      </c>
      <c r="M3058" t="s">
        <v>2317</v>
      </c>
      <c r="N3058" s="10" t="str">
        <f>VLOOKUP(M3058,Accounts!A:B,2,FALSE)</f>
        <v xml:space="preserve">Marriage account</v>
      </c>
      <c r="O3058" t="s">
        <v>125</v>
      </c>
      <c r="Q3058" t="s">
        <v>126</v>
      </c>
      <c r="R3058" t="s">
        <v>124</v>
      </c>
      <c r="S3058" t="b">
        <v>0</v>
      </c>
      <c r="T3058" t="s">
        <v>124</v>
      </c>
    </row>
    <row r="3059">
      <c r="A3059" t="s">
        <v>5591</v>
      </c>
      <c r="B3059" t="s">
        <v>5592</v>
      </c>
      <c r="C3059" s="2">
        <v>2022</v>
      </c>
      <c r="D3059" s="10">
        <v>5</v>
      </c>
      <c r="E3059" s="10">
        <v>2</v>
      </c>
      <c r="F3059" t="s">
        <v>311</v>
      </c>
      <c r="G3059">
        <v>500</v>
      </c>
      <c r="H3059" t="s">
        <v>128</v>
      </c>
      <c r="I3059" t="s">
        <v>136</v>
      </c>
      <c r="J3059" s="10" t="str">
        <f>VLOOKUP(I3059,Categories!A:B,2,FALSE)</f>
        <v>อื่นๆ</v>
      </c>
      <c r="K3059" t="s">
        <v>130</v>
      </c>
      <c r="L3059" s="10" t="str">
        <f>VLOOKUP(K3059,Accounts!A:B,2,FALSE)</f>
        <v xml:space="preserve">KTC JCB</v>
      </c>
      <c r="M3059" t="s">
        <v>178</v>
      </c>
      <c r="N3059" s="10" t="str">
        <f>VLOOKUP(M3059,Accounts!A:B,2,FALSE)</f>
        <v>SCB</v>
      </c>
      <c r="O3059" t="s">
        <v>5593</v>
      </c>
      <c r="Q3059" t="s">
        <v>126</v>
      </c>
      <c r="R3059" t="s">
        <v>124</v>
      </c>
      <c r="S3059" t="b">
        <v>0</v>
      </c>
      <c r="T3059" t="s">
        <v>124</v>
      </c>
    </row>
    <row r="3060">
      <c r="A3060" t="s">
        <v>5594</v>
      </c>
      <c r="B3060" t="s">
        <v>5592</v>
      </c>
      <c r="C3060" s="2">
        <v>2022</v>
      </c>
      <c r="D3060" s="10">
        <v>5</v>
      </c>
      <c r="E3060" s="10">
        <v>2</v>
      </c>
      <c r="F3060" t="s">
        <v>2190</v>
      </c>
      <c r="G3060">
        <v>122</v>
      </c>
      <c r="H3060" t="s">
        <v>69</v>
      </c>
      <c r="I3060" t="s">
        <v>3504</v>
      </c>
      <c r="J3060" s="10" t="str">
        <f>VLOOKUP(I3060,Categories!A:B,2,FALSE)</f>
        <v xml:space="preserve">Condo suppliers</v>
      </c>
      <c r="K3060" t="s">
        <v>178</v>
      </c>
      <c r="L3060" s="10" t="str">
        <f>VLOOKUP(K3060,Accounts!A:B,2,FALSE)</f>
        <v>SCB</v>
      </c>
      <c r="M3060" t="s">
        <v>124</v>
      </c>
      <c r="N3060" s="10"/>
      <c r="O3060" t="s">
        <v>125</v>
      </c>
      <c r="Q3060" t="s">
        <v>126</v>
      </c>
      <c r="R3060" t="s">
        <v>124</v>
      </c>
      <c r="S3060" t="b">
        <v>0</v>
      </c>
      <c r="T3060" t="s">
        <v>124</v>
      </c>
    </row>
    <row r="3061">
      <c r="A3061" t="s">
        <v>5595</v>
      </c>
      <c r="B3061" t="s">
        <v>5596</v>
      </c>
      <c r="C3061" s="2">
        <v>2022</v>
      </c>
      <c r="D3061" s="10">
        <v>5</v>
      </c>
      <c r="E3061" s="10">
        <v>1</v>
      </c>
      <c r="F3061" t="s">
        <v>121</v>
      </c>
      <c r="G3061">
        <v>10000</v>
      </c>
      <c r="H3061" t="s">
        <v>128</v>
      </c>
      <c r="I3061" t="s">
        <v>136</v>
      </c>
      <c r="J3061" s="10" t="str">
        <f>VLOOKUP(I3061,Categories!A:B,2,FALSE)</f>
        <v>อื่นๆ</v>
      </c>
      <c r="K3061" t="s">
        <v>178</v>
      </c>
      <c r="L3061" s="10" t="str">
        <f>VLOOKUP(K3061,Accounts!A:B,2,FALSE)</f>
        <v>SCB</v>
      </c>
      <c r="M3061" t="s">
        <v>2317</v>
      </c>
      <c r="N3061" s="10" t="str">
        <f>VLOOKUP(M3061,Accounts!A:B,2,FALSE)</f>
        <v xml:space="preserve">Marriage account</v>
      </c>
      <c r="O3061" t="s">
        <v>125</v>
      </c>
      <c r="Q3061" t="s">
        <v>126</v>
      </c>
      <c r="R3061" t="s">
        <v>124</v>
      </c>
      <c r="S3061" t="b">
        <v>0</v>
      </c>
      <c r="T3061" t="s">
        <v>124</v>
      </c>
    </row>
    <row r="3062">
      <c r="A3062" t="s">
        <v>5597</v>
      </c>
      <c r="B3062" t="s">
        <v>5596</v>
      </c>
      <c r="C3062" s="2">
        <v>2022</v>
      </c>
      <c r="D3062" s="10">
        <v>5</v>
      </c>
      <c r="E3062" s="10">
        <v>1</v>
      </c>
      <c r="F3062" t="s">
        <v>3525</v>
      </c>
      <c r="G3062">
        <v>629</v>
      </c>
      <c r="H3062" t="s">
        <v>128</v>
      </c>
      <c r="I3062" t="s">
        <v>136</v>
      </c>
      <c r="J3062" s="10" t="str">
        <f>VLOOKUP(I3062,Categories!A:B,2,FALSE)</f>
        <v>อื่นๆ</v>
      </c>
      <c r="K3062" t="s">
        <v>130</v>
      </c>
      <c r="L3062" s="10" t="str">
        <f>VLOOKUP(K3062,Accounts!A:B,2,FALSE)</f>
        <v xml:space="preserve">KTC JCB</v>
      </c>
      <c r="M3062" t="s">
        <v>131</v>
      </c>
      <c r="N3062" s="10" t="str">
        <f>VLOOKUP(M3062,Accounts!A:B,2,FALSE)</f>
        <v xml:space="preserve">Advance Paid</v>
      </c>
      <c r="O3062" t="s">
        <v>5598</v>
      </c>
      <c r="Q3062" t="s">
        <v>126</v>
      </c>
      <c r="R3062" t="s">
        <v>124</v>
      </c>
      <c r="S3062" t="b">
        <v>0</v>
      </c>
      <c r="T3062" t="s">
        <v>124</v>
      </c>
    </row>
    <row r="3063">
      <c r="A3063" t="s">
        <v>5599</v>
      </c>
      <c r="B3063" t="s">
        <v>5596</v>
      </c>
      <c r="C3063" s="2">
        <v>2022</v>
      </c>
      <c r="D3063" s="10">
        <v>5</v>
      </c>
      <c r="E3063" s="10">
        <v>1</v>
      </c>
      <c r="F3063" t="s">
        <v>5600</v>
      </c>
      <c r="G3063">
        <v>90</v>
      </c>
      <c r="H3063" t="s">
        <v>206</v>
      </c>
      <c r="I3063" t="s">
        <v>281</v>
      </c>
      <c r="J3063" s="10" t="str">
        <f>VLOOKUP(I3063,Categories!A:B,2,FALSE)</f>
        <v>Others</v>
      </c>
      <c r="K3063" t="s">
        <v>130</v>
      </c>
      <c r="L3063" s="10" t="str">
        <f>VLOOKUP(K3063,Accounts!A:B,2,FALSE)</f>
        <v xml:space="preserve">KTC JCB</v>
      </c>
      <c r="M3063" t="s">
        <v>124</v>
      </c>
      <c r="N3063" s="10"/>
      <c r="O3063" t="s">
        <v>125</v>
      </c>
      <c r="Q3063" t="s">
        <v>126</v>
      </c>
      <c r="R3063" t="s">
        <v>124</v>
      </c>
      <c r="S3063" t="b">
        <v>0</v>
      </c>
      <c r="T3063" t="s">
        <v>124</v>
      </c>
    </row>
    <row r="3064">
      <c r="A3064" t="s">
        <v>5601</v>
      </c>
      <c r="B3064" t="s">
        <v>5596</v>
      </c>
      <c r="C3064" s="2">
        <v>2022</v>
      </c>
      <c r="D3064" s="10">
        <v>5</v>
      </c>
      <c r="E3064" s="10">
        <v>1</v>
      </c>
      <c r="F3064" t="s">
        <v>5588</v>
      </c>
      <c r="G3064">
        <v>747.92999999999995</v>
      </c>
      <c r="H3064" t="s">
        <v>128</v>
      </c>
      <c r="I3064" t="s">
        <v>136</v>
      </c>
      <c r="J3064" s="10" t="str">
        <f>VLOOKUP(I3064,Categories!A:B,2,FALSE)</f>
        <v>อื่นๆ</v>
      </c>
      <c r="K3064" t="s">
        <v>747</v>
      </c>
      <c r="L3064" s="10" t="str">
        <f>VLOOKUP(K3064,Accounts!A:B,2,FALSE)</f>
        <v xml:space="preserve">UOB world</v>
      </c>
      <c r="M3064" t="s">
        <v>131</v>
      </c>
      <c r="N3064" s="10" t="str">
        <f>VLOOKUP(M3064,Accounts!A:B,2,FALSE)</f>
        <v xml:space="preserve">Advance Paid</v>
      </c>
      <c r="O3064" t="s">
        <v>125</v>
      </c>
      <c r="Q3064" t="s">
        <v>126</v>
      </c>
      <c r="R3064" t="s">
        <v>124</v>
      </c>
      <c r="S3064" t="b">
        <v>0</v>
      </c>
      <c r="T3064" t="s">
        <v>124</v>
      </c>
    </row>
    <row r="3065">
      <c r="A3065" t="s">
        <v>5602</v>
      </c>
      <c r="B3065" t="s">
        <v>5596</v>
      </c>
      <c r="C3065" s="2">
        <v>2022</v>
      </c>
      <c r="D3065" s="10">
        <v>5</v>
      </c>
      <c r="E3065" s="10">
        <v>1</v>
      </c>
      <c r="F3065" t="s">
        <v>1102</v>
      </c>
      <c r="G3065">
        <v>1150</v>
      </c>
      <c r="H3065" t="s">
        <v>128</v>
      </c>
      <c r="I3065" t="s">
        <v>136</v>
      </c>
      <c r="J3065" s="10" t="str">
        <f>VLOOKUP(I3065,Categories!A:B,2,FALSE)</f>
        <v>อื่นๆ</v>
      </c>
      <c r="K3065" t="s">
        <v>5552</v>
      </c>
      <c r="L3065" s="10" t="str">
        <f>VLOOKUP(K3065,Accounts!A:B,2,FALSE)</f>
        <v xml:space="preserve">Kbank BLUECARD</v>
      </c>
      <c r="M3065" t="s">
        <v>131</v>
      </c>
      <c r="N3065" s="10" t="str">
        <f>VLOOKUP(M3065,Accounts!A:B,2,FALSE)</f>
        <v xml:space="preserve">Advance Paid</v>
      </c>
      <c r="O3065" t="s">
        <v>125</v>
      </c>
      <c r="Q3065" t="s">
        <v>126</v>
      </c>
      <c r="R3065" t="s">
        <v>124</v>
      </c>
      <c r="S3065" t="b">
        <v>0</v>
      </c>
      <c r="T3065" t="s">
        <v>124</v>
      </c>
    </row>
    <row r="3066">
      <c r="A3066" t="s">
        <v>5603</v>
      </c>
      <c r="B3066" t="s">
        <v>5596</v>
      </c>
      <c r="C3066" s="2">
        <v>2022</v>
      </c>
      <c r="D3066" s="10">
        <v>5</v>
      </c>
      <c r="E3066" s="10">
        <v>1</v>
      </c>
      <c r="F3066" t="s">
        <v>2246</v>
      </c>
      <c r="G3066">
        <v>100</v>
      </c>
      <c r="H3066" t="s">
        <v>128</v>
      </c>
      <c r="I3066" t="s">
        <v>136</v>
      </c>
      <c r="J3066" s="10" t="str">
        <f>VLOOKUP(I3066,Categories!A:B,2,FALSE)</f>
        <v>อื่นๆ</v>
      </c>
      <c r="K3066" t="s">
        <v>425</v>
      </c>
      <c r="L3066" s="10" t="str">
        <f>VLOOKUP(K3066,Accounts!A:B,2,FALSE)</f>
        <v>Cash</v>
      </c>
      <c r="M3066" t="s">
        <v>178</v>
      </c>
      <c r="N3066" s="10" t="str">
        <f>VLOOKUP(M3066,Accounts!A:B,2,FALSE)</f>
        <v>SCB</v>
      </c>
      <c r="O3066" t="s">
        <v>125</v>
      </c>
      <c r="Q3066" t="s">
        <v>126</v>
      </c>
      <c r="R3066" t="s">
        <v>124</v>
      </c>
      <c r="S3066" t="b">
        <v>0</v>
      </c>
      <c r="T3066" t="s">
        <v>124</v>
      </c>
    </row>
    <row r="3067">
      <c r="A3067" t="s">
        <v>5604</v>
      </c>
      <c r="B3067" t="s">
        <v>5596</v>
      </c>
      <c r="C3067" s="2">
        <v>2022</v>
      </c>
      <c r="D3067" s="10">
        <v>5</v>
      </c>
      <c r="E3067" s="10">
        <v>1</v>
      </c>
      <c r="F3067" t="s">
        <v>2246</v>
      </c>
      <c r="G3067">
        <v>2000</v>
      </c>
      <c r="H3067" t="s">
        <v>128</v>
      </c>
      <c r="I3067" t="s">
        <v>136</v>
      </c>
      <c r="J3067" s="10" t="str">
        <f>VLOOKUP(I3067,Categories!A:B,2,FALSE)</f>
        <v>อื่นๆ</v>
      </c>
      <c r="K3067" t="s">
        <v>178</v>
      </c>
      <c r="L3067" s="10" t="str">
        <f>VLOOKUP(K3067,Accounts!A:B,2,FALSE)</f>
        <v>SCB</v>
      </c>
      <c r="M3067" t="s">
        <v>425</v>
      </c>
      <c r="N3067" s="10" t="str">
        <f>VLOOKUP(M3067,Accounts!A:B,2,FALSE)</f>
        <v>Cash</v>
      </c>
      <c r="O3067" t="s">
        <v>125</v>
      </c>
      <c r="Q3067" t="s">
        <v>126</v>
      </c>
      <c r="R3067" t="s">
        <v>124</v>
      </c>
      <c r="S3067" t="b">
        <v>0</v>
      </c>
      <c r="T3067" t="s">
        <v>124</v>
      </c>
    </row>
    <row r="3068">
      <c r="A3068" t="s">
        <v>5605</v>
      </c>
      <c r="B3068" t="s">
        <v>5596</v>
      </c>
      <c r="C3068" s="2">
        <v>2022</v>
      </c>
      <c r="D3068" s="10">
        <v>5</v>
      </c>
      <c r="E3068" s="10">
        <v>1</v>
      </c>
      <c r="F3068" t="s">
        <v>3679</v>
      </c>
      <c r="G3068">
        <v>810</v>
      </c>
      <c r="H3068" t="s">
        <v>69</v>
      </c>
      <c r="I3068" t="s">
        <v>1679</v>
      </c>
      <c r="J3068" s="10" t="str">
        <f>VLOOKUP(I3068,Categories!A:B,2,FALSE)</f>
        <v xml:space="preserve">Condo stuff</v>
      </c>
      <c r="K3068" t="s">
        <v>178</v>
      </c>
      <c r="L3068" s="10" t="str">
        <f>VLOOKUP(K3068,Accounts!A:B,2,FALSE)</f>
        <v>SCB</v>
      </c>
      <c r="M3068" t="s">
        <v>124</v>
      </c>
      <c r="N3068" s="10"/>
      <c r="O3068" t="s">
        <v>5606</v>
      </c>
      <c r="Q3068" t="s">
        <v>126</v>
      </c>
      <c r="R3068" t="s">
        <v>124</v>
      </c>
      <c r="S3068" t="b">
        <v>0</v>
      </c>
      <c r="T3068" t="s">
        <v>124</v>
      </c>
    </row>
    <row r="3069">
      <c r="A3069" t="s">
        <v>5607</v>
      </c>
      <c r="B3069" t="s">
        <v>5596</v>
      </c>
      <c r="C3069" s="2">
        <v>2022</v>
      </c>
      <c r="D3069" s="10">
        <v>5</v>
      </c>
      <c r="E3069" s="10">
        <v>1</v>
      </c>
      <c r="F3069" t="s">
        <v>431</v>
      </c>
      <c r="G3069">
        <v>695</v>
      </c>
      <c r="H3069" t="s">
        <v>69</v>
      </c>
      <c r="I3069" t="s">
        <v>614</v>
      </c>
      <c r="J3069" s="10" t="str">
        <f>VLOOKUP(I3069,Categories!A:B,2,FALSE)</f>
        <v>Books</v>
      </c>
      <c r="K3069" t="s">
        <v>130</v>
      </c>
      <c r="L3069" s="10" t="str">
        <f>VLOOKUP(K3069,Accounts!A:B,2,FALSE)</f>
        <v xml:space="preserve">KTC JCB</v>
      </c>
      <c r="M3069" t="s">
        <v>124</v>
      </c>
      <c r="N3069" s="10"/>
      <c r="O3069" t="s">
        <v>5608</v>
      </c>
      <c r="Q3069" t="s">
        <v>126</v>
      </c>
      <c r="R3069" t="s">
        <v>124</v>
      </c>
      <c r="S3069" t="b">
        <v>0</v>
      </c>
      <c r="T3069" t="s">
        <v>124</v>
      </c>
    </row>
    <row r="3070">
      <c r="A3070" t="s">
        <v>5609</v>
      </c>
      <c r="B3070" t="s">
        <v>5610</v>
      </c>
      <c r="C3070" s="2">
        <v>2022</v>
      </c>
      <c r="D3070" s="10">
        <v>4</v>
      </c>
      <c r="E3070" s="10">
        <v>30</v>
      </c>
      <c r="F3070" t="s">
        <v>5611</v>
      </c>
      <c r="G3070">
        <v>783.46000000000004</v>
      </c>
      <c r="H3070" t="s">
        <v>69</v>
      </c>
      <c r="I3070" t="s">
        <v>144</v>
      </c>
      <c r="J3070" s="10" t="str">
        <f>VLOOKUP(I3070,Categories!A:B,2,FALSE)</f>
        <v xml:space="preserve">Family paid</v>
      </c>
      <c r="K3070" t="s">
        <v>1308</v>
      </c>
      <c r="L3070" s="10" t="str">
        <f>VLOOKUP(K3070,Accounts!A:B,2,FALSE)</f>
        <v xml:space="preserve">UOB Privilages</v>
      </c>
      <c r="M3070" t="s">
        <v>124</v>
      </c>
      <c r="N3070" s="10"/>
      <c r="O3070" t="s">
        <v>125</v>
      </c>
      <c r="Q3070" t="s">
        <v>126</v>
      </c>
      <c r="R3070" t="s">
        <v>124</v>
      </c>
      <c r="S3070" t="b">
        <v>0</v>
      </c>
      <c r="T3070" t="s">
        <v>124</v>
      </c>
    </row>
    <row r="3071">
      <c r="A3071" t="s">
        <v>5612</v>
      </c>
      <c r="B3071" t="s">
        <v>5610</v>
      </c>
      <c r="C3071" s="2">
        <v>2022</v>
      </c>
      <c r="D3071" s="10">
        <v>4</v>
      </c>
      <c r="E3071" s="10">
        <v>30</v>
      </c>
      <c r="F3071" t="s">
        <v>1143</v>
      </c>
      <c r="G3071">
        <v>1071</v>
      </c>
      <c r="H3071" t="s">
        <v>128</v>
      </c>
      <c r="I3071" t="s">
        <v>136</v>
      </c>
      <c r="J3071" s="10" t="str">
        <f>VLOOKUP(I3071,Categories!A:B,2,FALSE)</f>
        <v>อื่นๆ</v>
      </c>
      <c r="K3071" t="s">
        <v>747</v>
      </c>
      <c r="L3071" s="10" t="str">
        <f>VLOOKUP(K3071,Accounts!A:B,2,FALSE)</f>
        <v xml:space="preserve">UOB world</v>
      </c>
      <c r="M3071" t="s">
        <v>131</v>
      </c>
      <c r="N3071" s="10" t="str">
        <f>VLOOKUP(M3071,Accounts!A:B,2,FALSE)</f>
        <v xml:space="preserve">Advance Paid</v>
      </c>
      <c r="O3071" t="s">
        <v>5613</v>
      </c>
      <c r="Q3071" t="s">
        <v>126</v>
      </c>
      <c r="R3071" t="s">
        <v>124</v>
      </c>
      <c r="S3071" t="b">
        <v>0</v>
      </c>
      <c r="T3071" t="s">
        <v>124</v>
      </c>
    </row>
    <row r="3072">
      <c r="A3072" t="s">
        <v>5614</v>
      </c>
      <c r="B3072" t="s">
        <v>5610</v>
      </c>
      <c r="C3072" s="2">
        <v>2022</v>
      </c>
      <c r="D3072" s="10">
        <v>4</v>
      </c>
      <c r="E3072" s="10">
        <v>30</v>
      </c>
      <c r="F3072" t="s">
        <v>1132</v>
      </c>
      <c r="G3072">
        <v>783.46000000000004</v>
      </c>
      <c r="H3072" t="s">
        <v>206</v>
      </c>
      <c r="I3072" t="s">
        <v>254</v>
      </c>
      <c r="J3072" s="10" t="str">
        <f>VLOOKUP(I3072,Categories!A:B,2,FALSE)</f>
        <v xml:space="preserve">Modified Bal.</v>
      </c>
      <c r="K3072" t="s">
        <v>1308</v>
      </c>
      <c r="L3072" s="10" t="str">
        <f>VLOOKUP(K3072,Accounts!A:B,2,FALSE)</f>
        <v xml:space="preserve">UOB Privilages</v>
      </c>
      <c r="M3072" t="s">
        <v>124</v>
      </c>
      <c r="N3072" s="10"/>
      <c r="O3072" t="s">
        <v>5615</v>
      </c>
      <c r="Q3072" t="s">
        <v>126</v>
      </c>
      <c r="R3072" t="s">
        <v>124</v>
      </c>
      <c r="S3072" t="b">
        <v>0</v>
      </c>
      <c r="T3072" t="s">
        <v>124</v>
      </c>
    </row>
    <row r="3073">
      <c r="A3073" t="s">
        <v>5616</v>
      </c>
      <c r="B3073" t="s">
        <v>5617</v>
      </c>
      <c r="C3073" s="2">
        <v>2022</v>
      </c>
      <c r="D3073" s="10">
        <v>4</v>
      </c>
      <c r="E3073" s="10">
        <v>29</v>
      </c>
      <c r="F3073" t="s">
        <v>465</v>
      </c>
      <c r="G3073">
        <v>190</v>
      </c>
      <c r="H3073" t="s">
        <v>128</v>
      </c>
      <c r="I3073" t="s">
        <v>136</v>
      </c>
      <c r="J3073" s="10" t="str">
        <f>VLOOKUP(I3073,Categories!A:B,2,FALSE)</f>
        <v>อื่นๆ</v>
      </c>
      <c r="K3073" t="s">
        <v>425</v>
      </c>
      <c r="L3073" s="10" t="str">
        <f>VLOOKUP(K3073,Accounts!A:B,2,FALSE)</f>
        <v>Cash</v>
      </c>
      <c r="M3073" t="s">
        <v>178</v>
      </c>
      <c r="N3073" s="10" t="str">
        <f>VLOOKUP(M3073,Accounts!A:B,2,FALSE)</f>
        <v>SCB</v>
      </c>
      <c r="O3073" t="s">
        <v>125</v>
      </c>
      <c r="Q3073" t="s">
        <v>126</v>
      </c>
      <c r="R3073" t="s">
        <v>124</v>
      </c>
      <c r="S3073" t="b">
        <v>0</v>
      </c>
      <c r="T3073" t="s">
        <v>124</v>
      </c>
    </row>
    <row r="3074">
      <c r="A3074" t="s">
        <v>5618</v>
      </c>
      <c r="B3074" t="s">
        <v>5617</v>
      </c>
      <c r="C3074" s="2">
        <v>2022</v>
      </c>
      <c r="D3074" s="10">
        <v>4</v>
      </c>
      <c r="E3074" s="10">
        <v>29</v>
      </c>
      <c r="F3074" t="s">
        <v>4060</v>
      </c>
      <c r="G3074">
        <v>87</v>
      </c>
      <c r="H3074" t="s">
        <v>128</v>
      </c>
      <c r="I3074" t="s">
        <v>136</v>
      </c>
      <c r="J3074" s="10" t="str">
        <f>VLOOKUP(I3074,Categories!A:B,2,FALSE)</f>
        <v>อื่นๆ</v>
      </c>
      <c r="K3074" t="s">
        <v>2513</v>
      </c>
      <c r="L3074" s="10" t="str">
        <f>VLOOKUP(K3074,Accounts!A:B,2,FALSE)</f>
        <v xml:space="preserve">Pao tung</v>
      </c>
      <c r="M3074" t="s">
        <v>178</v>
      </c>
      <c r="N3074" s="10" t="str">
        <f>VLOOKUP(M3074,Accounts!A:B,2,FALSE)</f>
        <v>SCB</v>
      </c>
      <c r="O3074" t="s">
        <v>125</v>
      </c>
      <c r="Q3074" t="s">
        <v>126</v>
      </c>
      <c r="R3074" t="s">
        <v>124</v>
      </c>
      <c r="S3074" t="b">
        <v>0</v>
      </c>
      <c r="T3074" t="s">
        <v>124</v>
      </c>
    </row>
    <row r="3075">
      <c r="A3075" t="s">
        <v>5619</v>
      </c>
      <c r="B3075" t="s">
        <v>5620</v>
      </c>
      <c r="C3075" s="2">
        <v>2022</v>
      </c>
      <c r="D3075" s="10">
        <v>4</v>
      </c>
      <c r="E3075" s="10">
        <v>28</v>
      </c>
      <c r="F3075" t="s">
        <v>5621</v>
      </c>
      <c r="G3075">
        <v>108</v>
      </c>
      <c r="H3075" t="s">
        <v>128</v>
      </c>
      <c r="I3075" t="s">
        <v>136</v>
      </c>
      <c r="J3075" s="10" t="str">
        <f>VLOOKUP(I3075,Categories!A:B,2,FALSE)</f>
        <v>อื่นๆ</v>
      </c>
      <c r="K3075" t="s">
        <v>2513</v>
      </c>
      <c r="L3075" s="10" t="str">
        <f>VLOOKUP(K3075,Accounts!A:B,2,FALSE)</f>
        <v xml:space="preserve">Pao tung</v>
      </c>
      <c r="M3075" t="s">
        <v>178</v>
      </c>
      <c r="N3075" s="10" t="str">
        <f>VLOOKUP(M3075,Accounts!A:B,2,FALSE)</f>
        <v>SCB</v>
      </c>
      <c r="O3075" t="s">
        <v>125</v>
      </c>
      <c r="Q3075" t="s">
        <v>126</v>
      </c>
      <c r="R3075" t="s">
        <v>124</v>
      </c>
      <c r="S3075" t="b">
        <v>0</v>
      </c>
      <c r="T3075" t="s">
        <v>124</v>
      </c>
    </row>
    <row r="3076">
      <c r="A3076" t="s">
        <v>5622</v>
      </c>
      <c r="B3076" t="s">
        <v>5620</v>
      </c>
      <c r="C3076" s="2">
        <v>2022</v>
      </c>
      <c r="D3076" s="10">
        <v>4</v>
      </c>
      <c r="E3076" s="10">
        <v>28</v>
      </c>
      <c r="F3076" t="s">
        <v>4753</v>
      </c>
      <c r="G3076">
        <v>24</v>
      </c>
      <c r="H3076" t="s">
        <v>128</v>
      </c>
      <c r="I3076" t="s">
        <v>136</v>
      </c>
      <c r="J3076" s="10" t="str">
        <f>VLOOKUP(I3076,Categories!A:B,2,FALSE)</f>
        <v>อื่นๆ</v>
      </c>
      <c r="K3076" t="s">
        <v>130</v>
      </c>
      <c r="L3076" s="10" t="str">
        <f>VLOOKUP(K3076,Accounts!A:B,2,FALSE)</f>
        <v xml:space="preserve">KTC JCB</v>
      </c>
      <c r="M3076" t="s">
        <v>178</v>
      </c>
      <c r="N3076" s="10" t="str">
        <f>VLOOKUP(M3076,Accounts!A:B,2,FALSE)</f>
        <v>SCB</v>
      </c>
      <c r="O3076" t="s">
        <v>125</v>
      </c>
      <c r="Q3076" t="s">
        <v>126</v>
      </c>
      <c r="R3076" t="s">
        <v>124</v>
      </c>
      <c r="S3076" t="b">
        <v>0</v>
      </c>
      <c r="T3076" t="s">
        <v>124</v>
      </c>
    </row>
    <row r="3077">
      <c r="A3077" t="s">
        <v>5623</v>
      </c>
      <c r="B3077" t="s">
        <v>5620</v>
      </c>
      <c r="C3077" s="2">
        <v>2022</v>
      </c>
      <c r="D3077" s="10">
        <v>4</v>
      </c>
      <c r="E3077" s="10">
        <v>28</v>
      </c>
      <c r="F3077" t="s">
        <v>4757</v>
      </c>
      <c r="G3077">
        <v>285</v>
      </c>
      <c r="H3077" t="s">
        <v>128</v>
      </c>
      <c r="I3077" t="s">
        <v>136</v>
      </c>
      <c r="J3077" s="10" t="str">
        <f>VLOOKUP(I3077,Categories!A:B,2,FALSE)</f>
        <v>อื่นๆ</v>
      </c>
      <c r="K3077" t="s">
        <v>130</v>
      </c>
      <c r="L3077" s="10" t="str">
        <f>VLOOKUP(K3077,Accounts!A:B,2,FALSE)</f>
        <v xml:space="preserve">KTC JCB</v>
      </c>
      <c r="M3077" t="s">
        <v>131</v>
      </c>
      <c r="N3077" s="10" t="str">
        <f>VLOOKUP(M3077,Accounts!A:B,2,FALSE)</f>
        <v xml:space="preserve">Advance Paid</v>
      </c>
      <c r="O3077" t="s">
        <v>125</v>
      </c>
      <c r="Q3077" t="s">
        <v>126</v>
      </c>
      <c r="R3077" t="s">
        <v>124</v>
      </c>
      <c r="S3077" t="b">
        <v>0</v>
      </c>
      <c r="T3077" t="s">
        <v>124</v>
      </c>
    </row>
    <row r="3078">
      <c r="A3078" t="s">
        <v>5624</v>
      </c>
      <c r="B3078" t="s">
        <v>5625</v>
      </c>
      <c r="C3078" s="2">
        <v>2022</v>
      </c>
      <c r="D3078" s="10">
        <v>4</v>
      </c>
      <c r="E3078" s="10">
        <v>26</v>
      </c>
      <c r="F3078" t="s">
        <v>121</v>
      </c>
      <c r="G3078">
        <v>103320</v>
      </c>
      <c r="H3078" t="s">
        <v>206</v>
      </c>
      <c r="I3078" t="s">
        <v>207</v>
      </c>
      <c r="J3078" s="10" t="str">
        <f>VLOOKUP(I3078,Categories!A:B,2,FALSE)</f>
        <v>Salary</v>
      </c>
      <c r="K3078" t="s">
        <v>178</v>
      </c>
      <c r="L3078" s="10" t="str">
        <f>VLOOKUP(K3078,Accounts!A:B,2,FALSE)</f>
        <v>SCB</v>
      </c>
      <c r="M3078" t="s">
        <v>124</v>
      </c>
      <c r="N3078" s="10"/>
      <c r="O3078" t="s">
        <v>125</v>
      </c>
      <c r="Q3078" t="s">
        <v>126</v>
      </c>
      <c r="R3078" t="s">
        <v>124</v>
      </c>
      <c r="S3078" t="b">
        <v>0</v>
      </c>
      <c r="T3078" t="s">
        <v>124</v>
      </c>
    </row>
    <row r="3079">
      <c r="A3079" t="s">
        <v>5626</v>
      </c>
      <c r="B3079" t="s">
        <v>5625</v>
      </c>
      <c r="C3079" s="2">
        <v>2022</v>
      </c>
      <c r="D3079" s="10">
        <v>4</v>
      </c>
      <c r="E3079" s="10">
        <v>26</v>
      </c>
      <c r="F3079" t="s">
        <v>121</v>
      </c>
      <c r="G3079">
        <v>121.48999999999999</v>
      </c>
      <c r="H3079" t="s">
        <v>69</v>
      </c>
      <c r="I3079" t="s">
        <v>443</v>
      </c>
      <c r="J3079" s="10" t="str">
        <f>VLOOKUP(I3079,Categories!A:B,2,FALSE)</f>
        <v xml:space="preserve">City SV Interest</v>
      </c>
      <c r="K3079" t="s">
        <v>178</v>
      </c>
      <c r="L3079" s="10" t="str">
        <f>VLOOKUP(K3079,Accounts!A:B,2,FALSE)</f>
        <v>SCB</v>
      </c>
      <c r="M3079" t="s">
        <v>124</v>
      </c>
      <c r="N3079" s="10"/>
      <c r="O3079" t="s">
        <v>125</v>
      </c>
      <c r="Q3079" t="s">
        <v>126</v>
      </c>
      <c r="R3079" t="s">
        <v>124</v>
      </c>
      <c r="S3079" t="b">
        <v>0</v>
      </c>
      <c r="T3079" t="s">
        <v>124</v>
      </c>
    </row>
    <row r="3080">
      <c r="A3080" t="s">
        <v>5627</v>
      </c>
      <c r="B3080" t="s">
        <v>5625</v>
      </c>
      <c r="C3080" s="2">
        <v>2022</v>
      </c>
      <c r="D3080" s="10">
        <v>4</v>
      </c>
      <c r="E3080" s="10">
        <v>26</v>
      </c>
      <c r="F3080" t="s">
        <v>121</v>
      </c>
      <c r="G3080">
        <v>609.63</v>
      </c>
      <c r="H3080" t="s">
        <v>69</v>
      </c>
      <c r="I3080" t="s">
        <v>199</v>
      </c>
      <c r="J3080" s="10" t="str">
        <f>VLOOKUP(I3080,Categories!A:B,2,FALSE)</f>
        <v xml:space="preserve">Home Chomthong Interest</v>
      </c>
      <c r="K3080" t="s">
        <v>178</v>
      </c>
      <c r="L3080" s="10" t="str">
        <f>VLOOKUP(K3080,Accounts!A:B,2,FALSE)</f>
        <v>SCB</v>
      </c>
      <c r="M3080" t="s">
        <v>124</v>
      </c>
      <c r="N3080" s="10"/>
      <c r="O3080" t="s">
        <v>125</v>
      </c>
      <c r="Q3080" t="s">
        <v>126</v>
      </c>
      <c r="R3080" t="s">
        <v>124</v>
      </c>
      <c r="S3080" t="b">
        <v>0</v>
      </c>
      <c r="T3080" t="s">
        <v>124</v>
      </c>
    </row>
    <row r="3081">
      <c r="A3081" t="s">
        <v>5628</v>
      </c>
      <c r="B3081" t="s">
        <v>5625</v>
      </c>
      <c r="C3081" s="2">
        <v>2022</v>
      </c>
      <c r="D3081" s="10">
        <v>4</v>
      </c>
      <c r="E3081" s="10">
        <v>26</v>
      </c>
      <c r="F3081" t="s">
        <v>121</v>
      </c>
      <c r="G3081">
        <v>2066.4000000000001</v>
      </c>
      <c r="H3081" t="s">
        <v>128</v>
      </c>
      <c r="I3081" t="s">
        <v>136</v>
      </c>
      <c r="J3081" s="10" t="str">
        <f>VLOOKUP(I3081,Categories!A:B,2,FALSE)</f>
        <v>อื่นๆ</v>
      </c>
      <c r="K3081" t="s">
        <v>178</v>
      </c>
      <c r="L3081" s="10" t="str">
        <f>VLOOKUP(K3081,Accounts!A:B,2,FALSE)</f>
        <v>SCB</v>
      </c>
      <c r="M3081" t="s">
        <v>203</v>
      </c>
      <c r="N3081" s="10" t="str">
        <f>VLOOKUP(M3081,Accounts!A:B,2,FALSE)</f>
        <v xml:space="preserve">Provident Fund</v>
      </c>
      <c r="O3081" t="s">
        <v>125</v>
      </c>
      <c r="Q3081" t="s">
        <v>126</v>
      </c>
      <c r="R3081" t="s">
        <v>124</v>
      </c>
      <c r="S3081" t="b">
        <v>0</v>
      </c>
      <c r="T3081" t="s">
        <v>124</v>
      </c>
    </row>
    <row r="3082">
      <c r="A3082" t="s">
        <v>5629</v>
      </c>
      <c r="B3082" t="s">
        <v>5625</v>
      </c>
      <c r="C3082" s="2">
        <v>2022</v>
      </c>
      <c r="D3082" s="10">
        <v>4</v>
      </c>
      <c r="E3082" s="10">
        <v>26</v>
      </c>
      <c r="F3082" t="s">
        <v>121</v>
      </c>
      <c r="G3082">
        <v>500</v>
      </c>
      <c r="H3082" t="s">
        <v>128</v>
      </c>
      <c r="I3082" t="s">
        <v>136</v>
      </c>
      <c r="J3082" s="10" t="str">
        <f>VLOOKUP(I3082,Categories!A:B,2,FALSE)</f>
        <v>อื่นๆ</v>
      </c>
      <c r="K3082" t="s">
        <v>178</v>
      </c>
      <c r="L3082" s="10" t="str">
        <f>VLOOKUP(K3082,Accounts!A:B,2,FALSE)</f>
        <v>SCB</v>
      </c>
      <c r="M3082" t="s">
        <v>201</v>
      </c>
      <c r="N3082" s="10" t="str">
        <f>VLOOKUP(M3082,Accounts!A:B,2,FALSE)</f>
        <v>Coop</v>
      </c>
      <c r="O3082" t="s">
        <v>125</v>
      </c>
      <c r="Q3082" t="s">
        <v>126</v>
      </c>
      <c r="R3082" t="s">
        <v>124</v>
      </c>
      <c r="S3082" t="b">
        <v>0</v>
      </c>
      <c r="T3082" t="s">
        <v>124</v>
      </c>
    </row>
    <row r="3083">
      <c r="A3083" t="s">
        <v>5630</v>
      </c>
      <c r="B3083" t="s">
        <v>5625</v>
      </c>
      <c r="C3083" s="2">
        <v>2022</v>
      </c>
      <c r="D3083" s="10">
        <v>4</v>
      </c>
      <c r="E3083" s="10">
        <v>26</v>
      </c>
      <c r="F3083" t="s">
        <v>121</v>
      </c>
      <c r="G3083">
        <v>7290</v>
      </c>
      <c r="H3083" t="s">
        <v>128</v>
      </c>
      <c r="I3083" t="s">
        <v>136</v>
      </c>
      <c r="J3083" s="10" t="str">
        <f>VLOOKUP(I3083,Categories!A:B,2,FALSE)</f>
        <v>อื่นๆ</v>
      </c>
      <c r="K3083" t="s">
        <v>178</v>
      </c>
      <c r="L3083" s="10" t="str">
        <f>VLOOKUP(K3083,Accounts!A:B,2,FALSE)</f>
        <v>SCB</v>
      </c>
      <c r="M3083" t="s">
        <v>1244</v>
      </c>
      <c r="N3083" s="10" t="str">
        <f>VLOOKUP(M3083,Accounts!A:B,2,FALSE)</f>
        <v xml:space="preserve">Home chomthong Loan</v>
      </c>
      <c r="O3083" t="s">
        <v>125</v>
      </c>
      <c r="Q3083" t="s">
        <v>126</v>
      </c>
      <c r="R3083" t="s">
        <v>124</v>
      </c>
      <c r="S3083" t="b">
        <v>0</v>
      </c>
      <c r="T3083" t="s">
        <v>124</v>
      </c>
    </row>
    <row r="3084">
      <c r="A3084" t="s">
        <v>5631</v>
      </c>
      <c r="B3084" t="s">
        <v>5625</v>
      </c>
      <c r="C3084" s="2">
        <v>2022</v>
      </c>
      <c r="D3084" s="10">
        <v>4</v>
      </c>
      <c r="E3084" s="10">
        <v>26</v>
      </c>
      <c r="F3084" t="s">
        <v>121</v>
      </c>
      <c r="G3084">
        <v>9240</v>
      </c>
      <c r="H3084" t="s">
        <v>128</v>
      </c>
      <c r="I3084" t="s">
        <v>136</v>
      </c>
      <c r="J3084" s="10" t="str">
        <f>VLOOKUP(I3084,Categories!A:B,2,FALSE)</f>
        <v>อื่นๆ</v>
      </c>
      <c r="K3084" t="s">
        <v>178</v>
      </c>
      <c r="L3084" s="10" t="str">
        <f>VLOOKUP(K3084,Accounts!A:B,2,FALSE)</f>
        <v>SCB</v>
      </c>
      <c r="M3084" t="s">
        <v>1246</v>
      </c>
      <c r="N3084" s="10" t="str">
        <f>VLOOKUP(M3084,Accounts!A:B,2,FALSE)</f>
        <v xml:space="preserve">Car Loan</v>
      </c>
      <c r="O3084" t="s">
        <v>125</v>
      </c>
      <c r="Q3084" t="s">
        <v>126</v>
      </c>
      <c r="R3084" t="s">
        <v>124</v>
      </c>
      <c r="S3084" t="b">
        <v>0</v>
      </c>
      <c r="T3084" t="s">
        <v>124</v>
      </c>
    </row>
    <row r="3085">
      <c r="A3085" t="s">
        <v>5632</v>
      </c>
      <c r="B3085" t="s">
        <v>5625</v>
      </c>
      <c r="C3085" s="2">
        <v>2022</v>
      </c>
      <c r="D3085" s="10">
        <v>4</v>
      </c>
      <c r="E3085" s="10">
        <v>26</v>
      </c>
      <c r="F3085" t="s">
        <v>5633</v>
      </c>
      <c r="G3085">
        <v>29696.669999999998</v>
      </c>
      <c r="H3085" t="s">
        <v>206</v>
      </c>
      <c r="I3085" t="s">
        <v>281</v>
      </c>
      <c r="J3085" s="10" t="str">
        <f>VLOOKUP(I3085,Categories!A:B,2,FALSE)</f>
        <v>Others</v>
      </c>
      <c r="K3085" t="s">
        <v>178</v>
      </c>
      <c r="L3085" s="10" t="str">
        <f>VLOOKUP(K3085,Accounts!A:B,2,FALSE)</f>
        <v>SCB</v>
      </c>
      <c r="M3085" t="s">
        <v>124</v>
      </c>
      <c r="N3085" s="10"/>
      <c r="O3085" t="s">
        <v>125</v>
      </c>
      <c r="Q3085" t="s">
        <v>126</v>
      </c>
      <c r="R3085" t="s">
        <v>124</v>
      </c>
      <c r="S3085" t="b">
        <v>0</v>
      </c>
      <c r="T3085" t="s">
        <v>124</v>
      </c>
    </row>
    <row r="3086">
      <c r="A3086" t="s">
        <v>5634</v>
      </c>
      <c r="B3086" t="s">
        <v>5625</v>
      </c>
      <c r="C3086" s="2">
        <v>2022</v>
      </c>
      <c r="D3086" s="10">
        <v>4</v>
      </c>
      <c r="E3086" s="10">
        <v>26</v>
      </c>
      <c r="F3086" t="s">
        <v>2616</v>
      </c>
      <c r="G3086">
        <v>416</v>
      </c>
      <c r="H3086" t="s">
        <v>69</v>
      </c>
      <c r="I3086" t="s">
        <v>122</v>
      </c>
      <c r="J3086" s="10" t="str">
        <f>VLOOKUP(I3086,Categories!A:B,2,FALSE)</f>
        <v>Other</v>
      </c>
      <c r="K3086" t="s">
        <v>178</v>
      </c>
      <c r="L3086" s="10" t="str">
        <f>VLOOKUP(K3086,Accounts!A:B,2,FALSE)</f>
        <v>SCB</v>
      </c>
      <c r="M3086" t="s">
        <v>124</v>
      </c>
      <c r="N3086" s="10"/>
      <c r="O3086" t="s">
        <v>125</v>
      </c>
      <c r="Q3086" t="s">
        <v>126</v>
      </c>
      <c r="R3086" t="s">
        <v>124</v>
      </c>
      <c r="S3086" t="b">
        <v>0</v>
      </c>
      <c r="T3086" t="s">
        <v>124</v>
      </c>
    </row>
    <row r="3087">
      <c r="A3087" t="s">
        <v>5635</v>
      </c>
      <c r="B3087" t="s">
        <v>5636</v>
      </c>
      <c r="C3087" s="2">
        <v>2022</v>
      </c>
      <c r="D3087" s="10">
        <v>4</v>
      </c>
      <c r="E3087" s="10">
        <v>25</v>
      </c>
      <c r="F3087" t="s">
        <v>4591</v>
      </c>
      <c r="G3087">
        <v>135</v>
      </c>
      <c r="H3087" t="s">
        <v>128</v>
      </c>
      <c r="I3087" t="s">
        <v>136</v>
      </c>
      <c r="J3087" s="10" t="str">
        <f>VLOOKUP(I3087,Categories!A:B,2,FALSE)</f>
        <v>อื่นๆ</v>
      </c>
      <c r="K3087" t="s">
        <v>130</v>
      </c>
      <c r="L3087" s="10" t="str">
        <f>VLOOKUP(K3087,Accounts!A:B,2,FALSE)</f>
        <v xml:space="preserve">KTC JCB</v>
      </c>
      <c r="M3087" t="s">
        <v>131</v>
      </c>
      <c r="N3087" s="10" t="str">
        <f>VLOOKUP(M3087,Accounts!A:B,2,FALSE)</f>
        <v xml:space="preserve">Advance Paid</v>
      </c>
      <c r="O3087" t="s">
        <v>125</v>
      </c>
      <c r="Q3087" t="s">
        <v>126</v>
      </c>
      <c r="R3087" t="s">
        <v>124</v>
      </c>
      <c r="S3087" t="b">
        <v>0</v>
      </c>
      <c r="T3087" t="s">
        <v>124</v>
      </c>
    </row>
    <row r="3088">
      <c r="A3088" t="s">
        <v>5637</v>
      </c>
      <c r="B3088" t="s">
        <v>5636</v>
      </c>
      <c r="C3088" s="2">
        <v>2022</v>
      </c>
      <c r="D3088" s="10">
        <v>4</v>
      </c>
      <c r="E3088" s="10">
        <v>25</v>
      </c>
      <c r="F3088" t="s">
        <v>5638</v>
      </c>
      <c r="G3088">
        <v>257.39999999999998</v>
      </c>
      <c r="H3088" t="s">
        <v>69</v>
      </c>
      <c r="I3088" t="s">
        <v>141</v>
      </c>
      <c r="J3088" s="10" t="str">
        <f>VLOOKUP(I3088,Categories!A:B,2,FALSE)</f>
        <v>Other</v>
      </c>
      <c r="K3088" t="s">
        <v>2862</v>
      </c>
      <c r="L3088" s="10" t="str">
        <f>VLOOKUP(K3088,Accounts!A:B,2,FALSE)</f>
        <v xml:space="preserve">Kbank onesiam</v>
      </c>
      <c r="M3088" t="s">
        <v>124</v>
      </c>
      <c r="N3088" s="10"/>
      <c r="O3088" t="s">
        <v>125</v>
      </c>
      <c r="Q3088" t="s">
        <v>126</v>
      </c>
      <c r="R3088" t="s">
        <v>124</v>
      </c>
      <c r="S3088" t="b">
        <v>0</v>
      </c>
      <c r="T3088" t="s">
        <v>124</v>
      </c>
    </row>
    <row r="3089">
      <c r="A3089" t="s">
        <v>5639</v>
      </c>
      <c r="B3089" t="s">
        <v>5640</v>
      </c>
      <c r="C3089" s="2">
        <v>2022</v>
      </c>
      <c r="D3089" s="10">
        <v>4</v>
      </c>
      <c r="E3089" s="10">
        <v>24</v>
      </c>
      <c r="F3089" t="s">
        <v>121</v>
      </c>
      <c r="G3089">
        <v>150</v>
      </c>
      <c r="H3089" t="s">
        <v>69</v>
      </c>
      <c r="I3089" t="s">
        <v>150</v>
      </c>
      <c r="J3089" s="10" t="str">
        <f>VLOOKUP(I3089,Categories!A:B,2,FALSE)</f>
        <v xml:space="preserve">Food &amp; Coff</v>
      </c>
      <c r="K3089" t="s">
        <v>178</v>
      </c>
      <c r="L3089" s="10" t="str">
        <f>VLOOKUP(K3089,Accounts!A:B,2,FALSE)</f>
        <v>SCB</v>
      </c>
      <c r="M3089" t="s">
        <v>124</v>
      </c>
      <c r="N3089" s="10"/>
      <c r="O3089" t="s">
        <v>125</v>
      </c>
      <c r="Q3089" t="s">
        <v>126</v>
      </c>
      <c r="R3089" t="s">
        <v>124</v>
      </c>
      <c r="S3089" t="b">
        <v>0</v>
      </c>
      <c r="T3089" t="s">
        <v>124</v>
      </c>
    </row>
    <row r="3090">
      <c r="A3090" t="s">
        <v>5641</v>
      </c>
      <c r="B3090" t="s">
        <v>5642</v>
      </c>
      <c r="C3090" s="2">
        <v>2022</v>
      </c>
      <c r="D3090" s="10">
        <v>4</v>
      </c>
      <c r="E3090" s="10">
        <v>23</v>
      </c>
      <c r="F3090" t="s">
        <v>5351</v>
      </c>
      <c r="G3090">
        <v>1200</v>
      </c>
      <c r="H3090" t="s">
        <v>128</v>
      </c>
      <c r="I3090" t="s">
        <v>136</v>
      </c>
      <c r="J3090" s="10" t="str">
        <f>VLOOKUP(I3090,Categories!A:B,2,FALSE)</f>
        <v>อื่นๆ</v>
      </c>
      <c r="K3090" t="s">
        <v>5552</v>
      </c>
      <c r="L3090" s="10" t="str">
        <f>VLOOKUP(K3090,Accounts!A:B,2,FALSE)</f>
        <v xml:space="preserve">Kbank BLUECARD</v>
      </c>
      <c r="M3090" t="s">
        <v>131</v>
      </c>
      <c r="N3090" s="10" t="str">
        <f>VLOOKUP(M3090,Accounts!A:B,2,FALSE)</f>
        <v xml:space="preserve">Advance Paid</v>
      </c>
      <c r="O3090" t="s">
        <v>125</v>
      </c>
      <c r="Q3090" t="s">
        <v>126</v>
      </c>
      <c r="R3090" t="s">
        <v>124</v>
      </c>
      <c r="S3090" t="b">
        <v>0</v>
      </c>
      <c r="T3090" t="s">
        <v>124</v>
      </c>
    </row>
    <row r="3091">
      <c r="A3091" t="s">
        <v>5643</v>
      </c>
      <c r="B3091" t="s">
        <v>5644</v>
      </c>
      <c r="C3091" s="2">
        <v>2022</v>
      </c>
      <c r="D3091" s="10">
        <v>4</v>
      </c>
      <c r="E3091" s="10">
        <v>22</v>
      </c>
      <c r="F3091" t="s">
        <v>121</v>
      </c>
      <c r="G3091">
        <v>130</v>
      </c>
      <c r="H3091" t="s">
        <v>69</v>
      </c>
      <c r="I3091" t="s">
        <v>150</v>
      </c>
      <c r="J3091" s="10" t="str">
        <f>VLOOKUP(I3091,Categories!A:B,2,FALSE)</f>
        <v xml:space="preserve">Food &amp; Coff</v>
      </c>
      <c r="K3091" t="s">
        <v>178</v>
      </c>
      <c r="L3091" s="10" t="str">
        <f>VLOOKUP(K3091,Accounts!A:B,2,FALSE)</f>
        <v>SCB</v>
      </c>
      <c r="M3091" t="s">
        <v>124</v>
      </c>
      <c r="N3091" s="10"/>
      <c r="O3091" t="s">
        <v>125</v>
      </c>
      <c r="Q3091" t="s">
        <v>126</v>
      </c>
      <c r="R3091" t="s">
        <v>124</v>
      </c>
      <c r="S3091" t="b">
        <v>0</v>
      </c>
      <c r="T3091" t="s">
        <v>124</v>
      </c>
    </row>
    <row r="3092">
      <c r="A3092" t="s">
        <v>5645</v>
      </c>
      <c r="B3092" t="s">
        <v>5646</v>
      </c>
      <c r="C3092" s="2">
        <v>2022</v>
      </c>
      <c r="D3092" s="10">
        <v>4</v>
      </c>
      <c r="E3092" s="10">
        <v>19</v>
      </c>
      <c r="F3092" t="s">
        <v>1047</v>
      </c>
      <c r="G3092">
        <v>16</v>
      </c>
      <c r="H3092" t="s">
        <v>206</v>
      </c>
      <c r="I3092" t="s">
        <v>281</v>
      </c>
      <c r="J3092" s="10" t="str">
        <f>VLOOKUP(I3092,Categories!A:B,2,FALSE)</f>
        <v>Others</v>
      </c>
      <c r="K3092" t="s">
        <v>130</v>
      </c>
      <c r="L3092" s="10" t="str">
        <f>VLOOKUP(K3092,Accounts!A:B,2,FALSE)</f>
        <v xml:space="preserve">KTC JCB</v>
      </c>
      <c r="M3092" t="s">
        <v>124</v>
      </c>
      <c r="N3092" s="10"/>
      <c r="O3092" t="s">
        <v>125</v>
      </c>
      <c r="Q3092" t="s">
        <v>126</v>
      </c>
      <c r="R3092" t="s">
        <v>124</v>
      </c>
      <c r="S3092" t="b">
        <v>0</v>
      </c>
      <c r="T3092" t="s">
        <v>124</v>
      </c>
    </row>
    <row r="3093">
      <c r="A3093" t="s">
        <v>5647</v>
      </c>
      <c r="B3093" t="s">
        <v>5648</v>
      </c>
      <c r="C3093" s="2">
        <v>2022</v>
      </c>
      <c r="D3093" s="10">
        <v>4</v>
      </c>
      <c r="E3093" s="10">
        <v>17</v>
      </c>
      <c r="F3093" t="s">
        <v>5649</v>
      </c>
      <c r="G3093">
        <v>59</v>
      </c>
      <c r="H3093" t="s">
        <v>69</v>
      </c>
      <c r="I3093" t="s">
        <v>141</v>
      </c>
      <c r="J3093" s="10" t="str">
        <f>VLOOKUP(I3093,Categories!A:B,2,FALSE)</f>
        <v>Other</v>
      </c>
      <c r="K3093" t="s">
        <v>743</v>
      </c>
      <c r="L3093" s="10" t="str">
        <f>VLOOKUP(K3093,Accounts!A:B,2,FALSE)</f>
        <v>HOMEPRO</v>
      </c>
      <c r="M3093" t="s">
        <v>124</v>
      </c>
      <c r="N3093" s="10"/>
      <c r="O3093" t="s">
        <v>5650</v>
      </c>
      <c r="Q3093" t="s">
        <v>126</v>
      </c>
      <c r="R3093" t="s">
        <v>124</v>
      </c>
      <c r="S3093" t="b">
        <v>0</v>
      </c>
      <c r="T3093" t="s">
        <v>124</v>
      </c>
    </row>
    <row r="3094">
      <c r="A3094" t="s">
        <v>5651</v>
      </c>
      <c r="B3094" t="s">
        <v>5648</v>
      </c>
      <c r="C3094" s="2">
        <v>2022</v>
      </c>
      <c r="D3094" s="10">
        <v>4</v>
      </c>
      <c r="E3094" s="10">
        <v>17</v>
      </c>
      <c r="F3094" t="s">
        <v>1879</v>
      </c>
      <c r="G3094">
        <v>31</v>
      </c>
      <c r="H3094" t="s">
        <v>69</v>
      </c>
      <c r="I3094" t="s">
        <v>141</v>
      </c>
      <c r="J3094" s="10" t="str">
        <f>VLOOKUP(I3094,Categories!A:B,2,FALSE)</f>
        <v>Other</v>
      </c>
      <c r="K3094" t="s">
        <v>743</v>
      </c>
      <c r="L3094" s="10" t="str">
        <f>VLOOKUP(K3094,Accounts!A:B,2,FALSE)</f>
        <v>HOMEPRO</v>
      </c>
      <c r="M3094" t="s">
        <v>124</v>
      </c>
      <c r="N3094" s="10"/>
      <c r="O3094" t="s">
        <v>125</v>
      </c>
      <c r="Q3094" t="s">
        <v>126</v>
      </c>
      <c r="R3094" t="s">
        <v>124</v>
      </c>
      <c r="S3094" t="b">
        <v>0</v>
      </c>
      <c r="T3094" t="s">
        <v>124</v>
      </c>
    </row>
    <row r="3095">
      <c r="A3095" t="s">
        <v>5652</v>
      </c>
      <c r="B3095" t="s">
        <v>5653</v>
      </c>
      <c r="C3095" s="2">
        <v>2022</v>
      </c>
      <c r="D3095" s="10">
        <v>4</v>
      </c>
      <c r="E3095" s="10">
        <v>16</v>
      </c>
      <c r="F3095" t="s">
        <v>1822</v>
      </c>
      <c r="G3095">
        <v>75</v>
      </c>
      <c r="H3095" t="s">
        <v>69</v>
      </c>
      <c r="I3095" t="s">
        <v>150</v>
      </c>
      <c r="J3095" s="10" t="str">
        <f>VLOOKUP(I3095,Categories!A:B,2,FALSE)</f>
        <v xml:space="preserve">Food &amp; Coff</v>
      </c>
      <c r="K3095" t="s">
        <v>178</v>
      </c>
      <c r="L3095" s="10" t="str">
        <f>VLOOKUP(K3095,Accounts!A:B,2,FALSE)</f>
        <v>SCB</v>
      </c>
      <c r="M3095" t="s">
        <v>124</v>
      </c>
      <c r="N3095" s="10"/>
      <c r="O3095" t="s">
        <v>125</v>
      </c>
      <c r="Q3095" t="s">
        <v>126</v>
      </c>
      <c r="R3095" t="s">
        <v>124</v>
      </c>
      <c r="S3095" t="b">
        <v>0</v>
      </c>
      <c r="T3095" t="s">
        <v>124</v>
      </c>
    </row>
    <row r="3096">
      <c r="A3096" t="s">
        <v>5654</v>
      </c>
      <c r="B3096" t="s">
        <v>5653</v>
      </c>
      <c r="C3096" s="2">
        <v>2022</v>
      </c>
      <c r="D3096" s="10">
        <v>4</v>
      </c>
      <c r="E3096" s="10">
        <v>16</v>
      </c>
      <c r="F3096" t="s">
        <v>3525</v>
      </c>
      <c r="G3096">
        <v>20000</v>
      </c>
      <c r="H3096" t="s">
        <v>128</v>
      </c>
      <c r="I3096" t="s">
        <v>136</v>
      </c>
      <c r="J3096" s="10" t="str">
        <f>VLOOKUP(I3096,Categories!A:B,2,FALSE)</f>
        <v>อื่นๆ</v>
      </c>
      <c r="K3096" t="s">
        <v>178</v>
      </c>
      <c r="L3096" s="10" t="str">
        <f>VLOOKUP(K3096,Accounts!A:B,2,FALSE)</f>
        <v>SCB</v>
      </c>
      <c r="M3096" t="s">
        <v>766</v>
      </c>
      <c r="N3096" s="10" t="str">
        <f>VLOOKUP(M3096,Accounts!A:B,2,FALSE)</f>
        <v>KRUNGSRI</v>
      </c>
      <c r="O3096" t="s">
        <v>125</v>
      </c>
      <c r="Q3096" t="s">
        <v>126</v>
      </c>
      <c r="R3096" t="s">
        <v>124</v>
      </c>
      <c r="S3096" t="b">
        <v>0</v>
      </c>
      <c r="T3096" t="s">
        <v>124</v>
      </c>
    </row>
    <row r="3097">
      <c r="A3097" t="s">
        <v>5655</v>
      </c>
      <c r="B3097" t="s">
        <v>5653</v>
      </c>
      <c r="C3097" s="2">
        <v>2022</v>
      </c>
      <c r="D3097" s="10">
        <v>4</v>
      </c>
      <c r="E3097" s="10">
        <v>16</v>
      </c>
      <c r="F3097" t="s">
        <v>3390</v>
      </c>
      <c r="G3097">
        <v>8485.1599999999999</v>
      </c>
      <c r="H3097" t="s">
        <v>128</v>
      </c>
      <c r="I3097" t="s">
        <v>136</v>
      </c>
      <c r="J3097" s="10" t="str">
        <f>VLOOKUP(I3097,Categories!A:B,2,FALSE)</f>
        <v>อื่นๆ</v>
      </c>
      <c r="K3097" t="s">
        <v>766</v>
      </c>
      <c r="L3097" s="10" t="str">
        <f>VLOOKUP(K3097,Accounts!A:B,2,FALSE)</f>
        <v>KRUNGSRI</v>
      </c>
      <c r="M3097" t="s">
        <v>743</v>
      </c>
      <c r="N3097" s="10" t="str">
        <f>VLOOKUP(M3097,Accounts!A:B,2,FALSE)</f>
        <v>HOMEPRO</v>
      </c>
      <c r="O3097" t="s">
        <v>125</v>
      </c>
      <c r="Q3097" t="s">
        <v>126</v>
      </c>
      <c r="R3097" t="s">
        <v>124</v>
      </c>
      <c r="S3097" t="b">
        <v>0</v>
      </c>
      <c r="T3097" t="s">
        <v>124</v>
      </c>
    </row>
    <row r="3098">
      <c r="A3098" t="s">
        <v>5656</v>
      </c>
      <c r="B3098" t="s">
        <v>5653</v>
      </c>
      <c r="C3098" s="2">
        <v>2022</v>
      </c>
      <c r="D3098" s="10">
        <v>4</v>
      </c>
      <c r="E3098" s="10">
        <v>16</v>
      </c>
      <c r="F3098" t="s">
        <v>4383</v>
      </c>
      <c r="G3098">
        <v>54</v>
      </c>
      <c r="H3098" t="s">
        <v>69</v>
      </c>
      <c r="I3098" t="s">
        <v>150</v>
      </c>
      <c r="J3098" s="10" t="str">
        <f>VLOOKUP(I3098,Categories!A:B,2,FALSE)</f>
        <v xml:space="preserve">Food &amp; Coff</v>
      </c>
      <c r="K3098" t="s">
        <v>123</v>
      </c>
      <c r="L3098" s="10" t="str">
        <f>VLOOKUP(K3098,Accounts!A:B,2,FALSE)</f>
        <v>KBank</v>
      </c>
      <c r="M3098" t="s">
        <v>124</v>
      </c>
      <c r="N3098" s="10"/>
      <c r="O3098" t="s">
        <v>125</v>
      </c>
      <c r="Q3098" t="s">
        <v>126</v>
      </c>
      <c r="R3098" t="s">
        <v>124</v>
      </c>
      <c r="S3098" t="b">
        <v>0</v>
      </c>
      <c r="T3098" t="s">
        <v>124</v>
      </c>
    </row>
    <row r="3099">
      <c r="A3099" t="s">
        <v>5657</v>
      </c>
      <c r="B3099" t="s">
        <v>5658</v>
      </c>
      <c r="C3099" s="2">
        <v>2022</v>
      </c>
      <c r="D3099" s="10">
        <v>4</v>
      </c>
      <c r="E3099" s="10">
        <v>15</v>
      </c>
      <c r="F3099" t="s">
        <v>1594</v>
      </c>
      <c r="G3099">
        <v>1940</v>
      </c>
      <c r="H3099" t="s">
        <v>128</v>
      </c>
      <c r="I3099" t="s">
        <v>136</v>
      </c>
      <c r="J3099" s="10" t="str">
        <f>VLOOKUP(I3099,Categories!A:B,2,FALSE)</f>
        <v>อื่นๆ</v>
      </c>
      <c r="K3099" t="s">
        <v>130</v>
      </c>
      <c r="L3099" s="10" t="str">
        <f>VLOOKUP(K3099,Accounts!A:B,2,FALSE)</f>
        <v xml:space="preserve">KTC JCB</v>
      </c>
      <c r="M3099" t="s">
        <v>131</v>
      </c>
      <c r="N3099" s="10" t="str">
        <f>VLOOKUP(M3099,Accounts!A:B,2,FALSE)</f>
        <v xml:space="preserve">Advance Paid</v>
      </c>
      <c r="O3099" t="s">
        <v>5659</v>
      </c>
      <c r="Q3099" t="s">
        <v>126</v>
      </c>
      <c r="R3099" t="s">
        <v>124</v>
      </c>
      <c r="S3099" t="b">
        <v>0</v>
      </c>
      <c r="T3099" t="s">
        <v>124</v>
      </c>
    </row>
    <row r="3100">
      <c r="A3100" t="s">
        <v>5660</v>
      </c>
      <c r="B3100" t="s">
        <v>5661</v>
      </c>
      <c r="C3100" s="2">
        <v>2022</v>
      </c>
      <c r="D3100" s="10">
        <v>4</v>
      </c>
      <c r="E3100" s="10">
        <v>14</v>
      </c>
      <c r="F3100" t="s">
        <v>121</v>
      </c>
      <c r="G3100">
        <v>419</v>
      </c>
      <c r="H3100" t="s">
        <v>69</v>
      </c>
      <c r="I3100" t="s">
        <v>1903</v>
      </c>
      <c r="J3100" s="10" t="str">
        <f>VLOOKUP(I3100,Categories!A:B,2,FALSE)</f>
        <v xml:space="preserve">Monthly subscription</v>
      </c>
      <c r="K3100" t="s">
        <v>747</v>
      </c>
      <c r="L3100" s="10" t="str">
        <f>VLOOKUP(K3100,Accounts!A:B,2,FALSE)</f>
        <v xml:space="preserve">UOB world</v>
      </c>
      <c r="M3100" t="s">
        <v>124</v>
      </c>
      <c r="N3100" s="10"/>
      <c r="O3100" t="s">
        <v>125</v>
      </c>
      <c r="Q3100" t="s">
        <v>126</v>
      </c>
      <c r="R3100" t="s">
        <v>124</v>
      </c>
      <c r="S3100" t="b">
        <v>0</v>
      </c>
      <c r="T3100" t="s">
        <v>124</v>
      </c>
    </row>
    <row r="3101">
      <c r="A3101" t="s">
        <v>5662</v>
      </c>
      <c r="B3101" t="s">
        <v>5661</v>
      </c>
      <c r="C3101" s="2">
        <v>2022</v>
      </c>
      <c r="D3101" s="10">
        <v>4</v>
      </c>
      <c r="E3101" s="10">
        <v>14</v>
      </c>
      <c r="F3101" t="s">
        <v>121</v>
      </c>
      <c r="G3101">
        <v>419</v>
      </c>
      <c r="H3101" t="s">
        <v>128</v>
      </c>
      <c r="I3101" t="s">
        <v>136</v>
      </c>
      <c r="J3101" s="10" t="str">
        <f>VLOOKUP(I3101,Categories!A:B,2,FALSE)</f>
        <v>อื่นๆ</v>
      </c>
      <c r="K3101" t="s">
        <v>178</v>
      </c>
      <c r="L3101" s="10" t="str">
        <f>VLOOKUP(K3101,Accounts!A:B,2,FALSE)</f>
        <v>SCB</v>
      </c>
      <c r="M3101" t="s">
        <v>747</v>
      </c>
      <c r="N3101" s="10" t="str">
        <f>VLOOKUP(M3101,Accounts!A:B,2,FALSE)</f>
        <v xml:space="preserve">UOB world</v>
      </c>
      <c r="O3101" t="s">
        <v>125</v>
      </c>
      <c r="Q3101" t="s">
        <v>126</v>
      </c>
      <c r="R3101" t="s">
        <v>124</v>
      </c>
      <c r="S3101" t="b">
        <v>0</v>
      </c>
      <c r="T3101" t="s">
        <v>124</v>
      </c>
    </row>
    <row r="3102">
      <c r="A3102" t="s">
        <v>5663</v>
      </c>
      <c r="B3102" t="s">
        <v>5661</v>
      </c>
      <c r="C3102" s="2">
        <v>2022</v>
      </c>
      <c r="D3102" s="10">
        <v>4</v>
      </c>
      <c r="E3102" s="10">
        <v>14</v>
      </c>
      <c r="F3102" t="s">
        <v>4403</v>
      </c>
      <c r="G3102">
        <v>259</v>
      </c>
      <c r="H3102" t="s">
        <v>128</v>
      </c>
      <c r="I3102" t="s">
        <v>136</v>
      </c>
      <c r="J3102" s="10" t="str">
        <f>VLOOKUP(I3102,Categories!A:B,2,FALSE)</f>
        <v>อื่นๆ</v>
      </c>
      <c r="K3102" t="s">
        <v>130</v>
      </c>
      <c r="L3102" s="10" t="str">
        <f>VLOOKUP(K3102,Accounts!A:B,2,FALSE)</f>
        <v xml:space="preserve">KTC JCB</v>
      </c>
      <c r="M3102" t="s">
        <v>131</v>
      </c>
      <c r="N3102" s="10" t="str">
        <f>VLOOKUP(M3102,Accounts!A:B,2,FALSE)</f>
        <v xml:space="preserve">Advance Paid</v>
      </c>
      <c r="O3102" t="s">
        <v>125</v>
      </c>
      <c r="Q3102" t="s">
        <v>126</v>
      </c>
      <c r="R3102" t="s">
        <v>124</v>
      </c>
      <c r="S3102" t="b">
        <v>0</v>
      </c>
      <c r="T3102" t="s">
        <v>124</v>
      </c>
    </row>
    <row r="3103">
      <c r="A3103" t="s">
        <v>5664</v>
      </c>
      <c r="B3103" t="s">
        <v>5665</v>
      </c>
      <c r="C3103" s="2">
        <v>2022</v>
      </c>
      <c r="D3103" s="10">
        <v>4</v>
      </c>
      <c r="E3103" s="10">
        <v>13</v>
      </c>
      <c r="F3103" t="s">
        <v>2709</v>
      </c>
      <c r="G3103">
        <v>2167</v>
      </c>
      <c r="H3103" t="s">
        <v>128</v>
      </c>
      <c r="I3103" t="s">
        <v>136</v>
      </c>
      <c r="J3103" s="10" t="str">
        <f>VLOOKUP(I3103,Categories!A:B,2,FALSE)</f>
        <v>อื่นๆ</v>
      </c>
      <c r="K3103" t="s">
        <v>178</v>
      </c>
      <c r="L3103" s="10" t="str">
        <f>VLOOKUP(K3103,Accounts!A:B,2,FALSE)</f>
        <v>SCB</v>
      </c>
      <c r="M3103" t="s">
        <v>131</v>
      </c>
      <c r="N3103" s="10" t="str">
        <f>VLOOKUP(M3103,Accounts!A:B,2,FALSE)</f>
        <v xml:space="preserve">Advance Paid</v>
      </c>
      <c r="O3103" t="s">
        <v>5666</v>
      </c>
      <c r="Q3103" t="s">
        <v>126</v>
      </c>
      <c r="R3103" t="s">
        <v>124</v>
      </c>
      <c r="S3103" t="b">
        <v>0</v>
      </c>
      <c r="T3103" t="s">
        <v>124</v>
      </c>
    </row>
    <row r="3104">
      <c r="A3104" t="s">
        <v>5667</v>
      </c>
      <c r="B3104" t="s">
        <v>5665</v>
      </c>
      <c r="C3104" s="2">
        <v>2022</v>
      </c>
      <c r="D3104" s="10">
        <v>4</v>
      </c>
      <c r="E3104" s="10">
        <v>13</v>
      </c>
      <c r="F3104" t="s">
        <v>599</v>
      </c>
      <c r="G3104">
        <v>130</v>
      </c>
      <c r="H3104" t="s">
        <v>69</v>
      </c>
      <c r="I3104" t="s">
        <v>150</v>
      </c>
      <c r="J3104" s="10" t="str">
        <f>VLOOKUP(I3104,Categories!A:B,2,FALSE)</f>
        <v xml:space="preserve">Food &amp; Coff</v>
      </c>
      <c r="K3104" t="s">
        <v>178</v>
      </c>
      <c r="L3104" s="10" t="str">
        <f>VLOOKUP(K3104,Accounts!A:B,2,FALSE)</f>
        <v>SCB</v>
      </c>
      <c r="M3104" t="s">
        <v>124</v>
      </c>
      <c r="N3104" s="10"/>
      <c r="O3104" t="s">
        <v>5668</v>
      </c>
      <c r="Q3104" t="s">
        <v>126</v>
      </c>
      <c r="R3104" t="s">
        <v>124</v>
      </c>
      <c r="S3104" t="b">
        <v>0</v>
      </c>
      <c r="T3104" t="s">
        <v>124</v>
      </c>
    </row>
    <row r="3105">
      <c r="A3105" t="s">
        <v>5669</v>
      </c>
      <c r="B3105" t="s">
        <v>5665</v>
      </c>
      <c r="C3105" s="2">
        <v>2022</v>
      </c>
      <c r="D3105" s="10">
        <v>4</v>
      </c>
      <c r="E3105" s="10">
        <v>13</v>
      </c>
      <c r="F3105" t="s">
        <v>1867</v>
      </c>
      <c r="G3105">
        <v>3695.7800000000002</v>
      </c>
      <c r="H3105" t="s">
        <v>128</v>
      </c>
      <c r="I3105" t="s">
        <v>136</v>
      </c>
      <c r="J3105" s="10" t="str">
        <f>VLOOKUP(I3105,Categories!A:B,2,FALSE)</f>
        <v>อื่นๆ</v>
      </c>
      <c r="K3105" t="s">
        <v>130</v>
      </c>
      <c r="L3105" s="10" t="str">
        <f>VLOOKUP(K3105,Accounts!A:B,2,FALSE)</f>
        <v xml:space="preserve">KTC JCB</v>
      </c>
      <c r="M3105" t="s">
        <v>131</v>
      </c>
      <c r="N3105" s="10" t="str">
        <f>VLOOKUP(M3105,Accounts!A:B,2,FALSE)</f>
        <v xml:space="preserve">Advance Paid</v>
      </c>
      <c r="O3105" t="s">
        <v>5670</v>
      </c>
      <c r="Q3105" t="s">
        <v>126</v>
      </c>
      <c r="R3105" t="s">
        <v>124</v>
      </c>
      <c r="S3105" t="b">
        <v>0</v>
      </c>
      <c r="T3105" t="s">
        <v>124</v>
      </c>
    </row>
    <row r="3106">
      <c r="A3106" t="s">
        <v>5671</v>
      </c>
      <c r="B3106" t="s">
        <v>5665</v>
      </c>
      <c r="C3106" s="2">
        <v>2022</v>
      </c>
      <c r="D3106" s="10">
        <v>4</v>
      </c>
      <c r="E3106" s="10">
        <v>13</v>
      </c>
      <c r="F3106" t="s">
        <v>2832</v>
      </c>
      <c r="G3106">
        <v>1635.54</v>
      </c>
      <c r="H3106" t="s">
        <v>69</v>
      </c>
      <c r="I3106" t="s">
        <v>150</v>
      </c>
      <c r="J3106" s="10" t="str">
        <f>VLOOKUP(I3106,Categories!A:B,2,FALSE)</f>
        <v xml:space="preserve">Food &amp; Coff</v>
      </c>
      <c r="K3106" t="s">
        <v>131</v>
      </c>
      <c r="L3106" s="10" t="str">
        <f>VLOOKUP(K3106,Accounts!A:B,2,FALSE)</f>
        <v xml:space="preserve">Advance Paid</v>
      </c>
      <c r="M3106" t="s">
        <v>124</v>
      </c>
      <c r="N3106" s="10"/>
      <c r="O3106" t="s">
        <v>5672</v>
      </c>
      <c r="Q3106" t="s">
        <v>126</v>
      </c>
      <c r="R3106" t="s">
        <v>124</v>
      </c>
      <c r="S3106" t="b">
        <v>0</v>
      </c>
      <c r="T3106" t="s">
        <v>124</v>
      </c>
    </row>
    <row r="3107">
      <c r="A3107" t="s">
        <v>5673</v>
      </c>
      <c r="B3107" t="s">
        <v>5665</v>
      </c>
      <c r="C3107" s="2">
        <v>2022</v>
      </c>
      <c r="D3107" s="10">
        <v>4</v>
      </c>
      <c r="E3107" s="10">
        <v>13</v>
      </c>
      <c r="F3107" t="s">
        <v>5674</v>
      </c>
      <c r="G3107">
        <v>965.5</v>
      </c>
      <c r="H3107" t="s">
        <v>128</v>
      </c>
      <c r="I3107" t="s">
        <v>136</v>
      </c>
      <c r="J3107" s="10" t="str">
        <f>VLOOKUP(I3107,Categories!A:B,2,FALSE)</f>
        <v>อื่นๆ</v>
      </c>
      <c r="K3107" t="s">
        <v>131</v>
      </c>
      <c r="L3107" s="10" t="str">
        <f>VLOOKUP(K3107,Accounts!A:B,2,FALSE)</f>
        <v xml:space="preserve">Advance Paid</v>
      </c>
      <c r="M3107" t="s">
        <v>178</v>
      </c>
      <c r="N3107" s="10" t="str">
        <f>VLOOKUP(M3107,Accounts!A:B,2,FALSE)</f>
        <v>SCB</v>
      </c>
      <c r="O3107" t="s">
        <v>5675</v>
      </c>
      <c r="Q3107" t="s">
        <v>126</v>
      </c>
      <c r="R3107" t="s">
        <v>124</v>
      </c>
      <c r="S3107" t="b">
        <v>0</v>
      </c>
      <c r="T3107" t="s">
        <v>124</v>
      </c>
    </row>
    <row r="3108">
      <c r="A3108" t="s">
        <v>5676</v>
      </c>
      <c r="B3108" t="s">
        <v>5665</v>
      </c>
      <c r="C3108" s="2">
        <v>2022</v>
      </c>
      <c r="D3108" s="10">
        <v>4</v>
      </c>
      <c r="E3108" s="10">
        <v>13</v>
      </c>
      <c r="F3108" t="s">
        <v>5677</v>
      </c>
      <c r="G3108">
        <v>2892</v>
      </c>
      <c r="H3108" t="s">
        <v>128</v>
      </c>
      <c r="I3108" t="s">
        <v>136</v>
      </c>
      <c r="J3108" s="10" t="str">
        <f>VLOOKUP(I3108,Categories!A:B,2,FALSE)</f>
        <v>อื่นๆ</v>
      </c>
      <c r="K3108" t="s">
        <v>131</v>
      </c>
      <c r="L3108" s="10" t="str">
        <f>VLOOKUP(K3108,Accounts!A:B,2,FALSE)</f>
        <v xml:space="preserve">Advance Paid</v>
      </c>
      <c r="M3108" t="s">
        <v>178</v>
      </c>
      <c r="N3108" s="10" t="str">
        <f>VLOOKUP(M3108,Accounts!A:B,2,FALSE)</f>
        <v>SCB</v>
      </c>
      <c r="O3108" t="s">
        <v>5678</v>
      </c>
      <c r="Q3108" t="s">
        <v>126</v>
      </c>
      <c r="R3108" t="s">
        <v>124</v>
      </c>
      <c r="S3108" t="b">
        <v>0</v>
      </c>
      <c r="T3108" t="s">
        <v>124</v>
      </c>
    </row>
    <row r="3109">
      <c r="A3109" t="s">
        <v>5679</v>
      </c>
      <c r="B3109" t="s">
        <v>5680</v>
      </c>
      <c r="C3109" s="2">
        <v>2022</v>
      </c>
      <c r="D3109" s="10">
        <v>4</v>
      </c>
      <c r="E3109" s="10">
        <v>11</v>
      </c>
      <c r="F3109" t="s">
        <v>2495</v>
      </c>
      <c r="G3109">
        <v>140</v>
      </c>
      <c r="H3109" t="s">
        <v>128</v>
      </c>
      <c r="I3109" t="s">
        <v>136</v>
      </c>
      <c r="J3109" s="10" t="str">
        <f>VLOOKUP(I3109,Categories!A:B,2,FALSE)</f>
        <v>อื่นๆ</v>
      </c>
      <c r="K3109" t="s">
        <v>130</v>
      </c>
      <c r="L3109" s="10" t="str">
        <f>VLOOKUP(K3109,Accounts!A:B,2,FALSE)</f>
        <v xml:space="preserve">KTC JCB</v>
      </c>
      <c r="M3109" t="s">
        <v>131</v>
      </c>
      <c r="N3109" s="10" t="str">
        <f>VLOOKUP(M3109,Accounts!A:B,2,FALSE)</f>
        <v xml:space="preserve">Advance Paid</v>
      </c>
      <c r="O3109" t="s">
        <v>5681</v>
      </c>
      <c r="Q3109" t="s">
        <v>126</v>
      </c>
      <c r="R3109" t="s">
        <v>124</v>
      </c>
      <c r="S3109" t="b">
        <v>0</v>
      </c>
      <c r="T3109" t="s">
        <v>124</v>
      </c>
    </row>
    <row r="3110">
      <c r="A3110" t="s">
        <v>5682</v>
      </c>
      <c r="B3110" t="s">
        <v>5683</v>
      </c>
      <c r="C3110" s="2">
        <v>2022</v>
      </c>
      <c r="D3110" s="10">
        <v>4</v>
      </c>
      <c r="E3110" s="10">
        <v>10</v>
      </c>
      <c r="F3110" t="s">
        <v>3674</v>
      </c>
      <c r="G3110">
        <v>3004.9200000000001</v>
      </c>
      <c r="H3110" t="s">
        <v>69</v>
      </c>
      <c r="I3110" t="s">
        <v>1508</v>
      </c>
      <c r="J3110" s="10" t="str">
        <f>VLOOKUP(I3110,Categories!A:B,2,FALSE)</f>
        <v>Other</v>
      </c>
      <c r="K3110" t="s">
        <v>743</v>
      </c>
      <c r="L3110" s="10" t="str">
        <f>VLOOKUP(K3110,Accounts!A:B,2,FALSE)</f>
        <v>HOMEPRO</v>
      </c>
      <c r="M3110" t="s">
        <v>124</v>
      </c>
      <c r="N3110" s="10"/>
      <c r="O3110" t="s">
        <v>5569</v>
      </c>
      <c r="Q3110" t="s">
        <v>126</v>
      </c>
      <c r="R3110" t="s">
        <v>124</v>
      </c>
      <c r="S3110" t="b">
        <v>0</v>
      </c>
      <c r="T3110" t="s">
        <v>124</v>
      </c>
    </row>
    <row r="3111">
      <c r="A3111" t="s">
        <v>5684</v>
      </c>
      <c r="B3111" t="s">
        <v>5683</v>
      </c>
      <c r="C3111" s="2">
        <v>2022</v>
      </c>
      <c r="D3111" s="10">
        <v>4</v>
      </c>
      <c r="E3111" s="10">
        <v>10</v>
      </c>
      <c r="F3111" t="s">
        <v>5320</v>
      </c>
      <c r="G3111">
        <v>3635.6599999999999</v>
      </c>
      <c r="H3111" t="s">
        <v>69</v>
      </c>
      <c r="I3111" t="s">
        <v>1679</v>
      </c>
      <c r="J3111" s="10" t="str">
        <f>VLOOKUP(I3111,Categories!A:B,2,FALSE)</f>
        <v xml:space="preserve">Condo stuff</v>
      </c>
      <c r="K3111" t="s">
        <v>743</v>
      </c>
      <c r="L3111" s="10" t="str">
        <f>VLOOKUP(K3111,Accounts!A:B,2,FALSE)</f>
        <v>HOMEPRO</v>
      </c>
      <c r="M3111" t="s">
        <v>124</v>
      </c>
      <c r="N3111" s="10"/>
      <c r="O3111" t="s">
        <v>5685</v>
      </c>
      <c r="Q3111" t="s">
        <v>126</v>
      </c>
      <c r="R3111" t="s">
        <v>124</v>
      </c>
      <c r="S3111" t="b">
        <v>0</v>
      </c>
      <c r="T3111" t="s">
        <v>124</v>
      </c>
    </row>
    <row r="3112">
      <c r="A3112" t="s">
        <v>5686</v>
      </c>
      <c r="B3112" t="s">
        <v>5683</v>
      </c>
      <c r="C3112" s="2">
        <v>2022</v>
      </c>
      <c r="D3112" s="10">
        <v>4</v>
      </c>
      <c r="E3112" s="10">
        <v>10</v>
      </c>
      <c r="F3112" t="s">
        <v>1369</v>
      </c>
      <c r="G3112">
        <v>215</v>
      </c>
      <c r="H3112" t="s">
        <v>69</v>
      </c>
      <c r="I3112" t="s">
        <v>144</v>
      </c>
      <c r="J3112" s="10" t="str">
        <f>VLOOKUP(I3112,Categories!A:B,2,FALSE)</f>
        <v xml:space="preserve">Family paid</v>
      </c>
      <c r="K3112" t="s">
        <v>178</v>
      </c>
      <c r="L3112" s="10" t="str">
        <f>VLOOKUP(K3112,Accounts!A:B,2,FALSE)</f>
        <v>SCB</v>
      </c>
      <c r="M3112" t="s">
        <v>124</v>
      </c>
      <c r="N3112" s="10"/>
      <c r="O3112" t="s">
        <v>5687</v>
      </c>
      <c r="Q3112" t="s">
        <v>126</v>
      </c>
      <c r="R3112" t="s">
        <v>124</v>
      </c>
      <c r="S3112" t="b">
        <v>0</v>
      </c>
      <c r="T3112" t="s">
        <v>124</v>
      </c>
    </row>
    <row r="3113">
      <c r="A3113" t="s">
        <v>5688</v>
      </c>
      <c r="B3113" t="s">
        <v>5683</v>
      </c>
      <c r="C3113" s="2">
        <v>2022</v>
      </c>
      <c r="D3113" s="10">
        <v>4</v>
      </c>
      <c r="E3113" s="10">
        <v>10</v>
      </c>
      <c r="F3113" t="s">
        <v>2534</v>
      </c>
      <c r="G3113">
        <v>200</v>
      </c>
      <c r="H3113" t="s">
        <v>128</v>
      </c>
      <c r="I3113" t="s">
        <v>136</v>
      </c>
      <c r="J3113" s="10" t="str">
        <f>VLOOKUP(I3113,Categories!A:B,2,FALSE)</f>
        <v>อื่นๆ</v>
      </c>
      <c r="K3113" t="s">
        <v>178</v>
      </c>
      <c r="L3113" s="10" t="str">
        <f>VLOOKUP(K3113,Accounts!A:B,2,FALSE)</f>
        <v>SCB</v>
      </c>
      <c r="M3113" t="s">
        <v>425</v>
      </c>
      <c r="N3113" s="10" t="str">
        <f>VLOOKUP(M3113,Accounts!A:B,2,FALSE)</f>
        <v>Cash</v>
      </c>
      <c r="O3113" t="s">
        <v>5689</v>
      </c>
      <c r="Q3113" t="s">
        <v>126</v>
      </c>
      <c r="R3113" t="s">
        <v>124</v>
      </c>
      <c r="S3113" t="b">
        <v>0</v>
      </c>
      <c r="T3113" t="s">
        <v>124</v>
      </c>
    </row>
    <row r="3114">
      <c r="A3114" t="s">
        <v>5690</v>
      </c>
      <c r="B3114" t="s">
        <v>5683</v>
      </c>
      <c r="C3114" s="2">
        <v>2022</v>
      </c>
      <c r="D3114" s="10">
        <v>4</v>
      </c>
      <c r="E3114" s="10">
        <v>10</v>
      </c>
      <c r="F3114" t="s">
        <v>5691</v>
      </c>
      <c r="G3114">
        <v>1800</v>
      </c>
      <c r="H3114" t="s">
        <v>69</v>
      </c>
      <c r="I3114" t="s">
        <v>144</v>
      </c>
      <c r="J3114" s="10" t="str">
        <f>VLOOKUP(I3114,Categories!A:B,2,FALSE)</f>
        <v xml:space="preserve">Family paid</v>
      </c>
      <c r="K3114" t="s">
        <v>178</v>
      </c>
      <c r="L3114" s="10" t="str">
        <f>VLOOKUP(K3114,Accounts!A:B,2,FALSE)</f>
        <v>SCB</v>
      </c>
      <c r="M3114" t="s">
        <v>124</v>
      </c>
      <c r="N3114" s="10"/>
      <c r="O3114" t="s">
        <v>5692</v>
      </c>
      <c r="Q3114" t="s">
        <v>126</v>
      </c>
      <c r="R3114" t="s">
        <v>124</v>
      </c>
      <c r="S3114" t="b">
        <v>0</v>
      </c>
      <c r="T3114" t="s">
        <v>124</v>
      </c>
    </row>
    <row r="3115">
      <c r="A3115" t="s">
        <v>5693</v>
      </c>
      <c r="B3115" t="s">
        <v>5694</v>
      </c>
      <c r="C3115" s="2">
        <v>2022</v>
      </c>
      <c r="D3115" s="10">
        <v>4</v>
      </c>
      <c r="E3115" s="10">
        <v>9</v>
      </c>
      <c r="F3115" t="s">
        <v>1822</v>
      </c>
      <c r="G3115">
        <v>790</v>
      </c>
      <c r="H3115" t="s">
        <v>69</v>
      </c>
      <c r="I3115" t="s">
        <v>134</v>
      </c>
      <c r="J3115" s="10" t="str">
        <f>VLOOKUP(I3115,Categories!A:B,2,FALSE)</f>
        <v>Hong</v>
      </c>
      <c r="K3115" t="s">
        <v>178</v>
      </c>
      <c r="L3115" s="10" t="str">
        <f>VLOOKUP(K3115,Accounts!A:B,2,FALSE)</f>
        <v>SCB</v>
      </c>
      <c r="M3115" t="s">
        <v>124</v>
      </c>
      <c r="N3115" s="10"/>
      <c r="O3115" t="s">
        <v>5695</v>
      </c>
      <c r="Q3115" t="s">
        <v>126</v>
      </c>
      <c r="R3115" t="s">
        <v>124</v>
      </c>
      <c r="S3115" t="b">
        <v>0</v>
      </c>
      <c r="T3115" t="s">
        <v>124</v>
      </c>
    </row>
    <row r="3116">
      <c r="A3116" t="s">
        <v>5696</v>
      </c>
      <c r="B3116" t="s">
        <v>5694</v>
      </c>
      <c r="C3116" s="2">
        <v>2022</v>
      </c>
      <c r="D3116" s="10">
        <v>4</v>
      </c>
      <c r="E3116" s="10">
        <v>9</v>
      </c>
      <c r="F3116" t="s">
        <v>524</v>
      </c>
      <c r="G3116">
        <v>530</v>
      </c>
      <c r="H3116" t="s">
        <v>128</v>
      </c>
      <c r="I3116" t="s">
        <v>136</v>
      </c>
      <c r="J3116" s="10" t="str">
        <f>VLOOKUP(I3116,Categories!A:B,2,FALSE)</f>
        <v>อื่นๆ</v>
      </c>
      <c r="K3116" t="s">
        <v>425</v>
      </c>
      <c r="L3116" s="10" t="str">
        <f>VLOOKUP(K3116,Accounts!A:B,2,FALSE)</f>
        <v>Cash</v>
      </c>
      <c r="M3116" t="s">
        <v>178</v>
      </c>
      <c r="N3116" s="10" t="str">
        <f>VLOOKUP(M3116,Accounts!A:B,2,FALSE)</f>
        <v>SCB</v>
      </c>
      <c r="O3116" t="s">
        <v>125</v>
      </c>
      <c r="Q3116" t="s">
        <v>126</v>
      </c>
      <c r="R3116" t="s">
        <v>124</v>
      </c>
      <c r="S3116" t="b">
        <v>0</v>
      </c>
      <c r="T3116" t="s">
        <v>124</v>
      </c>
    </row>
    <row r="3117">
      <c r="A3117" t="s">
        <v>5697</v>
      </c>
      <c r="B3117" t="s">
        <v>5694</v>
      </c>
      <c r="C3117" s="2">
        <v>2022</v>
      </c>
      <c r="D3117" s="10">
        <v>4</v>
      </c>
      <c r="E3117" s="10">
        <v>9</v>
      </c>
      <c r="F3117" t="s">
        <v>869</v>
      </c>
      <c r="G3117">
        <v>5902.75</v>
      </c>
      <c r="H3117" t="s">
        <v>69</v>
      </c>
      <c r="I3117" t="s">
        <v>614</v>
      </c>
      <c r="J3117" s="10" t="str">
        <f>VLOOKUP(I3117,Categories!A:B,2,FALSE)</f>
        <v>Books</v>
      </c>
      <c r="K3117" t="s">
        <v>178</v>
      </c>
      <c r="L3117" s="10" t="str">
        <f>VLOOKUP(K3117,Accounts!A:B,2,FALSE)</f>
        <v>SCB</v>
      </c>
      <c r="M3117" t="s">
        <v>124</v>
      </c>
      <c r="N3117" s="10"/>
      <c r="O3117" t="s">
        <v>5698</v>
      </c>
      <c r="Q3117" t="s">
        <v>126</v>
      </c>
      <c r="R3117" t="s">
        <v>124</v>
      </c>
      <c r="S3117" t="b">
        <v>0</v>
      </c>
      <c r="T3117" t="s">
        <v>124</v>
      </c>
    </row>
    <row r="3118">
      <c r="A3118" t="s">
        <v>5699</v>
      </c>
      <c r="B3118" t="s">
        <v>5694</v>
      </c>
      <c r="C3118" s="2">
        <v>2022</v>
      </c>
      <c r="D3118" s="10">
        <v>4</v>
      </c>
      <c r="E3118" s="10">
        <v>9</v>
      </c>
      <c r="F3118" t="s">
        <v>968</v>
      </c>
      <c r="G3118">
        <v>80</v>
      </c>
      <c r="H3118" t="s">
        <v>69</v>
      </c>
      <c r="I3118" t="s">
        <v>150</v>
      </c>
      <c r="J3118" s="10" t="str">
        <f>VLOOKUP(I3118,Categories!A:B,2,FALSE)</f>
        <v xml:space="preserve">Food &amp; Coff</v>
      </c>
      <c r="K3118" t="s">
        <v>2513</v>
      </c>
      <c r="L3118" s="10" t="str">
        <f>VLOOKUP(K3118,Accounts!A:B,2,FALSE)</f>
        <v xml:space="preserve">Pao tung</v>
      </c>
      <c r="M3118" t="s">
        <v>124</v>
      </c>
      <c r="N3118" s="10"/>
      <c r="O3118" t="s">
        <v>125</v>
      </c>
      <c r="Q3118" t="s">
        <v>126</v>
      </c>
      <c r="R3118" t="s">
        <v>124</v>
      </c>
      <c r="S3118" t="b">
        <v>0</v>
      </c>
      <c r="T3118" t="s">
        <v>124</v>
      </c>
    </row>
    <row r="3119">
      <c r="A3119" t="s">
        <v>5700</v>
      </c>
      <c r="B3119" t="s">
        <v>5701</v>
      </c>
      <c r="C3119" s="2">
        <v>2022</v>
      </c>
      <c r="D3119" s="10">
        <v>4</v>
      </c>
      <c r="E3119" s="10">
        <v>7</v>
      </c>
      <c r="F3119" t="s">
        <v>521</v>
      </c>
      <c r="G3119">
        <v>200</v>
      </c>
      <c r="H3119" t="s">
        <v>128</v>
      </c>
      <c r="I3119" t="s">
        <v>136</v>
      </c>
      <c r="J3119" s="10" t="str">
        <f>VLOOKUP(I3119,Categories!A:B,2,FALSE)</f>
        <v>อื่นๆ</v>
      </c>
      <c r="K3119" t="s">
        <v>178</v>
      </c>
      <c r="L3119" s="10" t="str">
        <f>VLOOKUP(K3119,Accounts!A:B,2,FALSE)</f>
        <v>SCB</v>
      </c>
      <c r="M3119" t="s">
        <v>2317</v>
      </c>
      <c r="N3119" s="10" t="str">
        <f>VLOOKUP(M3119,Accounts!A:B,2,FALSE)</f>
        <v xml:space="preserve">Marriage account</v>
      </c>
      <c r="O3119" t="s">
        <v>125</v>
      </c>
      <c r="Q3119" t="s">
        <v>126</v>
      </c>
      <c r="R3119" t="s">
        <v>124</v>
      </c>
      <c r="S3119" t="b">
        <v>0</v>
      </c>
      <c r="T3119" t="s">
        <v>124</v>
      </c>
    </row>
    <row r="3120">
      <c r="A3120" t="s">
        <v>5702</v>
      </c>
      <c r="B3120" t="s">
        <v>5701</v>
      </c>
      <c r="C3120" s="2">
        <v>2022</v>
      </c>
      <c r="D3120" s="10">
        <v>4</v>
      </c>
      <c r="E3120" s="10">
        <v>7</v>
      </c>
      <c r="F3120" t="s">
        <v>521</v>
      </c>
      <c r="G3120">
        <v>200</v>
      </c>
      <c r="H3120" t="s">
        <v>128</v>
      </c>
      <c r="I3120" t="s">
        <v>136</v>
      </c>
      <c r="J3120" s="10" t="str">
        <f>VLOOKUP(I3120,Categories!A:B,2,FALSE)</f>
        <v>อื่นๆ</v>
      </c>
      <c r="K3120" t="s">
        <v>178</v>
      </c>
      <c r="L3120" s="10" t="str">
        <f>VLOOKUP(K3120,Accounts!A:B,2,FALSE)</f>
        <v>SCB</v>
      </c>
      <c r="M3120" t="s">
        <v>123</v>
      </c>
      <c r="N3120" s="10" t="str">
        <f>VLOOKUP(M3120,Accounts!A:B,2,FALSE)</f>
        <v>KBank</v>
      </c>
      <c r="O3120" t="s">
        <v>125</v>
      </c>
      <c r="Q3120" t="s">
        <v>126</v>
      </c>
      <c r="R3120" t="s">
        <v>124</v>
      </c>
      <c r="S3120" t="b">
        <v>0</v>
      </c>
      <c r="T3120" t="s">
        <v>124</v>
      </c>
    </row>
    <row r="3121">
      <c r="A3121" t="s">
        <v>5703</v>
      </c>
      <c r="B3121" t="s">
        <v>5701</v>
      </c>
      <c r="C3121" s="2">
        <v>2022</v>
      </c>
      <c r="D3121" s="10">
        <v>4</v>
      </c>
      <c r="E3121" s="10">
        <v>7</v>
      </c>
      <c r="F3121" t="s">
        <v>3495</v>
      </c>
      <c r="G3121">
        <v>2306.9699999999998</v>
      </c>
      <c r="H3121" t="s">
        <v>128</v>
      </c>
      <c r="I3121" t="s">
        <v>136</v>
      </c>
      <c r="J3121" s="10" t="str">
        <f>VLOOKUP(I3121,Categories!A:B,2,FALSE)</f>
        <v>อื่นๆ</v>
      </c>
      <c r="K3121" t="s">
        <v>123</v>
      </c>
      <c r="L3121" s="10" t="str">
        <f>VLOOKUP(K3121,Accounts!A:B,2,FALSE)</f>
        <v>KBank</v>
      </c>
      <c r="M3121" t="s">
        <v>131</v>
      </c>
      <c r="N3121" s="10" t="str">
        <f>VLOOKUP(M3121,Accounts!A:B,2,FALSE)</f>
        <v xml:space="preserve">Advance Paid</v>
      </c>
      <c r="O3121" t="s">
        <v>125</v>
      </c>
      <c r="Q3121" t="s">
        <v>126</v>
      </c>
      <c r="R3121" t="s">
        <v>124</v>
      </c>
      <c r="S3121" t="b">
        <v>0</v>
      </c>
      <c r="T3121" t="s">
        <v>124</v>
      </c>
    </row>
    <row r="3122">
      <c r="A3122" t="s">
        <v>5704</v>
      </c>
      <c r="B3122" t="s">
        <v>5705</v>
      </c>
      <c r="C3122" s="2">
        <v>2022</v>
      </c>
      <c r="D3122" s="10">
        <v>4</v>
      </c>
      <c r="E3122" s="10">
        <v>6</v>
      </c>
      <c r="F3122" t="s">
        <v>1491</v>
      </c>
      <c r="G3122">
        <v>225</v>
      </c>
      <c r="H3122" t="s">
        <v>69</v>
      </c>
      <c r="I3122" t="s">
        <v>157</v>
      </c>
      <c r="J3122" s="10" t="str">
        <f>VLOOKUP(I3122,Categories!A:B,2,FALSE)</f>
        <v>Boardgame</v>
      </c>
      <c r="K3122" t="s">
        <v>178</v>
      </c>
      <c r="L3122" s="10" t="str">
        <f>VLOOKUP(K3122,Accounts!A:B,2,FALSE)</f>
        <v>SCB</v>
      </c>
      <c r="M3122" t="s">
        <v>124</v>
      </c>
      <c r="N3122" s="10"/>
      <c r="O3122" t="s">
        <v>5706</v>
      </c>
      <c r="Q3122" t="s">
        <v>126</v>
      </c>
      <c r="R3122" t="s">
        <v>124</v>
      </c>
      <c r="S3122" t="b">
        <v>0</v>
      </c>
      <c r="T3122" t="s">
        <v>124</v>
      </c>
    </row>
    <row r="3123">
      <c r="A3123" t="s">
        <v>5707</v>
      </c>
      <c r="B3123" t="s">
        <v>5705</v>
      </c>
      <c r="C3123" s="2">
        <v>2022</v>
      </c>
      <c r="D3123" s="10">
        <v>4</v>
      </c>
      <c r="E3123" s="10">
        <v>6</v>
      </c>
      <c r="F3123" t="s">
        <v>1778</v>
      </c>
      <c r="G3123">
        <v>275</v>
      </c>
      <c r="H3123" t="s">
        <v>69</v>
      </c>
      <c r="I3123" t="s">
        <v>150</v>
      </c>
      <c r="J3123" s="10" t="str">
        <f>VLOOKUP(I3123,Categories!A:B,2,FALSE)</f>
        <v xml:space="preserve">Food &amp; Coff</v>
      </c>
      <c r="K3123" t="s">
        <v>178</v>
      </c>
      <c r="L3123" s="10" t="str">
        <f>VLOOKUP(K3123,Accounts!A:B,2,FALSE)</f>
        <v>SCB</v>
      </c>
      <c r="M3123" t="s">
        <v>124</v>
      </c>
      <c r="N3123" s="10"/>
      <c r="O3123" t="s">
        <v>5303</v>
      </c>
      <c r="Q3123" t="s">
        <v>126</v>
      </c>
      <c r="R3123" t="s">
        <v>124</v>
      </c>
      <c r="S3123" t="b">
        <v>0</v>
      </c>
      <c r="T3123" t="s">
        <v>124</v>
      </c>
    </row>
    <row r="3124">
      <c r="A3124" t="s">
        <v>5708</v>
      </c>
      <c r="B3124" t="s">
        <v>5709</v>
      </c>
      <c r="C3124" s="2">
        <v>2022</v>
      </c>
      <c r="D3124" s="10">
        <v>4</v>
      </c>
      <c r="E3124" s="10">
        <v>5</v>
      </c>
      <c r="F3124" t="s">
        <v>3583</v>
      </c>
      <c r="G3124">
        <v>835</v>
      </c>
      <c r="H3124" t="s">
        <v>69</v>
      </c>
      <c r="I3124" t="s">
        <v>157</v>
      </c>
      <c r="J3124" s="10" t="str">
        <f>VLOOKUP(I3124,Categories!A:B,2,FALSE)</f>
        <v>Boardgame</v>
      </c>
      <c r="K3124" t="s">
        <v>130</v>
      </c>
      <c r="L3124" s="10" t="str">
        <f>VLOOKUP(K3124,Accounts!A:B,2,FALSE)</f>
        <v xml:space="preserve">KTC JCB</v>
      </c>
      <c r="M3124" t="s">
        <v>124</v>
      </c>
      <c r="N3124" s="10"/>
      <c r="O3124" t="s">
        <v>5710</v>
      </c>
      <c r="Q3124" t="s">
        <v>126</v>
      </c>
      <c r="R3124" t="s">
        <v>124</v>
      </c>
      <c r="S3124" t="b">
        <v>0</v>
      </c>
      <c r="T3124" t="s">
        <v>124</v>
      </c>
    </row>
    <row r="3125">
      <c r="A3125" t="s">
        <v>5711</v>
      </c>
      <c r="B3125" t="s">
        <v>5709</v>
      </c>
      <c r="C3125" s="2">
        <v>2022</v>
      </c>
      <c r="D3125" s="10">
        <v>4</v>
      </c>
      <c r="E3125" s="10">
        <v>5</v>
      </c>
      <c r="F3125" t="s">
        <v>5712</v>
      </c>
      <c r="G3125">
        <v>702</v>
      </c>
      <c r="H3125" t="s">
        <v>69</v>
      </c>
      <c r="I3125" t="s">
        <v>152</v>
      </c>
      <c r="J3125" s="10" t="str">
        <f>VLOOKUP(I3125,Categories!A:B,2,FALSE)</f>
        <v xml:space="preserve">Office Suit</v>
      </c>
      <c r="K3125" t="s">
        <v>130</v>
      </c>
      <c r="L3125" s="10" t="str">
        <f>VLOOKUP(K3125,Accounts!A:B,2,FALSE)</f>
        <v xml:space="preserve">KTC JCB</v>
      </c>
      <c r="M3125" t="s">
        <v>124</v>
      </c>
      <c r="N3125" s="10"/>
      <c r="O3125" t="s">
        <v>5713</v>
      </c>
      <c r="Q3125" t="s">
        <v>126</v>
      </c>
      <c r="R3125" t="s">
        <v>124</v>
      </c>
      <c r="S3125" t="b">
        <v>0</v>
      </c>
      <c r="T3125" t="s">
        <v>124</v>
      </c>
    </row>
    <row r="3126">
      <c r="A3126" t="s">
        <v>5714</v>
      </c>
      <c r="B3126" t="s">
        <v>5709</v>
      </c>
      <c r="C3126" s="2">
        <v>2022</v>
      </c>
      <c r="D3126" s="10">
        <v>4</v>
      </c>
      <c r="E3126" s="10">
        <v>5</v>
      </c>
      <c r="F3126" t="s">
        <v>5715</v>
      </c>
      <c r="G3126">
        <v>105</v>
      </c>
      <c r="H3126" t="s">
        <v>69</v>
      </c>
      <c r="I3126" t="s">
        <v>160</v>
      </c>
      <c r="J3126" s="10" t="str">
        <f>VLOOKUP(I3126,Categories!A:B,2,FALSE)</f>
        <v>Fashion</v>
      </c>
      <c r="K3126" t="s">
        <v>130</v>
      </c>
      <c r="L3126" s="10" t="str">
        <f>VLOOKUP(K3126,Accounts!A:B,2,FALSE)</f>
        <v xml:space="preserve">KTC JCB</v>
      </c>
      <c r="M3126" t="s">
        <v>124</v>
      </c>
      <c r="N3126" s="10"/>
      <c r="O3126" t="s">
        <v>5716</v>
      </c>
      <c r="Q3126" t="s">
        <v>126</v>
      </c>
      <c r="R3126" t="s">
        <v>124</v>
      </c>
      <c r="S3126" t="b">
        <v>0</v>
      </c>
      <c r="T3126" t="s">
        <v>124</v>
      </c>
    </row>
    <row r="3127">
      <c r="A3127" t="s">
        <v>5717</v>
      </c>
      <c r="B3127" t="s">
        <v>5709</v>
      </c>
      <c r="C3127" s="2">
        <v>2022</v>
      </c>
      <c r="D3127" s="10">
        <v>4</v>
      </c>
      <c r="E3127" s="10">
        <v>5</v>
      </c>
      <c r="F3127" t="s">
        <v>2656</v>
      </c>
      <c r="G3127">
        <v>100</v>
      </c>
      <c r="H3127" t="s">
        <v>69</v>
      </c>
      <c r="I3127" t="s">
        <v>150</v>
      </c>
      <c r="J3127" s="10" t="str">
        <f>VLOOKUP(I3127,Categories!A:B,2,FALSE)</f>
        <v xml:space="preserve">Food &amp; Coff</v>
      </c>
      <c r="K3127" t="s">
        <v>178</v>
      </c>
      <c r="L3127" s="10" t="str">
        <f>VLOOKUP(K3127,Accounts!A:B,2,FALSE)</f>
        <v>SCB</v>
      </c>
      <c r="M3127" t="s">
        <v>124</v>
      </c>
      <c r="N3127" s="10"/>
      <c r="O3127" t="s">
        <v>125</v>
      </c>
      <c r="Q3127" t="s">
        <v>126</v>
      </c>
      <c r="R3127" t="s">
        <v>124</v>
      </c>
      <c r="S3127" t="b">
        <v>0</v>
      </c>
      <c r="T3127" t="s">
        <v>124</v>
      </c>
    </row>
    <row r="3128">
      <c r="A3128" t="s">
        <v>5718</v>
      </c>
      <c r="B3128" t="s">
        <v>5709</v>
      </c>
      <c r="C3128" s="2">
        <v>2022</v>
      </c>
      <c r="D3128" s="10">
        <v>4</v>
      </c>
      <c r="E3128" s="10">
        <v>5</v>
      </c>
      <c r="F3128" t="s">
        <v>1588</v>
      </c>
      <c r="G3128">
        <v>255</v>
      </c>
      <c r="H3128" t="s">
        <v>69</v>
      </c>
      <c r="I3128" t="s">
        <v>150</v>
      </c>
      <c r="J3128" s="10" t="str">
        <f>VLOOKUP(I3128,Categories!A:B,2,FALSE)</f>
        <v xml:space="preserve">Food &amp; Coff</v>
      </c>
      <c r="K3128" t="s">
        <v>178</v>
      </c>
      <c r="L3128" s="10" t="str">
        <f>VLOOKUP(K3128,Accounts!A:B,2,FALSE)</f>
        <v>SCB</v>
      </c>
      <c r="M3128" t="s">
        <v>124</v>
      </c>
      <c r="N3128" s="10"/>
      <c r="O3128" t="s">
        <v>5303</v>
      </c>
      <c r="Q3128" t="s">
        <v>126</v>
      </c>
      <c r="R3128" t="s">
        <v>124</v>
      </c>
      <c r="S3128" t="b">
        <v>0</v>
      </c>
      <c r="T3128" t="s">
        <v>124</v>
      </c>
    </row>
    <row r="3129">
      <c r="A3129" t="s">
        <v>5719</v>
      </c>
      <c r="B3129" t="s">
        <v>5709</v>
      </c>
      <c r="C3129" s="2">
        <v>2022</v>
      </c>
      <c r="D3129" s="10">
        <v>4</v>
      </c>
      <c r="E3129" s="10">
        <v>5</v>
      </c>
      <c r="F3129" t="s">
        <v>1009</v>
      </c>
      <c r="G3129">
        <v>240</v>
      </c>
      <c r="H3129" t="s">
        <v>69</v>
      </c>
      <c r="I3129" t="s">
        <v>614</v>
      </c>
      <c r="J3129" s="10" t="str">
        <f>VLOOKUP(I3129,Categories!A:B,2,FALSE)</f>
        <v>Books</v>
      </c>
      <c r="K3129" t="s">
        <v>178</v>
      </c>
      <c r="L3129" s="10" t="str">
        <f>VLOOKUP(K3129,Accounts!A:B,2,FALSE)</f>
        <v>SCB</v>
      </c>
      <c r="M3129" t="s">
        <v>124</v>
      </c>
      <c r="N3129" s="10"/>
      <c r="O3129" t="s">
        <v>125</v>
      </c>
      <c r="Q3129" t="s">
        <v>126</v>
      </c>
      <c r="R3129" t="s">
        <v>124</v>
      </c>
      <c r="S3129" t="b">
        <v>0</v>
      </c>
      <c r="T3129" t="s">
        <v>124</v>
      </c>
    </row>
    <row r="3130">
      <c r="A3130" t="s">
        <v>5720</v>
      </c>
      <c r="B3130" t="s">
        <v>5709</v>
      </c>
      <c r="C3130" s="2">
        <v>2022</v>
      </c>
      <c r="D3130" s="10">
        <v>4</v>
      </c>
      <c r="E3130" s="10">
        <v>5</v>
      </c>
      <c r="F3130" t="s">
        <v>1574</v>
      </c>
      <c r="G3130">
        <v>45</v>
      </c>
      <c r="H3130" t="s">
        <v>69</v>
      </c>
      <c r="I3130" t="s">
        <v>150</v>
      </c>
      <c r="J3130" s="10" t="str">
        <f>VLOOKUP(I3130,Categories!A:B,2,FALSE)</f>
        <v xml:space="preserve">Food &amp; Coff</v>
      </c>
      <c r="K3130" t="s">
        <v>178</v>
      </c>
      <c r="L3130" s="10" t="str">
        <f>VLOOKUP(K3130,Accounts!A:B,2,FALSE)</f>
        <v>SCB</v>
      </c>
      <c r="M3130" t="s">
        <v>124</v>
      </c>
      <c r="N3130" s="10"/>
      <c r="O3130" t="s">
        <v>125</v>
      </c>
      <c r="Q3130" t="s">
        <v>126</v>
      </c>
      <c r="R3130" t="s">
        <v>124</v>
      </c>
      <c r="S3130" t="b">
        <v>0</v>
      </c>
      <c r="T3130" t="s">
        <v>124</v>
      </c>
    </row>
    <row r="3131">
      <c r="A3131" t="s">
        <v>5721</v>
      </c>
      <c r="B3131" t="s">
        <v>5722</v>
      </c>
      <c r="C3131" s="2">
        <v>2022</v>
      </c>
      <c r="D3131" s="10">
        <v>4</v>
      </c>
      <c r="E3131" s="10">
        <v>4</v>
      </c>
      <c r="F3131" t="s">
        <v>5723</v>
      </c>
      <c r="G3131">
        <v>300</v>
      </c>
      <c r="H3131" t="s">
        <v>128</v>
      </c>
      <c r="I3131" t="s">
        <v>136</v>
      </c>
      <c r="J3131" s="10" t="str">
        <f>VLOOKUP(I3131,Categories!A:B,2,FALSE)</f>
        <v>อื่นๆ</v>
      </c>
      <c r="K3131" t="s">
        <v>178</v>
      </c>
      <c r="L3131" s="10" t="str">
        <f>VLOOKUP(K3131,Accounts!A:B,2,FALSE)</f>
        <v>SCB</v>
      </c>
      <c r="M3131" t="s">
        <v>893</v>
      </c>
      <c r="N3131" s="10" t="str">
        <f>VLOOKUP(M3131,Accounts!A:B,2,FALSE)</f>
        <v>Shopee</v>
      </c>
      <c r="O3131" t="s">
        <v>125</v>
      </c>
      <c r="Q3131" t="s">
        <v>126</v>
      </c>
      <c r="R3131" t="s">
        <v>124</v>
      </c>
      <c r="S3131" t="b">
        <v>0</v>
      </c>
      <c r="T3131" t="s">
        <v>124</v>
      </c>
    </row>
    <row r="3132">
      <c r="A3132" t="s">
        <v>5724</v>
      </c>
      <c r="B3132" t="s">
        <v>5725</v>
      </c>
      <c r="C3132" s="2">
        <v>2022</v>
      </c>
      <c r="D3132" s="10">
        <v>4</v>
      </c>
      <c r="E3132" s="10">
        <v>3</v>
      </c>
      <c r="F3132" t="s">
        <v>2134</v>
      </c>
      <c r="G3132">
        <v>56</v>
      </c>
      <c r="H3132" t="s">
        <v>69</v>
      </c>
      <c r="I3132" t="s">
        <v>150</v>
      </c>
      <c r="J3132" s="10" t="str">
        <f>VLOOKUP(I3132,Categories!A:B,2,FALSE)</f>
        <v xml:space="preserve">Food &amp; Coff</v>
      </c>
      <c r="K3132" t="s">
        <v>123</v>
      </c>
      <c r="L3132" s="10" t="str">
        <f>VLOOKUP(K3132,Accounts!A:B,2,FALSE)</f>
        <v>KBank</v>
      </c>
      <c r="M3132" t="s">
        <v>124</v>
      </c>
      <c r="N3132" s="10"/>
      <c r="O3132" t="s">
        <v>125</v>
      </c>
      <c r="Q3132" t="s">
        <v>126</v>
      </c>
      <c r="R3132" t="s">
        <v>124</v>
      </c>
      <c r="S3132" t="b">
        <v>0</v>
      </c>
      <c r="T3132" t="s">
        <v>124</v>
      </c>
    </row>
    <row r="3133">
      <c r="A3133" t="s">
        <v>5726</v>
      </c>
      <c r="B3133" t="s">
        <v>5727</v>
      </c>
      <c r="C3133" s="2">
        <v>2022</v>
      </c>
      <c r="D3133" s="10">
        <v>4</v>
      </c>
      <c r="E3133" s="10">
        <v>2</v>
      </c>
      <c r="F3133" t="s">
        <v>3390</v>
      </c>
      <c r="G3133">
        <v>40</v>
      </c>
      <c r="H3133" t="s">
        <v>206</v>
      </c>
      <c r="I3133" t="s">
        <v>281</v>
      </c>
      <c r="J3133" s="10" t="str">
        <f>VLOOKUP(I3133,Categories!A:B,2,FALSE)</f>
        <v>Others</v>
      </c>
      <c r="K3133" t="s">
        <v>743</v>
      </c>
      <c r="L3133" s="10" t="str">
        <f>VLOOKUP(K3133,Accounts!A:B,2,FALSE)</f>
        <v>HOMEPRO</v>
      </c>
      <c r="M3133" t="s">
        <v>124</v>
      </c>
      <c r="N3133" s="10"/>
      <c r="O3133" t="s">
        <v>125</v>
      </c>
      <c r="Q3133" t="s">
        <v>126</v>
      </c>
      <c r="R3133" t="s">
        <v>124</v>
      </c>
      <c r="S3133" t="b">
        <v>0</v>
      </c>
      <c r="T3133" t="s">
        <v>124</v>
      </c>
    </row>
    <row r="3134">
      <c r="A3134" t="s">
        <v>5728</v>
      </c>
      <c r="B3134" t="s">
        <v>5727</v>
      </c>
      <c r="C3134" s="2">
        <v>2022</v>
      </c>
      <c r="D3134" s="10">
        <v>4</v>
      </c>
      <c r="E3134" s="10">
        <v>2</v>
      </c>
      <c r="F3134" t="s">
        <v>5729</v>
      </c>
      <c r="G3134">
        <v>1108</v>
      </c>
      <c r="H3134" t="s">
        <v>128</v>
      </c>
      <c r="I3134" t="s">
        <v>136</v>
      </c>
      <c r="J3134" s="10" t="str">
        <f>VLOOKUP(I3134,Categories!A:B,2,FALSE)</f>
        <v>อื่นๆ</v>
      </c>
      <c r="K3134" t="s">
        <v>131</v>
      </c>
      <c r="L3134" s="10" t="str">
        <f>VLOOKUP(K3134,Accounts!A:B,2,FALSE)</f>
        <v xml:space="preserve">Advance Paid</v>
      </c>
      <c r="M3134" t="s">
        <v>743</v>
      </c>
      <c r="N3134" s="10" t="str">
        <f>VLOOKUP(M3134,Accounts!A:B,2,FALSE)</f>
        <v>HOMEPRO</v>
      </c>
      <c r="O3134" t="s">
        <v>5730</v>
      </c>
      <c r="Q3134" t="s">
        <v>126</v>
      </c>
      <c r="R3134" t="s">
        <v>124</v>
      </c>
      <c r="S3134" t="b">
        <v>0</v>
      </c>
      <c r="T3134" t="s">
        <v>124</v>
      </c>
    </row>
    <row r="3135">
      <c r="A3135" t="s">
        <v>5731</v>
      </c>
      <c r="B3135" t="s">
        <v>5727</v>
      </c>
      <c r="C3135" s="2">
        <v>2022</v>
      </c>
      <c r="D3135" s="10">
        <v>4</v>
      </c>
      <c r="E3135" s="10">
        <v>2</v>
      </c>
      <c r="F3135" t="s">
        <v>180</v>
      </c>
      <c r="G3135">
        <v>25</v>
      </c>
      <c r="H3135" t="s">
        <v>69</v>
      </c>
      <c r="I3135" t="s">
        <v>150</v>
      </c>
      <c r="J3135" s="10" t="str">
        <f>VLOOKUP(I3135,Categories!A:B,2,FALSE)</f>
        <v xml:space="preserve">Food &amp; Coff</v>
      </c>
      <c r="K3135" t="s">
        <v>710</v>
      </c>
      <c r="L3135" s="10" t="str">
        <f>VLOOKUP(K3135,Accounts!A:B,2,FALSE)</f>
        <v xml:space="preserve">Line Pay</v>
      </c>
      <c r="M3135" t="s">
        <v>124</v>
      </c>
      <c r="N3135" s="10"/>
      <c r="O3135" t="s">
        <v>125</v>
      </c>
      <c r="Q3135" t="s">
        <v>126</v>
      </c>
      <c r="R3135" t="s">
        <v>124</v>
      </c>
      <c r="S3135" t="b">
        <v>0</v>
      </c>
      <c r="T3135" t="s">
        <v>124</v>
      </c>
    </row>
    <row r="3136">
      <c r="A3136" t="s">
        <v>5732</v>
      </c>
      <c r="B3136" t="s">
        <v>5727</v>
      </c>
      <c r="C3136" s="2">
        <v>2022</v>
      </c>
      <c r="D3136" s="10">
        <v>4</v>
      </c>
      <c r="E3136" s="10">
        <v>2</v>
      </c>
      <c r="F3136" t="s">
        <v>854</v>
      </c>
      <c r="G3136">
        <v>22</v>
      </c>
      <c r="H3136" t="s">
        <v>69</v>
      </c>
      <c r="I3136" t="s">
        <v>150</v>
      </c>
      <c r="J3136" s="10" t="str">
        <f>VLOOKUP(I3136,Categories!A:B,2,FALSE)</f>
        <v xml:space="preserve">Food &amp; Coff</v>
      </c>
      <c r="K3136" t="s">
        <v>178</v>
      </c>
      <c r="L3136" s="10" t="str">
        <f>VLOOKUP(K3136,Accounts!A:B,2,FALSE)</f>
        <v>SCB</v>
      </c>
      <c r="M3136" t="s">
        <v>124</v>
      </c>
      <c r="N3136" s="10"/>
      <c r="O3136" t="s">
        <v>125</v>
      </c>
      <c r="Q3136" t="s">
        <v>126</v>
      </c>
      <c r="R3136" t="s">
        <v>124</v>
      </c>
      <c r="S3136" t="b">
        <v>0</v>
      </c>
      <c r="T3136" t="s">
        <v>124</v>
      </c>
    </row>
    <row r="3137">
      <c r="A3137" t="s">
        <v>5733</v>
      </c>
      <c r="B3137" t="s">
        <v>5727</v>
      </c>
      <c r="C3137" s="2">
        <v>2022</v>
      </c>
      <c r="D3137" s="10">
        <v>4</v>
      </c>
      <c r="E3137" s="10">
        <v>2</v>
      </c>
      <c r="F3137" t="s">
        <v>854</v>
      </c>
      <c r="G3137">
        <v>806</v>
      </c>
      <c r="H3137" t="s">
        <v>128</v>
      </c>
      <c r="I3137" t="s">
        <v>136</v>
      </c>
      <c r="J3137" s="10" t="str">
        <f>VLOOKUP(I3137,Categories!A:B,2,FALSE)</f>
        <v>อื่นๆ</v>
      </c>
      <c r="K3137" t="s">
        <v>743</v>
      </c>
      <c r="L3137" s="10" t="str">
        <f>VLOOKUP(K3137,Accounts!A:B,2,FALSE)</f>
        <v>HOMEPRO</v>
      </c>
      <c r="M3137" t="s">
        <v>178</v>
      </c>
      <c r="N3137" s="10" t="str">
        <f>VLOOKUP(M3137,Accounts!A:B,2,FALSE)</f>
        <v>SCB</v>
      </c>
      <c r="O3137" t="s">
        <v>125</v>
      </c>
      <c r="Q3137" t="s">
        <v>126</v>
      </c>
      <c r="R3137" t="s">
        <v>124</v>
      </c>
      <c r="S3137" t="b">
        <v>0</v>
      </c>
      <c r="T3137" t="s">
        <v>124</v>
      </c>
    </row>
    <row r="3138">
      <c r="A3138" t="s">
        <v>5734</v>
      </c>
      <c r="B3138" t="s">
        <v>5727</v>
      </c>
      <c r="C3138" s="2">
        <v>2022</v>
      </c>
      <c r="D3138" s="10">
        <v>4</v>
      </c>
      <c r="E3138" s="10">
        <v>2</v>
      </c>
      <c r="F3138" t="s">
        <v>1552</v>
      </c>
      <c r="G3138">
        <v>256</v>
      </c>
      <c r="H3138" t="s">
        <v>128</v>
      </c>
      <c r="I3138" t="s">
        <v>136</v>
      </c>
      <c r="J3138" s="10" t="str">
        <f>VLOOKUP(I3138,Categories!A:B,2,FALSE)</f>
        <v>อื่นๆ</v>
      </c>
      <c r="K3138" t="s">
        <v>131</v>
      </c>
      <c r="L3138" s="10" t="str">
        <f>VLOOKUP(K3138,Accounts!A:B,2,FALSE)</f>
        <v xml:space="preserve">Advance Paid</v>
      </c>
      <c r="M3138" t="s">
        <v>178</v>
      </c>
      <c r="N3138" s="10" t="str">
        <f>VLOOKUP(M3138,Accounts!A:B,2,FALSE)</f>
        <v>SCB</v>
      </c>
      <c r="O3138" t="s">
        <v>5735</v>
      </c>
      <c r="Q3138" t="s">
        <v>126</v>
      </c>
      <c r="R3138" t="s">
        <v>124</v>
      </c>
      <c r="S3138" t="b">
        <v>0</v>
      </c>
      <c r="T3138" t="s">
        <v>124</v>
      </c>
    </row>
    <row r="3139">
      <c r="A3139" t="s">
        <v>5736</v>
      </c>
      <c r="B3139" t="s">
        <v>5727</v>
      </c>
      <c r="C3139" s="2">
        <v>2022</v>
      </c>
      <c r="D3139" s="10">
        <v>4</v>
      </c>
      <c r="E3139" s="10">
        <v>2</v>
      </c>
      <c r="F3139" t="s">
        <v>3613</v>
      </c>
      <c r="G3139">
        <v>5563</v>
      </c>
      <c r="H3139" t="s">
        <v>128</v>
      </c>
      <c r="I3139" t="s">
        <v>136</v>
      </c>
      <c r="J3139" s="10" t="str">
        <f>VLOOKUP(I3139,Categories!A:B,2,FALSE)</f>
        <v>อื่นๆ</v>
      </c>
      <c r="K3139" t="s">
        <v>178</v>
      </c>
      <c r="L3139" s="10" t="str">
        <f>VLOOKUP(K3139,Accounts!A:B,2,FALSE)</f>
        <v>SCB</v>
      </c>
      <c r="M3139" t="s">
        <v>130</v>
      </c>
      <c r="N3139" s="10" t="str">
        <f>VLOOKUP(M3139,Accounts!A:B,2,FALSE)</f>
        <v xml:space="preserve">KTC JCB</v>
      </c>
      <c r="O3139" t="s">
        <v>125</v>
      </c>
      <c r="Q3139" t="s">
        <v>126</v>
      </c>
      <c r="R3139" t="s">
        <v>124</v>
      </c>
      <c r="S3139" t="b">
        <v>0</v>
      </c>
      <c r="T3139" t="s">
        <v>124</v>
      </c>
    </row>
    <row r="3140">
      <c r="A3140" t="s">
        <v>5737</v>
      </c>
      <c r="B3140" t="s">
        <v>5738</v>
      </c>
      <c r="C3140" s="2">
        <v>2022</v>
      </c>
      <c r="D3140" s="10">
        <v>4</v>
      </c>
      <c r="E3140" s="10">
        <v>1</v>
      </c>
      <c r="F3140" t="s">
        <v>121</v>
      </c>
      <c r="G3140">
        <v>10000</v>
      </c>
      <c r="H3140" t="s">
        <v>128</v>
      </c>
      <c r="I3140" t="s">
        <v>136</v>
      </c>
      <c r="J3140" s="10" t="str">
        <f>VLOOKUP(I3140,Categories!A:B,2,FALSE)</f>
        <v>อื่นๆ</v>
      </c>
      <c r="K3140" t="s">
        <v>178</v>
      </c>
      <c r="L3140" s="10" t="str">
        <f>VLOOKUP(K3140,Accounts!A:B,2,FALSE)</f>
        <v>SCB</v>
      </c>
      <c r="M3140" t="s">
        <v>2317</v>
      </c>
      <c r="N3140" s="10" t="str">
        <f>VLOOKUP(M3140,Accounts!A:B,2,FALSE)</f>
        <v xml:space="preserve">Marriage account</v>
      </c>
      <c r="O3140" t="s">
        <v>125</v>
      </c>
      <c r="Q3140" t="s">
        <v>126</v>
      </c>
      <c r="R3140" t="s">
        <v>124</v>
      </c>
      <c r="S3140" t="b">
        <v>0</v>
      </c>
      <c r="T3140" t="s">
        <v>124</v>
      </c>
    </row>
    <row r="3141">
      <c r="A3141" t="s">
        <v>5739</v>
      </c>
      <c r="B3141" t="s">
        <v>5738</v>
      </c>
      <c r="C3141" s="2">
        <v>2022</v>
      </c>
      <c r="D3141" s="10">
        <v>4</v>
      </c>
      <c r="E3141" s="10">
        <v>1</v>
      </c>
      <c r="F3141" t="s">
        <v>5351</v>
      </c>
      <c r="G3141">
        <v>55</v>
      </c>
      <c r="H3141" t="s">
        <v>206</v>
      </c>
      <c r="I3141" t="s">
        <v>254</v>
      </c>
      <c r="J3141" s="10" t="str">
        <f>VLOOKUP(I3141,Categories!A:B,2,FALSE)</f>
        <v xml:space="preserve">Modified Bal.</v>
      </c>
      <c r="K3141" t="s">
        <v>5552</v>
      </c>
      <c r="L3141" s="10" t="str">
        <f>VLOOKUP(K3141,Accounts!A:B,2,FALSE)</f>
        <v xml:space="preserve">Kbank BLUECARD</v>
      </c>
      <c r="M3141" t="s">
        <v>124</v>
      </c>
      <c r="N3141" s="10"/>
      <c r="O3141" t="s">
        <v>255</v>
      </c>
      <c r="Q3141" t="s">
        <v>126</v>
      </c>
      <c r="R3141" t="s">
        <v>124</v>
      </c>
      <c r="S3141" t="b">
        <v>0</v>
      </c>
      <c r="T3141" t="s">
        <v>124</v>
      </c>
    </row>
    <row r="3142">
      <c r="A3142" t="s">
        <v>5740</v>
      </c>
      <c r="B3142" t="s">
        <v>5738</v>
      </c>
      <c r="C3142" s="2">
        <v>2022</v>
      </c>
      <c r="D3142" s="10">
        <v>4</v>
      </c>
      <c r="E3142" s="10">
        <v>1</v>
      </c>
      <c r="F3142" t="s">
        <v>1902</v>
      </c>
      <c r="G3142">
        <v>4461.1999999999998</v>
      </c>
      <c r="H3142" t="s">
        <v>69</v>
      </c>
      <c r="I3142" t="s">
        <v>139</v>
      </c>
      <c r="J3142" s="10" t="str">
        <f>VLOOKUP(I3142,Categories!A:B,2,FALSE)</f>
        <v>Condo</v>
      </c>
      <c r="K3142" t="s">
        <v>178</v>
      </c>
      <c r="L3142" s="10" t="str">
        <f>VLOOKUP(K3142,Accounts!A:B,2,FALSE)</f>
        <v>SCB</v>
      </c>
      <c r="M3142" t="s">
        <v>124</v>
      </c>
      <c r="N3142" s="10"/>
      <c r="O3142" t="s">
        <v>125</v>
      </c>
      <c r="Q3142" t="s">
        <v>126</v>
      </c>
      <c r="R3142" t="s">
        <v>124</v>
      </c>
      <c r="S3142" t="b">
        <v>0</v>
      </c>
      <c r="T3142" t="s">
        <v>124</v>
      </c>
    </row>
    <row r="3143">
      <c r="A3143" t="s">
        <v>5741</v>
      </c>
      <c r="B3143" t="s">
        <v>5738</v>
      </c>
      <c r="C3143" s="2">
        <v>2022</v>
      </c>
      <c r="D3143" s="10">
        <v>4</v>
      </c>
      <c r="E3143" s="10">
        <v>1</v>
      </c>
      <c r="F3143" t="s">
        <v>4290</v>
      </c>
      <c r="G3143">
        <v>335</v>
      </c>
      <c r="H3143" t="s">
        <v>69</v>
      </c>
      <c r="I3143" t="s">
        <v>614</v>
      </c>
      <c r="J3143" s="10" t="str">
        <f>VLOOKUP(I3143,Categories!A:B,2,FALSE)</f>
        <v>Books</v>
      </c>
      <c r="K3143" t="s">
        <v>130</v>
      </c>
      <c r="L3143" s="10" t="str">
        <f>VLOOKUP(K3143,Accounts!A:B,2,FALSE)</f>
        <v xml:space="preserve">KTC JCB</v>
      </c>
      <c r="M3143" t="s">
        <v>124</v>
      </c>
      <c r="N3143" s="10"/>
      <c r="O3143" t="s">
        <v>125</v>
      </c>
      <c r="Q3143" t="s">
        <v>126</v>
      </c>
      <c r="R3143" t="s">
        <v>124</v>
      </c>
      <c r="S3143" t="b">
        <v>0</v>
      </c>
      <c r="T3143" t="s">
        <v>124</v>
      </c>
    </row>
    <row r="3144">
      <c r="A3144" t="s">
        <v>5742</v>
      </c>
      <c r="B3144" t="s">
        <v>5743</v>
      </c>
      <c r="C3144" s="2">
        <v>2022</v>
      </c>
      <c r="D3144" s="10">
        <v>3</v>
      </c>
      <c r="E3144" s="10">
        <v>31</v>
      </c>
      <c r="F3144" t="s">
        <v>857</v>
      </c>
      <c r="G3144">
        <v>10000</v>
      </c>
      <c r="H3144" t="s">
        <v>128</v>
      </c>
      <c r="I3144" t="s">
        <v>136</v>
      </c>
      <c r="J3144" s="10" t="str">
        <f>VLOOKUP(I3144,Categories!A:B,2,FALSE)</f>
        <v>อื่นๆ</v>
      </c>
      <c r="K3144" t="s">
        <v>3248</v>
      </c>
      <c r="L3144" s="10" t="str">
        <f>VLOOKUP(K3144,Accounts!A:B,2,FALSE)</f>
        <v>Loan</v>
      </c>
      <c r="M3144" t="s">
        <v>178</v>
      </c>
      <c r="N3144" s="10" t="str">
        <f>VLOOKUP(M3144,Accounts!A:B,2,FALSE)</f>
        <v>SCB</v>
      </c>
      <c r="O3144" t="s">
        <v>3249</v>
      </c>
      <c r="Q3144" t="s">
        <v>126</v>
      </c>
      <c r="R3144" t="s">
        <v>124</v>
      </c>
      <c r="S3144" t="b">
        <v>0</v>
      </c>
      <c r="T3144" t="s">
        <v>124</v>
      </c>
    </row>
    <row r="3145">
      <c r="A3145" t="s">
        <v>5744</v>
      </c>
      <c r="B3145" t="s">
        <v>5743</v>
      </c>
      <c r="C3145" s="2">
        <v>2022</v>
      </c>
      <c r="D3145" s="10">
        <v>3</v>
      </c>
      <c r="E3145" s="10">
        <v>31</v>
      </c>
      <c r="F3145" t="s">
        <v>857</v>
      </c>
      <c r="G3145">
        <v>2500</v>
      </c>
      <c r="H3145" t="s">
        <v>206</v>
      </c>
      <c r="I3145" t="s">
        <v>281</v>
      </c>
      <c r="J3145" s="10" t="str">
        <f>VLOOKUP(I3145,Categories!A:B,2,FALSE)</f>
        <v>Others</v>
      </c>
      <c r="K3145" t="s">
        <v>178</v>
      </c>
      <c r="L3145" s="10" t="str">
        <f>VLOOKUP(K3145,Accounts!A:B,2,FALSE)</f>
        <v>SCB</v>
      </c>
      <c r="M3145" t="s">
        <v>124</v>
      </c>
      <c r="N3145" s="10"/>
      <c r="O3145" t="s">
        <v>125</v>
      </c>
      <c r="Q3145" t="s">
        <v>126</v>
      </c>
      <c r="R3145" t="s">
        <v>124</v>
      </c>
      <c r="S3145" t="b">
        <v>0</v>
      </c>
      <c r="T3145" t="s">
        <v>124</v>
      </c>
    </row>
    <row r="3146">
      <c r="A3146" t="s">
        <v>5745</v>
      </c>
      <c r="B3146" t="s">
        <v>5743</v>
      </c>
      <c r="C3146" s="2">
        <v>2022</v>
      </c>
      <c r="D3146" s="10">
        <v>3</v>
      </c>
      <c r="E3146" s="10">
        <v>31</v>
      </c>
      <c r="F3146" t="s">
        <v>3068</v>
      </c>
      <c r="G3146">
        <v>90</v>
      </c>
      <c r="H3146" t="s">
        <v>69</v>
      </c>
      <c r="I3146" t="s">
        <v>141</v>
      </c>
      <c r="J3146" s="10" t="str">
        <f>VLOOKUP(I3146,Categories!A:B,2,FALSE)</f>
        <v>Other</v>
      </c>
      <c r="K3146" t="s">
        <v>178</v>
      </c>
      <c r="L3146" s="10" t="str">
        <f>VLOOKUP(K3146,Accounts!A:B,2,FALSE)</f>
        <v>SCB</v>
      </c>
      <c r="M3146" t="s">
        <v>124</v>
      </c>
      <c r="N3146" s="10"/>
      <c r="O3146" t="s">
        <v>5746</v>
      </c>
      <c r="Q3146" t="s">
        <v>126</v>
      </c>
      <c r="R3146" t="s">
        <v>124</v>
      </c>
      <c r="S3146" t="b">
        <v>0</v>
      </c>
      <c r="T3146" t="s">
        <v>124</v>
      </c>
    </row>
    <row r="3147">
      <c r="A3147" t="s">
        <v>5747</v>
      </c>
      <c r="B3147" t="s">
        <v>5748</v>
      </c>
      <c r="C3147" s="2">
        <v>2022</v>
      </c>
      <c r="D3147" s="10">
        <v>3</v>
      </c>
      <c r="E3147" s="10">
        <v>30</v>
      </c>
      <c r="F3147" t="s">
        <v>1288</v>
      </c>
      <c r="G3147">
        <v>84</v>
      </c>
      <c r="H3147" t="s">
        <v>206</v>
      </c>
      <c r="I3147" t="s">
        <v>281</v>
      </c>
      <c r="J3147" s="10" t="str">
        <f>VLOOKUP(I3147,Categories!A:B,2,FALSE)</f>
        <v>Others</v>
      </c>
      <c r="K3147" t="s">
        <v>178</v>
      </c>
      <c r="L3147" s="10" t="str">
        <f>VLOOKUP(K3147,Accounts!A:B,2,FALSE)</f>
        <v>SCB</v>
      </c>
      <c r="M3147" t="s">
        <v>124</v>
      </c>
      <c r="N3147" s="10"/>
      <c r="O3147" t="s">
        <v>5749</v>
      </c>
      <c r="Q3147" t="s">
        <v>126</v>
      </c>
      <c r="R3147" t="s">
        <v>124</v>
      </c>
      <c r="S3147" t="b">
        <v>0</v>
      </c>
      <c r="T3147" t="s">
        <v>124</v>
      </c>
    </row>
    <row r="3148">
      <c r="A3148" t="s">
        <v>5750</v>
      </c>
      <c r="B3148" t="s">
        <v>5751</v>
      </c>
      <c r="C3148" s="2">
        <v>2022</v>
      </c>
      <c r="D3148" s="10">
        <v>3</v>
      </c>
      <c r="E3148" s="10">
        <v>29</v>
      </c>
      <c r="F3148" t="s">
        <v>2670</v>
      </c>
      <c r="G3148">
        <v>55</v>
      </c>
      <c r="H3148" t="s">
        <v>69</v>
      </c>
      <c r="I3148" t="s">
        <v>150</v>
      </c>
      <c r="J3148" s="10" t="str">
        <f>VLOOKUP(I3148,Categories!A:B,2,FALSE)</f>
        <v xml:space="preserve">Food &amp; Coff</v>
      </c>
      <c r="K3148" t="s">
        <v>178</v>
      </c>
      <c r="L3148" s="10" t="str">
        <f>VLOOKUP(K3148,Accounts!A:B,2,FALSE)</f>
        <v>SCB</v>
      </c>
      <c r="M3148" t="s">
        <v>124</v>
      </c>
      <c r="N3148" s="10"/>
      <c r="O3148" t="s">
        <v>125</v>
      </c>
      <c r="Q3148" t="s">
        <v>126</v>
      </c>
      <c r="R3148" t="s">
        <v>124</v>
      </c>
      <c r="S3148" t="b">
        <v>0</v>
      </c>
      <c r="T3148" t="s">
        <v>124</v>
      </c>
    </row>
    <row r="3149">
      <c r="A3149" t="s">
        <v>5752</v>
      </c>
      <c r="B3149" t="s">
        <v>5751</v>
      </c>
      <c r="C3149" s="2">
        <v>2022</v>
      </c>
      <c r="D3149" s="10">
        <v>3</v>
      </c>
      <c r="E3149" s="10">
        <v>29</v>
      </c>
      <c r="F3149" t="s">
        <v>2667</v>
      </c>
      <c r="G3149">
        <v>256</v>
      </c>
      <c r="H3149" t="s">
        <v>128</v>
      </c>
      <c r="I3149" t="s">
        <v>136</v>
      </c>
      <c r="J3149" s="10" t="str">
        <f>VLOOKUP(I3149,Categories!A:B,2,FALSE)</f>
        <v>อื่นๆ</v>
      </c>
      <c r="K3149" t="s">
        <v>178</v>
      </c>
      <c r="L3149" s="10" t="str">
        <f>VLOOKUP(K3149,Accounts!A:B,2,FALSE)</f>
        <v>SCB</v>
      </c>
      <c r="M3149" t="s">
        <v>131</v>
      </c>
      <c r="N3149" s="10" t="str">
        <f>VLOOKUP(M3149,Accounts!A:B,2,FALSE)</f>
        <v xml:space="preserve">Advance Paid</v>
      </c>
      <c r="O3149" t="s">
        <v>5753</v>
      </c>
      <c r="Q3149" t="s">
        <v>126</v>
      </c>
      <c r="R3149" t="s">
        <v>124</v>
      </c>
      <c r="S3149" t="b">
        <v>0</v>
      </c>
      <c r="T3149" t="s">
        <v>124</v>
      </c>
    </row>
    <row r="3150">
      <c r="A3150" t="s">
        <v>5754</v>
      </c>
      <c r="B3150" t="s">
        <v>5751</v>
      </c>
      <c r="C3150" s="2">
        <v>2022</v>
      </c>
      <c r="D3150" s="10">
        <v>3</v>
      </c>
      <c r="E3150" s="10">
        <v>29</v>
      </c>
      <c r="F3150" t="s">
        <v>1982</v>
      </c>
      <c r="G3150">
        <v>28376</v>
      </c>
      <c r="H3150" t="s">
        <v>69</v>
      </c>
      <c r="I3150" t="s">
        <v>195</v>
      </c>
      <c r="J3150" s="10" t="str">
        <f>VLOOKUP(I3150,Categories!A:B,2,FALSE)</f>
        <v>Tax</v>
      </c>
      <c r="K3150" t="s">
        <v>178</v>
      </c>
      <c r="L3150" s="10" t="str">
        <f>VLOOKUP(K3150,Accounts!A:B,2,FALSE)</f>
        <v>SCB</v>
      </c>
      <c r="M3150" t="s">
        <v>124</v>
      </c>
      <c r="N3150" s="10"/>
      <c r="O3150" t="s">
        <v>125</v>
      </c>
      <c r="Q3150" t="s">
        <v>126</v>
      </c>
      <c r="R3150" t="s">
        <v>124</v>
      </c>
      <c r="S3150" t="b">
        <v>0</v>
      </c>
      <c r="T3150" t="s">
        <v>124</v>
      </c>
    </row>
    <row r="3151">
      <c r="A3151" t="s">
        <v>5755</v>
      </c>
      <c r="B3151" t="s">
        <v>5756</v>
      </c>
      <c r="C3151" s="2">
        <v>2022</v>
      </c>
      <c r="D3151" s="10">
        <v>3</v>
      </c>
      <c r="E3151" s="10">
        <v>28</v>
      </c>
      <c r="F3151" t="s">
        <v>121</v>
      </c>
      <c r="G3151">
        <v>696.09000000000003</v>
      </c>
      <c r="H3151" t="s">
        <v>69</v>
      </c>
      <c r="I3151" t="s">
        <v>199</v>
      </c>
      <c r="J3151" s="10" t="str">
        <f>VLOOKUP(I3151,Categories!A:B,2,FALSE)</f>
        <v xml:space="preserve">Home Chomthong Interest</v>
      </c>
      <c r="K3151" t="s">
        <v>178</v>
      </c>
      <c r="L3151" s="10" t="str">
        <f>VLOOKUP(K3151,Accounts!A:B,2,FALSE)</f>
        <v>SCB</v>
      </c>
      <c r="M3151" t="s">
        <v>124</v>
      </c>
      <c r="N3151" s="10"/>
      <c r="O3151" t="s">
        <v>125</v>
      </c>
      <c r="Q3151" t="s">
        <v>126</v>
      </c>
      <c r="R3151" t="s">
        <v>124</v>
      </c>
      <c r="S3151" t="b">
        <v>0</v>
      </c>
      <c r="T3151" t="s">
        <v>124</v>
      </c>
    </row>
    <row r="3152">
      <c r="A3152" t="s">
        <v>5757</v>
      </c>
      <c r="B3152" t="s">
        <v>5756</v>
      </c>
      <c r="C3152" s="2">
        <v>2022</v>
      </c>
      <c r="D3152" s="10">
        <v>3</v>
      </c>
      <c r="E3152" s="10">
        <v>28</v>
      </c>
      <c r="F3152" t="s">
        <v>121</v>
      </c>
      <c r="G3152">
        <v>7290</v>
      </c>
      <c r="H3152" t="s">
        <v>128</v>
      </c>
      <c r="I3152" t="s">
        <v>136</v>
      </c>
      <c r="J3152" s="10" t="str">
        <f>VLOOKUP(I3152,Categories!A:B,2,FALSE)</f>
        <v>อื่นๆ</v>
      </c>
      <c r="K3152" t="s">
        <v>178</v>
      </c>
      <c r="L3152" s="10" t="str">
        <f>VLOOKUP(K3152,Accounts!A:B,2,FALSE)</f>
        <v>SCB</v>
      </c>
      <c r="M3152" t="s">
        <v>1244</v>
      </c>
      <c r="N3152" s="10" t="str">
        <f>VLOOKUP(M3152,Accounts!A:B,2,FALSE)</f>
        <v xml:space="preserve">Home chomthong Loan</v>
      </c>
      <c r="O3152" t="s">
        <v>125</v>
      </c>
      <c r="Q3152" t="s">
        <v>126</v>
      </c>
      <c r="R3152" t="s">
        <v>124</v>
      </c>
      <c r="S3152" t="b">
        <v>0</v>
      </c>
      <c r="T3152" t="s">
        <v>124</v>
      </c>
    </row>
    <row r="3153">
      <c r="A3153" t="s">
        <v>5758</v>
      </c>
      <c r="B3153" t="s">
        <v>5756</v>
      </c>
      <c r="C3153" s="2">
        <v>2022</v>
      </c>
      <c r="D3153" s="10">
        <v>3</v>
      </c>
      <c r="E3153" s="10">
        <v>28</v>
      </c>
      <c r="F3153" t="s">
        <v>121</v>
      </c>
      <c r="G3153">
        <v>2066.4000000000001</v>
      </c>
      <c r="H3153" t="s">
        <v>128</v>
      </c>
      <c r="I3153" t="s">
        <v>136</v>
      </c>
      <c r="J3153" s="10" t="str">
        <f>VLOOKUP(I3153,Categories!A:B,2,FALSE)</f>
        <v>อื่นๆ</v>
      </c>
      <c r="K3153" t="s">
        <v>178</v>
      </c>
      <c r="L3153" s="10" t="str">
        <f>VLOOKUP(K3153,Accounts!A:B,2,FALSE)</f>
        <v>SCB</v>
      </c>
      <c r="M3153" t="s">
        <v>203</v>
      </c>
      <c r="N3153" s="10" t="str">
        <f>VLOOKUP(M3153,Accounts!A:B,2,FALSE)</f>
        <v xml:space="preserve">Provident Fund</v>
      </c>
      <c r="O3153" t="s">
        <v>125</v>
      </c>
      <c r="Q3153" t="s">
        <v>126</v>
      </c>
      <c r="R3153" t="s">
        <v>124</v>
      </c>
      <c r="S3153" t="b">
        <v>0</v>
      </c>
      <c r="T3153" t="s">
        <v>124</v>
      </c>
    </row>
    <row r="3154">
      <c r="A3154" t="s">
        <v>5759</v>
      </c>
      <c r="B3154" t="s">
        <v>5756</v>
      </c>
      <c r="C3154" s="2">
        <v>2022</v>
      </c>
      <c r="D3154" s="10">
        <v>3</v>
      </c>
      <c r="E3154" s="10">
        <v>28</v>
      </c>
      <c r="F3154" t="s">
        <v>121</v>
      </c>
      <c r="G3154">
        <v>141.25999999999999</v>
      </c>
      <c r="H3154" t="s">
        <v>69</v>
      </c>
      <c r="I3154" t="s">
        <v>443</v>
      </c>
      <c r="J3154" s="10" t="str">
        <f>VLOOKUP(I3154,Categories!A:B,2,FALSE)</f>
        <v xml:space="preserve">City SV Interest</v>
      </c>
      <c r="K3154" t="s">
        <v>178</v>
      </c>
      <c r="L3154" s="10" t="str">
        <f>VLOOKUP(K3154,Accounts!A:B,2,FALSE)</f>
        <v>SCB</v>
      </c>
      <c r="M3154" t="s">
        <v>124</v>
      </c>
      <c r="N3154" s="10"/>
      <c r="O3154" t="s">
        <v>125</v>
      </c>
      <c r="Q3154" t="s">
        <v>126</v>
      </c>
      <c r="R3154" t="s">
        <v>124</v>
      </c>
      <c r="S3154" t="b">
        <v>0</v>
      </c>
      <c r="T3154" t="s">
        <v>124</v>
      </c>
    </row>
    <row r="3155">
      <c r="A3155" t="s">
        <v>5760</v>
      </c>
      <c r="B3155" t="s">
        <v>5756</v>
      </c>
      <c r="C3155" s="2">
        <v>2022</v>
      </c>
      <c r="D3155" s="10">
        <v>3</v>
      </c>
      <c r="E3155" s="10">
        <v>28</v>
      </c>
      <c r="F3155" t="s">
        <v>121</v>
      </c>
      <c r="G3155">
        <v>500</v>
      </c>
      <c r="H3155" t="s">
        <v>128</v>
      </c>
      <c r="I3155" t="s">
        <v>136</v>
      </c>
      <c r="J3155" s="10" t="str">
        <f>VLOOKUP(I3155,Categories!A:B,2,FALSE)</f>
        <v>อื่นๆ</v>
      </c>
      <c r="K3155" t="s">
        <v>178</v>
      </c>
      <c r="L3155" s="10" t="str">
        <f>VLOOKUP(K3155,Accounts!A:B,2,FALSE)</f>
        <v>SCB</v>
      </c>
      <c r="M3155" t="s">
        <v>201</v>
      </c>
      <c r="N3155" s="10" t="str">
        <f>VLOOKUP(M3155,Accounts!A:B,2,FALSE)</f>
        <v>Coop</v>
      </c>
      <c r="O3155" t="s">
        <v>125</v>
      </c>
      <c r="Q3155" t="s">
        <v>126</v>
      </c>
      <c r="R3155" t="s">
        <v>124</v>
      </c>
      <c r="S3155" t="b">
        <v>0</v>
      </c>
      <c r="T3155" t="s">
        <v>124</v>
      </c>
    </row>
    <row r="3156">
      <c r="A3156" t="s">
        <v>5761</v>
      </c>
      <c r="B3156" t="s">
        <v>5756</v>
      </c>
      <c r="C3156" s="2">
        <v>2022</v>
      </c>
      <c r="D3156" s="10">
        <v>3</v>
      </c>
      <c r="E3156" s="10">
        <v>28</v>
      </c>
      <c r="F3156" t="s">
        <v>121</v>
      </c>
      <c r="G3156">
        <v>9240</v>
      </c>
      <c r="H3156" t="s">
        <v>128</v>
      </c>
      <c r="I3156" t="s">
        <v>136</v>
      </c>
      <c r="J3156" s="10" t="str">
        <f>VLOOKUP(I3156,Categories!A:B,2,FALSE)</f>
        <v>อื่นๆ</v>
      </c>
      <c r="K3156" t="s">
        <v>178</v>
      </c>
      <c r="L3156" s="10" t="str">
        <f>VLOOKUP(K3156,Accounts!A:B,2,FALSE)</f>
        <v>SCB</v>
      </c>
      <c r="M3156" t="s">
        <v>1246</v>
      </c>
      <c r="N3156" s="10" t="str">
        <f>VLOOKUP(M3156,Accounts!A:B,2,FALSE)</f>
        <v xml:space="preserve">Car Loan</v>
      </c>
      <c r="O3156" t="s">
        <v>125</v>
      </c>
      <c r="Q3156" t="s">
        <v>126</v>
      </c>
      <c r="R3156" t="s">
        <v>124</v>
      </c>
      <c r="S3156" t="b">
        <v>0</v>
      </c>
      <c r="T3156" t="s">
        <v>124</v>
      </c>
    </row>
    <row r="3157">
      <c r="A3157" t="s">
        <v>5762</v>
      </c>
      <c r="B3157" t="s">
        <v>5756</v>
      </c>
      <c r="C3157" s="2">
        <v>2022</v>
      </c>
      <c r="D3157" s="10">
        <v>3</v>
      </c>
      <c r="E3157" s="10">
        <v>28</v>
      </c>
      <c r="F3157" t="s">
        <v>121</v>
      </c>
      <c r="G3157">
        <v>103320</v>
      </c>
      <c r="H3157" t="s">
        <v>206</v>
      </c>
      <c r="I3157" t="s">
        <v>207</v>
      </c>
      <c r="J3157" s="10" t="str">
        <f>VLOOKUP(I3157,Categories!A:B,2,FALSE)</f>
        <v>Salary</v>
      </c>
      <c r="K3157" t="s">
        <v>178</v>
      </c>
      <c r="L3157" s="10" t="str">
        <f>VLOOKUP(K3157,Accounts!A:B,2,FALSE)</f>
        <v>SCB</v>
      </c>
      <c r="M3157" t="s">
        <v>124</v>
      </c>
      <c r="N3157" s="10"/>
      <c r="O3157" t="s">
        <v>125</v>
      </c>
      <c r="Q3157" t="s">
        <v>126</v>
      </c>
      <c r="R3157" t="s">
        <v>124</v>
      </c>
      <c r="S3157" t="b">
        <v>0</v>
      </c>
      <c r="T3157" t="s">
        <v>124</v>
      </c>
    </row>
    <row r="3158">
      <c r="A3158" t="s">
        <v>5763</v>
      </c>
      <c r="B3158" t="s">
        <v>5756</v>
      </c>
      <c r="C3158" s="2">
        <v>2022</v>
      </c>
      <c r="D3158" s="10">
        <v>3</v>
      </c>
      <c r="E3158" s="10">
        <v>28</v>
      </c>
      <c r="F3158" t="s">
        <v>5764</v>
      </c>
      <c r="G3158">
        <v>25</v>
      </c>
      <c r="H3158" t="s">
        <v>69</v>
      </c>
      <c r="I3158" t="s">
        <v>144</v>
      </c>
      <c r="J3158" s="10" t="str">
        <f>VLOOKUP(I3158,Categories!A:B,2,FALSE)</f>
        <v xml:space="preserve">Family paid</v>
      </c>
      <c r="K3158" t="s">
        <v>178</v>
      </c>
      <c r="L3158" s="10" t="str">
        <f>VLOOKUP(K3158,Accounts!A:B,2,FALSE)</f>
        <v>SCB</v>
      </c>
      <c r="M3158" t="s">
        <v>124</v>
      </c>
      <c r="N3158" s="10"/>
      <c r="O3158" t="s">
        <v>125</v>
      </c>
      <c r="Q3158" t="s">
        <v>126</v>
      </c>
      <c r="R3158" t="s">
        <v>124</v>
      </c>
      <c r="S3158" t="b">
        <v>0</v>
      </c>
      <c r="T3158" t="s">
        <v>124</v>
      </c>
    </row>
    <row r="3159">
      <c r="A3159" t="s">
        <v>5765</v>
      </c>
      <c r="B3159" t="s">
        <v>5756</v>
      </c>
      <c r="C3159" s="2">
        <v>2022</v>
      </c>
      <c r="D3159" s="10">
        <v>3</v>
      </c>
      <c r="E3159" s="10">
        <v>28</v>
      </c>
      <c r="F3159" t="s">
        <v>5519</v>
      </c>
      <c r="G3159">
        <v>416.25999999999999</v>
      </c>
      <c r="H3159" t="s">
        <v>69</v>
      </c>
      <c r="I3159" t="s">
        <v>195</v>
      </c>
      <c r="J3159" s="10" t="str">
        <f>VLOOKUP(I3159,Categories!A:B,2,FALSE)</f>
        <v>Tax</v>
      </c>
      <c r="K3159" t="s">
        <v>178</v>
      </c>
      <c r="L3159" s="10" t="str">
        <f>VLOOKUP(K3159,Accounts!A:B,2,FALSE)</f>
        <v>SCB</v>
      </c>
      <c r="M3159" t="s">
        <v>124</v>
      </c>
      <c r="N3159" s="10"/>
      <c r="O3159" t="s">
        <v>125</v>
      </c>
      <c r="Q3159" t="s">
        <v>126</v>
      </c>
      <c r="R3159" t="s">
        <v>124</v>
      </c>
      <c r="S3159" t="b">
        <v>0</v>
      </c>
      <c r="T3159" t="s">
        <v>124</v>
      </c>
    </row>
    <row r="3160">
      <c r="A3160" t="s">
        <v>5766</v>
      </c>
      <c r="B3160" t="s">
        <v>5756</v>
      </c>
      <c r="C3160" s="2">
        <v>2022</v>
      </c>
      <c r="D3160" s="10">
        <v>3</v>
      </c>
      <c r="E3160" s="10">
        <v>28</v>
      </c>
      <c r="F3160" t="s">
        <v>5767</v>
      </c>
      <c r="G3160">
        <v>5000</v>
      </c>
      <c r="H3160" t="s">
        <v>69</v>
      </c>
      <c r="I3160" t="s">
        <v>144</v>
      </c>
      <c r="J3160" s="10" t="str">
        <f>VLOOKUP(I3160,Categories!A:B,2,FALSE)</f>
        <v xml:space="preserve">Family paid</v>
      </c>
      <c r="K3160" t="s">
        <v>178</v>
      </c>
      <c r="L3160" s="10" t="str">
        <f>VLOOKUP(K3160,Accounts!A:B,2,FALSE)</f>
        <v>SCB</v>
      </c>
      <c r="M3160" t="s">
        <v>124</v>
      </c>
      <c r="N3160" s="10"/>
      <c r="O3160" t="s">
        <v>125</v>
      </c>
      <c r="Q3160" t="s">
        <v>126</v>
      </c>
      <c r="R3160" t="s">
        <v>124</v>
      </c>
      <c r="S3160" t="b">
        <v>0</v>
      </c>
      <c r="T3160" t="s">
        <v>124</v>
      </c>
    </row>
    <row r="3161">
      <c r="A3161" t="s">
        <v>5768</v>
      </c>
      <c r="B3161" t="s">
        <v>5756</v>
      </c>
      <c r="C3161" s="2">
        <v>2022</v>
      </c>
      <c r="D3161" s="10">
        <v>3</v>
      </c>
      <c r="E3161" s="10">
        <v>28</v>
      </c>
      <c r="F3161" t="s">
        <v>5638</v>
      </c>
      <c r="G3161">
        <v>5790</v>
      </c>
      <c r="H3161" t="s">
        <v>69</v>
      </c>
      <c r="I3161" t="s">
        <v>144</v>
      </c>
      <c r="J3161" s="10" t="str">
        <f>VLOOKUP(I3161,Categories!A:B,2,FALSE)</f>
        <v xml:space="preserve">Family paid</v>
      </c>
      <c r="K3161" t="s">
        <v>178</v>
      </c>
      <c r="L3161" s="10" t="str">
        <f>VLOOKUP(K3161,Accounts!A:B,2,FALSE)</f>
        <v>SCB</v>
      </c>
      <c r="M3161" t="s">
        <v>124</v>
      </c>
      <c r="N3161" s="10"/>
      <c r="O3161" t="s">
        <v>5769</v>
      </c>
      <c r="Q3161" t="s">
        <v>126</v>
      </c>
      <c r="R3161" t="s">
        <v>124</v>
      </c>
      <c r="S3161" t="b">
        <v>0</v>
      </c>
      <c r="T3161" t="s">
        <v>124</v>
      </c>
    </row>
    <row r="3162">
      <c r="A3162" t="s">
        <v>5770</v>
      </c>
      <c r="B3162" t="s">
        <v>5771</v>
      </c>
      <c r="C3162" s="2">
        <v>2022</v>
      </c>
      <c r="D3162" s="10">
        <v>3</v>
      </c>
      <c r="E3162" s="10">
        <v>27</v>
      </c>
      <c r="F3162" t="s">
        <v>1659</v>
      </c>
      <c r="G3162">
        <v>136</v>
      </c>
      <c r="H3162" t="s">
        <v>69</v>
      </c>
      <c r="I3162" t="s">
        <v>144</v>
      </c>
      <c r="J3162" s="10" t="str">
        <f>VLOOKUP(I3162,Categories!A:B,2,FALSE)</f>
        <v xml:space="preserve">Family paid</v>
      </c>
      <c r="K3162" t="s">
        <v>743</v>
      </c>
      <c r="L3162" s="10" t="str">
        <f>VLOOKUP(K3162,Accounts!A:B,2,FALSE)</f>
        <v>HOMEPRO</v>
      </c>
      <c r="M3162" t="s">
        <v>124</v>
      </c>
      <c r="N3162" s="10"/>
      <c r="O3162" t="s">
        <v>5772</v>
      </c>
      <c r="Q3162" t="s">
        <v>126</v>
      </c>
      <c r="R3162" t="s">
        <v>124</v>
      </c>
      <c r="S3162" t="b">
        <v>0</v>
      </c>
      <c r="T3162" t="s">
        <v>124</v>
      </c>
    </row>
    <row r="3163">
      <c r="A3163" t="s">
        <v>5773</v>
      </c>
      <c r="B3163" t="s">
        <v>5771</v>
      </c>
      <c r="C3163" s="2">
        <v>2022</v>
      </c>
      <c r="D3163" s="10">
        <v>3</v>
      </c>
      <c r="E3163" s="10">
        <v>27</v>
      </c>
      <c r="F3163" t="s">
        <v>3377</v>
      </c>
      <c r="G3163">
        <v>697</v>
      </c>
      <c r="H3163" t="s">
        <v>128</v>
      </c>
      <c r="I3163" t="s">
        <v>136</v>
      </c>
      <c r="J3163" s="10" t="str">
        <f>VLOOKUP(I3163,Categories!A:B,2,FALSE)</f>
        <v>อื่นๆ</v>
      </c>
      <c r="K3163" t="s">
        <v>425</v>
      </c>
      <c r="L3163" s="10" t="str">
        <f>VLOOKUP(K3163,Accounts!A:B,2,FALSE)</f>
        <v>Cash</v>
      </c>
      <c r="M3163" t="s">
        <v>178</v>
      </c>
      <c r="N3163" s="10" t="str">
        <f>VLOOKUP(M3163,Accounts!A:B,2,FALSE)</f>
        <v>SCB</v>
      </c>
      <c r="O3163" t="s">
        <v>125</v>
      </c>
      <c r="Q3163" t="s">
        <v>126</v>
      </c>
      <c r="R3163" t="s">
        <v>124</v>
      </c>
      <c r="S3163" t="b">
        <v>0</v>
      </c>
      <c r="T3163" t="s">
        <v>124</v>
      </c>
    </row>
    <row r="3164">
      <c r="A3164" t="s">
        <v>5774</v>
      </c>
      <c r="B3164" t="s">
        <v>5771</v>
      </c>
      <c r="C3164" s="2">
        <v>2022</v>
      </c>
      <c r="D3164" s="10">
        <v>3</v>
      </c>
      <c r="E3164" s="10">
        <v>27</v>
      </c>
      <c r="F3164" t="s">
        <v>5500</v>
      </c>
      <c r="G3164">
        <v>140</v>
      </c>
      <c r="H3164" t="s">
        <v>128</v>
      </c>
      <c r="I3164" t="s">
        <v>136</v>
      </c>
      <c r="J3164" s="10" t="str">
        <f>VLOOKUP(I3164,Categories!A:B,2,FALSE)</f>
        <v>อื่นๆ</v>
      </c>
      <c r="K3164" t="s">
        <v>425</v>
      </c>
      <c r="L3164" s="10" t="str">
        <f>VLOOKUP(K3164,Accounts!A:B,2,FALSE)</f>
        <v>Cash</v>
      </c>
      <c r="M3164" t="s">
        <v>131</v>
      </c>
      <c r="N3164" s="10" t="str">
        <f>VLOOKUP(M3164,Accounts!A:B,2,FALSE)</f>
        <v xml:space="preserve">Advance Paid</v>
      </c>
      <c r="O3164" t="s">
        <v>3493</v>
      </c>
      <c r="Q3164" t="s">
        <v>126</v>
      </c>
      <c r="R3164" t="s">
        <v>124</v>
      </c>
      <c r="S3164" t="b">
        <v>0</v>
      </c>
      <c r="T3164" t="s">
        <v>124</v>
      </c>
    </row>
    <row r="3165">
      <c r="A3165" t="s">
        <v>5775</v>
      </c>
      <c r="B3165" t="s">
        <v>5771</v>
      </c>
      <c r="C3165" s="2">
        <v>2022</v>
      </c>
      <c r="D3165" s="10">
        <v>3</v>
      </c>
      <c r="E3165" s="10">
        <v>27</v>
      </c>
      <c r="F3165" t="s">
        <v>320</v>
      </c>
      <c r="G3165">
        <v>129</v>
      </c>
      <c r="H3165" t="s">
        <v>128</v>
      </c>
      <c r="I3165" t="s">
        <v>136</v>
      </c>
      <c r="J3165" s="10" t="str">
        <f>VLOOKUP(I3165,Categories!A:B,2,FALSE)</f>
        <v>อื่นๆ</v>
      </c>
      <c r="K3165" t="s">
        <v>425</v>
      </c>
      <c r="L3165" s="10" t="str">
        <f>VLOOKUP(K3165,Accounts!A:B,2,FALSE)</f>
        <v>Cash</v>
      </c>
      <c r="M3165" t="s">
        <v>131</v>
      </c>
      <c r="N3165" s="10" t="str">
        <f>VLOOKUP(M3165,Accounts!A:B,2,FALSE)</f>
        <v xml:space="preserve">Advance Paid</v>
      </c>
      <c r="O3165" t="s">
        <v>5776</v>
      </c>
      <c r="Q3165" t="s">
        <v>126</v>
      </c>
      <c r="R3165" t="s">
        <v>124</v>
      </c>
      <c r="S3165" t="b">
        <v>0</v>
      </c>
      <c r="T3165" t="s">
        <v>124</v>
      </c>
    </row>
    <row r="3166">
      <c r="A3166" t="s">
        <v>5777</v>
      </c>
      <c r="B3166" t="s">
        <v>5771</v>
      </c>
      <c r="C3166" s="2">
        <v>2022</v>
      </c>
      <c r="D3166" s="10">
        <v>3</v>
      </c>
      <c r="E3166" s="10">
        <v>27</v>
      </c>
      <c r="F3166" t="s">
        <v>455</v>
      </c>
      <c r="G3166">
        <v>58</v>
      </c>
      <c r="H3166" t="s">
        <v>128</v>
      </c>
      <c r="I3166" t="s">
        <v>136</v>
      </c>
      <c r="J3166" s="10" t="str">
        <f>VLOOKUP(I3166,Categories!A:B,2,FALSE)</f>
        <v>อื่นๆ</v>
      </c>
      <c r="K3166" t="s">
        <v>425</v>
      </c>
      <c r="L3166" s="10" t="str">
        <f>VLOOKUP(K3166,Accounts!A:B,2,FALSE)</f>
        <v>Cash</v>
      </c>
      <c r="M3166" t="s">
        <v>131</v>
      </c>
      <c r="N3166" s="10" t="str">
        <f>VLOOKUP(M3166,Accounts!A:B,2,FALSE)</f>
        <v xml:space="preserve">Advance Paid</v>
      </c>
      <c r="O3166" t="s">
        <v>5778</v>
      </c>
      <c r="Q3166" t="s">
        <v>126</v>
      </c>
      <c r="R3166" t="s">
        <v>124</v>
      </c>
      <c r="S3166" t="b">
        <v>0</v>
      </c>
      <c r="T3166" t="s">
        <v>124</v>
      </c>
    </row>
    <row r="3167">
      <c r="A3167" t="s">
        <v>5779</v>
      </c>
      <c r="B3167" t="s">
        <v>5771</v>
      </c>
      <c r="C3167" s="2">
        <v>2022</v>
      </c>
      <c r="D3167" s="10">
        <v>3</v>
      </c>
      <c r="E3167" s="10">
        <v>27</v>
      </c>
      <c r="F3167" t="s">
        <v>1920</v>
      </c>
      <c r="G3167">
        <v>50</v>
      </c>
      <c r="H3167" t="s">
        <v>69</v>
      </c>
      <c r="I3167" t="s">
        <v>150</v>
      </c>
      <c r="J3167" s="10" t="str">
        <f>VLOOKUP(I3167,Categories!A:B,2,FALSE)</f>
        <v xml:space="preserve">Food &amp; Coff</v>
      </c>
      <c r="K3167" t="s">
        <v>178</v>
      </c>
      <c r="L3167" s="10" t="str">
        <f>VLOOKUP(K3167,Accounts!A:B,2,FALSE)</f>
        <v>SCB</v>
      </c>
      <c r="M3167" t="s">
        <v>124</v>
      </c>
      <c r="N3167" s="10"/>
      <c r="O3167" t="s">
        <v>5780</v>
      </c>
      <c r="Q3167" t="s">
        <v>126</v>
      </c>
      <c r="R3167" t="s">
        <v>124</v>
      </c>
      <c r="S3167" t="b">
        <v>0</v>
      </c>
      <c r="T3167" t="s">
        <v>124</v>
      </c>
    </row>
    <row r="3168">
      <c r="A3168" t="s">
        <v>5781</v>
      </c>
      <c r="B3168" t="s">
        <v>5782</v>
      </c>
      <c r="C3168" s="2">
        <v>2022</v>
      </c>
      <c r="D3168" s="10">
        <v>3</v>
      </c>
      <c r="E3168" s="10">
        <v>26</v>
      </c>
      <c r="F3168" t="s">
        <v>1540</v>
      </c>
      <c r="G3168">
        <v>535</v>
      </c>
      <c r="H3168" t="s">
        <v>128</v>
      </c>
      <c r="I3168" t="s">
        <v>136</v>
      </c>
      <c r="J3168" s="10" t="str">
        <f>VLOOKUP(I3168,Categories!A:B,2,FALSE)</f>
        <v>อื่นๆ</v>
      </c>
      <c r="K3168" t="s">
        <v>743</v>
      </c>
      <c r="L3168" s="10" t="str">
        <f>VLOOKUP(K3168,Accounts!A:B,2,FALSE)</f>
        <v>HOMEPRO</v>
      </c>
      <c r="M3168" t="s">
        <v>131</v>
      </c>
      <c r="N3168" s="10" t="str">
        <f>VLOOKUP(M3168,Accounts!A:B,2,FALSE)</f>
        <v xml:space="preserve">Advance Paid</v>
      </c>
      <c r="O3168" t="s">
        <v>5783</v>
      </c>
      <c r="Q3168" t="s">
        <v>126</v>
      </c>
      <c r="R3168" t="s">
        <v>124</v>
      </c>
      <c r="S3168" t="b">
        <v>0</v>
      </c>
      <c r="T3168" t="s">
        <v>124</v>
      </c>
    </row>
    <row r="3169">
      <c r="A3169" t="s">
        <v>5784</v>
      </c>
      <c r="B3169" t="s">
        <v>5782</v>
      </c>
      <c r="C3169" s="2">
        <v>2022</v>
      </c>
      <c r="D3169" s="10">
        <v>3</v>
      </c>
      <c r="E3169" s="10">
        <v>26</v>
      </c>
      <c r="F3169" t="s">
        <v>1972</v>
      </c>
      <c r="G3169">
        <v>573</v>
      </c>
      <c r="H3169" t="s">
        <v>128</v>
      </c>
      <c r="I3169" t="s">
        <v>136</v>
      </c>
      <c r="J3169" s="10" t="str">
        <f>VLOOKUP(I3169,Categories!A:B,2,FALSE)</f>
        <v>อื่นๆ</v>
      </c>
      <c r="K3169" t="s">
        <v>743</v>
      </c>
      <c r="L3169" s="10" t="str">
        <f>VLOOKUP(K3169,Accounts!A:B,2,FALSE)</f>
        <v>HOMEPRO</v>
      </c>
      <c r="M3169" t="s">
        <v>131</v>
      </c>
      <c r="N3169" s="10" t="str">
        <f>VLOOKUP(M3169,Accounts!A:B,2,FALSE)</f>
        <v xml:space="preserve">Advance Paid</v>
      </c>
      <c r="O3169" t="s">
        <v>5785</v>
      </c>
      <c r="Q3169" t="s">
        <v>126</v>
      </c>
      <c r="R3169" t="s">
        <v>124</v>
      </c>
      <c r="S3169" t="b">
        <v>0</v>
      </c>
      <c r="T3169" t="s">
        <v>124</v>
      </c>
    </row>
    <row r="3170">
      <c r="A3170" t="s">
        <v>5786</v>
      </c>
      <c r="B3170" t="s">
        <v>5787</v>
      </c>
      <c r="C3170" s="2">
        <v>2022</v>
      </c>
      <c r="D3170" s="10">
        <v>3</v>
      </c>
      <c r="E3170" s="10">
        <v>24</v>
      </c>
      <c r="F3170" t="s">
        <v>4435</v>
      </c>
      <c r="G3170">
        <v>69</v>
      </c>
      <c r="H3170" t="s">
        <v>69</v>
      </c>
      <c r="I3170" t="s">
        <v>150</v>
      </c>
      <c r="J3170" s="10" t="str">
        <f>VLOOKUP(I3170,Categories!A:B,2,FALSE)</f>
        <v xml:space="preserve">Food &amp; Coff</v>
      </c>
      <c r="K3170" t="s">
        <v>178</v>
      </c>
      <c r="L3170" s="10" t="str">
        <f>VLOOKUP(K3170,Accounts!A:B,2,FALSE)</f>
        <v>SCB</v>
      </c>
      <c r="M3170" t="s">
        <v>124</v>
      </c>
      <c r="N3170" s="10"/>
      <c r="O3170" t="s">
        <v>125</v>
      </c>
      <c r="Q3170" t="s">
        <v>126</v>
      </c>
      <c r="R3170" t="s">
        <v>124</v>
      </c>
      <c r="S3170" t="b">
        <v>0</v>
      </c>
      <c r="T3170" t="s">
        <v>124</v>
      </c>
    </row>
    <row r="3171">
      <c r="A3171" t="s">
        <v>5788</v>
      </c>
      <c r="B3171" t="s">
        <v>5789</v>
      </c>
      <c r="C3171" s="2">
        <v>2022</v>
      </c>
      <c r="D3171" s="10">
        <v>3</v>
      </c>
      <c r="E3171" s="10">
        <v>20</v>
      </c>
      <c r="F3171" t="s">
        <v>5790</v>
      </c>
      <c r="G3171">
        <v>100</v>
      </c>
      <c r="H3171" t="s">
        <v>69</v>
      </c>
      <c r="I3171" t="s">
        <v>150</v>
      </c>
      <c r="J3171" s="10" t="str">
        <f>VLOOKUP(I3171,Categories!A:B,2,FALSE)</f>
        <v xml:space="preserve">Food &amp; Coff</v>
      </c>
      <c r="K3171" t="s">
        <v>893</v>
      </c>
      <c r="L3171" s="10" t="str">
        <f>VLOOKUP(K3171,Accounts!A:B,2,FALSE)</f>
        <v>Shopee</v>
      </c>
      <c r="M3171" t="s">
        <v>124</v>
      </c>
      <c r="N3171" s="10"/>
      <c r="O3171" t="s">
        <v>125</v>
      </c>
      <c r="Q3171" t="s">
        <v>126</v>
      </c>
      <c r="R3171" t="s">
        <v>124</v>
      </c>
      <c r="S3171" t="b">
        <v>0</v>
      </c>
      <c r="T3171" t="s">
        <v>124</v>
      </c>
    </row>
    <row r="3172">
      <c r="A3172" t="s">
        <v>5791</v>
      </c>
      <c r="B3172" t="s">
        <v>5789</v>
      </c>
      <c r="C3172" s="2">
        <v>2022</v>
      </c>
      <c r="D3172" s="10">
        <v>3</v>
      </c>
      <c r="E3172" s="10">
        <v>20</v>
      </c>
      <c r="F3172" t="s">
        <v>2143</v>
      </c>
      <c r="G3172">
        <v>200</v>
      </c>
      <c r="H3172" t="s">
        <v>128</v>
      </c>
      <c r="I3172" t="s">
        <v>136</v>
      </c>
      <c r="J3172" s="10" t="str">
        <f>VLOOKUP(I3172,Categories!A:B,2,FALSE)</f>
        <v>อื่นๆ</v>
      </c>
      <c r="K3172" t="s">
        <v>123</v>
      </c>
      <c r="L3172" s="10" t="str">
        <f>VLOOKUP(K3172,Accounts!A:B,2,FALSE)</f>
        <v>KBank</v>
      </c>
      <c r="M3172" t="s">
        <v>131</v>
      </c>
      <c r="N3172" s="10" t="str">
        <f>VLOOKUP(M3172,Accounts!A:B,2,FALSE)</f>
        <v xml:space="preserve">Advance Paid</v>
      </c>
      <c r="O3172" t="s">
        <v>125</v>
      </c>
      <c r="Q3172" t="s">
        <v>126</v>
      </c>
      <c r="R3172" t="s">
        <v>124</v>
      </c>
      <c r="S3172" t="b">
        <v>0</v>
      </c>
      <c r="T3172" t="s">
        <v>124</v>
      </c>
    </row>
    <row r="3173">
      <c r="A3173" t="s">
        <v>5792</v>
      </c>
      <c r="B3173" t="s">
        <v>5789</v>
      </c>
      <c r="C3173" s="2">
        <v>2022</v>
      </c>
      <c r="D3173" s="10">
        <v>3</v>
      </c>
      <c r="E3173" s="10">
        <v>20</v>
      </c>
      <c r="F3173" t="s">
        <v>389</v>
      </c>
      <c r="G3173">
        <v>82</v>
      </c>
      <c r="H3173" t="s">
        <v>69</v>
      </c>
      <c r="I3173" t="s">
        <v>150</v>
      </c>
      <c r="J3173" s="10" t="str">
        <f>VLOOKUP(I3173,Categories!A:B,2,FALSE)</f>
        <v xml:space="preserve">Food &amp; Coff</v>
      </c>
      <c r="K3173" t="s">
        <v>178</v>
      </c>
      <c r="L3173" s="10" t="str">
        <f>VLOOKUP(K3173,Accounts!A:B,2,FALSE)</f>
        <v>SCB</v>
      </c>
      <c r="M3173" t="s">
        <v>124</v>
      </c>
      <c r="N3173" s="10"/>
      <c r="O3173" t="s">
        <v>125</v>
      </c>
      <c r="Q3173" t="s">
        <v>126</v>
      </c>
      <c r="R3173" t="s">
        <v>124</v>
      </c>
      <c r="S3173" t="b">
        <v>0</v>
      </c>
      <c r="T3173" t="s">
        <v>124</v>
      </c>
    </row>
    <row r="3174">
      <c r="A3174" t="s">
        <v>5793</v>
      </c>
      <c r="B3174" t="s">
        <v>5789</v>
      </c>
      <c r="C3174" s="2">
        <v>2022</v>
      </c>
      <c r="D3174" s="10">
        <v>3</v>
      </c>
      <c r="E3174" s="10">
        <v>20</v>
      </c>
      <c r="F3174" t="s">
        <v>3185</v>
      </c>
      <c r="G3174">
        <v>358</v>
      </c>
      <c r="H3174" t="s">
        <v>69</v>
      </c>
      <c r="I3174" t="s">
        <v>134</v>
      </c>
      <c r="J3174" s="10" t="str">
        <f>VLOOKUP(I3174,Categories!A:B,2,FALSE)</f>
        <v>Hong</v>
      </c>
      <c r="K3174" t="s">
        <v>130</v>
      </c>
      <c r="L3174" s="10" t="str">
        <f>VLOOKUP(K3174,Accounts!A:B,2,FALSE)</f>
        <v xml:space="preserve">KTC JCB</v>
      </c>
      <c r="M3174" t="s">
        <v>124</v>
      </c>
      <c r="N3174" s="10"/>
      <c r="O3174" t="s">
        <v>5794</v>
      </c>
      <c r="Q3174" t="s">
        <v>126</v>
      </c>
      <c r="R3174" t="s">
        <v>124</v>
      </c>
      <c r="S3174" t="b">
        <v>0</v>
      </c>
      <c r="T3174" t="s">
        <v>124</v>
      </c>
    </row>
    <row r="3175">
      <c r="A3175" t="s">
        <v>5795</v>
      </c>
      <c r="B3175" t="s">
        <v>5789</v>
      </c>
      <c r="C3175" s="2">
        <v>2022</v>
      </c>
      <c r="D3175" s="10">
        <v>3</v>
      </c>
      <c r="E3175" s="10">
        <v>20</v>
      </c>
      <c r="F3175" t="s">
        <v>311</v>
      </c>
      <c r="G3175">
        <v>6673.1800000000003</v>
      </c>
      <c r="H3175" t="s">
        <v>128</v>
      </c>
      <c r="I3175" t="s">
        <v>136</v>
      </c>
      <c r="J3175" s="10" t="str">
        <f>VLOOKUP(I3175,Categories!A:B,2,FALSE)</f>
        <v>อื่นๆ</v>
      </c>
      <c r="K3175" t="s">
        <v>766</v>
      </c>
      <c r="L3175" s="10" t="str">
        <f>VLOOKUP(K3175,Accounts!A:B,2,FALSE)</f>
        <v>KRUNGSRI</v>
      </c>
      <c r="M3175" t="s">
        <v>743</v>
      </c>
      <c r="N3175" s="10" t="str">
        <f>VLOOKUP(M3175,Accounts!A:B,2,FALSE)</f>
        <v>HOMEPRO</v>
      </c>
      <c r="O3175" t="s">
        <v>125</v>
      </c>
      <c r="Q3175" t="s">
        <v>126</v>
      </c>
      <c r="R3175" t="s">
        <v>124</v>
      </c>
      <c r="S3175" t="b">
        <v>0</v>
      </c>
      <c r="T3175" t="s">
        <v>124</v>
      </c>
    </row>
    <row r="3176">
      <c r="A3176" t="s">
        <v>5796</v>
      </c>
      <c r="B3176" t="s">
        <v>5789</v>
      </c>
      <c r="C3176" s="2">
        <v>2022</v>
      </c>
      <c r="D3176" s="10">
        <v>3</v>
      </c>
      <c r="E3176" s="10">
        <v>20</v>
      </c>
      <c r="F3176" t="s">
        <v>5797</v>
      </c>
      <c r="G3176">
        <v>591.48000000000002</v>
      </c>
      <c r="H3176" t="s">
        <v>206</v>
      </c>
      <c r="I3176" t="s">
        <v>254</v>
      </c>
      <c r="J3176" s="10" t="str">
        <f>VLOOKUP(I3176,Categories!A:B,2,FALSE)</f>
        <v xml:space="preserve">Modified Bal.</v>
      </c>
      <c r="K3176" t="s">
        <v>747</v>
      </c>
      <c r="L3176" s="10" t="str">
        <f>VLOOKUP(K3176,Accounts!A:B,2,FALSE)</f>
        <v xml:space="preserve">UOB world</v>
      </c>
      <c r="M3176" t="s">
        <v>124</v>
      </c>
      <c r="N3176" s="10"/>
      <c r="O3176" t="s">
        <v>255</v>
      </c>
      <c r="Q3176" t="s">
        <v>126</v>
      </c>
      <c r="R3176" t="s">
        <v>124</v>
      </c>
      <c r="S3176" t="b">
        <v>0</v>
      </c>
      <c r="T3176" t="s">
        <v>124</v>
      </c>
    </row>
    <row r="3177">
      <c r="A3177" t="s">
        <v>5798</v>
      </c>
      <c r="B3177" t="s">
        <v>5789</v>
      </c>
      <c r="C3177" s="2">
        <v>2022</v>
      </c>
      <c r="D3177" s="10">
        <v>3</v>
      </c>
      <c r="E3177" s="10">
        <v>20</v>
      </c>
      <c r="F3177" t="s">
        <v>4591</v>
      </c>
      <c r="G3177">
        <v>531.48000000000002</v>
      </c>
      <c r="H3177" t="s">
        <v>69</v>
      </c>
      <c r="I3177" t="s">
        <v>144</v>
      </c>
      <c r="J3177" s="10" t="str">
        <f>VLOOKUP(I3177,Categories!A:B,2,FALSE)</f>
        <v xml:space="preserve">Family paid</v>
      </c>
      <c r="K3177" t="s">
        <v>747</v>
      </c>
      <c r="L3177" s="10" t="str">
        <f>VLOOKUP(K3177,Accounts!A:B,2,FALSE)</f>
        <v xml:space="preserve">UOB world</v>
      </c>
      <c r="M3177" t="s">
        <v>124</v>
      </c>
      <c r="N3177" s="10"/>
      <c r="O3177" t="s">
        <v>125</v>
      </c>
      <c r="Q3177" t="s">
        <v>126</v>
      </c>
      <c r="R3177" t="s">
        <v>124</v>
      </c>
      <c r="S3177" t="b">
        <v>0</v>
      </c>
      <c r="T3177" t="s">
        <v>124</v>
      </c>
    </row>
    <row r="3178">
      <c r="A3178" t="s">
        <v>5799</v>
      </c>
      <c r="B3178" t="s">
        <v>5789</v>
      </c>
      <c r="C3178" s="2">
        <v>2022</v>
      </c>
      <c r="D3178" s="10">
        <v>3</v>
      </c>
      <c r="E3178" s="10">
        <v>20</v>
      </c>
      <c r="F3178" t="s">
        <v>154</v>
      </c>
      <c r="G3178">
        <v>1243</v>
      </c>
      <c r="H3178" t="s">
        <v>128</v>
      </c>
      <c r="I3178" t="s">
        <v>136</v>
      </c>
      <c r="J3178" s="10" t="str">
        <f>VLOOKUP(I3178,Categories!A:B,2,FALSE)</f>
        <v>อื่นๆ</v>
      </c>
      <c r="K3178" t="s">
        <v>131</v>
      </c>
      <c r="L3178" s="10" t="str">
        <f>VLOOKUP(K3178,Accounts!A:B,2,FALSE)</f>
        <v xml:space="preserve">Advance Paid</v>
      </c>
      <c r="M3178" t="s">
        <v>178</v>
      </c>
      <c r="N3178" s="10" t="str">
        <f>VLOOKUP(M3178,Accounts!A:B,2,FALSE)</f>
        <v>SCB</v>
      </c>
      <c r="O3178" t="s">
        <v>5800</v>
      </c>
      <c r="Q3178" t="s">
        <v>126</v>
      </c>
      <c r="R3178" t="s">
        <v>124</v>
      </c>
      <c r="S3178" t="b">
        <v>0</v>
      </c>
      <c r="T3178" t="s">
        <v>124</v>
      </c>
    </row>
    <row r="3179">
      <c r="A3179" t="s">
        <v>5801</v>
      </c>
      <c r="B3179" t="s">
        <v>5789</v>
      </c>
      <c r="C3179" s="2">
        <v>2022</v>
      </c>
      <c r="D3179" s="10">
        <v>3</v>
      </c>
      <c r="E3179" s="10">
        <v>20</v>
      </c>
      <c r="F3179" t="s">
        <v>5611</v>
      </c>
      <c r="G3179">
        <v>3030.4499999999998</v>
      </c>
      <c r="H3179" t="s">
        <v>128</v>
      </c>
      <c r="I3179" t="s">
        <v>136</v>
      </c>
      <c r="J3179" s="10" t="str">
        <f>VLOOKUP(I3179,Categories!A:B,2,FALSE)</f>
        <v>อื่นๆ</v>
      </c>
      <c r="K3179" t="s">
        <v>178</v>
      </c>
      <c r="L3179" s="10" t="str">
        <f>VLOOKUP(K3179,Accounts!A:B,2,FALSE)</f>
        <v>SCB</v>
      </c>
      <c r="M3179" t="s">
        <v>1308</v>
      </c>
      <c r="N3179" s="10" t="str">
        <f>VLOOKUP(M3179,Accounts!A:B,2,FALSE)</f>
        <v xml:space="preserve">UOB Privilages</v>
      </c>
      <c r="O3179" t="s">
        <v>125</v>
      </c>
      <c r="Q3179" t="s">
        <v>126</v>
      </c>
      <c r="R3179" t="s">
        <v>124</v>
      </c>
      <c r="S3179" t="b">
        <v>0</v>
      </c>
      <c r="T3179" t="s">
        <v>124</v>
      </c>
    </row>
    <row r="3180">
      <c r="A3180" t="s">
        <v>5802</v>
      </c>
      <c r="B3180" t="s">
        <v>5789</v>
      </c>
      <c r="C3180" s="2">
        <v>2022</v>
      </c>
      <c r="D3180" s="10">
        <v>3</v>
      </c>
      <c r="E3180" s="10">
        <v>20</v>
      </c>
      <c r="F3180" t="s">
        <v>3336</v>
      </c>
      <c r="G3180">
        <v>2400</v>
      </c>
      <c r="H3180" t="s">
        <v>69</v>
      </c>
      <c r="I3180" t="s">
        <v>254</v>
      </c>
      <c r="J3180" s="10" t="str">
        <f>VLOOKUP(I3180,Categories!A:B,2,FALSE)</f>
        <v xml:space="preserve">Modified Bal.</v>
      </c>
      <c r="K3180" t="s">
        <v>5803</v>
      </c>
      <c r="L3180" s="10" t="str">
        <f>VLOOKUP(K3180,Accounts!A:B,2,FALSE)</f>
        <v>grabvoucher</v>
      </c>
      <c r="M3180" t="s">
        <v>124</v>
      </c>
      <c r="N3180" s="10"/>
      <c r="O3180" t="s">
        <v>255</v>
      </c>
      <c r="Q3180" t="s">
        <v>126</v>
      </c>
      <c r="R3180" t="s">
        <v>124</v>
      </c>
      <c r="S3180" t="b">
        <v>0</v>
      </c>
      <c r="T3180" t="s">
        <v>124</v>
      </c>
    </row>
    <row r="3181">
      <c r="A3181" t="s">
        <v>5804</v>
      </c>
      <c r="B3181" t="s">
        <v>5789</v>
      </c>
      <c r="C3181" s="2">
        <v>2022</v>
      </c>
      <c r="D3181" s="10">
        <v>3</v>
      </c>
      <c r="E3181" s="10">
        <v>20</v>
      </c>
      <c r="F3181" t="s">
        <v>5805</v>
      </c>
      <c r="G3181">
        <v>124</v>
      </c>
      <c r="H3181" t="s">
        <v>69</v>
      </c>
      <c r="I3181" t="s">
        <v>254</v>
      </c>
      <c r="J3181" s="10" t="str">
        <f>VLOOKUP(I3181,Categories!A:B,2,FALSE)</f>
        <v xml:space="preserve">Modified Bal.</v>
      </c>
      <c r="K3181" t="s">
        <v>5806</v>
      </c>
      <c r="L3181" s="10" t="str">
        <f>VLOOKUP(K3181,Accounts!A:B,2,FALSE)</f>
        <v>Grabpay</v>
      </c>
      <c r="M3181" t="s">
        <v>124</v>
      </c>
      <c r="N3181" s="10"/>
      <c r="O3181" t="s">
        <v>255</v>
      </c>
      <c r="Q3181" t="s">
        <v>126</v>
      </c>
      <c r="R3181" t="s">
        <v>124</v>
      </c>
      <c r="S3181" t="b">
        <v>0</v>
      </c>
      <c r="T3181" t="s">
        <v>124</v>
      </c>
    </row>
    <row r="3182">
      <c r="A3182" t="s">
        <v>5807</v>
      </c>
      <c r="B3182" t="s">
        <v>5789</v>
      </c>
      <c r="C3182" s="2">
        <v>2022</v>
      </c>
      <c r="D3182" s="10">
        <v>3</v>
      </c>
      <c r="E3182" s="10">
        <v>20</v>
      </c>
      <c r="F3182" t="s">
        <v>3503</v>
      </c>
      <c r="G3182">
        <v>100</v>
      </c>
      <c r="H3182" t="s">
        <v>69</v>
      </c>
      <c r="I3182" t="s">
        <v>122</v>
      </c>
      <c r="J3182" s="10" t="str">
        <f>VLOOKUP(I3182,Categories!A:B,2,FALSE)</f>
        <v>Other</v>
      </c>
      <c r="K3182" t="s">
        <v>131</v>
      </c>
      <c r="L3182" s="10" t="str">
        <f>VLOOKUP(K3182,Accounts!A:B,2,FALSE)</f>
        <v xml:space="preserve">Advance Paid</v>
      </c>
      <c r="M3182" t="s">
        <v>124</v>
      </c>
      <c r="N3182" s="10"/>
      <c r="O3182" t="s">
        <v>5808</v>
      </c>
      <c r="Q3182" t="s">
        <v>126</v>
      </c>
      <c r="R3182" t="s">
        <v>124</v>
      </c>
      <c r="S3182" t="b">
        <v>0</v>
      </c>
      <c r="T3182" t="s">
        <v>124</v>
      </c>
    </row>
    <row r="3183">
      <c r="A3183" t="s">
        <v>5809</v>
      </c>
      <c r="B3183" t="s">
        <v>5789</v>
      </c>
      <c r="C3183" s="2">
        <v>2022</v>
      </c>
      <c r="D3183" s="10">
        <v>3</v>
      </c>
      <c r="E3183" s="10">
        <v>20</v>
      </c>
      <c r="F3183" t="s">
        <v>5348</v>
      </c>
      <c r="G3183">
        <v>3400</v>
      </c>
      <c r="H3183" t="s">
        <v>69</v>
      </c>
      <c r="I3183" t="s">
        <v>134</v>
      </c>
      <c r="J3183" s="10" t="str">
        <f>VLOOKUP(I3183,Categories!A:B,2,FALSE)</f>
        <v>Hong</v>
      </c>
      <c r="K3183" t="s">
        <v>131</v>
      </c>
      <c r="L3183" s="10" t="str">
        <f>VLOOKUP(K3183,Accounts!A:B,2,FALSE)</f>
        <v xml:space="preserve">Advance Paid</v>
      </c>
      <c r="M3183" t="s">
        <v>124</v>
      </c>
      <c r="N3183" s="10"/>
      <c r="O3183" t="s">
        <v>5810</v>
      </c>
      <c r="Q3183" t="s">
        <v>126</v>
      </c>
      <c r="R3183" t="s">
        <v>124</v>
      </c>
      <c r="S3183" t="b">
        <v>0</v>
      </c>
      <c r="T3183" t="s">
        <v>124</v>
      </c>
    </row>
    <row r="3184">
      <c r="A3184" t="s">
        <v>5811</v>
      </c>
      <c r="B3184" t="s">
        <v>5789</v>
      </c>
      <c r="C3184" s="2">
        <v>2022</v>
      </c>
      <c r="D3184" s="10">
        <v>3</v>
      </c>
      <c r="E3184" s="10">
        <v>20</v>
      </c>
      <c r="F3184" t="s">
        <v>1132</v>
      </c>
      <c r="G3184">
        <v>6926.1000000000004</v>
      </c>
      <c r="H3184" t="s">
        <v>128</v>
      </c>
      <c r="I3184" t="s">
        <v>136</v>
      </c>
      <c r="J3184" s="10" t="str">
        <f>VLOOKUP(I3184,Categories!A:B,2,FALSE)</f>
        <v>อื่นๆ</v>
      </c>
      <c r="K3184" t="s">
        <v>131</v>
      </c>
      <c r="L3184" s="10" t="str">
        <f>VLOOKUP(K3184,Accounts!A:B,2,FALSE)</f>
        <v xml:space="preserve">Advance Paid</v>
      </c>
      <c r="M3184" t="s">
        <v>178</v>
      </c>
      <c r="N3184" s="10" t="str">
        <f>VLOOKUP(M3184,Accounts!A:B,2,FALSE)</f>
        <v>SCB</v>
      </c>
      <c r="O3184" t="s">
        <v>125</v>
      </c>
      <c r="Q3184" t="s">
        <v>126</v>
      </c>
      <c r="R3184" t="s">
        <v>124</v>
      </c>
      <c r="S3184" t="b">
        <v>0</v>
      </c>
      <c r="T3184" t="s">
        <v>124</v>
      </c>
    </row>
    <row r="3185">
      <c r="A3185" t="s">
        <v>5812</v>
      </c>
      <c r="B3185" t="s">
        <v>5813</v>
      </c>
      <c r="C3185" s="2">
        <v>2022</v>
      </c>
      <c r="D3185" s="10">
        <v>3</v>
      </c>
      <c r="E3185" s="10">
        <v>19</v>
      </c>
      <c r="F3185" t="s">
        <v>3282</v>
      </c>
      <c r="G3185">
        <v>44</v>
      </c>
      <c r="H3185" t="s">
        <v>69</v>
      </c>
      <c r="I3185" t="s">
        <v>1508</v>
      </c>
      <c r="J3185" s="10" t="str">
        <f>VLOOKUP(I3185,Categories!A:B,2,FALSE)</f>
        <v>Other</v>
      </c>
      <c r="K3185" t="s">
        <v>178</v>
      </c>
      <c r="L3185" s="10" t="str">
        <f>VLOOKUP(K3185,Accounts!A:B,2,FALSE)</f>
        <v>SCB</v>
      </c>
      <c r="M3185" t="s">
        <v>124</v>
      </c>
      <c r="N3185" s="10"/>
      <c r="O3185" t="s">
        <v>125</v>
      </c>
      <c r="Q3185" t="s">
        <v>126</v>
      </c>
      <c r="R3185" t="s">
        <v>124</v>
      </c>
      <c r="S3185" t="b">
        <v>0</v>
      </c>
      <c r="T3185" t="s">
        <v>124</v>
      </c>
    </row>
    <row r="3186">
      <c r="A3186" t="s">
        <v>5814</v>
      </c>
      <c r="B3186" t="s">
        <v>5813</v>
      </c>
      <c r="C3186" s="2">
        <v>2022</v>
      </c>
      <c r="D3186" s="10">
        <v>3</v>
      </c>
      <c r="E3186" s="10">
        <v>19</v>
      </c>
      <c r="F3186" t="s">
        <v>1335</v>
      </c>
      <c r="G3186">
        <v>2000</v>
      </c>
      <c r="H3186" t="s">
        <v>128</v>
      </c>
      <c r="I3186" t="s">
        <v>136</v>
      </c>
      <c r="J3186" s="10" t="str">
        <f>VLOOKUP(I3186,Categories!A:B,2,FALSE)</f>
        <v>อื่นๆ</v>
      </c>
      <c r="K3186" t="s">
        <v>178</v>
      </c>
      <c r="L3186" s="10" t="str">
        <f>VLOOKUP(K3186,Accounts!A:B,2,FALSE)</f>
        <v>SCB</v>
      </c>
      <c r="M3186" t="s">
        <v>425</v>
      </c>
      <c r="N3186" s="10" t="str">
        <f>VLOOKUP(M3186,Accounts!A:B,2,FALSE)</f>
        <v>Cash</v>
      </c>
      <c r="O3186" t="s">
        <v>125</v>
      </c>
      <c r="Q3186" t="s">
        <v>126</v>
      </c>
      <c r="R3186" t="s">
        <v>124</v>
      </c>
      <c r="S3186" t="b">
        <v>0</v>
      </c>
      <c r="T3186" t="s">
        <v>124</v>
      </c>
    </row>
    <row r="3187">
      <c r="A3187" t="s">
        <v>5815</v>
      </c>
      <c r="B3187" t="s">
        <v>5813</v>
      </c>
      <c r="C3187" s="2">
        <v>2022</v>
      </c>
      <c r="D3187" s="10">
        <v>3</v>
      </c>
      <c r="E3187" s="10">
        <v>19</v>
      </c>
      <c r="F3187" t="s">
        <v>599</v>
      </c>
      <c r="G3187">
        <v>300</v>
      </c>
      <c r="H3187" t="s">
        <v>128</v>
      </c>
      <c r="I3187" t="s">
        <v>136</v>
      </c>
      <c r="J3187" s="10" t="str">
        <f>VLOOKUP(I3187,Categories!A:B,2,FALSE)</f>
        <v>อื่นๆ</v>
      </c>
      <c r="K3187" t="s">
        <v>178</v>
      </c>
      <c r="L3187" s="10" t="str">
        <f>VLOOKUP(K3187,Accounts!A:B,2,FALSE)</f>
        <v>SCB</v>
      </c>
      <c r="M3187" t="s">
        <v>893</v>
      </c>
      <c r="N3187" s="10" t="str">
        <f>VLOOKUP(M3187,Accounts!A:B,2,FALSE)</f>
        <v>Shopee</v>
      </c>
      <c r="O3187" t="s">
        <v>125</v>
      </c>
      <c r="Q3187" t="s">
        <v>126</v>
      </c>
      <c r="R3187" t="s">
        <v>124</v>
      </c>
      <c r="S3187" t="b">
        <v>0</v>
      </c>
      <c r="T3187" t="s">
        <v>124</v>
      </c>
    </row>
    <row r="3188">
      <c r="A3188" t="s">
        <v>5816</v>
      </c>
      <c r="B3188" t="s">
        <v>5813</v>
      </c>
      <c r="C3188" s="2">
        <v>2022</v>
      </c>
      <c r="D3188" s="10">
        <v>3</v>
      </c>
      <c r="E3188" s="10">
        <v>19</v>
      </c>
      <c r="F3188" t="s">
        <v>332</v>
      </c>
      <c r="G3188">
        <v>20</v>
      </c>
      <c r="H3188" t="s">
        <v>69</v>
      </c>
      <c r="I3188" t="s">
        <v>1508</v>
      </c>
      <c r="J3188" s="10" t="str">
        <f>VLOOKUP(I3188,Categories!A:B,2,FALSE)</f>
        <v>Other</v>
      </c>
      <c r="K3188" t="s">
        <v>178</v>
      </c>
      <c r="L3188" s="10" t="str">
        <f>VLOOKUP(K3188,Accounts!A:B,2,FALSE)</f>
        <v>SCB</v>
      </c>
      <c r="M3188" t="s">
        <v>124</v>
      </c>
      <c r="N3188" s="10"/>
      <c r="O3188" t="s">
        <v>125</v>
      </c>
      <c r="Q3188" t="s">
        <v>126</v>
      </c>
      <c r="R3188" t="s">
        <v>124</v>
      </c>
      <c r="S3188" t="b">
        <v>0</v>
      </c>
      <c r="T3188" t="s">
        <v>124</v>
      </c>
    </row>
    <row r="3189">
      <c r="A3189" t="s">
        <v>5817</v>
      </c>
      <c r="B3189" t="s">
        <v>5813</v>
      </c>
      <c r="C3189" s="2">
        <v>2022</v>
      </c>
      <c r="D3189" s="10">
        <v>3</v>
      </c>
      <c r="E3189" s="10">
        <v>19</v>
      </c>
      <c r="F3189" t="s">
        <v>3185</v>
      </c>
      <c r="G3189">
        <v>1318</v>
      </c>
      <c r="H3189" t="s">
        <v>128</v>
      </c>
      <c r="I3189" t="s">
        <v>136</v>
      </c>
      <c r="J3189" s="10" t="str">
        <f>VLOOKUP(I3189,Categories!A:B,2,FALSE)</f>
        <v>อื่นๆ</v>
      </c>
      <c r="K3189" t="s">
        <v>130</v>
      </c>
      <c r="L3189" s="10" t="str">
        <f>VLOOKUP(K3189,Accounts!A:B,2,FALSE)</f>
        <v xml:space="preserve">KTC JCB</v>
      </c>
      <c r="M3189" t="s">
        <v>131</v>
      </c>
      <c r="N3189" s="10" t="str">
        <f>VLOOKUP(M3189,Accounts!A:B,2,FALSE)</f>
        <v xml:space="preserve">Advance Paid</v>
      </c>
      <c r="O3189" t="s">
        <v>4235</v>
      </c>
      <c r="Q3189" t="s">
        <v>126</v>
      </c>
      <c r="R3189" t="s">
        <v>124</v>
      </c>
      <c r="S3189" t="b">
        <v>0</v>
      </c>
      <c r="T3189" t="s">
        <v>124</v>
      </c>
    </row>
    <row r="3190">
      <c r="A3190" t="s">
        <v>5818</v>
      </c>
      <c r="B3190" t="s">
        <v>5813</v>
      </c>
      <c r="C3190" s="2">
        <v>2022</v>
      </c>
      <c r="D3190" s="10">
        <v>3</v>
      </c>
      <c r="E3190" s="10">
        <v>19</v>
      </c>
      <c r="F3190" t="s">
        <v>1030</v>
      </c>
      <c r="G3190">
        <v>130</v>
      </c>
      <c r="H3190" t="s">
        <v>128</v>
      </c>
      <c r="I3190" t="s">
        <v>136</v>
      </c>
      <c r="J3190" s="10" t="str">
        <f>VLOOKUP(I3190,Categories!A:B,2,FALSE)</f>
        <v>อื่นๆ</v>
      </c>
      <c r="K3190" t="s">
        <v>893</v>
      </c>
      <c r="L3190" s="10" t="str">
        <f>VLOOKUP(K3190,Accounts!A:B,2,FALSE)</f>
        <v>Shopee</v>
      </c>
      <c r="M3190" t="s">
        <v>131</v>
      </c>
      <c r="N3190" s="10" t="str">
        <f>VLOOKUP(M3190,Accounts!A:B,2,FALSE)</f>
        <v xml:space="preserve">Advance Paid</v>
      </c>
      <c r="O3190" t="s">
        <v>5819</v>
      </c>
      <c r="Q3190" t="s">
        <v>126</v>
      </c>
      <c r="R3190" t="s">
        <v>124</v>
      </c>
      <c r="S3190" t="b">
        <v>0</v>
      </c>
      <c r="T3190" t="s">
        <v>124</v>
      </c>
    </row>
    <row r="3191">
      <c r="A3191" t="s">
        <v>5820</v>
      </c>
      <c r="B3191" t="s">
        <v>5813</v>
      </c>
      <c r="C3191" s="2">
        <v>2022</v>
      </c>
      <c r="D3191" s="10">
        <v>3</v>
      </c>
      <c r="E3191" s="10">
        <v>19</v>
      </c>
      <c r="F3191" t="s">
        <v>159</v>
      </c>
      <c r="G3191">
        <v>2786.5500000000002</v>
      </c>
      <c r="H3191" t="s">
        <v>69</v>
      </c>
      <c r="I3191" t="s">
        <v>1508</v>
      </c>
      <c r="J3191" s="10" t="str">
        <f>VLOOKUP(I3191,Categories!A:B,2,FALSE)</f>
        <v>Other</v>
      </c>
      <c r="K3191" t="s">
        <v>1308</v>
      </c>
      <c r="L3191" s="10" t="str">
        <f>VLOOKUP(K3191,Accounts!A:B,2,FALSE)</f>
        <v xml:space="preserve">UOB Privilages</v>
      </c>
      <c r="M3191" t="s">
        <v>124</v>
      </c>
      <c r="N3191" s="10"/>
      <c r="O3191" t="s">
        <v>125</v>
      </c>
      <c r="Q3191" t="s">
        <v>126</v>
      </c>
      <c r="R3191" t="s">
        <v>124</v>
      </c>
      <c r="S3191" t="b">
        <v>0</v>
      </c>
      <c r="T3191" t="s">
        <v>124</v>
      </c>
    </row>
    <row r="3192">
      <c r="A3192" t="s">
        <v>5821</v>
      </c>
      <c r="B3192" t="s">
        <v>5813</v>
      </c>
      <c r="C3192" s="2">
        <v>2022</v>
      </c>
      <c r="D3192" s="10">
        <v>3</v>
      </c>
      <c r="E3192" s="10">
        <v>19</v>
      </c>
      <c r="F3192" t="s">
        <v>2307</v>
      </c>
      <c r="G3192">
        <v>90</v>
      </c>
      <c r="H3192" t="s">
        <v>128</v>
      </c>
      <c r="I3192" t="s">
        <v>136</v>
      </c>
      <c r="J3192" s="10" t="str">
        <f>VLOOKUP(I3192,Categories!A:B,2,FALSE)</f>
        <v>อื่นๆ</v>
      </c>
      <c r="K3192" t="s">
        <v>131</v>
      </c>
      <c r="L3192" s="10" t="str">
        <f>VLOOKUP(K3192,Accounts!A:B,2,FALSE)</f>
        <v xml:space="preserve">Advance Paid</v>
      </c>
      <c r="M3192" t="s">
        <v>178</v>
      </c>
      <c r="N3192" s="10" t="str">
        <f>VLOOKUP(M3192,Accounts!A:B,2,FALSE)</f>
        <v>SCB</v>
      </c>
      <c r="O3192" t="s">
        <v>5822</v>
      </c>
      <c r="Q3192" t="s">
        <v>126</v>
      </c>
      <c r="R3192" t="s">
        <v>124</v>
      </c>
      <c r="S3192" t="b">
        <v>0</v>
      </c>
      <c r="T3192" t="s">
        <v>124</v>
      </c>
    </row>
    <row r="3193">
      <c r="A3193" t="s">
        <v>5823</v>
      </c>
      <c r="B3193" t="s">
        <v>5813</v>
      </c>
      <c r="C3193" s="2">
        <v>2022</v>
      </c>
      <c r="D3193" s="10">
        <v>3</v>
      </c>
      <c r="E3193" s="10">
        <v>19</v>
      </c>
      <c r="F3193" t="s">
        <v>647</v>
      </c>
      <c r="G3193">
        <v>340</v>
      </c>
      <c r="H3193" t="s">
        <v>128</v>
      </c>
      <c r="I3193" t="s">
        <v>136</v>
      </c>
      <c r="J3193" s="10" t="str">
        <f>VLOOKUP(I3193,Categories!A:B,2,FALSE)</f>
        <v>อื่นๆ</v>
      </c>
      <c r="K3193" t="s">
        <v>131</v>
      </c>
      <c r="L3193" s="10" t="str">
        <f>VLOOKUP(K3193,Accounts!A:B,2,FALSE)</f>
        <v xml:space="preserve">Advance Paid</v>
      </c>
      <c r="M3193" t="s">
        <v>178</v>
      </c>
      <c r="N3193" s="10" t="str">
        <f>VLOOKUP(M3193,Accounts!A:B,2,FALSE)</f>
        <v>SCB</v>
      </c>
      <c r="O3193" t="s">
        <v>125</v>
      </c>
      <c r="Q3193" t="s">
        <v>126</v>
      </c>
      <c r="R3193" t="s">
        <v>124</v>
      </c>
      <c r="S3193" t="b">
        <v>0</v>
      </c>
      <c r="T3193" t="s">
        <v>124</v>
      </c>
    </row>
    <row r="3194">
      <c r="A3194" t="s">
        <v>5824</v>
      </c>
      <c r="B3194" t="s">
        <v>5813</v>
      </c>
      <c r="C3194" s="2">
        <v>2022</v>
      </c>
      <c r="D3194" s="10">
        <v>3</v>
      </c>
      <c r="E3194" s="10">
        <v>19</v>
      </c>
      <c r="F3194" t="s">
        <v>4422</v>
      </c>
      <c r="G3194">
        <v>133</v>
      </c>
      <c r="H3194" t="s">
        <v>128</v>
      </c>
      <c r="I3194" t="s">
        <v>136</v>
      </c>
      <c r="J3194" s="10" t="str">
        <f>VLOOKUP(I3194,Categories!A:B,2,FALSE)</f>
        <v>อื่นๆ</v>
      </c>
      <c r="K3194" t="s">
        <v>131</v>
      </c>
      <c r="L3194" s="10" t="str">
        <f>VLOOKUP(K3194,Accounts!A:B,2,FALSE)</f>
        <v xml:space="preserve">Advance Paid</v>
      </c>
      <c r="M3194" t="s">
        <v>178</v>
      </c>
      <c r="N3194" s="10" t="str">
        <f>VLOOKUP(M3194,Accounts!A:B,2,FALSE)</f>
        <v>SCB</v>
      </c>
      <c r="O3194" t="s">
        <v>125</v>
      </c>
      <c r="Q3194" t="s">
        <v>126</v>
      </c>
      <c r="R3194" t="s">
        <v>124</v>
      </c>
      <c r="S3194" t="b">
        <v>0</v>
      </c>
      <c r="T3194" t="s">
        <v>124</v>
      </c>
    </row>
    <row r="3195">
      <c r="A3195" t="s">
        <v>5825</v>
      </c>
      <c r="B3195" t="s">
        <v>5813</v>
      </c>
      <c r="C3195" s="2">
        <v>2022</v>
      </c>
      <c r="D3195" s="10">
        <v>3</v>
      </c>
      <c r="E3195" s="10">
        <v>19</v>
      </c>
      <c r="F3195" t="s">
        <v>3271</v>
      </c>
      <c r="G3195">
        <v>124</v>
      </c>
      <c r="H3195" t="s">
        <v>206</v>
      </c>
      <c r="I3195" t="s">
        <v>281</v>
      </c>
      <c r="J3195" s="10" t="str">
        <f>VLOOKUP(I3195,Categories!A:B,2,FALSE)</f>
        <v>Others</v>
      </c>
      <c r="K3195" t="s">
        <v>178</v>
      </c>
      <c r="L3195" s="10" t="str">
        <f>VLOOKUP(K3195,Accounts!A:B,2,FALSE)</f>
        <v>SCB</v>
      </c>
      <c r="M3195" t="s">
        <v>124</v>
      </c>
      <c r="N3195" s="10"/>
      <c r="O3195" t="s">
        <v>5826</v>
      </c>
      <c r="Q3195" t="s">
        <v>126</v>
      </c>
      <c r="R3195" t="s">
        <v>124</v>
      </c>
      <c r="S3195" t="b">
        <v>0</v>
      </c>
      <c r="T3195" t="s">
        <v>124</v>
      </c>
    </row>
    <row r="3196">
      <c r="A3196" t="s">
        <v>5827</v>
      </c>
      <c r="B3196" t="s">
        <v>5813</v>
      </c>
      <c r="C3196" s="2">
        <v>2022</v>
      </c>
      <c r="D3196" s="10">
        <v>3</v>
      </c>
      <c r="E3196" s="10">
        <v>19</v>
      </c>
      <c r="F3196" t="s">
        <v>1396</v>
      </c>
      <c r="G3196">
        <v>50</v>
      </c>
      <c r="H3196" t="s">
        <v>128</v>
      </c>
      <c r="I3196" t="s">
        <v>136</v>
      </c>
      <c r="J3196" s="10" t="str">
        <f>VLOOKUP(I3196,Categories!A:B,2,FALSE)</f>
        <v>อื่นๆ</v>
      </c>
      <c r="K3196" t="s">
        <v>131</v>
      </c>
      <c r="L3196" s="10" t="str">
        <f>VLOOKUP(K3196,Accounts!A:B,2,FALSE)</f>
        <v xml:space="preserve">Advance Paid</v>
      </c>
      <c r="M3196" t="s">
        <v>178</v>
      </c>
      <c r="N3196" s="10" t="str">
        <f>VLOOKUP(M3196,Accounts!A:B,2,FALSE)</f>
        <v>SCB</v>
      </c>
      <c r="O3196" t="s">
        <v>125</v>
      </c>
      <c r="Q3196" t="s">
        <v>126</v>
      </c>
      <c r="R3196" t="s">
        <v>124</v>
      </c>
      <c r="S3196" t="b">
        <v>0</v>
      </c>
      <c r="T3196" t="s">
        <v>124</v>
      </c>
    </row>
    <row r="3197">
      <c r="A3197" t="s">
        <v>5828</v>
      </c>
      <c r="B3197" t="s">
        <v>5829</v>
      </c>
      <c r="C3197" s="2">
        <v>2022</v>
      </c>
      <c r="D3197" s="10">
        <v>3</v>
      </c>
      <c r="E3197" s="10">
        <v>18</v>
      </c>
      <c r="F3197" t="s">
        <v>1097</v>
      </c>
      <c r="G3197">
        <v>1080</v>
      </c>
      <c r="H3197" t="s">
        <v>69</v>
      </c>
      <c r="I3197" t="s">
        <v>259</v>
      </c>
      <c r="J3197" s="10" t="str">
        <f>VLOOKUP(I3197,Categories!A:B,2,FALSE)</f>
        <v xml:space="preserve">Team BOT</v>
      </c>
      <c r="K3197" t="s">
        <v>425</v>
      </c>
      <c r="L3197" s="10" t="str">
        <f>VLOOKUP(K3197,Accounts!A:B,2,FALSE)</f>
        <v>Cash</v>
      </c>
      <c r="M3197" t="s">
        <v>124</v>
      </c>
      <c r="N3197" s="10"/>
      <c r="O3197" t="s">
        <v>125</v>
      </c>
      <c r="Q3197" t="s">
        <v>126</v>
      </c>
      <c r="R3197" t="s">
        <v>124</v>
      </c>
      <c r="S3197" t="b">
        <v>0</v>
      </c>
      <c r="T3197" t="s">
        <v>124</v>
      </c>
    </row>
    <row r="3198">
      <c r="A3198" t="s">
        <v>5830</v>
      </c>
      <c r="B3198" t="s">
        <v>5829</v>
      </c>
      <c r="C3198" s="2">
        <v>2022</v>
      </c>
      <c r="D3198" s="10">
        <v>3</v>
      </c>
      <c r="E3198" s="10">
        <v>18</v>
      </c>
      <c r="F3198" t="s">
        <v>1066</v>
      </c>
      <c r="G3198">
        <v>250</v>
      </c>
      <c r="H3198" t="s">
        <v>69</v>
      </c>
      <c r="I3198" t="s">
        <v>259</v>
      </c>
      <c r="J3198" s="10" t="str">
        <f>VLOOKUP(I3198,Categories!A:B,2,FALSE)</f>
        <v xml:space="preserve">Team BOT</v>
      </c>
      <c r="K3198" t="s">
        <v>178</v>
      </c>
      <c r="L3198" s="10" t="str">
        <f>VLOOKUP(K3198,Accounts!A:B,2,FALSE)</f>
        <v>SCB</v>
      </c>
      <c r="M3198" t="s">
        <v>124</v>
      </c>
      <c r="N3198" s="10"/>
      <c r="O3198" t="s">
        <v>125</v>
      </c>
      <c r="Q3198" t="s">
        <v>126</v>
      </c>
      <c r="R3198" t="s">
        <v>124</v>
      </c>
      <c r="S3198" t="b">
        <v>0</v>
      </c>
      <c r="T3198" t="s">
        <v>124</v>
      </c>
    </row>
    <row r="3199">
      <c r="A3199" t="s">
        <v>5831</v>
      </c>
      <c r="B3199" t="s">
        <v>5829</v>
      </c>
      <c r="C3199" s="2">
        <v>2022</v>
      </c>
      <c r="D3199" s="10">
        <v>3</v>
      </c>
      <c r="E3199" s="10">
        <v>18</v>
      </c>
      <c r="F3199" t="s">
        <v>5496</v>
      </c>
      <c r="G3199">
        <v>942.58000000000004</v>
      </c>
      <c r="H3199" t="s">
        <v>69</v>
      </c>
      <c r="I3199" t="s">
        <v>1508</v>
      </c>
      <c r="J3199" s="10" t="str">
        <f>VLOOKUP(I3199,Categories!A:B,2,FALSE)</f>
        <v>Other</v>
      </c>
      <c r="K3199" t="s">
        <v>743</v>
      </c>
      <c r="L3199" s="10" t="str">
        <f>VLOOKUP(K3199,Accounts!A:B,2,FALSE)</f>
        <v>HOMEPRO</v>
      </c>
      <c r="M3199" t="s">
        <v>124</v>
      </c>
      <c r="N3199" s="10"/>
      <c r="O3199" t="s">
        <v>5832</v>
      </c>
      <c r="Q3199" t="s">
        <v>126</v>
      </c>
      <c r="R3199" t="s">
        <v>124</v>
      </c>
      <c r="S3199" t="b">
        <v>0</v>
      </c>
      <c r="T3199" t="s">
        <v>124</v>
      </c>
    </row>
    <row r="3200">
      <c r="A3200" t="s">
        <v>5833</v>
      </c>
      <c r="B3200" t="s">
        <v>5829</v>
      </c>
      <c r="C3200" s="2">
        <v>2022</v>
      </c>
      <c r="D3200" s="10">
        <v>3</v>
      </c>
      <c r="E3200" s="10">
        <v>18</v>
      </c>
      <c r="F3200" t="s">
        <v>2267</v>
      </c>
      <c r="G3200">
        <v>125</v>
      </c>
      <c r="H3200" t="s">
        <v>128</v>
      </c>
      <c r="I3200" t="s">
        <v>136</v>
      </c>
      <c r="J3200" s="10" t="str">
        <f>VLOOKUP(I3200,Categories!A:B,2,FALSE)</f>
        <v>อื่นๆ</v>
      </c>
      <c r="K3200" t="s">
        <v>893</v>
      </c>
      <c r="L3200" s="10" t="str">
        <f>VLOOKUP(K3200,Accounts!A:B,2,FALSE)</f>
        <v>Shopee</v>
      </c>
      <c r="M3200" t="s">
        <v>131</v>
      </c>
      <c r="N3200" s="10" t="str">
        <f>VLOOKUP(M3200,Accounts!A:B,2,FALSE)</f>
        <v xml:space="preserve">Advance Paid</v>
      </c>
      <c r="O3200" t="s">
        <v>5834</v>
      </c>
      <c r="Q3200" t="s">
        <v>126</v>
      </c>
      <c r="R3200" t="s">
        <v>124</v>
      </c>
      <c r="S3200" t="b">
        <v>0</v>
      </c>
      <c r="T3200" t="s">
        <v>124</v>
      </c>
    </row>
    <row r="3201">
      <c r="A3201" t="s">
        <v>5835</v>
      </c>
      <c r="B3201" t="s">
        <v>5829</v>
      </c>
      <c r="C3201" s="2">
        <v>2022</v>
      </c>
      <c r="D3201" s="10">
        <v>3</v>
      </c>
      <c r="E3201" s="10">
        <v>18</v>
      </c>
      <c r="F3201" t="s">
        <v>843</v>
      </c>
      <c r="G3201">
        <v>199</v>
      </c>
      <c r="H3201" t="s">
        <v>128</v>
      </c>
      <c r="I3201" t="s">
        <v>136</v>
      </c>
      <c r="J3201" s="10" t="str">
        <f>VLOOKUP(I3201,Categories!A:B,2,FALSE)</f>
        <v>อื่นๆ</v>
      </c>
      <c r="K3201" t="s">
        <v>130</v>
      </c>
      <c r="L3201" s="10" t="str">
        <f>VLOOKUP(K3201,Accounts!A:B,2,FALSE)</f>
        <v xml:space="preserve">KTC JCB</v>
      </c>
      <c r="M3201" t="s">
        <v>131</v>
      </c>
      <c r="N3201" s="10" t="str">
        <f>VLOOKUP(M3201,Accounts!A:B,2,FALSE)</f>
        <v xml:space="preserve">Advance Paid</v>
      </c>
      <c r="O3201" t="s">
        <v>5836</v>
      </c>
      <c r="Q3201" t="s">
        <v>126</v>
      </c>
      <c r="R3201" t="s">
        <v>124</v>
      </c>
      <c r="S3201" t="b">
        <v>0</v>
      </c>
      <c r="T3201" t="s">
        <v>124</v>
      </c>
    </row>
    <row r="3202">
      <c r="A3202" t="s">
        <v>5837</v>
      </c>
      <c r="B3202" t="s">
        <v>5829</v>
      </c>
      <c r="C3202" s="2">
        <v>2022</v>
      </c>
      <c r="D3202" s="10">
        <v>3</v>
      </c>
      <c r="E3202" s="10">
        <v>18</v>
      </c>
      <c r="F3202" t="s">
        <v>4163</v>
      </c>
      <c r="G3202">
        <v>2000</v>
      </c>
      <c r="H3202" t="s">
        <v>128</v>
      </c>
      <c r="I3202" t="s">
        <v>136</v>
      </c>
      <c r="J3202" s="10" t="str">
        <f>VLOOKUP(I3202,Categories!A:B,2,FALSE)</f>
        <v>อื่นๆ</v>
      </c>
      <c r="K3202" t="s">
        <v>178</v>
      </c>
      <c r="L3202" s="10" t="str">
        <f>VLOOKUP(K3202,Accounts!A:B,2,FALSE)</f>
        <v>SCB</v>
      </c>
      <c r="M3202" t="s">
        <v>213</v>
      </c>
      <c r="N3202" s="10" t="str">
        <f>VLOOKUP(M3202,Accounts!A:B,2,FALSE)</f>
        <v xml:space="preserve">Krungthai Next</v>
      </c>
      <c r="O3202" t="s">
        <v>125</v>
      </c>
      <c r="Q3202" t="s">
        <v>126</v>
      </c>
      <c r="R3202" t="s">
        <v>124</v>
      </c>
      <c r="S3202" t="b">
        <v>0</v>
      </c>
      <c r="T3202" t="s">
        <v>124</v>
      </c>
    </row>
    <row r="3203">
      <c r="A3203" t="s">
        <v>5838</v>
      </c>
      <c r="B3203" t="s">
        <v>5839</v>
      </c>
      <c r="C3203" s="2">
        <v>2022</v>
      </c>
      <c r="D3203" s="10">
        <v>3</v>
      </c>
      <c r="E3203" s="10">
        <v>17</v>
      </c>
      <c r="F3203" t="s">
        <v>1452</v>
      </c>
      <c r="G3203">
        <v>120.2</v>
      </c>
      <c r="H3203" t="s">
        <v>128</v>
      </c>
      <c r="I3203" t="s">
        <v>136</v>
      </c>
      <c r="J3203" s="10" t="str">
        <f>VLOOKUP(I3203,Categories!A:B,2,FALSE)</f>
        <v>อื่นๆ</v>
      </c>
      <c r="K3203" t="s">
        <v>178</v>
      </c>
      <c r="L3203" s="10" t="str">
        <f>VLOOKUP(K3203,Accounts!A:B,2,FALSE)</f>
        <v>SCB</v>
      </c>
      <c r="M3203" t="s">
        <v>131</v>
      </c>
      <c r="N3203" s="10" t="str">
        <f>VLOOKUP(M3203,Accounts!A:B,2,FALSE)</f>
        <v xml:space="preserve">Advance Paid</v>
      </c>
      <c r="O3203" t="s">
        <v>125</v>
      </c>
      <c r="Q3203" t="s">
        <v>126</v>
      </c>
      <c r="R3203" t="s">
        <v>124</v>
      </c>
      <c r="S3203" t="b">
        <v>0</v>
      </c>
      <c r="T3203" t="s">
        <v>124</v>
      </c>
    </row>
    <row r="3204">
      <c r="A3204" t="s">
        <v>5840</v>
      </c>
      <c r="B3204" t="s">
        <v>5839</v>
      </c>
      <c r="C3204" s="2">
        <v>2022</v>
      </c>
      <c r="D3204" s="10">
        <v>3</v>
      </c>
      <c r="E3204" s="10">
        <v>17</v>
      </c>
      <c r="F3204" t="s">
        <v>794</v>
      </c>
      <c r="G3204">
        <v>400</v>
      </c>
      <c r="H3204" t="s">
        <v>128</v>
      </c>
      <c r="I3204" t="s">
        <v>136</v>
      </c>
      <c r="J3204" s="10" t="str">
        <f>VLOOKUP(I3204,Categories!A:B,2,FALSE)</f>
        <v>อื่นๆ</v>
      </c>
      <c r="K3204" t="s">
        <v>178</v>
      </c>
      <c r="L3204" s="10" t="str">
        <f>VLOOKUP(K3204,Accounts!A:B,2,FALSE)</f>
        <v>SCB</v>
      </c>
      <c r="M3204" t="s">
        <v>5806</v>
      </c>
      <c r="N3204" s="10" t="str">
        <f>VLOOKUP(M3204,Accounts!A:B,2,FALSE)</f>
        <v>Grabpay</v>
      </c>
      <c r="O3204" t="s">
        <v>125</v>
      </c>
      <c r="Q3204" t="s">
        <v>126</v>
      </c>
      <c r="R3204" t="s">
        <v>124</v>
      </c>
      <c r="S3204" t="b">
        <v>0</v>
      </c>
      <c r="T3204" t="s">
        <v>124</v>
      </c>
    </row>
    <row r="3205">
      <c r="A3205" t="s">
        <v>5841</v>
      </c>
      <c r="B3205" t="s">
        <v>5839</v>
      </c>
      <c r="C3205" s="2">
        <v>2022</v>
      </c>
      <c r="D3205" s="10">
        <v>3</v>
      </c>
      <c r="E3205" s="10">
        <v>17</v>
      </c>
      <c r="F3205" t="s">
        <v>4167</v>
      </c>
      <c r="G3205">
        <v>325</v>
      </c>
      <c r="H3205" t="s">
        <v>69</v>
      </c>
      <c r="I3205" t="s">
        <v>150</v>
      </c>
      <c r="J3205" s="10" t="str">
        <f>VLOOKUP(I3205,Categories!A:B,2,FALSE)</f>
        <v xml:space="preserve">Food &amp; Coff</v>
      </c>
      <c r="K3205" t="s">
        <v>130</v>
      </c>
      <c r="L3205" s="10" t="str">
        <f>VLOOKUP(K3205,Accounts!A:B,2,FALSE)</f>
        <v xml:space="preserve">KTC JCB</v>
      </c>
      <c r="M3205" t="s">
        <v>124</v>
      </c>
      <c r="N3205" s="10"/>
      <c r="O3205" t="s">
        <v>5842</v>
      </c>
      <c r="Q3205" t="s">
        <v>126</v>
      </c>
      <c r="R3205" t="s">
        <v>124</v>
      </c>
      <c r="S3205" t="b">
        <v>0</v>
      </c>
      <c r="T3205" t="s">
        <v>124</v>
      </c>
    </row>
    <row r="3206">
      <c r="A3206" t="s">
        <v>5843</v>
      </c>
      <c r="B3206" t="s">
        <v>5844</v>
      </c>
      <c r="C3206" s="2">
        <v>2022</v>
      </c>
      <c r="D3206" s="10">
        <v>3</v>
      </c>
      <c r="E3206" s="10">
        <v>16</v>
      </c>
      <c r="F3206" t="s">
        <v>4577</v>
      </c>
      <c r="G3206">
        <v>815</v>
      </c>
      <c r="H3206" t="s">
        <v>128</v>
      </c>
      <c r="I3206" t="s">
        <v>136</v>
      </c>
      <c r="J3206" s="10" t="str">
        <f>VLOOKUP(I3206,Categories!A:B,2,FALSE)</f>
        <v>อื่นๆ</v>
      </c>
      <c r="K3206" t="s">
        <v>131</v>
      </c>
      <c r="L3206" s="10" t="str">
        <f>VLOOKUP(K3206,Accounts!A:B,2,FALSE)</f>
        <v xml:space="preserve">Advance Paid</v>
      </c>
      <c r="M3206" t="s">
        <v>178</v>
      </c>
      <c r="N3206" s="10" t="str">
        <f>VLOOKUP(M3206,Accounts!A:B,2,FALSE)</f>
        <v>SCB</v>
      </c>
      <c r="O3206" t="s">
        <v>5845</v>
      </c>
      <c r="Q3206" t="s">
        <v>126</v>
      </c>
      <c r="R3206" t="s">
        <v>124</v>
      </c>
      <c r="S3206" t="b">
        <v>0</v>
      </c>
      <c r="T3206" t="s">
        <v>124</v>
      </c>
    </row>
    <row r="3207">
      <c r="A3207" t="s">
        <v>5846</v>
      </c>
      <c r="B3207" t="s">
        <v>5847</v>
      </c>
      <c r="C3207" s="2">
        <v>2022</v>
      </c>
      <c r="D3207" s="10">
        <v>3</v>
      </c>
      <c r="E3207" s="10">
        <v>15</v>
      </c>
      <c r="F3207" t="s">
        <v>597</v>
      </c>
      <c r="G3207">
        <v>105</v>
      </c>
      <c r="H3207" t="s">
        <v>69</v>
      </c>
      <c r="I3207" t="s">
        <v>150</v>
      </c>
      <c r="J3207" s="10" t="str">
        <f>VLOOKUP(I3207,Categories!A:B,2,FALSE)</f>
        <v xml:space="preserve">Food &amp; Coff</v>
      </c>
      <c r="K3207" t="s">
        <v>178</v>
      </c>
      <c r="L3207" s="10" t="str">
        <f>VLOOKUP(K3207,Accounts!A:B,2,FALSE)</f>
        <v>SCB</v>
      </c>
      <c r="M3207" t="s">
        <v>124</v>
      </c>
      <c r="N3207" s="10"/>
      <c r="O3207" t="s">
        <v>125</v>
      </c>
      <c r="Q3207" t="s">
        <v>126</v>
      </c>
      <c r="R3207" t="s">
        <v>124</v>
      </c>
      <c r="S3207" t="b">
        <v>0</v>
      </c>
      <c r="T3207" t="s">
        <v>124</v>
      </c>
    </row>
    <row r="3208">
      <c r="A3208" t="s">
        <v>5848</v>
      </c>
      <c r="B3208" t="s">
        <v>5849</v>
      </c>
      <c r="C3208" s="2">
        <v>2022</v>
      </c>
      <c r="D3208" s="10">
        <v>3</v>
      </c>
      <c r="E3208" s="10">
        <v>14</v>
      </c>
      <c r="F3208" t="s">
        <v>121</v>
      </c>
      <c r="G3208">
        <v>419</v>
      </c>
      <c r="H3208" t="s">
        <v>128</v>
      </c>
      <c r="I3208" t="s">
        <v>136</v>
      </c>
      <c r="J3208" s="10" t="str">
        <f>VLOOKUP(I3208,Categories!A:B,2,FALSE)</f>
        <v>อื่นๆ</v>
      </c>
      <c r="K3208" t="s">
        <v>178</v>
      </c>
      <c r="L3208" s="10" t="str">
        <f>VLOOKUP(K3208,Accounts!A:B,2,FALSE)</f>
        <v>SCB</v>
      </c>
      <c r="M3208" t="s">
        <v>747</v>
      </c>
      <c r="N3208" s="10" t="str">
        <f>VLOOKUP(M3208,Accounts!A:B,2,FALSE)</f>
        <v xml:space="preserve">UOB world</v>
      </c>
      <c r="O3208" t="s">
        <v>125</v>
      </c>
      <c r="Q3208" t="s">
        <v>126</v>
      </c>
      <c r="R3208" t="s">
        <v>124</v>
      </c>
      <c r="S3208" t="b">
        <v>0</v>
      </c>
      <c r="T3208" t="s">
        <v>124</v>
      </c>
    </row>
    <row r="3209">
      <c r="A3209" t="s">
        <v>5850</v>
      </c>
      <c r="B3209" t="s">
        <v>5849</v>
      </c>
      <c r="C3209" s="2">
        <v>2022</v>
      </c>
      <c r="D3209" s="10">
        <v>3</v>
      </c>
      <c r="E3209" s="10">
        <v>14</v>
      </c>
      <c r="F3209" t="s">
        <v>121</v>
      </c>
      <c r="G3209">
        <v>419</v>
      </c>
      <c r="H3209" t="s">
        <v>69</v>
      </c>
      <c r="I3209" t="s">
        <v>1903</v>
      </c>
      <c r="J3209" s="10" t="str">
        <f>VLOOKUP(I3209,Categories!A:B,2,FALSE)</f>
        <v xml:space="preserve">Monthly subscription</v>
      </c>
      <c r="K3209" t="s">
        <v>747</v>
      </c>
      <c r="L3209" s="10" t="str">
        <f>VLOOKUP(K3209,Accounts!A:B,2,FALSE)</f>
        <v xml:space="preserve">UOB world</v>
      </c>
      <c r="M3209" t="s">
        <v>124</v>
      </c>
      <c r="N3209" s="10"/>
      <c r="O3209" t="s">
        <v>125</v>
      </c>
      <c r="Q3209" t="s">
        <v>126</v>
      </c>
      <c r="R3209" t="s">
        <v>124</v>
      </c>
      <c r="S3209" t="b">
        <v>0</v>
      </c>
      <c r="T3209" t="s">
        <v>124</v>
      </c>
    </row>
    <row r="3210">
      <c r="A3210" t="s">
        <v>5851</v>
      </c>
      <c r="B3210" t="s">
        <v>5852</v>
      </c>
      <c r="C3210" s="2">
        <v>2022</v>
      </c>
      <c r="D3210" s="10">
        <v>3</v>
      </c>
      <c r="E3210" s="10">
        <v>13</v>
      </c>
      <c r="F3210" t="s">
        <v>4107</v>
      </c>
      <c r="G3210">
        <v>382.25</v>
      </c>
      <c r="H3210" t="s">
        <v>128</v>
      </c>
      <c r="I3210" t="s">
        <v>136</v>
      </c>
      <c r="J3210" s="10" t="str">
        <f>VLOOKUP(I3210,Categories!A:B,2,FALSE)</f>
        <v>อื่นๆ</v>
      </c>
      <c r="K3210" t="s">
        <v>130</v>
      </c>
      <c r="L3210" s="10" t="str">
        <f>VLOOKUP(K3210,Accounts!A:B,2,FALSE)</f>
        <v xml:space="preserve">KTC JCB</v>
      </c>
      <c r="M3210" t="s">
        <v>131</v>
      </c>
      <c r="N3210" s="10" t="str">
        <f>VLOOKUP(M3210,Accounts!A:B,2,FALSE)</f>
        <v xml:space="preserve">Advance Paid</v>
      </c>
      <c r="O3210" t="s">
        <v>125</v>
      </c>
      <c r="Q3210" t="s">
        <v>126</v>
      </c>
      <c r="R3210" t="s">
        <v>124</v>
      </c>
      <c r="S3210" t="b">
        <v>0</v>
      </c>
      <c r="T3210" t="s">
        <v>124</v>
      </c>
    </row>
    <row r="3211">
      <c r="A3211" t="s">
        <v>5853</v>
      </c>
      <c r="B3211" t="s">
        <v>5852</v>
      </c>
      <c r="C3211" s="2">
        <v>2022</v>
      </c>
      <c r="D3211" s="10">
        <v>3</v>
      </c>
      <c r="E3211" s="10">
        <v>13</v>
      </c>
      <c r="F3211" t="s">
        <v>3231</v>
      </c>
      <c r="G3211">
        <v>120</v>
      </c>
      <c r="H3211" t="s">
        <v>128</v>
      </c>
      <c r="I3211" t="s">
        <v>136</v>
      </c>
      <c r="J3211" s="10" t="str">
        <f>VLOOKUP(I3211,Categories!A:B,2,FALSE)</f>
        <v>อื่นๆ</v>
      </c>
      <c r="K3211" t="s">
        <v>893</v>
      </c>
      <c r="L3211" s="10" t="str">
        <f>VLOOKUP(K3211,Accounts!A:B,2,FALSE)</f>
        <v>Shopee</v>
      </c>
      <c r="M3211" t="s">
        <v>131</v>
      </c>
      <c r="N3211" s="10" t="str">
        <f>VLOOKUP(M3211,Accounts!A:B,2,FALSE)</f>
        <v xml:space="preserve">Advance Paid</v>
      </c>
      <c r="O3211" t="s">
        <v>125</v>
      </c>
      <c r="Q3211" t="s">
        <v>126</v>
      </c>
      <c r="R3211" t="s">
        <v>124</v>
      </c>
      <c r="S3211" t="b">
        <v>0</v>
      </c>
      <c r="T3211" t="s">
        <v>124</v>
      </c>
    </row>
    <row r="3212">
      <c r="A3212" t="s">
        <v>5854</v>
      </c>
      <c r="B3212" t="s">
        <v>5855</v>
      </c>
      <c r="C3212" s="2">
        <v>2022</v>
      </c>
      <c r="D3212" s="10">
        <v>3</v>
      </c>
      <c r="E3212" s="10">
        <v>12</v>
      </c>
      <c r="F3212" t="s">
        <v>1231</v>
      </c>
      <c r="G3212">
        <v>120</v>
      </c>
      <c r="H3212" t="s">
        <v>128</v>
      </c>
      <c r="I3212" t="s">
        <v>136</v>
      </c>
      <c r="J3212" s="10" t="str">
        <f>VLOOKUP(I3212,Categories!A:B,2,FALSE)</f>
        <v>อื่นๆ</v>
      </c>
      <c r="K3212" t="s">
        <v>178</v>
      </c>
      <c r="L3212" s="10" t="str">
        <f>VLOOKUP(K3212,Accounts!A:B,2,FALSE)</f>
        <v>SCB</v>
      </c>
      <c r="M3212" t="s">
        <v>131</v>
      </c>
      <c r="N3212" s="10" t="str">
        <f>VLOOKUP(M3212,Accounts!A:B,2,FALSE)</f>
        <v xml:space="preserve">Advance Paid</v>
      </c>
      <c r="O3212" t="s">
        <v>125</v>
      </c>
      <c r="Q3212" t="s">
        <v>126</v>
      </c>
      <c r="R3212" t="s">
        <v>124</v>
      </c>
      <c r="S3212" t="b">
        <v>0</v>
      </c>
      <c r="T3212" t="s">
        <v>124</v>
      </c>
    </row>
    <row r="3213">
      <c r="A3213" t="s">
        <v>5856</v>
      </c>
      <c r="B3213" t="s">
        <v>5855</v>
      </c>
      <c r="C3213" s="2">
        <v>2022</v>
      </c>
      <c r="D3213" s="10">
        <v>3</v>
      </c>
      <c r="E3213" s="10">
        <v>12</v>
      </c>
      <c r="F3213" t="s">
        <v>2709</v>
      </c>
      <c r="G3213">
        <v>150</v>
      </c>
      <c r="H3213" t="s">
        <v>128</v>
      </c>
      <c r="I3213" t="s">
        <v>136</v>
      </c>
      <c r="J3213" s="10" t="str">
        <f>VLOOKUP(I3213,Categories!A:B,2,FALSE)</f>
        <v>อื่นๆ</v>
      </c>
      <c r="K3213" t="s">
        <v>178</v>
      </c>
      <c r="L3213" s="10" t="str">
        <f>VLOOKUP(K3213,Accounts!A:B,2,FALSE)</f>
        <v>SCB</v>
      </c>
      <c r="M3213" t="s">
        <v>131</v>
      </c>
      <c r="N3213" s="10" t="str">
        <f>VLOOKUP(M3213,Accounts!A:B,2,FALSE)</f>
        <v xml:space="preserve">Advance Paid</v>
      </c>
      <c r="O3213" t="s">
        <v>5857</v>
      </c>
      <c r="Q3213" t="s">
        <v>126</v>
      </c>
      <c r="R3213" t="s">
        <v>124</v>
      </c>
      <c r="S3213" t="b">
        <v>0</v>
      </c>
      <c r="T3213" t="s">
        <v>124</v>
      </c>
    </row>
    <row r="3214">
      <c r="A3214" t="s">
        <v>5858</v>
      </c>
      <c r="B3214" t="s">
        <v>5855</v>
      </c>
      <c r="C3214" s="2">
        <v>2022</v>
      </c>
      <c r="D3214" s="10">
        <v>3</v>
      </c>
      <c r="E3214" s="10">
        <v>12</v>
      </c>
      <c r="F3214" t="s">
        <v>315</v>
      </c>
      <c r="G3214">
        <v>3000</v>
      </c>
      <c r="H3214" t="s">
        <v>69</v>
      </c>
      <c r="I3214" t="s">
        <v>1455</v>
      </c>
      <c r="J3214" s="10" t="str">
        <f>VLOOKUP(I3214,Categories!A:B,2,FALSE)</f>
        <v xml:space="preserve">Merit and gift</v>
      </c>
      <c r="K3214" t="s">
        <v>425</v>
      </c>
      <c r="L3214" s="10" t="str">
        <f>VLOOKUP(K3214,Accounts!A:B,2,FALSE)</f>
        <v>Cash</v>
      </c>
      <c r="M3214" t="s">
        <v>124</v>
      </c>
      <c r="N3214" s="10"/>
      <c r="O3214" t="s">
        <v>5859</v>
      </c>
      <c r="Q3214" t="s">
        <v>126</v>
      </c>
      <c r="R3214" t="s">
        <v>124</v>
      </c>
      <c r="S3214" t="b">
        <v>0</v>
      </c>
      <c r="T3214" t="s">
        <v>124</v>
      </c>
    </row>
    <row r="3215">
      <c r="A3215" t="s">
        <v>5860</v>
      </c>
      <c r="B3215" t="s">
        <v>5855</v>
      </c>
      <c r="C3215" s="2">
        <v>2022</v>
      </c>
      <c r="D3215" s="10">
        <v>3</v>
      </c>
      <c r="E3215" s="10">
        <v>12</v>
      </c>
      <c r="F3215" t="s">
        <v>2946</v>
      </c>
      <c r="G3215">
        <v>305</v>
      </c>
      <c r="H3215" t="s">
        <v>128</v>
      </c>
      <c r="I3215" t="s">
        <v>136</v>
      </c>
      <c r="J3215" s="10" t="str">
        <f>VLOOKUP(I3215,Categories!A:B,2,FALSE)</f>
        <v>อื่นๆ</v>
      </c>
      <c r="K3215" t="s">
        <v>178</v>
      </c>
      <c r="L3215" s="10" t="str">
        <f>VLOOKUP(K3215,Accounts!A:B,2,FALSE)</f>
        <v>SCB</v>
      </c>
      <c r="M3215" t="s">
        <v>131</v>
      </c>
      <c r="N3215" s="10" t="str">
        <f>VLOOKUP(M3215,Accounts!A:B,2,FALSE)</f>
        <v xml:space="preserve">Advance Paid</v>
      </c>
      <c r="O3215" t="s">
        <v>5861</v>
      </c>
      <c r="Q3215" t="s">
        <v>126</v>
      </c>
      <c r="R3215" t="s">
        <v>124</v>
      </c>
      <c r="S3215" t="b">
        <v>0</v>
      </c>
      <c r="T3215" t="s">
        <v>124</v>
      </c>
    </row>
    <row r="3216">
      <c r="A3216" t="s">
        <v>5862</v>
      </c>
      <c r="B3216" t="s">
        <v>5855</v>
      </c>
      <c r="C3216" s="2">
        <v>2022</v>
      </c>
      <c r="D3216" s="10">
        <v>3</v>
      </c>
      <c r="E3216" s="10">
        <v>12</v>
      </c>
      <c r="F3216" t="s">
        <v>1047</v>
      </c>
      <c r="G3216">
        <v>195</v>
      </c>
      <c r="H3216" t="s">
        <v>128</v>
      </c>
      <c r="I3216" t="s">
        <v>136</v>
      </c>
      <c r="J3216" s="10" t="str">
        <f>VLOOKUP(I3216,Categories!A:B,2,FALSE)</f>
        <v>อื่นๆ</v>
      </c>
      <c r="K3216" t="s">
        <v>178</v>
      </c>
      <c r="L3216" s="10" t="str">
        <f>VLOOKUP(K3216,Accounts!A:B,2,FALSE)</f>
        <v>SCB</v>
      </c>
      <c r="M3216" t="s">
        <v>131</v>
      </c>
      <c r="N3216" s="10" t="str">
        <f>VLOOKUP(M3216,Accounts!A:B,2,FALSE)</f>
        <v xml:space="preserve">Advance Paid</v>
      </c>
      <c r="O3216" t="s">
        <v>5863</v>
      </c>
      <c r="Q3216" t="s">
        <v>126</v>
      </c>
      <c r="R3216" t="s">
        <v>124</v>
      </c>
      <c r="S3216" t="b">
        <v>0</v>
      </c>
      <c r="T3216" t="s">
        <v>124</v>
      </c>
    </row>
    <row r="3217">
      <c r="A3217" t="s">
        <v>5864</v>
      </c>
      <c r="B3217" t="s">
        <v>5855</v>
      </c>
      <c r="C3217" s="2">
        <v>2022</v>
      </c>
      <c r="D3217" s="10">
        <v>3</v>
      </c>
      <c r="E3217" s="10">
        <v>12</v>
      </c>
      <c r="F3217" t="s">
        <v>958</v>
      </c>
      <c r="G3217">
        <v>1500</v>
      </c>
      <c r="H3217" t="s">
        <v>69</v>
      </c>
      <c r="I3217" t="s">
        <v>1455</v>
      </c>
      <c r="J3217" s="10" t="str">
        <f>VLOOKUP(I3217,Categories!A:B,2,FALSE)</f>
        <v xml:space="preserve">Merit and gift</v>
      </c>
      <c r="K3217" t="s">
        <v>425</v>
      </c>
      <c r="L3217" s="10" t="str">
        <f>VLOOKUP(K3217,Accounts!A:B,2,FALSE)</f>
        <v>Cash</v>
      </c>
      <c r="M3217" t="s">
        <v>124</v>
      </c>
      <c r="N3217" s="10"/>
      <c r="O3217" t="s">
        <v>5865</v>
      </c>
      <c r="Q3217" t="s">
        <v>126</v>
      </c>
      <c r="R3217" t="s">
        <v>124</v>
      </c>
      <c r="S3217" t="b">
        <v>0</v>
      </c>
      <c r="T3217" t="s">
        <v>124</v>
      </c>
    </row>
    <row r="3218">
      <c r="A3218" t="s">
        <v>5866</v>
      </c>
      <c r="B3218" t="s">
        <v>5867</v>
      </c>
      <c r="C3218" s="2">
        <v>2022</v>
      </c>
      <c r="D3218" s="10">
        <v>3</v>
      </c>
      <c r="E3218" s="10">
        <v>11</v>
      </c>
      <c r="F3218" t="s">
        <v>2179</v>
      </c>
      <c r="G3218">
        <v>785</v>
      </c>
      <c r="H3218" t="s">
        <v>128</v>
      </c>
      <c r="I3218" t="s">
        <v>136</v>
      </c>
      <c r="J3218" s="10" t="str">
        <f>VLOOKUP(I3218,Categories!A:B,2,FALSE)</f>
        <v>อื่นๆ</v>
      </c>
      <c r="K3218" t="s">
        <v>178</v>
      </c>
      <c r="L3218" s="10" t="str">
        <f>VLOOKUP(K3218,Accounts!A:B,2,FALSE)</f>
        <v>SCB</v>
      </c>
      <c r="M3218" t="s">
        <v>131</v>
      </c>
      <c r="N3218" s="10" t="str">
        <f>VLOOKUP(M3218,Accounts!A:B,2,FALSE)</f>
        <v xml:space="preserve">Advance Paid</v>
      </c>
      <c r="O3218" t="s">
        <v>5868</v>
      </c>
      <c r="Q3218" t="s">
        <v>126</v>
      </c>
      <c r="R3218" t="s">
        <v>124</v>
      </c>
      <c r="S3218" t="b">
        <v>0</v>
      </c>
      <c r="T3218" t="s">
        <v>124</v>
      </c>
    </row>
    <row r="3219">
      <c r="A3219" t="s">
        <v>5869</v>
      </c>
      <c r="B3219" t="s">
        <v>5867</v>
      </c>
      <c r="C3219" s="2">
        <v>2022</v>
      </c>
      <c r="D3219" s="10">
        <v>3</v>
      </c>
      <c r="E3219" s="10">
        <v>11</v>
      </c>
      <c r="F3219" t="s">
        <v>1955</v>
      </c>
      <c r="G3219">
        <v>470</v>
      </c>
      <c r="H3219" t="s">
        <v>128</v>
      </c>
      <c r="I3219" t="s">
        <v>136</v>
      </c>
      <c r="J3219" s="10" t="str">
        <f>VLOOKUP(I3219,Categories!A:B,2,FALSE)</f>
        <v>อื่นๆ</v>
      </c>
      <c r="K3219" t="s">
        <v>2513</v>
      </c>
      <c r="L3219" s="10" t="str">
        <f>VLOOKUP(K3219,Accounts!A:B,2,FALSE)</f>
        <v xml:space="preserve">Pao tung</v>
      </c>
      <c r="M3219" t="s">
        <v>131</v>
      </c>
      <c r="N3219" s="10" t="str">
        <f>VLOOKUP(M3219,Accounts!A:B,2,FALSE)</f>
        <v xml:space="preserve">Advance Paid</v>
      </c>
      <c r="O3219" t="s">
        <v>125</v>
      </c>
      <c r="Q3219" t="s">
        <v>126</v>
      </c>
      <c r="R3219" t="s">
        <v>124</v>
      </c>
      <c r="S3219" t="b">
        <v>0</v>
      </c>
      <c r="T3219" t="s">
        <v>124</v>
      </c>
    </row>
    <row r="3220">
      <c r="A3220" t="s">
        <v>5870</v>
      </c>
      <c r="B3220" t="s">
        <v>5867</v>
      </c>
      <c r="C3220" s="2">
        <v>2022</v>
      </c>
      <c r="D3220" s="10">
        <v>3</v>
      </c>
      <c r="E3220" s="10">
        <v>11</v>
      </c>
      <c r="F3220" t="s">
        <v>2014</v>
      </c>
      <c r="G3220">
        <v>1500</v>
      </c>
      <c r="H3220" t="s">
        <v>206</v>
      </c>
      <c r="I3220" t="s">
        <v>122</v>
      </c>
      <c r="J3220" s="10" t="str">
        <f>VLOOKUP(I3220,Categories!A:B,2,FALSE)</f>
        <v>Other</v>
      </c>
      <c r="K3220" t="s">
        <v>178</v>
      </c>
      <c r="L3220" s="10" t="str">
        <f>VLOOKUP(K3220,Accounts!A:B,2,FALSE)</f>
        <v>SCB</v>
      </c>
      <c r="M3220" t="s">
        <v>124</v>
      </c>
      <c r="N3220" s="10"/>
      <c r="O3220" t="s">
        <v>5871</v>
      </c>
      <c r="Q3220" t="s">
        <v>126</v>
      </c>
      <c r="R3220" t="s">
        <v>124</v>
      </c>
      <c r="S3220" t="b">
        <v>0</v>
      </c>
      <c r="T3220" t="s">
        <v>124</v>
      </c>
    </row>
    <row r="3221">
      <c r="A3221" t="s">
        <v>5872</v>
      </c>
      <c r="B3221" t="s">
        <v>5867</v>
      </c>
      <c r="C3221" s="2">
        <v>2022</v>
      </c>
      <c r="D3221" s="10">
        <v>3</v>
      </c>
      <c r="E3221" s="10">
        <v>11</v>
      </c>
      <c r="F3221" t="s">
        <v>1294</v>
      </c>
      <c r="G3221">
        <v>2000</v>
      </c>
      <c r="H3221" t="s">
        <v>128</v>
      </c>
      <c r="I3221" t="s">
        <v>136</v>
      </c>
      <c r="J3221" s="10" t="str">
        <f>VLOOKUP(I3221,Categories!A:B,2,FALSE)</f>
        <v>อื่นๆ</v>
      </c>
      <c r="K3221" t="s">
        <v>178</v>
      </c>
      <c r="L3221" s="10" t="str">
        <f>VLOOKUP(K3221,Accounts!A:B,2,FALSE)</f>
        <v>SCB</v>
      </c>
      <c r="M3221" t="s">
        <v>213</v>
      </c>
      <c r="N3221" s="10" t="str">
        <f>VLOOKUP(M3221,Accounts!A:B,2,FALSE)</f>
        <v xml:space="preserve">Krungthai Next</v>
      </c>
      <c r="O3221" t="s">
        <v>125</v>
      </c>
      <c r="Q3221" t="s">
        <v>126</v>
      </c>
      <c r="R3221" t="s">
        <v>124</v>
      </c>
      <c r="S3221" t="b">
        <v>0</v>
      </c>
      <c r="T3221" t="s">
        <v>124</v>
      </c>
    </row>
    <row r="3222">
      <c r="A3222" t="s">
        <v>5873</v>
      </c>
      <c r="B3222" t="s">
        <v>5867</v>
      </c>
      <c r="C3222" s="2">
        <v>2022</v>
      </c>
      <c r="D3222" s="10">
        <v>3</v>
      </c>
      <c r="E3222" s="10">
        <v>11</v>
      </c>
      <c r="F3222" t="s">
        <v>4238</v>
      </c>
      <c r="G3222">
        <v>2000</v>
      </c>
      <c r="H3222" t="s">
        <v>128</v>
      </c>
      <c r="I3222" t="s">
        <v>136</v>
      </c>
      <c r="J3222" s="10" t="str">
        <f>VLOOKUP(I3222,Categories!A:B,2,FALSE)</f>
        <v>อื่นๆ</v>
      </c>
      <c r="K3222" t="s">
        <v>213</v>
      </c>
      <c r="L3222" s="10" t="str">
        <f>VLOOKUP(K3222,Accounts!A:B,2,FALSE)</f>
        <v xml:space="preserve">Krungthai Next</v>
      </c>
      <c r="M3222" t="s">
        <v>2513</v>
      </c>
      <c r="N3222" s="10" t="str">
        <f>VLOOKUP(M3222,Accounts!A:B,2,FALSE)</f>
        <v xml:space="preserve">Pao tung</v>
      </c>
      <c r="O3222" t="s">
        <v>125</v>
      </c>
      <c r="Q3222" t="s">
        <v>126</v>
      </c>
      <c r="R3222" t="s">
        <v>124</v>
      </c>
      <c r="S3222" t="b">
        <v>0</v>
      </c>
      <c r="T3222" t="s">
        <v>124</v>
      </c>
    </row>
    <row r="3223">
      <c r="A3223" t="s">
        <v>5874</v>
      </c>
      <c r="B3223" t="s">
        <v>5867</v>
      </c>
      <c r="C3223" s="2">
        <v>2022</v>
      </c>
      <c r="D3223" s="10">
        <v>3</v>
      </c>
      <c r="E3223" s="10">
        <v>11</v>
      </c>
      <c r="F3223" t="s">
        <v>951</v>
      </c>
      <c r="G3223">
        <v>70</v>
      </c>
      <c r="H3223" t="s">
        <v>128</v>
      </c>
      <c r="I3223" t="s">
        <v>136</v>
      </c>
      <c r="J3223" s="10" t="str">
        <f>VLOOKUP(I3223,Categories!A:B,2,FALSE)</f>
        <v>อื่นๆ</v>
      </c>
      <c r="K3223" t="s">
        <v>2513</v>
      </c>
      <c r="L3223" s="10" t="str">
        <f>VLOOKUP(K3223,Accounts!A:B,2,FALSE)</f>
        <v xml:space="preserve">Pao tung</v>
      </c>
      <c r="M3223" t="s">
        <v>178</v>
      </c>
      <c r="N3223" s="10" t="str">
        <f>VLOOKUP(M3223,Accounts!A:B,2,FALSE)</f>
        <v>SCB</v>
      </c>
      <c r="O3223" t="s">
        <v>125</v>
      </c>
      <c r="Q3223" t="s">
        <v>126</v>
      </c>
      <c r="R3223" t="s">
        <v>124</v>
      </c>
      <c r="S3223" t="b">
        <v>0</v>
      </c>
      <c r="T3223" t="s">
        <v>124</v>
      </c>
    </row>
    <row r="3224">
      <c r="A3224" t="s">
        <v>5875</v>
      </c>
      <c r="B3224" t="s">
        <v>5867</v>
      </c>
      <c r="C3224" s="2">
        <v>2022</v>
      </c>
      <c r="D3224" s="10">
        <v>3</v>
      </c>
      <c r="E3224" s="10">
        <v>11</v>
      </c>
      <c r="F3224" t="s">
        <v>2832</v>
      </c>
      <c r="G3224">
        <v>500</v>
      </c>
      <c r="H3224" t="s">
        <v>128</v>
      </c>
      <c r="I3224" t="s">
        <v>136</v>
      </c>
      <c r="J3224" s="10" t="str">
        <f>VLOOKUP(I3224,Categories!A:B,2,FALSE)</f>
        <v>อื่นๆ</v>
      </c>
      <c r="K3224" t="s">
        <v>123</v>
      </c>
      <c r="L3224" s="10" t="str">
        <f>VLOOKUP(K3224,Accounts!A:B,2,FALSE)</f>
        <v>KBank</v>
      </c>
      <c r="M3224" t="s">
        <v>425</v>
      </c>
      <c r="N3224" s="10" t="str">
        <f>VLOOKUP(M3224,Accounts!A:B,2,FALSE)</f>
        <v>Cash</v>
      </c>
      <c r="O3224" t="s">
        <v>125</v>
      </c>
      <c r="Q3224" t="s">
        <v>126</v>
      </c>
      <c r="R3224" t="s">
        <v>124</v>
      </c>
      <c r="S3224" t="b">
        <v>0</v>
      </c>
      <c r="T3224" t="s">
        <v>124</v>
      </c>
    </row>
    <row r="3225">
      <c r="A3225" t="s">
        <v>5876</v>
      </c>
      <c r="B3225" t="s">
        <v>5867</v>
      </c>
      <c r="C3225" s="2">
        <v>2022</v>
      </c>
      <c r="D3225" s="10">
        <v>3</v>
      </c>
      <c r="E3225" s="10">
        <v>11</v>
      </c>
      <c r="F3225" t="s">
        <v>3886</v>
      </c>
      <c r="G3225">
        <v>470</v>
      </c>
      <c r="H3225" t="s">
        <v>128</v>
      </c>
      <c r="I3225" t="s">
        <v>136</v>
      </c>
      <c r="J3225" s="10" t="str">
        <f>VLOOKUP(I3225,Categories!A:B,2,FALSE)</f>
        <v>อื่นๆ</v>
      </c>
      <c r="K3225" t="s">
        <v>131</v>
      </c>
      <c r="L3225" s="10" t="str">
        <f>VLOOKUP(K3225,Accounts!A:B,2,FALSE)</f>
        <v xml:space="preserve">Advance Paid</v>
      </c>
      <c r="M3225" t="s">
        <v>178</v>
      </c>
      <c r="N3225" s="10" t="str">
        <f>VLOOKUP(M3225,Accounts!A:B,2,FALSE)</f>
        <v>SCB</v>
      </c>
      <c r="O3225" t="s">
        <v>5877</v>
      </c>
      <c r="Q3225" t="s">
        <v>126</v>
      </c>
      <c r="R3225" t="s">
        <v>124</v>
      </c>
      <c r="S3225" t="b">
        <v>0</v>
      </c>
      <c r="T3225" t="s">
        <v>124</v>
      </c>
    </row>
    <row r="3226">
      <c r="A3226" t="s">
        <v>5878</v>
      </c>
      <c r="B3226" t="s">
        <v>5867</v>
      </c>
      <c r="C3226" s="2">
        <v>2022</v>
      </c>
      <c r="D3226" s="10">
        <v>3</v>
      </c>
      <c r="E3226" s="10">
        <v>11</v>
      </c>
      <c r="F3226" t="s">
        <v>5879</v>
      </c>
      <c r="G3226">
        <v>65</v>
      </c>
      <c r="H3226" t="s">
        <v>206</v>
      </c>
      <c r="I3226" t="s">
        <v>281</v>
      </c>
      <c r="J3226" s="10" t="str">
        <f>VLOOKUP(I3226,Categories!A:B,2,FALSE)</f>
        <v>Others</v>
      </c>
      <c r="K3226" t="s">
        <v>178</v>
      </c>
      <c r="L3226" s="10" t="str">
        <f>VLOOKUP(K3226,Accounts!A:B,2,FALSE)</f>
        <v>SCB</v>
      </c>
      <c r="M3226" t="s">
        <v>124</v>
      </c>
      <c r="N3226" s="10"/>
      <c r="O3226" t="s">
        <v>125</v>
      </c>
      <c r="Q3226" t="s">
        <v>126</v>
      </c>
      <c r="R3226" t="s">
        <v>124</v>
      </c>
      <c r="S3226" t="b">
        <v>0</v>
      </c>
      <c r="T3226" t="s">
        <v>124</v>
      </c>
    </row>
    <row r="3227">
      <c r="A3227" t="s">
        <v>5880</v>
      </c>
      <c r="B3227" t="s">
        <v>5881</v>
      </c>
      <c r="C3227" s="2">
        <v>2022</v>
      </c>
      <c r="D3227" s="10">
        <v>3</v>
      </c>
      <c r="E3227" s="10">
        <v>10</v>
      </c>
      <c r="F3227" t="s">
        <v>3674</v>
      </c>
      <c r="G3227">
        <v>3004.9200000000001</v>
      </c>
      <c r="H3227" t="s">
        <v>69</v>
      </c>
      <c r="I3227" t="s">
        <v>1508</v>
      </c>
      <c r="J3227" s="10" t="str">
        <f>VLOOKUP(I3227,Categories!A:B,2,FALSE)</f>
        <v>Other</v>
      </c>
      <c r="K3227" t="s">
        <v>743</v>
      </c>
      <c r="L3227" s="10" t="str">
        <f>VLOOKUP(K3227,Accounts!A:B,2,FALSE)</f>
        <v>HOMEPRO</v>
      </c>
      <c r="M3227" t="s">
        <v>124</v>
      </c>
      <c r="N3227" s="10"/>
      <c r="O3227" t="s">
        <v>5685</v>
      </c>
      <c r="Q3227" t="s">
        <v>126</v>
      </c>
      <c r="R3227" t="s">
        <v>124</v>
      </c>
      <c r="S3227" t="b">
        <v>0</v>
      </c>
      <c r="T3227" t="s">
        <v>124</v>
      </c>
    </row>
    <row r="3228">
      <c r="A3228" t="s">
        <v>5882</v>
      </c>
      <c r="B3228" t="s">
        <v>5881</v>
      </c>
      <c r="C3228" s="2">
        <v>2022</v>
      </c>
      <c r="D3228" s="10">
        <v>3</v>
      </c>
      <c r="E3228" s="10">
        <v>10</v>
      </c>
      <c r="F3228" t="s">
        <v>337</v>
      </c>
      <c r="G3228">
        <v>300</v>
      </c>
      <c r="H3228" t="s">
        <v>69</v>
      </c>
      <c r="I3228" t="s">
        <v>152</v>
      </c>
      <c r="J3228" s="10" t="str">
        <f>VLOOKUP(I3228,Categories!A:B,2,FALSE)</f>
        <v xml:space="preserve">Office Suit</v>
      </c>
      <c r="K3228" t="s">
        <v>178</v>
      </c>
      <c r="L3228" s="10" t="str">
        <f>VLOOKUP(K3228,Accounts!A:B,2,FALSE)</f>
        <v>SCB</v>
      </c>
      <c r="M3228" t="s">
        <v>124</v>
      </c>
      <c r="N3228" s="10"/>
      <c r="O3228" t="s">
        <v>377</v>
      </c>
      <c r="Q3228" t="s">
        <v>126</v>
      </c>
      <c r="R3228" t="s">
        <v>124</v>
      </c>
      <c r="S3228" t="b">
        <v>0</v>
      </c>
      <c r="T3228" t="s">
        <v>124</v>
      </c>
    </row>
    <row r="3229">
      <c r="A3229" t="s">
        <v>5883</v>
      </c>
      <c r="B3229" t="s">
        <v>5881</v>
      </c>
      <c r="C3229" s="2">
        <v>2022</v>
      </c>
      <c r="D3229" s="10">
        <v>3</v>
      </c>
      <c r="E3229" s="10">
        <v>10</v>
      </c>
      <c r="F3229" t="s">
        <v>329</v>
      </c>
      <c r="G3229">
        <v>1210</v>
      </c>
      <c r="H3229" t="s">
        <v>128</v>
      </c>
      <c r="I3229" t="s">
        <v>136</v>
      </c>
      <c r="J3229" s="10" t="str">
        <f>VLOOKUP(I3229,Categories!A:B,2,FALSE)</f>
        <v>อื่นๆ</v>
      </c>
      <c r="K3229" t="s">
        <v>130</v>
      </c>
      <c r="L3229" s="10" t="str">
        <f>VLOOKUP(K3229,Accounts!A:B,2,FALSE)</f>
        <v xml:space="preserve">KTC JCB</v>
      </c>
      <c r="M3229" t="s">
        <v>131</v>
      </c>
      <c r="N3229" s="10" t="str">
        <f>VLOOKUP(M3229,Accounts!A:B,2,FALSE)</f>
        <v xml:space="preserve">Advance Paid</v>
      </c>
      <c r="O3229" t="s">
        <v>125</v>
      </c>
      <c r="Q3229" t="s">
        <v>126</v>
      </c>
      <c r="R3229" t="s">
        <v>124</v>
      </c>
      <c r="S3229" t="b">
        <v>0</v>
      </c>
      <c r="T3229" t="s">
        <v>124</v>
      </c>
    </row>
    <row r="3230">
      <c r="A3230" t="s">
        <v>5884</v>
      </c>
      <c r="B3230" t="s">
        <v>5881</v>
      </c>
      <c r="C3230" s="2">
        <v>2022</v>
      </c>
      <c r="D3230" s="10">
        <v>3</v>
      </c>
      <c r="E3230" s="10">
        <v>10</v>
      </c>
      <c r="F3230" t="s">
        <v>2946</v>
      </c>
      <c r="G3230">
        <v>151</v>
      </c>
      <c r="H3230" t="s">
        <v>128</v>
      </c>
      <c r="I3230" t="s">
        <v>136</v>
      </c>
      <c r="J3230" s="10" t="str">
        <f>VLOOKUP(I3230,Categories!A:B,2,FALSE)</f>
        <v>อื่นๆ</v>
      </c>
      <c r="K3230" t="s">
        <v>2317</v>
      </c>
      <c r="L3230" s="10" t="str">
        <f>VLOOKUP(K3230,Accounts!A:B,2,FALSE)</f>
        <v xml:space="preserve">Marriage account</v>
      </c>
      <c r="M3230" t="s">
        <v>893</v>
      </c>
      <c r="N3230" s="10" t="str">
        <f>VLOOKUP(M3230,Accounts!A:B,2,FALSE)</f>
        <v>Shopee</v>
      </c>
      <c r="O3230" t="s">
        <v>125</v>
      </c>
      <c r="Q3230" t="s">
        <v>126</v>
      </c>
      <c r="R3230" t="s">
        <v>124</v>
      </c>
      <c r="S3230" t="b">
        <v>0</v>
      </c>
      <c r="T3230" t="s">
        <v>124</v>
      </c>
    </row>
    <row r="3231">
      <c r="A3231" t="s">
        <v>5885</v>
      </c>
      <c r="B3231" t="s">
        <v>5881</v>
      </c>
      <c r="C3231" s="2">
        <v>2022</v>
      </c>
      <c r="D3231" s="10">
        <v>3</v>
      </c>
      <c r="E3231" s="10">
        <v>10</v>
      </c>
      <c r="F3231" t="s">
        <v>1540</v>
      </c>
      <c r="G3231">
        <v>5000</v>
      </c>
      <c r="H3231" t="s">
        <v>128</v>
      </c>
      <c r="I3231" t="s">
        <v>136</v>
      </c>
      <c r="J3231" s="10" t="str">
        <f>VLOOKUP(I3231,Categories!A:B,2,FALSE)</f>
        <v>อื่นๆ</v>
      </c>
      <c r="K3231" t="s">
        <v>844</v>
      </c>
      <c r="L3231" s="10" t="str">
        <f>VLOOKUP(K3231,Accounts!A:B,2,FALSE)</f>
        <v>BBL</v>
      </c>
      <c r="M3231" t="s">
        <v>425</v>
      </c>
      <c r="N3231" s="10" t="str">
        <f>VLOOKUP(M3231,Accounts!A:B,2,FALSE)</f>
        <v>Cash</v>
      </c>
      <c r="O3231" t="s">
        <v>125</v>
      </c>
      <c r="Q3231" t="s">
        <v>126</v>
      </c>
      <c r="R3231" t="s">
        <v>124</v>
      </c>
      <c r="S3231" t="b">
        <v>0</v>
      </c>
      <c r="T3231" t="s">
        <v>124</v>
      </c>
    </row>
    <row r="3232">
      <c r="A3232" t="s">
        <v>5886</v>
      </c>
      <c r="B3232" t="s">
        <v>5881</v>
      </c>
      <c r="C3232" s="2">
        <v>2022</v>
      </c>
      <c r="D3232" s="10">
        <v>3</v>
      </c>
      <c r="E3232" s="10">
        <v>10</v>
      </c>
      <c r="F3232" t="s">
        <v>5320</v>
      </c>
      <c r="G3232">
        <v>3635.6599999999999</v>
      </c>
      <c r="H3232" t="s">
        <v>69</v>
      </c>
      <c r="I3232" t="s">
        <v>1679</v>
      </c>
      <c r="J3232" s="10" t="str">
        <f>VLOOKUP(I3232,Categories!A:B,2,FALSE)</f>
        <v xml:space="preserve">Condo stuff</v>
      </c>
      <c r="K3232" t="s">
        <v>743</v>
      </c>
      <c r="L3232" s="10" t="str">
        <f>VLOOKUP(K3232,Accounts!A:B,2,FALSE)</f>
        <v>HOMEPRO</v>
      </c>
      <c r="M3232" t="s">
        <v>124</v>
      </c>
      <c r="N3232" s="10"/>
      <c r="O3232" t="s">
        <v>5887</v>
      </c>
      <c r="Q3232" t="s">
        <v>126</v>
      </c>
      <c r="R3232" t="s">
        <v>124</v>
      </c>
      <c r="S3232" t="b">
        <v>0</v>
      </c>
      <c r="T3232" t="s">
        <v>124</v>
      </c>
    </row>
    <row r="3233">
      <c r="A3233" t="s">
        <v>5888</v>
      </c>
      <c r="B3233" t="s">
        <v>5881</v>
      </c>
      <c r="C3233" s="2">
        <v>2022</v>
      </c>
      <c r="D3233" s="10">
        <v>3</v>
      </c>
      <c r="E3233" s="10">
        <v>10</v>
      </c>
      <c r="F3233" t="s">
        <v>1464</v>
      </c>
      <c r="G3233">
        <v>548</v>
      </c>
      <c r="H3233" t="s">
        <v>69</v>
      </c>
      <c r="I3233" t="s">
        <v>144</v>
      </c>
      <c r="J3233" s="10" t="str">
        <f>VLOOKUP(I3233,Categories!A:B,2,FALSE)</f>
        <v xml:space="preserve">Family paid</v>
      </c>
      <c r="K3233" t="s">
        <v>130</v>
      </c>
      <c r="L3233" s="10" t="str">
        <f>VLOOKUP(K3233,Accounts!A:B,2,FALSE)</f>
        <v xml:space="preserve">KTC JCB</v>
      </c>
      <c r="M3233" t="s">
        <v>124</v>
      </c>
      <c r="N3233" s="10"/>
      <c r="O3233" t="s">
        <v>5574</v>
      </c>
      <c r="Q3233" t="s">
        <v>126</v>
      </c>
      <c r="R3233" t="s">
        <v>124</v>
      </c>
      <c r="S3233" t="b">
        <v>0</v>
      </c>
      <c r="T3233" t="s">
        <v>124</v>
      </c>
    </row>
    <row r="3234">
      <c r="A3234" t="s">
        <v>5889</v>
      </c>
      <c r="B3234" t="s">
        <v>5881</v>
      </c>
      <c r="C3234" s="2">
        <v>2022</v>
      </c>
      <c r="D3234" s="10">
        <v>3</v>
      </c>
      <c r="E3234" s="10">
        <v>10</v>
      </c>
      <c r="F3234" t="s">
        <v>2523</v>
      </c>
      <c r="G3234">
        <v>5000</v>
      </c>
      <c r="H3234" t="s">
        <v>69</v>
      </c>
      <c r="I3234" t="s">
        <v>144</v>
      </c>
      <c r="J3234" s="10" t="str">
        <f>VLOOKUP(I3234,Categories!A:B,2,FALSE)</f>
        <v xml:space="preserve">Family paid</v>
      </c>
      <c r="K3234" t="s">
        <v>425</v>
      </c>
      <c r="L3234" s="10" t="str">
        <f>VLOOKUP(K3234,Accounts!A:B,2,FALSE)</f>
        <v>Cash</v>
      </c>
      <c r="M3234" t="s">
        <v>124</v>
      </c>
      <c r="N3234" s="10"/>
      <c r="O3234" t="s">
        <v>125</v>
      </c>
      <c r="Q3234" t="s">
        <v>126</v>
      </c>
      <c r="R3234" t="s">
        <v>124</v>
      </c>
      <c r="S3234" t="b">
        <v>0</v>
      </c>
      <c r="T3234" t="s">
        <v>124</v>
      </c>
    </row>
    <row r="3235">
      <c r="A3235" t="s">
        <v>5890</v>
      </c>
      <c r="B3235" t="s">
        <v>5891</v>
      </c>
      <c r="C3235" s="2">
        <v>2022</v>
      </c>
      <c r="D3235" s="10">
        <v>3</v>
      </c>
      <c r="E3235" s="10">
        <v>9</v>
      </c>
      <c r="F3235" t="s">
        <v>326</v>
      </c>
      <c r="G3235">
        <v>187</v>
      </c>
      <c r="H3235" t="s">
        <v>128</v>
      </c>
      <c r="I3235" t="s">
        <v>136</v>
      </c>
      <c r="J3235" s="10" t="str">
        <f>VLOOKUP(I3235,Categories!A:B,2,FALSE)</f>
        <v>อื่นๆ</v>
      </c>
      <c r="K3235" t="s">
        <v>130</v>
      </c>
      <c r="L3235" s="10" t="str">
        <f>VLOOKUP(K3235,Accounts!A:B,2,FALSE)</f>
        <v xml:space="preserve">KTC JCB</v>
      </c>
      <c r="M3235" t="s">
        <v>131</v>
      </c>
      <c r="N3235" s="10" t="str">
        <f>VLOOKUP(M3235,Accounts!A:B,2,FALSE)</f>
        <v xml:space="preserve">Advance Paid</v>
      </c>
      <c r="O3235" t="s">
        <v>5892</v>
      </c>
      <c r="Q3235" t="s">
        <v>126</v>
      </c>
      <c r="R3235" t="s">
        <v>124</v>
      </c>
      <c r="S3235" t="b">
        <v>0</v>
      </c>
      <c r="T3235" t="s">
        <v>124</v>
      </c>
    </row>
    <row r="3236">
      <c r="A3236" t="s">
        <v>5893</v>
      </c>
      <c r="B3236" t="s">
        <v>5894</v>
      </c>
      <c r="C3236" s="2">
        <v>2022</v>
      </c>
      <c r="D3236" s="10">
        <v>3</v>
      </c>
      <c r="E3236" s="10">
        <v>8</v>
      </c>
      <c r="F3236" t="s">
        <v>2195</v>
      </c>
      <c r="G3236">
        <v>144</v>
      </c>
      <c r="H3236" t="s">
        <v>128</v>
      </c>
      <c r="I3236" t="s">
        <v>136</v>
      </c>
      <c r="J3236" s="10" t="str">
        <f>VLOOKUP(I3236,Categories!A:B,2,FALSE)</f>
        <v>อื่นๆ</v>
      </c>
      <c r="K3236" t="s">
        <v>130</v>
      </c>
      <c r="L3236" s="10" t="str">
        <f>VLOOKUP(K3236,Accounts!A:B,2,FALSE)</f>
        <v xml:space="preserve">KTC JCB</v>
      </c>
      <c r="M3236" t="s">
        <v>131</v>
      </c>
      <c r="N3236" s="10" t="str">
        <f>VLOOKUP(M3236,Accounts!A:B,2,FALSE)</f>
        <v xml:space="preserve">Advance Paid</v>
      </c>
      <c r="O3236" t="s">
        <v>5892</v>
      </c>
      <c r="Q3236" t="s">
        <v>126</v>
      </c>
      <c r="R3236" t="s">
        <v>124</v>
      </c>
      <c r="S3236" t="b">
        <v>0</v>
      </c>
      <c r="T3236" t="s">
        <v>124</v>
      </c>
    </row>
    <row r="3237">
      <c r="A3237" t="s">
        <v>5895</v>
      </c>
      <c r="B3237" t="s">
        <v>5896</v>
      </c>
      <c r="C3237" s="2">
        <v>2022</v>
      </c>
      <c r="D3237" s="10">
        <v>3</v>
      </c>
      <c r="E3237" s="10">
        <v>7</v>
      </c>
      <c r="F3237" t="s">
        <v>3377</v>
      </c>
      <c r="G3237">
        <v>133</v>
      </c>
      <c r="H3237" t="s">
        <v>128</v>
      </c>
      <c r="I3237" t="s">
        <v>136</v>
      </c>
      <c r="J3237" s="10" t="str">
        <f>VLOOKUP(I3237,Categories!A:B,2,FALSE)</f>
        <v>อื่นๆ</v>
      </c>
      <c r="K3237" t="s">
        <v>178</v>
      </c>
      <c r="L3237" s="10" t="str">
        <f>VLOOKUP(K3237,Accounts!A:B,2,FALSE)</f>
        <v>SCB</v>
      </c>
      <c r="M3237" t="s">
        <v>131</v>
      </c>
      <c r="N3237" s="10" t="str">
        <f>VLOOKUP(M3237,Accounts!A:B,2,FALSE)</f>
        <v xml:space="preserve">Advance Paid</v>
      </c>
      <c r="O3237" t="s">
        <v>125</v>
      </c>
      <c r="Q3237" t="s">
        <v>126</v>
      </c>
      <c r="R3237" t="s">
        <v>124</v>
      </c>
      <c r="S3237" t="b">
        <v>0</v>
      </c>
      <c r="T3237" t="s">
        <v>124</v>
      </c>
    </row>
    <row r="3238">
      <c r="A3238" t="s">
        <v>5897</v>
      </c>
      <c r="B3238" t="s">
        <v>5898</v>
      </c>
      <c r="C3238" s="2">
        <v>2022</v>
      </c>
      <c r="D3238" s="10">
        <v>3</v>
      </c>
      <c r="E3238" s="10">
        <v>6</v>
      </c>
      <c r="F3238" t="s">
        <v>1278</v>
      </c>
      <c r="G3238">
        <v>10</v>
      </c>
      <c r="H3238" t="s">
        <v>69</v>
      </c>
      <c r="I3238" t="s">
        <v>150</v>
      </c>
      <c r="J3238" s="10" t="str">
        <f>VLOOKUP(I3238,Categories!A:B,2,FALSE)</f>
        <v xml:space="preserve">Food &amp; Coff</v>
      </c>
      <c r="K3238" t="s">
        <v>178</v>
      </c>
      <c r="L3238" s="10" t="str">
        <f>VLOOKUP(K3238,Accounts!A:B,2,FALSE)</f>
        <v>SCB</v>
      </c>
      <c r="M3238" t="s">
        <v>124</v>
      </c>
      <c r="N3238" s="10"/>
      <c r="O3238" t="s">
        <v>125</v>
      </c>
      <c r="Q3238" t="s">
        <v>126</v>
      </c>
      <c r="R3238" t="s">
        <v>124</v>
      </c>
      <c r="S3238" t="b">
        <v>0</v>
      </c>
      <c r="T3238" t="s">
        <v>124</v>
      </c>
    </row>
    <row r="3239">
      <c r="A3239" t="s">
        <v>5899</v>
      </c>
      <c r="B3239" t="s">
        <v>5898</v>
      </c>
      <c r="C3239" s="2">
        <v>2022</v>
      </c>
      <c r="D3239" s="10">
        <v>3</v>
      </c>
      <c r="E3239" s="10">
        <v>6</v>
      </c>
      <c r="F3239" t="s">
        <v>2148</v>
      </c>
      <c r="G3239">
        <v>200</v>
      </c>
      <c r="H3239" t="s">
        <v>128</v>
      </c>
      <c r="I3239" t="s">
        <v>136</v>
      </c>
      <c r="J3239" s="10" t="str">
        <f>VLOOKUP(I3239,Categories!A:B,2,FALSE)</f>
        <v>อื่นๆ</v>
      </c>
      <c r="K3239" t="s">
        <v>213</v>
      </c>
      <c r="L3239" s="10" t="str">
        <f>VLOOKUP(K3239,Accounts!A:B,2,FALSE)</f>
        <v xml:space="preserve">Krungthai Next</v>
      </c>
      <c r="M3239" t="s">
        <v>2513</v>
      </c>
      <c r="N3239" s="10" t="str">
        <f>VLOOKUP(M3239,Accounts!A:B,2,FALSE)</f>
        <v xml:space="preserve">Pao tung</v>
      </c>
      <c r="O3239" t="s">
        <v>125</v>
      </c>
      <c r="Q3239" t="s">
        <v>126</v>
      </c>
      <c r="R3239" t="s">
        <v>124</v>
      </c>
      <c r="S3239" t="b">
        <v>0</v>
      </c>
      <c r="T3239" t="s">
        <v>124</v>
      </c>
    </row>
    <row r="3240">
      <c r="A3240" t="s">
        <v>5900</v>
      </c>
      <c r="B3240" t="s">
        <v>5898</v>
      </c>
      <c r="C3240" s="2">
        <v>2022</v>
      </c>
      <c r="D3240" s="10">
        <v>3</v>
      </c>
      <c r="E3240" s="10">
        <v>6</v>
      </c>
      <c r="F3240" t="s">
        <v>1534</v>
      </c>
      <c r="G3240">
        <v>30</v>
      </c>
      <c r="H3240" t="s">
        <v>128</v>
      </c>
      <c r="I3240" t="s">
        <v>136</v>
      </c>
      <c r="J3240" s="10" t="str">
        <f>VLOOKUP(I3240,Categories!A:B,2,FALSE)</f>
        <v>อื่นๆ</v>
      </c>
      <c r="K3240" t="s">
        <v>178</v>
      </c>
      <c r="L3240" s="10" t="str">
        <f>VLOOKUP(K3240,Accounts!A:B,2,FALSE)</f>
        <v>SCB</v>
      </c>
      <c r="M3240" t="s">
        <v>131</v>
      </c>
      <c r="N3240" s="10" t="str">
        <f>VLOOKUP(M3240,Accounts!A:B,2,FALSE)</f>
        <v xml:space="preserve">Advance Paid</v>
      </c>
      <c r="O3240" t="s">
        <v>3055</v>
      </c>
      <c r="Q3240" t="s">
        <v>126</v>
      </c>
      <c r="R3240" t="s">
        <v>124</v>
      </c>
      <c r="S3240" t="b">
        <v>0</v>
      </c>
      <c r="T3240" t="s">
        <v>124</v>
      </c>
    </row>
    <row r="3241">
      <c r="A3241" t="s">
        <v>5901</v>
      </c>
      <c r="B3241" t="s">
        <v>5898</v>
      </c>
      <c r="C3241" s="2">
        <v>2022</v>
      </c>
      <c r="D3241" s="10">
        <v>3</v>
      </c>
      <c r="E3241" s="10">
        <v>6</v>
      </c>
      <c r="F3241" t="s">
        <v>582</v>
      </c>
      <c r="G3241">
        <v>332</v>
      </c>
      <c r="H3241" t="s">
        <v>128</v>
      </c>
      <c r="I3241" t="s">
        <v>136</v>
      </c>
      <c r="J3241" s="10" t="str">
        <f>VLOOKUP(I3241,Categories!A:B,2,FALSE)</f>
        <v>อื่นๆ</v>
      </c>
      <c r="K3241" t="s">
        <v>425</v>
      </c>
      <c r="L3241" s="10" t="str">
        <f>VLOOKUP(K3241,Accounts!A:B,2,FALSE)</f>
        <v>Cash</v>
      </c>
      <c r="M3241" t="s">
        <v>131</v>
      </c>
      <c r="N3241" s="10" t="str">
        <f>VLOOKUP(M3241,Accounts!A:B,2,FALSE)</f>
        <v xml:space="preserve">Advance Paid</v>
      </c>
      <c r="O3241" t="s">
        <v>125</v>
      </c>
      <c r="Q3241" t="s">
        <v>126</v>
      </c>
      <c r="R3241" t="s">
        <v>124</v>
      </c>
      <c r="S3241" t="b">
        <v>0</v>
      </c>
      <c r="T3241" t="s">
        <v>124</v>
      </c>
    </row>
    <row r="3242">
      <c r="A3242" t="s">
        <v>5902</v>
      </c>
      <c r="B3242" t="s">
        <v>5898</v>
      </c>
      <c r="C3242" s="2">
        <v>2022</v>
      </c>
      <c r="D3242" s="10">
        <v>3</v>
      </c>
      <c r="E3242" s="10">
        <v>6</v>
      </c>
      <c r="F3242" t="s">
        <v>1100</v>
      </c>
      <c r="G3242">
        <v>664</v>
      </c>
      <c r="H3242" t="s">
        <v>128</v>
      </c>
      <c r="I3242" t="s">
        <v>136</v>
      </c>
      <c r="J3242" s="10" t="str">
        <f>VLOOKUP(I3242,Categories!A:B,2,FALSE)</f>
        <v>อื่นๆ</v>
      </c>
      <c r="K3242" t="s">
        <v>425</v>
      </c>
      <c r="L3242" s="10" t="str">
        <f>VLOOKUP(K3242,Accounts!A:B,2,FALSE)</f>
        <v>Cash</v>
      </c>
      <c r="M3242" t="s">
        <v>178</v>
      </c>
      <c r="N3242" s="10" t="str">
        <f>VLOOKUP(M3242,Accounts!A:B,2,FALSE)</f>
        <v>SCB</v>
      </c>
      <c r="O3242" t="s">
        <v>125</v>
      </c>
      <c r="Q3242" t="s">
        <v>126</v>
      </c>
      <c r="R3242" t="s">
        <v>124</v>
      </c>
      <c r="S3242" t="b">
        <v>0</v>
      </c>
      <c r="T3242" t="s">
        <v>124</v>
      </c>
    </row>
    <row r="3243">
      <c r="A3243" t="s">
        <v>5903</v>
      </c>
      <c r="B3243" t="s">
        <v>5898</v>
      </c>
      <c r="C3243" s="2">
        <v>2022</v>
      </c>
      <c r="D3243" s="10">
        <v>3</v>
      </c>
      <c r="E3243" s="10">
        <v>6</v>
      </c>
      <c r="F3243" t="s">
        <v>5904</v>
      </c>
      <c r="G3243">
        <v>275</v>
      </c>
      <c r="H3243" t="s">
        <v>128</v>
      </c>
      <c r="I3243" t="s">
        <v>136</v>
      </c>
      <c r="J3243" s="10" t="str">
        <f>VLOOKUP(I3243,Categories!A:B,2,FALSE)</f>
        <v>อื่นๆ</v>
      </c>
      <c r="K3243" t="s">
        <v>178</v>
      </c>
      <c r="L3243" s="10" t="str">
        <f>VLOOKUP(K3243,Accounts!A:B,2,FALSE)</f>
        <v>SCB</v>
      </c>
      <c r="M3243" t="s">
        <v>131</v>
      </c>
      <c r="N3243" s="10" t="str">
        <f>VLOOKUP(M3243,Accounts!A:B,2,FALSE)</f>
        <v xml:space="preserve">Advance Paid</v>
      </c>
      <c r="O3243" t="s">
        <v>5905</v>
      </c>
      <c r="Q3243" t="s">
        <v>126</v>
      </c>
      <c r="R3243" t="s">
        <v>124</v>
      </c>
      <c r="S3243" t="b">
        <v>0</v>
      </c>
      <c r="T3243" t="s">
        <v>124</v>
      </c>
    </row>
    <row r="3244">
      <c r="A3244" t="s">
        <v>5906</v>
      </c>
      <c r="B3244" t="s">
        <v>5898</v>
      </c>
      <c r="C3244" s="2">
        <v>2022</v>
      </c>
      <c r="D3244" s="10">
        <v>3</v>
      </c>
      <c r="E3244" s="10">
        <v>6</v>
      </c>
      <c r="F3244" t="s">
        <v>888</v>
      </c>
      <c r="G3244">
        <v>3400</v>
      </c>
      <c r="H3244" t="s">
        <v>128</v>
      </c>
      <c r="I3244" t="s">
        <v>136</v>
      </c>
      <c r="J3244" s="10" t="str">
        <f>VLOOKUP(I3244,Categories!A:B,2,FALSE)</f>
        <v>อื่นๆ</v>
      </c>
      <c r="K3244" t="s">
        <v>178</v>
      </c>
      <c r="L3244" s="10" t="str">
        <f>VLOOKUP(K3244,Accounts!A:B,2,FALSE)</f>
        <v>SCB</v>
      </c>
      <c r="M3244" t="s">
        <v>131</v>
      </c>
      <c r="N3244" s="10" t="str">
        <f>VLOOKUP(M3244,Accounts!A:B,2,FALSE)</f>
        <v xml:space="preserve">Advance Paid</v>
      </c>
      <c r="O3244" t="s">
        <v>125</v>
      </c>
      <c r="Q3244" t="s">
        <v>126</v>
      </c>
      <c r="R3244" t="s">
        <v>124</v>
      </c>
      <c r="S3244" t="b">
        <v>0</v>
      </c>
      <c r="T3244" t="s">
        <v>124</v>
      </c>
    </row>
    <row r="3245">
      <c r="A3245" t="s">
        <v>5907</v>
      </c>
      <c r="B3245" t="s">
        <v>5908</v>
      </c>
      <c r="C3245" s="2">
        <v>2022</v>
      </c>
      <c r="D3245" s="10">
        <v>3</v>
      </c>
      <c r="E3245" s="10">
        <v>5</v>
      </c>
      <c r="F3245" t="s">
        <v>2716</v>
      </c>
      <c r="G3245">
        <v>100</v>
      </c>
      <c r="H3245" t="s">
        <v>128</v>
      </c>
      <c r="I3245" t="s">
        <v>136</v>
      </c>
      <c r="J3245" s="10" t="str">
        <f>VLOOKUP(I3245,Categories!A:B,2,FALSE)</f>
        <v>อื่นๆ</v>
      </c>
      <c r="K3245" t="s">
        <v>130</v>
      </c>
      <c r="L3245" s="10" t="str">
        <f>VLOOKUP(K3245,Accounts!A:B,2,FALSE)</f>
        <v xml:space="preserve">KTC JCB</v>
      </c>
      <c r="M3245" t="s">
        <v>131</v>
      </c>
      <c r="N3245" s="10" t="str">
        <f>VLOOKUP(M3245,Accounts!A:B,2,FALSE)</f>
        <v xml:space="preserve">Advance Paid</v>
      </c>
      <c r="O3245" t="s">
        <v>5909</v>
      </c>
      <c r="Q3245" t="s">
        <v>126</v>
      </c>
      <c r="R3245" t="s">
        <v>124</v>
      </c>
      <c r="S3245" t="b">
        <v>0</v>
      </c>
      <c r="T3245" t="s">
        <v>124</v>
      </c>
    </row>
    <row r="3246">
      <c r="A3246" t="s">
        <v>5910</v>
      </c>
      <c r="B3246" t="s">
        <v>5908</v>
      </c>
      <c r="C3246" s="2">
        <v>2022</v>
      </c>
      <c r="D3246" s="10">
        <v>3</v>
      </c>
      <c r="E3246" s="10">
        <v>5</v>
      </c>
      <c r="F3246" t="s">
        <v>306</v>
      </c>
      <c r="G3246">
        <v>260</v>
      </c>
      <c r="H3246" t="s">
        <v>128</v>
      </c>
      <c r="I3246" t="s">
        <v>136</v>
      </c>
      <c r="J3246" s="10" t="str">
        <f>VLOOKUP(I3246,Categories!A:B,2,FALSE)</f>
        <v>อื่นๆ</v>
      </c>
      <c r="K3246" t="s">
        <v>178</v>
      </c>
      <c r="L3246" s="10" t="str">
        <f>VLOOKUP(K3246,Accounts!A:B,2,FALSE)</f>
        <v>SCB</v>
      </c>
      <c r="M3246" t="s">
        <v>131</v>
      </c>
      <c r="N3246" s="10" t="str">
        <f>VLOOKUP(M3246,Accounts!A:B,2,FALSE)</f>
        <v xml:space="preserve">Advance Paid</v>
      </c>
      <c r="O3246" t="s">
        <v>5911</v>
      </c>
      <c r="Q3246" t="s">
        <v>126</v>
      </c>
      <c r="R3246" t="s">
        <v>124</v>
      </c>
      <c r="S3246" t="b">
        <v>0</v>
      </c>
      <c r="T3246" t="s">
        <v>124</v>
      </c>
    </row>
    <row r="3247">
      <c r="A3247" t="s">
        <v>5912</v>
      </c>
      <c r="B3247" t="s">
        <v>5908</v>
      </c>
      <c r="C3247" s="2">
        <v>2022</v>
      </c>
      <c r="D3247" s="10">
        <v>3</v>
      </c>
      <c r="E3247" s="10">
        <v>5</v>
      </c>
      <c r="F3247" t="s">
        <v>2624</v>
      </c>
      <c r="G3247">
        <v>3000</v>
      </c>
      <c r="H3247" t="s">
        <v>69</v>
      </c>
      <c r="I3247" t="s">
        <v>1455</v>
      </c>
      <c r="J3247" s="10" t="str">
        <f>VLOOKUP(I3247,Categories!A:B,2,FALSE)</f>
        <v xml:space="preserve">Merit and gift</v>
      </c>
      <c r="K3247" t="s">
        <v>425</v>
      </c>
      <c r="L3247" s="10" t="str">
        <f>VLOOKUP(K3247,Accounts!A:B,2,FALSE)</f>
        <v>Cash</v>
      </c>
      <c r="M3247" t="s">
        <v>124</v>
      </c>
      <c r="N3247" s="10"/>
      <c r="O3247" t="s">
        <v>5913</v>
      </c>
      <c r="Q3247" t="s">
        <v>126</v>
      </c>
      <c r="R3247" t="s">
        <v>124</v>
      </c>
      <c r="S3247" t="b">
        <v>0</v>
      </c>
      <c r="T3247" t="s">
        <v>124</v>
      </c>
    </row>
    <row r="3248">
      <c r="A3248" t="s">
        <v>5914</v>
      </c>
      <c r="B3248" t="s">
        <v>5908</v>
      </c>
      <c r="C3248" s="2">
        <v>2022</v>
      </c>
      <c r="D3248" s="10">
        <v>3</v>
      </c>
      <c r="E3248" s="10">
        <v>5</v>
      </c>
      <c r="F3248" t="s">
        <v>791</v>
      </c>
      <c r="G3248">
        <v>1000</v>
      </c>
      <c r="H3248" t="s">
        <v>128</v>
      </c>
      <c r="I3248" t="s">
        <v>136</v>
      </c>
      <c r="J3248" s="10" t="str">
        <f>VLOOKUP(I3248,Categories!A:B,2,FALSE)</f>
        <v>อื่นๆ</v>
      </c>
      <c r="K3248" t="s">
        <v>425</v>
      </c>
      <c r="L3248" s="10" t="str">
        <f>VLOOKUP(K3248,Accounts!A:B,2,FALSE)</f>
        <v>Cash</v>
      </c>
      <c r="M3248" t="s">
        <v>178</v>
      </c>
      <c r="N3248" s="10" t="str">
        <f>VLOOKUP(M3248,Accounts!A:B,2,FALSE)</f>
        <v>SCB</v>
      </c>
      <c r="O3248" t="s">
        <v>125</v>
      </c>
      <c r="Q3248" t="s">
        <v>126</v>
      </c>
      <c r="R3248" t="s">
        <v>124</v>
      </c>
      <c r="S3248" t="b">
        <v>0</v>
      </c>
      <c r="T3248" t="s">
        <v>124</v>
      </c>
    </row>
    <row r="3249">
      <c r="A3249" t="s">
        <v>5915</v>
      </c>
      <c r="B3249" t="s">
        <v>5916</v>
      </c>
      <c r="C3249" s="2">
        <v>2022</v>
      </c>
      <c r="D3249" s="10">
        <v>3</v>
      </c>
      <c r="E3249" s="10">
        <v>4</v>
      </c>
      <c r="F3249" t="s">
        <v>5917</v>
      </c>
      <c r="G3249">
        <v>2197.5</v>
      </c>
      <c r="H3249" t="s">
        <v>206</v>
      </c>
      <c r="I3249" t="s">
        <v>281</v>
      </c>
      <c r="J3249" s="10" t="str">
        <f>VLOOKUP(I3249,Categories!A:B,2,FALSE)</f>
        <v>Others</v>
      </c>
      <c r="K3249" t="s">
        <v>178</v>
      </c>
      <c r="L3249" s="10" t="str">
        <f>VLOOKUP(K3249,Accounts!A:B,2,FALSE)</f>
        <v>SCB</v>
      </c>
      <c r="M3249" t="s">
        <v>124</v>
      </c>
      <c r="N3249" s="10"/>
      <c r="O3249" t="s">
        <v>125</v>
      </c>
      <c r="Q3249" t="s">
        <v>126</v>
      </c>
      <c r="R3249" t="s">
        <v>124</v>
      </c>
      <c r="S3249" t="b">
        <v>0</v>
      </c>
      <c r="T3249" t="s">
        <v>124</v>
      </c>
    </row>
    <row r="3250">
      <c r="A3250" t="s">
        <v>5918</v>
      </c>
      <c r="B3250" t="s">
        <v>5916</v>
      </c>
      <c r="C3250" s="2">
        <v>2022</v>
      </c>
      <c r="D3250" s="10">
        <v>3</v>
      </c>
      <c r="E3250" s="10">
        <v>4</v>
      </c>
      <c r="F3250" t="s">
        <v>1689</v>
      </c>
      <c r="G3250">
        <v>230</v>
      </c>
      <c r="H3250" t="s">
        <v>128</v>
      </c>
      <c r="I3250" t="s">
        <v>136</v>
      </c>
      <c r="J3250" s="10" t="str">
        <f>VLOOKUP(I3250,Categories!A:B,2,FALSE)</f>
        <v>อื่นๆ</v>
      </c>
      <c r="K3250" t="s">
        <v>178</v>
      </c>
      <c r="L3250" s="10" t="str">
        <f>VLOOKUP(K3250,Accounts!A:B,2,FALSE)</f>
        <v>SCB</v>
      </c>
      <c r="M3250" t="s">
        <v>131</v>
      </c>
      <c r="N3250" s="10" t="str">
        <f>VLOOKUP(M3250,Accounts!A:B,2,FALSE)</f>
        <v xml:space="preserve">Advance Paid</v>
      </c>
      <c r="O3250" t="s">
        <v>5919</v>
      </c>
      <c r="Q3250" t="s">
        <v>126</v>
      </c>
      <c r="R3250" t="s">
        <v>124</v>
      </c>
      <c r="S3250" t="b">
        <v>0</v>
      </c>
      <c r="T3250" t="s">
        <v>124</v>
      </c>
    </row>
    <row r="3251">
      <c r="A3251" t="s">
        <v>5920</v>
      </c>
      <c r="B3251" t="s">
        <v>5916</v>
      </c>
      <c r="C3251" s="2">
        <v>2022</v>
      </c>
      <c r="D3251" s="10">
        <v>3</v>
      </c>
      <c r="E3251" s="10">
        <v>4</v>
      </c>
      <c r="F3251" t="s">
        <v>253</v>
      </c>
      <c r="G3251">
        <v>127</v>
      </c>
      <c r="H3251" t="s">
        <v>128</v>
      </c>
      <c r="I3251" t="s">
        <v>136</v>
      </c>
      <c r="J3251" s="10" t="str">
        <f>VLOOKUP(I3251,Categories!A:B,2,FALSE)</f>
        <v>อื่นๆ</v>
      </c>
      <c r="K3251" t="s">
        <v>178</v>
      </c>
      <c r="L3251" s="10" t="str">
        <f>VLOOKUP(K3251,Accounts!A:B,2,FALSE)</f>
        <v>SCB</v>
      </c>
      <c r="M3251" t="s">
        <v>131</v>
      </c>
      <c r="N3251" s="10" t="str">
        <f>VLOOKUP(M3251,Accounts!A:B,2,FALSE)</f>
        <v xml:space="preserve">Advance Paid</v>
      </c>
      <c r="O3251" t="s">
        <v>5921</v>
      </c>
      <c r="Q3251" t="s">
        <v>126</v>
      </c>
      <c r="R3251" t="s">
        <v>124</v>
      </c>
      <c r="S3251" t="b">
        <v>0</v>
      </c>
      <c r="T3251" t="s">
        <v>124</v>
      </c>
    </row>
    <row r="3252">
      <c r="A3252" t="s">
        <v>5922</v>
      </c>
      <c r="B3252" t="s">
        <v>5923</v>
      </c>
      <c r="C3252" s="2">
        <v>2022</v>
      </c>
      <c r="D3252" s="10">
        <v>3</v>
      </c>
      <c r="E3252" s="10">
        <v>3</v>
      </c>
      <c r="F3252" t="s">
        <v>1002</v>
      </c>
      <c r="G3252">
        <v>2071</v>
      </c>
      <c r="H3252" t="s">
        <v>69</v>
      </c>
      <c r="I3252" t="s">
        <v>157</v>
      </c>
      <c r="J3252" s="10" t="str">
        <f>VLOOKUP(I3252,Categories!A:B,2,FALSE)</f>
        <v>Boardgame</v>
      </c>
      <c r="K3252" t="s">
        <v>178</v>
      </c>
      <c r="L3252" s="10" t="str">
        <f>VLOOKUP(K3252,Accounts!A:B,2,FALSE)</f>
        <v>SCB</v>
      </c>
      <c r="M3252" t="s">
        <v>124</v>
      </c>
      <c r="N3252" s="10"/>
      <c r="O3252" t="s">
        <v>125</v>
      </c>
      <c r="Q3252" t="s">
        <v>126</v>
      </c>
      <c r="R3252" t="s">
        <v>124</v>
      </c>
      <c r="S3252" t="b">
        <v>0</v>
      </c>
      <c r="T3252" t="s">
        <v>124</v>
      </c>
    </row>
    <row r="3253">
      <c r="A3253" t="s">
        <v>5924</v>
      </c>
      <c r="B3253" t="s">
        <v>5923</v>
      </c>
      <c r="C3253" s="2">
        <v>2022</v>
      </c>
      <c r="D3253" s="10">
        <v>3</v>
      </c>
      <c r="E3253" s="10">
        <v>3</v>
      </c>
      <c r="F3253" t="s">
        <v>3775</v>
      </c>
      <c r="G3253">
        <v>5000</v>
      </c>
      <c r="H3253" t="s">
        <v>128</v>
      </c>
      <c r="I3253" t="s">
        <v>136</v>
      </c>
      <c r="J3253" s="10" t="str">
        <f>VLOOKUP(I3253,Categories!A:B,2,FALSE)</f>
        <v>อื่นๆ</v>
      </c>
      <c r="K3253" t="s">
        <v>844</v>
      </c>
      <c r="L3253" s="10" t="str">
        <f>VLOOKUP(K3253,Accounts!A:B,2,FALSE)</f>
        <v>BBL</v>
      </c>
      <c r="M3253" t="s">
        <v>425</v>
      </c>
      <c r="N3253" s="10" t="str">
        <f>VLOOKUP(M3253,Accounts!A:B,2,FALSE)</f>
        <v>Cash</v>
      </c>
      <c r="O3253" t="s">
        <v>125</v>
      </c>
      <c r="Q3253" t="s">
        <v>126</v>
      </c>
      <c r="R3253" t="s">
        <v>124</v>
      </c>
      <c r="S3253" t="b">
        <v>0</v>
      </c>
      <c r="T3253" t="s">
        <v>124</v>
      </c>
    </row>
    <row r="3254">
      <c r="A3254" t="s">
        <v>5925</v>
      </c>
      <c r="B3254" t="s">
        <v>5923</v>
      </c>
      <c r="C3254" s="2">
        <v>2022</v>
      </c>
      <c r="D3254" s="10">
        <v>3</v>
      </c>
      <c r="E3254" s="10">
        <v>3</v>
      </c>
      <c r="F3254" t="s">
        <v>2107</v>
      </c>
      <c r="G3254">
        <v>4294.3000000000002</v>
      </c>
      <c r="H3254" t="s">
        <v>69</v>
      </c>
      <c r="I3254" t="s">
        <v>139</v>
      </c>
      <c r="J3254" s="10" t="str">
        <f>VLOOKUP(I3254,Categories!A:B,2,FALSE)</f>
        <v>Condo</v>
      </c>
      <c r="K3254" t="s">
        <v>178</v>
      </c>
      <c r="L3254" s="10" t="str">
        <f>VLOOKUP(K3254,Accounts!A:B,2,FALSE)</f>
        <v>SCB</v>
      </c>
      <c r="M3254" t="s">
        <v>124</v>
      </c>
      <c r="N3254" s="10"/>
      <c r="O3254" t="s">
        <v>125</v>
      </c>
      <c r="Q3254" t="s">
        <v>126</v>
      </c>
      <c r="R3254" t="s">
        <v>124</v>
      </c>
      <c r="S3254" t="b">
        <v>0</v>
      </c>
      <c r="T3254" t="s">
        <v>124</v>
      </c>
    </row>
    <row r="3255">
      <c r="A3255" t="s">
        <v>5926</v>
      </c>
      <c r="B3255" t="s">
        <v>5927</v>
      </c>
      <c r="C3255" s="2">
        <v>2022</v>
      </c>
      <c r="D3255" s="10">
        <v>3</v>
      </c>
      <c r="E3255" s="10">
        <v>1</v>
      </c>
      <c r="F3255" t="s">
        <v>121</v>
      </c>
      <c r="G3255">
        <v>10000</v>
      </c>
      <c r="H3255" t="s">
        <v>128</v>
      </c>
      <c r="I3255" t="s">
        <v>136</v>
      </c>
      <c r="J3255" s="10" t="str">
        <f>VLOOKUP(I3255,Categories!A:B,2,FALSE)</f>
        <v>อื่นๆ</v>
      </c>
      <c r="K3255" t="s">
        <v>178</v>
      </c>
      <c r="L3255" s="10" t="str">
        <f>VLOOKUP(K3255,Accounts!A:B,2,FALSE)</f>
        <v>SCB</v>
      </c>
      <c r="M3255" t="s">
        <v>2317</v>
      </c>
      <c r="N3255" s="10" t="str">
        <f>VLOOKUP(M3255,Accounts!A:B,2,FALSE)</f>
        <v xml:space="preserve">Marriage account</v>
      </c>
      <c r="O3255" t="s">
        <v>125</v>
      </c>
      <c r="Q3255" t="s">
        <v>126</v>
      </c>
      <c r="R3255" t="s">
        <v>124</v>
      </c>
      <c r="S3255" t="b">
        <v>0</v>
      </c>
      <c r="T3255" t="s">
        <v>124</v>
      </c>
    </row>
    <row r="3256">
      <c r="A3256" t="s">
        <v>5928</v>
      </c>
      <c r="B3256" t="s">
        <v>5929</v>
      </c>
      <c r="C3256" s="2">
        <v>2022</v>
      </c>
      <c r="D3256" s="10">
        <v>2</v>
      </c>
      <c r="E3256" s="10">
        <v>28</v>
      </c>
      <c r="F3256" t="s">
        <v>121</v>
      </c>
      <c r="G3256">
        <v>5000</v>
      </c>
      <c r="H3256" t="s">
        <v>69</v>
      </c>
      <c r="I3256" t="s">
        <v>144</v>
      </c>
      <c r="J3256" s="10" t="str">
        <f>VLOOKUP(I3256,Categories!A:B,2,FALSE)</f>
        <v xml:space="preserve">Family paid</v>
      </c>
      <c r="K3256" t="s">
        <v>178</v>
      </c>
      <c r="L3256" s="10" t="str">
        <f>VLOOKUP(K3256,Accounts!A:B,2,FALSE)</f>
        <v>SCB</v>
      </c>
      <c r="M3256" t="s">
        <v>124</v>
      </c>
      <c r="N3256" s="10"/>
      <c r="O3256" t="s">
        <v>125</v>
      </c>
      <c r="Q3256" t="s">
        <v>126</v>
      </c>
      <c r="R3256" t="s">
        <v>124</v>
      </c>
      <c r="S3256" t="b">
        <v>0</v>
      </c>
      <c r="T3256" t="s">
        <v>124</v>
      </c>
    </row>
    <row r="3257">
      <c r="A3257" t="s">
        <v>5930</v>
      </c>
      <c r="B3257" t="s">
        <v>5929</v>
      </c>
      <c r="C3257" s="2">
        <v>2022</v>
      </c>
      <c r="D3257" s="10">
        <v>2</v>
      </c>
      <c r="E3257" s="10">
        <v>28</v>
      </c>
      <c r="F3257" t="s">
        <v>2375</v>
      </c>
      <c r="G3257">
        <v>40000</v>
      </c>
      <c r="H3257" t="s">
        <v>128</v>
      </c>
      <c r="I3257" t="s">
        <v>136</v>
      </c>
      <c r="J3257" s="10" t="str">
        <f>VLOOKUP(I3257,Categories!A:B,2,FALSE)</f>
        <v>อื่นๆ</v>
      </c>
      <c r="K3257" t="s">
        <v>3248</v>
      </c>
      <c r="L3257" s="10" t="str">
        <f>VLOOKUP(K3257,Accounts!A:B,2,FALSE)</f>
        <v>Loan</v>
      </c>
      <c r="M3257" t="s">
        <v>178</v>
      </c>
      <c r="N3257" s="10" t="str">
        <f>VLOOKUP(M3257,Accounts!A:B,2,FALSE)</f>
        <v>SCB</v>
      </c>
      <c r="O3257" t="s">
        <v>5931</v>
      </c>
      <c r="Q3257" t="s">
        <v>126</v>
      </c>
      <c r="R3257" t="s">
        <v>124</v>
      </c>
      <c r="S3257" t="b">
        <v>0</v>
      </c>
      <c r="T3257" t="s">
        <v>124</v>
      </c>
    </row>
    <row r="3258">
      <c r="A3258" t="s">
        <v>5932</v>
      </c>
      <c r="B3258" t="s">
        <v>5929</v>
      </c>
      <c r="C3258" s="2">
        <v>2022</v>
      </c>
      <c r="D3258" s="10">
        <v>2</v>
      </c>
      <c r="E3258" s="10">
        <v>28</v>
      </c>
      <c r="F3258" t="s">
        <v>1875</v>
      </c>
      <c r="G3258">
        <v>323.89999999999998</v>
      </c>
      <c r="H3258" t="s">
        <v>128</v>
      </c>
      <c r="I3258" t="s">
        <v>136</v>
      </c>
      <c r="J3258" s="10" t="str">
        <f>VLOOKUP(I3258,Categories!A:B,2,FALSE)</f>
        <v>อื่นๆ</v>
      </c>
      <c r="K3258" t="s">
        <v>1308</v>
      </c>
      <c r="L3258" s="10" t="str">
        <f>VLOOKUP(K3258,Accounts!A:B,2,FALSE)</f>
        <v xml:space="preserve">UOB Privilages</v>
      </c>
      <c r="M3258" t="s">
        <v>131</v>
      </c>
      <c r="N3258" s="10" t="str">
        <f>VLOOKUP(M3258,Accounts!A:B,2,FALSE)</f>
        <v xml:space="preserve">Advance Paid</v>
      </c>
      <c r="O3258" t="s">
        <v>5933</v>
      </c>
      <c r="Q3258" t="s">
        <v>126</v>
      </c>
      <c r="R3258" t="s">
        <v>124</v>
      </c>
      <c r="S3258" t="b">
        <v>0</v>
      </c>
      <c r="T3258" t="s">
        <v>124</v>
      </c>
    </row>
    <row r="3259">
      <c r="A3259" t="s">
        <v>5934</v>
      </c>
      <c r="B3259" t="s">
        <v>5929</v>
      </c>
      <c r="C3259" s="2">
        <v>2022</v>
      </c>
      <c r="D3259" s="10">
        <v>2</v>
      </c>
      <c r="E3259" s="10">
        <v>28</v>
      </c>
      <c r="F3259" t="s">
        <v>843</v>
      </c>
      <c r="G3259">
        <v>211</v>
      </c>
      <c r="H3259" t="s">
        <v>128</v>
      </c>
      <c r="I3259" t="s">
        <v>136</v>
      </c>
      <c r="J3259" s="10" t="str">
        <f>VLOOKUP(I3259,Categories!A:B,2,FALSE)</f>
        <v>อื่นๆ</v>
      </c>
      <c r="K3259" t="s">
        <v>178</v>
      </c>
      <c r="L3259" s="10" t="str">
        <f>VLOOKUP(K3259,Accounts!A:B,2,FALSE)</f>
        <v>SCB</v>
      </c>
      <c r="M3259" t="s">
        <v>131</v>
      </c>
      <c r="N3259" s="10" t="str">
        <f>VLOOKUP(M3259,Accounts!A:B,2,FALSE)</f>
        <v xml:space="preserve">Advance Paid</v>
      </c>
      <c r="O3259" t="s">
        <v>125</v>
      </c>
      <c r="Q3259" t="s">
        <v>126</v>
      </c>
      <c r="R3259" t="s">
        <v>124</v>
      </c>
      <c r="S3259" t="b">
        <v>0</v>
      </c>
      <c r="T3259" t="s">
        <v>124</v>
      </c>
    </row>
    <row r="3260">
      <c r="A3260" t="s">
        <v>5935</v>
      </c>
      <c r="B3260" t="s">
        <v>5936</v>
      </c>
      <c r="C3260" s="2">
        <v>2022</v>
      </c>
      <c r="D3260" s="10">
        <v>2</v>
      </c>
      <c r="E3260" s="10">
        <v>27</v>
      </c>
      <c r="F3260" t="s">
        <v>341</v>
      </c>
      <c r="G3260">
        <v>456.75</v>
      </c>
      <c r="H3260" t="s">
        <v>128</v>
      </c>
      <c r="I3260" t="s">
        <v>136</v>
      </c>
      <c r="J3260" s="10" t="str">
        <f>VLOOKUP(I3260,Categories!A:B,2,FALSE)</f>
        <v>อื่นๆ</v>
      </c>
      <c r="K3260" t="s">
        <v>130</v>
      </c>
      <c r="L3260" s="10" t="str">
        <f>VLOOKUP(K3260,Accounts!A:B,2,FALSE)</f>
        <v xml:space="preserve">KTC JCB</v>
      </c>
      <c r="M3260" t="s">
        <v>131</v>
      </c>
      <c r="N3260" s="10" t="str">
        <f>VLOOKUP(M3260,Accounts!A:B,2,FALSE)</f>
        <v xml:space="preserve">Advance Paid</v>
      </c>
      <c r="O3260" t="s">
        <v>5937</v>
      </c>
      <c r="Q3260" t="s">
        <v>126</v>
      </c>
      <c r="R3260" t="s">
        <v>124</v>
      </c>
      <c r="S3260" t="b">
        <v>0</v>
      </c>
      <c r="T3260" t="s">
        <v>124</v>
      </c>
    </row>
    <row r="3261">
      <c r="A3261" t="s">
        <v>5938</v>
      </c>
      <c r="B3261" t="s">
        <v>5936</v>
      </c>
      <c r="C3261" s="2">
        <v>2022</v>
      </c>
      <c r="D3261" s="10">
        <v>2</v>
      </c>
      <c r="E3261" s="10">
        <v>27</v>
      </c>
      <c r="F3261" t="s">
        <v>5496</v>
      </c>
      <c r="G3261">
        <v>33</v>
      </c>
      <c r="H3261" t="s">
        <v>69</v>
      </c>
      <c r="I3261" t="s">
        <v>141</v>
      </c>
      <c r="J3261" s="10" t="str">
        <f>VLOOKUP(I3261,Categories!A:B,2,FALSE)</f>
        <v>Other</v>
      </c>
      <c r="K3261" t="s">
        <v>743</v>
      </c>
      <c r="L3261" s="10" t="str">
        <f>VLOOKUP(K3261,Accounts!A:B,2,FALSE)</f>
        <v>HOMEPRO</v>
      </c>
      <c r="M3261" t="s">
        <v>124</v>
      </c>
      <c r="N3261" s="10"/>
      <c r="O3261" t="s">
        <v>125</v>
      </c>
      <c r="Q3261" t="s">
        <v>126</v>
      </c>
      <c r="R3261" t="s">
        <v>124</v>
      </c>
      <c r="S3261" t="b">
        <v>0</v>
      </c>
      <c r="T3261" t="s">
        <v>124</v>
      </c>
    </row>
    <row r="3262">
      <c r="A3262" t="s">
        <v>5939</v>
      </c>
      <c r="B3262" t="s">
        <v>5936</v>
      </c>
      <c r="C3262" s="2">
        <v>2022</v>
      </c>
      <c r="D3262" s="10">
        <v>2</v>
      </c>
      <c r="E3262" s="10">
        <v>27</v>
      </c>
      <c r="F3262" t="s">
        <v>3508</v>
      </c>
      <c r="G3262">
        <v>55</v>
      </c>
      <c r="H3262" t="s">
        <v>69</v>
      </c>
      <c r="I3262" t="s">
        <v>150</v>
      </c>
      <c r="J3262" s="10" t="str">
        <f>VLOOKUP(I3262,Categories!A:B,2,FALSE)</f>
        <v xml:space="preserve">Food &amp; Coff</v>
      </c>
      <c r="K3262" t="s">
        <v>123</v>
      </c>
      <c r="L3262" s="10" t="str">
        <f>VLOOKUP(K3262,Accounts!A:B,2,FALSE)</f>
        <v>KBank</v>
      </c>
      <c r="M3262" t="s">
        <v>124</v>
      </c>
      <c r="N3262" s="10"/>
      <c r="O3262" t="s">
        <v>125</v>
      </c>
      <c r="Q3262" t="s">
        <v>126</v>
      </c>
      <c r="R3262" t="s">
        <v>124</v>
      </c>
      <c r="S3262" t="b">
        <v>0</v>
      </c>
      <c r="T3262" t="s">
        <v>124</v>
      </c>
    </row>
    <row r="3263">
      <c r="A3263" t="s">
        <v>5940</v>
      </c>
      <c r="B3263" t="s">
        <v>5936</v>
      </c>
      <c r="C3263" s="2">
        <v>2022</v>
      </c>
      <c r="D3263" s="10">
        <v>2</v>
      </c>
      <c r="E3263" s="10">
        <v>27</v>
      </c>
      <c r="F3263" t="s">
        <v>489</v>
      </c>
      <c r="G3263">
        <v>5000</v>
      </c>
      <c r="H3263" t="s">
        <v>128</v>
      </c>
      <c r="I3263" t="s">
        <v>136</v>
      </c>
      <c r="J3263" s="10" t="str">
        <f>VLOOKUP(I3263,Categories!A:B,2,FALSE)</f>
        <v>อื่นๆ</v>
      </c>
      <c r="K3263" t="s">
        <v>844</v>
      </c>
      <c r="L3263" s="10" t="str">
        <f>VLOOKUP(K3263,Accounts!A:B,2,FALSE)</f>
        <v>BBL</v>
      </c>
      <c r="M3263" t="s">
        <v>425</v>
      </c>
      <c r="N3263" s="10" t="str">
        <f>VLOOKUP(M3263,Accounts!A:B,2,FALSE)</f>
        <v>Cash</v>
      </c>
      <c r="O3263" t="s">
        <v>125</v>
      </c>
      <c r="Q3263" t="s">
        <v>126</v>
      </c>
      <c r="R3263" t="s">
        <v>124</v>
      </c>
      <c r="S3263" t="b">
        <v>0</v>
      </c>
      <c r="T3263" t="s">
        <v>124</v>
      </c>
    </row>
    <row r="3264">
      <c r="A3264" t="s">
        <v>5941</v>
      </c>
      <c r="B3264" t="s">
        <v>5942</v>
      </c>
      <c r="C3264" s="2">
        <v>2022</v>
      </c>
      <c r="D3264" s="10">
        <v>2</v>
      </c>
      <c r="E3264" s="10">
        <v>26</v>
      </c>
      <c r="F3264" t="s">
        <v>1947</v>
      </c>
      <c r="G3264">
        <v>1338</v>
      </c>
      <c r="H3264" t="s">
        <v>128</v>
      </c>
      <c r="I3264" t="s">
        <v>136</v>
      </c>
      <c r="J3264" s="10" t="str">
        <f>VLOOKUP(I3264,Categories!A:B,2,FALSE)</f>
        <v>อื่นๆ</v>
      </c>
      <c r="K3264" t="s">
        <v>2317</v>
      </c>
      <c r="L3264" s="10" t="str">
        <f>VLOOKUP(K3264,Accounts!A:B,2,FALSE)</f>
        <v xml:space="preserve">Marriage account</v>
      </c>
      <c r="M3264" t="s">
        <v>178</v>
      </c>
      <c r="N3264" s="10" t="str">
        <f>VLOOKUP(M3264,Accounts!A:B,2,FALSE)</f>
        <v>SCB</v>
      </c>
      <c r="O3264" t="s">
        <v>125</v>
      </c>
      <c r="Q3264" t="s">
        <v>126</v>
      </c>
      <c r="R3264" t="s">
        <v>124</v>
      </c>
      <c r="S3264" t="b">
        <v>0</v>
      </c>
      <c r="T3264" t="s">
        <v>124</v>
      </c>
    </row>
    <row r="3265">
      <c r="A3265" t="s">
        <v>5943</v>
      </c>
      <c r="B3265" t="s">
        <v>5942</v>
      </c>
      <c r="C3265" s="2">
        <v>2022</v>
      </c>
      <c r="D3265" s="10">
        <v>2</v>
      </c>
      <c r="E3265" s="10">
        <v>26</v>
      </c>
      <c r="F3265" t="s">
        <v>1931</v>
      </c>
      <c r="G3265">
        <v>95</v>
      </c>
      <c r="H3265" t="s">
        <v>206</v>
      </c>
      <c r="I3265" t="s">
        <v>281</v>
      </c>
      <c r="J3265" s="10" t="str">
        <f>VLOOKUP(I3265,Categories!A:B,2,FALSE)</f>
        <v>Others</v>
      </c>
      <c r="K3265" t="s">
        <v>178</v>
      </c>
      <c r="L3265" s="10" t="str">
        <f>VLOOKUP(K3265,Accounts!A:B,2,FALSE)</f>
        <v>SCB</v>
      </c>
      <c r="M3265" t="s">
        <v>124</v>
      </c>
      <c r="N3265" s="10"/>
      <c r="O3265" t="s">
        <v>5944</v>
      </c>
      <c r="Q3265" t="s">
        <v>126</v>
      </c>
      <c r="R3265" t="s">
        <v>124</v>
      </c>
      <c r="S3265" t="b">
        <v>0</v>
      </c>
      <c r="T3265" t="s">
        <v>124</v>
      </c>
    </row>
    <row r="3266">
      <c r="A3266" t="s">
        <v>5945</v>
      </c>
      <c r="B3266" t="s">
        <v>5942</v>
      </c>
      <c r="C3266" s="2">
        <v>2022</v>
      </c>
      <c r="D3266" s="10">
        <v>2</v>
      </c>
      <c r="E3266" s="10">
        <v>26</v>
      </c>
      <c r="F3266" t="s">
        <v>1843</v>
      </c>
      <c r="G3266">
        <v>5000</v>
      </c>
      <c r="H3266" t="s">
        <v>128</v>
      </c>
      <c r="I3266" t="s">
        <v>136</v>
      </c>
      <c r="J3266" s="10" t="str">
        <f>VLOOKUP(I3266,Categories!A:B,2,FALSE)</f>
        <v>อื่นๆ</v>
      </c>
      <c r="K3266" t="s">
        <v>178</v>
      </c>
      <c r="L3266" s="10" t="str">
        <f>VLOOKUP(K3266,Accounts!A:B,2,FALSE)</f>
        <v>SCB</v>
      </c>
      <c r="M3266" t="s">
        <v>2317</v>
      </c>
      <c r="N3266" s="10" t="str">
        <f>VLOOKUP(M3266,Accounts!A:B,2,FALSE)</f>
        <v xml:space="preserve">Marriage account</v>
      </c>
      <c r="O3266" t="s">
        <v>125</v>
      </c>
      <c r="Q3266" t="s">
        <v>126</v>
      </c>
      <c r="R3266" t="s">
        <v>124</v>
      </c>
      <c r="S3266" t="b">
        <v>0</v>
      </c>
      <c r="T3266" t="s">
        <v>124</v>
      </c>
    </row>
    <row r="3267">
      <c r="A3267" t="s">
        <v>5946</v>
      </c>
      <c r="B3267" t="s">
        <v>5942</v>
      </c>
      <c r="C3267" s="2">
        <v>2022</v>
      </c>
      <c r="D3267" s="10">
        <v>2</v>
      </c>
      <c r="E3267" s="10">
        <v>26</v>
      </c>
      <c r="F3267" t="s">
        <v>742</v>
      </c>
      <c r="G3267">
        <v>611</v>
      </c>
      <c r="H3267" t="s">
        <v>69</v>
      </c>
      <c r="I3267" t="s">
        <v>1679</v>
      </c>
      <c r="J3267" s="10" t="str">
        <f>VLOOKUP(I3267,Categories!A:B,2,FALSE)</f>
        <v xml:space="preserve">Condo stuff</v>
      </c>
      <c r="K3267" t="s">
        <v>130</v>
      </c>
      <c r="L3267" s="10" t="str">
        <f>VLOOKUP(K3267,Accounts!A:B,2,FALSE)</f>
        <v xml:space="preserve">KTC JCB</v>
      </c>
      <c r="M3267" t="s">
        <v>124</v>
      </c>
      <c r="N3267" s="10"/>
      <c r="O3267" t="s">
        <v>125</v>
      </c>
      <c r="Q3267" t="s">
        <v>126</v>
      </c>
      <c r="R3267" t="s">
        <v>124</v>
      </c>
      <c r="S3267" t="b">
        <v>0</v>
      </c>
      <c r="T3267" t="s">
        <v>124</v>
      </c>
    </row>
    <row r="3268">
      <c r="A3268" t="s">
        <v>5947</v>
      </c>
      <c r="B3268" t="s">
        <v>5942</v>
      </c>
      <c r="C3268" s="2">
        <v>2022</v>
      </c>
      <c r="D3268" s="10">
        <v>2</v>
      </c>
      <c r="E3268" s="10">
        <v>26</v>
      </c>
      <c r="F3268" t="s">
        <v>742</v>
      </c>
      <c r="G3268">
        <v>1790</v>
      </c>
      <c r="H3268" t="s">
        <v>69</v>
      </c>
      <c r="I3268" t="s">
        <v>134</v>
      </c>
      <c r="J3268" s="10" t="str">
        <f>VLOOKUP(I3268,Categories!A:B,2,FALSE)</f>
        <v>Hong</v>
      </c>
      <c r="K3268" t="s">
        <v>130</v>
      </c>
      <c r="L3268" s="10" t="str">
        <f>VLOOKUP(K3268,Accounts!A:B,2,FALSE)</f>
        <v xml:space="preserve">KTC JCB</v>
      </c>
      <c r="M3268" t="s">
        <v>124</v>
      </c>
      <c r="N3268" s="10"/>
      <c r="O3268" t="s">
        <v>125</v>
      </c>
      <c r="Q3268" t="s">
        <v>126</v>
      </c>
      <c r="R3268" t="s">
        <v>124</v>
      </c>
      <c r="S3268" t="b">
        <v>0</v>
      </c>
      <c r="T3268" t="s">
        <v>124</v>
      </c>
    </row>
    <row r="3269">
      <c r="A3269" t="s">
        <v>5948</v>
      </c>
      <c r="B3269" t="s">
        <v>5942</v>
      </c>
      <c r="C3269" s="2">
        <v>2022</v>
      </c>
      <c r="D3269" s="10">
        <v>2</v>
      </c>
      <c r="E3269" s="10">
        <v>26</v>
      </c>
      <c r="F3269" t="s">
        <v>5386</v>
      </c>
      <c r="G3269">
        <v>13507.6</v>
      </c>
      <c r="H3269" t="s">
        <v>128</v>
      </c>
      <c r="I3269" t="s">
        <v>136</v>
      </c>
      <c r="J3269" s="10" t="str">
        <f>VLOOKUP(I3269,Categories!A:B,2,FALSE)</f>
        <v>อื่นๆ</v>
      </c>
      <c r="K3269" t="s">
        <v>178</v>
      </c>
      <c r="L3269" s="10" t="str">
        <f>VLOOKUP(K3269,Accounts!A:B,2,FALSE)</f>
        <v>SCB</v>
      </c>
      <c r="M3269" t="s">
        <v>130</v>
      </c>
      <c r="N3269" s="10" t="str">
        <f>VLOOKUP(M3269,Accounts!A:B,2,FALSE)</f>
        <v xml:space="preserve">KTC JCB</v>
      </c>
      <c r="O3269" t="s">
        <v>125</v>
      </c>
      <c r="Q3269" t="s">
        <v>126</v>
      </c>
      <c r="R3269" t="s">
        <v>124</v>
      </c>
      <c r="S3269" t="b">
        <v>0</v>
      </c>
      <c r="T3269" t="s">
        <v>124</v>
      </c>
    </row>
    <row r="3270">
      <c r="A3270" t="s">
        <v>5949</v>
      </c>
      <c r="B3270" t="s">
        <v>5942</v>
      </c>
      <c r="C3270" s="2">
        <v>2022</v>
      </c>
      <c r="D3270" s="10">
        <v>2</v>
      </c>
      <c r="E3270" s="10">
        <v>26</v>
      </c>
      <c r="F3270" t="s">
        <v>5950</v>
      </c>
      <c r="G3270">
        <v>920</v>
      </c>
      <c r="H3270" t="s">
        <v>128</v>
      </c>
      <c r="I3270" t="s">
        <v>136</v>
      </c>
      <c r="J3270" s="10" t="str">
        <f>VLOOKUP(I3270,Categories!A:B,2,FALSE)</f>
        <v>อื่นๆ</v>
      </c>
      <c r="K3270" t="s">
        <v>1308</v>
      </c>
      <c r="L3270" s="10" t="str">
        <f>VLOOKUP(K3270,Accounts!A:B,2,FALSE)</f>
        <v xml:space="preserve">UOB Privilages</v>
      </c>
      <c r="M3270" t="s">
        <v>178</v>
      </c>
      <c r="N3270" s="10" t="str">
        <f>VLOOKUP(M3270,Accounts!A:B,2,FALSE)</f>
        <v>SCB</v>
      </c>
      <c r="O3270" t="s">
        <v>125</v>
      </c>
      <c r="Q3270" t="s">
        <v>126</v>
      </c>
      <c r="R3270" t="s">
        <v>124</v>
      </c>
      <c r="S3270" t="b">
        <v>0</v>
      </c>
      <c r="T3270" t="s">
        <v>124</v>
      </c>
    </row>
    <row r="3271">
      <c r="A3271" t="s">
        <v>5951</v>
      </c>
      <c r="B3271" t="s">
        <v>5942</v>
      </c>
      <c r="C3271" s="2">
        <v>2022</v>
      </c>
      <c r="D3271" s="10">
        <v>2</v>
      </c>
      <c r="E3271" s="10">
        <v>26</v>
      </c>
      <c r="F3271" t="s">
        <v>4435</v>
      </c>
      <c r="G3271">
        <v>8757</v>
      </c>
      <c r="H3271" t="s">
        <v>128</v>
      </c>
      <c r="I3271" t="s">
        <v>136</v>
      </c>
      <c r="J3271" s="10" t="str">
        <f>VLOOKUP(I3271,Categories!A:B,2,FALSE)</f>
        <v>อื่นๆ</v>
      </c>
      <c r="K3271" t="s">
        <v>178</v>
      </c>
      <c r="L3271" s="10" t="str">
        <f>VLOOKUP(K3271,Accounts!A:B,2,FALSE)</f>
        <v>SCB</v>
      </c>
      <c r="M3271" t="s">
        <v>743</v>
      </c>
      <c r="N3271" s="10" t="str">
        <f>VLOOKUP(M3271,Accounts!A:B,2,FALSE)</f>
        <v>HOMEPRO</v>
      </c>
      <c r="O3271" t="s">
        <v>125</v>
      </c>
      <c r="Q3271" t="s">
        <v>126</v>
      </c>
      <c r="R3271" t="s">
        <v>124</v>
      </c>
      <c r="S3271" t="b">
        <v>0</v>
      </c>
      <c r="T3271" t="s">
        <v>124</v>
      </c>
    </row>
    <row r="3272">
      <c r="A3272" t="s">
        <v>5952</v>
      </c>
      <c r="B3272" t="s">
        <v>5953</v>
      </c>
      <c r="C3272" s="2">
        <v>2022</v>
      </c>
      <c r="D3272" s="10">
        <v>2</v>
      </c>
      <c r="E3272" s="10">
        <v>25</v>
      </c>
      <c r="F3272" t="s">
        <v>1889</v>
      </c>
      <c r="G3272">
        <v>40000</v>
      </c>
      <c r="H3272" t="s">
        <v>128</v>
      </c>
      <c r="I3272" t="s">
        <v>136</v>
      </c>
      <c r="J3272" s="10" t="str">
        <f>VLOOKUP(I3272,Categories!A:B,2,FALSE)</f>
        <v>อื่นๆ</v>
      </c>
      <c r="K3272" t="s">
        <v>178</v>
      </c>
      <c r="L3272" s="10" t="str">
        <f>VLOOKUP(K3272,Accounts!A:B,2,FALSE)</f>
        <v>SCB</v>
      </c>
      <c r="M3272" t="s">
        <v>3248</v>
      </c>
      <c r="N3272" s="10" t="str">
        <f>VLOOKUP(M3272,Accounts!A:B,2,FALSE)</f>
        <v>Loan</v>
      </c>
      <c r="O3272" t="s">
        <v>5954</v>
      </c>
      <c r="Q3272" t="s">
        <v>126</v>
      </c>
      <c r="R3272" t="s">
        <v>124</v>
      </c>
      <c r="S3272" t="b">
        <v>0</v>
      </c>
      <c r="T3272" t="s">
        <v>124</v>
      </c>
    </row>
    <row r="3273">
      <c r="A3273" t="s">
        <v>5955</v>
      </c>
      <c r="B3273" t="s">
        <v>5953</v>
      </c>
      <c r="C3273" s="2">
        <v>2022</v>
      </c>
      <c r="D3273" s="10">
        <v>2</v>
      </c>
      <c r="E3273" s="10">
        <v>25</v>
      </c>
      <c r="F3273" t="s">
        <v>1902</v>
      </c>
      <c r="G3273">
        <v>52</v>
      </c>
      <c r="H3273" t="s">
        <v>69</v>
      </c>
      <c r="I3273" t="s">
        <v>1339</v>
      </c>
      <c r="J3273" s="10" t="str">
        <f>VLOOKUP(I3273,Categories!A:B,2,FALSE)</f>
        <v>Manga</v>
      </c>
      <c r="K3273" t="s">
        <v>893</v>
      </c>
      <c r="L3273" s="10" t="str">
        <f>VLOOKUP(K3273,Accounts!A:B,2,FALSE)</f>
        <v>Shopee</v>
      </c>
      <c r="M3273" t="s">
        <v>124</v>
      </c>
      <c r="N3273" s="10"/>
      <c r="O3273" t="s">
        <v>125</v>
      </c>
      <c r="Q3273" t="s">
        <v>126</v>
      </c>
      <c r="R3273" t="s">
        <v>124</v>
      </c>
      <c r="S3273" t="b">
        <v>0</v>
      </c>
      <c r="T3273" t="s">
        <v>124</v>
      </c>
    </row>
    <row r="3274">
      <c r="A3274" t="s">
        <v>5956</v>
      </c>
      <c r="B3274" t="s">
        <v>5957</v>
      </c>
      <c r="C3274" s="2">
        <v>2022</v>
      </c>
      <c r="D3274" s="10">
        <v>2</v>
      </c>
      <c r="E3274" s="10">
        <v>23</v>
      </c>
      <c r="F3274" t="s">
        <v>121</v>
      </c>
      <c r="G3274">
        <v>2215</v>
      </c>
      <c r="H3274" t="s">
        <v>128</v>
      </c>
      <c r="I3274" t="s">
        <v>136</v>
      </c>
      <c r="J3274" s="10" t="str">
        <f>VLOOKUP(I3274,Categories!A:B,2,FALSE)</f>
        <v>อื่นๆ</v>
      </c>
      <c r="K3274" t="s">
        <v>178</v>
      </c>
      <c r="L3274" s="10" t="str">
        <f>VLOOKUP(K3274,Accounts!A:B,2,FALSE)</f>
        <v>SCB</v>
      </c>
      <c r="M3274" t="s">
        <v>203</v>
      </c>
      <c r="N3274" s="10" t="str">
        <f>VLOOKUP(M3274,Accounts!A:B,2,FALSE)</f>
        <v xml:space="preserve">Provident Fund</v>
      </c>
      <c r="O3274" t="s">
        <v>125</v>
      </c>
      <c r="Q3274" t="s">
        <v>126</v>
      </c>
      <c r="R3274" t="s">
        <v>124</v>
      </c>
      <c r="S3274" t="b">
        <v>0</v>
      </c>
      <c r="T3274" t="s">
        <v>124</v>
      </c>
    </row>
    <row r="3275">
      <c r="A3275" t="s">
        <v>5958</v>
      </c>
      <c r="B3275" t="s">
        <v>5957</v>
      </c>
      <c r="C3275" s="2">
        <v>2022</v>
      </c>
      <c r="D3275" s="10">
        <v>2</v>
      </c>
      <c r="E3275" s="10">
        <v>23</v>
      </c>
      <c r="F3275" t="s">
        <v>121</v>
      </c>
      <c r="G3275">
        <v>7290</v>
      </c>
      <c r="H3275" t="s">
        <v>128</v>
      </c>
      <c r="I3275" t="s">
        <v>136</v>
      </c>
      <c r="J3275" s="10" t="str">
        <f>VLOOKUP(I3275,Categories!A:B,2,FALSE)</f>
        <v>อื่นๆ</v>
      </c>
      <c r="K3275" t="s">
        <v>178</v>
      </c>
      <c r="L3275" s="10" t="str">
        <f>VLOOKUP(K3275,Accounts!A:B,2,FALSE)</f>
        <v>SCB</v>
      </c>
      <c r="M3275" t="s">
        <v>1244</v>
      </c>
      <c r="N3275" s="10" t="str">
        <f>VLOOKUP(M3275,Accounts!A:B,2,FALSE)</f>
        <v xml:space="preserve">Home chomthong Loan</v>
      </c>
      <c r="O3275" t="s">
        <v>125</v>
      </c>
      <c r="Q3275" t="s">
        <v>126</v>
      </c>
      <c r="R3275" t="s">
        <v>124</v>
      </c>
      <c r="S3275" t="b">
        <v>0</v>
      </c>
      <c r="T3275" t="s">
        <v>124</v>
      </c>
    </row>
    <row r="3276">
      <c r="A3276" t="s">
        <v>5959</v>
      </c>
      <c r="B3276" t="s">
        <v>5957</v>
      </c>
      <c r="C3276" s="2">
        <v>2022</v>
      </c>
      <c r="D3276" s="10">
        <v>2</v>
      </c>
      <c r="E3276" s="10">
        <v>23</v>
      </c>
      <c r="F3276" t="s">
        <v>121</v>
      </c>
      <c r="G3276">
        <v>592.63</v>
      </c>
      <c r="H3276" t="s">
        <v>69</v>
      </c>
      <c r="I3276" t="s">
        <v>199</v>
      </c>
      <c r="J3276" s="10" t="str">
        <f>VLOOKUP(I3276,Categories!A:B,2,FALSE)</f>
        <v xml:space="preserve">Home Chomthong Interest</v>
      </c>
      <c r="K3276" t="s">
        <v>178</v>
      </c>
      <c r="L3276" s="10" t="str">
        <f>VLOOKUP(K3276,Accounts!A:B,2,FALSE)</f>
        <v>SCB</v>
      </c>
      <c r="M3276" t="s">
        <v>124</v>
      </c>
      <c r="N3276" s="10"/>
      <c r="O3276" t="s">
        <v>125</v>
      </c>
      <c r="Q3276" t="s">
        <v>126</v>
      </c>
      <c r="R3276" t="s">
        <v>124</v>
      </c>
      <c r="S3276" t="b">
        <v>0</v>
      </c>
      <c r="T3276" t="s">
        <v>124</v>
      </c>
    </row>
    <row r="3277">
      <c r="A3277" t="s">
        <v>5960</v>
      </c>
      <c r="B3277" t="s">
        <v>5957</v>
      </c>
      <c r="C3277" s="2">
        <v>2022</v>
      </c>
      <c r="D3277" s="10">
        <v>2</v>
      </c>
      <c r="E3277" s="10">
        <v>23</v>
      </c>
      <c r="F3277" t="s">
        <v>121</v>
      </c>
      <c r="G3277">
        <v>122.41</v>
      </c>
      <c r="H3277" t="s">
        <v>69</v>
      </c>
      <c r="I3277" t="s">
        <v>443</v>
      </c>
      <c r="J3277" s="10" t="str">
        <f>VLOOKUP(I3277,Categories!A:B,2,FALSE)</f>
        <v xml:space="preserve">City SV Interest</v>
      </c>
      <c r="K3277" t="s">
        <v>178</v>
      </c>
      <c r="L3277" s="10" t="str">
        <f>VLOOKUP(K3277,Accounts!A:B,2,FALSE)</f>
        <v>SCB</v>
      </c>
      <c r="M3277" t="s">
        <v>124</v>
      </c>
      <c r="N3277" s="10"/>
      <c r="O3277" t="s">
        <v>125</v>
      </c>
      <c r="Q3277" t="s">
        <v>126</v>
      </c>
      <c r="R3277" t="s">
        <v>124</v>
      </c>
      <c r="S3277" t="b">
        <v>0</v>
      </c>
      <c r="T3277" t="s">
        <v>124</v>
      </c>
    </row>
    <row r="3278">
      <c r="A3278" t="s">
        <v>5961</v>
      </c>
      <c r="B3278" t="s">
        <v>5957</v>
      </c>
      <c r="C3278" s="2">
        <v>2022</v>
      </c>
      <c r="D3278" s="10">
        <v>2</v>
      </c>
      <c r="E3278" s="10">
        <v>23</v>
      </c>
      <c r="F3278" t="s">
        <v>121</v>
      </c>
      <c r="G3278">
        <v>103320</v>
      </c>
      <c r="H3278" t="s">
        <v>206</v>
      </c>
      <c r="I3278" t="s">
        <v>207</v>
      </c>
      <c r="J3278" s="10" t="str">
        <f>VLOOKUP(I3278,Categories!A:B,2,FALSE)</f>
        <v>Salary</v>
      </c>
      <c r="K3278" t="s">
        <v>178</v>
      </c>
      <c r="L3278" s="10" t="str">
        <f>VLOOKUP(K3278,Accounts!A:B,2,FALSE)</f>
        <v>SCB</v>
      </c>
      <c r="M3278" t="s">
        <v>124</v>
      </c>
      <c r="N3278" s="10"/>
      <c r="O3278" t="s">
        <v>125</v>
      </c>
      <c r="Q3278" t="s">
        <v>126</v>
      </c>
      <c r="R3278" t="s">
        <v>124</v>
      </c>
      <c r="S3278" t="b">
        <v>0</v>
      </c>
      <c r="T3278" t="s">
        <v>124</v>
      </c>
    </row>
    <row r="3279">
      <c r="A3279" t="s">
        <v>5962</v>
      </c>
      <c r="B3279" t="s">
        <v>5957</v>
      </c>
      <c r="C3279" s="2">
        <v>2022</v>
      </c>
      <c r="D3279" s="10">
        <v>2</v>
      </c>
      <c r="E3279" s="10">
        <v>23</v>
      </c>
      <c r="F3279" t="s">
        <v>121</v>
      </c>
      <c r="G3279">
        <v>9240</v>
      </c>
      <c r="H3279" t="s">
        <v>128</v>
      </c>
      <c r="I3279" t="s">
        <v>136</v>
      </c>
      <c r="J3279" s="10" t="str">
        <f>VLOOKUP(I3279,Categories!A:B,2,FALSE)</f>
        <v>อื่นๆ</v>
      </c>
      <c r="K3279" t="s">
        <v>178</v>
      </c>
      <c r="L3279" s="10" t="str">
        <f>VLOOKUP(K3279,Accounts!A:B,2,FALSE)</f>
        <v>SCB</v>
      </c>
      <c r="M3279" t="s">
        <v>1246</v>
      </c>
      <c r="N3279" s="10" t="str">
        <f>VLOOKUP(M3279,Accounts!A:B,2,FALSE)</f>
        <v xml:space="preserve">Car Loan</v>
      </c>
      <c r="O3279" t="s">
        <v>125</v>
      </c>
      <c r="Q3279" t="s">
        <v>126</v>
      </c>
      <c r="R3279" t="s">
        <v>124</v>
      </c>
      <c r="S3279" t="b">
        <v>0</v>
      </c>
      <c r="T3279" t="s">
        <v>124</v>
      </c>
    </row>
    <row r="3280">
      <c r="A3280" t="s">
        <v>5963</v>
      </c>
      <c r="B3280" t="s">
        <v>5957</v>
      </c>
      <c r="C3280" s="2">
        <v>2022</v>
      </c>
      <c r="D3280" s="10">
        <v>2</v>
      </c>
      <c r="E3280" s="10">
        <v>23</v>
      </c>
      <c r="F3280" t="s">
        <v>121</v>
      </c>
      <c r="G3280">
        <v>500</v>
      </c>
      <c r="H3280" t="s">
        <v>128</v>
      </c>
      <c r="I3280" t="s">
        <v>136</v>
      </c>
      <c r="J3280" s="10" t="str">
        <f>VLOOKUP(I3280,Categories!A:B,2,FALSE)</f>
        <v>อื่นๆ</v>
      </c>
      <c r="K3280" t="s">
        <v>178</v>
      </c>
      <c r="L3280" s="10" t="str">
        <f>VLOOKUP(K3280,Accounts!A:B,2,FALSE)</f>
        <v>SCB</v>
      </c>
      <c r="M3280" t="s">
        <v>201</v>
      </c>
      <c r="N3280" s="10" t="str">
        <f>VLOOKUP(M3280,Accounts!A:B,2,FALSE)</f>
        <v>Coop</v>
      </c>
      <c r="O3280" t="s">
        <v>125</v>
      </c>
      <c r="Q3280" t="s">
        <v>126</v>
      </c>
      <c r="R3280" t="s">
        <v>124</v>
      </c>
      <c r="S3280" t="b">
        <v>0</v>
      </c>
      <c r="T3280" t="s">
        <v>124</v>
      </c>
    </row>
    <row r="3281">
      <c r="A3281" t="s">
        <v>5964</v>
      </c>
      <c r="B3281" t="s">
        <v>5957</v>
      </c>
      <c r="C3281" s="2">
        <v>2022</v>
      </c>
      <c r="D3281" s="10">
        <v>2</v>
      </c>
      <c r="E3281" s="10">
        <v>23</v>
      </c>
      <c r="F3281" t="s">
        <v>121</v>
      </c>
      <c r="G3281">
        <v>22430</v>
      </c>
      <c r="H3281" t="s">
        <v>206</v>
      </c>
      <c r="I3281" t="s">
        <v>281</v>
      </c>
      <c r="J3281" s="10" t="str">
        <f>VLOOKUP(I3281,Categories!A:B,2,FALSE)</f>
        <v>Others</v>
      </c>
      <c r="K3281" t="s">
        <v>178</v>
      </c>
      <c r="L3281" s="10" t="str">
        <f>VLOOKUP(K3281,Accounts!A:B,2,FALSE)</f>
        <v>SCB</v>
      </c>
      <c r="M3281" t="s">
        <v>124</v>
      </c>
      <c r="N3281" s="10"/>
      <c r="O3281" t="s">
        <v>5965</v>
      </c>
      <c r="Q3281" t="s">
        <v>126</v>
      </c>
      <c r="R3281" t="s">
        <v>124</v>
      </c>
      <c r="S3281" t="b">
        <v>0</v>
      </c>
      <c r="T3281" t="s">
        <v>124</v>
      </c>
    </row>
    <row r="3282">
      <c r="A3282" t="s">
        <v>5966</v>
      </c>
      <c r="B3282" t="s">
        <v>5957</v>
      </c>
      <c r="C3282" s="2">
        <v>2022</v>
      </c>
      <c r="D3282" s="10">
        <v>2</v>
      </c>
      <c r="E3282" s="10">
        <v>23</v>
      </c>
      <c r="F3282" t="s">
        <v>121</v>
      </c>
      <c r="G3282">
        <v>7588.4700000000003</v>
      </c>
      <c r="H3282" t="s">
        <v>69</v>
      </c>
      <c r="I3282" t="s">
        <v>195</v>
      </c>
      <c r="J3282" s="10" t="str">
        <f>VLOOKUP(I3282,Categories!A:B,2,FALSE)</f>
        <v>Tax</v>
      </c>
      <c r="K3282" t="s">
        <v>178</v>
      </c>
      <c r="L3282" s="10" t="str">
        <f>VLOOKUP(K3282,Accounts!A:B,2,FALSE)</f>
        <v>SCB</v>
      </c>
      <c r="M3282" t="s">
        <v>124</v>
      </c>
      <c r="N3282" s="10"/>
      <c r="O3282" t="s">
        <v>125</v>
      </c>
      <c r="Q3282" t="s">
        <v>126</v>
      </c>
      <c r="R3282" t="s">
        <v>124</v>
      </c>
      <c r="S3282" t="b">
        <v>0</v>
      </c>
      <c r="T3282" t="s">
        <v>124</v>
      </c>
    </row>
    <row r="3283">
      <c r="A3283" t="s">
        <v>5967</v>
      </c>
      <c r="B3283" t="s">
        <v>5957</v>
      </c>
      <c r="C3283" s="2">
        <v>2022</v>
      </c>
      <c r="D3283" s="10">
        <v>2</v>
      </c>
      <c r="E3283" s="10">
        <v>23</v>
      </c>
      <c r="F3283" t="s">
        <v>121</v>
      </c>
      <c r="G3283">
        <v>163013</v>
      </c>
      <c r="H3283" t="s">
        <v>206</v>
      </c>
      <c r="I3283" t="s">
        <v>281</v>
      </c>
      <c r="J3283" s="10" t="str">
        <f>VLOOKUP(I3283,Categories!A:B,2,FALSE)</f>
        <v>Others</v>
      </c>
      <c r="K3283" t="s">
        <v>178</v>
      </c>
      <c r="L3283" s="10" t="str">
        <f>VLOOKUP(K3283,Accounts!A:B,2,FALSE)</f>
        <v>SCB</v>
      </c>
      <c r="M3283" t="s">
        <v>124</v>
      </c>
      <c r="N3283" s="10"/>
      <c r="O3283" t="s">
        <v>1719</v>
      </c>
      <c r="Q3283" t="s">
        <v>126</v>
      </c>
      <c r="R3283" t="s">
        <v>124</v>
      </c>
      <c r="S3283" t="b">
        <v>0</v>
      </c>
      <c r="T3283" t="s">
        <v>124</v>
      </c>
    </row>
    <row r="3284">
      <c r="A3284" t="s">
        <v>5968</v>
      </c>
      <c r="B3284" t="s">
        <v>5957</v>
      </c>
      <c r="C3284" s="2">
        <v>2022</v>
      </c>
      <c r="D3284" s="10">
        <v>2</v>
      </c>
      <c r="E3284" s="10">
        <v>23</v>
      </c>
      <c r="F3284" t="s">
        <v>5969</v>
      </c>
      <c r="G3284">
        <v>0.5</v>
      </c>
      <c r="H3284" t="s">
        <v>69</v>
      </c>
      <c r="I3284" t="s">
        <v>122</v>
      </c>
      <c r="J3284" s="10" t="str">
        <f>VLOOKUP(I3284,Categories!A:B,2,FALSE)</f>
        <v>Other</v>
      </c>
      <c r="K3284" t="s">
        <v>178</v>
      </c>
      <c r="L3284" s="10" t="str">
        <f>VLOOKUP(K3284,Accounts!A:B,2,FALSE)</f>
        <v>SCB</v>
      </c>
      <c r="M3284" t="s">
        <v>124</v>
      </c>
      <c r="N3284" s="10"/>
      <c r="O3284" t="s">
        <v>125</v>
      </c>
      <c r="Q3284" t="s">
        <v>126</v>
      </c>
      <c r="R3284" t="s">
        <v>124</v>
      </c>
      <c r="S3284" t="b">
        <v>0</v>
      </c>
      <c r="T3284" t="s">
        <v>124</v>
      </c>
    </row>
    <row r="3285">
      <c r="A3285" t="s">
        <v>5970</v>
      </c>
      <c r="B3285" t="s">
        <v>5957</v>
      </c>
      <c r="C3285" s="2">
        <v>2022</v>
      </c>
      <c r="D3285" s="10">
        <v>2</v>
      </c>
      <c r="E3285" s="10">
        <v>23</v>
      </c>
      <c r="F3285" t="s">
        <v>247</v>
      </c>
      <c r="G3285">
        <v>55</v>
      </c>
      <c r="H3285" t="s">
        <v>69</v>
      </c>
      <c r="I3285" t="s">
        <v>150</v>
      </c>
      <c r="J3285" s="10" t="str">
        <f>VLOOKUP(I3285,Categories!A:B,2,FALSE)</f>
        <v xml:space="preserve">Food &amp; Coff</v>
      </c>
      <c r="K3285" t="s">
        <v>178</v>
      </c>
      <c r="L3285" s="10" t="str">
        <f>VLOOKUP(K3285,Accounts!A:B,2,FALSE)</f>
        <v>SCB</v>
      </c>
      <c r="M3285" t="s">
        <v>124</v>
      </c>
      <c r="N3285" s="10"/>
      <c r="O3285" t="s">
        <v>5971</v>
      </c>
      <c r="Q3285" t="s">
        <v>126</v>
      </c>
      <c r="R3285" t="s">
        <v>124</v>
      </c>
      <c r="S3285" t="b">
        <v>0</v>
      </c>
      <c r="T3285" t="s">
        <v>124</v>
      </c>
    </row>
    <row r="3286">
      <c r="A3286" t="s">
        <v>5972</v>
      </c>
      <c r="B3286" t="s">
        <v>5957</v>
      </c>
      <c r="C3286" s="2">
        <v>2022</v>
      </c>
      <c r="D3286" s="10">
        <v>2</v>
      </c>
      <c r="E3286" s="10">
        <v>23</v>
      </c>
      <c r="F3286" t="s">
        <v>5562</v>
      </c>
      <c r="G3286">
        <v>156</v>
      </c>
      <c r="H3286" t="s">
        <v>69</v>
      </c>
      <c r="I3286" t="s">
        <v>150</v>
      </c>
      <c r="J3286" s="10" t="str">
        <f>VLOOKUP(I3286,Categories!A:B,2,FALSE)</f>
        <v xml:space="preserve">Food &amp; Coff</v>
      </c>
      <c r="K3286" t="s">
        <v>2513</v>
      </c>
      <c r="L3286" s="10" t="str">
        <f>VLOOKUP(K3286,Accounts!A:B,2,FALSE)</f>
        <v xml:space="preserve">Pao tung</v>
      </c>
      <c r="M3286" t="s">
        <v>124</v>
      </c>
      <c r="N3286" s="10"/>
      <c r="O3286" t="s">
        <v>5973</v>
      </c>
      <c r="Q3286" t="s">
        <v>126</v>
      </c>
      <c r="R3286" t="s">
        <v>124</v>
      </c>
      <c r="S3286" t="b">
        <v>0</v>
      </c>
      <c r="T3286" t="s">
        <v>124</v>
      </c>
    </row>
    <row r="3287">
      <c r="A3287" t="s">
        <v>5974</v>
      </c>
      <c r="B3287" t="s">
        <v>5975</v>
      </c>
      <c r="C3287" s="2">
        <v>2022</v>
      </c>
      <c r="D3287" s="10">
        <v>2</v>
      </c>
      <c r="E3287" s="10">
        <v>22</v>
      </c>
      <c r="F3287" t="s">
        <v>191</v>
      </c>
      <c r="G3287">
        <v>97.5</v>
      </c>
      <c r="H3287" t="s">
        <v>69</v>
      </c>
      <c r="I3287" t="s">
        <v>150</v>
      </c>
      <c r="J3287" s="10" t="str">
        <f>VLOOKUP(I3287,Categories!A:B,2,FALSE)</f>
        <v xml:space="preserve">Food &amp; Coff</v>
      </c>
      <c r="K3287" t="s">
        <v>2513</v>
      </c>
      <c r="L3287" s="10" t="str">
        <f>VLOOKUP(K3287,Accounts!A:B,2,FALSE)</f>
        <v xml:space="preserve">Pao tung</v>
      </c>
      <c r="M3287" t="s">
        <v>124</v>
      </c>
      <c r="N3287" s="10"/>
      <c r="O3287" t="s">
        <v>125</v>
      </c>
      <c r="Q3287" t="s">
        <v>126</v>
      </c>
      <c r="R3287" t="s">
        <v>124</v>
      </c>
      <c r="S3287" t="b">
        <v>0</v>
      </c>
      <c r="T3287" t="s">
        <v>124</v>
      </c>
    </row>
    <row r="3288">
      <c r="A3288" t="s">
        <v>5976</v>
      </c>
      <c r="B3288" t="s">
        <v>5975</v>
      </c>
      <c r="C3288" s="2">
        <v>2022</v>
      </c>
      <c r="D3288" s="10">
        <v>2</v>
      </c>
      <c r="E3288" s="10">
        <v>22</v>
      </c>
      <c r="F3288" t="s">
        <v>191</v>
      </c>
      <c r="G3288">
        <v>190</v>
      </c>
      <c r="H3288" t="s">
        <v>69</v>
      </c>
      <c r="I3288" t="s">
        <v>150</v>
      </c>
      <c r="J3288" s="10" t="str">
        <f>VLOOKUP(I3288,Categories!A:B,2,FALSE)</f>
        <v xml:space="preserve">Food &amp; Coff</v>
      </c>
      <c r="K3288" t="s">
        <v>2513</v>
      </c>
      <c r="L3288" s="10" t="str">
        <f>VLOOKUP(K3288,Accounts!A:B,2,FALSE)</f>
        <v xml:space="preserve">Pao tung</v>
      </c>
      <c r="M3288" t="s">
        <v>124</v>
      </c>
      <c r="N3288" s="10"/>
      <c r="O3288" t="s">
        <v>125</v>
      </c>
      <c r="Q3288" t="s">
        <v>126</v>
      </c>
      <c r="R3288" t="s">
        <v>124</v>
      </c>
      <c r="S3288" t="b">
        <v>0</v>
      </c>
      <c r="T3288" t="s">
        <v>124</v>
      </c>
    </row>
    <row r="3289">
      <c r="A3289" t="s">
        <v>5977</v>
      </c>
      <c r="B3289" t="s">
        <v>5978</v>
      </c>
      <c r="C3289" s="2">
        <v>2022</v>
      </c>
      <c r="D3289" s="10">
        <v>2</v>
      </c>
      <c r="E3289" s="10">
        <v>21</v>
      </c>
      <c r="F3289" t="s">
        <v>1038</v>
      </c>
      <c r="G3289">
        <v>115</v>
      </c>
      <c r="H3289" t="s">
        <v>69</v>
      </c>
      <c r="I3289" t="s">
        <v>150</v>
      </c>
      <c r="J3289" s="10" t="str">
        <f>VLOOKUP(I3289,Categories!A:B,2,FALSE)</f>
        <v xml:space="preserve">Food &amp; Coff</v>
      </c>
      <c r="K3289" t="s">
        <v>2513</v>
      </c>
      <c r="L3289" s="10" t="str">
        <f>VLOOKUP(K3289,Accounts!A:B,2,FALSE)</f>
        <v xml:space="preserve">Pao tung</v>
      </c>
      <c r="M3289" t="s">
        <v>124</v>
      </c>
      <c r="N3289" s="10"/>
      <c r="O3289" t="s">
        <v>5979</v>
      </c>
      <c r="Q3289" t="s">
        <v>126</v>
      </c>
      <c r="R3289" t="s">
        <v>124</v>
      </c>
      <c r="S3289" t="b">
        <v>0</v>
      </c>
      <c r="T3289" t="s">
        <v>124</v>
      </c>
    </row>
    <row r="3290">
      <c r="A3290" t="s">
        <v>5980</v>
      </c>
      <c r="B3290" t="s">
        <v>5978</v>
      </c>
      <c r="C3290" s="2">
        <v>2022</v>
      </c>
      <c r="D3290" s="10">
        <v>2</v>
      </c>
      <c r="E3290" s="10">
        <v>21</v>
      </c>
      <c r="F3290" t="s">
        <v>4016</v>
      </c>
      <c r="G3290">
        <v>300</v>
      </c>
      <c r="H3290" t="s">
        <v>128</v>
      </c>
      <c r="I3290" t="s">
        <v>136</v>
      </c>
      <c r="J3290" s="10" t="str">
        <f>VLOOKUP(I3290,Categories!A:B,2,FALSE)</f>
        <v>อื่นๆ</v>
      </c>
      <c r="K3290" t="s">
        <v>178</v>
      </c>
      <c r="L3290" s="10" t="str">
        <f>VLOOKUP(K3290,Accounts!A:B,2,FALSE)</f>
        <v>SCB</v>
      </c>
      <c r="M3290" t="s">
        <v>893</v>
      </c>
      <c r="N3290" s="10" t="str">
        <f>VLOOKUP(M3290,Accounts!A:B,2,FALSE)</f>
        <v>Shopee</v>
      </c>
      <c r="O3290" t="s">
        <v>125</v>
      </c>
      <c r="Q3290" t="s">
        <v>126</v>
      </c>
      <c r="R3290" t="s">
        <v>124</v>
      </c>
      <c r="S3290" t="b">
        <v>0</v>
      </c>
      <c r="T3290" t="s">
        <v>124</v>
      </c>
    </row>
    <row r="3291">
      <c r="A3291" t="s">
        <v>5981</v>
      </c>
      <c r="B3291" t="s">
        <v>5978</v>
      </c>
      <c r="C3291" s="2">
        <v>2022</v>
      </c>
      <c r="D3291" s="10">
        <v>2</v>
      </c>
      <c r="E3291" s="10">
        <v>21</v>
      </c>
      <c r="F3291" t="s">
        <v>3271</v>
      </c>
      <c r="G3291">
        <v>50</v>
      </c>
      <c r="H3291" t="s">
        <v>69</v>
      </c>
      <c r="I3291" t="s">
        <v>150</v>
      </c>
      <c r="J3291" s="10" t="str">
        <f>VLOOKUP(I3291,Categories!A:B,2,FALSE)</f>
        <v xml:space="preserve">Food &amp; Coff</v>
      </c>
      <c r="K3291" t="s">
        <v>178</v>
      </c>
      <c r="L3291" s="10" t="str">
        <f>VLOOKUP(K3291,Accounts!A:B,2,FALSE)</f>
        <v>SCB</v>
      </c>
      <c r="M3291" t="s">
        <v>124</v>
      </c>
      <c r="N3291" s="10"/>
      <c r="O3291" t="s">
        <v>125</v>
      </c>
      <c r="Q3291" t="s">
        <v>126</v>
      </c>
      <c r="R3291" t="s">
        <v>124</v>
      </c>
      <c r="S3291" t="b">
        <v>0</v>
      </c>
      <c r="T3291" t="s">
        <v>124</v>
      </c>
    </row>
    <row r="3292">
      <c r="A3292" t="s">
        <v>5982</v>
      </c>
      <c r="B3292" t="s">
        <v>5978</v>
      </c>
      <c r="C3292" s="2">
        <v>2022</v>
      </c>
      <c r="D3292" s="10">
        <v>2</v>
      </c>
      <c r="E3292" s="10">
        <v>21</v>
      </c>
      <c r="F3292" t="s">
        <v>1218</v>
      </c>
      <c r="G3292">
        <v>90</v>
      </c>
      <c r="H3292" t="s">
        <v>128</v>
      </c>
      <c r="I3292" t="s">
        <v>136</v>
      </c>
      <c r="J3292" s="10" t="str">
        <f>VLOOKUP(I3292,Categories!A:B,2,FALSE)</f>
        <v>อื่นๆ</v>
      </c>
      <c r="K3292" t="s">
        <v>893</v>
      </c>
      <c r="L3292" s="10" t="str">
        <f>VLOOKUP(K3292,Accounts!A:B,2,FALSE)</f>
        <v>Shopee</v>
      </c>
      <c r="M3292" t="s">
        <v>131</v>
      </c>
      <c r="N3292" s="10" t="str">
        <f>VLOOKUP(M3292,Accounts!A:B,2,FALSE)</f>
        <v xml:space="preserve">Advance Paid</v>
      </c>
      <c r="O3292" t="s">
        <v>5983</v>
      </c>
      <c r="Q3292" t="s">
        <v>126</v>
      </c>
      <c r="R3292" t="s">
        <v>124</v>
      </c>
      <c r="S3292" t="b">
        <v>0</v>
      </c>
      <c r="T3292" t="s">
        <v>124</v>
      </c>
    </row>
    <row r="3293">
      <c r="A3293" t="s">
        <v>5984</v>
      </c>
      <c r="B3293" t="s">
        <v>5978</v>
      </c>
      <c r="C3293" s="2">
        <v>2022</v>
      </c>
      <c r="D3293" s="10">
        <v>2</v>
      </c>
      <c r="E3293" s="10">
        <v>21</v>
      </c>
      <c r="F3293" t="s">
        <v>740</v>
      </c>
      <c r="G3293">
        <v>462</v>
      </c>
      <c r="H3293" t="s">
        <v>69</v>
      </c>
      <c r="I3293" t="s">
        <v>1679</v>
      </c>
      <c r="J3293" s="10" t="str">
        <f>VLOOKUP(I3293,Categories!A:B,2,FALSE)</f>
        <v xml:space="preserve">Condo stuff</v>
      </c>
      <c r="K3293" t="s">
        <v>130</v>
      </c>
      <c r="L3293" s="10" t="str">
        <f>VLOOKUP(K3293,Accounts!A:B,2,FALSE)</f>
        <v xml:space="preserve">KTC JCB</v>
      </c>
      <c r="M3293" t="s">
        <v>124</v>
      </c>
      <c r="N3293" s="10"/>
      <c r="O3293" t="s">
        <v>125</v>
      </c>
      <c r="Q3293" t="s">
        <v>126</v>
      </c>
      <c r="R3293" t="s">
        <v>124</v>
      </c>
      <c r="S3293" t="b">
        <v>0</v>
      </c>
      <c r="T3293" t="s">
        <v>124</v>
      </c>
    </row>
    <row r="3294">
      <c r="A3294" t="s">
        <v>5985</v>
      </c>
      <c r="B3294" t="s">
        <v>5986</v>
      </c>
      <c r="C3294" s="2">
        <v>2022</v>
      </c>
      <c r="D3294" s="10">
        <v>2</v>
      </c>
      <c r="E3294" s="10">
        <v>20</v>
      </c>
      <c r="F3294" t="s">
        <v>5987</v>
      </c>
      <c r="G3294">
        <v>1509.27</v>
      </c>
      <c r="H3294" t="s">
        <v>128</v>
      </c>
      <c r="I3294" t="s">
        <v>136</v>
      </c>
      <c r="J3294" s="10" t="str">
        <f>VLOOKUP(I3294,Categories!A:B,2,FALSE)</f>
        <v>อื่นๆ</v>
      </c>
      <c r="K3294" t="s">
        <v>213</v>
      </c>
      <c r="L3294" s="10" t="str">
        <f>VLOOKUP(K3294,Accounts!A:B,2,FALSE)</f>
        <v xml:space="preserve">Krungthai Next</v>
      </c>
      <c r="M3294" t="s">
        <v>2513</v>
      </c>
      <c r="N3294" s="10" t="str">
        <f>VLOOKUP(M3294,Accounts!A:B,2,FALSE)</f>
        <v xml:space="preserve">Pao tung</v>
      </c>
      <c r="O3294" t="s">
        <v>125</v>
      </c>
      <c r="Q3294" t="s">
        <v>126</v>
      </c>
      <c r="R3294" t="s">
        <v>124</v>
      </c>
      <c r="S3294" t="b">
        <v>0</v>
      </c>
      <c r="T3294" t="s">
        <v>124</v>
      </c>
    </row>
    <row r="3295">
      <c r="A3295" t="s">
        <v>5988</v>
      </c>
      <c r="B3295" t="s">
        <v>5986</v>
      </c>
      <c r="C3295" s="2">
        <v>2022</v>
      </c>
      <c r="D3295" s="10">
        <v>2</v>
      </c>
      <c r="E3295" s="10">
        <v>20</v>
      </c>
      <c r="F3295" t="s">
        <v>763</v>
      </c>
      <c r="G3295">
        <v>1068</v>
      </c>
      <c r="H3295" t="s">
        <v>128</v>
      </c>
      <c r="I3295" t="s">
        <v>136</v>
      </c>
      <c r="J3295" s="10" t="str">
        <f>VLOOKUP(I3295,Categories!A:B,2,FALSE)</f>
        <v>อื่นๆ</v>
      </c>
      <c r="K3295" t="s">
        <v>2513</v>
      </c>
      <c r="L3295" s="10" t="str">
        <f>VLOOKUP(K3295,Accounts!A:B,2,FALSE)</f>
        <v xml:space="preserve">Pao tung</v>
      </c>
      <c r="M3295" t="s">
        <v>131</v>
      </c>
      <c r="N3295" s="10" t="str">
        <f>VLOOKUP(M3295,Accounts!A:B,2,FALSE)</f>
        <v xml:space="preserve">Advance Paid</v>
      </c>
      <c r="O3295" t="s">
        <v>5989</v>
      </c>
      <c r="Q3295" t="s">
        <v>126</v>
      </c>
      <c r="R3295" t="s">
        <v>124</v>
      </c>
      <c r="S3295" t="b">
        <v>0</v>
      </c>
      <c r="T3295" t="s">
        <v>124</v>
      </c>
    </row>
    <row r="3296">
      <c r="A3296" t="s">
        <v>5990</v>
      </c>
      <c r="B3296" t="s">
        <v>5991</v>
      </c>
      <c r="C3296" s="2">
        <v>2022</v>
      </c>
      <c r="D3296" s="10">
        <v>2</v>
      </c>
      <c r="E3296" s="10">
        <v>19</v>
      </c>
      <c r="F3296" t="s">
        <v>4085</v>
      </c>
      <c r="G3296">
        <v>65</v>
      </c>
      <c r="H3296" t="s">
        <v>69</v>
      </c>
      <c r="I3296" t="s">
        <v>150</v>
      </c>
      <c r="J3296" s="10" t="str">
        <f>VLOOKUP(I3296,Categories!A:B,2,FALSE)</f>
        <v xml:space="preserve">Food &amp; Coff</v>
      </c>
      <c r="K3296" t="s">
        <v>2513</v>
      </c>
      <c r="L3296" s="10" t="str">
        <f>VLOOKUP(K3296,Accounts!A:B,2,FALSE)</f>
        <v xml:space="preserve">Pao tung</v>
      </c>
      <c r="M3296" t="s">
        <v>124</v>
      </c>
      <c r="N3296" s="10"/>
      <c r="O3296" t="s">
        <v>125</v>
      </c>
      <c r="Q3296" t="s">
        <v>126</v>
      </c>
      <c r="R3296" t="s">
        <v>124</v>
      </c>
      <c r="S3296" t="b">
        <v>0</v>
      </c>
      <c r="T3296" t="s">
        <v>124</v>
      </c>
    </row>
    <row r="3297">
      <c r="A3297" t="s">
        <v>5992</v>
      </c>
      <c r="B3297" t="s">
        <v>5991</v>
      </c>
      <c r="C3297" s="2">
        <v>2022</v>
      </c>
      <c r="D3297" s="10">
        <v>2</v>
      </c>
      <c r="E3297" s="10">
        <v>19</v>
      </c>
      <c r="F3297" t="s">
        <v>163</v>
      </c>
      <c r="G3297">
        <v>81</v>
      </c>
      <c r="H3297" t="s">
        <v>69</v>
      </c>
      <c r="I3297" t="s">
        <v>1339</v>
      </c>
      <c r="J3297" s="10" t="str">
        <f>VLOOKUP(I3297,Categories!A:B,2,FALSE)</f>
        <v>Manga</v>
      </c>
      <c r="K3297" t="s">
        <v>178</v>
      </c>
      <c r="L3297" s="10" t="str">
        <f>VLOOKUP(K3297,Accounts!A:B,2,FALSE)</f>
        <v>SCB</v>
      </c>
      <c r="M3297" t="s">
        <v>124</v>
      </c>
      <c r="N3297" s="10"/>
      <c r="O3297" t="s">
        <v>5993</v>
      </c>
      <c r="Q3297" t="s">
        <v>126</v>
      </c>
      <c r="R3297" t="s">
        <v>124</v>
      </c>
      <c r="S3297" t="b">
        <v>0</v>
      </c>
      <c r="T3297" t="s">
        <v>124</v>
      </c>
    </row>
    <row r="3298">
      <c r="A3298" t="s">
        <v>5994</v>
      </c>
      <c r="B3298" t="s">
        <v>5991</v>
      </c>
      <c r="C3298" s="2">
        <v>2022</v>
      </c>
      <c r="D3298" s="10">
        <v>2</v>
      </c>
      <c r="E3298" s="10">
        <v>19</v>
      </c>
      <c r="F3298" t="s">
        <v>4422</v>
      </c>
      <c r="G3298">
        <v>40</v>
      </c>
      <c r="H3298" t="s">
        <v>128</v>
      </c>
      <c r="I3298" t="s">
        <v>136</v>
      </c>
      <c r="J3298" s="10" t="str">
        <f>VLOOKUP(I3298,Categories!A:B,2,FALSE)</f>
        <v>อื่นๆ</v>
      </c>
      <c r="K3298" t="s">
        <v>425</v>
      </c>
      <c r="L3298" s="10" t="str">
        <f>VLOOKUP(K3298,Accounts!A:B,2,FALSE)</f>
        <v>Cash</v>
      </c>
      <c r="M3298" t="s">
        <v>178</v>
      </c>
      <c r="N3298" s="10" t="str">
        <f>VLOOKUP(M3298,Accounts!A:B,2,FALSE)</f>
        <v>SCB</v>
      </c>
      <c r="O3298" t="s">
        <v>125</v>
      </c>
      <c r="Q3298" t="s">
        <v>126</v>
      </c>
      <c r="R3298" t="s">
        <v>124</v>
      </c>
      <c r="S3298" t="b">
        <v>0</v>
      </c>
      <c r="T3298" t="s">
        <v>124</v>
      </c>
    </row>
    <row r="3299">
      <c r="A3299" t="s">
        <v>5995</v>
      </c>
      <c r="B3299" t="s">
        <v>5991</v>
      </c>
      <c r="C3299" s="2">
        <v>2022</v>
      </c>
      <c r="D3299" s="10">
        <v>2</v>
      </c>
      <c r="E3299" s="10">
        <v>19</v>
      </c>
      <c r="F3299" t="s">
        <v>5157</v>
      </c>
      <c r="G3299">
        <v>26.100000000000001</v>
      </c>
      <c r="H3299" t="s">
        <v>69</v>
      </c>
      <c r="I3299" t="s">
        <v>122</v>
      </c>
      <c r="J3299" s="10" t="str">
        <f>VLOOKUP(I3299,Categories!A:B,2,FALSE)</f>
        <v>Other</v>
      </c>
      <c r="K3299" t="s">
        <v>130</v>
      </c>
      <c r="L3299" s="10" t="str">
        <f>VLOOKUP(K3299,Accounts!A:B,2,FALSE)</f>
        <v xml:space="preserve">KTC JCB</v>
      </c>
      <c r="M3299" t="s">
        <v>124</v>
      </c>
      <c r="N3299" s="10"/>
      <c r="O3299" t="s">
        <v>125</v>
      </c>
      <c r="Q3299" t="s">
        <v>126</v>
      </c>
      <c r="R3299" t="s">
        <v>124</v>
      </c>
      <c r="S3299" t="b">
        <v>0</v>
      </c>
      <c r="T3299" t="s">
        <v>124</v>
      </c>
    </row>
    <row r="3300">
      <c r="A3300" t="s">
        <v>5996</v>
      </c>
      <c r="B3300" t="s">
        <v>5997</v>
      </c>
      <c r="C3300" s="2">
        <v>2022</v>
      </c>
      <c r="D3300" s="10">
        <v>2</v>
      </c>
      <c r="E3300" s="10">
        <v>16</v>
      </c>
      <c r="F3300" t="s">
        <v>556</v>
      </c>
      <c r="G3300">
        <v>90</v>
      </c>
      <c r="H3300" t="s">
        <v>69</v>
      </c>
      <c r="I3300" t="s">
        <v>150</v>
      </c>
      <c r="J3300" s="10" t="str">
        <f>VLOOKUP(I3300,Categories!A:B,2,FALSE)</f>
        <v xml:space="preserve">Food &amp; Coff</v>
      </c>
      <c r="K3300" t="s">
        <v>178</v>
      </c>
      <c r="L3300" s="10" t="str">
        <f>VLOOKUP(K3300,Accounts!A:B,2,FALSE)</f>
        <v>SCB</v>
      </c>
      <c r="M3300" t="s">
        <v>124</v>
      </c>
      <c r="N3300" s="10"/>
      <c r="O3300" t="s">
        <v>5998</v>
      </c>
      <c r="Q3300" t="s">
        <v>126</v>
      </c>
      <c r="R3300" t="s">
        <v>124</v>
      </c>
      <c r="S3300" t="b">
        <v>0</v>
      </c>
      <c r="T3300" t="s">
        <v>124</v>
      </c>
    </row>
    <row r="3301">
      <c r="A3301" t="s">
        <v>5999</v>
      </c>
      <c r="B3301" t="s">
        <v>6000</v>
      </c>
      <c r="C3301" s="2">
        <v>2022</v>
      </c>
      <c r="D3301" s="10">
        <v>2</v>
      </c>
      <c r="E3301" s="10">
        <v>15</v>
      </c>
      <c r="F3301" t="s">
        <v>221</v>
      </c>
      <c r="G3301">
        <v>64</v>
      </c>
      <c r="H3301" t="s">
        <v>69</v>
      </c>
      <c r="I3301" t="s">
        <v>150</v>
      </c>
      <c r="J3301" s="10" t="str">
        <f>VLOOKUP(I3301,Categories!A:B,2,FALSE)</f>
        <v xml:space="preserve">Food &amp; Coff</v>
      </c>
      <c r="K3301" t="s">
        <v>178</v>
      </c>
      <c r="L3301" s="10" t="str">
        <f>VLOOKUP(K3301,Accounts!A:B,2,FALSE)</f>
        <v>SCB</v>
      </c>
      <c r="M3301" t="s">
        <v>124</v>
      </c>
      <c r="N3301" s="10"/>
      <c r="O3301" t="s">
        <v>125</v>
      </c>
      <c r="Q3301" t="s">
        <v>126</v>
      </c>
      <c r="R3301" t="s">
        <v>124</v>
      </c>
      <c r="S3301" t="b">
        <v>0</v>
      </c>
      <c r="T3301" t="s">
        <v>124</v>
      </c>
    </row>
    <row r="3302">
      <c r="A3302" t="s">
        <v>6001</v>
      </c>
      <c r="B3302" t="s">
        <v>6000</v>
      </c>
      <c r="C3302" s="2">
        <v>2022</v>
      </c>
      <c r="D3302" s="10">
        <v>2</v>
      </c>
      <c r="E3302" s="10">
        <v>15</v>
      </c>
      <c r="F3302" t="s">
        <v>298</v>
      </c>
      <c r="G3302">
        <v>50</v>
      </c>
      <c r="H3302" t="s">
        <v>69</v>
      </c>
      <c r="I3302" t="s">
        <v>150</v>
      </c>
      <c r="J3302" s="10" t="str">
        <f>VLOOKUP(I3302,Categories!A:B,2,FALSE)</f>
        <v xml:space="preserve">Food &amp; Coff</v>
      </c>
      <c r="K3302" t="s">
        <v>178</v>
      </c>
      <c r="L3302" s="10" t="str">
        <f>VLOOKUP(K3302,Accounts!A:B,2,FALSE)</f>
        <v>SCB</v>
      </c>
      <c r="M3302" t="s">
        <v>124</v>
      </c>
      <c r="N3302" s="10"/>
      <c r="O3302" t="s">
        <v>125</v>
      </c>
      <c r="Q3302" t="s">
        <v>126</v>
      </c>
      <c r="R3302" t="s">
        <v>124</v>
      </c>
      <c r="S3302" t="b">
        <v>0</v>
      </c>
      <c r="T3302" t="s">
        <v>124</v>
      </c>
    </row>
    <row r="3303">
      <c r="A3303" t="s">
        <v>6002</v>
      </c>
      <c r="B3303" t="s">
        <v>6000</v>
      </c>
      <c r="C3303" s="2">
        <v>2022</v>
      </c>
      <c r="D3303" s="10">
        <v>2</v>
      </c>
      <c r="E3303" s="10">
        <v>15</v>
      </c>
      <c r="F3303" t="s">
        <v>4016</v>
      </c>
      <c r="G3303">
        <v>400</v>
      </c>
      <c r="H3303" t="s">
        <v>69</v>
      </c>
      <c r="I3303" t="s">
        <v>150</v>
      </c>
      <c r="J3303" s="10" t="str">
        <f>VLOOKUP(I3303,Categories!A:B,2,FALSE)</f>
        <v xml:space="preserve">Food &amp; Coff</v>
      </c>
      <c r="K3303" t="s">
        <v>178</v>
      </c>
      <c r="L3303" s="10" t="str">
        <f>VLOOKUP(K3303,Accounts!A:B,2,FALSE)</f>
        <v>SCB</v>
      </c>
      <c r="M3303" t="s">
        <v>124</v>
      </c>
      <c r="N3303" s="10"/>
      <c r="O3303" t="s">
        <v>6003</v>
      </c>
      <c r="Q3303" t="s">
        <v>126</v>
      </c>
      <c r="R3303" t="s">
        <v>124</v>
      </c>
      <c r="S3303" t="b">
        <v>0</v>
      </c>
      <c r="T3303" t="s">
        <v>124</v>
      </c>
    </row>
    <row r="3304">
      <c r="A3304" t="s">
        <v>6004</v>
      </c>
      <c r="B3304" t="s">
        <v>6005</v>
      </c>
      <c r="C3304" s="2">
        <v>2022</v>
      </c>
      <c r="D3304" s="10">
        <v>2</v>
      </c>
      <c r="E3304" s="10">
        <v>14</v>
      </c>
      <c r="F3304" t="s">
        <v>121</v>
      </c>
      <c r="G3304">
        <v>419</v>
      </c>
      <c r="H3304" t="s">
        <v>128</v>
      </c>
      <c r="I3304" t="s">
        <v>136</v>
      </c>
      <c r="J3304" s="10" t="str">
        <f>VLOOKUP(I3304,Categories!A:B,2,FALSE)</f>
        <v>อื่นๆ</v>
      </c>
      <c r="K3304" t="s">
        <v>178</v>
      </c>
      <c r="L3304" s="10" t="str">
        <f>VLOOKUP(K3304,Accounts!A:B,2,FALSE)</f>
        <v>SCB</v>
      </c>
      <c r="M3304" t="s">
        <v>747</v>
      </c>
      <c r="N3304" s="10" t="str">
        <f>VLOOKUP(M3304,Accounts!A:B,2,FALSE)</f>
        <v xml:space="preserve">UOB world</v>
      </c>
      <c r="O3304" t="s">
        <v>125</v>
      </c>
      <c r="Q3304" t="s">
        <v>126</v>
      </c>
      <c r="R3304" t="s">
        <v>124</v>
      </c>
      <c r="S3304" t="b">
        <v>0</v>
      </c>
      <c r="T3304" t="s">
        <v>124</v>
      </c>
    </row>
    <row r="3305">
      <c r="A3305" t="s">
        <v>6006</v>
      </c>
      <c r="B3305" t="s">
        <v>6005</v>
      </c>
      <c r="C3305" s="2">
        <v>2022</v>
      </c>
      <c r="D3305" s="10">
        <v>2</v>
      </c>
      <c r="E3305" s="10">
        <v>14</v>
      </c>
      <c r="F3305" t="s">
        <v>121</v>
      </c>
      <c r="G3305">
        <v>419</v>
      </c>
      <c r="H3305" t="s">
        <v>69</v>
      </c>
      <c r="I3305" t="s">
        <v>1903</v>
      </c>
      <c r="J3305" s="10" t="str">
        <f>VLOOKUP(I3305,Categories!A:B,2,FALSE)</f>
        <v xml:space="preserve">Monthly subscription</v>
      </c>
      <c r="K3305" t="s">
        <v>747</v>
      </c>
      <c r="L3305" s="10" t="str">
        <f>VLOOKUP(K3305,Accounts!A:B,2,FALSE)</f>
        <v xml:space="preserve">UOB world</v>
      </c>
      <c r="M3305" t="s">
        <v>124</v>
      </c>
      <c r="N3305" s="10"/>
      <c r="O3305" t="s">
        <v>125</v>
      </c>
      <c r="Q3305" t="s">
        <v>126</v>
      </c>
      <c r="R3305" t="s">
        <v>124</v>
      </c>
      <c r="S3305" t="b">
        <v>0</v>
      </c>
      <c r="T3305" t="s">
        <v>124</v>
      </c>
    </row>
    <row r="3306">
      <c r="A3306" t="s">
        <v>6007</v>
      </c>
      <c r="B3306" t="s">
        <v>6005</v>
      </c>
      <c r="C3306" s="2">
        <v>2022</v>
      </c>
      <c r="D3306" s="10">
        <v>2</v>
      </c>
      <c r="E3306" s="10">
        <v>14</v>
      </c>
      <c r="F3306" t="s">
        <v>3525</v>
      </c>
      <c r="G3306">
        <v>353</v>
      </c>
      <c r="H3306" t="s">
        <v>69</v>
      </c>
      <c r="I3306" t="s">
        <v>150</v>
      </c>
      <c r="J3306" s="10" t="str">
        <f>VLOOKUP(I3306,Categories!A:B,2,FALSE)</f>
        <v xml:space="preserve">Food &amp; Coff</v>
      </c>
      <c r="K3306" t="s">
        <v>130</v>
      </c>
      <c r="L3306" s="10" t="str">
        <f>VLOOKUP(K3306,Accounts!A:B,2,FALSE)</f>
        <v xml:space="preserve">KTC JCB</v>
      </c>
      <c r="M3306" t="s">
        <v>124</v>
      </c>
      <c r="N3306" s="10"/>
      <c r="O3306" t="s">
        <v>125</v>
      </c>
      <c r="Q3306" t="s">
        <v>126</v>
      </c>
      <c r="R3306" t="s">
        <v>124</v>
      </c>
      <c r="S3306" t="b">
        <v>0</v>
      </c>
      <c r="T3306" t="s">
        <v>124</v>
      </c>
    </row>
    <row r="3307">
      <c r="A3307" t="s">
        <v>6008</v>
      </c>
      <c r="B3307" t="s">
        <v>6005</v>
      </c>
      <c r="C3307" s="2">
        <v>2022</v>
      </c>
      <c r="D3307" s="10">
        <v>2</v>
      </c>
      <c r="E3307" s="10">
        <v>14</v>
      </c>
      <c r="F3307" t="s">
        <v>3525</v>
      </c>
      <c r="G3307">
        <v>55</v>
      </c>
      <c r="H3307" t="s">
        <v>69</v>
      </c>
      <c r="I3307" t="s">
        <v>150</v>
      </c>
      <c r="J3307" s="10" t="str">
        <f>VLOOKUP(I3307,Categories!A:B,2,FALSE)</f>
        <v xml:space="preserve">Food &amp; Coff</v>
      </c>
      <c r="K3307" t="s">
        <v>425</v>
      </c>
      <c r="L3307" s="10" t="str">
        <f>VLOOKUP(K3307,Accounts!A:B,2,FALSE)</f>
        <v>Cash</v>
      </c>
      <c r="M3307" t="s">
        <v>124</v>
      </c>
      <c r="N3307" s="10"/>
      <c r="O3307" t="s">
        <v>125</v>
      </c>
      <c r="Q3307" t="s">
        <v>126</v>
      </c>
      <c r="R3307" t="s">
        <v>124</v>
      </c>
      <c r="S3307" t="b">
        <v>0</v>
      </c>
      <c r="T3307" t="s">
        <v>124</v>
      </c>
    </row>
    <row r="3308">
      <c r="A3308" t="s">
        <v>6009</v>
      </c>
      <c r="B3308" t="s">
        <v>35</v>
      </c>
      <c r="C3308" s="2">
        <v>2022</v>
      </c>
      <c r="D3308" s="10">
        <v>2</v>
      </c>
      <c r="E3308" s="10">
        <v>13</v>
      </c>
      <c r="F3308" t="s">
        <v>3091</v>
      </c>
      <c r="G3308">
        <v>2000</v>
      </c>
      <c r="H3308" t="s">
        <v>128</v>
      </c>
      <c r="I3308" t="s">
        <v>136</v>
      </c>
      <c r="J3308" s="10" t="str">
        <f>VLOOKUP(I3308,Categories!A:B,2,FALSE)</f>
        <v>อื่นๆ</v>
      </c>
      <c r="K3308" t="s">
        <v>178</v>
      </c>
      <c r="L3308" s="10" t="str">
        <f>VLOOKUP(K3308,Accounts!A:B,2,FALSE)</f>
        <v>SCB</v>
      </c>
      <c r="M3308" t="s">
        <v>215</v>
      </c>
      <c r="N3308" s="10" t="str">
        <f>VLOOKUP(M3308,Accounts!A:B,2,FALSE)</f>
        <v>Investment</v>
      </c>
      <c r="O3308" t="s">
        <v>6010</v>
      </c>
      <c r="Q3308" t="s">
        <v>126</v>
      </c>
      <c r="R3308" t="s">
        <v>124</v>
      </c>
      <c r="S3308" t="b">
        <v>0</v>
      </c>
      <c r="T3308" t="s">
        <v>124</v>
      </c>
    </row>
    <row r="3309">
      <c r="A3309" t="s">
        <v>6011</v>
      </c>
      <c r="B3309" t="s">
        <v>35</v>
      </c>
      <c r="C3309" s="2">
        <v>2022</v>
      </c>
      <c r="D3309" s="10">
        <v>2</v>
      </c>
      <c r="E3309" s="10">
        <v>13</v>
      </c>
      <c r="F3309" t="s">
        <v>922</v>
      </c>
      <c r="G3309">
        <v>570</v>
      </c>
      <c r="H3309" t="s">
        <v>128</v>
      </c>
      <c r="I3309" t="s">
        <v>136</v>
      </c>
      <c r="J3309" s="10" t="str">
        <f>VLOOKUP(I3309,Categories!A:B,2,FALSE)</f>
        <v>อื่นๆ</v>
      </c>
      <c r="K3309" t="s">
        <v>178</v>
      </c>
      <c r="L3309" s="10" t="str">
        <f>VLOOKUP(K3309,Accounts!A:B,2,FALSE)</f>
        <v>SCB</v>
      </c>
      <c r="M3309" t="s">
        <v>131</v>
      </c>
      <c r="N3309" s="10" t="str">
        <f>VLOOKUP(M3309,Accounts!A:B,2,FALSE)</f>
        <v xml:space="preserve">Advance Paid</v>
      </c>
      <c r="O3309" t="s">
        <v>6012</v>
      </c>
      <c r="Q3309" t="s">
        <v>126</v>
      </c>
      <c r="R3309" t="s">
        <v>124</v>
      </c>
      <c r="S3309" t="b">
        <v>0</v>
      </c>
      <c r="T3309" t="s">
        <v>124</v>
      </c>
    </row>
    <row r="3310">
      <c r="A3310" t="s">
        <v>6013</v>
      </c>
      <c r="B3310" t="s">
        <v>35</v>
      </c>
      <c r="C3310" s="2">
        <v>2022</v>
      </c>
      <c r="D3310" s="10">
        <v>2</v>
      </c>
      <c r="E3310" s="10">
        <v>13</v>
      </c>
      <c r="F3310" t="s">
        <v>768</v>
      </c>
      <c r="G3310">
        <v>21814</v>
      </c>
      <c r="H3310" t="s">
        <v>128</v>
      </c>
      <c r="I3310" t="s">
        <v>136</v>
      </c>
      <c r="J3310" s="10" t="str">
        <f>VLOOKUP(I3310,Categories!A:B,2,FALSE)</f>
        <v>อื่นๆ</v>
      </c>
      <c r="K3310" t="s">
        <v>2317</v>
      </c>
      <c r="L3310" s="10" t="str">
        <f>VLOOKUP(K3310,Accounts!A:B,2,FALSE)</f>
        <v xml:space="preserve">Marriage account</v>
      </c>
      <c r="M3310" t="s">
        <v>178</v>
      </c>
      <c r="N3310" s="10" t="str">
        <f>VLOOKUP(M3310,Accounts!A:B,2,FALSE)</f>
        <v>SCB</v>
      </c>
      <c r="O3310" t="s">
        <v>125</v>
      </c>
      <c r="Q3310" t="s">
        <v>126</v>
      </c>
      <c r="R3310" t="s">
        <v>124</v>
      </c>
      <c r="S3310" t="b">
        <v>0</v>
      </c>
      <c r="T3310" t="s">
        <v>124</v>
      </c>
    </row>
    <row r="3311">
      <c r="A3311" t="s">
        <v>6014</v>
      </c>
      <c r="B3311" t="s">
        <v>35</v>
      </c>
      <c r="C3311" s="2">
        <v>2022</v>
      </c>
      <c r="D3311" s="10">
        <v>2</v>
      </c>
      <c r="E3311" s="10">
        <v>13</v>
      </c>
      <c r="F3311" t="s">
        <v>984</v>
      </c>
      <c r="G3311">
        <v>25</v>
      </c>
      <c r="H3311" t="s">
        <v>128</v>
      </c>
      <c r="I3311" t="s">
        <v>136</v>
      </c>
      <c r="J3311" s="10" t="str">
        <f>VLOOKUP(I3311,Categories!A:B,2,FALSE)</f>
        <v>อื่นๆ</v>
      </c>
      <c r="K3311" t="s">
        <v>178</v>
      </c>
      <c r="L3311" s="10" t="str">
        <f>VLOOKUP(K3311,Accounts!A:B,2,FALSE)</f>
        <v>SCB</v>
      </c>
      <c r="M3311" t="s">
        <v>893</v>
      </c>
      <c r="N3311" s="10" t="str">
        <f>VLOOKUP(M3311,Accounts!A:B,2,FALSE)</f>
        <v>Shopee</v>
      </c>
      <c r="O3311" t="s">
        <v>125</v>
      </c>
      <c r="Q3311" t="s">
        <v>126</v>
      </c>
      <c r="R3311" t="s">
        <v>124</v>
      </c>
      <c r="S3311" t="b">
        <v>0</v>
      </c>
      <c r="T3311" t="s">
        <v>124</v>
      </c>
    </row>
    <row r="3312">
      <c r="A3312" t="s">
        <v>6015</v>
      </c>
      <c r="B3312" t="s">
        <v>35</v>
      </c>
      <c r="C3312" s="2">
        <v>2022</v>
      </c>
      <c r="D3312" s="10">
        <v>2</v>
      </c>
      <c r="E3312" s="10">
        <v>13</v>
      </c>
      <c r="F3312" t="s">
        <v>1862</v>
      </c>
      <c r="G3312">
        <v>70</v>
      </c>
      <c r="H3312" t="s">
        <v>128</v>
      </c>
      <c r="I3312" t="s">
        <v>136</v>
      </c>
      <c r="J3312" s="10" t="str">
        <f>VLOOKUP(I3312,Categories!A:B,2,FALSE)</f>
        <v>อื่นๆ</v>
      </c>
      <c r="K3312" t="s">
        <v>893</v>
      </c>
      <c r="L3312" s="10" t="str">
        <f>VLOOKUP(K3312,Accounts!A:B,2,FALSE)</f>
        <v>Shopee</v>
      </c>
      <c r="M3312" t="s">
        <v>178</v>
      </c>
      <c r="N3312" s="10" t="str">
        <f>VLOOKUP(M3312,Accounts!A:B,2,FALSE)</f>
        <v>SCB</v>
      </c>
      <c r="O3312" t="s">
        <v>125</v>
      </c>
      <c r="Q3312" t="s">
        <v>126</v>
      </c>
      <c r="R3312" t="s">
        <v>124</v>
      </c>
      <c r="S3312" t="b">
        <v>0</v>
      </c>
      <c r="T3312" t="s">
        <v>124</v>
      </c>
    </row>
    <row r="3313">
      <c r="A3313" t="s">
        <v>6016</v>
      </c>
      <c r="B3313" t="s">
        <v>35</v>
      </c>
      <c r="C3313" s="2">
        <v>2022</v>
      </c>
      <c r="D3313" s="10">
        <v>2</v>
      </c>
      <c r="E3313" s="10">
        <v>13</v>
      </c>
      <c r="F3313" t="s">
        <v>1436</v>
      </c>
      <c r="G3313">
        <v>254</v>
      </c>
      <c r="H3313" t="s">
        <v>206</v>
      </c>
      <c r="I3313" t="s">
        <v>254</v>
      </c>
      <c r="J3313" s="10" t="str">
        <f>VLOOKUP(I3313,Categories!A:B,2,FALSE)</f>
        <v xml:space="preserve">Modified Bal.</v>
      </c>
      <c r="K3313" t="s">
        <v>893</v>
      </c>
      <c r="L3313" s="10" t="str">
        <f>VLOOKUP(K3313,Accounts!A:B,2,FALSE)</f>
        <v>Shopee</v>
      </c>
      <c r="M3313" t="s">
        <v>124</v>
      </c>
      <c r="N3313" s="10"/>
      <c r="O3313" t="s">
        <v>255</v>
      </c>
      <c r="Q3313" t="s">
        <v>126</v>
      </c>
      <c r="R3313" t="s">
        <v>124</v>
      </c>
      <c r="S3313" t="b">
        <v>0</v>
      </c>
      <c r="T3313" t="s">
        <v>124</v>
      </c>
    </row>
    <row r="3314">
      <c r="A3314" t="s">
        <v>6017</v>
      </c>
      <c r="B3314" t="s">
        <v>6018</v>
      </c>
      <c r="C3314" s="2">
        <v>2022</v>
      </c>
      <c r="D3314" s="10">
        <v>2</v>
      </c>
      <c r="E3314" s="10">
        <v>12</v>
      </c>
      <c r="F3314" t="s">
        <v>504</v>
      </c>
      <c r="G3314">
        <v>2070</v>
      </c>
      <c r="H3314" t="s">
        <v>69</v>
      </c>
      <c r="I3314" t="s">
        <v>144</v>
      </c>
      <c r="J3314" s="10" t="str">
        <f>VLOOKUP(I3314,Categories!A:B,2,FALSE)</f>
        <v xml:space="preserve">Family paid</v>
      </c>
      <c r="K3314" t="s">
        <v>178</v>
      </c>
      <c r="L3314" s="10" t="str">
        <f>VLOOKUP(K3314,Accounts!A:B,2,FALSE)</f>
        <v>SCB</v>
      </c>
      <c r="M3314" t="s">
        <v>124</v>
      </c>
      <c r="N3314" s="10"/>
      <c r="O3314" t="s">
        <v>6019</v>
      </c>
      <c r="Q3314" t="s">
        <v>126</v>
      </c>
      <c r="R3314" t="s">
        <v>124</v>
      </c>
      <c r="S3314" t="b">
        <v>0</v>
      </c>
      <c r="T3314" t="s">
        <v>124</v>
      </c>
    </row>
    <row r="3315">
      <c r="A3315" t="s">
        <v>6020</v>
      </c>
      <c r="B3315" t="s">
        <v>6018</v>
      </c>
      <c r="C3315" s="2">
        <v>2022</v>
      </c>
      <c r="D3315" s="10">
        <v>2</v>
      </c>
      <c r="E3315" s="10">
        <v>12</v>
      </c>
      <c r="F3315" t="s">
        <v>897</v>
      </c>
      <c r="G3315">
        <v>345</v>
      </c>
      <c r="H3315" t="s">
        <v>69</v>
      </c>
      <c r="I3315" t="s">
        <v>134</v>
      </c>
      <c r="J3315" s="10" t="str">
        <f>VLOOKUP(I3315,Categories!A:B,2,FALSE)</f>
        <v>Hong</v>
      </c>
      <c r="K3315" t="s">
        <v>130</v>
      </c>
      <c r="L3315" s="10" t="str">
        <f>VLOOKUP(K3315,Accounts!A:B,2,FALSE)</f>
        <v xml:space="preserve">KTC JCB</v>
      </c>
      <c r="M3315" t="s">
        <v>124</v>
      </c>
      <c r="N3315" s="10"/>
      <c r="O3315" t="s">
        <v>125</v>
      </c>
      <c r="Q3315" t="s">
        <v>126</v>
      </c>
      <c r="R3315" t="s">
        <v>124</v>
      </c>
      <c r="S3315" t="b">
        <v>0</v>
      </c>
      <c r="T3315" t="s">
        <v>124</v>
      </c>
    </row>
    <row r="3316">
      <c r="A3316" t="s">
        <v>6021</v>
      </c>
      <c r="B3316" t="s">
        <v>6022</v>
      </c>
      <c r="C3316" s="2">
        <v>2022</v>
      </c>
      <c r="D3316" s="10">
        <v>2</v>
      </c>
      <c r="E3316" s="10">
        <v>10</v>
      </c>
      <c r="F3316" t="s">
        <v>3674</v>
      </c>
      <c r="G3316">
        <v>3004.9200000000001</v>
      </c>
      <c r="H3316" t="s">
        <v>69</v>
      </c>
      <c r="I3316" t="s">
        <v>1508</v>
      </c>
      <c r="J3316" s="10" t="str">
        <f>VLOOKUP(I3316,Categories!A:B,2,FALSE)</f>
        <v>Other</v>
      </c>
      <c r="K3316" t="s">
        <v>743</v>
      </c>
      <c r="L3316" s="10" t="str">
        <f>VLOOKUP(K3316,Accounts!A:B,2,FALSE)</f>
        <v>HOMEPRO</v>
      </c>
      <c r="M3316" t="s">
        <v>124</v>
      </c>
      <c r="N3316" s="10"/>
      <c r="O3316" t="s">
        <v>5887</v>
      </c>
      <c r="Q3316" t="s">
        <v>126</v>
      </c>
      <c r="R3316" t="s">
        <v>124</v>
      </c>
      <c r="S3316" t="b">
        <v>0</v>
      </c>
      <c r="T3316" t="s">
        <v>124</v>
      </c>
    </row>
    <row r="3317">
      <c r="A3317" t="s">
        <v>6023</v>
      </c>
      <c r="B3317" t="s">
        <v>6022</v>
      </c>
      <c r="C3317" s="2">
        <v>2022</v>
      </c>
      <c r="D3317" s="10">
        <v>2</v>
      </c>
      <c r="E3317" s="10">
        <v>10</v>
      </c>
      <c r="F3317" t="s">
        <v>5320</v>
      </c>
      <c r="G3317">
        <v>3635.6999999999998</v>
      </c>
      <c r="H3317" t="s">
        <v>69</v>
      </c>
      <c r="I3317" t="s">
        <v>1679</v>
      </c>
      <c r="J3317" s="10" t="str">
        <f>VLOOKUP(I3317,Categories!A:B,2,FALSE)</f>
        <v xml:space="preserve">Condo stuff</v>
      </c>
      <c r="K3317" t="s">
        <v>743</v>
      </c>
      <c r="L3317" s="10" t="str">
        <f>VLOOKUP(K3317,Accounts!A:B,2,FALSE)</f>
        <v>HOMEPRO</v>
      </c>
      <c r="M3317" t="s">
        <v>124</v>
      </c>
      <c r="N3317" s="10"/>
      <c r="O3317" t="s">
        <v>6024</v>
      </c>
      <c r="Q3317" t="s">
        <v>126</v>
      </c>
      <c r="R3317" t="s">
        <v>124</v>
      </c>
      <c r="S3317" t="b">
        <v>0</v>
      </c>
      <c r="T3317" t="s">
        <v>124</v>
      </c>
    </row>
    <row r="3318">
      <c r="A3318" t="s">
        <v>6025</v>
      </c>
      <c r="B3318" t="s">
        <v>6026</v>
      </c>
      <c r="C3318" s="2">
        <v>2022</v>
      </c>
      <c r="D3318" s="10">
        <v>2</v>
      </c>
      <c r="E3318" s="10">
        <v>9</v>
      </c>
      <c r="F3318" t="s">
        <v>876</v>
      </c>
      <c r="G3318">
        <v>1000</v>
      </c>
      <c r="H3318" t="s">
        <v>206</v>
      </c>
      <c r="I3318" t="s">
        <v>281</v>
      </c>
      <c r="J3318" s="10" t="str">
        <f>VLOOKUP(I3318,Categories!A:B,2,FALSE)</f>
        <v>Others</v>
      </c>
      <c r="K3318" t="s">
        <v>1308</v>
      </c>
      <c r="L3318" s="10" t="str">
        <f>VLOOKUP(K3318,Accounts!A:B,2,FALSE)</f>
        <v xml:space="preserve">UOB Privilages</v>
      </c>
      <c r="M3318" t="s">
        <v>124</v>
      </c>
      <c r="N3318" s="10"/>
      <c r="O3318" t="s">
        <v>125</v>
      </c>
      <c r="Q3318" t="s">
        <v>126</v>
      </c>
      <c r="R3318" t="s">
        <v>124</v>
      </c>
      <c r="S3318" t="b">
        <v>0</v>
      </c>
      <c r="T3318" t="s">
        <v>124</v>
      </c>
    </row>
    <row r="3319">
      <c r="A3319" t="s">
        <v>6027</v>
      </c>
      <c r="B3319" t="s">
        <v>6028</v>
      </c>
      <c r="C3319" s="2">
        <v>2022</v>
      </c>
      <c r="D3319" s="10">
        <v>2</v>
      </c>
      <c r="E3319" s="10">
        <v>6</v>
      </c>
      <c r="F3319" t="s">
        <v>1687</v>
      </c>
      <c r="G3319">
        <v>82</v>
      </c>
      <c r="H3319" t="s">
        <v>69</v>
      </c>
      <c r="I3319" t="s">
        <v>150</v>
      </c>
      <c r="J3319" s="10" t="str">
        <f>VLOOKUP(I3319,Categories!A:B,2,FALSE)</f>
        <v xml:space="preserve">Food &amp; Coff</v>
      </c>
      <c r="K3319" t="s">
        <v>178</v>
      </c>
      <c r="L3319" s="10" t="str">
        <f>VLOOKUP(K3319,Accounts!A:B,2,FALSE)</f>
        <v>SCB</v>
      </c>
      <c r="M3319" t="s">
        <v>124</v>
      </c>
      <c r="N3319" s="10"/>
      <c r="O3319" t="s">
        <v>125</v>
      </c>
      <c r="Q3319" t="s">
        <v>126</v>
      </c>
      <c r="R3319" t="s">
        <v>124</v>
      </c>
      <c r="S3319" t="b">
        <v>0</v>
      </c>
      <c r="T3319" t="s">
        <v>124</v>
      </c>
    </row>
    <row r="3320">
      <c r="A3320" t="s">
        <v>6029</v>
      </c>
      <c r="B3320" t="s">
        <v>6030</v>
      </c>
      <c r="C3320" s="2">
        <v>2022</v>
      </c>
      <c r="D3320" s="10">
        <v>2</v>
      </c>
      <c r="E3320" s="10">
        <v>4</v>
      </c>
      <c r="F3320" t="s">
        <v>1875</v>
      </c>
      <c r="G3320">
        <v>55</v>
      </c>
      <c r="H3320" t="s">
        <v>69</v>
      </c>
      <c r="I3320" t="s">
        <v>150</v>
      </c>
      <c r="J3320" s="10" t="str">
        <f>VLOOKUP(I3320,Categories!A:B,2,FALSE)</f>
        <v xml:space="preserve">Food &amp; Coff</v>
      </c>
      <c r="K3320" t="s">
        <v>893</v>
      </c>
      <c r="L3320" s="10" t="str">
        <f>VLOOKUP(K3320,Accounts!A:B,2,FALSE)</f>
        <v>Shopee</v>
      </c>
      <c r="M3320" t="s">
        <v>124</v>
      </c>
      <c r="N3320" s="10"/>
      <c r="O3320" t="s">
        <v>125</v>
      </c>
      <c r="Q3320" t="s">
        <v>126</v>
      </c>
      <c r="R3320" t="s">
        <v>124</v>
      </c>
      <c r="S3320" t="b">
        <v>0</v>
      </c>
      <c r="T3320" t="s">
        <v>124</v>
      </c>
    </row>
    <row r="3321">
      <c r="A3321" t="s">
        <v>6031</v>
      </c>
      <c r="B3321" t="s">
        <v>6032</v>
      </c>
      <c r="C3321" s="2">
        <v>2022</v>
      </c>
      <c r="D3321" s="10">
        <v>2</v>
      </c>
      <c r="E3321" s="10">
        <v>2</v>
      </c>
      <c r="F3321" t="s">
        <v>2150</v>
      </c>
      <c r="G3321">
        <v>4367.3999999999996</v>
      </c>
      <c r="H3321" t="s">
        <v>69</v>
      </c>
      <c r="I3321" t="s">
        <v>139</v>
      </c>
      <c r="J3321" s="10" t="str">
        <f>VLOOKUP(I3321,Categories!A:B,2,FALSE)</f>
        <v>Condo</v>
      </c>
      <c r="K3321" t="s">
        <v>178</v>
      </c>
      <c r="L3321" s="10" t="str">
        <f>VLOOKUP(K3321,Accounts!A:B,2,FALSE)</f>
        <v>SCB</v>
      </c>
      <c r="M3321" t="s">
        <v>124</v>
      </c>
      <c r="N3321" s="10"/>
      <c r="O3321" t="s">
        <v>125</v>
      </c>
      <c r="Q3321" t="s">
        <v>126</v>
      </c>
      <c r="R3321" t="s">
        <v>124</v>
      </c>
      <c r="S3321" t="b">
        <v>0</v>
      </c>
      <c r="T3321" t="s">
        <v>124</v>
      </c>
    </row>
    <row r="3322">
      <c r="A3322" t="s">
        <v>6033</v>
      </c>
      <c r="B3322" t="s">
        <v>6032</v>
      </c>
      <c r="C3322" s="2">
        <v>2022</v>
      </c>
      <c r="D3322" s="10">
        <v>2</v>
      </c>
      <c r="E3322" s="10">
        <v>2</v>
      </c>
      <c r="F3322" t="s">
        <v>2184</v>
      </c>
      <c r="G3322">
        <v>15000</v>
      </c>
      <c r="H3322" t="s">
        <v>69</v>
      </c>
      <c r="I3322" t="s">
        <v>3504</v>
      </c>
      <c r="J3322" s="10" t="str">
        <f>VLOOKUP(I3322,Categories!A:B,2,FALSE)</f>
        <v xml:space="preserve">Condo suppliers</v>
      </c>
      <c r="K3322" t="s">
        <v>178</v>
      </c>
      <c r="L3322" s="10" t="str">
        <f>VLOOKUP(K3322,Accounts!A:B,2,FALSE)</f>
        <v>SCB</v>
      </c>
      <c r="M3322" t="s">
        <v>124</v>
      </c>
      <c r="N3322" s="10"/>
      <c r="O3322" t="s">
        <v>6034</v>
      </c>
      <c r="Q3322" t="s">
        <v>126</v>
      </c>
      <c r="R3322" t="s">
        <v>124</v>
      </c>
      <c r="S3322" t="b">
        <v>0</v>
      </c>
      <c r="T3322" t="s">
        <v>124</v>
      </c>
    </row>
    <row r="3323">
      <c r="A3323" t="s">
        <v>6035</v>
      </c>
      <c r="B3323" t="s">
        <v>6032</v>
      </c>
      <c r="C3323" s="2">
        <v>2022</v>
      </c>
      <c r="D3323" s="10">
        <v>2</v>
      </c>
      <c r="E3323" s="10">
        <v>2</v>
      </c>
      <c r="F3323" t="s">
        <v>6036</v>
      </c>
      <c r="G3323">
        <v>700</v>
      </c>
      <c r="H3323" t="s">
        <v>128</v>
      </c>
      <c r="I3323" t="s">
        <v>136</v>
      </c>
      <c r="J3323" s="10" t="str">
        <f>VLOOKUP(I3323,Categories!A:B,2,FALSE)</f>
        <v>อื่นๆ</v>
      </c>
      <c r="K3323" t="s">
        <v>130</v>
      </c>
      <c r="L3323" s="10" t="str">
        <f>VLOOKUP(K3323,Accounts!A:B,2,FALSE)</f>
        <v xml:space="preserve">KTC JCB</v>
      </c>
      <c r="M3323" t="s">
        <v>178</v>
      </c>
      <c r="N3323" s="10" t="str">
        <f>VLOOKUP(M3323,Accounts!A:B,2,FALSE)</f>
        <v>SCB</v>
      </c>
      <c r="O3323" t="s">
        <v>6037</v>
      </c>
      <c r="Q3323" t="s">
        <v>126</v>
      </c>
      <c r="R3323" t="s">
        <v>124</v>
      </c>
      <c r="S3323" t="b">
        <v>0</v>
      </c>
      <c r="T3323" t="s">
        <v>124</v>
      </c>
    </row>
    <row r="3324">
      <c r="A3324" t="s">
        <v>6038</v>
      </c>
      <c r="B3324" t="s">
        <v>6032</v>
      </c>
      <c r="C3324" s="2">
        <v>2022</v>
      </c>
      <c r="D3324" s="10">
        <v>2</v>
      </c>
      <c r="E3324" s="10">
        <v>2</v>
      </c>
      <c r="F3324" t="s">
        <v>2031</v>
      </c>
      <c r="G3324">
        <v>5313</v>
      </c>
      <c r="H3324" t="s">
        <v>69</v>
      </c>
      <c r="I3324" t="s">
        <v>157</v>
      </c>
      <c r="J3324" s="10" t="str">
        <f>VLOOKUP(I3324,Categories!A:B,2,FALSE)</f>
        <v>Boardgame</v>
      </c>
      <c r="K3324" t="s">
        <v>130</v>
      </c>
      <c r="L3324" s="10" t="str">
        <f>VLOOKUP(K3324,Accounts!A:B,2,FALSE)</f>
        <v xml:space="preserve">KTC JCB</v>
      </c>
      <c r="M3324" t="s">
        <v>124</v>
      </c>
      <c r="N3324" s="10"/>
      <c r="O3324" t="s">
        <v>6039</v>
      </c>
      <c r="Q3324" t="s">
        <v>126</v>
      </c>
      <c r="R3324" t="s">
        <v>124</v>
      </c>
      <c r="S3324" t="b">
        <v>0</v>
      </c>
      <c r="T3324" t="s">
        <v>124</v>
      </c>
    </row>
    <row r="3325">
      <c r="A3325" t="s">
        <v>6040</v>
      </c>
      <c r="B3325" t="s">
        <v>6032</v>
      </c>
      <c r="C3325" s="2">
        <v>2022</v>
      </c>
      <c r="D3325" s="10">
        <v>2</v>
      </c>
      <c r="E3325" s="10">
        <v>2</v>
      </c>
      <c r="F3325" t="s">
        <v>394</v>
      </c>
      <c r="G3325">
        <v>150</v>
      </c>
      <c r="H3325" t="s">
        <v>69</v>
      </c>
      <c r="I3325" t="s">
        <v>141</v>
      </c>
      <c r="J3325" s="10" t="str">
        <f>VLOOKUP(I3325,Categories!A:B,2,FALSE)</f>
        <v>Other</v>
      </c>
      <c r="K3325" t="s">
        <v>893</v>
      </c>
      <c r="L3325" s="10" t="str">
        <f>VLOOKUP(K3325,Accounts!A:B,2,FALSE)</f>
        <v>Shopee</v>
      </c>
      <c r="M3325" t="s">
        <v>124</v>
      </c>
      <c r="N3325" s="10"/>
      <c r="O3325" t="s">
        <v>6041</v>
      </c>
      <c r="Q3325" t="s">
        <v>126</v>
      </c>
      <c r="R3325" t="s">
        <v>124</v>
      </c>
      <c r="S3325" t="b">
        <v>0</v>
      </c>
      <c r="T3325" t="s">
        <v>124</v>
      </c>
    </row>
    <row r="3326">
      <c r="A3326" t="s">
        <v>6042</v>
      </c>
      <c r="B3326" t="s">
        <v>6032</v>
      </c>
      <c r="C3326" s="2">
        <v>2022</v>
      </c>
      <c r="D3326" s="10">
        <v>2</v>
      </c>
      <c r="E3326" s="10">
        <v>2</v>
      </c>
      <c r="F3326" t="s">
        <v>1436</v>
      </c>
      <c r="G3326">
        <v>105</v>
      </c>
      <c r="H3326" t="s">
        <v>128</v>
      </c>
      <c r="I3326" t="s">
        <v>136</v>
      </c>
      <c r="J3326" s="10" t="str">
        <f>VLOOKUP(I3326,Categories!A:B,2,FALSE)</f>
        <v>อื่นๆ</v>
      </c>
      <c r="K3326" t="s">
        <v>893</v>
      </c>
      <c r="L3326" s="10" t="str">
        <f>VLOOKUP(K3326,Accounts!A:B,2,FALSE)</f>
        <v>Shopee</v>
      </c>
      <c r="M3326" t="s">
        <v>178</v>
      </c>
      <c r="N3326" s="10" t="str">
        <f>VLOOKUP(M3326,Accounts!A:B,2,FALSE)</f>
        <v>SCB</v>
      </c>
      <c r="O3326" t="s">
        <v>125</v>
      </c>
      <c r="Q3326" t="s">
        <v>126</v>
      </c>
      <c r="R3326" t="s">
        <v>124</v>
      </c>
      <c r="S3326" t="b">
        <v>0</v>
      </c>
      <c r="T3326" t="s">
        <v>124</v>
      </c>
    </row>
    <row r="3327">
      <c r="A3327" t="s">
        <v>6043</v>
      </c>
      <c r="B3327" t="s">
        <v>6032</v>
      </c>
      <c r="C3327" s="2">
        <v>2022</v>
      </c>
      <c r="D3327" s="10">
        <v>2</v>
      </c>
      <c r="E3327" s="10">
        <v>2</v>
      </c>
      <c r="F3327" t="s">
        <v>2014</v>
      </c>
      <c r="G3327">
        <v>254</v>
      </c>
      <c r="H3327" t="s">
        <v>69</v>
      </c>
      <c r="I3327" t="s">
        <v>3504</v>
      </c>
      <c r="J3327" s="10" t="str">
        <f>VLOOKUP(I3327,Categories!A:B,2,FALSE)</f>
        <v xml:space="preserve">Condo suppliers</v>
      </c>
      <c r="K3327" t="s">
        <v>893</v>
      </c>
      <c r="L3327" s="10" t="str">
        <f>VLOOKUP(K3327,Accounts!A:B,2,FALSE)</f>
        <v>Shopee</v>
      </c>
      <c r="M3327" t="s">
        <v>124</v>
      </c>
      <c r="N3327" s="10"/>
      <c r="O3327" t="s">
        <v>125</v>
      </c>
      <c r="Q3327" t="s">
        <v>126</v>
      </c>
      <c r="R3327" t="s">
        <v>124</v>
      </c>
      <c r="S3327" t="b">
        <v>0</v>
      </c>
      <c r="T3327" t="s">
        <v>124</v>
      </c>
    </row>
    <row r="3328">
      <c r="A3328" t="s">
        <v>6044</v>
      </c>
      <c r="B3328" t="s">
        <v>6032</v>
      </c>
      <c r="C3328" s="2">
        <v>2022</v>
      </c>
      <c r="D3328" s="10">
        <v>2</v>
      </c>
      <c r="E3328" s="10">
        <v>2</v>
      </c>
      <c r="F3328" t="s">
        <v>2307</v>
      </c>
      <c r="G3328">
        <v>300</v>
      </c>
      <c r="H3328" t="s">
        <v>128</v>
      </c>
      <c r="I3328" t="s">
        <v>136</v>
      </c>
      <c r="J3328" s="10" t="str">
        <f>VLOOKUP(I3328,Categories!A:B,2,FALSE)</f>
        <v>อื่นๆ</v>
      </c>
      <c r="K3328" t="s">
        <v>178</v>
      </c>
      <c r="L3328" s="10" t="str">
        <f>VLOOKUP(K3328,Accounts!A:B,2,FALSE)</f>
        <v>SCB</v>
      </c>
      <c r="M3328" t="s">
        <v>893</v>
      </c>
      <c r="N3328" s="10" t="str">
        <f>VLOOKUP(M3328,Accounts!A:B,2,FALSE)</f>
        <v>Shopee</v>
      </c>
      <c r="O3328" t="s">
        <v>125</v>
      </c>
      <c r="Q3328" t="s">
        <v>126</v>
      </c>
      <c r="R3328" t="s">
        <v>124</v>
      </c>
      <c r="S3328" t="b">
        <v>0</v>
      </c>
      <c r="T3328" t="s">
        <v>124</v>
      </c>
    </row>
    <row r="3329">
      <c r="A3329" t="s">
        <v>6045</v>
      </c>
      <c r="B3329" t="s">
        <v>6032</v>
      </c>
      <c r="C3329" s="2">
        <v>2022</v>
      </c>
      <c r="D3329" s="10">
        <v>2</v>
      </c>
      <c r="E3329" s="10">
        <v>2</v>
      </c>
      <c r="F3329" t="s">
        <v>1922</v>
      </c>
      <c r="G3329">
        <v>8924</v>
      </c>
      <c r="H3329" t="s">
        <v>128</v>
      </c>
      <c r="I3329" t="s">
        <v>136</v>
      </c>
      <c r="J3329" s="10" t="str">
        <f>VLOOKUP(I3329,Categories!A:B,2,FALSE)</f>
        <v>อื่นๆ</v>
      </c>
      <c r="K3329" t="s">
        <v>2317</v>
      </c>
      <c r="L3329" s="10" t="str">
        <f>VLOOKUP(K3329,Accounts!A:B,2,FALSE)</f>
        <v xml:space="preserve">Marriage account</v>
      </c>
      <c r="M3329" t="s">
        <v>743</v>
      </c>
      <c r="N3329" s="10" t="str">
        <f>VLOOKUP(M3329,Accounts!A:B,2,FALSE)</f>
        <v>HOMEPRO</v>
      </c>
      <c r="O3329" t="s">
        <v>125</v>
      </c>
      <c r="Q3329" t="s">
        <v>126</v>
      </c>
      <c r="R3329" t="s">
        <v>124</v>
      </c>
      <c r="S3329" t="b">
        <v>0</v>
      </c>
      <c r="T3329" t="s">
        <v>124</v>
      </c>
    </row>
    <row r="3330">
      <c r="A3330" t="s">
        <v>6046</v>
      </c>
      <c r="B3330" t="s">
        <v>6047</v>
      </c>
      <c r="C3330" s="2">
        <v>2022</v>
      </c>
      <c r="D3330" s="10">
        <v>2</v>
      </c>
      <c r="E3330" s="10">
        <v>1</v>
      </c>
      <c r="F3330" t="s">
        <v>121</v>
      </c>
      <c r="G3330">
        <v>10000</v>
      </c>
      <c r="H3330" t="s">
        <v>128</v>
      </c>
      <c r="I3330" t="s">
        <v>136</v>
      </c>
      <c r="J3330" s="10" t="str">
        <f>VLOOKUP(I3330,Categories!A:B,2,FALSE)</f>
        <v>อื่นๆ</v>
      </c>
      <c r="K3330" t="s">
        <v>178</v>
      </c>
      <c r="L3330" s="10" t="str">
        <f>VLOOKUP(K3330,Accounts!A:B,2,FALSE)</f>
        <v>SCB</v>
      </c>
      <c r="M3330" t="s">
        <v>2317</v>
      </c>
      <c r="N3330" s="10" t="str">
        <f>VLOOKUP(M3330,Accounts!A:B,2,FALSE)</f>
        <v xml:space="preserve">Marriage account</v>
      </c>
      <c r="O3330" t="s">
        <v>125</v>
      </c>
      <c r="Q3330" t="s">
        <v>126</v>
      </c>
      <c r="R3330" t="s">
        <v>124</v>
      </c>
      <c r="S3330" t="b">
        <v>0</v>
      </c>
      <c r="T3330" t="s">
        <v>124</v>
      </c>
    </row>
    <row r="3331">
      <c r="A3331" t="s">
        <v>6048</v>
      </c>
      <c r="B3331" t="s">
        <v>6047</v>
      </c>
      <c r="C3331" s="2">
        <v>2022</v>
      </c>
      <c r="D3331" s="10">
        <v>2</v>
      </c>
      <c r="E3331" s="10">
        <v>1</v>
      </c>
      <c r="F3331" t="s">
        <v>1500</v>
      </c>
      <c r="G3331">
        <v>4307</v>
      </c>
      <c r="H3331" t="s">
        <v>128</v>
      </c>
      <c r="I3331" t="s">
        <v>136</v>
      </c>
      <c r="J3331" s="10" t="str">
        <f>VLOOKUP(I3331,Categories!A:B,2,FALSE)</f>
        <v>อื่นๆ</v>
      </c>
      <c r="K3331" t="s">
        <v>766</v>
      </c>
      <c r="L3331" s="10" t="str">
        <f>VLOOKUP(K3331,Accounts!A:B,2,FALSE)</f>
        <v>KRUNGSRI</v>
      </c>
      <c r="M3331" t="s">
        <v>743</v>
      </c>
      <c r="N3331" s="10" t="str">
        <f>VLOOKUP(M3331,Accounts!A:B,2,FALSE)</f>
        <v>HOMEPRO</v>
      </c>
      <c r="O3331" t="s">
        <v>125</v>
      </c>
      <c r="Q3331" t="s">
        <v>126</v>
      </c>
      <c r="R3331" t="s">
        <v>124</v>
      </c>
      <c r="S3331" t="b">
        <v>0</v>
      </c>
      <c r="T3331" t="s">
        <v>124</v>
      </c>
    </row>
    <row r="3332">
      <c r="A3332" t="s">
        <v>6049</v>
      </c>
      <c r="B3332" t="s">
        <v>6047</v>
      </c>
      <c r="C3332" s="2">
        <v>2022</v>
      </c>
      <c r="D3332" s="10">
        <v>2</v>
      </c>
      <c r="E3332" s="10">
        <v>1</v>
      </c>
      <c r="F3332" t="s">
        <v>394</v>
      </c>
      <c r="G3332">
        <v>1366</v>
      </c>
      <c r="H3332" t="s">
        <v>128</v>
      </c>
      <c r="I3332" t="s">
        <v>136</v>
      </c>
      <c r="J3332" s="10" t="str">
        <f>VLOOKUP(I3332,Categories!A:B,2,FALSE)</f>
        <v>อื่นๆ</v>
      </c>
      <c r="K3332" t="s">
        <v>178</v>
      </c>
      <c r="L3332" s="10" t="str">
        <f>VLOOKUP(K3332,Accounts!A:B,2,FALSE)</f>
        <v>SCB</v>
      </c>
      <c r="M3332" t="s">
        <v>425</v>
      </c>
      <c r="N3332" s="10" t="str">
        <f>VLOOKUP(M3332,Accounts!A:B,2,FALSE)</f>
        <v>Cash</v>
      </c>
      <c r="O3332" t="s">
        <v>125</v>
      </c>
      <c r="Q3332" t="s">
        <v>126</v>
      </c>
      <c r="R3332" t="s">
        <v>124</v>
      </c>
      <c r="S3332" t="b">
        <v>0</v>
      </c>
      <c r="T3332" t="s">
        <v>124</v>
      </c>
    </row>
    <row r="3333">
      <c r="A3333" t="s">
        <v>6050</v>
      </c>
      <c r="B3333" t="s">
        <v>6047</v>
      </c>
      <c r="C3333" s="2">
        <v>2022</v>
      </c>
      <c r="D3333" s="10">
        <v>2</v>
      </c>
      <c r="E3333" s="10">
        <v>1</v>
      </c>
      <c r="F3333" t="s">
        <v>3271</v>
      </c>
      <c r="G3333">
        <v>20</v>
      </c>
      <c r="H3333" t="s">
        <v>69</v>
      </c>
      <c r="I3333" t="s">
        <v>150</v>
      </c>
      <c r="J3333" s="10" t="str">
        <f>VLOOKUP(I3333,Categories!A:B,2,FALSE)</f>
        <v xml:space="preserve">Food &amp; Coff</v>
      </c>
      <c r="K3333" t="s">
        <v>178</v>
      </c>
      <c r="L3333" s="10" t="str">
        <f>VLOOKUP(K3333,Accounts!A:B,2,FALSE)</f>
        <v>SCB</v>
      </c>
      <c r="M3333" t="s">
        <v>124</v>
      </c>
      <c r="N3333" s="10"/>
      <c r="O3333" t="s">
        <v>125</v>
      </c>
      <c r="Q3333" t="s">
        <v>126</v>
      </c>
      <c r="R3333" t="s">
        <v>124</v>
      </c>
      <c r="S3333" t="b">
        <v>0</v>
      </c>
      <c r="T3333" t="s">
        <v>124</v>
      </c>
    </row>
    <row r="3334">
      <c r="A3334" t="s">
        <v>6051</v>
      </c>
      <c r="B3334" t="s">
        <v>6052</v>
      </c>
      <c r="C3334" s="2">
        <v>2022</v>
      </c>
      <c r="D3334" s="10">
        <v>1</v>
      </c>
      <c r="E3334" s="10">
        <v>31</v>
      </c>
      <c r="F3334" t="s">
        <v>1418</v>
      </c>
      <c r="G3334">
        <v>736</v>
      </c>
      <c r="H3334" t="s">
        <v>69</v>
      </c>
      <c r="I3334" t="s">
        <v>134</v>
      </c>
      <c r="J3334" s="10" t="str">
        <f>VLOOKUP(I3334,Categories!A:B,2,FALSE)</f>
        <v>Hong</v>
      </c>
      <c r="K3334" t="s">
        <v>130</v>
      </c>
      <c r="L3334" s="10" t="str">
        <f>VLOOKUP(K3334,Accounts!A:B,2,FALSE)</f>
        <v xml:space="preserve">KTC JCB</v>
      </c>
      <c r="M3334" t="s">
        <v>124</v>
      </c>
      <c r="N3334" s="10"/>
      <c r="O3334" t="s">
        <v>6053</v>
      </c>
      <c r="Q3334" t="s">
        <v>126</v>
      </c>
      <c r="R3334" t="s">
        <v>124</v>
      </c>
      <c r="S3334" t="b">
        <v>0</v>
      </c>
      <c r="T3334" t="s">
        <v>124</v>
      </c>
    </row>
    <row r="3335">
      <c r="A3335" t="s">
        <v>6054</v>
      </c>
      <c r="B3335" t="s">
        <v>6055</v>
      </c>
      <c r="C3335" s="2">
        <v>2022</v>
      </c>
      <c r="D3335" s="10">
        <v>1</v>
      </c>
      <c r="E3335" s="10">
        <v>30</v>
      </c>
      <c r="F3335" t="s">
        <v>3847</v>
      </c>
      <c r="G3335">
        <v>50</v>
      </c>
      <c r="H3335" t="s">
        <v>69</v>
      </c>
      <c r="I3335" t="s">
        <v>150</v>
      </c>
      <c r="J3335" s="10" t="str">
        <f>VLOOKUP(I3335,Categories!A:B,2,FALSE)</f>
        <v xml:space="preserve">Food &amp; Coff</v>
      </c>
      <c r="K3335" t="s">
        <v>178</v>
      </c>
      <c r="L3335" s="10" t="str">
        <f>VLOOKUP(K3335,Accounts!A:B,2,FALSE)</f>
        <v>SCB</v>
      </c>
      <c r="M3335" t="s">
        <v>124</v>
      </c>
      <c r="N3335" s="10"/>
      <c r="O3335" t="s">
        <v>125</v>
      </c>
      <c r="Q3335" t="s">
        <v>126</v>
      </c>
      <c r="R3335" t="s">
        <v>124</v>
      </c>
      <c r="S3335" t="b">
        <v>0</v>
      </c>
      <c r="T3335" t="s">
        <v>124</v>
      </c>
    </row>
    <row r="3336">
      <c r="A3336" t="s">
        <v>6056</v>
      </c>
      <c r="B3336" t="s">
        <v>6055</v>
      </c>
      <c r="C3336" s="2">
        <v>2022</v>
      </c>
      <c r="D3336" s="10">
        <v>1</v>
      </c>
      <c r="E3336" s="10">
        <v>30</v>
      </c>
      <c r="F3336" t="s">
        <v>3847</v>
      </c>
      <c r="G3336">
        <v>20000</v>
      </c>
      <c r="H3336" t="s">
        <v>69</v>
      </c>
      <c r="I3336" t="s">
        <v>144</v>
      </c>
      <c r="J3336" s="10" t="str">
        <f>VLOOKUP(I3336,Categories!A:B,2,FALSE)</f>
        <v xml:space="preserve">Family paid</v>
      </c>
      <c r="K3336" t="s">
        <v>178</v>
      </c>
      <c r="L3336" s="10" t="str">
        <f>VLOOKUP(K3336,Accounts!A:B,2,FALSE)</f>
        <v>SCB</v>
      </c>
      <c r="M3336" t="s">
        <v>124</v>
      </c>
      <c r="N3336" s="10"/>
      <c r="O3336" t="s">
        <v>1173</v>
      </c>
      <c r="Q3336" t="s">
        <v>126</v>
      </c>
      <c r="R3336" t="s">
        <v>124</v>
      </c>
      <c r="S3336" t="b">
        <v>0</v>
      </c>
      <c r="T3336" t="s">
        <v>124</v>
      </c>
    </row>
    <row r="3337">
      <c r="A3337" t="s">
        <v>6057</v>
      </c>
      <c r="B3337" t="s">
        <v>6058</v>
      </c>
      <c r="C3337" s="2">
        <v>2022</v>
      </c>
      <c r="D3337" s="10">
        <v>1</v>
      </c>
      <c r="E3337" s="10">
        <v>28</v>
      </c>
      <c r="F3337" t="s">
        <v>121</v>
      </c>
      <c r="G3337">
        <v>5000</v>
      </c>
      <c r="H3337" t="s">
        <v>69</v>
      </c>
      <c r="I3337" t="s">
        <v>144</v>
      </c>
      <c r="J3337" s="10" t="str">
        <f>VLOOKUP(I3337,Categories!A:B,2,FALSE)</f>
        <v xml:space="preserve">Family paid</v>
      </c>
      <c r="K3337" t="s">
        <v>178</v>
      </c>
      <c r="L3337" s="10" t="str">
        <f>VLOOKUP(K3337,Accounts!A:B,2,FALSE)</f>
        <v>SCB</v>
      </c>
      <c r="M3337" t="s">
        <v>124</v>
      </c>
      <c r="N3337" s="10"/>
      <c r="O3337" t="s">
        <v>125</v>
      </c>
      <c r="Q3337" t="s">
        <v>126</v>
      </c>
      <c r="R3337" t="s">
        <v>124</v>
      </c>
      <c r="S3337" t="b">
        <v>0</v>
      </c>
      <c r="T3337" t="s">
        <v>124</v>
      </c>
    </row>
    <row r="3338">
      <c r="A3338" t="s">
        <v>6059</v>
      </c>
      <c r="B3338" t="s">
        <v>6060</v>
      </c>
      <c r="C3338" s="2">
        <v>2022</v>
      </c>
      <c r="D3338" s="10">
        <v>1</v>
      </c>
      <c r="E3338" s="10">
        <v>26</v>
      </c>
      <c r="F3338" t="s">
        <v>298</v>
      </c>
      <c r="G3338">
        <v>82</v>
      </c>
      <c r="H3338" t="s">
        <v>69</v>
      </c>
      <c r="I3338" t="s">
        <v>150</v>
      </c>
      <c r="J3338" s="10" t="str">
        <f>VLOOKUP(I3338,Categories!A:B,2,FALSE)</f>
        <v xml:space="preserve">Food &amp; Coff</v>
      </c>
      <c r="K3338" t="s">
        <v>178</v>
      </c>
      <c r="L3338" s="10" t="str">
        <f>VLOOKUP(K3338,Accounts!A:B,2,FALSE)</f>
        <v>SCB</v>
      </c>
      <c r="M3338" t="s">
        <v>124</v>
      </c>
      <c r="N3338" s="10"/>
      <c r="O3338" t="s">
        <v>6061</v>
      </c>
      <c r="Q3338" t="s">
        <v>126</v>
      </c>
      <c r="R3338" t="s">
        <v>124</v>
      </c>
      <c r="S3338" t="b">
        <v>0</v>
      </c>
      <c r="T3338" t="s">
        <v>124</v>
      </c>
    </row>
    <row r="3339">
      <c r="A3339" t="s">
        <v>6062</v>
      </c>
      <c r="B3339" t="s">
        <v>6063</v>
      </c>
      <c r="C3339" s="2">
        <v>2022</v>
      </c>
      <c r="D3339" s="10">
        <v>1</v>
      </c>
      <c r="E3339" s="10">
        <v>25</v>
      </c>
      <c r="F3339" t="s">
        <v>121</v>
      </c>
      <c r="G3339">
        <v>637.12</v>
      </c>
      <c r="H3339" t="s">
        <v>69</v>
      </c>
      <c r="I3339" t="s">
        <v>199</v>
      </c>
      <c r="J3339" s="10" t="str">
        <f>VLOOKUP(I3339,Categories!A:B,2,FALSE)</f>
        <v xml:space="preserve">Home Chomthong Interest</v>
      </c>
      <c r="K3339" t="s">
        <v>178</v>
      </c>
      <c r="L3339" s="10" t="str">
        <f>VLOOKUP(K3339,Accounts!A:B,2,FALSE)</f>
        <v>SCB</v>
      </c>
      <c r="M3339" t="s">
        <v>124</v>
      </c>
      <c r="N3339" s="10"/>
      <c r="O3339" t="s">
        <v>125</v>
      </c>
      <c r="Q3339" t="s">
        <v>126</v>
      </c>
      <c r="R3339" t="s">
        <v>124</v>
      </c>
      <c r="S3339" t="b">
        <v>0</v>
      </c>
      <c r="T3339" t="s">
        <v>124</v>
      </c>
    </row>
    <row r="3340">
      <c r="A3340" t="s">
        <v>6064</v>
      </c>
      <c r="B3340" t="s">
        <v>6063</v>
      </c>
      <c r="C3340" s="2">
        <v>2022</v>
      </c>
      <c r="D3340" s="10">
        <v>1</v>
      </c>
      <c r="E3340" s="10">
        <v>25</v>
      </c>
      <c r="F3340" t="s">
        <v>121</v>
      </c>
      <c r="G3340">
        <v>133.88</v>
      </c>
      <c r="H3340" t="s">
        <v>69</v>
      </c>
      <c r="I3340" t="s">
        <v>443</v>
      </c>
      <c r="J3340" s="10" t="str">
        <f>VLOOKUP(I3340,Categories!A:B,2,FALSE)</f>
        <v xml:space="preserve">City SV Interest</v>
      </c>
      <c r="K3340" t="s">
        <v>178</v>
      </c>
      <c r="L3340" s="10" t="str">
        <f>VLOOKUP(K3340,Accounts!A:B,2,FALSE)</f>
        <v>SCB</v>
      </c>
      <c r="M3340" t="s">
        <v>124</v>
      </c>
      <c r="N3340" s="10"/>
      <c r="O3340" t="s">
        <v>125</v>
      </c>
      <c r="Q3340" t="s">
        <v>126</v>
      </c>
      <c r="R3340" t="s">
        <v>124</v>
      </c>
      <c r="S3340" t="b">
        <v>0</v>
      </c>
      <c r="T3340" t="s">
        <v>124</v>
      </c>
    </row>
    <row r="3341">
      <c r="A3341" t="s">
        <v>6065</v>
      </c>
      <c r="B3341" t="s">
        <v>6063</v>
      </c>
      <c r="C3341" s="2">
        <v>2022</v>
      </c>
      <c r="D3341" s="10">
        <v>1</v>
      </c>
      <c r="E3341" s="10">
        <v>25</v>
      </c>
      <c r="F3341" t="s">
        <v>121</v>
      </c>
      <c r="G3341">
        <v>7290</v>
      </c>
      <c r="H3341" t="s">
        <v>128</v>
      </c>
      <c r="I3341" t="s">
        <v>136</v>
      </c>
      <c r="J3341" s="10" t="str">
        <f>VLOOKUP(I3341,Categories!A:B,2,FALSE)</f>
        <v>อื่นๆ</v>
      </c>
      <c r="K3341" t="s">
        <v>178</v>
      </c>
      <c r="L3341" s="10" t="str">
        <f>VLOOKUP(K3341,Accounts!A:B,2,FALSE)</f>
        <v>SCB</v>
      </c>
      <c r="M3341" t="s">
        <v>1244</v>
      </c>
      <c r="N3341" s="10" t="str">
        <f>VLOOKUP(M3341,Accounts!A:B,2,FALSE)</f>
        <v xml:space="preserve">Home chomthong Loan</v>
      </c>
      <c r="O3341" t="s">
        <v>125</v>
      </c>
      <c r="Q3341" t="s">
        <v>126</v>
      </c>
      <c r="R3341" t="s">
        <v>124</v>
      </c>
      <c r="S3341" t="b">
        <v>0</v>
      </c>
      <c r="T3341" t="s">
        <v>124</v>
      </c>
    </row>
    <row r="3342">
      <c r="A3342" t="s">
        <v>6066</v>
      </c>
      <c r="B3342" t="s">
        <v>6063</v>
      </c>
      <c r="C3342" s="2">
        <v>2022</v>
      </c>
      <c r="D3342" s="10">
        <v>1</v>
      </c>
      <c r="E3342" s="10">
        <v>25</v>
      </c>
      <c r="F3342" t="s">
        <v>121</v>
      </c>
      <c r="G3342">
        <v>9240</v>
      </c>
      <c r="H3342" t="s">
        <v>128</v>
      </c>
      <c r="I3342" t="s">
        <v>136</v>
      </c>
      <c r="J3342" s="10" t="str">
        <f>VLOOKUP(I3342,Categories!A:B,2,FALSE)</f>
        <v>อื่นๆ</v>
      </c>
      <c r="K3342" t="s">
        <v>178</v>
      </c>
      <c r="L3342" s="10" t="str">
        <f>VLOOKUP(K3342,Accounts!A:B,2,FALSE)</f>
        <v>SCB</v>
      </c>
      <c r="M3342" t="s">
        <v>1246</v>
      </c>
      <c r="N3342" s="10" t="str">
        <f>VLOOKUP(M3342,Accounts!A:B,2,FALSE)</f>
        <v xml:space="preserve">Car Loan</v>
      </c>
      <c r="O3342" t="s">
        <v>125</v>
      </c>
      <c r="Q3342" t="s">
        <v>126</v>
      </c>
      <c r="R3342" t="s">
        <v>124</v>
      </c>
      <c r="S3342" t="b">
        <v>0</v>
      </c>
      <c r="T3342" t="s">
        <v>124</v>
      </c>
    </row>
    <row r="3343">
      <c r="A3343" t="s">
        <v>6067</v>
      </c>
      <c r="B3343" t="s">
        <v>6063</v>
      </c>
      <c r="C3343" s="2">
        <v>2022</v>
      </c>
      <c r="D3343" s="10">
        <v>1</v>
      </c>
      <c r="E3343" s="10">
        <v>25</v>
      </c>
      <c r="F3343" t="s">
        <v>121</v>
      </c>
      <c r="G3343">
        <v>500</v>
      </c>
      <c r="H3343" t="s">
        <v>128</v>
      </c>
      <c r="I3343" t="s">
        <v>136</v>
      </c>
      <c r="J3343" s="10" t="str">
        <f>VLOOKUP(I3343,Categories!A:B,2,FALSE)</f>
        <v>อื่นๆ</v>
      </c>
      <c r="K3343" t="s">
        <v>178</v>
      </c>
      <c r="L3343" s="10" t="str">
        <f>VLOOKUP(K3343,Accounts!A:B,2,FALSE)</f>
        <v>SCB</v>
      </c>
      <c r="M3343" t="s">
        <v>201</v>
      </c>
      <c r="N3343" s="10" t="str">
        <f>VLOOKUP(M3343,Accounts!A:B,2,FALSE)</f>
        <v>Coop</v>
      </c>
      <c r="O3343" t="s">
        <v>125</v>
      </c>
      <c r="Q3343" t="s">
        <v>126</v>
      </c>
      <c r="R3343" t="s">
        <v>124</v>
      </c>
      <c r="S3343" t="b">
        <v>0</v>
      </c>
      <c r="T3343" t="s">
        <v>124</v>
      </c>
    </row>
    <row r="3344">
      <c r="A3344" t="s">
        <v>6068</v>
      </c>
      <c r="B3344" t="s">
        <v>6063</v>
      </c>
      <c r="C3344" s="2">
        <v>2022</v>
      </c>
      <c r="D3344" s="10">
        <v>1</v>
      </c>
      <c r="E3344" s="10">
        <v>25</v>
      </c>
      <c r="F3344" t="s">
        <v>121</v>
      </c>
      <c r="G3344">
        <v>1917.8</v>
      </c>
      <c r="H3344" t="s">
        <v>128</v>
      </c>
      <c r="I3344" t="s">
        <v>136</v>
      </c>
      <c r="J3344" s="10" t="str">
        <f>VLOOKUP(I3344,Categories!A:B,2,FALSE)</f>
        <v>อื่นๆ</v>
      </c>
      <c r="K3344" t="s">
        <v>178</v>
      </c>
      <c r="L3344" s="10" t="str">
        <f>VLOOKUP(K3344,Accounts!A:B,2,FALSE)</f>
        <v>SCB</v>
      </c>
      <c r="M3344" t="s">
        <v>203</v>
      </c>
      <c r="N3344" s="10" t="str">
        <f>VLOOKUP(M3344,Accounts!A:B,2,FALSE)</f>
        <v xml:space="preserve">Provident Fund</v>
      </c>
      <c r="O3344" t="s">
        <v>125</v>
      </c>
      <c r="Q3344" t="s">
        <v>126</v>
      </c>
      <c r="R3344" t="s">
        <v>124</v>
      </c>
      <c r="S3344" t="b">
        <v>0</v>
      </c>
      <c r="T3344" t="s">
        <v>124</v>
      </c>
    </row>
    <row r="3345">
      <c r="A3345" t="s">
        <v>6069</v>
      </c>
      <c r="B3345" t="s">
        <v>6063</v>
      </c>
      <c r="C3345" s="2">
        <v>2022</v>
      </c>
      <c r="D3345" s="10">
        <v>1</v>
      </c>
      <c r="E3345" s="10">
        <v>25</v>
      </c>
      <c r="F3345" t="s">
        <v>121</v>
      </c>
      <c r="G3345">
        <v>95890</v>
      </c>
      <c r="H3345" t="s">
        <v>206</v>
      </c>
      <c r="I3345" t="s">
        <v>207</v>
      </c>
      <c r="J3345" s="10" t="str">
        <f>VLOOKUP(I3345,Categories!A:B,2,FALSE)</f>
        <v>Salary</v>
      </c>
      <c r="K3345" t="s">
        <v>178</v>
      </c>
      <c r="L3345" s="10" t="str">
        <f>VLOOKUP(K3345,Accounts!A:B,2,FALSE)</f>
        <v>SCB</v>
      </c>
      <c r="M3345" t="s">
        <v>124</v>
      </c>
      <c r="N3345" s="10"/>
      <c r="O3345" t="s">
        <v>125</v>
      </c>
      <c r="Q3345" t="s">
        <v>126</v>
      </c>
      <c r="R3345" t="s">
        <v>124</v>
      </c>
      <c r="S3345" t="b">
        <v>0</v>
      </c>
      <c r="T3345" t="s">
        <v>124</v>
      </c>
    </row>
    <row r="3346">
      <c r="A3346" t="s">
        <v>6070</v>
      </c>
      <c r="B3346" t="s">
        <v>6063</v>
      </c>
      <c r="C3346" s="2">
        <v>2022</v>
      </c>
      <c r="D3346" s="10">
        <v>1</v>
      </c>
      <c r="E3346" s="10">
        <v>25</v>
      </c>
      <c r="F3346" t="s">
        <v>121</v>
      </c>
      <c r="G3346">
        <v>2550</v>
      </c>
      <c r="H3346" t="s">
        <v>206</v>
      </c>
      <c r="I3346" t="s">
        <v>281</v>
      </c>
      <c r="J3346" s="10" t="str">
        <f>VLOOKUP(I3346,Categories!A:B,2,FALSE)</f>
        <v>Others</v>
      </c>
      <c r="K3346" t="s">
        <v>178</v>
      </c>
      <c r="L3346" s="10" t="str">
        <f>VLOOKUP(K3346,Accounts!A:B,2,FALSE)</f>
        <v>SCB</v>
      </c>
      <c r="M3346" t="s">
        <v>124</v>
      </c>
      <c r="N3346" s="10"/>
      <c r="O3346" t="s">
        <v>125</v>
      </c>
      <c r="Q3346" t="s">
        <v>126</v>
      </c>
      <c r="R3346" t="s">
        <v>124</v>
      </c>
      <c r="S3346" t="b">
        <v>0</v>
      </c>
      <c r="T3346" t="s">
        <v>124</v>
      </c>
    </row>
    <row r="3347">
      <c r="A3347" t="s">
        <v>6071</v>
      </c>
      <c r="B3347" t="s">
        <v>6063</v>
      </c>
      <c r="C3347" s="2">
        <v>2022</v>
      </c>
      <c r="D3347" s="10">
        <v>1</v>
      </c>
      <c r="E3347" s="10">
        <v>25</v>
      </c>
      <c r="F3347" t="s">
        <v>2765</v>
      </c>
      <c r="G3347">
        <v>298</v>
      </c>
      <c r="H3347" t="s">
        <v>69</v>
      </c>
      <c r="I3347" t="s">
        <v>1679</v>
      </c>
      <c r="J3347" s="10" t="str">
        <f>VLOOKUP(I3347,Categories!A:B,2,FALSE)</f>
        <v xml:space="preserve">Condo stuff</v>
      </c>
      <c r="K3347" t="s">
        <v>178</v>
      </c>
      <c r="L3347" s="10" t="str">
        <f>VLOOKUP(K3347,Accounts!A:B,2,FALSE)</f>
        <v>SCB</v>
      </c>
      <c r="M3347" t="s">
        <v>124</v>
      </c>
      <c r="N3347" s="10"/>
      <c r="O3347" t="s">
        <v>125</v>
      </c>
      <c r="Q3347" t="s">
        <v>126</v>
      </c>
      <c r="R3347" t="s">
        <v>124</v>
      </c>
      <c r="S3347" t="b">
        <v>0</v>
      </c>
      <c r="T3347" t="s">
        <v>124</v>
      </c>
    </row>
    <row r="3348">
      <c r="A3348" t="s">
        <v>6072</v>
      </c>
      <c r="B3348" t="s">
        <v>6073</v>
      </c>
      <c r="C3348" s="2">
        <v>2022</v>
      </c>
      <c r="D3348" s="10">
        <v>1</v>
      </c>
      <c r="E3348" s="10">
        <v>23</v>
      </c>
      <c r="F3348" t="s">
        <v>6074</v>
      </c>
      <c r="G3348">
        <v>155.96000000000001</v>
      </c>
      <c r="H3348" t="s">
        <v>69</v>
      </c>
      <c r="I3348" t="s">
        <v>254</v>
      </c>
      <c r="J3348" s="10" t="str">
        <f>VLOOKUP(I3348,Categories!A:B,2,FALSE)</f>
        <v xml:space="preserve">Modified Bal.</v>
      </c>
      <c r="K3348" t="s">
        <v>747</v>
      </c>
      <c r="L3348" s="10" t="str">
        <f>VLOOKUP(K3348,Accounts!A:B,2,FALSE)</f>
        <v xml:space="preserve">UOB world</v>
      </c>
      <c r="M3348" t="s">
        <v>124</v>
      </c>
      <c r="N3348" s="10"/>
      <c r="O3348" t="s">
        <v>255</v>
      </c>
      <c r="Q3348" t="s">
        <v>126</v>
      </c>
      <c r="R3348" t="s">
        <v>124</v>
      </c>
      <c r="S3348" t="b">
        <v>0</v>
      </c>
      <c r="T3348" t="s">
        <v>124</v>
      </c>
    </row>
    <row r="3349">
      <c r="A3349" t="s">
        <v>6075</v>
      </c>
      <c r="B3349" t="s">
        <v>6073</v>
      </c>
      <c r="C3349" s="2">
        <v>2022</v>
      </c>
      <c r="D3349" s="10">
        <v>1</v>
      </c>
      <c r="E3349" s="10">
        <v>23</v>
      </c>
      <c r="F3349" t="s">
        <v>219</v>
      </c>
      <c r="G3349">
        <v>1867</v>
      </c>
      <c r="H3349" t="s">
        <v>128</v>
      </c>
      <c r="I3349" t="s">
        <v>136</v>
      </c>
      <c r="J3349" s="10" t="str">
        <f>VLOOKUP(I3349,Categories!A:B,2,FALSE)</f>
        <v>อื่นๆ</v>
      </c>
      <c r="K3349" t="s">
        <v>2317</v>
      </c>
      <c r="L3349" s="10" t="str">
        <f>VLOOKUP(K3349,Accounts!A:B,2,FALSE)</f>
        <v xml:space="preserve">Marriage account</v>
      </c>
      <c r="M3349" t="s">
        <v>178</v>
      </c>
      <c r="N3349" s="10" t="str">
        <f>VLOOKUP(M3349,Accounts!A:B,2,FALSE)</f>
        <v>SCB</v>
      </c>
      <c r="O3349" t="s">
        <v>125</v>
      </c>
      <c r="Q3349" t="s">
        <v>126</v>
      </c>
      <c r="R3349" t="s">
        <v>124</v>
      </c>
      <c r="S3349" t="b">
        <v>0</v>
      </c>
      <c r="T3349" t="s">
        <v>124</v>
      </c>
    </row>
    <row r="3350">
      <c r="A3350" t="s">
        <v>6076</v>
      </c>
      <c r="B3350" t="s">
        <v>6073</v>
      </c>
      <c r="C3350" s="2">
        <v>2022</v>
      </c>
      <c r="D3350" s="10">
        <v>1</v>
      </c>
      <c r="E3350" s="10">
        <v>23</v>
      </c>
      <c r="F3350" t="s">
        <v>3444</v>
      </c>
      <c r="G3350">
        <v>2394</v>
      </c>
      <c r="H3350" t="s">
        <v>128</v>
      </c>
      <c r="I3350" t="s">
        <v>136</v>
      </c>
      <c r="J3350" s="10" t="str">
        <f>VLOOKUP(I3350,Categories!A:B,2,FALSE)</f>
        <v>อื่นๆ</v>
      </c>
      <c r="K3350" t="s">
        <v>178</v>
      </c>
      <c r="L3350" s="10" t="str">
        <f>VLOOKUP(K3350,Accounts!A:B,2,FALSE)</f>
        <v>SCB</v>
      </c>
      <c r="M3350" t="s">
        <v>1308</v>
      </c>
      <c r="N3350" s="10" t="str">
        <f>VLOOKUP(M3350,Accounts!A:B,2,FALSE)</f>
        <v xml:space="preserve">UOB Privilages</v>
      </c>
      <c r="O3350" t="s">
        <v>125</v>
      </c>
      <c r="Q3350" t="s">
        <v>126</v>
      </c>
      <c r="R3350" t="s">
        <v>124</v>
      </c>
      <c r="S3350" t="b">
        <v>0</v>
      </c>
      <c r="T3350" t="s">
        <v>124</v>
      </c>
    </row>
    <row r="3351">
      <c r="A3351" t="s">
        <v>6077</v>
      </c>
      <c r="B3351" t="s">
        <v>6073</v>
      </c>
      <c r="C3351" s="2">
        <v>2022</v>
      </c>
      <c r="D3351" s="10">
        <v>1</v>
      </c>
      <c r="E3351" s="10">
        <v>23</v>
      </c>
      <c r="F3351" t="s">
        <v>2134</v>
      </c>
      <c r="G3351">
        <v>344</v>
      </c>
      <c r="H3351" t="s">
        <v>69</v>
      </c>
      <c r="I3351" t="s">
        <v>150</v>
      </c>
      <c r="J3351" s="10" t="str">
        <f>VLOOKUP(I3351,Categories!A:B,2,FALSE)</f>
        <v xml:space="preserve">Food &amp; Coff</v>
      </c>
      <c r="K3351" t="s">
        <v>1308</v>
      </c>
      <c r="L3351" s="10" t="str">
        <f>VLOOKUP(K3351,Accounts!A:B,2,FALSE)</f>
        <v xml:space="preserve">UOB Privilages</v>
      </c>
      <c r="M3351" t="s">
        <v>124</v>
      </c>
      <c r="N3351" s="10"/>
      <c r="O3351" t="s">
        <v>125</v>
      </c>
      <c r="Q3351" t="s">
        <v>126</v>
      </c>
      <c r="R3351" t="s">
        <v>124</v>
      </c>
      <c r="S3351" t="b">
        <v>0</v>
      </c>
      <c r="T3351" t="s">
        <v>124</v>
      </c>
    </row>
    <row r="3352">
      <c r="A3352" t="s">
        <v>6078</v>
      </c>
      <c r="B3352" t="s">
        <v>6073</v>
      </c>
      <c r="C3352" s="2">
        <v>2022</v>
      </c>
      <c r="D3352" s="10">
        <v>1</v>
      </c>
      <c r="E3352" s="10">
        <v>23</v>
      </c>
      <c r="F3352" t="s">
        <v>2134</v>
      </c>
      <c r="G3352">
        <v>135.62</v>
      </c>
      <c r="H3352" t="s">
        <v>69</v>
      </c>
      <c r="I3352" t="s">
        <v>254</v>
      </c>
      <c r="J3352" s="10" t="str">
        <f>VLOOKUP(I3352,Categories!A:B,2,FALSE)</f>
        <v xml:space="preserve">Modified Bal.</v>
      </c>
      <c r="K3352" t="s">
        <v>1308</v>
      </c>
      <c r="L3352" s="10" t="str">
        <f>VLOOKUP(K3352,Accounts!A:B,2,FALSE)</f>
        <v xml:space="preserve">UOB Privilages</v>
      </c>
      <c r="M3352" t="s">
        <v>124</v>
      </c>
      <c r="N3352" s="10"/>
      <c r="O3352" t="s">
        <v>255</v>
      </c>
      <c r="Q3352" t="s">
        <v>126</v>
      </c>
      <c r="R3352" t="s">
        <v>124</v>
      </c>
      <c r="S3352" t="b">
        <v>0</v>
      </c>
      <c r="T3352" t="s">
        <v>124</v>
      </c>
    </row>
    <row r="3353">
      <c r="A3353" t="s">
        <v>6079</v>
      </c>
      <c r="B3353" t="s">
        <v>6073</v>
      </c>
      <c r="C3353" s="2">
        <v>2022</v>
      </c>
      <c r="D3353" s="10">
        <v>1</v>
      </c>
      <c r="E3353" s="10">
        <v>23</v>
      </c>
      <c r="F3353" t="s">
        <v>4446</v>
      </c>
      <c r="G3353">
        <v>700</v>
      </c>
      <c r="H3353" t="s">
        <v>206</v>
      </c>
      <c r="I3353" t="s">
        <v>281</v>
      </c>
      <c r="J3353" s="10" t="str">
        <f>VLOOKUP(I3353,Categories!A:B,2,FALSE)</f>
        <v>Others</v>
      </c>
      <c r="K3353" t="s">
        <v>178</v>
      </c>
      <c r="L3353" s="10" t="str">
        <f>VLOOKUP(K3353,Accounts!A:B,2,FALSE)</f>
        <v>SCB</v>
      </c>
      <c r="M3353" t="s">
        <v>124</v>
      </c>
      <c r="N3353" s="10"/>
      <c r="O3353" t="s">
        <v>6080</v>
      </c>
      <c r="Q3353" t="s">
        <v>126</v>
      </c>
      <c r="R3353" t="s">
        <v>124</v>
      </c>
      <c r="S3353" t="b">
        <v>0</v>
      </c>
      <c r="T3353" t="s">
        <v>124</v>
      </c>
    </row>
    <row r="3354">
      <c r="A3354" t="s">
        <v>6081</v>
      </c>
      <c r="B3354" t="s">
        <v>6073</v>
      </c>
      <c r="C3354" s="2">
        <v>2022</v>
      </c>
      <c r="D3354" s="10">
        <v>1</v>
      </c>
      <c r="E3354" s="10">
        <v>23</v>
      </c>
      <c r="F3354" t="s">
        <v>1187</v>
      </c>
      <c r="G3354">
        <v>1439</v>
      </c>
      <c r="H3354" t="s">
        <v>69</v>
      </c>
      <c r="I3354" t="s">
        <v>141</v>
      </c>
      <c r="J3354" s="10" t="str">
        <f>VLOOKUP(I3354,Categories!A:B,2,FALSE)</f>
        <v>Other</v>
      </c>
      <c r="K3354" t="s">
        <v>743</v>
      </c>
      <c r="L3354" s="10" t="str">
        <f>VLOOKUP(K3354,Accounts!A:B,2,FALSE)</f>
        <v>HOMEPRO</v>
      </c>
      <c r="M3354" t="s">
        <v>124</v>
      </c>
      <c r="N3354" s="10"/>
      <c r="O3354" t="s">
        <v>6082</v>
      </c>
      <c r="Q3354" t="s">
        <v>126</v>
      </c>
      <c r="R3354" t="s">
        <v>124</v>
      </c>
      <c r="S3354" t="b">
        <v>0</v>
      </c>
      <c r="T3354" t="s">
        <v>124</v>
      </c>
    </row>
    <row r="3355">
      <c r="A3355" t="s">
        <v>6083</v>
      </c>
      <c r="B3355" t="s">
        <v>6084</v>
      </c>
      <c r="C3355" s="2">
        <v>2022</v>
      </c>
      <c r="D3355" s="10">
        <v>1</v>
      </c>
      <c r="E3355" s="10">
        <v>22</v>
      </c>
      <c r="F3355" t="s">
        <v>6074</v>
      </c>
      <c r="G3355">
        <v>60</v>
      </c>
      <c r="H3355" t="s">
        <v>69</v>
      </c>
      <c r="I3355" t="s">
        <v>141</v>
      </c>
      <c r="J3355" s="10" t="str">
        <f>VLOOKUP(I3355,Categories!A:B,2,FALSE)</f>
        <v>Other</v>
      </c>
      <c r="K3355" t="s">
        <v>747</v>
      </c>
      <c r="L3355" s="10" t="str">
        <f>VLOOKUP(K3355,Accounts!A:B,2,FALSE)</f>
        <v xml:space="preserve">UOB world</v>
      </c>
      <c r="M3355" t="s">
        <v>124</v>
      </c>
      <c r="N3355" s="10"/>
      <c r="O3355" t="s">
        <v>6085</v>
      </c>
      <c r="Q3355" t="s">
        <v>126</v>
      </c>
      <c r="R3355" t="s">
        <v>124</v>
      </c>
      <c r="S3355" t="b">
        <v>0</v>
      </c>
      <c r="T3355" t="s">
        <v>124</v>
      </c>
    </row>
    <row r="3356">
      <c r="A3356" t="s">
        <v>6086</v>
      </c>
      <c r="B3356" t="s">
        <v>6087</v>
      </c>
      <c r="C3356" s="2">
        <v>2022</v>
      </c>
      <c r="D3356" s="10">
        <v>1</v>
      </c>
      <c r="E3356" s="10">
        <v>21</v>
      </c>
      <c r="F3356" t="s">
        <v>1534</v>
      </c>
      <c r="G3356">
        <v>60</v>
      </c>
      <c r="H3356" t="s">
        <v>69</v>
      </c>
      <c r="I3356" t="s">
        <v>150</v>
      </c>
      <c r="J3356" s="10" t="str">
        <f>VLOOKUP(I3356,Categories!A:B,2,FALSE)</f>
        <v xml:space="preserve">Food &amp; Coff</v>
      </c>
      <c r="K3356" t="s">
        <v>178</v>
      </c>
      <c r="L3356" s="10" t="str">
        <f>VLOOKUP(K3356,Accounts!A:B,2,FALSE)</f>
        <v>SCB</v>
      </c>
      <c r="M3356" t="s">
        <v>124</v>
      </c>
      <c r="N3356" s="10"/>
      <c r="O3356" t="s">
        <v>125</v>
      </c>
      <c r="Q3356" t="s">
        <v>126</v>
      </c>
      <c r="R3356" t="s">
        <v>124</v>
      </c>
      <c r="S3356" t="b">
        <v>0</v>
      </c>
      <c r="T3356" t="s">
        <v>124</v>
      </c>
    </row>
    <row r="3357">
      <c r="A3357" t="s">
        <v>6088</v>
      </c>
      <c r="B3357" t="s">
        <v>6087</v>
      </c>
      <c r="C3357" s="2">
        <v>2022</v>
      </c>
      <c r="D3357" s="10">
        <v>1</v>
      </c>
      <c r="E3357" s="10">
        <v>21</v>
      </c>
      <c r="F3357" t="s">
        <v>649</v>
      </c>
      <c r="G3357">
        <v>311</v>
      </c>
      <c r="H3357" t="s">
        <v>69</v>
      </c>
      <c r="I3357" t="s">
        <v>614</v>
      </c>
      <c r="J3357" s="10" t="str">
        <f>VLOOKUP(I3357,Categories!A:B,2,FALSE)</f>
        <v>Books</v>
      </c>
      <c r="K3357" t="s">
        <v>178</v>
      </c>
      <c r="L3357" s="10" t="str">
        <f>VLOOKUP(K3357,Accounts!A:B,2,FALSE)</f>
        <v>SCB</v>
      </c>
      <c r="M3357" t="s">
        <v>124</v>
      </c>
      <c r="N3357" s="10"/>
      <c r="O3357" t="s">
        <v>125</v>
      </c>
      <c r="Q3357" t="s">
        <v>126</v>
      </c>
      <c r="R3357" t="s">
        <v>124</v>
      </c>
      <c r="S3357" t="b">
        <v>0</v>
      </c>
      <c r="T3357" t="s">
        <v>124</v>
      </c>
    </row>
    <row r="3358">
      <c r="A3358" t="s">
        <v>6089</v>
      </c>
      <c r="B3358" t="s">
        <v>6090</v>
      </c>
      <c r="C3358" s="2">
        <v>2022</v>
      </c>
      <c r="D3358" s="10">
        <v>1</v>
      </c>
      <c r="E3358" s="10">
        <v>20</v>
      </c>
      <c r="F3358" t="s">
        <v>2992</v>
      </c>
      <c r="G3358">
        <v>1890</v>
      </c>
      <c r="H3358" t="s">
        <v>206</v>
      </c>
      <c r="I3358" t="s">
        <v>281</v>
      </c>
      <c r="J3358" s="10" t="str">
        <f>VLOOKUP(I3358,Categories!A:B,2,FALSE)</f>
        <v>Others</v>
      </c>
      <c r="K3358" t="s">
        <v>178</v>
      </c>
      <c r="L3358" s="10" t="str">
        <f>VLOOKUP(K3358,Accounts!A:B,2,FALSE)</f>
        <v>SCB</v>
      </c>
      <c r="M3358" t="s">
        <v>124</v>
      </c>
      <c r="N3358" s="10"/>
      <c r="O3358" t="s">
        <v>125</v>
      </c>
      <c r="Q3358" t="s">
        <v>126</v>
      </c>
      <c r="R3358" t="s">
        <v>124</v>
      </c>
      <c r="S3358" t="b">
        <v>0</v>
      </c>
      <c r="T3358" t="s">
        <v>124</v>
      </c>
    </row>
    <row r="3359">
      <c r="A3359" t="s">
        <v>6091</v>
      </c>
      <c r="B3359" t="s">
        <v>6092</v>
      </c>
      <c r="C3359" s="2">
        <v>2022</v>
      </c>
      <c r="D3359" s="10">
        <v>1</v>
      </c>
      <c r="E3359" s="10">
        <v>19</v>
      </c>
      <c r="F3359" t="s">
        <v>1898</v>
      </c>
      <c r="G3359">
        <v>2904</v>
      </c>
      <c r="H3359" t="s">
        <v>69</v>
      </c>
      <c r="I3359" t="s">
        <v>152</v>
      </c>
      <c r="J3359" s="10" t="str">
        <f>VLOOKUP(I3359,Categories!A:B,2,FALSE)</f>
        <v xml:space="preserve">Office Suit</v>
      </c>
      <c r="K3359" t="s">
        <v>130</v>
      </c>
      <c r="L3359" s="10" t="str">
        <f>VLOOKUP(K3359,Accounts!A:B,2,FALSE)</f>
        <v xml:space="preserve">KTC JCB</v>
      </c>
      <c r="M3359" t="s">
        <v>124</v>
      </c>
      <c r="N3359" s="10"/>
      <c r="O3359" t="s">
        <v>6093</v>
      </c>
      <c r="Q3359" t="s">
        <v>126</v>
      </c>
      <c r="R3359" t="s">
        <v>124</v>
      </c>
      <c r="S3359" t="b">
        <v>0</v>
      </c>
      <c r="T3359" t="s">
        <v>124</v>
      </c>
    </row>
    <row r="3360">
      <c r="A3360" t="s">
        <v>6094</v>
      </c>
      <c r="B3360" t="s">
        <v>6095</v>
      </c>
      <c r="C3360" s="2">
        <v>2022</v>
      </c>
      <c r="D3360" s="10">
        <v>1</v>
      </c>
      <c r="E3360" s="10">
        <v>16</v>
      </c>
      <c r="F3360" t="s">
        <v>2179</v>
      </c>
      <c r="G3360">
        <v>8924</v>
      </c>
      <c r="H3360" t="s">
        <v>69</v>
      </c>
      <c r="I3360" t="s">
        <v>1679</v>
      </c>
      <c r="J3360" s="10" t="str">
        <f>VLOOKUP(I3360,Categories!A:B,2,FALSE)</f>
        <v xml:space="preserve">Condo stuff</v>
      </c>
      <c r="K3360" t="s">
        <v>743</v>
      </c>
      <c r="L3360" s="10" t="str">
        <f>VLOOKUP(K3360,Accounts!A:B,2,FALSE)</f>
        <v>HOMEPRO</v>
      </c>
      <c r="M3360" t="s">
        <v>124</v>
      </c>
      <c r="N3360" s="10"/>
      <c r="O3360" t="s">
        <v>125</v>
      </c>
      <c r="Q3360" t="s">
        <v>126</v>
      </c>
      <c r="R3360" t="s">
        <v>124</v>
      </c>
      <c r="S3360" t="b">
        <v>0</v>
      </c>
      <c r="T3360" t="s">
        <v>124</v>
      </c>
    </row>
    <row r="3361">
      <c r="A3361" t="s">
        <v>6096</v>
      </c>
      <c r="B3361" t="s">
        <v>6097</v>
      </c>
      <c r="C3361" s="2">
        <v>2022</v>
      </c>
      <c r="D3361" s="10">
        <v>1</v>
      </c>
      <c r="E3361" s="10">
        <v>15</v>
      </c>
      <c r="F3361" t="s">
        <v>1143</v>
      </c>
      <c r="G3361">
        <v>190</v>
      </c>
      <c r="H3361" t="s">
        <v>69</v>
      </c>
      <c r="I3361" t="s">
        <v>150</v>
      </c>
      <c r="J3361" s="10" t="str">
        <f>VLOOKUP(I3361,Categories!A:B,2,FALSE)</f>
        <v xml:space="preserve">Food &amp; Coff</v>
      </c>
      <c r="K3361" t="s">
        <v>178</v>
      </c>
      <c r="L3361" s="10" t="str">
        <f>VLOOKUP(K3361,Accounts!A:B,2,FALSE)</f>
        <v>SCB</v>
      </c>
      <c r="M3361" t="s">
        <v>124</v>
      </c>
      <c r="N3361" s="10"/>
      <c r="O3361" t="s">
        <v>1488</v>
      </c>
      <c r="Q3361" t="s">
        <v>126</v>
      </c>
      <c r="R3361" t="s">
        <v>124</v>
      </c>
      <c r="S3361" t="b">
        <v>0</v>
      </c>
      <c r="T3361" t="s">
        <v>124</v>
      </c>
    </row>
    <row r="3362">
      <c r="A3362" t="s">
        <v>6098</v>
      </c>
      <c r="B3362" t="s">
        <v>6097</v>
      </c>
      <c r="C3362" s="2">
        <v>2022</v>
      </c>
      <c r="D3362" s="10">
        <v>1</v>
      </c>
      <c r="E3362" s="10">
        <v>15</v>
      </c>
      <c r="F3362" t="s">
        <v>5320</v>
      </c>
      <c r="G3362">
        <v>450</v>
      </c>
      <c r="H3362" t="s">
        <v>69</v>
      </c>
      <c r="I3362" t="s">
        <v>144</v>
      </c>
      <c r="J3362" s="10" t="str">
        <f>VLOOKUP(I3362,Categories!A:B,2,FALSE)</f>
        <v xml:space="preserve">Family paid</v>
      </c>
      <c r="K3362" t="s">
        <v>425</v>
      </c>
      <c r="L3362" s="10" t="str">
        <f>VLOOKUP(K3362,Accounts!A:B,2,FALSE)</f>
        <v>Cash</v>
      </c>
      <c r="M3362" t="s">
        <v>124</v>
      </c>
      <c r="N3362" s="10"/>
      <c r="O3362" t="s">
        <v>6099</v>
      </c>
      <c r="Q3362" t="s">
        <v>126</v>
      </c>
      <c r="R3362" t="s">
        <v>124</v>
      </c>
      <c r="S3362" t="b">
        <v>0</v>
      </c>
      <c r="T3362" t="s">
        <v>124</v>
      </c>
    </row>
    <row r="3363">
      <c r="A3363" t="s">
        <v>6100</v>
      </c>
      <c r="B3363" t="s">
        <v>6097</v>
      </c>
      <c r="C3363" s="2">
        <v>2022</v>
      </c>
      <c r="D3363" s="10">
        <v>1</v>
      </c>
      <c r="E3363" s="10">
        <v>15</v>
      </c>
      <c r="F3363" t="s">
        <v>2470</v>
      </c>
      <c r="G3363">
        <v>400</v>
      </c>
      <c r="H3363" t="s">
        <v>128</v>
      </c>
      <c r="I3363" t="s">
        <v>136</v>
      </c>
      <c r="J3363" s="10" t="str">
        <f>VLOOKUP(I3363,Categories!A:B,2,FALSE)</f>
        <v>อื่นๆ</v>
      </c>
      <c r="K3363" t="s">
        <v>2317</v>
      </c>
      <c r="L3363" s="10" t="str">
        <f>VLOOKUP(K3363,Accounts!A:B,2,FALSE)</f>
        <v xml:space="preserve">Marriage account</v>
      </c>
      <c r="M3363" t="s">
        <v>123</v>
      </c>
      <c r="N3363" s="10" t="str">
        <f>VLOOKUP(M3363,Accounts!A:B,2,FALSE)</f>
        <v>KBank</v>
      </c>
      <c r="O3363" t="s">
        <v>125</v>
      </c>
      <c r="Q3363" t="s">
        <v>126</v>
      </c>
      <c r="R3363" t="s">
        <v>124</v>
      </c>
      <c r="S3363" t="b">
        <v>0</v>
      </c>
      <c r="T3363" t="s">
        <v>124</v>
      </c>
    </row>
    <row r="3364">
      <c r="A3364" t="s">
        <v>6101</v>
      </c>
      <c r="B3364" t="s">
        <v>6102</v>
      </c>
      <c r="C3364" s="2">
        <v>2022</v>
      </c>
      <c r="D3364" s="10">
        <v>1</v>
      </c>
      <c r="E3364" s="10">
        <v>14</v>
      </c>
      <c r="F3364" t="s">
        <v>121</v>
      </c>
      <c r="G3364">
        <v>419</v>
      </c>
      <c r="H3364" t="s">
        <v>128</v>
      </c>
      <c r="I3364" t="s">
        <v>136</v>
      </c>
      <c r="J3364" s="10" t="str">
        <f>VLOOKUP(I3364,Categories!A:B,2,FALSE)</f>
        <v>อื่นๆ</v>
      </c>
      <c r="K3364" t="s">
        <v>178</v>
      </c>
      <c r="L3364" s="10" t="str">
        <f>VLOOKUP(K3364,Accounts!A:B,2,FALSE)</f>
        <v>SCB</v>
      </c>
      <c r="M3364" t="s">
        <v>747</v>
      </c>
      <c r="N3364" s="10" t="str">
        <f>VLOOKUP(M3364,Accounts!A:B,2,FALSE)</f>
        <v xml:space="preserve">UOB world</v>
      </c>
      <c r="O3364" t="s">
        <v>125</v>
      </c>
      <c r="Q3364" t="s">
        <v>126</v>
      </c>
      <c r="R3364" t="s">
        <v>124</v>
      </c>
      <c r="S3364" t="b">
        <v>0</v>
      </c>
      <c r="T3364" t="s">
        <v>124</v>
      </c>
    </row>
    <row r="3365">
      <c r="A3365" t="s">
        <v>6103</v>
      </c>
      <c r="B3365" t="s">
        <v>6102</v>
      </c>
      <c r="C3365" s="2">
        <v>2022</v>
      </c>
      <c r="D3365" s="10">
        <v>1</v>
      </c>
      <c r="E3365" s="10">
        <v>14</v>
      </c>
      <c r="F3365" t="s">
        <v>121</v>
      </c>
      <c r="G3365">
        <v>419</v>
      </c>
      <c r="H3365" t="s">
        <v>69</v>
      </c>
      <c r="I3365" t="s">
        <v>1903</v>
      </c>
      <c r="J3365" s="10" t="str">
        <f>VLOOKUP(I3365,Categories!A:B,2,FALSE)</f>
        <v xml:space="preserve">Monthly subscription</v>
      </c>
      <c r="K3365" t="s">
        <v>747</v>
      </c>
      <c r="L3365" s="10" t="str">
        <f>VLOOKUP(K3365,Accounts!A:B,2,FALSE)</f>
        <v xml:space="preserve">UOB world</v>
      </c>
      <c r="M3365" t="s">
        <v>124</v>
      </c>
      <c r="N3365" s="10"/>
      <c r="O3365" t="s">
        <v>125</v>
      </c>
      <c r="Q3365" t="s">
        <v>126</v>
      </c>
      <c r="R3365" t="s">
        <v>124</v>
      </c>
      <c r="S3365" t="b">
        <v>0</v>
      </c>
      <c r="T3365" t="s">
        <v>124</v>
      </c>
    </row>
    <row r="3366">
      <c r="A3366" t="s">
        <v>6104</v>
      </c>
      <c r="B3366" t="s">
        <v>6105</v>
      </c>
      <c r="C3366" s="2">
        <v>2022</v>
      </c>
      <c r="D3366" s="10">
        <v>1</v>
      </c>
      <c r="E3366" s="10">
        <v>12</v>
      </c>
      <c r="F3366" t="s">
        <v>992</v>
      </c>
      <c r="G3366">
        <v>100</v>
      </c>
      <c r="H3366" t="s">
        <v>206</v>
      </c>
      <c r="I3366" t="s">
        <v>281</v>
      </c>
      <c r="J3366" s="10" t="str">
        <f>VLOOKUP(I3366,Categories!A:B,2,FALSE)</f>
        <v>Others</v>
      </c>
      <c r="K3366" t="s">
        <v>743</v>
      </c>
      <c r="L3366" s="10" t="str">
        <f>VLOOKUP(K3366,Accounts!A:B,2,FALSE)</f>
        <v>HOMEPRO</v>
      </c>
      <c r="M3366" t="s">
        <v>124</v>
      </c>
      <c r="N3366" s="10"/>
      <c r="O3366" t="s">
        <v>125</v>
      </c>
      <c r="Q3366" t="s">
        <v>126</v>
      </c>
      <c r="R3366" t="s">
        <v>124</v>
      </c>
      <c r="S3366" t="b">
        <v>0</v>
      </c>
      <c r="T3366" t="s">
        <v>124</v>
      </c>
    </row>
    <row r="3367">
      <c r="A3367" t="s">
        <v>6106</v>
      </c>
      <c r="B3367" t="s">
        <v>6107</v>
      </c>
      <c r="C3367" s="2">
        <v>2022</v>
      </c>
      <c r="D3367" s="10">
        <v>1</v>
      </c>
      <c r="E3367" s="10">
        <v>11</v>
      </c>
      <c r="F3367" t="s">
        <v>608</v>
      </c>
      <c r="G3367">
        <v>60</v>
      </c>
      <c r="H3367" t="s">
        <v>69</v>
      </c>
      <c r="I3367" t="s">
        <v>150</v>
      </c>
      <c r="J3367" s="10" t="str">
        <f>VLOOKUP(I3367,Categories!A:B,2,FALSE)</f>
        <v xml:space="preserve">Food &amp; Coff</v>
      </c>
      <c r="K3367" t="s">
        <v>178</v>
      </c>
      <c r="L3367" s="10" t="str">
        <f>VLOOKUP(K3367,Accounts!A:B,2,FALSE)</f>
        <v>SCB</v>
      </c>
      <c r="M3367" t="s">
        <v>124</v>
      </c>
      <c r="N3367" s="10"/>
      <c r="O3367" t="s">
        <v>125</v>
      </c>
      <c r="Q3367" t="s">
        <v>126</v>
      </c>
      <c r="R3367" t="s">
        <v>124</v>
      </c>
      <c r="S3367" t="b">
        <v>0</v>
      </c>
      <c r="T3367" t="s">
        <v>124</v>
      </c>
    </row>
    <row r="3368">
      <c r="A3368" t="s">
        <v>6108</v>
      </c>
      <c r="B3368" t="s">
        <v>6107</v>
      </c>
      <c r="C3368" s="2">
        <v>2022</v>
      </c>
      <c r="D3368" s="10">
        <v>1</v>
      </c>
      <c r="E3368" s="10">
        <v>11</v>
      </c>
      <c r="F3368" t="s">
        <v>2150</v>
      </c>
      <c r="G3368">
        <v>125</v>
      </c>
      <c r="H3368" t="s">
        <v>69</v>
      </c>
      <c r="I3368" t="s">
        <v>150</v>
      </c>
      <c r="J3368" s="10" t="str">
        <f>VLOOKUP(I3368,Categories!A:B,2,FALSE)</f>
        <v xml:space="preserve">Food &amp; Coff</v>
      </c>
      <c r="K3368" t="s">
        <v>1308</v>
      </c>
      <c r="L3368" s="10" t="str">
        <f>VLOOKUP(K3368,Accounts!A:B,2,FALSE)</f>
        <v xml:space="preserve">UOB Privilages</v>
      </c>
      <c r="M3368" t="s">
        <v>124</v>
      </c>
      <c r="N3368" s="10"/>
      <c r="O3368" t="s">
        <v>125</v>
      </c>
      <c r="Q3368" t="s">
        <v>126</v>
      </c>
      <c r="R3368" t="s">
        <v>124</v>
      </c>
      <c r="S3368" t="b">
        <v>0</v>
      </c>
      <c r="T3368" t="s">
        <v>124</v>
      </c>
    </row>
    <row r="3369">
      <c r="A3369" t="s">
        <v>6109</v>
      </c>
      <c r="B3369" t="s">
        <v>6110</v>
      </c>
      <c r="C3369" s="2">
        <v>2022</v>
      </c>
      <c r="D3369" s="10">
        <v>1</v>
      </c>
      <c r="E3369" s="10">
        <v>10</v>
      </c>
      <c r="F3369" t="s">
        <v>3674</v>
      </c>
      <c r="G3369">
        <v>3004.9200000000001</v>
      </c>
      <c r="H3369" t="s">
        <v>69</v>
      </c>
      <c r="I3369" t="s">
        <v>1508</v>
      </c>
      <c r="J3369" s="10" t="str">
        <f>VLOOKUP(I3369,Categories!A:B,2,FALSE)</f>
        <v>Other</v>
      </c>
      <c r="K3369" t="s">
        <v>743</v>
      </c>
      <c r="L3369" s="10" t="str">
        <f>VLOOKUP(K3369,Accounts!A:B,2,FALSE)</f>
        <v>HOMEPRO</v>
      </c>
      <c r="M3369" t="s">
        <v>124</v>
      </c>
      <c r="N3369" s="10"/>
      <c r="O3369" t="s">
        <v>6024</v>
      </c>
      <c r="Q3369" t="s">
        <v>126</v>
      </c>
      <c r="R3369" t="s">
        <v>124</v>
      </c>
      <c r="S3369" t="b">
        <v>0</v>
      </c>
      <c r="T3369" t="s">
        <v>124</v>
      </c>
    </row>
    <row r="3370">
      <c r="A3370" t="s">
        <v>6111</v>
      </c>
      <c r="B3370" t="s">
        <v>6112</v>
      </c>
      <c r="C3370" s="2">
        <v>2022</v>
      </c>
      <c r="D3370" s="10">
        <v>1</v>
      </c>
      <c r="E3370" s="10">
        <v>9</v>
      </c>
      <c r="F3370" t="s">
        <v>3712</v>
      </c>
      <c r="G3370">
        <v>4000</v>
      </c>
      <c r="H3370" t="s">
        <v>69</v>
      </c>
      <c r="I3370" t="s">
        <v>1455</v>
      </c>
      <c r="J3370" s="10" t="str">
        <f>VLOOKUP(I3370,Categories!A:B,2,FALSE)</f>
        <v xml:space="preserve">Merit and gift</v>
      </c>
      <c r="K3370" t="s">
        <v>425</v>
      </c>
      <c r="L3370" s="10" t="str">
        <f>VLOOKUP(K3370,Accounts!A:B,2,FALSE)</f>
        <v>Cash</v>
      </c>
      <c r="M3370" t="s">
        <v>124</v>
      </c>
      <c r="N3370" s="10"/>
      <c r="O3370" t="s">
        <v>6113</v>
      </c>
      <c r="Q3370" t="s">
        <v>126</v>
      </c>
      <c r="R3370" t="s">
        <v>124</v>
      </c>
      <c r="S3370" t="b">
        <v>0</v>
      </c>
      <c r="T3370" t="s">
        <v>124</v>
      </c>
    </row>
    <row r="3371">
      <c r="A3371" t="s">
        <v>6114</v>
      </c>
      <c r="B3371" t="s">
        <v>6112</v>
      </c>
      <c r="C3371" s="2">
        <v>2022</v>
      </c>
      <c r="D3371" s="10">
        <v>1</v>
      </c>
      <c r="E3371" s="10">
        <v>9</v>
      </c>
      <c r="F3371" t="s">
        <v>147</v>
      </c>
      <c r="G3371">
        <v>145</v>
      </c>
      <c r="H3371" t="s">
        <v>128</v>
      </c>
      <c r="I3371" t="s">
        <v>136</v>
      </c>
      <c r="J3371" s="10" t="str">
        <f>VLOOKUP(I3371,Categories!A:B,2,FALSE)</f>
        <v>อื่นๆ</v>
      </c>
      <c r="K3371" t="s">
        <v>893</v>
      </c>
      <c r="L3371" s="10" t="str">
        <f>VLOOKUP(K3371,Accounts!A:B,2,FALSE)</f>
        <v>Shopee</v>
      </c>
      <c r="M3371" t="s">
        <v>178</v>
      </c>
      <c r="N3371" s="10" t="str">
        <f>VLOOKUP(M3371,Accounts!A:B,2,FALSE)</f>
        <v>SCB</v>
      </c>
      <c r="O3371" t="s">
        <v>125</v>
      </c>
      <c r="Q3371" t="s">
        <v>126</v>
      </c>
      <c r="R3371" t="s">
        <v>124</v>
      </c>
      <c r="S3371" t="b">
        <v>0</v>
      </c>
      <c r="T3371" t="s">
        <v>124</v>
      </c>
    </row>
    <row r="3372">
      <c r="A3372" t="s">
        <v>6115</v>
      </c>
      <c r="B3372" t="s">
        <v>6112</v>
      </c>
      <c r="C3372" s="2">
        <v>2022</v>
      </c>
      <c r="D3372" s="10">
        <v>1</v>
      </c>
      <c r="E3372" s="10">
        <v>9</v>
      </c>
      <c r="F3372" t="s">
        <v>903</v>
      </c>
      <c r="G3372">
        <v>2097</v>
      </c>
      <c r="H3372" t="s">
        <v>69</v>
      </c>
      <c r="I3372" t="s">
        <v>150</v>
      </c>
      <c r="J3372" s="10" t="str">
        <f>VLOOKUP(I3372,Categories!A:B,2,FALSE)</f>
        <v xml:space="preserve">Food &amp; Coff</v>
      </c>
      <c r="K3372" t="s">
        <v>1308</v>
      </c>
      <c r="L3372" s="10" t="str">
        <f>VLOOKUP(K3372,Accounts!A:B,2,FALSE)</f>
        <v xml:space="preserve">UOB Privilages</v>
      </c>
      <c r="M3372" t="s">
        <v>124</v>
      </c>
      <c r="N3372" s="10"/>
      <c r="O3372" t="s">
        <v>6116</v>
      </c>
      <c r="Q3372" t="s">
        <v>126</v>
      </c>
      <c r="R3372" t="s">
        <v>124</v>
      </c>
      <c r="S3372" t="b">
        <v>0</v>
      </c>
      <c r="T3372" t="s">
        <v>124</v>
      </c>
    </row>
    <row r="3373">
      <c r="A3373" t="s">
        <v>6117</v>
      </c>
      <c r="B3373" t="s">
        <v>6118</v>
      </c>
      <c r="C3373" s="2">
        <v>2022</v>
      </c>
      <c r="D3373" s="10">
        <v>1</v>
      </c>
      <c r="E3373" s="10">
        <v>8</v>
      </c>
      <c r="F3373" t="s">
        <v>1146</v>
      </c>
      <c r="G3373">
        <v>600</v>
      </c>
      <c r="H3373" t="s">
        <v>69</v>
      </c>
      <c r="I3373" t="s">
        <v>6119</v>
      </c>
      <c r="J3373" s="10" t="str">
        <f>VLOOKUP(I3373,Categories!A:B,2,FALSE)</f>
        <v>Laundry</v>
      </c>
      <c r="K3373" t="s">
        <v>425</v>
      </c>
      <c r="L3373" s="10" t="str">
        <f>VLOOKUP(K3373,Accounts!A:B,2,FALSE)</f>
        <v>Cash</v>
      </c>
      <c r="M3373" t="s">
        <v>124</v>
      </c>
      <c r="N3373" s="10"/>
      <c r="O3373" t="s">
        <v>6120</v>
      </c>
      <c r="Q3373" t="s">
        <v>126</v>
      </c>
      <c r="R3373" t="s">
        <v>124</v>
      </c>
      <c r="S3373" t="b">
        <v>0</v>
      </c>
      <c r="T3373" t="s">
        <v>124</v>
      </c>
    </row>
    <row r="3374">
      <c r="A3374" t="s">
        <v>6121</v>
      </c>
      <c r="B3374" t="s">
        <v>6118</v>
      </c>
      <c r="C3374" s="2">
        <v>2022</v>
      </c>
      <c r="D3374" s="10">
        <v>1</v>
      </c>
      <c r="E3374" s="10">
        <v>8</v>
      </c>
      <c r="F3374" t="s">
        <v>6122</v>
      </c>
      <c r="G3374">
        <v>1200</v>
      </c>
      <c r="H3374" t="s">
        <v>69</v>
      </c>
      <c r="I3374" t="s">
        <v>144</v>
      </c>
      <c r="J3374" s="10" t="str">
        <f>VLOOKUP(I3374,Categories!A:B,2,FALSE)</f>
        <v xml:space="preserve">Family paid</v>
      </c>
      <c r="K3374" t="s">
        <v>178</v>
      </c>
      <c r="L3374" s="10" t="str">
        <f>VLOOKUP(K3374,Accounts!A:B,2,FALSE)</f>
        <v>SCB</v>
      </c>
      <c r="M3374" t="s">
        <v>124</v>
      </c>
      <c r="N3374" s="10"/>
      <c r="O3374" t="s">
        <v>125</v>
      </c>
      <c r="Q3374" t="s">
        <v>126</v>
      </c>
      <c r="R3374" t="s">
        <v>124</v>
      </c>
      <c r="S3374" t="b">
        <v>0</v>
      </c>
      <c r="T3374" t="s">
        <v>124</v>
      </c>
    </row>
    <row r="3375">
      <c r="A3375" t="s">
        <v>6123</v>
      </c>
      <c r="B3375" t="s">
        <v>6118</v>
      </c>
      <c r="C3375" s="2">
        <v>2022</v>
      </c>
      <c r="D3375" s="10">
        <v>1</v>
      </c>
      <c r="E3375" s="10">
        <v>8</v>
      </c>
      <c r="F3375" t="s">
        <v>547</v>
      </c>
      <c r="G3375">
        <v>3000</v>
      </c>
      <c r="H3375" t="s">
        <v>69</v>
      </c>
      <c r="I3375" t="s">
        <v>144</v>
      </c>
      <c r="J3375" s="10" t="str">
        <f>VLOOKUP(I3375,Categories!A:B,2,FALSE)</f>
        <v xml:space="preserve">Family paid</v>
      </c>
      <c r="K3375" t="s">
        <v>425</v>
      </c>
      <c r="L3375" s="10" t="str">
        <f>VLOOKUP(K3375,Accounts!A:B,2,FALSE)</f>
        <v>Cash</v>
      </c>
      <c r="M3375" t="s">
        <v>124</v>
      </c>
      <c r="N3375" s="10"/>
      <c r="O3375" t="s">
        <v>125</v>
      </c>
      <c r="Q3375" t="s">
        <v>126</v>
      </c>
      <c r="R3375" t="s">
        <v>124</v>
      </c>
      <c r="S3375" t="b">
        <v>0</v>
      </c>
      <c r="T3375" t="s">
        <v>124</v>
      </c>
    </row>
    <row r="3376">
      <c r="A3376" t="s">
        <v>6124</v>
      </c>
      <c r="B3376" t="s">
        <v>6118</v>
      </c>
      <c r="C3376" s="2">
        <v>2022</v>
      </c>
      <c r="D3376" s="10">
        <v>1</v>
      </c>
      <c r="E3376" s="10">
        <v>8</v>
      </c>
      <c r="F3376" t="s">
        <v>547</v>
      </c>
      <c r="G3376">
        <v>6000</v>
      </c>
      <c r="H3376" t="s">
        <v>128</v>
      </c>
      <c r="I3376" t="s">
        <v>136</v>
      </c>
      <c r="J3376" s="10" t="str">
        <f>VLOOKUP(I3376,Categories!A:B,2,FALSE)</f>
        <v>อื่นๆ</v>
      </c>
      <c r="K3376" t="s">
        <v>123</v>
      </c>
      <c r="L3376" s="10" t="str">
        <f>VLOOKUP(K3376,Accounts!A:B,2,FALSE)</f>
        <v>KBank</v>
      </c>
      <c r="M3376" t="s">
        <v>425</v>
      </c>
      <c r="N3376" s="10" t="str">
        <f>VLOOKUP(M3376,Accounts!A:B,2,FALSE)</f>
        <v>Cash</v>
      </c>
      <c r="O3376" t="s">
        <v>125</v>
      </c>
      <c r="Q3376" t="s">
        <v>126</v>
      </c>
      <c r="R3376" t="s">
        <v>124</v>
      </c>
      <c r="S3376" t="b">
        <v>0</v>
      </c>
      <c r="T3376" t="s">
        <v>124</v>
      </c>
    </row>
    <row r="3377">
      <c r="A3377" t="s">
        <v>6125</v>
      </c>
      <c r="B3377" t="s">
        <v>6126</v>
      </c>
      <c r="C3377" s="2">
        <v>2022</v>
      </c>
      <c r="D3377" s="10">
        <v>1</v>
      </c>
      <c r="E3377" s="10">
        <v>7</v>
      </c>
      <c r="F3377" t="s">
        <v>1436</v>
      </c>
      <c r="G3377">
        <v>421</v>
      </c>
      <c r="H3377" t="s">
        <v>128</v>
      </c>
      <c r="I3377" t="s">
        <v>136</v>
      </c>
      <c r="J3377" s="10" t="str">
        <f>VLOOKUP(I3377,Categories!A:B,2,FALSE)</f>
        <v>อื่นๆ</v>
      </c>
      <c r="K3377" t="s">
        <v>5806</v>
      </c>
      <c r="L3377" s="10" t="str">
        <f>VLOOKUP(K3377,Accounts!A:B,2,FALSE)</f>
        <v>Grabpay</v>
      </c>
      <c r="M3377" t="s">
        <v>178</v>
      </c>
      <c r="N3377" s="10" t="str">
        <f>VLOOKUP(M3377,Accounts!A:B,2,FALSE)</f>
        <v>SCB</v>
      </c>
      <c r="O3377" t="s">
        <v>125</v>
      </c>
      <c r="Q3377" t="s">
        <v>126</v>
      </c>
      <c r="R3377" t="s">
        <v>124</v>
      </c>
      <c r="S3377" t="b">
        <v>0</v>
      </c>
      <c r="T3377" t="s">
        <v>124</v>
      </c>
    </row>
    <row r="3378">
      <c r="A3378" t="s">
        <v>6127</v>
      </c>
      <c r="B3378" t="s">
        <v>6126</v>
      </c>
      <c r="C3378" s="2">
        <v>2022</v>
      </c>
      <c r="D3378" s="10">
        <v>1</v>
      </c>
      <c r="E3378" s="10">
        <v>7</v>
      </c>
      <c r="F3378" t="s">
        <v>698</v>
      </c>
      <c r="G3378">
        <v>1100</v>
      </c>
      <c r="H3378" t="s">
        <v>69</v>
      </c>
      <c r="I3378" t="s">
        <v>254</v>
      </c>
      <c r="J3378" s="10" t="str">
        <f>VLOOKUP(I3378,Categories!A:B,2,FALSE)</f>
        <v xml:space="preserve">Modified Bal.</v>
      </c>
      <c r="K3378" t="s">
        <v>5803</v>
      </c>
      <c r="L3378" s="10" t="str">
        <f>VLOOKUP(K3378,Accounts!A:B,2,FALSE)</f>
        <v>grabvoucher</v>
      </c>
      <c r="M3378" t="s">
        <v>124</v>
      </c>
      <c r="N3378" s="10"/>
      <c r="O3378" t="s">
        <v>255</v>
      </c>
      <c r="Q3378" t="s">
        <v>126</v>
      </c>
      <c r="R3378" t="s">
        <v>124</v>
      </c>
      <c r="S3378" t="b">
        <v>0</v>
      </c>
      <c r="T3378" t="s">
        <v>124</v>
      </c>
    </row>
    <row r="3379">
      <c r="A3379" t="s">
        <v>6128</v>
      </c>
      <c r="B3379" t="s">
        <v>6129</v>
      </c>
      <c r="C3379" s="2">
        <v>2022</v>
      </c>
      <c r="D3379" s="10">
        <v>1</v>
      </c>
      <c r="E3379" s="10">
        <v>6</v>
      </c>
      <c r="F3379" t="s">
        <v>955</v>
      </c>
      <c r="G3379">
        <v>184</v>
      </c>
      <c r="H3379" t="s">
        <v>69</v>
      </c>
      <c r="I3379" t="s">
        <v>141</v>
      </c>
      <c r="J3379" s="10" t="str">
        <f>VLOOKUP(I3379,Categories!A:B,2,FALSE)</f>
        <v>Other</v>
      </c>
      <c r="K3379" t="s">
        <v>178</v>
      </c>
      <c r="L3379" s="10" t="str">
        <f>VLOOKUP(K3379,Accounts!A:B,2,FALSE)</f>
        <v>SCB</v>
      </c>
      <c r="M3379" t="s">
        <v>124</v>
      </c>
      <c r="N3379" s="10"/>
      <c r="O3379" t="s">
        <v>125</v>
      </c>
      <c r="Q3379" t="s">
        <v>126</v>
      </c>
      <c r="R3379" t="s">
        <v>124</v>
      </c>
      <c r="S3379" t="b">
        <v>0</v>
      </c>
      <c r="T3379" t="s">
        <v>124</v>
      </c>
    </row>
    <row r="3380">
      <c r="A3380" t="s">
        <v>6130</v>
      </c>
      <c r="B3380" t="s">
        <v>6129</v>
      </c>
      <c r="C3380" s="2">
        <v>2022</v>
      </c>
      <c r="D3380" s="10">
        <v>1</v>
      </c>
      <c r="E3380" s="10">
        <v>6</v>
      </c>
      <c r="F3380" t="s">
        <v>1436</v>
      </c>
      <c r="G3380">
        <v>400</v>
      </c>
      <c r="H3380" t="s">
        <v>128</v>
      </c>
      <c r="I3380" t="s">
        <v>136</v>
      </c>
      <c r="J3380" s="10" t="str">
        <f>VLOOKUP(I3380,Categories!A:B,2,FALSE)</f>
        <v>อื่นๆ</v>
      </c>
      <c r="K3380" t="s">
        <v>123</v>
      </c>
      <c r="L3380" s="10" t="str">
        <f>VLOOKUP(K3380,Accounts!A:B,2,FALSE)</f>
        <v>KBank</v>
      </c>
      <c r="M3380" t="s">
        <v>5806</v>
      </c>
      <c r="N3380" s="10" t="str">
        <f>VLOOKUP(M3380,Accounts!A:B,2,FALSE)</f>
        <v>Grabpay</v>
      </c>
      <c r="O3380" t="s">
        <v>125</v>
      </c>
      <c r="Q3380" t="s">
        <v>126</v>
      </c>
      <c r="R3380" t="s">
        <v>124</v>
      </c>
      <c r="S3380" t="b">
        <v>0</v>
      </c>
      <c r="T3380" t="s">
        <v>124</v>
      </c>
    </row>
    <row r="3381">
      <c r="A3381" t="s">
        <v>6131</v>
      </c>
      <c r="B3381" t="s">
        <v>6132</v>
      </c>
      <c r="C3381" s="2">
        <v>2022</v>
      </c>
      <c r="D3381" s="10">
        <v>1</v>
      </c>
      <c r="E3381" s="10">
        <v>5</v>
      </c>
      <c r="F3381" t="s">
        <v>1651</v>
      </c>
      <c r="G3381">
        <v>354.93000000000001</v>
      </c>
      <c r="H3381" t="s">
        <v>69</v>
      </c>
      <c r="I3381" t="s">
        <v>144</v>
      </c>
      <c r="J3381" s="10" t="str">
        <f>VLOOKUP(I3381,Categories!A:B,2,FALSE)</f>
        <v xml:space="preserve">Family paid</v>
      </c>
      <c r="K3381" t="s">
        <v>747</v>
      </c>
      <c r="L3381" s="10" t="str">
        <f>VLOOKUP(K3381,Accounts!A:B,2,FALSE)</f>
        <v xml:space="preserve">UOB world</v>
      </c>
      <c r="M3381" t="s">
        <v>124</v>
      </c>
      <c r="N3381" s="10"/>
      <c r="O3381" t="s">
        <v>6133</v>
      </c>
      <c r="Q3381" t="s">
        <v>126</v>
      </c>
      <c r="R3381" t="s">
        <v>124</v>
      </c>
      <c r="S3381" t="b">
        <v>0</v>
      </c>
      <c r="T3381" t="s">
        <v>124</v>
      </c>
    </row>
    <row r="3382">
      <c r="A3382" t="s">
        <v>6134</v>
      </c>
      <c r="B3382" t="s">
        <v>6135</v>
      </c>
      <c r="C3382" s="2">
        <v>2022</v>
      </c>
      <c r="D3382" s="10">
        <v>1</v>
      </c>
      <c r="E3382" s="10">
        <v>4</v>
      </c>
      <c r="F3382" t="s">
        <v>4964</v>
      </c>
      <c r="G3382">
        <v>4511.6800000000003</v>
      </c>
      <c r="H3382" t="s">
        <v>69</v>
      </c>
      <c r="I3382" t="s">
        <v>139</v>
      </c>
      <c r="J3382" s="10" t="str">
        <f>VLOOKUP(I3382,Categories!A:B,2,FALSE)</f>
        <v>Condo</v>
      </c>
      <c r="K3382" t="s">
        <v>178</v>
      </c>
      <c r="L3382" s="10" t="str">
        <f>VLOOKUP(K3382,Accounts!A:B,2,FALSE)</f>
        <v>SCB</v>
      </c>
      <c r="M3382" t="s">
        <v>124</v>
      </c>
      <c r="N3382" s="10"/>
      <c r="O3382" t="s">
        <v>125</v>
      </c>
      <c r="Q3382" t="s">
        <v>126</v>
      </c>
      <c r="R3382" t="s">
        <v>124</v>
      </c>
      <c r="S3382" t="b">
        <v>0</v>
      </c>
      <c r="T3382" t="s">
        <v>124</v>
      </c>
    </row>
    <row r="3383">
      <c r="A3383" t="s">
        <v>6136</v>
      </c>
      <c r="B3383" t="s">
        <v>6135</v>
      </c>
      <c r="C3383" s="2">
        <v>2022</v>
      </c>
      <c r="D3383" s="10">
        <v>1</v>
      </c>
      <c r="E3383" s="10">
        <v>4</v>
      </c>
      <c r="F3383" t="s">
        <v>556</v>
      </c>
      <c r="G3383">
        <v>500</v>
      </c>
      <c r="H3383" t="s">
        <v>206</v>
      </c>
      <c r="I3383" t="s">
        <v>281</v>
      </c>
      <c r="J3383" s="10" t="str">
        <f>VLOOKUP(I3383,Categories!A:B,2,FALSE)</f>
        <v>Others</v>
      </c>
      <c r="K3383" t="s">
        <v>178</v>
      </c>
      <c r="L3383" s="10" t="str">
        <f>VLOOKUP(K3383,Accounts!A:B,2,FALSE)</f>
        <v>SCB</v>
      </c>
      <c r="M3383" t="s">
        <v>124</v>
      </c>
      <c r="N3383" s="10"/>
      <c r="O3383" t="s">
        <v>125</v>
      </c>
      <c r="Q3383" t="s">
        <v>126</v>
      </c>
      <c r="R3383" t="s">
        <v>124</v>
      </c>
      <c r="S3383" t="b">
        <v>0</v>
      </c>
      <c r="T3383" t="s">
        <v>124</v>
      </c>
    </row>
    <row r="3384">
      <c r="A3384" t="s">
        <v>6137</v>
      </c>
      <c r="B3384" t="s">
        <v>6135</v>
      </c>
      <c r="C3384" s="2">
        <v>2022</v>
      </c>
      <c r="D3384" s="10">
        <v>1</v>
      </c>
      <c r="E3384" s="10">
        <v>4</v>
      </c>
      <c r="F3384" t="s">
        <v>556</v>
      </c>
      <c r="G3384">
        <v>100</v>
      </c>
      <c r="H3384" t="s">
        <v>128</v>
      </c>
      <c r="I3384" t="s">
        <v>136</v>
      </c>
      <c r="J3384" s="10" t="str">
        <f>VLOOKUP(I3384,Categories!A:B,2,FALSE)</f>
        <v>อื่นๆ</v>
      </c>
      <c r="K3384" t="s">
        <v>5806</v>
      </c>
      <c r="L3384" s="10" t="str">
        <f>VLOOKUP(K3384,Accounts!A:B,2,FALSE)</f>
        <v>Grabpay</v>
      </c>
      <c r="M3384" t="s">
        <v>178</v>
      </c>
      <c r="N3384" s="10" t="str">
        <f>VLOOKUP(M3384,Accounts!A:B,2,FALSE)</f>
        <v>SCB</v>
      </c>
      <c r="O3384" t="s">
        <v>125</v>
      </c>
      <c r="Q3384" t="s">
        <v>126</v>
      </c>
      <c r="R3384" t="s">
        <v>124</v>
      </c>
      <c r="S3384" t="b">
        <v>0</v>
      </c>
      <c r="T3384" t="s">
        <v>124</v>
      </c>
    </row>
    <row r="3385">
      <c r="A3385" t="s">
        <v>6138</v>
      </c>
      <c r="B3385" t="s">
        <v>6139</v>
      </c>
      <c r="C3385" s="2">
        <v>2022</v>
      </c>
      <c r="D3385" s="10">
        <v>1</v>
      </c>
      <c r="E3385" s="10">
        <v>3</v>
      </c>
      <c r="F3385" t="s">
        <v>3712</v>
      </c>
      <c r="G3385">
        <v>258</v>
      </c>
      <c r="H3385" t="s">
        <v>128</v>
      </c>
      <c r="I3385" t="s">
        <v>136</v>
      </c>
      <c r="J3385" s="10" t="str">
        <f>VLOOKUP(I3385,Categories!A:B,2,FALSE)</f>
        <v>อื่นๆ</v>
      </c>
      <c r="K3385" t="s">
        <v>425</v>
      </c>
      <c r="L3385" s="10" t="str">
        <f>VLOOKUP(K3385,Accounts!A:B,2,FALSE)</f>
        <v>Cash</v>
      </c>
      <c r="M3385" t="s">
        <v>178</v>
      </c>
      <c r="N3385" s="10" t="str">
        <f>VLOOKUP(M3385,Accounts!A:B,2,FALSE)</f>
        <v>SCB</v>
      </c>
      <c r="O3385" t="s">
        <v>125</v>
      </c>
      <c r="Q3385" t="s">
        <v>126</v>
      </c>
      <c r="R3385" t="s">
        <v>124</v>
      </c>
      <c r="S3385" t="b">
        <v>0</v>
      </c>
      <c r="T3385" t="s">
        <v>124</v>
      </c>
    </row>
    <row r="3386">
      <c r="A3386" t="s">
        <v>6140</v>
      </c>
      <c r="B3386" t="s">
        <v>6139</v>
      </c>
      <c r="C3386" s="2">
        <v>2022</v>
      </c>
      <c r="D3386" s="10">
        <v>1</v>
      </c>
      <c r="E3386" s="10">
        <v>3</v>
      </c>
      <c r="F3386" t="s">
        <v>3712</v>
      </c>
      <c r="G3386">
        <v>49</v>
      </c>
      <c r="H3386" t="s">
        <v>69</v>
      </c>
      <c r="I3386" t="s">
        <v>150</v>
      </c>
      <c r="J3386" s="10" t="str">
        <f>VLOOKUP(I3386,Categories!A:B,2,FALSE)</f>
        <v xml:space="preserve">Food &amp; Coff</v>
      </c>
      <c r="K3386" t="s">
        <v>425</v>
      </c>
      <c r="L3386" s="10" t="str">
        <f>VLOOKUP(K3386,Accounts!A:B,2,FALSE)</f>
        <v>Cash</v>
      </c>
      <c r="M3386" t="s">
        <v>124</v>
      </c>
      <c r="N3386" s="10"/>
      <c r="O3386" t="s">
        <v>125</v>
      </c>
      <c r="Q3386" t="s">
        <v>126</v>
      </c>
      <c r="R3386" t="s">
        <v>124</v>
      </c>
      <c r="S3386" t="b">
        <v>0</v>
      </c>
      <c r="T3386" t="s">
        <v>124</v>
      </c>
    </row>
    <row r="3387">
      <c r="A3387" t="s">
        <v>6141</v>
      </c>
      <c r="B3387" t="s">
        <v>6139</v>
      </c>
      <c r="C3387" s="2">
        <v>2022</v>
      </c>
      <c r="D3387" s="10">
        <v>1</v>
      </c>
      <c r="E3387" s="10">
        <v>3</v>
      </c>
      <c r="F3387" t="s">
        <v>1452</v>
      </c>
      <c r="G3387">
        <v>590</v>
      </c>
      <c r="H3387" t="s">
        <v>69</v>
      </c>
      <c r="I3387" t="s">
        <v>160</v>
      </c>
      <c r="J3387" s="10" t="str">
        <f>VLOOKUP(I3387,Categories!A:B,2,FALSE)</f>
        <v>Fashion</v>
      </c>
      <c r="K3387" t="s">
        <v>743</v>
      </c>
      <c r="L3387" s="10" t="str">
        <f>VLOOKUP(K3387,Accounts!A:B,2,FALSE)</f>
        <v>HOMEPRO</v>
      </c>
      <c r="M3387" t="s">
        <v>124</v>
      </c>
      <c r="N3387" s="10"/>
      <c r="O3387" t="s">
        <v>125</v>
      </c>
      <c r="Q3387" t="s">
        <v>126</v>
      </c>
      <c r="R3387" t="s">
        <v>124</v>
      </c>
      <c r="S3387" t="b">
        <v>0</v>
      </c>
      <c r="T3387" t="s">
        <v>124</v>
      </c>
    </row>
    <row r="3388">
      <c r="A3388" t="s">
        <v>6142</v>
      </c>
      <c r="B3388" t="s">
        <v>6139</v>
      </c>
      <c r="C3388" s="2">
        <v>2022</v>
      </c>
      <c r="D3388" s="10">
        <v>1</v>
      </c>
      <c r="E3388" s="10">
        <v>3</v>
      </c>
      <c r="F3388" t="s">
        <v>1910</v>
      </c>
      <c r="G3388">
        <v>82</v>
      </c>
      <c r="H3388" t="s">
        <v>69</v>
      </c>
      <c r="I3388" t="s">
        <v>150</v>
      </c>
      <c r="J3388" s="10" t="str">
        <f>VLOOKUP(I3388,Categories!A:B,2,FALSE)</f>
        <v xml:space="preserve">Food &amp; Coff</v>
      </c>
      <c r="K3388" t="s">
        <v>178</v>
      </c>
      <c r="L3388" s="10" t="str">
        <f>VLOOKUP(K3388,Accounts!A:B,2,FALSE)</f>
        <v>SCB</v>
      </c>
      <c r="M3388" t="s">
        <v>124</v>
      </c>
      <c r="N3388" s="10"/>
      <c r="O3388" t="s">
        <v>6143</v>
      </c>
      <c r="Q3388" t="s">
        <v>126</v>
      </c>
      <c r="R3388" t="s">
        <v>124</v>
      </c>
      <c r="S3388" t="b">
        <v>0</v>
      </c>
      <c r="T3388" t="s">
        <v>124</v>
      </c>
    </row>
    <row r="3389">
      <c r="A3389" t="s">
        <v>6144</v>
      </c>
      <c r="B3389" t="s">
        <v>6145</v>
      </c>
      <c r="C3389" s="2">
        <v>2022</v>
      </c>
      <c r="D3389" s="10">
        <v>1</v>
      </c>
      <c r="E3389" s="10">
        <v>2</v>
      </c>
      <c r="F3389" t="s">
        <v>2914</v>
      </c>
      <c r="G3389">
        <v>3500</v>
      </c>
      <c r="H3389" t="s">
        <v>128</v>
      </c>
      <c r="I3389" t="s">
        <v>136</v>
      </c>
      <c r="J3389" s="10" t="str">
        <f>VLOOKUP(I3389,Categories!A:B,2,FALSE)</f>
        <v>อื่นๆ</v>
      </c>
      <c r="K3389" t="s">
        <v>123</v>
      </c>
      <c r="L3389" s="10" t="str">
        <f>VLOOKUP(K3389,Accounts!A:B,2,FALSE)</f>
        <v>KBank</v>
      </c>
      <c r="M3389" t="s">
        <v>425</v>
      </c>
      <c r="N3389" s="10" t="str">
        <f>VLOOKUP(M3389,Accounts!A:B,2,FALSE)</f>
        <v>Cash</v>
      </c>
      <c r="O3389" t="s">
        <v>125</v>
      </c>
      <c r="Q3389" t="s">
        <v>126</v>
      </c>
      <c r="R3389" t="s">
        <v>124</v>
      </c>
      <c r="S3389" t="b">
        <v>0</v>
      </c>
      <c r="T3389" t="s">
        <v>124</v>
      </c>
    </row>
    <row r="3390">
      <c r="A3390" t="s">
        <v>6146</v>
      </c>
      <c r="B3390" t="s">
        <v>6145</v>
      </c>
      <c r="C3390" s="2">
        <v>2022</v>
      </c>
      <c r="D3390" s="10">
        <v>1</v>
      </c>
      <c r="E3390" s="10">
        <v>2</v>
      </c>
      <c r="F3390" t="s">
        <v>1867</v>
      </c>
      <c r="G3390">
        <v>75</v>
      </c>
      <c r="H3390" t="s">
        <v>128</v>
      </c>
      <c r="I3390" t="s">
        <v>136</v>
      </c>
      <c r="J3390" s="10" t="str">
        <f>VLOOKUP(I3390,Categories!A:B,2,FALSE)</f>
        <v>อื่นๆ</v>
      </c>
      <c r="K3390" t="s">
        <v>893</v>
      </c>
      <c r="L3390" s="10" t="str">
        <f>VLOOKUP(K3390,Accounts!A:B,2,FALSE)</f>
        <v>Shopee</v>
      </c>
      <c r="M3390" t="s">
        <v>178</v>
      </c>
      <c r="N3390" s="10" t="str">
        <f>VLOOKUP(M3390,Accounts!A:B,2,FALSE)</f>
        <v>SCB</v>
      </c>
      <c r="O3390" t="s">
        <v>5983</v>
      </c>
      <c r="Q3390" t="s">
        <v>126</v>
      </c>
      <c r="R3390" t="s">
        <v>124</v>
      </c>
      <c r="S3390" t="b">
        <v>0</v>
      </c>
      <c r="T3390" t="s">
        <v>124</v>
      </c>
    </row>
    <row r="3391">
      <c r="A3391" t="s">
        <v>6147</v>
      </c>
      <c r="B3391" t="s">
        <v>6148</v>
      </c>
      <c r="C3391" s="2">
        <v>2022</v>
      </c>
      <c r="D3391" s="10">
        <v>1</v>
      </c>
      <c r="E3391" s="10">
        <v>1</v>
      </c>
      <c r="F3391" t="s">
        <v>121</v>
      </c>
      <c r="G3391">
        <v>10000</v>
      </c>
      <c r="H3391" t="s">
        <v>128</v>
      </c>
      <c r="I3391" t="s">
        <v>136</v>
      </c>
      <c r="J3391" s="10" t="str">
        <f>VLOOKUP(I3391,Categories!A:B,2,FALSE)</f>
        <v>อื่นๆ</v>
      </c>
      <c r="K3391" t="s">
        <v>178</v>
      </c>
      <c r="L3391" s="10" t="str">
        <f>VLOOKUP(K3391,Accounts!A:B,2,FALSE)</f>
        <v>SCB</v>
      </c>
      <c r="M3391" t="s">
        <v>2317</v>
      </c>
      <c r="N3391" s="10" t="str">
        <f>VLOOKUP(M3391,Accounts!A:B,2,FALSE)</f>
        <v xml:space="preserve">Marriage account</v>
      </c>
      <c r="O3391" t="s">
        <v>125</v>
      </c>
      <c r="Q3391" t="s">
        <v>126</v>
      </c>
      <c r="R3391" t="s">
        <v>124</v>
      </c>
      <c r="S3391" t="b">
        <v>0</v>
      </c>
      <c r="T3391" t="s">
        <v>124</v>
      </c>
    </row>
    <row r="3392">
      <c r="A3392" t="s">
        <v>6149</v>
      </c>
      <c r="B3392" t="s">
        <v>6148</v>
      </c>
      <c r="C3392" s="2">
        <v>2022</v>
      </c>
      <c r="D3392" s="10">
        <v>1</v>
      </c>
      <c r="E3392" s="10">
        <v>1</v>
      </c>
      <c r="F3392" t="s">
        <v>1985</v>
      </c>
      <c r="G3392">
        <v>40</v>
      </c>
      <c r="H3392" t="s">
        <v>69</v>
      </c>
      <c r="I3392" t="s">
        <v>150</v>
      </c>
      <c r="J3392" s="10" t="str">
        <f>VLOOKUP(I3392,Categories!A:B,2,FALSE)</f>
        <v xml:space="preserve">Food &amp; Coff</v>
      </c>
      <c r="K3392" t="s">
        <v>747</v>
      </c>
      <c r="L3392" s="10" t="str">
        <f>VLOOKUP(K3392,Accounts!A:B,2,FALSE)</f>
        <v xml:space="preserve">UOB world</v>
      </c>
      <c r="M3392" t="s">
        <v>124</v>
      </c>
      <c r="N3392" s="10"/>
      <c r="O3392" t="s">
        <v>6150</v>
      </c>
      <c r="Q3392" t="s">
        <v>126</v>
      </c>
      <c r="R3392" t="s">
        <v>124</v>
      </c>
      <c r="S3392" t="b">
        <v>0</v>
      </c>
      <c r="T3392" t="s">
        <v>124</v>
      </c>
    </row>
    <row r="3393">
      <c r="A3393" t="s">
        <v>6151</v>
      </c>
      <c r="B3393" t="s">
        <v>6152</v>
      </c>
      <c r="C3393" s="2">
        <v>2021</v>
      </c>
      <c r="D3393" s="10">
        <v>12</v>
      </c>
      <c r="E3393" s="10">
        <v>31</v>
      </c>
      <c r="F3393" t="s">
        <v>3712</v>
      </c>
      <c r="G3393">
        <v>1798</v>
      </c>
      <c r="H3393" t="s">
        <v>69</v>
      </c>
      <c r="I3393" t="s">
        <v>254</v>
      </c>
      <c r="J3393" s="10" t="str">
        <f>VLOOKUP(I3393,Categories!A:B,2,FALSE)</f>
        <v xml:space="preserve">Modified Bal.</v>
      </c>
      <c r="K3393" t="s">
        <v>1308</v>
      </c>
      <c r="L3393" s="10" t="str">
        <f>VLOOKUP(K3393,Accounts!A:B,2,FALSE)</f>
        <v xml:space="preserve">UOB Privilages</v>
      </c>
      <c r="M3393" t="s">
        <v>124</v>
      </c>
      <c r="N3393" s="10"/>
      <c r="O3393" t="s">
        <v>255</v>
      </c>
      <c r="Q3393" t="s">
        <v>126</v>
      </c>
      <c r="R3393" t="s">
        <v>124</v>
      </c>
      <c r="S3393" t="b">
        <v>0</v>
      </c>
      <c r="T3393" t="s">
        <v>124</v>
      </c>
    </row>
    <row r="3394">
      <c r="A3394" t="s">
        <v>6153</v>
      </c>
      <c r="B3394" t="s">
        <v>6152</v>
      </c>
      <c r="C3394" s="2">
        <v>2021</v>
      </c>
      <c r="D3394" s="10">
        <v>12</v>
      </c>
      <c r="E3394" s="10">
        <v>31</v>
      </c>
      <c r="F3394" t="s">
        <v>4757</v>
      </c>
      <c r="G3394">
        <v>55</v>
      </c>
      <c r="H3394" t="s">
        <v>69</v>
      </c>
      <c r="I3394" t="s">
        <v>150</v>
      </c>
      <c r="J3394" s="10" t="str">
        <f>VLOOKUP(I3394,Categories!A:B,2,FALSE)</f>
        <v xml:space="preserve">Food &amp; Coff</v>
      </c>
      <c r="K3394" t="s">
        <v>425</v>
      </c>
      <c r="L3394" s="10" t="str">
        <f>VLOOKUP(K3394,Accounts!A:B,2,FALSE)</f>
        <v>Cash</v>
      </c>
      <c r="M3394" t="s">
        <v>124</v>
      </c>
      <c r="N3394" s="10"/>
      <c r="O3394" t="s">
        <v>125</v>
      </c>
      <c r="Q3394" t="s">
        <v>126</v>
      </c>
      <c r="R3394" t="s">
        <v>124</v>
      </c>
      <c r="S3394" t="b">
        <v>0</v>
      </c>
      <c r="T3394" t="s">
        <v>124</v>
      </c>
    </row>
    <row r="3395">
      <c r="A3395" t="s">
        <v>6154</v>
      </c>
      <c r="B3395" t="s">
        <v>6152</v>
      </c>
      <c r="C3395" s="2">
        <v>2021</v>
      </c>
      <c r="D3395" s="10">
        <v>12</v>
      </c>
      <c r="E3395" s="10">
        <v>31</v>
      </c>
      <c r="F3395" t="s">
        <v>651</v>
      </c>
      <c r="G3395">
        <v>28176.43</v>
      </c>
      <c r="H3395" t="s">
        <v>69</v>
      </c>
      <c r="I3395" t="s">
        <v>254</v>
      </c>
      <c r="J3395" s="10" t="str">
        <f>VLOOKUP(I3395,Categories!A:B,2,FALSE)</f>
        <v xml:space="preserve">Modified Bal.</v>
      </c>
      <c r="K3395" t="s">
        <v>2317</v>
      </c>
      <c r="L3395" s="10" t="str">
        <f>VLOOKUP(K3395,Accounts!A:B,2,FALSE)</f>
        <v xml:space="preserve">Marriage account</v>
      </c>
      <c r="M3395" t="s">
        <v>124</v>
      </c>
      <c r="N3395" s="10"/>
      <c r="O3395" t="s">
        <v>255</v>
      </c>
      <c r="Q3395" t="s">
        <v>126</v>
      </c>
      <c r="R3395" t="s">
        <v>124</v>
      </c>
      <c r="S3395" t="b">
        <v>0</v>
      </c>
      <c r="T3395" t="s">
        <v>124</v>
      </c>
    </row>
    <row r="3396">
      <c r="A3396" t="s">
        <v>6155</v>
      </c>
      <c r="B3396" t="s">
        <v>6152</v>
      </c>
      <c r="C3396" s="2">
        <v>2021</v>
      </c>
      <c r="D3396" s="10">
        <v>12</v>
      </c>
      <c r="E3396" s="10">
        <v>31</v>
      </c>
      <c r="F3396" t="s">
        <v>6156</v>
      </c>
      <c r="G3396">
        <v>169</v>
      </c>
      <c r="H3396" t="s">
        <v>128</v>
      </c>
      <c r="I3396" t="s">
        <v>136</v>
      </c>
      <c r="J3396" s="10" t="str">
        <f>VLOOKUP(I3396,Categories!A:B,2,FALSE)</f>
        <v>อื่นๆ</v>
      </c>
      <c r="K3396" t="s">
        <v>130</v>
      </c>
      <c r="L3396" s="10" t="str">
        <f>VLOOKUP(K3396,Accounts!A:B,2,FALSE)</f>
        <v xml:space="preserve">KTC JCB</v>
      </c>
      <c r="M3396" t="s">
        <v>178</v>
      </c>
      <c r="N3396" s="10" t="str">
        <f>VLOOKUP(M3396,Accounts!A:B,2,FALSE)</f>
        <v>SCB</v>
      </c>
      <c r="O3396" t="s">
        <v>125</v>
      </c>
      <c r="Q3396" t="s">
        <v>126</v>
      </c>
      <c r="R3396" t="s">
        <v>124</v>
      </c>
      <c r="S3396" t="b">
        <v>0</v>
      </c>
      <c r="T3396" t="s">
        <v>124</v>
      </c>
    </row>
    <row r="3397">
      <c r="A3397" t="s">
        <v>6157</v>
      </c>
      <c r="B3397" t="s">
        <v>6152</v>
      </c>
      <c r="C3397" s="2">
        <v>2021</v>
      </c>
      <c r="D3397" s="10">
        <v>12</v>
      </c>
      <c r="E3397" s="10">
        <v>31</v>
      </c>
      <c r="F3397" t="s">
        <v>6156</v>
      </c>
      <c r="G3397">
        <v>1502</v>
      </c>
      <c r="H3397" t="s">
        <v>128</v>
      </c>
      <c r="I3397" t="s">
        <v>136</v>
      </c>
      <c r="J3397" s="10" t="str">
        <f>VLOOKUP(I3397,Categories!A:B,2,FALSE)</f>
        <v>อื่นๆ</v>
      </c>
      <c r="K3397" t="s">
        <v>5806</v>
      </c>
      <c r="L3397" s="10" t="str">
        <f>VLOOKUP(K3397,Accounts!A:B,2,FALSE)</f>
        <v>Grabpay</v>
      </c>
      <c r="M3397" t="s">
        <v>178</v>
      </c>
      <c r="N3397" s="10" t="str">
        <f>VLOOKUP(M3397,Accounts!A:B,2,FALSE)</f>
        <v>SCB</v>
      </c>
      <c r="O3397" t="s">
        <v>125</v>
      </c>
      <c r="Q3397" t="s">
        <v>126</v>
      </c>
      <c r="R3397" t="s">
        <v>124</v>
      </c>
      <c r="S3397" t="b">
        <v>0</v>
      </c>
      <c r="T3397" t="s">
        <v>124</v>
      </c>
    </row>
    <row r="3398">
      <c r="A3398" t="s">
        <v>6158</v>
      </c>
      <c r="B3398" t="s">
        <v>6152</v>
      </c>
      <c r="C3398" s="2">
        <v>2021</v>
      </c>
      <c r="D3398" s="10">
        <v>12</v>
      </c>
      <c r="E3398" s="10">
        <v>31</v>
      </c>
      <c r="F3398" t="s">
        <v>6159</v>
      </c>
      <c r="G3398">
        <v>1388</v>
      </c>
      <c r="H3398" t="s">
        <v>128</v>
      </c>
      <c r="I3398" t="s">
        <v>136</v>
      </c>
      <c r="J3398" s="10" t="str">
        <f>VLOOKUP(I3398,Categories!A:B,2,FALSE)</f>
        <v>อื่นๆ</v>
      </c>
      <c r="K3398" t="s">
        <v>893</v>
      </c>
      <c r="L3398" s="10" t="str">
        <f>VLOOKUP(K3398,Accounts!A:B,2,FALSE)</f>
        <v>Shopee</v>
      </c>
      <c r="M3398" t="s">
        <v>178</v>
      </c>
      <c r="N3398" s="10" t="str">
        <f>VLOOKUP(M3398,Accounts!A:B,2,FALSE)</f>
        <v>SCB</v>
      </c>
      <c r="O3398" t="s">
        <v>125</v>
      </c>
      <c r="Q3398" t="s">
        <v>126</v>
      </c>
      <c r="R3398" t="s">
        <v>124</v>
      </c>
      <c r="S3398" t="b">
        <v>0</v>
      </c>
      <c r="T3398" t="s">
        <v>124</v>
      </c>
    </row>
    <row r="3399">
      <c r="A3399" t="s">
        <v>6160</v>
      </c>
      <c r="B3399" t="s">
        <v>6152</v>
      </c>
      <c r="C3399" s="2">
        <v>2021</v>
      </c>
      <c r="D3399" s="10">
        <v>12</v>
      </c>
      <c r="E3399" s="10">
        <v>31</v>
      </c>
      <c r="F3399" t="s">
        <v>6161</v>
      </c>
      <c r="G3399">
        <v>4000</v>
      </c>
      <c r="H3399" t="s">
        <v>69</v>
      </c>
      <c r="I3399" t="s">
        <v>254</v>
      </c>
      <c r="J3399" s="10" t="str">
        <f>VLOOKUP(I3399,Categories!A:B,2,FALSE)</f>
        <v xml:space="preserve">Modified Bal.</v>
      </c>
      <c r="K3399" t="s">
        <v>5803</v>
      </c>
      <c r="L3399" s="10" t="str">
        <f>VLOOKUP(K3399,Accounts!A:B,2,FALSE)</f>
        <v>grabvoucher</v>
      </c>
      <c r="M3399" t="s">
        <v>124</v>
      </c>
      <c r="N3399" s="10"/>
      <c r="O3399" t="s">
        <v>255</v>
      </c>
      <c r="Q3399" t="s">
        <v>126</v>
      </c>
      <c r="R3399" t="s">
        <v>124</v>
      </c>
      <c r="S3399" t="b">
        <v>0</v>
      </c>
      <c r="T3399" t="s">
        <v>124</v>
      </c>
    </row>
    <row r="3400">
      <c r="A3400" t="s">
        <v>6162</v>
      </c>
      <c r="B3400" t="s">
        <v>6152</v>
      </c>
      <c r="C3400" s="2">
        <v>2021</v>
      </c>
      <c r="D3400" s="10">
        <v>12</v>
      </c>
      <c r="E3400" s="10">
        <v>31</v>
      </c>
      <c r="F3400" t="s">
        <v>6161</v>
      </c>
      <c r="G3400">
        <v>20</v>
      </c>
      <c r="H3400" t="s">
        <v>206</v>
      </c>
      <c r="I3400" t="s">
        <v>254</v>
      </c>
      <c r="J3400" s="10" t="str">
        <f>VLOOKUP(I3400,Categories!A:B,2,FALSE)</f>
        <v xml:space="preserve">Modified Bal.</v>
      </c>
      <c r="K3400" t="s">
        <v>5806</v>
      </c>
      <c r="L3400" s="10" t="str">
        <f>VLOOKUP(K3400,Accounts!A:B,2,FALSE)</f>
        <v>Grabpay</v>
      </c>
      <c r="M3400" t="s">
        <v>124</v>
      </c>
      <c r="N3400" s="10"/>
      <c r="O3400" t="s">
        <v>255</v>
      </c>
      <c r="Q3400" t="s">
        <v>126</v>
      </c>
      <c r="R3400" t="s">
        <v>124</v>
      </c>
      <c r="S3400" t="b">
        <v>0</v>
      </c>
      <c r="T3400" t="s">
        <v>124</v>
      </c>
    </row>
    <row r="3401">
      <c r="A3401" t="s">
        <v>6163</v>
      </c>
      <c r="B3401" t="s">
        <v>6152</v>
      </c>
      <c r="C3401" s="2">
        <v>2021</v>
      </c>
      <c r="D3401" s="10">
        <v>12</v>
      </c>
      <c r="E3401" s="10">
        <v>31</v>
      </c>
      <c r="F3401" t="s">
        <v>4611</v>
      </c>
      <c r="G3401">
        <v>200</v>
      </c>
      <c r="H3401" t="s">
        <v>69</v>
      </c>
      <c r="I3401" t="s">
        <v>144</v>
      </c>
      <c r="J3401" s="10" t="str">
        <f>VLOOKUP(I3401,Categories!A:B,2,FALSE)</f>
        <v xml:space="preserve">Family paid</v>
      </c>
      <c r="K3401" t="s">
        <v>425</v>
      </c>
      <c r="L3401" s="10" t="str">
        <f>VLOOKUP(K3401,Accounts!A:B,2,FALSE)</f>
        <v>Cash</v>
      </c>
      <c r="M3401" t="s">
        <v>124</v>
      </c>
      <c r="N3401" s="10"/>
      <c r="O3401" t="s">
        <v>125</v>
      </c>
      <c r="Q3401" t="s">
        <v>126</v>
      </c>
      <c r="R3401" t="s">
        <v>124</v>
      </c>
      <c r="S3401" t="b">
        <v>0</v>
      </c>
      <c r="T3401" t="s">
        <v>124</v>
      </c>
    </row>
    <row r="3402">
      <c r="A3402" t="s">
        <v>6164</v>
      </c>
      <c r="B3402" t="s">
        <v>6152</v>
      </c>
      <c r="C3402" s="2">
        <v>2021</v>
      </c>
      <c r="D3402" s="10">
        <v>12</v>
      </c>
      <c r="E3402" s="10">
        <v>31</v>
      </c>
      <c r="F3402" t="s">
        <v>4611</v>
      </c>
      <c r="G3402">
        <v>355</v>
      </c>
      <c r="H3402" t="s">
        <v>69</v>
      </c>
      <c r="I3402" t="s">
        <v>144</v>
      </c>
      <c r="J3402" s="10" t="str">
        <f>VLOOKUP(I3402,Categories!A:B,2,FALSE)</f>
        <v xml:space="preserve">Family paid</v>
      </c>
      <c r="K3402" t="s">
        <v>425</v>
      </c>
      <c r="L3402" s="10" t="str">
        <f>VLOOKUP(K3402,Accounts!A:B,2,FALSE)</f>
        <v>Cash</v>
      </c>
      <c r="M3402" t="s">
        <v>124</v>
      </c>
      <c r="N3402" s="10"/>
      <c r="O3402" t="s">
        <v>125</v>
      </c>
      <c r="Q3402" t="s">
        <v>126</v>
      </c>
      <c r="R3402" t="s">
        <v>124</v>
      </c>
      <c r="S3402" t="b">
        <v>0</v>
      </c>
      <c r="T3402" t="s">
        <v>124</v>
      </c>
    </row>
    <row r="3403">
      <c r="A3403" t="s">
        <v>6165</v>
      </c>
      <c r="B3403" t="s">
        <v>6152</v>
      </c>
      <c r="C3403" s="2">
        <v>2021</v>
      </c>
      <c r="D3403" s="10">
        <v>12</v>
      </c>
      <c r="E3403" s="10">
        <v>31</v>
      </c>
      <c r="F3403" t="s">
        <v>6166</v>
      </c>
      <c r="G3403">
        <v>349</v>
      </c>
      <c r="H3403" t="s">
        <v>69</v>
      </c>
      <c r="I3403" t="s">
        <v>254</v>
      </c>
      <c r="J3403" s="10" t="str">
        <f>VLOOKUP(I3403,Categories!A:B,2,FALSE)</f>
        <v xml:space="preserve">Modified Bal.</v>
      </c>
      <c r="K3403" t="s">
        <v>893</v>
      </c>
      <c r="L3403" s="10" t="str">
        <f>VLOOKUP(K3403,Accounts!A:B,2,FALSE)</f>
        <v>Shopee</v>
      </c>
      <c r="M3403" t="s">
        <v>124</v>
      </c>
      <c r="N3403" s="10"/>
      <c r="O3403" t="s">
        <v>255</v>
      </c>
      <c r="Q3403" t="s">
        <v>126</v>
      </c>
      <c r="R3403" t="s">
        <v>124</v>
      </c>
      <c r="S3403" t="b">
        <v>0</v>
      </c>
      <c r="T3403" t="s">
        <v>124</v>
      </c>
    </row>
    <row r="3404">
      <c r="A3404" t="s">
        <v>6167</v>
      </c>
      <c r="B3404" t="s">
        <v>6152</v>
      </c>
      <c r="C3404" s="2">
        <v>2021</v>
      </c>
      <c r="D3404" s="10">
        <v>12</v>
      </c>
      <c r="E3404" s="10">
        <v>31</v>
      </c>
      <c r="F3404" t="s">
        <v>1170</v>
      </c>
      <c r="G3404">
        <v>724.75999999999999</v>
      </c>
      <c r="H3404" t="s">
        <v>206</v>
      </c>
      <c r="I3404" t="s">
        <v>254</v>
      </c>
      <c r="J3404" s="10" t="str">
        <f>VLOOKUP(I3404,Categories!A:B,2,FALSE)</f>
        <v xml:space="preserve">Modified Bal.</v>
      </c>
      <c r="K3404" t="s">
        <v>178</v>
      </c>
      <c r="L3404" s="10" t="str">
        <f>VLOOKUP(K3404,Accounts!A:B,2,FALSE)</f>
        <v>SCB</v>
      </c>
      <c r="M3404" t="s">
        <v>124</v>
      </c>
      <c r="N3404" s="10"/>
      <c r="O3404" t="s">
        <v>255</v>
      </c>
      <c r="Q3404" t="s">
        <v>126</v>
      </c>
      <c r="R3404" t="s">
        <v>124</v>
      </c>
      <c r="S3404" t="b">
        <v>0</v>
      </c>
      <c r="T3404" t="s">
        <v>124</v>
      </c>
    </row>
    <row r="3405">
      <c r="A3405" t="s">
        <v>6168</v>
      </c>
      <c r="B3405" t="s">
        <v>6152</v>
      </c>
      <c r="C3405" s="2">
        <v>2021</v>
      </c>
      <c r="D3405" s="10">
        <v>12</v>
      </c>
      <c r="E3405" s="10">
        <v>31</v>
      </c>
      <c r="F3405" t="s">
        <v>1172</v>
      </c>
      <c r="G3405">
        <v>4.7599999999999998</v>
      </c>
      <c r="H3405" t="s">
        <v>206</v>
      </c>
      <c r="I3405" t="s">
        <v>254</v>
      </c>
      <c r="J3405" s="10" t="str">
        <f>VLOOKUP(I3405,Categories!A:B,2,FALSE)</f>
        <v xml:space="preserve">Modified Bal.</v>
      </c>
      <c r="K3405" t="s">
        <v>766</v>
      </c>
      <c r="L3405" s="10" t="str">
        <f>VLOOKUP(K3405,Accounts!A:B,2,FALSE)</f>
        <v>KRUNGSRI</v>
      </c>
      <c r="M3405" t="s">
        <v>124</v>
      </c>
      <c r="N3405" s="10"/>
      <c r="O3405" t="s">
        <v>255</v>
      </c>
      <c r="Q3405" t="s">
        <v>126</v>
      </c>
      <c r="R3405" t="s">
        <v>124</v>
      </c>
      <c r="S3405" t="b">
        <v>0</v>
      </c>
      <c r="T3405" t="s">
        <v>124</v>
      </c>
    </row>
    <row r="3406">
      <c r="A3406" t="s">
        <v>6169</v>
      </c>
      <c r="B3406" t="s">
        <v>6152</v>
      </c>
      <c r="C3406" s="2">
        <v>2021</v>
      </c>
      <c r="D3406" s="10">
        <v>12</v>
      </c>
      <c r="E3406" s="10">
        <v>31</v>
      </c>
      <c r="F3406" t="s">
        <v>6170</v>
      </c>
      <c r="G3406">
        <v>1288.1600000000001</v>
      </c>
      <c r="H3406" t="s">
        <v>69</v>
      </c>
      <c r="I3406" t="s">
        <v>254</v>
      </c>
      <c r="J3406" s="10" t="str">
        <f>VLOOKUP(I3406,Categories!A:B,2,FALSE)</f>
        <v xml:space="preserve">Modified Bal.</v>
      </c>
      <c r="K3406" t="s">
        <v>743</v>
      </c>
      <c r="L3406" s="10" t="str">
        <f>VLOOKUP(K3406,Accounts!A:B,2,FALSE)</f>
        <v>HOMEPRO</v>
      </c>
      <c r="M3406" t="s">
        <v>124</v>
      </c>
      <c r="N3406" s="10"/>
      <c r="O3406" t="s">
        <v>255</v>
      </c>
      <c r="Q3406" t="s">
        <v>126</v>
      </c>
      <c r="R3406" t="s">
        <v>124</v>
      </c>
      <c r="S3406" t="b">
        <v>0</v>
      </c>
      <c r="T3406" t="s">
        <v>124</v>
      </c>
    </row>
    <row r="3407">
      <c r="A3407" t="s">
        <v>6171</v>
      </c>
      <c r="B3407" t="s">
        <v>6152</v>
      </c>
      <c r="C3407" s="2">
        <v>2021</v>
      </c>
      <c r="D3407" s="10">
        <v>12</v>
      </c>
      <c r="E3407" s="10">
        <v>31</v>
      </c>
      <c r="F3407" t="s">
        <v>6172</v>
      </c>
      <c r="G3407">
        <v>406.11000000000001</v>
      </c>
      <c r="H3407" t="s">
        <v>206</v>
      </c>
      <c r="I3407" t="s">
        <v>254</v>
      </c>
      <c r="J3407" s="10" t="str">
        <f>VLOOKUP(I3407,Categories!A:B,2,FALSE)</f>
        <v xml:space="preserve">Modified Bal.</v>
      </c>
      <c r="K3407" t="s">
        <v>844</v>
      </c>
      <c r="L3407" s="10" t="str">
        <f>VLOOKUP(K3407,Accounts!A:B,2,FALSE)</f>
        <v>BBL</v>
      </c>
      <c r="M3407" t="s">
        <v>124</v>
      </c>
      <c r="N3407" s="10"/>
      <c r="O3407" t="s">
        <v>255</v>
      </c>
      <c r="Q3407" t="s">
        <v>126</v>
      </c>
      <c r="R3407" t="s">
        <v>124</v>
      </c>
      <c r="S3407" t="b">
        <v>0</v>
      </c>
      <c r="T3407" t="s">
        <v>124</v>
      </c>
    </row>
    <row r="3408">
      <c r="A3408" t="s">
        <v>6173</v>
      </c>
      <c r="B3408" t="s">
        <v>6152</v>
      </c>
      <c r="C3408" s="2">
        <v>2021</v>
      </c>
      <c r="D3408" s="10">
        <v>12</v>
      </c>
      <c r="E3408" s="10">
        <v>31</v>
      </c>
      <c r="F3408" t="s">
        <v>6174</v>
      </c>
      <c r="G3408">
        <v>182.53999999999999</v>
      </c>
      <c r="H3408" t="s">
        <v>206</v>
      </c>
      <c r="I3408" t="s">
        <v>254</v>
      </c>
      <c r="J3408" s="10" t="str">
        <f>VLOOKUP(I3408,Categories!A:B,2,FALSE)</f>
        <v xml:space="preserve">Modified Bal.</v>
      </c>
      <c r="K3408" t="s">
        <v>123</v>
      </c>
      <c r="L3408" s="10" t="str">
        <f>VLOOKUP(K3408,Accounts!A:B,2,FALSE)</f>
        <v>KBank</v>
      </c>
      <c r="M3408" t="s">
        <v>124</v>
      </c>
      <c r="N3408" s="10"/>
      <c r="O3408" t="s">
        <v>255</v>
      </c>
      <c r="Q3408" t="s">
        <v>126</v>
      </c>
      <c r="R3408" t="s">
        <v>124</v>
      </c>
      <c r="S3408" t="b">
        <v>0</v>
      </c>
      <c r="T3408" t="s">
        <v>124</v>
      </c>
    </row>
    <row r="3409">
      <c r="A3409" t="s">
        <v>6175</v>
      </c>
      <c r="B3409" t="s">
        <v>6152</v>
      </c>
      <c r="C3409" s="2">
        <v>2021</v>
      </c>
      <c r="D3409" s="10">
        <v>12</v>
      </c>
      <c r="E3409" s="10">
        <v>31</v>
      </c>
      <c r="F3409" t="s">
        <v>6174</v>
      </c>
      <c r="G3409">
        <v>2833</v>
      </c>
      <c r="H3409" t="s">
        <v>69</v>
      </c>
      <c r="I3409" t="s">
        <v>254</v>
      </c>
      <c r="J3409" s="10" t="str">
        <f>VLOOKUP(I3409,Categories!A:B,2,FALSE)</f>
        <v xml:space="preserve">Modified Bal.</v>
      </c>
      <c r="K3409" t="s">
        <v>425</v>
      </c>
      <c r="L3409" s="10" t="str">
        <f>VLOOKUP(K3409,Accounts!A:B,2,FALSE)</f>
        <v>Cash</v>
      </c>
      <c r="M3409" t="s">
        <v>124</v>
      </c>
      <c r="N3409" s="10"/>
      <c r="O3409" t="s">
        <v>255</v>
      </c>
      <c r="Q3409" t="s">
        <v>126</v>
      </c>
      <c r="R3409" t="s">
        <v>124</v>
      </c>
      <c r="S3409" t="b">
        <v>0</v>
      </c>
      <c r="T3409" t="s">
        <v>124</v>
      </c>
    </row>
    <row r="3410">
      <c r="A3410" t="s">
        <v>6176</v>
      </c>
      <c r="B3410" t="s">
        <v>6152</v>
      </c>
      <c r="C3410" s="2">
        <v>2021</v>
      </c>
      <c r="D3410" s="10">
        <v>12</v>
      </c>
      <c r="E3410" s="10">
        <v>31</v>
      </c>
      <c r="F3410" t="s">
        <v>6177</v>
      </c>
      <c r="G3410">
        <v>79.859999999999999</v>
      </c>
      <c r="H3410" t="s">
        <v>69</v>
      </c>
      <c r="I3410" t="s">
        <v>254</v>
      </c>
      <c r="J3410" s="10" t="str">
        <f>VLOOKUP(I3410,Categories!A:B,2,FALSE)</f>
        <v xml:space="preserve">Modified Bal.</v>
      </c>
      <c r="K3410" t="s">
        <v>747</v>
      </c>
      <c r="L3410" s="10" t="str">
        <f>VLOOKUP(K3410,Accounts!A:B,2,FALSE)</f>
        <v xml:space="preserve">UOB world</v>
      </c>
      <c r="M3410" t="s">
        <v>124</v>
      </c>
      <c r="N3410" s="10"/>
      <c r="O3410" t="s">
        <v>255</v>
      </c>
      <c r="Q3410" t="s">
        <v>126</v>
      </c>
      <c r="R3410" t="s">
        <v>124</v>
      </c>
      <c r="S3410" t="b">
        <v>0</v>
      </c>
      <c r="T3410" t="s">
        <v>124</v>
      </c>
    </row>
    <row r="3411">
      <c r="A3411" t="s">
        <v>6178</v>
      </c>
      <c r="B3411" t="s">
        <v>6152</v>
      </c>
      <c r="C3411" s="2">
        <v>2021</v>
      </c>
      <c r="D3411" s="10">
        <v>12</v>
      </c>
      <c r="E3411" s="10">
        <v>31</v>
      </c>
      <c r="F3411" t="s">
        <v>6179</v>
      </c>
      <c r="G3411">
        <v>1260</v>
      </c>
      <c r="H3411" t="s">
        <v>206</v>
      </c>
      <c r="I3411" t="s">
        <v>254</v>
      </c>
      <c r="J3411" s="10" t="str">
        <f>VLOOKUP(I3411,Categories!A:B,2,FALSE)</f>
        <v xml:space="preserve">Modified Bal.</v>
      </c>
      <c r="K3411" t="s">
        <v>1311</v>
      </c>
      <c r="L3411" s="10" t="str">
        <f>VLOOKUP(K3411,Accounts!A:B,2,FALSE)</f>
        <v xml:space="preserve">Netflix in Adv</v>
      </c>
      <c r="M3411" t="s">
        <v>124</v>
      </c>
      <c r="N3411" s="10"/>
      <c r="O3411" t="s">
        <v>255</v>
      </c>
      <c r="Q3411" t="s">
        <v>126</v>
      </c>
      <c r="R3411" t="s">
        <v>124</v>
      </c>
      <c r="S3411" t="b">
        <v>0</v>
      </c>
      <c r="T3411" t="s">
        <v>124</v>
      </c>
    </row>
    <row r="3412">
      <c r="A3412" t="s">
        <v>6180</v>
      </c>
      <c r="B3412" t="s">
        <v>6181</v>
      </c>
      <c r="C3412" s="2">
        <v>2021</v>
      </c>
      <c r="D3412" s="10">
        <v>12</v>
      </c>
      <c r="E3412" s="10">
        <v>30</v>
      </c>
      <c r="F3412" t="s">
        <v>1773</v>
      </c>
      <c r="G3412">
        <v>190</v>
      </c>
      <c r="H3412" t="s">
        <v>69</v>
      </c>
      <c r="I3412" t="s">
        <v>150</v>
      </c>
      <c r="J3412" s="10" t="str">
        <f>VLOOKUP(I3412,Categories!A:B,2,FALSE)</f>
        <v xml:space="preserve">Food &amp; Coff</v>
      </c>
      <c r="K3412" t="s">
        <v>178</v>
      </c>
      <c r="L3412" s="10" t="str">
        <f>VLOOKUP(K3412,Accounts!A:B,2,FALSE)</f>
        <v>SCB</v>
      </c>
      <c r="M3412" t="s">
        <v>124</v>
      </c>
      <c r="N3412" s="10"/>
      <c r="O3412" t="s">
        <v>5303</v>
      </c>
      <c r="Q3412" t="s">
        <v>126</v>
      </c>
      <c r="R3412" t="s">
        <v>124</v>
      </c>
      <c r="S3412" t="b">
        <v>0</v>
      </c>
      <c r="T3412" t="s">
        <v>124</v>
      </c>
    </row>
    <row r="3413">
      <c r="A3413" t="s">
        <v>6182</v>
      </c>
      <c r="B3413" t="s">
        <v>34</v>
      </c>
      <c r="C3413" s="2">
        <v>2021</v>
      </c>
      <c r="D3413" s="10">
        <v>12</v>
      </c>
      <c r="E3413" s="10">
        <v>29</v>
      </c>
      <c r="F3413" t="s">
        <v>6183</v>
      </c>
      <c r="G3413">
        <v>400</v>
      </c>
      <c r="H3413" t="s">
        <v>128</v>
      </c>
      <c r="I3413" t="s">
        <v>136</v>
      </c>
      <c r="J3413" s="10" t="str">
        <f>VLOOKUP(I3413,Categories!A:B,2,FALSE)</f>
        <v>อื่นๆ</v>
      </c>
      <c r="K3413" t="s">
        <v>178</v>
      </c>
      <c r="L3413" s="10" t="str">
        <f>VLOOKUP(K3413,Accounts!A:B,2,FALSE)</f>
        <v>SCB</v>
      </c>
      <c r="M3413" t="s">
        <v>5806</v>
      </c>
      <c r="N3413" s="10" t="str">
        <f>VLOOKUP(M3413,Accounts!A:B,2,FALSE)</f>
        <v>Grabpay</v>
      </c>
      <c r="O3413" t="s">
        <v>125</v>
      </c>
      <c r="Q3413" t="s">
        <v>126</v>
      </c>
      <c r="R3413" t="s">
        <v>124</v>
      </c>
      <c r="S3413" t="b">
        <v>0</v>
      </c>
      <c r="T3413" t="s">
        <v>124</v>
      </c>
    </row>
    <row r="3414">
      <c r="A3414" t="s">
        <v>6184</v>
      </c>
      <c r="B3414" t="s">
        <v>34</v>
      </c>
      <c r="C3414" s="2">
        <v>2021</v>
      </c>
      <c r="D3414" s="10">
        <v>12</v>
      </c>
      <c r="E3414" s="10">
        <v>29</v>
      </c>
      <c r="F3414" t="s">
        <v>2909</v>
      </c>
      <c r="G3414">
        <v>60</v>
      </c>
      <c r="H3414" t="s">
        <v>69</v>
      </c>
      <c r="I3414" t="s">
        <v>150</v>
      </c>
      <c r="J3414" s="10" t="str">
        <f>VLOOKUP(I3414,Categories!A:B,2,FALSE)</f>
        <v xml:space="preserve">Food &amp; Coff</v>
      </c>
      <c r="K3414" t="s">
        <v>178</v>
      </c>
      <c r="L3414" s="10" t="str">
        <f>VLOOKUP(K3414,Accounts!A:B,2,FALSE)</f>
        <v>SCB</v>
      </c>
      <c r="M3414" t="s">
        <v>124</v>
      </c>
      <c r="N3414" s="10"/>
      <c r="O3414" t="s">
        <v>125</v>
      </c>
      <c r="Q3414" t="s">
        <v>126</v>
      </c>
      <c r="R3414" t="s">
        <v>124</v>
      </c>
      <c r="S3414" t="b">
        <v>0</v>
      </c>
      <c r="T3414" t="s">
        <v>124</v>
      </c>
    </row>
    <row r="3415">
      <c r="A3415" t="s">
        <v>6185</v>
      </c>
      <c r="B3415" t="s">
        <v>34</v>
      </c>
      <c r="C3415" s="2">
        <v>2021</v>
      </c>
      <c r="D3415" s="10">
        <v>12</v>
      </c>
      <c r="E3415" s="10">
        <v>29</v>
      </c>
      <c r="F3415" t="s">
        <v>1879</v>
      </c>
      <c r="G3415">
        <v>180000</v>
      </c>
      <c r="H3415" t="s">
        <v>128</v>
      </c>
      <c r="I3415" t="s">
        <v>136</v>
      </c>
      <c r="J3415" s="10" t="str">
        <f>VLOOKUP(I3415,Categories!A:B,2,FALSE)</f>
        <v>อื่นๆ</v>
      </c>
      <c r="K3415" t="s">
        <v>178</v>
      </c>
      <c r="L3415" s="10" t="str">
        <f>VLOOKUP(K3415,Accounts!A:B,2,FALSE)</f>
        <v>SCB</v>
      </c>
      <c r="M3415" t="s">
        <v>123</v>
      </c>
      <c r="N3415" s="10" t="str">
        <f>VLOOKUP(M3415,Accounts!A:B,2,FALSE)</f>
        <v>KBank</v>
      </c>
      <c r="O3415" t="s">
        <v>125</v>
      </c>
      <c r="Q3415" t="s">
        <v>126</v>
      </c>
      <c r="R3415" t="s">
        <v>124</v>
      </c>
      <c r="S3415" t="b">
        <v>0</v>
      </c>
      <c r="T3415" t="s">
        <v>124</v>
      </c>
    </row>
    <row r="3416">
      <c r="A3416" t="s">
        <v>6186</v>
      </c>
      <c r="B3416" t="s">
        <v>34</v>
      </c>
      <c r="C3416" s="2">
        <v>2021</v>
      </c>
      <c r="D3416" s="10">
        <v>12</v>
      </c>
      <c r="E3416" s="10">
        <v>29</v>
      </c>
      <c r="F3416" t="s">
        <v>1879</v>
      </c>
      <c r="G3416">
        <v>90000</v>
      </c>
      <c r="H3416" t="s">
        <v>128</v>
      </c>
      <c r="I3416" t="s">
        <v>136</v>
      </c>
      <c r="J3416" s="10" t="str">
        <f>VLOOKUP(I3416,Categories!A:B,2,FALSE)</f>
        <v>อื่นๆ</v>
      </c>
      <c r="K3416" t="s">
        <v>123</v>
      </c>
      <c r="L3416" s="10" t="str">
        <f>VLOOKUP(K3416,Accounts!A:B,2,FALSE)</f>
        <v>KBank</v>
      </c>
      <c r="M3416" t="s">
        <v>215</v>
      </c>
      <c r="N3416" s="10" t="str">
        <f>VLOOKUP(M3416,Accounts!A:B,2,FALSE)</f>
        <v>Investment</v>
      </c>
      <c r="O3416" t="s">
        <v>125</v>
      </c>
      <c r="Q3416" t="s">
        <v>126</v>
      </c>
      <c r="R3416" t="s">
        <v>124</v>
      </c>
      <c r="S3416" t="b">
        <v>0</v>
      </c>
      <c r="T3416" t="s">
        <v>124</v>
      </c>
    </row>
    <row r="3417">
      <c r="A3417" t="s">
        <v>6187</v>
      </c>
      <c r="B3417" t="s">
        <v>34</v>
      </c>
      <c r="C3417" s="2">
        <v>2021</v>
      </c>
      <c r="D3417" s="10">
        <v>12</v>
      </c>
      <c r="E3417" s="10">
        <v>29</v>
      </c>
      <c r="F3417" t="s">
        <v>1105</v>
      </c>
      <c r="G3417">
        <v>122</v>
      </c>
      <c r="H3417" t="s">
        <v>128</v>
      </c>
      <c r="I3417" t="s">
        <v>136</v>
      </c>
      <c r="J3417" s="10" t="str">
        <f>VLOOKUP(I3417,Categories!A:B,2,FALSE)</f>
        <v>อื่นๆ</v>
      </c>
      <c r="K3417" t="s">
        <v>5806</v>
      </c>
      <c r="L3417" s="10" t="str">
        <f>VLOOKUP(K3417,Accounts!A:B,2,FALSE)</f>
        <v>Grabpay</v>
      </c>
      <c r="M3417" t="s">
        <v>178</v>
      </c>
      <c r="N3417" s="10" t="str">
        <f>VLOOKUP(M3417,Accounts!A:B,2,FALSE)</f>
        <v>SCB</v>
      </c>
      <c r="O3417" t="s">
        <v>125</v>
      </c>
      <c r="Q3417" t="s">
        <v>126</v>
      </c>
      <c r="R3417" t="s">
        <v>124</v>
      </c>
      <c r="S3417" t="b">
        <v>0</v>
      </c>
      <c r="T3417" t="s">
        <v>124</v>
      </c>
    </row>
    <row r="3418">
      <c r="A3418" t="s">
        <v>6188</v>
      </c>
      <c r="B3418" t="s">
        <v>34</v>
      </c>
      <c r="C3418" s="2">
        <v>2021</v>
      </c>
      <c r="D3418" s="10">
        <v>12</v>
      </c>
      <c r="E3418" s="10">
        <v>29</v>
      </c>
      <c r="F3418" t="s">
        <v>1982</v>
      </c>
      <c r="G3418">
        <v>424</v>
      </c>
      <c r="H3418" t="s">
        <v>69</v>
      </c>
      <c r="I3418" t="s">
        <v>150</v>
      </c>
      <c r="J3418" s="10" t="str">
        <f>VLOOKUP(I3418,Categories!A:B,2,FALSE)</f>
        <v xml:space="preserve">Food &amp; Coff</v>
      </c>
      <c r="K3418" t="s">
        <v>178</v>
      </c>
      <c r="L3418" s="10" t="str">
        <f>VLOOKUP(K3418,Accounts!A:B,2,FALSE)</f>
        <v>SCB</v>
      </c>
      <c r="M3418" t="s">
        <v>124</v>
      </c>
      <c r="N3418" s="10"/>
      <c r="O3418" t="s">
        <v>2885</v>
      </c>
      <c r="Q3418" t="s">
        <v>126</v>
      </c>
      <c r="R3418" t="s">
        <v>124</v>
      </c>
      <c r="S3418" t="b">
        <v>0</v>
      </c>
      <c r="T3418" t="s">
        <v>124</v>
      </c>
    </row>
    <row r="3419">
      <c r="A3419" t="s">
        <v>6189</v>
      </c>
      <c r="B3419" t="s">
        <v>6190</v>
      </c>
      <c r="C3419" s="2">
        <v>2021</v>
      </c>
      <c r="D3419" s="10">
        <v>12</v>
      </c>
      <c r="E3419" s="10">
        <v>28</v>
      </c>
      <c r="F3419" t="s">
        <v>241</v>
      </c>
      <c r="G3419">
        <v>5000</v>
      </c>
      <c r="H3419" t="s">
        <v>69</v>
      </c>
      <c r="I3419" t="s">
        <v>144</v>
      </c>
      <c r="J3419" s="10" t="str">
        <f>VLOOKUP(I3419,Categories!A:B,2,FALSE)</f>
        <v xml:space="preserve">Family paid</v>
      </c>
      <c r="K3419" t="s">
        <v>178</v>
      </c>
      <c r="L3419" s="10" t="str">
        <f>VLOOKUP(K3419,Accounts!A:B,2,FALSE)</f>
        <v>SCB</v>
      </c>
      <c r="M3419" t="s">
        <v>124</v>
      </c>
      <c r="N3419" s="10"/>
      <c r="O3419" t="s">
        <v>125</v>
      </c>
      <c r="Q3419" t="s">
        <v>126</v>
      </c>
      <c r="R3419" t="s">
        <v>124</v>
      </c>
      <c r="S3419" t="b">
        <v>0</v>
      </c>
      <c r="T3419" t="s">
        <v>124</v>
      </c>
    </row>
    <row r="3420">
      <c r="A3420" t="s">
        <v>6191</v>
      </c>
      <c r="B3420" t="s">
        <v>6192</v>
      </c>
      <c r="C3420" s="2">
        <v>2021</v>
      </c>
      <c r="D3420" s="10">
        <v>12</v>
      </c>
      <c r="E3420" s="10">
        <v>27</v>
      </c>
      <c r="F3420" t="s">
        <v>121</v>
      </c>
      <c r="G3420">
        <v>9240</v>
      </c>
      <c r="H3420" t="s">
        <v>128</v>
      </c>
      <c r="I3420" t="s">
        <v>136</v>
      </c>
      <c r="J3420" s="10" t="str">
        <f>VLOOKUP(I3420,Categories!A:B,2,FALSE)</f>
        <v>อื่นๆ</v>
      </c>
      <c r="K3420" t="s">
        <v>178</v>
      </c>
      <c r="L3420" s="10" t="str">
        <f>VLOOKUP(K3420,Accounts!A:B,2,FALSE)</f>
        <v>SCB</v>
      </c>
      <c r="M3420" t="s">
        <v>1246</v>
      </c>
      <c r="N3420" s="10" t="str">
        <f>VLOOKUP(M3420,Accounts!A:B,2,FALSE)</f>
        <v xml:space="preserve">Car Loan</v>
      </c>
      <c r="O3420" t="s">
        <v>125</v>
      </c>
      <c r="Q3420" t="s">
        <v>126</v>
      </c>
      <c r="R3420" t="s">
        <v>124</v>
      </c>
      <c r="S3420" t="b">
        <v>0</v>
      </c>
      <c r="T3420" t="s">
        <v>124</v>
      </c>
    </row>
    <row r="3421">
      <c r="A3421" t="s">
        <v>6193</v>
      </c>
      <c r="B3421" t="s">
        <v>6192</v>
      </c>
      <c r="C3421" s="2">
        <v>2021</v>
      </c>
      <c r="D3421" s="10">
        <v>12</v>
      </c>
      <c r="E3421" s="10">
        <v>27</v>
      </c>
      <c r="F3421" t="s">
        <v>121</v>
      </c>
      <c r="G3421">
        <v>6665</v>
      </c>
      <c r="H3421" t="s">
        <v>128</v>
      </c>
      <c r="I3421" t="s">
        <v>136</v>
      </c>
      <c r="J3421" s="10" t="str">
        <f>VLOOKUP(I3421,Categories!A:B,2,FALSE)</f>
        <v>อื่นๆ</v>
      </c>
      <c r="K3421" t="s">
        <v>178</v>
      </c>
      <c r="L3421" s="10" t="str">
        <f>VLOOKUP(K3421,Accounts!A:B,2,FALSE)</f>
        <v>SCB</v>
      </c>
      <c r="M3421" t="s">
        <v>1244</v>
      </c>
      <c r="N3421" s="10" t="str">
        <f>VLOOKUP(M3421,Accounts!A:B,2,FALSE)</f>
        <v xml:space="preserve">Home chomthong Loan</v>
      </c>
      <c r="O3421" t="s">
        <v>125</v>
      </c>
      <c r="Q3421" t="s">
        <v>126</v>
      </c>
      <c r="R3421" t="s">
        <v>124</v>
      </c>
      <c r="S3421" t="b">
        <v>0</v>
      </c>
      <c r="T3421" t="s">
        <v>124</v>
      </c>
    </row>
    <row r="3422">
      <c r="A3422" t="s">
        <v>6194</v>
      </c>
      <c r="B3422" t="s">
        <v>6192</v>
      </c>
      <c r="C3422" s="2">
        <v>2021</v>
      </c>
      <c r="D3422" s="10">
        <v>12</v>
      </c>
      <c r="E3422" s="10">
        <v>27</v>
      </c>
      <c r="F3422" t="s">
        <v>121</v>
      </c>
      <c r="G3422">
        <v>500</v>
      </c>
      <c r="H3422" t="s">
        <v>128</v>
      </c>
      <c r="I3422" t="s">
        <v>136</v>
      </c>
      <c r="J3422" s="10" t="str">
        <f>VLOOKUP(I3422,Categories!A:B,2,FALSE)</f>
        <v>อื่นๆ</v>
      </c>
      <c r="K3422" t="s">
        <v>178</v>
      </c>
      <c r="L3422" s="10" t="str">
        <f>VLOOKUP(K3422,Accounts!A:B,2,FALSE)</f>
        <v>SCB</v>
      </c>
      <c r="M3422" t="s">
        <v>201</v>
      </c>
      <c r="N3422" s="10" t="str">
        <f>VLOOKUP(M3422,Accounts!A:B,2,FALSE)</f>
        <v>Coop</v>
      </c>
      <c r="O3422" t="s">
        <v>125</v>
      </c>
      <c r="Q3422" t="s">
        <v>126</v>
      </c>
      <c r="R3422" t="s">
        <v>124</v>
      </c>
      <c r="S3422" t="b">
        <v>0</v>
      </c>
      <c r="T3422" t="s">
        <v>124</v>
      </c>
    </row>
    <row r="3423">
      <c r="A3423" t="s">
        <v>6195</v>
      </c>
      <c r="B3423" t="s">
        <v>6192</v>
      </c>
      <c r="C3423" s="2">
        <v>2021</v>
      </c>
      <c r="D3423" s="10">
        <v>12</v>
      </c>
      <c r="E3423" s="10">
        <v>27</v>
      </c>
      <c r="F3423" t="s">
        <v>121</v>
      </c>
      <c r="G3423">
        <v>1917.8</v>
      </c>
      <c r="H3423" t="s">
        <v>128</v>
      </c>
      <c r="I3423" t="s">
        <v>136</v>
      </c>
      <c r="J3423" s="10" t="str">
        <f>VLOOKUP(I3423,Categories!A:B,2,FALSE)</f>
        <v>อื่นๆ</v>
      </c>
      <c r="K3423" t="s">
        <v>178</v>
      </c>
      <c r="L3423" s="10" t="str">
        <f>VLOOKUP(K3423,Accounts!A:B,2,FALSE)</f>
        <v>SCB</v>
      </c>
      <c r="M3423" t="s">
        <v>203</v>
      </c>
      <c r="N3423" s="10" t="str">
        <f>VLOOKUP(M3423,Accounts!A:B,2,FALSE)</f>
        <v xml:space="preserve">Provident Fund</v>
      </c>
      <c r="O3423" t="s">
        <v>125</v>
      </c>
      <c r="Q3423" t="s">
        <v>126</v>
      </c>
      <c r="R3423" t="s">
        <v>124</v>
      </c>
      <c r="S3423" t="b">
        <v>0</v>
      </c>
      <c r="T3423" t="s">
        <v>124</v>
      </c>
    </row>
    <row r="3424">
      <c r="A3424" t="s">
        <v>6196</v>
      </c>
      <c r="B3424" t="s">
        <v>6192</v>
      </c>
      <c r="C3424" s="2">
        <v>2021</v>
      </c>
      <c r="D3424" s="10">
        <v>12</v>
      </c>
      <c r="E3424" s="10">
        <v>27</v>
      </c>
      <c r="F3424" t="s">
        <v>121</v>
      </c>
      <c r="G3424">
        <v>95890</v>
      </c>
      <c r="H3424" t="s">
        <v>206</v>
      </c>
      <c r="I3424" t="s">
        <v>207</v>
      </c>
      <c r="J3424" s="10" t="str">
        <f>VLOOKUP(I3424,Categories!A:B,2,FALSE)</f>
        <v>Salary</v>
      </c>
      <c r="K3424" t="s">
        <v>178</v>
      </c>
      <c r="L3424" s="10" t="str">
        <f>VLOOKUP(K3424,Accounts!A:B,2,FALSE)</f>
        <v>SCB</v>
      </c>
      <c r="M3424" t="s">
        <v>124</v>
      </c>
      <c r="N3424" s="10"/>
      <c r="O3424" t="s">
        <v>125</v>
      </c>
      <c r="Q3424" t="s">
        <v>126</v>
      </c>
      <c r="R3424" t="s">
        <v>124</v>
      </c>
      <c r="S3424" t="b">
        <v>0</v>
      </c>
      <c r="T3424" t="s">
        <v>124</v>
      </c>
    </row>
    <row r="3425">
      <c r="A3425" t="s">
        <v>6197</v>
      </c>
      <c r="B3425" t="s">
        <v>6192</v>
      </c>
      <c r="C3425" s="2">
        <v>2021</v>
      </c>
      <c r="D3425" s="10">
        <v>12</v>
      </c>
      <c r="E3425" s="10">
        <v>27</v>
      </c>
      <c r="F3425" t="s">
        <v>121</v>
      </c>
      <c r="G3425">
        <v>733.87</v>
      </c>
      <c r="H3425" t="s">
        <v>69</v>
      </c>
      <c r="I3425" t="s">
        <v>199</v>
      </c>
      <c r="J3425" s="10" t="str">
        <f>VLOOKUP(I3425,Categories!A:B,2,FALSE)</f>
        <v xml:space="preserve">Home Chomthong Interest</v>
      </c>
      <c r="K3425" t="s">
        <v>178</v>
      </c>
      <c r="L3425" s="10" t="str">
        <f>VLOOKUP(K3425,Accounts!A:B,2,FALSE)</f>
        <v>SCB</v>
      </c>
      <c r="M3425" t="s">
        <v>124</v>
      </c>
      <c r="N3425" s="10"/>
      <c r="O3425" t="s">
        <v>125</v>
      </c>
      <c r="Q3425" t="s">
        <v>126</v>
      </c>
      <c r="R3425" t="s">
        <v>124</v>
      </c>
      <c r="S3425" t="b">
        <v>0</v>
      </c>
      <c r="T3425" t="s">
        <v>124</v>
      </c>
    </row>
    <row r="3426">
      <c r="A3426" t="s">
        <v>6198</v>
      </c>
      <c r="B3426" t="s">
        <v>6192</v>
      </c>
      <c r="C3426" s="2">
        <v>2021</v>
      </c>
      <c r="D3426" s="10">
        <v>12</v>
      </c>
      <c r="E3426" s="10">
        <v>27</v>
      </c>
      <c r="F3426" t="s">
        <v>121</v>
      </c>
      <c r="G3426">
        <v>167.22999999999999</v>
      </c>
      <c r="H3426" t="s">
        <v>69</v>
      </c>
      <c r="I3426" t="s">
        <v>443</v>
      </c>
      <c r="J3426" s="10" t="str">
        <f>VLOOKUP(I3426,Categories!A:B,2,FALSE)</f>
        <v xml:space="preserve">City SV Interest</v>
      </c>
      <c r="K3426" t="s">
        <v>178</v>
      </c>
      <c r="L3426" s="10" t="str">
        <f>VLOOKUP(K3426,Accounts!A:B,2,FALSE)</f>
        <v>SCB</v>
      </c>
      <c r="M3426" t="s">
        <v>124</v>
      </c>
      <c r="N3426" s="10"/>
      <c r="O3426" t="s">
        <v>125</v>
      </c>
      <c r="Q3426" t="s">
        <v>126</v>
      </c>
      <c r="R3426" t="s">
        <v>124</v>
      </c>
      <c r="S3426" t="b">
        <v>0</v>
      </c>
      <c r="T3426" t="s">
        <v>124</v>
      </c>
    </row>
    <row r="3427">
      <c r="A3427" t="s">
        <v>6199</v>
      </c>
      <c r="B3427" t="s">
        <v>6192</v>
      </c>
      <c r="C3427" s="2">
        <v>2021</v>
      </c>
      <c r="D3427" s="10">
        <v>12</v>
      </c>
      <c r="E3427" s="10">
        <v>27</v>
      </c>
      <c r="F3427" t="s">
        <v>219</v>
      </c>
      <c r="G3427">
        <v>500</v>
      </c>
      <c r="H3427" t="s">
        <v>128</v>
      </c>
      <c r="I3427" t="s">
        <v>136</v>
      </c>
      <c r="J3427" s="10" t="str">
        <f>VLOOKUP(I3427,Categories!A:B,2,FALSE)</f>
        <v>อื่นๆ</v>
      </c>
      <c r="K3427" t="s">
        <v>178</v>
      </c>
      <c r="L3427" s="10" t="str">
        <f>VLOOKUP(K3427,Accounts!A:B,2,FALSE)</f>
        <v>SCB</v>
      </c>
      <c r="M3427" t="s">
        <v>425</v>
      </c>
      <c r="N3427" s="10" t="str">
        <f>VLOOKUP(M3427,Accounts!A:B,2,FALSE)</f>
        <v>Cash</v>
      </c>
      <c r="O3427" t="s">
        <v>125</v>
      </c>
      <c r="Q3427" t="s">
        <v>126</v>
      </c>
      <c r="R3427" t="s">
        <v>124</v>
      </c>
      <c r="S3427" t="b">
        <v>0</v>
      </c>
      <c r="T3427" t="s">
        <v>124</v>
      </c>
    </row>
    <row r="3428">
      <c r="A3428" t="s">
        <v>6200</v>
      </c>
      <c r="B3428" t="s">
        <v>6201</v>
      </c>
      <c r="C3428" s="2">
        <v>2021</v>
      </c>
      <c r="D3428" s="10">
        <v>12</v>
      </c>
      <c r="E3428" s="10">
        <v>26</v>
      </c>
      <c r="F3428" t="s">
        <v>1790</v>
      </c>
      <c r="G3428">
        <v>5000</v>
      </c>
      <c r="H3428" t="s">
        <v>128</v>
      </c>
      <c r="I3428" t="s">
        <v>136</v>
      </c>
      <c r="J3428" s="10" t="str">
        <f>VLOOKUP(I3428,Categories!A:B,2,FALSE)</f>
        <v>อื่นๆ</v>
      </c>
      <c r="K3428" t="s">
        <v>178</v>
      </c>
      <c r="L3428" s="10" t="str">
        <f>VLOOKUP(K3428,Accounts!A:B,2,FALSE)</f>
        <v>SCB</v>
      </c>
      <c r="M3428" t="s">
        <v>2317</v>
      </c>
      <c r="N3428" s="10" t="str">
        <f>VLOOKUP(M3428,Accounts!A:B,2,FALSE)</f>
        <v xml:space="preserve">Marriage account</v>
      </c>
      <c r="O3428" t="s">
        <v>125</v>
      </c>
      <c r="Q3428" t="s">
        <v>126</v>
      </c>
      <c r="R3428" t="s">
        <v>124</v>
      </c>
      <c r="S3428" t="b">
        <v>0</v>
      </c>
      <c r="T3428" t="s">
        <v>124</v>
      </c>
    </row>
    <row r="3429">
      <c r="A3429" t="s">
        <v>6202</v>
      </c>
      <c r="B3429" t="s">
        <v>6201</v>
      </c>
      <c r="C3429" s="2">
        <v>2021</v>
      </c>
      <c r="D3429" s="10">
        <v>12</v>
      </c>
      <c r="E3429" s="10">
        <v>26</v>
      </c>
      <c r="F3429" t="s">
        <v>3757</v>
      </c>
      <c r="G3429">
        <v>2433</v>
      </c>
      <c r="H3429" t="s">
        <v>206</v>
      </c>
      <c r="I3429" t="s">
        <v>122</v>
      </c>
      <c r="J3429" s="10" t="str">
        <f>VLOOKUP(I3429,Categories!A:B,2,FALSE)</f>
        <v>Other</v>
      </c>
      <c r="K3429" t="s">
        <v>178</v>
      </c>
      <c r="L3429" s="10" t="str">
        <f>VLOOKUP(K3429,Accounts!A:B,2,FALSE)</f>
        <v>SCB</v>
      </c>
      <c r="M3429" t="s">
        <v>124</v>
      </c>
      <c r="N3429" s="10"/>
      <c r="O3429" t="s">
        <v>6203</v>
      </c>
      <c r="Q3429" t="s">
        <v>126</v>
      </c>
      <c r="R3429" t="s">
        <v>124</v>
      </c>
      <c r="S3429" t="b">
        <v>0</v>
      </c>
      <c r="T3429" t="s">
        <v>124</v>
      </c>
    </row>
    <row r="3430">
      <c r="A3430" t="s">
        <v>6204</v>
      </c>
      <c r="B3430" t="s">
        <v>6201</v>
      </c>
      <c r="C3430" s="2">
        <v>2021</v>
      </c>
      <c r="D3430" s="10">
        <v>12</v>
      </c>
      <c r="E3430" s="10">
        <v>26</v>
      </c>
      <c r="F3430" t="s">
        <v>3811</v>
      </c>
      <c r="G3430">
        <v>55</v>
      </c>
      <c r="H3430" t="s">
        <v>69</v>
      </c>
      <c r="I3430" t="s">
        <v>150</v>
      </c>
      <c r="J3430" s="10" t="str">
        <f>VLOOKUP(I3430,Categories!A:B,2,FALSE)</f>
        <v xml:space="preserve">Food &amp; Coff</v>
      </c>
      <c r="K3430" t="s">
        <v>425</v>
      </c>
      <c r="L3430" s="10" t="str">
        <f>VLOOKUP(K3430,Accounts!A:B,2,FALSE)</f>
        <v>Cash</v>
      </c>
      <c r="M3430" t="s">
        <v>124</v>
      </c>
      <c r="N3430" s="10"/>
      <c r="O3430" t="s">
        <v>125</v>
      </c>
      <c r="Q3430" t="s">
        <v>126</v>
      </c>
      <c r="R3430" t="s">
        <v>124</v>
      </c>
      <c r="S3430" t="b">
        <v>0</v>
      </c>
      <c r="T3430" t="s">
        <v>124</v>
      </c>
    </row>
    <row r="3431">
      <c r="A3431" t="s">
        <v>6205</v>
      </c>
      <c r="B3431" t="s">
        <v>6206</v>
      </c>
      <c r="C3431" s="2">
        <v>2021</v>
      </c>
      <c r="D3431" s="10">
        <v>12</v>
      </c>
      <c r="E3431" s="10">
        <v>25</v>
      </c>
      <c r="F3431" t="s">
        <v>6207</v>
      </c>
      <c r="G3431">
        <v>884.80999999999995</v>
      </c>
      <c r="H3431" t="s">
        <v>206</v>
      </c>
      <c r="I3431" t="s">
        <v>281</v>
      </c>
      <c r="J3431" s="10" t="str">
        <f>VLOOKUP(I3431,Categories!A:B,2,FALSE)</f>
        <v>Others</v>
      </c>
      <c r="K3431" t="s">
        <v>178</v>
      </c>
      <c r="L3431" s="10" t="str">
        <f>VLOOKUP(K3431,Accounts!A:B,2,FALSE)</f>
        <v>SCB</v>
      </c>
      <c r="M3431" t="s">
        <v>124</v>
      </c>
      <c r="N3431" s="10"/>
      <c r="O3431" t="s">
        <v>125</v>
      </c>
      <c r="Q3431" t="s">
        <v>126</v>
      </c>
      <c r="R3431" t="s">
        <v>124</v>
      </c>
      <c r="S3431" t="b">
        <v>0</v>
      </c>
      <c r="T3431" t="s">
        <v>124</v>
      </c>
    </row>
    <row r="3432">
      <c r="A3432" t="s">
        <v>6208</v>
      </c>
      <c r="B3432" t="s">
        <v>6206</v>
      </c>
      <c r="C3432" s="2">
        <v>2021</v>
      </c>
      <c r="D3432" s="10">
        <v>12</v>
      </c>
      <c r="E3432" s="10">
        <v>25</v>
      </c>
      <c r="F3432" t="s">
        <v>1806</v>
      </c>
      <c r="G3432">
        <v>12518</v>
      </c>
      <c r="H3432" t="s">
        <v>128</v>
      </c>
      <c r="I3432" t="s">
        <v>136</v>
      </c>
      <c r="J3432" s="10" t="str">
        <f>VLOOKUP(I3432,Categories!A:B,2,FALSE)</f>
        <v>อื่นๆ</v>
      </c>
      <c r="K3432" t="s">
        <v>178</v>
      </c>
      <c r="L3432" s="10" t="str">
        <f>VLOOKUP(K3432,Accounts!A:B,2,FALSE)</f>
        <v>SCB</v>
      </c>
      <c r="M3432" t="s">
        <v>743</v>
      </c>
      <c r="N3432" s="10" t="str">
        <f>VLOOKUP(M3432,Accounts!A:B,2,FALSE)</f>
        <v>HOMEPRO</v>
      </c>
      <c r="O3432" t="s">
        <v>125</v>
      </c>
      <c r="Q3432" t="s">
        <v>126</v>
      </c>
      <c r="R3432" t="s">
        <v>124</v>
      </c>
      <c r="S3432" t="b">
        <v>0</v>
      </c>
      <c r="T3432" t="s">
        <v>124</v>
      </c>
    </row>
    <row r="3433">
      <c r="A3433" t="s">
        <v>6209</v>
      </c>
      <c r="B3433" t="s">
        <v>6206</v>
      </c>
      <c r="C3433" s="2">
        <v>2021</v>
      </c>
      <c r="D3433" s="10">
        <v>12</v>
      </c>
      <c r="E3433" s="10">
        <v>25</v>
      </c>
      <c r="F3433" t="s">
        <v>2762</v>
      </c>
      <c r="G3433">
        <v>508.25</v>
      </c>
      <c r="H3433" t="s">
        <v>128</v>
      </c>
      <c r="I3433" t="s">
        <v>136</v>
      </c>
      <c r="J3433" s="10" t="str">
        <f>VLOOKUP(I3433,Categories!A:B,2,FALSE)</f>
        <v>อื่นๆ</v>
      </c>
      <c r="K3433" t="s">
        <v>747</v>
      </c>
      <c r="L3433" s="10" t="str">
        <f>VLOOKUP(K3433,Accounts!A:B,2,FALSE)</f>
        <v xml:space="preserve">UOB world</v>
      </c>
      <c r="M3433" t="s">
        <v>178</v>
      </c>
      <c r="N3433" s="10" t="str">
        <f>VLOOKUP(M3433,Accounts!A:B,2,FALSE)</f>
        <v>SCB</v>
      </c>
      <c r="O3433" t="s">
        <v>125</v>
      </c>
      <c r="Q3433" t="s">
        <v>126</v>
      </c>
      <c r="R3433" t="s">
        <v>124</v>
      </c>
      <c r="S3433" t="b">
        <v>0</v>
      </c>
      <c r="T3433" t="s">
        <v>124</v>
      </c>
    </row>
    <row r="3434">
      <c r="A3434" t="s">
        <v>6210</v>
      </c>
      <c r="B3434" t="s">
        <v>6206</v>
      </c>
      <c r="C3434" s="2">
        <v>2021</v>
      </c>
      <c r="D3434" s="10">
        <v>12</v>
      </c>
      <c r="E3434" s="10">
        <v>25</v>
      </c>
      <c r="F3434" t="s">
        <v>6211</v>
      </c>
      <c r="G3434">
        <v>510</v>
      </c>
      <c r="H3434" t="s">
        <v>128</v>
      </c>
      <c r="I3434" t="s">
        <v>136</v>
      </c>
      <c r="J3434" s="10" t="str">
        <f>VLOOKUP(I3434,Categories!A:B,2,FALSE)</f>
        <v>อื่นๆ</v>
      </c>
      <c r="K3434" t="s">
        <v>747</v>
      </c>
      <c r="L3434" s="10" t="str">
        <f>VLOOKUP(K3434,Accounts!A:B,2,FALSE)</f>
        <v xml:space="preserve">UOB world</v>
      </c>
      <c r="M3434" t="s">
        <v>178</v>
      </c>
      <c r="N3434" s="10" t="str">
        <f>VLOOKUP(M3434,Accounts!A:B,2,FALSE)</f>
        <v>SCB</v>
      </c>
      <c r="O3434" t="s">
        <v>125</v>
      </c>
      <c r="Q3434" t="s">
        <v>126</v>
      </c>
      <c r="R3434" t="s">
        <v>124</v>
      </c>
      <c r="S3434" t="b">
        <v>0</v>
      </c>
      <c r="T3434" t="s">
        <v>124</v>
      </c>
    </row>
    <row r="3435">
      <c r="A3435" t="s">
        <v>6212</v>
      </c>
      <c r="B3435" t="s">
        <v>6206</v>
      </c>
      <c r="C3435" s="2">
        <v>2021</v>
      </c>
      <c r="D3435" s="10">
        <v>12</v>
      </c>
      <c r="E3435" s="10">
        <v>25</v>
      </c>
      <c r="F3435" t="s">
        <v>3903</v>
      </c>
      <c r="G3435">
        <v>2080</v>
      </c>
      <c r="H3435" t="s">
        <v>128</v>
      </c>
      <c r="I3435" t="s">
        <v>136</v>
      </c>
      <c r="J3435" s="10" t="str">
        <f>VLOOKUP(I3435,Categories!A:B,2,FALSE)</f>
        <v>อื่นๆ</v>
      </c>
      <c r="K3435" t="s">
        <v>178</v>
      </c>
      <c r="L3435" s="10" t="str">
        <f>VLOOKUP(K3435,Accounts!A:B,2,FALSE)</f>
        <v>SCB</v>
      </c>
      <c r="M3435" t="s">
        <v>1308</v>
      </c>
      <c r="N3435" s="10" t="str">
        <f>VLOOKUP(M3435,Accounts!A:B,2,FALSE)</f>
        <v xml:space="preserve">UOB Privilages</v>
      </c>
      <c r="O3435" t="s">
        <v>125</v>
      </c>
      <c r="Q3435" t="s">
        <v>126</v>
      </c>
      <c r="R3435" t="s">
        <v>124</v>
      </c>
      <c r="S3435" t="b">
        <v>0</v>
      </c>
      <c r="T3435" t="s">
        <v>124</v>
      </c>
    </row>
    <row r="3436">
      <c r="A3436" t="s">
        <v>6213</v>
      </c>
      <c r="B3436" t="s">
        <v>6206</v>
      </c>
      <c r="C3436" s="2">
        <v>2021</v>
      </c>
      <c r="D3436" s="10">
        <v>12</v>
      </c>
      <c r="E3436" s="10">
        <v>25</v>
      </c>
      <c r="F3436" t="s">
        <v>6214</v>
      </c>
      <c r="G3436">
        <v>180</v>
      </c>
      <c r="H3436" t="s">
        <v>69</v>
      </c>
      <c r="I3436" t="s">
        <v>254</v>
      </c>
      <c r="J3436" s="10" t="str">
        <f>VLOOKUP(I3436,Categories!A:B,2,FALSE)</f>
        <v xml:space="preserve">Modified Bal.</v>
      </c>
      <c r="K3436" t="s">
        <v>178</v>
      </c>
      <c r="L3436" s="10" t="str">
        <f>VLOOKUP(K3436,Accounts!A:B,2,FALSE)</f>
        <v>SCB</v>
      </c>
      <c r="M3436" t="s">
        <v>124</v>
      </c>
      <c r="N3436" s="10"/>
      <c r="O3436" t="s">
        <v>255</v>
      </c>
      <c r="Q3436" t="s">
        <v>126</v>
      </c>
      <c r="R3436" t="s">
        <v>124</v>
      </c>
      <c r="S3436" t="b">
        <v>0</v>
      </c>
      <c r="T3436" t="s">
        <v>124</v>
      </c>
    </row>
    <row r="3437">
      <c r="A3437" t="s">
        <v>6215</v>
      </c>
      <c r="B3437" t="s">
        <v>6216</v>
      </c>
      <c r="C3437" s="2">
        <v>2021</v>
      </c>
      <c r="D3437" s="10">
        <v>12</v>
      </c>
      <c r="E3437" s="10">
        <v>24</v>
      </c>
      <c r="F3437" t="s">
        <v>1035</v>
      </c>
      <c r="G3437">
        <v>1595</v>
      </c>
      <c r="H3437" t="s">
        <v>69</v>
      </c>
      <c r="I3437" t="s">
        <v>152</v>
      </c>
      <c r="J3437" s="10" t="str">
        <f>VLOOKUP(I3437,Categories!A:B,2,FALSE)</f>
        <v xml:space="preserve">Office Suit</v>
      </c>
      <c r="K3437" t="s">
        <v>178</v>
      </c>
      <c r="L3437" s="10" t="str">
        <f>VLOOKUP(K3437,Accounts!A:B,2,FALSE)</f>
        <v>SCB</v>
      </c>
      <c r="M3437" t="s">
        <v>124</v>
      </c>
      <c r="N3437" s="10"/>
      <c r="O3437" t="s">
        <v>6217</v>
      </c>
      <c r="Q3437" t="s">
        <v>126</v>
      </c>
      <c r="R3437" t="s">
        <v>124</v>
      </c>
      <c r="S3437" t="b">
        <v>0</v>
      </c>
      <c r="T3437" t="s">
        <v>124</v>
      </c>
    </row>
    <row r="3438">
      <c r="A3438" t="s">
        <v>6218</v>
      </c>
      <c r="B3438" t="s">
        <v>6216</v>
      </c>
      <c r="C3438" s="2">
        <v>2021</v>
      </c>
      <c r="D3438" s="10">
        <v>12</v>
      </c>
      <c r="E3438" s="10">
        <v>24</v>
      </c>
      <c r="F3438" t="s">
        <v>2174</v>
      </c>
      <c r="G3438">
        <v>20000</v>
      </c>
      <c r="H3438" t="s">
        <v>128</v>
      </c>
      <c r="I3438" t="s">
        <v>136</v>
      </c>
      <c r="J3438" s="10" t="str">
        <f>VLOOKUP(I3438,Categories!A:B,2,FALSE)</f>
        <v>อื่นๆ</v>
      </c>
      <c r="K3438" t="s">
        <v>178</v>
      </c>
      <c r="L3438" s="10" t="str">
        <f>VLOOKUP(K3438,Accounts!A:B,2,FALSE)</f>
        <v>SCB</v>
      </c>
      <c r="M3438" t="s">
        <v>123</v>
      </c>
      <c r="N3438" s="10" t="str">
        <f>VLOOKUP(M3438,Accounts!A:B,2,FALSE)</f>
        <v>KBank</v>
      </c>
      <c r="O3438" t="s">
        <v>125</v>
      </c>
      <c r="Q3438" t="s">
        <v>126</v>
      </c>
      <c r="R3438" t="s">
        <v>124</v>
      </c>
      <c r="S3438" t="b">
        <v>0</v>
      </c>
      <c r="T3438" t="s">
        <v>124</v>
      </c>
    </row>
    <row r="3439">
      <c r="A3439" t="s">
        <v>6219</v>
      </c>
      <c r="B3439" t="s">
        <v>6216</v>
      </c>
      <c r="C3439" s="2">
        <v>2021</v>
      </c>
      <c r="D3439" s="10">
        <v>12</v>
      </c>
      <c r="E3439" s="10">
        <v>24</v>
      </c>
      <c r="F3439" t="s">
        <v>2174</v>
      </c>
      <c r="G3439">
        <v>1135</v>
      </c>
      <c r="H3439" t="s">
        <v>69</v>
      </c>
      <c r="I3439" t="s">
        <v>259</v>
      </c>
      <c r="J3439" s="10" t="str">
        <f>VLOOKUP(I3439,Categories!A:B,2,FALSE)</f>
        <v xml:space="preserve">Team BOT</v>
      </c>
      <c r="K3439" t="s">
        <v>178</v>
      </c>
      <c r="L3439" s="10" t="str">
        <f>VLOOKUP(K3439,Accounts!A:B,2,FALSE)</f>
        <v>SCB</v>
      </c>
      <c r="M3439" t="s">
        <v>124</v>
      </c>
      <c r="N3439" s="10"/>
      <c r="O3439" t="s">
        <v>6220</v>
      </c>
      <c r="Q3439" t="s">
        <v>126</v>
      </c>
      <c r="R3439" t="s">
        <v>124</v>
      </c>
      <c r="S3439" t="b">
        <v>0</v>
      </c>
      <c r="T3439" t="s">
        <v>124</v>
      </c>
    </row>
    <row r="3440">
      <c r="A3440" t="s">
        <v>6221</v>
      </c>
      <c r="B3440" t="s">
        <v>6216</v>
      </c>
      <c r="C3440" s="2">
        <v>2021</v>
      </c>
      <c r="D3440" s="10">
        <v>12</v>
      </c>
      <c r="E3440" s="10">
        <v>24</v>
      </c>
      <c r="F3440" t="s">
        <v>6222</v>
      </c>
      <c r="G3440">
        <v>3317</v>
      </c>
      <c r="H3440" t="s">
        <v>69</v>
      </c>
      <c r="I3440" t="s">
        <v>157</v>
      </c>
      <c r="J3440" s="10" t="str">
        <f>VLOOKUP(I3440,Categories!A:B,2,FALSE)</f>
        <v>Boardgame</v>
      </c>
      <c r="K3440" t="s">
        <v>178</v>
      </c>
      <c r="L3440" s="10" t="str">
        <f>VLOOKUP(K3440,Accounts!A:B,2,FALSE)</f>
        <v>SCB</v>
      </c>
      <c r="M3440" t="s">
        <v>124</v>
      </c>
      <c r="N3440" s="10"/>
      <c r="O3440" t="s">
        <v>125</v>
      </c>
      <c r="Q3440" t="s">
        <v>126</v>
      </c>
      <c r="R3440" t="s">
        <v>124</v>
      </c>
      <c r="S3440" t="b">
        <v>0</v>
      </c>
      <c r="T3440" t="s">
        <v>124</v>
      </c>
    </row>
    <row r="3441">
      <c r="A3441" t="s">
        <v>6223</v>
      </c>
      <c r="B3441" t="s">
        <v>6224</v>
      </c>
      <c r="C3441" s="2">
        <v>2021</v>
      </c>
      <c r="D3441" s="10">
        <v>12</v>
      </c>
      <c r="E3441" s="10">
        <v>23</v>
      </c>
      <c r="F3441" t="s">
        <v>1035</v>
      </c>
      <c r="G3441">
        <v>50</v>
      </c>
      <c r="H3441" t="s">
        <v>69</v>
      </c>
      <c r="I3441" t="s">
        <v>150</v>
      </c>
      <c r="J3441" s="10" t="str">
        <f>VLOOKUP(I3441,Categories!A:B,2,FALSE)</f>
        <v xml:space="preserve">Food &amp; Coff</v>
      </c>
      <c r="K3441" t="s">
        <v>178</v>
      </c>
      <c r="L3441" s="10" t="str">
        <f>VLOOKUP(K3441,Accounts!A:B,2,FALSE)</f>
        <v>SCB</v>
      </c>
      <c r="M3441" t="s">
        <v>124</v>
      </c>
      <c r="N3441" s="10"/>
      <c r="O3441" t="s">
        <v>125</v>
      </c>
      <c r="Q3441" t="s">
        <v>126</v>
      </c>
      <c r="R3441" t="s">
        <v>124</v>
      </c>
      <c r="S3441" t="b">
        <v>0</v>
      </c>
      <c r="T3441" t="s">
        <v>124</v>
      </c>
    </row>
    <row r="3442">
      <c r="A3442" t="s">
        <v>6225</v>
      </c>
      <c r="B3442" t="s">
        <v>6224</v>
      </c>
      <c r="C3442" s="2">
        <v>2021</v>
      </c>
      <c r="D3442" s="10">
        <v>12</v>
      </c>
      <c r="E3442" s="10">
        <v>23</v>
      </c>
      <c r="F3442" t="s">
        <v>6226</v>
      </c>
      <c r="G3442">
        <v>40</v>
      </c>
      <c r="H3442" t="s">
        <v>69</v>
      </c>
      <c r="I3442" t="s">
        <v>141</v>
      </c>
      <c r="J3442" s="10" t="str">
        <f>VLOOKUP(I3442,Categories!A:B,2,FALSE)</f>
        <v>Other</v>
      </c>
      <c r="K3442" t="s">
        <v>743</v>
      </c>
      <c r="L3442" s="10" t="str">
        <f>VLOOKUP(K3442,Accounts!A:B,2,FALSE)</f>
        <v>HOMEPRO</v>
      </c>
      <c r="M3442" t="s">
        <v>124</v>
      </c>
      <c r="N3442" s="10"/>
      <c r="O3442" t="s">
        <v>125</v>
      </c>
      <c r="Q3442" t="s">
        <v>126</v>
      </c>
      <c r="R3442" t="s">
        <v>124</v>
      </c>
      <c r="S3442" t="b">
        <v>0</v>
      </c>
      <c r="T3442" t="s">
        <v>124</v>
      </c>
    </row>
    <row r="3443">
      <c r="A3443" t="s">
        <v>6227</v>
      </c>
      <c r="B3443" t="s">
        <v>6228</v>
      </c>
      <c r="C3443" s="2">
        <v>2021</v>
      </c>
      <c r="D3443" s="10">
        <v>12</v>
      </c>
      <c r="E3443" s="10">
        <v>22</v>
      </c>
      <c r="F3443" t="s">
        <v>270</v>
      </c>
      <c r="G3443">
        <v>250</v>
      </c>
      <c r="H3443" t="s">
        <v>69</v>
      </c>
      <c r="I3443" t="s">
        <v>150</v>
      </c>
      <c r="J3443" s="10" t="str">
        <f>VLOOKUP(I3443,Categories!A:B,2,FALSE)</f>
        <v xml:space="preserve">Food &amp; Coff</v>
      </c>
      <c r="K3443" t="s">
        <v>178</v>
      </c>
      <c r="L3443" s="10" t="str">
        <f>VLOOKUP(K3443,Accounts!A:B,2,FALSE)</f>
        <v>SCB</v>
      </c>
      <c r="M3443" t="s">
        <v>124</v>
      </c>
      <c r="N3443" s="10"/>
      <c r="O3443" t="s">
        <v>125</v>
      </c>
      <c r="Q3443" t="s">
        <v>126</v>
      </c>
      <c r="R3443" t="s">
        <v>124</v>
      </c>
      <c r="S3443" t="b">
        <v>0</v>
      </c>
      <c r="T3443" t="s">
        <v>124</v>
      </c>
    </row>
    <row r="3444">
      <c r="A3444" t="s">
        <v>6229</v>
      </c>
      <c r="B3444" t="s">
        <v>6228</v>
      </c>
      <c r="C3444" s="2">
        <v>2021</v>
      </c>
      <c r="D3444" s="10">
        <v>12</v>
      </c>
      <c r="E3444" s="10">
        <v>22</v>
      </c>
      <c r="F3444" t="s">
        <v>6230</v>
      </c>
      <c r="G3444">
        <v>60</v>
      </c>
      <c r="H3444" t="s">
        <v>69</v>
      </c>
      <c r="I3444" t="s">
        <v>141</v>
      </c>
      <c r="J3444" s="10" t="str">
        <f>VLOOKUP(I3444,Categories!A:B,2,FALSE)</f>
        <v>Other</v>
      </c>
      <c r="K3444" t="s">
        <v>747</v>
      </c>
      <c r="L3444" s="10" t="str">
        <f>VLOOKUP(K3444,Accounts!A:B,2,FALSE)</f>
        <v xml:space="preserve">UOB world</v>
      </c>
      <c r="M3444" t="s">
        <v>124</v>
      </c>
      <c r="N3444" s="10"/>
      <c r="O3444" t="s">
        <v>6085</v>
      </c>
      <c r="Q3444" t="s">
        <v>126</v>
      </c>
      <c r="R3444" t="s">
        <v>124</v>
      </c>
      <c r="S3444" t="b">
        <v>0</v>
      </c>
      <c r="T3444" t="s">
        <v>124</v>
      </c>
    </row>
    <row r="3445">
      <c r="A3445" t="s">
        <v>6231</v>
      </c>
      <c r="B3445" t="s">
        <v>6232</v>
      </c>
      <c r="C3445" s="2">
        <v>2021</v>
      </c>
      <c r="D3445" s="10">
        <v>12</v>
      </c>
      <c r="E3445" s="10">
        <v>21</v>
      </c>
      <c r="F3445" t="s">
        <v>2170</v>
      </c>
      <c r="G3445">
        <v>1135</v>
      </c>
      <c r="H3445" t="s">
        <v>69</v>
      </c>
      <c r="I3445" t="s">
        <v>259</v>
      </c>
      <c r="J3445" s="10" t="str">
        <f>VLOOKUP(I3445,Categories!A:B,2,FALSE)</f>
        <v xml:space="preserve">Team BOT</v>
      </c>
      <c r="K3445" t="s">
        <v>123</v>
      </c>
      <c r="L3445" s="10" t="str">
        <f>VLOOKUP(K3445,Accounts!A:B,2,FALSE)</f>
        <v>KBank</v>
      </c>
      <c r="M3445" t="s">
        <v>124</v>
      </c>
      <c r="N3445" s="10"/>
      <c r="O3445" t="s">
        <v>125</v>
      </c>
      <c r="Q3445" t="s">
        <v>126</v>
      </c>
      <c r="R3445" t="s">
        <v>124</v>
      </c>
      <c r="S3445" t="b">
        <v>0</v>
      </c>
      <c r="T3445" t="s">
        <v>124</v>
      </c>
    </row>
    <row r="3446">
      <c r="A3446" t="s">
        <v>6233</v>
      </c>
      <c r="B3446" t="s">
        <v>6234</v>
      </c>
      <c r="C3446" s="2">
        <v>2021</v>
      </c>
      <c r="D3446" s="10">
        <v>12</v>
      </c>
      <c r="E3446" s="10">
        <v>20</v>
      </c>
      <c r="F3446" t="s">
        <v>595</v>
      </c>
      <c r="G3446">
        <v>70</v>
      </c>
      <c r="H3446" t="s">
        <v>69</v>
      </c>
      <c r="I3446" t="s">
        <v>150</v>
      </c>
      <c r="J3446" s="10" t="str">
        <f>VLOOKUP(I3446,Categories!A:B,2,FALSE)</f>
        <v xml:space="preserve">Food &amp; Coff</v>
      </c>
      <c r="K3446" t="s">
        <v>178</v>
      </c>
      <c r="L3446" s="10" t="str">
        <f>VLOOKUP(K3446,Accounts!A:B,2,FALSE)</f>
        <v>SCB</v>
      </c>
      <c r="M3446" t="s">
        <v>124</v>
      </c>
      <c r="N3446" s="10"/>
      <c r="O3446" t="s">
        <v>125</v>
      </c>
      <c r="Q3446" t="s">
        <v>126</v>
      </c>
      <c r="R3446" t="s">
        <v>124</v>
      </c>
      <c r="S3446" t="b">
        <v>0</v>
      </c>
      <c r="T3446" t="s">
        <v>124</v>
      </c>
    </row>
    <row r="3447">
      <c r="A3447" t="s">
        <v>6235</v>
      </c>
      <c r="B3447" t="s">
        <v>6236</v>
      </c>
      <c r="C3447" s="2">
        <v>2021</v>
      </c>
      <c r="D3447" s="10">
        <v>12</v>
      </c>
      <c r="E3447" s="10">
        <v>19</v>
      </c>
      <c r="F3447" t="s">
        <v>5482</v>
      </c>
      <c r="G3447">
        <v>166</v>
      </c>
      <c r="H3447" t="s">
        <v>69</v>
      </c>
      <c r="I3447" t="s">
        <v>157</v>
      </c>
      <c r="J3447" s="10" t="str">
        <f>VLOOKUP(I3447,Categories!A:B,2,FALSE)</f>
        <v>Boardgame</v>
      </c>
      <c r="K3447" t="s">
        <v>743</v>
      </c>
      <c r="L3447" s="10" t="str">
        <f>VLOOKUP(K3447,Accounts!A:B,2,FALSE)</f>
        <v>HOMEPRO</v>
      </c>
      <c r="M3447" t="s">
        <v>124</v>
      </c>
      <c r="N3447" s="10"/>
      <c r="O3447" t="s">
        <v>6237</v>
      </c>
      <c r="Q3447" t="s">
        <v>126</v>
      </c>
      <c r="R3447" t="s">
        <v>124</v>
      </c>
      <c r="S3447" t="b">
        <v>0</v>
      </c>
      <c r="T3447" t="s">
        <v>124</v>
      </c>
    </row>
    <row r="3448">
      <c r="A3448" t="s">
        <v>6238</v>
      </c>
      <c r="B3448" t="s">
        <v>6239</v>
      </c>
      <c r="C3448" s="2">
        <v>2021</v>
      </c>
      <c r="D3448" s="10">
        <v>12</v>
      </c>
      <c r="E3448" s="10">
        <v>18</v>
      </c>
      <c r="F3448" t="s">
        <v>1231</v>
      </c>
      <c r="G3448">
        <v>45</v>
      </c>
      <c r="H3448" t="s">
        <v>69</v>
      </c>
      <c r="I3448" t="s">
        <v>150</v>
      </c>
      <c r="J3448" s="10" t="str">
        <f>VLOOKUP(I3448,Categories!A:B,2,FALSE)</f>
        <v xml:space="preserve">Food &amp; Coff</v>
      </c>
      <c r="K3448" t="s">
        <v>178</v>
      </c>
      <c r="L3448" s="10" t="str">
        <f>VLOOKUP(K3448,Accounts!A:B,2,FALSE)</f>
        <v>SCB</v>
      </c>
      <c r="M3448" t="s">
        <v>124</v>
      </c>
      <c r="N3448" s="10"/>
      <c r="O3448" t="s">
        <v>125</v>
      </c>
      <c r="Q3448" t="s">
        <v>126</v>
      </c>
      <c r="R3448" t="s">
        <v>124</v>
      </c>
      <c r="S3448" t="b">
        <v>0</v>
      </c>
      <c r="T3448" t="s">
        <v>124</v>
      </c>
    </row>
    <row r="3449">
      <c r="A3449" t="s">
        <v>6240</v>
      </c>
      <c r="B3449" t="s">
        <v>6239</v>
      </c>
      <c r="C3449" s="2">
        <v>2021</v>
      </c>
      <c r="D3449" s="10">
        <v>12</v>
      </c>
      <c r="E3449" s="10">
        <v>18</v>
      </c>
      <c r="F3449" t="s">
        <v>3712</v>
      </c>
      <c r="G3449">
        <v>400</v>
      </c>
      <c r="H3449" t="s">
        <v>128</v>
      </c>
      <c r="I3449" t="s">
        <v>136</v>
      </c>
      <c r="J3449" s="10" t="str">
        <f>VLOOKUP(I3449,Categories!A:B,2,FALSE)</f>
        <v>อื่นๆ</v>
      </c>
      <c r="K3449" t="s">
        <v>178</v>
      </c>
      <c r="L3449" s="10" t="str">
        <f>VLOOKUP(K3449,Accounts!A:B,2,FALSE)</f>
        <v>SCB</v>
      </c>
      <c r="M3449" t="s">
        <v>425</v>
      </c>
      <c r="N3449" s="10" t="str">
        <f>VLOOKUP(M3449,Accounts!A:B,2,FALSE)</f>
        <v>Cash</v>
      </c>
      <c r="O3449" t="s">
        <v>125</v>
      </c>
      <c r="Q3449" t="s">
        <v>126</v>
      </c>
      <c r="R3449" t="s">
        <v>124</v>
      </c>
      <c r="S3449" t="b">
        <v>0</v>
      </c>
      <c r="T3449" t="s">
        <v>124</v>
      </c>
    </row>
    <row r="3450">
      <c r="A3450" t="s">
        <v>6241</v>
      </c>
      <c r="B3450" t="s">
        <v>6239</v>
      </c>
      <c r="C3450" s="2">
        <v>2021</v>
      </c>
      <c r="D3450" s="10">
        <v>12</v>
      </c>
      <c r="E3450" s="10">
        <v>18</v>
      </c>
      <c r="F3450" t="s">
        <v>1759</v>
      </c>
      <c r="G3450">
        <v>2115</v>
      </c>
      <c r="H3450" t="s">
        <v>69</v>
      </c>
      <c r="I3450" t="s">
        <v>144</v>
      </c>
      <c r="J3450" s="10" t="str">
        <f>VLOOKUP(I3450,Categories!A:B,2,FALSE)</f>
        <v xml:space="preserve">Family paid</v>
      </c>
      <c r="K3450" t="s">
        <v>178</v>
      </c>
      <c r="L3450" s="10" t="str">
        <f>VLOOKUP(K3450,Accounts!A:B,2,FALSE)</f>
        <v>SCB</v>
      </c>
      <c r="M3450" t="s">
        <v>124</v>
      </c>
      <c r="N3450" s="10"/>
      <c r="O3450" t="s">
        <v>3328</v>
      </c>
      <c r="Q3450" t="s">
        <v>126</v>
      </c>
      <c r="R3450" t="s">
        <v>124</v>
      </c>
      <c r="S3450" t="b">
        <v>0</v>
      </c>
      <c r="T3450" t="s">
        <v>124</v>
      </c>
    </row>
    <row r="3451">
      <c r="A3451" t="s">
        <v>6242</v>
      </c>
      <c r="B3451" t="s">
        <v>6243</v>
      </c>
      <c r="C3451" s="2">
        <v>2021</v>
      </c>
      <c r="D3451" s="10">
        <v>12</v>
      </c>
      <c r="E3451" s="10">
        <v>17</v>
      </c>
      <c r="F3451" t="s">
        <v>606</v>
      </c>
      <c r="G3451">
        <v>55</v>
      </c>
      <c r="H3451" t="s">
        <v>69</v>
      </c>
      <c r="I3451" t="s">
        <v>150</v>
      </c>
      <c r="J3451" s="10" t="str">
        <f>VLOOKUP(I3451,Categories!A:B,2,FALSE)</f>
        <v xml:space="preserve">Food &amp; Coff</v>
      </c>
      <c r="K3451" t="s">
        <v>178</v>
      </c>
      <c r="L3451" s="10" t="str">
        <f>VLOOKUP(K3451,Accounts!A:B,2,FALSE)</f>
        <v>SCB</v>
      </c>
      <c r="M3451" t="s">
        <v>124</v>
      </c>
      <c r="N3451" s="10"/>
      <c r="O3451" t="s">
        <v>125</v>
      </c>
      <c r="Q3451" t="s">
        <v>126</v>
      </c>
      <c r="R3451" t="s">
        <v>124</v>
      </c>
      <c r="S3451" t="b">
        <v>0</v>
      </c>
      <c r="T3451" t="s">
        <v>124</v>
      </c>
    </row>
    <row r="3452">
      <c r="A3452" t="s">
        <v>6244</v>
      </c>
      <c r="B3452" t="s">
        <v>6243</v>
      </c>
      <c r="C3452" s="2">
        <v>2021</v>
      </c>
      <c r="D3452" s="10">
        <v>12</v>
      </c>
      <c r="E3452" s="10">
        <v>17</v>
      </c>
      <c r="F3452" t="s">
        <v>1594</v>
      </c>
      <c r="G3452">
        <v>55</v>
      </c>
      <c r="H3452" t="s">
        <v>69</v>
      </c>
      <c r="I3452" t="s">
        <v>150</v>
      </c>
      <c r="J3452" s="10" t="str">
        <f>VLOOKUP(I3452,Categories!A:B,2,FALSE)</f>
        <v xml:space="preserve">Food &amp; Coff</v>
      </c>
      <c r="K3452" t="s">
        <v>178</v>
      </c>
      <c r="L3452" s="10" t="str">
        <f>VLOOKUP(K3452,Accounts!A:B,2,FALSE)</f>
        <v>SCB</v>
      </c>
      <c r="M3452" t="s">
        <v>124</v>
      </c>
      <c r="N3452" s="10"/>
      <c r="O3452" t="s">
        <v>5971</v>
      </c>
      <c r="Q3452" t="s">
        <v>126</v>
      </c>
      <c r="R3452" t="s">
        <v>124</v>
      </c>
      <c r="S3452" t="b">
        <v>0</v>
      </c>
      <c r="T3452" t="s">
        <v>124</v>
      </c>
    </row>
    <row r="3453">
      <c r="A3453" t="s">
        <v>6245</v>
      </c>
      <c r="B3453" t="s">
        <v>6246</v>
      </c>
      <c r="C3453" s="2">
        <v>2021</v>
      </c>
      <c r="D3453" s="10">
        <v>12</v>
      </c>
      <c r="E3453" s="10">
        <v>16</v>
      </c>
      <c r="F3453" t="s">
        <v>332</v>
      </c>
      <c r="G3453">
        <v>5874.6800000000003</v>
      </c>
      <c r="H3453" t="s">
        <v>128</v>
      </c>
      <c r="I3453" t="s">
        <v>136</v>
      </c>
      <c r="J3453" s="10" t="str">
        <f>VLOOKUP(I3453,Categories!A:B,2,FALSE)</f>
        <v>อื่นๆ</v>
      </c>
      <c r="K3453" t="s">
        <v>178</v>
      </c>
      <c r="L3453" s="10" t="str">
        <f>VLOOKUP(K3453,Accounts!A:B,2,FALSE)</f>
        <v>SCB</v>
      </c>
      <c r="M3453" t="s">
        <v>1308</v>
      </c>
      <c r="N3453" s="10" t="str">
        <f>VLOOKUP(M3453,Accounts!A:B,2,FALSE)</f>
        <v xml:space="preserve">UOB Privilages</v>
      </c>
      <c r="O3453" t="s">
        <v>125</v>
      </c>
      <c r="Q3453" t="s">
        <v>126</v>
      </c>
      <c r="R3453" t="s">
        <v>124</v>
      </c>
      <c r="S3453" t="b">
        <v>0</v>
      </c>
      <c r="T3453" t="s">
        <v>124</v>
      </c>
    </row>
    <row r="3454">
      <c r="A3454" t="s">
        <v>6247</v>
      </c>
      <c r="B3454" t="s">
        <v>6248</v>
      </c>
      <c r="C3454" s="2">
        <v>2021</v>
      </c>
      <c r="D3454" s="10">
        <v>12</v>
      </c>
      <c r="E3454" s="10">
        <v>15</v>
      </c>
      <c r="F3454" t="s">
        <v>1030</v>
      </c>
      <c r="G3454">
        <v>140</v>
      </c>
      <c r="H3454" t="s">
        <v>69</v>
      </c>
      <c r="I3454" t="s">
        <v>150</v>
      </c>
      <c r="J3454" s="10" t="str">
        <f>VLOOKUP(I3454,Categories!A:B,2,FALSE)</f>
        <v xml:space="preserve">Food &amp; Coff</v>
      </c>
      <c r="K3454" t="s">
        <v>178</v>
      </c>
      <c r="L3454" s="10" t="str">
        <f>VLOOKUP(K3454,Accounts!A:B,2,FALSE)</f>
        <v>SCB</v>
      </c>
      <c r="M3454" t="s">
        <v>124</v>
      </c>
      <c r="N3454" s="10"/>
      <c r="O3454" t="s">
        <v>6249</v>
      </c>
      <c r="Q3454" t="s">
        <v>126</v>
      </c>
      <c r="R3454" t="s">
        <v>124</v>
      </c>
      <c r="S3454" t="b">
        <v>0</v>
      </c>
      <c r="T3454" t="s">
        <v>124</v>
      </c>
    </row>
    <row r="3455">
      <c r="A3455" t="s">
        <v>6250</v>
      </c>
      <c r="B3455" t="s">
        <v>6248</v>
      </c>
      <c r="C3455" s="2">
        <v>2021</v>
      </c>
      <c r="D3455" s="10">
        <v>12</v>
      </c>
      <c r="E3455" s="10">
        <v>15</v>
      </c>
      <c r="F3455" t="s">
        <v>5904</v>
      </c>
      <c r="G3455">
        <v>55</v>
      </c>
      <c r="H3455" t="s">
        <v>69</v>
      </c>
      <c r="I3455" t="s">
        <v>150</v>
      </c>
      <c r="J3455" s="10" t="str">
        <f>VLOOKUP(I3455,Categories!A:B,2,FALSE)</f>
        <v xml:space="preserve">Food &amp; Coff</v>
      </c>
      <c r="K3455" t="s">
        <v>178</v>
      </c>
      <c r="L3455" s="10" t="str">
        <f>VLOOKUP(K3455,Accounts!A:B,2,FALSE)</f>
        <v>SCB</v>
      </c>
      <c r="M3455" t="s">
        <v>124</v>
      </c>
      <c r="N3455" s="10"/>
      <c r="O3455" t="s">
        <v>5971</v>
      </c>
      <c r="Q3455" t="s">
        <v>126</v>
      </c>
      <c r="R3455" t="s">
        <v>124</v>
      </c>
      <c r="S3455" t="b">
        <v>0</v>
      </c>
      <c r="T3455" t="s">
        <v>124</v>
      </c>
    </row>
    <row r="3456">
      <c r="A3456" t="s">
        <v>6251</v>
      </c>
      <c r="B3456" t="s">
        <v>6248</v>
      </c>
      <c r="C3456" s="2">
        <v>2021</v>
      </c>
      <c r="D3456" s="10">
        <v>12</v>
      </c>
      <c r="E3456" s="10">
        <v>15</v>
      </c>
      <c r="F3456" t="s">
        <v>1913</v>
      </c>
      <c r="G3456">
        <v>1760</v>
      </c>
      <c r="H3456" t="s">
        <v>69</v>
      </c>
      <c r="I3456" t="s">
        <v>157</v>
      </c>
      <c r="J3456" s="10" t="str">
        <f>VLOOKUP(I3456,Categories!A:B,2,FALSE)</f>
        <v>Boardgame</v>
      </c>
      <c r="K3456" t="s">
        <v>178</v>
      </c>
      <c r="L3456" s="10" t="str">
        <f>VLOOKUP(K3456,Accounts!A:B,2,FALSE)</f>
        <v>SCB</v>
      </c>
      <c r="M3456" t="s">
        <v>124</v>
      </c>
      <c r="N3456" s="10"/>
      <c r="O3456" t="s">
        <v>125</v>
      </c>
      <c r="Q3456" t="s">
        <v>126</v>
      </c>
      <c r="R3456" t="s">
        <v>124</v>
      </c>
      <c r="S3456" t="b">
        <v>0</v>
      </c>
      <c r="T3456" t="s">
        <v>124</v>
      </c>
    </row>
    <row r="3457">
      <c r="A3457" t="s">
        <v>6252</v>
      </c>
      <c r="B3457" t="s">
        <v>6253</v>
      </c>
      <c r="C3457" s="2">
        <v>2021</v>
      </c>
      <c r="D3457" s="10">
        <v>12</v>
      </c>
      <c r="E3457" s="10">
        <v>14</v>
      </c>
      <c r="F3457" t="s">
        <v>121</v>
      </c>
      <c r="G3457">
        <v>315</v>
      </c>
      <c r="H3457" t="s">
        <v>128</v>
      </c>
      <c r="I3457" t="s">
        <v>136</v>
      </c>
      <c r="J3457" s="10" t="str">
        <f>VLOOKUP(I3457,Categories!A:B,2,FALSE)</f>
        <v>อื่นๆ</v>
      </c>
      <c r="K3457" t="s">
        <v>178</v>
      </c>
      <c r="L3457" s="10" t="str">
        <f>VLOOKUP(K3457,Accounts!A:B,2,FALSE)</f>
        <v>SCB</v>
      </c>
      <c r="M3457" t="s">
        <v>747</v>
      </c>
      <c r="N3457" s="10" t="str">
        <f>VLOOKUP(M3457,Accounts!A:B,2,FALSE)</f>
        <v xml:space="preserve">UOB world</v>
      </c>
      <c r="O3457" t="s">
        <v>125</v>
      </c>
      <c r="Q3457" t="s">
        <v>126</v>
      </c>
      <c r="R3457" t="s">
        <v>124</v>
      </c>
      <c r="S3457" t="b">
        <v>0</v>
      </c>
      <c r="T3457" t="s">
        <v>124</v>
      </c>
    </row>
    <row r="3458">
      <c r="A3458" t="s">
        <v>6254</v>
      </c>
      <c r="B3458" t="s">
        <v>6253</v>
      </c>
      <c r="C3458" s="2">
        <v>2021</v>
      </c>
      <c r="D3458" s="10">
        <v>12</v>
      </c>
      <c r="E3458" s="10">
        <v>14</v>
      </c>
      <c r="F3458" t="s">
        <v>121</v>
      </c>
      <c r="G3458">
        <v>419</v>
      </c>
      <c r="H3458" t="s">
        <v>69</v>
      </c>
      <c r="I3458" t="s">
        <v>1903</v>
      </c>
      <c r="J3458" s="10" t="str">
        <f>VLOOKUP(I3458,Categories!A:B,2,FALSE)</f>
        <v xml:space="preserve">Monthly subscription</v>
      </c>
      <c r="K3458" t="s">
        <v>747</v>
      </c>
      <c r="L3458" s="10" t="str">
        <f>VLOOKUP(K3458,Accounts!A:B,2,FALSE)</f>
        <v xml:space="preserve">UOB world</v>
      </c>
      <c r="M3458" t="s">
        <v>124</v>
      </c>
      <c r="N3458" s="10"/>
      <c r="O3458" t="s">
        <v>125</v>
      </c>
      <c r="Q3458" t="s">
        <v>126</v>
      </c>
      <c r="R3458" t="s">
        <v>124</v>
      </c>
      <c r="S3458" t="b">
        <v>0</v>
      </c>
      <c r="T3458" t="s">
        <v>124</v>
      </c>
    </row>
    <row r="3459">
      <c r="A3459" t="s">
        <v>6255</v>
      </c>
      <c r="B3459" t="s">
        <v>6253</v>
      </c>
      <c r="C3459" s="2">
        <v>2021</v>
      </c>
      <c r="D3459" s="10">
        <v>12</v>
      </c>
      <c r="E3459" s="10">
        <v>14</v>
      </c>
      <c r="F3459" t="s">
        <v>6256</v>
      </c>
      <c r="G3459">
        <v>105</v>
      </c>
      <c r="H3459" t="s">
        <v>128</v>
      </c>
      <c r="I3459" t="s">
        <v>136</v>
      </c>
      <c r="J3459" s="10" t="str">
        <f>VLOOKUP(I3459,Categories!A:B,2,FALSE)</f>
        <v>อื่นๆ</v>
      </c>
      <c r="K3459" t="s">
        <v>178</v>
      </c>
      <c r="L3459" s="10" t="str">
        <f>VLOOKUP(K3459,Accounts!A:B,2,FALSE)</f>
        <v>SCB</v>
      </c>
      <c r="M3459" t="s">
        <v>747</v>
      </c>
      <c r="N3459" s="10" t="str">
        <f>VLOOKUP(M3459,Accounts!A:B,2,FALSE)</f>
        <v xml:space="preserve">UOB world</v>
      </c>
      <c r="O3459" t="s">
        <v>125</v>
      </c>
      <c r="Q3459" t="s">
        <v>126</v>
      </c>
      <c r="R3459" t="s">
        <v>124</v>
      </c>
      <c r="S3459" t="b">
        <v>0</v>
      </c>
      <c r="T3459" t="s">
        <v>124</v>
      </c>
    </row>
    <row r="3460">
      <c r="A3460" t="s">
        <v>6257</v>
      </c>
      <c r="B3460" t="s">
        <v>6258</v>
      </c>
      <c r="C3460" s="2">
        <v>2021</v>
      </c>
      <c r="D3460" s="10">
        <v>12</v>
      </c>
      <c r="E3460" s="10">
        <v>13</v>
      </c>
      <c r="F3460" t="s">
        <v>1703</v>
      </c>
      <c r="G3460">
        <v>70</v>
      </c>
      <c r="H3460" t="s">
        <v>69</v>
      </c>
      <c r="I3460" t="s">
        <v>150</v>
      </c>
      <c r="J3460" s="10" t="str">
        <f>VLOOKUP(I3460,Categories!A:B,2,FALSE)</f>
        <v xml:space="preserve">Food &amp; Coff</v>
      </c>
      <c r="K3460" t="s">
        <v>178</v>
      </c>
      <c r="L3460" s="10" t="str">
        <f>VLOOKUP(K3460,Accounts!A:B,2,FALSE)</f>
        <v>SCB</v>
      </c>
      <c r="M3460" t="s">
        <v>124</v>
      </c>
      <c r="N3460" s="10"/>
      <c r="O3460" t="s">
        <v>125</v>
      </c>
      <c r="Q3460" t="s">
        <v>126</v>
      </c>
      <c r="R3460" t="s">
        <v>124</v>
      </c>
      <c r="S3460" t="b">
        <v>0</v>
      </c>
      <c r="T3460" t="s">
        <v>124</v>
      </c>
    </row>
    <row r="3461">
      <c r="A3461" t="s">
        <v>6259</v>
      </c>
      <c r="B3461" t="s">
        <v>6258</v>
      </c>
      <c r="C3461" s="2">
        <v>2021</v>
      </c>
      <c r="D3461" s="10">
        <v>12</v>
      </c>
      <c r="E3461" s="10">
        <v>13</v>
      </c>
      <c r="F3461" t="s">
        <v>4391</v>
      </c>
      <c r="G3461">
        <v>140</v>
      </c>
      <c r="H3461" t="s">
        <v>69</v>
      </c>
      <c r="I3461" t="s">
        <v>150</v>
      </c>
      <c r="J3461" s="10" t="str">
        <f>VLOOKUP(I3461,Categories!A:B,2,FALSE)</f>
        <v xml:space="preserve">Food &amp; Coff</v>
      </c>
      <c r="K3461" t="s">
        <v>178</v>
      </c>
      <c r="L3461" s="10" t="str">
        <f>VLOOKUP(K3461,Accounts!A:B,2,FALSE)</f>
        <v>SCB</v>
      </c>
      <c r="M3461" t="s">
        <v>124</v>
      </c>
      <c r="N3461" s="10"/>
      <c r="O3461" t="s">
        <v>125</v>
      </c>
      <c r="Q3461" t="s">
        <v>126</v>
      </c>
      <c r="R3461" t="s">
        <v>124</v>
      </c>
      <c r="S3461" t="b">
        <v>0</v>
      </c>
      <c r="T3461" t="s">
        <v>124</v>
      </c>
    </row>
    <row r="3462">
      <c r="A3462" t="s">
        <v>6260</v>
      </c>
      <c r="B3462" t="s">
        <v>6261</v>
      </c>
      <c r="C3462" s="2">
        <v>2021</v>
      </c>
      <c r="D3462" s="10">
        <v>12</v>
      </c>
      <c r="E3462" s="10">
        <v>12</v>
      </c>
      <c r="F3462" t="s">
        <v>380</v>
      </c>
      <c r="G3462">
        <v>10000</v>
      </c>
      <c r="H3462" t="s">
        <v>128</v>
      </c>
      <c r="I3462" t="s">
        <v>136</v>
      </c>
      <c r="J3462" s="10" t="str">
        <f>VLOOKUP(I3462,Categories!A:B,2,FALSE)</f>
        <v>อื่นๆ</v>
      </c>
      <c r="K3462" t="s">
        <v>178</v>
      </c>
      <c r="L3462" s="10" t="str">
        <f>VLOOKUP(K3462,Accounts!A:B,2,FALSE)</f>
        <v>SCB</v>
      </c>
      <c r="M3462" t="s">
        <v>893</v>
      </c>
      <c r="N3462" s="10" t="str">
        <f>VLOOKUP(M3462,Accounts!A:B,2,FALSE)</f>
        <v>Shopee</v>
      </c>
      <c r="O3462" t="s">
        <v>125</v>
      </c>
      <c r="Q3462" t="s">
        <v>126</v>
      </c>
      <c r="R3462" t="s">
        <v>124</v>
      </c>
      <c r="S3462" t="b">
        <v>0</v>
      </c>
      <c r="T3462" t="s">
        <v>124</v>
      </c>
    </row>
    <row r="3463">
      <c r="A3463" t="s">
        <v>6262</v>
      </c>
      <c r="B3463" t="s">
        <v>6261</v>
      </c>
      <c r="C3463" s="2">
        <v>2021</v>
      </c>
      <c r="D3463" s="10">
        <v>12</v>
      </c>
      <c r="E3463" s="10">
        <v>12</v>
      </c>
      <c r="F3463" t="s">
        <v>380</v>
      </c>
      <c r="G3463">
        <v>4683</v>
      </c>
      <c r="H3463" t="s">
        <v>69</v>
      </c>
      <c r="I3463" t="s">
        <v>152</v>
      </c>
      <c r="J3463" s="10" t="str">
        <f>VLOOKUP(I3463,Categories!A:B,2,FALSE)</f>
        <v xml:space="preserve">Office Suit</v>
      </c>
      <c r="K3463" t="s">
        <v>893</v>
      </c>
      <c r="L3463" s="10" t="str">
        <f>VLOOKUP(K3463,Accounts!A:B,2,FALSE)</f>
        <v>Shopee</v>
      </c>
      <c r="M3463" t="s">
        <v>124</v>
      </c>
      <c r="N3463" s="10"/>
      <c r="O3463" t="s">
        <v>6263</v>
      </c>
      <c r="Q3463" t="s">
        <v>126</v>
      </c>
      <c r="R3463" t="s">
        <v>124</v>
      </c>
      <c r="S3463" t="b">
        <v>0</v>
      </c>
      <c r="T3463" t="s">
        <v>124</v>
      </c>
    </row>
    <row r="3464">
      <c r="A3464" t="s">
        <v>6264</v>
      </c>
      <c r="B3464" t="s">
        <v>6261</v>
      </c>
      <c r="C3464" s="2">
        <v>2021</v>
      </c>
      <c r="D3464" s="10">
        <v>12</v>
      </c>
      <c r="E3464" s="10">
        <v>12</v>
      </c>
      <c r="F3464" t="s">
        <v>373</v>
      </c>
      <c r="G3464">
        <v>5411</v>
      </c>
      <c r="H3464" t="s">
        <v>69</v>
      </c>
      <c r="I3464" t="s">
        <v>157</v>
      </c>
      <c r="J3464" s="10" t="str">
        <f>VLOOKUP(I3464,Categories!A:B,2,FALSE)</f>
        <v>Boardgame</v>
      </c>
      <c r="K3464" t="s">
        <v>893</v>
      </c>
      <c r="L3464" s="10" t="str">
        <f>VLOOKUP(K3464,Accounts!A:B,2,FALSE)</f>
        <v>Shopee</v>
      </c>
      <c r="M3464" t="s">
        <v>124</v>
      </c>
      <c r="N3464" s="10"/>
      <c r="O3464" t="s">
        <v>6265</v>
      </c>
      <c r="Q3464" t="s">
        <v>126</v>
      </c>
      <c r="R3464" t="s">
        <v>124</v>
      </c>
      <c r="S3464" t="b">
        <v>0</v>
      </c>
      <c r="T3464" t="s">
        <v>124</v>
      </c>
    </row>
    <row r="3465">
      <c r="A3465" t="s">
        <v>6266</v>
      </c>
      <c r="B3465" t="s">
        <v>6261</v>
      </c>
      <c r="C3465" s="2">
        <v>2021</v>
      </c>
      <c r="D3465" s="10">
        <v>12</v>
      </c>
      <c r="E3465" s="10">
        <v>12</v>
      </c>
      <c r="F3465" t="s">
        <v>5386</v>
      </c>
      <c r="G3465">
        <v>900</v>
      </c>
      <c r="H3465" t="s">
        <v>128</v>
      </c>
      <c r="I3465" t="s">
        <v>136</v>
      </c>
      <c r="J3465" s="10" t="str">
        <f>VLOOKUP(I3465,Categories!A:B,2,FALSE)</f>
        <v>อื่นๆ</v>
      </c>
      <c r="K3465" t="s">
        <v>178</v>
      </c>
      <c r="L3465" s="10" t="str">
        <f>VLOOKUP(K3465,Accounts!A:B,2,FALSE)</f>
        <v>SCB</v>
      </c>
      <c r="M3465" t="s">
        <v>893</v>
      </c>
      <c r="N3465" s="10" t="str">
        <f>VLOOKUP(M3465,Accounts!A:B,2,FALSE)</f>
        <v>Shopee</v>
      </c>
      <c r="O3465" t="s">
        <v>125</v>
      </c>
      <c r="Q3465" t="s">
        <v>126</v>
      </c>
      <c r="R3465" t="s">
        <v>124</v>
      </c>
      <c r="S3465" t="b">
        <v>0</v>
      </c>
      <c r="T3465" t="s">
        <v>124</v>
      </c>
    </row>
    <row r="3466">
      <c r="A3466" t="s">
        <v>6267</v>
      </c>
      <c r="B3466" t="s">
        <v>6261</v>
      </c>
      <c r="C3466" s="2">
        <v>2021</v>
      </c>
      <c r="D3466" s="10">
        <v>12</v>
      </c>
      <c r="E3466" s="10">
        <v>12</v>
      </c>
      <c r="F3466" t="s">
        <v>2038</v>
      </c>
      <c r="G3466">
        <v>2000</v>
      </c>
      <c r="H3466" t="s">
        <v>128</v>
      </c>
      <c r="I3466" t="s">
        <v>136</v>
      </c>
      <c r="J3466" s="10" t="str">
        <f>VLOOKUP(I3466,Categories!A:B,2,FALSE)</f>
        <v>อื่นๆ</v>
      </c>
      <c r="K3466" t="s">
        <v>178</v>
      </c>
      <c r="L3466" s="10" t="str">
        <f>VLOOKUP(K3466,Accounts!A:B,2,FALSE)</f>
        <v>SCB</v>
      </c>
      <c r="M3466" t="s">
        <v>893</v>
      </c>
      <c r="N3466" s="10" t="str">
        <f>VLOOKUP(M3466,Accounts!A:B,2,FALSE)</f>
        <v>Shopee</v>
      </c>
      <c r="O3466" t="s">
        <v>125</v>
      </c>
      <c r="Q3466" t="s">
        <v>126</v>
      </c>
      <c r="R3466" t="s">
        <v>124</v>
      </c>
      <c r="S3466" t="b">
        <v>0</v>
      </c>
      <c r="T3466" t="s">
        <v>124</v>
      </c>
    </row>
    <row r="3467">
      <c r="A3467" t="s">
        <v>6268</v>
      </c>
      <c r="B3467" t="s">
        <v>6261</v>
      </c>
      <c r="C3467" s="2">
        <v>2021</v>
      </c>
      <c r="D3467" s="10">
        <v>12</v>
      </c>
      <c r="E3467" s="10">
        <v>12</v>
      </c>
      <c r="F3467" t="s">
        <v>2097</v>
      </c>
      <c r="G3467">
        <v>834</v>
      </c>
      <c r="H3467" t="s">
        <v>69</v>
      </c>
      <c r="I3467" t="s">
        <v>1679</v>
      </c>
      <c r="J3467" s="10" t="str">
        <f>VLOOKUP(I3467,Categories!A:B,2,FALSE)</f>
        <v xml:space="preserve">Condo stuff</v>
      </c>
      <c r="K3467" t="s">
        <v>893</v>
      </c>
      <c r="L3467" s="10" t="str">
        <f>VLOOKUP(K3467,Accounts!A:B,2,FALSE)</f>
        <v>Shopee</v>
      </c>
      <c r="M3467" t="s">
        <v>124</v>
      </c>
      <c r="N3467" s="10"/>
      <c r="O3467" t="s">
        <v>125</v>
      </c>
      <c r="Q3467" t="s">
        <v>126</v>
      </c>
      <c r="R3467" t="s">
        <v>124</v>
      </c>
      <c r="S3467" t="b">
        <v>0</v>
      </c>
      <c r="T3467" t="s">
        <v>124</v>
      </c>
    </row>
    <row r="3468">
      <c r="A3468" t="s">
        <v>6269</v>
      </c>
      <c r="B3468" t="s">
        <v>6261</v>
      </c>
      <c r="C3468" s="2">
        <v>2021</v>
      </c>
      <c r="D3468" s="10">
        <v>12</v>
      </c>
      <c r="E3468" s="10">
        <v>12</v>
      </c>
      <c r="F3468" t="s">
        <v>2426</v>
      </c>
      <c r="G3468">
        <v>1218</v>
      </c>
      <c r="H3468" t="s">
        <v>69</v>
      </c>
      <c r="I3468" t="s">
        <v>157</v>
      </c>
      <c r="J3468" s="10" t="str">
        <f>VLOOKUP(I3468,Categories!A:B,2,FALSE)</f>
        <v>Boardgame</v>
      </c>
      <c r="K3468" t="s">
        <v>893</v>
      </c>
      <c r="L3468" s="10" t="str">
        <f>VLOOKUP(K3468,Accounts!A:B,2,FALSE)</f>
        <v>Shopee</v>
      </c>
      <c r="M3468" t="s">
        <v>124</v>
      </c>
      <c r="N3468" s="10"/>
      <c r="O3468" t="s">
        <v>6270</v>
      </c>
      <c r="Q3468" t="s">
        <v>126</v>
      </c>
      <c r="R3468" t="s">
        <v>124</v>
      </c>
      <c r="S3468" t="b">
        <v>0</v>
      </c>
      <c r="T3468" t="s">
        <v>124</v>
      </c>
    </row>
    <row r="3469">
      <c r="A3469" t="s">
        <v>6271</v>
      </c>
      <c r="B3469" t="s">
        <v>6261</v>
      </c>
      <c r="C3469" s="2">
        <v>2021</v>
      </c>
      <c r="D3469" s="10">
        <v>12</v>
      </c>
      <c r="E3469" s="10">
        <v>12</v>
      </c>
      <c r="F3469" t="s">
        <v>6272</v>
      </c>
      <c r="G3469">
        <v>3340.5599999999999</v>
      </c>
      <c r="H3469" t="s">
        <v>69</v>
      </c>
      <c r="I3469" t="s">
        <v>152</v>
      </c>
      <c r="J3469" s="10" t="str">
        <f>VLOOKUP(I3469,Categories!A:B,2,FALSE)</f>
        <v xml:space="preserve">Office Suit</v>
      </c>
      <c r="K3469" t="s">
        <v>1308</v>
      </c>
      <c r="L3469" s="10" t="str">
        <f>VLOOKUP(K3469,Accounts!A:B,2,FALSE)</f>
        <v xml:space="preserve">UOB Privilages</v>
      </c>
      <c r="M3469" t="s">
        <v>124</v>
      </c>
      <c r="N3469" s="10"/>
      <c r="O3469" t="s">
        <v>6273</v>
      </c>
      <c r="Q3469" t="s">
        <v>126</v>
      </c>
      <c r="R3469" t="s">
        <v>124</v>
      </c>
      <c r="S3469" t="b">
        <v>0</v>
      </c>
      <c r="T3469" t="s">
        <v>124</v>
      </c>
    </row>
    <row r="3470">
      <c r="A3470" t="s">
        <v>6274</v>
      </c>
      <c r="B3470" t="s">
        <v>6275</v>
      </c>
      <c r="C3470" s="2">
        <v>2021</v>
      </c>
      <c r="D3470" s="10">
        <v>12</v>
      </c>
      <c r="E3470" s="10">
        <v>11</v>
      </c>
      <c r="F3470" t="s">
        <v>4529</v>
      </c>
      <c r="G3470">
        <v>82</v>
      </c>
      <c r="H3470" t="s">
        <v>69</v>
      </c>
      <c r="I3470" t="s">
        <v>150</v>
      </c>
      <c r="J3470" s="10" t="str">
        <f>VLOOKUP(I3470,Categories!A:B,2,FALSE)</f>
        <v xml:space="preserve">Food &amp; Coff</v>
      </c>
      <c r="K3470" t="s">
        <v>178</v>
      </c>
      <c r="L3470" s="10" t="str">
        <f>VLOOKUP(K3470,Accounts!A:B,2,FALSE)</f>
        <v>SCB</v>
      </c>
      <c r="M3470" t="s">
        <v>124</v>
      </c>
      <c r="N3470" s="10"/>
      <c r="O3470" t="s">
        <v>6061</v>
      </c>
      <c r="Q3470" t="s">
        <v>126</v>
      </c>
      <c r="R3470" t="s">
        <v>124</v>
      </c>
      <c r="S3470" t="b">
        <v>0</v>
      </c>
      <c r="T3470" t="s">
        <v>124</v>
      </c>
    </row>
    <row r="3471">
      <c r="A3471" t="s">
        <v>6276</v>
      </c>
      <c r="B3471" t="s">
        <v>6275</v>
      </c>
      <c r="C3471" s="2">
        <v>2021</v>
      </c>
      <c r="D3471" s="10">
        <v>12</v>
      </c>
      <c r="E3471" s="10">
        <v>11</v>
      </c>
      <c r="F3471" t="s">
        <v>570</v>
      </c>
      <c r="G3471">
        <v>500</v>
      </c>
      <c r="H3471" t="s">
        <v>128</v>
      </c>
      <c r="I3471" t="s">
        <v>136</v>
      </c>
      <c r="J3471" s="10" t="str">
        <f>VLOOKUP(I3471,Categories!A:B,2,FALSE)</f>
        <v>อื่นๆ</v>
      </c>
      <c r="K3471" t="s">
        <v>178</v>
      </c>
      <c r="L3471" s="10" t="str">
        <f>VLOOKUP(K3471,Accounts!A:B,2,FALSE)</f>
        <v>SCB</v>
      </c>
      <c r="M3471" t="s">
        <v>710</v>
      </c>
      <c r="N3471" s="10" t="str">
        <f>VLOOKUP(M3471,Accounts!A:B,2,FALSE)</f>
        <v xml:space="preserve">Line Pay</v>
      </c>
      <c r="O3471" t="s">
        <v>125</v>
      </c>
      <c r="Q3471" t="s">
        <v>126</v>
      </c>
      <c r="R3471" t="s">
        <v>124</v>
      </c>
      <c r="S3471" t="b">
        <v>0</v>
      </c>
      <c r="T3471" t="s">
        <v>124</v>
      </c>
    </row>
    <row r="3472">
      <c r="A3472" t="s">
        <v>6277</v>
      </c>
      <c r="B3472" t="s">
        <v>6275</v>
      </c>
      <c r="C3472" s="2">
        <v>2021</v>
      </c>
      <c r="D3472" s="10">
        <v>12</v>
      </c>
      <c r="E3472" s="10">
        <v>11</v>
      </c>
      <c r="F3472" t="s">
        <v>698</v>
      </c>
      <c r="G3472">
        <v>229</v>
      </c>
      <c r="H3472" t="s">
        <v>128</v>
      </c>
      <c r="I3472" t="s">
        <v>136</v>
      </c>
      <c r="J3472" s="10" t="str">
        <f>VLOOKUP(I3472,Categories!A:B,2,FALSE)</f>
        <v>อื่นๆ</v>
      </c>
      <c r="K3472" t="s">
        <v>710</v>
      </c>
      <c r="L3472" s="10" t="str">
        <f>VLOOKUP(K3472,Accounts!A:B,2,FALSE)</f>
        <v xml:space="preserve">Line Pay</v>
      </c>
      <c r="M3472" t="s">
        <v>178</v>
      </c>
      <c r="N3472" s="10" t="str">
        <f>VLOOKUP(M3472,Accounts!A:B,2,FALSE)</f>
        <v>SCB</v>
      </c>
      <c r="O3472" t="s">
        <v>125</v>
      </c>
      <c r="Q3472" t="s">
        <v>126</v>
      </c>
      <c r="R3472" t="s">
        <v>124</v>
      </c>
      <c r="S3472" t="b">
        <v>0</v>
      </c>
      <c r="T3472" t="s">
        <v>124</v>
      </c>
    </row>
    <row r="3473">
      <c r="A3473" t="s">
        <v>6278</v>
      </c>
      <c r="B3473" t="s">
        <v>6275</v>
      </c>
      <c r="C3473" s="2">
        <v>2021</v>
      </c>
      <c r="D3473" s="10">
        <v>12</v>
      </c>
      <c r="E3473" s="10">
        <v>11</v>
      </c>
      <c r="F3473" t="s">
        <v>2539</v>
      </c>
      <c r="G3473">
        <v>64</v>
      </c>
      <c r="H3473" t="s">
        <v>128</v>
      </c>
      <c r="I3473" t="s">
        <v>136</v>
      </c>
      <c r="J3473" s="10" t="str">
        <f>VLOOKUP(I3473,Categories!A:B,2,FALSE)</f>
        <v>อื่นๆ</v>
      </c>
      <c r="K3473" t="s">
        <v>425</v>
      </c>
      <c r="L3473" s="10" t="str">
        <f>VLOOKUP(K3473,Accounts!A:B,2,FALSE)</f>
        <v>Cash</v>
      </c>
      <c r="M3473" t="s">
        <v>178</v>
      </c>
      <c r="N3473" s="10" t="str">
        <f>VLOOKUP(M3473,Accounts!A:B,2,FALSE)</f>
        <v>SCB</v>
      </c>
      <c r="O3473" t="s">
        <v>6279</v>
      </c>
      <c r="Q3473" t="s">
        <v>126</v>
      </c>
      <c r="R3473" t="s">
        <v>124</v>
      </c>
      <c r="S3473" t="b">
        <v>0</v>
      </c>
      <c r="T3473" t="s">
        <v>124</v>
      </c>
    </row>
    <row r="3474">
      <c r="A3474" t="s">
        <v>6280</v>
      </c>
      <c r="B3474" t="s">
        <v>6275</v>
      </c>
      <c r="C3474" s="2">
        <v>2021</v>
      </c>
      <c r="D3474" s="10">
        <v>12</v>
      </c>
      <c r="E3474" s="10">
        <v>11</v>
      </c>
      <c r="F3474" t="s">
        <v>6281</v>
      </c>
      <c r="G3474">
        <v>574</v>
      </c>
      <c r="H3474" t="s">
        <v>69</v>
      </c>
      <c r="I3474" t="s">
        <v>157</v>
      </c>
      <c r="J3474" s="10" t="str">
        <f>VLOOKUP(I3474,Categories!A:B,2,FALSE)</f>
        <v>Boardgame</v>
      </c>
      <c r="K3474" t="s">
        <v>130</v>
      </c>
      <c r="L3474" s="10" t="str">
        <f>VLOOKUP(K3474,Accounts!A:B,2,FALSE)</f>
        <v xml:space="preserve">KTC JCB</v>
      </c>
      <c r="M3474" t="s">
        <v>124</v>
      </c>
      <c r="N3474" s="10"/>
      <c r="O3474" t="s">
        <v>6282</v>
      </c>
      <c r="Q3474" t="s">
        <v>126</v>
      </c>
      <c r="R3474" t="s">
        <v>124</v>
      </c>
      <c r="S3474" t="b">
        <v>0</v>
      </c>
      <c r="T3474" t="s">
        <v>124</v>
      </c>
    </row>
    <row r="3475">
      <c r="A3475" t="s">
        <v>6283</v>
      </c>
      <c r="B3475" t="s">
        <v>6284</v>
      </c>
      <c r="C3475" s="2">
        <v>2021</v>
      </c>
      <c r="D3475" s="10">
        <v>12</v>
      </c>
      <c r="E3475" s="10">
        <v>10</v>
      </c>
      <c r="F3475" t="s">
        <v>6285</v>
      </c>
      <c r="G3475">
        <v>1848</v>
      </c>
      <c r="H3475" t="s">
        <v>128</v>
      </c>
      <c r="I3475" t="s">
        <v>136</v>
      </c>
      <c r="J3475" s="10" t="str">
        <f>VLOOKUP(I3475,Categories!A:B,2,FALSE)</f>
        <v>อื่นๆ</v>
      </c>
      <c r="K3475" t="s">
        <v>178</v>
      </c>
      <c r="L3475" s="10" t="str">
        <f>VLOOKUP(K3475,Accounts!A:B,2,FALSE)</f>
        <v>SCB</v>
      </c>
      <c r="M3475" t="s">
        <v>130</v>
      </c>
      <c r="N3475" s="10" t="str">
        <f>VLOOKUP(M3475,Accounts!A:B,2,FALSE)</f>
        <v xml:space="preserve">KTC JCB</v>
      </c>
      <c r="O3475" t="s">
        <v>125</v>
      </c>
      <c r="Q3475" t="s">
        <v>126</v>
      </c>
      <c r="R3475" t="s">
        <v>124</v>
      </c>
      <c r="S3475" t="b">
        <v>0</v>
      </c>
      <c r="T3475" t="s">
        <v>124</v>
      </c>
    </row>
    <row r="3476">
      <c r="A3476" t="s">
        <v>6286</v>
      </c>
      <c r="B3476" t="s">
        <v>6284</v>
      </c>
      <c r="C3476" s="2">
        <v>2021</v>
      </c>
      <c r="D3476" s="10">
        <v>12</v>
      </c>
      <c r="E3476" s="10">
        <v>10</v>
      </c>
      <c r="F3476" t="s">
        <v>3197</v>
      </c>
      <c r="G3476">
        <v>401.79000000000002</v>
      </c>
      <c r="H3476" t="s">
        <v>206</v>
      </c>
      <c r="I3476" t="s">
        <v>281</v>
      </c>
      <c r="J3476" s="10" t="str">
        <f>VLOOKUP(I3476,Categories!A:B,2,FALSE)</f>
        <v>Others</v>
      </c>
      <c r="K3476" t="s">
        <v>178</v>
      </c>
      <c r="L3476" s="10" t="str">
        <f>VLOOKUP(K3476,Accounts!A:B,2,FALSE)</f>
        <v>SCB</v>
      </c>
      <c r="M3476" t="s">
        <v>124</v>
      </c>
      <c r="N3476" s="10"/>
      <c r="O3476" t="s">
        <v>6287</v>
      </c>
      <c r="Q3476" t="s">
        <v>126</v>
      </c>
      <c r="R3476" t="s">
        <v>124</v>
      </c>
      <c r="S3476" t="b">
        <v>0</v>
      </c>
      <c r="T3476" t="s">
        <v>124</v>
      </c>
    </row>
    <row r="3477">
      <c r="A3477" t="s">
        <v>6288</v>
      </c>
      <c r="B3477" t="s">
        <v>6284</v>
      </c>
      <c r="C3477" s="2">
        <v>2021</v>
      </c>
      <c r="D3477" s="10">
        <v>12</v>
      </c>
      <c r="E3477" s="10">
        <v>10</v>
      </c>
      <c r="F3477" t="s">
        <v>3450</v>
      </c>
      <c r="G3477">
        <v>4566</v>
      </c>
      <c r="H3477" t="s">
        <v>69</v>
      </c>
      <c r="I3477" t="s">
        <v>1508</v>
      </c>
      <c r="J3477" s="10" t="str">
        <f>VLOOKUP(I3477,Categories!A:B,2,FALSE)</f>
        <v>Other</v>
      </c>
      <c r="K3477" t="s">
        <v>743</v>
      </c>
      <c r="L3477" s="10" t="str">
        <f>VLOOKUP(K3477,Accounts!A:B,2,FALSE)</f>
        <v>HOMEPRO</v>
      </c>
      <c r="M3477" t="s">
        <v>124</v>
      </c>
      <c r="N3477" s="10"/>
      <c r="O3477" t="s">
        <v>6289</v>
      </c>
      <c r="Q3477" t="s">
        <v>126</v>
      </c>
      <c r="R3477" t="s">
        <v>124</v>
      </c>
      <c r="S3477" t="b">
        <v>0</v>
      </c>
      <c r="T3477" t="s">
        <v>124</v>
      </c>
    </row>
    <row r="3478">
      <c r="A3478" t="s">
        <v>6290</v>
      </c>
      <c r="B3478" t="s">
        <v>6284</v>
      </c>
      <c r="C3478" s="2">
        <v>2021</v>
      </c>
      <c r="D3478" s="10">
        <v>12</v>
      </c>
      <c r="E3478" s="10">
        <v>10</v>
      </c>
      <c r="F3478" t="s">
        <v>3450</v>
      </c>
      <c r="G3478">
        <v>694.20000000000005</v>
      </c>
      <c r="H3478" t="s">
        <v>69</v>
      </c>
      <c r="I3478" t="s">
        <v>1508</v>
      </c>
      <c r="J3478" s="10" t="str">
        <f>VLOOKUP(I3478,Categories!A:B,2,FALSE)</f>
        <v>Other</v>
      </c>
      <c r="K3478" t="s">
        <v>743</v>
      </c>
      <c r="L3478" s="10" t="str">
        <f>VLOOKUP(K3478,Accounts!A:B,2,FALSE)</f>
        <v>HOMEPRO</v>
      </c>
      <c r="M3478" t="s">
        <v>124</v>
      </c>
      <c r="N3478" s="10"/>
      <c r="O3478" t="s">
        <v>6291</v>
      </c>
      <c r="Q3478" t="s">
        <v>126</v>
      </c>
      <c r="R3478" t="s">
        <v>124</v>
      </c>
      <c r="S3478" t="b">
        <v>0</v>
      </c>
      <c r="T3478" t="s">
        <v>124</v>
      </c>
    </row>
    <row r="3479">
      <c r="A3479" t="s">
        <v>6292</v>
      </c>
      <c r="B3479" t="s">
        <v>6284</v>
      </c>
      <c r="C3479" s="2">
        <v>2021</v>
      </c>
      <c r="D3479" s="10">
        <v>12</v>
      </c>
      <c r="E3479" s="10">
        <v>10</v>
      </c>
      <c r="F3479" t="s">
        <v>3153</v>
      </c>
      <c r="G3479">
        <v>2080</v>
      </c>
      <c r="H3479" t="s">
        <v>128</v>
      </c>
      <c r="I3479" t="s">
        <v>136</v>
      </c>
      <c r="J3479" s="10" t="str">
        <f>VLOOKUP(I3479,Categories!A:B,2,FALSE)</f>
        <v>อื่นๆ</v>
      </c>
      <c r="K3479" t="s">
        <v>178</v>
      </c>
      <c r="L3479" s="10" t="str">
        <f>VLOOKUP(K3479,Accounts!A:B,2,FALSE)</f>
        <v>SCB</v>
      </c>
      <c r="M3479" t="s">
        <v>747</v>
      </c>
      <c r="N3479" s="10" t="str">
        <f>VLOOKUP(M3479,Accounts!A:B,2,FALSE)</f>
        <v xml:space="preserve">UOB world</v>
      </c>
      <c r="O3479" t="s">
        <v>125</v>
      </c>
      <c r="Q3479" t="s">
        <v>126</v>
      </c>
      <c r="R3479" t="s">
        <v>124</v>
      </c>
      <c r="S3479" t="b">
        <v>0</v>
      </c>
      <c r="T3479" t="s">
        <v>124</v>
      </c>
    </row>
    <row r="3480">
      <c r="A3480" t="s">
        <v>6293</v>
      </c>
      <c r="B3480" t="s">
        <v>6284</v>
      </c>
      <c r="C3480" s="2">
        <v>2021</v>
      </c>
      <c r="D3480" s="10">
        <v>12</v>
      </c>
      <c r="E3480" s="10">
        <v>10</v>
      </c>
      <c r="F3480" t="s">
        <v>3613</v>
      </c>
      <c r="G3480">
        <v>2080</v>
      </c>
      <c r="H3480" t="s">
        <v>206</v>
      </c>
      <c r="I3480" t="s">
        <v>281</v>
      </c>
      <c r="J3480" s="10" t="str">
        <f>VLOOKUP(I3480,Categories!A:B,2,FALSE)</f>
        <v>Others</v>
      </c>
      <c r="K3480" t="s">
        <v>178</v>
      </c>
      <c r="L3480" s="10" t="str">
        <f>VLOOKUP(K3480,Accounts!A:B,2,FALSE)</f>
        <v>SCB</v>
      </c>
      <c r="M3480" t="s">
        <v>124</v>
      </c>
      <c r="N3480" s="10"/>
      <c r="O3480" t="s">
        <v>125</v>
      </c>
      <c r="Q3480" t="s">
        <v>126</v>
      </c>
      <c r="R3480" t="s">
        <v>124</v>
      </c>
      <c r="S3480" t="b">
        <v>0</v>
      </c>
      <c r="T3480" t="s">
        <v>124</v>
      </c>
    </row>
    <row r="3481">
      <c r="A3481" t="s">
        <v>6294</v>
      </c>
      <c r="B3481" t="s">
        <v>6295</v>
      </c>
      <c r="C3481" s="2">
        <v>2021</v>
      </c>
      <c r="D3481" s="10">
        <v>12</v>
      </c>
      <c r="E3481" s="10">
        <v>9</v>
      </c>
      <c r="F3481" t="s">
        <v>121</v>
      </c>
      <c r="G3481">
        <v>1105.47</v>
      </c>
      <c r="H3481" t="s">
        <v>69</v>
      </c>
      <c r="I3481" t="s">
        <v>139</v>
      </c>
      <c r="J3481" s="10" t="str">
        <f>VLOOKUP(I3481,Categories!A:B,2,FALSE)</f>
        <v>Condo</v>
      </c>
      <c r="K3481" t="s">
        <v>178</v>
      </c>
      <c r="L3481" s="10" t="str">
        <f>VLOOKUP(K3481,Accounts!A:B,2,FALSE)</f>
        <v>SCB</v>
      </c>
      <c r="M3481" t="s">
        <v>124</v>
      </c>
      <c r="N3481" s="10"/>
      <c r="O3481" t="s">
        <v>125</v>
      </c>
      <c r="Q3481" t="s">
        <v>126</v>
      </c>
      <c r="R3481" t="s">
        <v>124</v>
      </c>
      <c r="S3481" t="b">
        <v>0</v>
      </c>
      <c r="T3481" t="s">
        <v>124</v>
      </c>
    </row>
    <row r="3482">
      <c r="A3482" t="s">
        <v>6296</v>
      </c>
      <c r="B3482" t="s">
        <v>6295</v>
      </c>
      <c r="C3482" s="2">
        <v>2021</v>
      </c>
      <c r="D3482" s="10">
        <v>12</v>
      </c>
      <c r="E3482" s="10">
        <v>9</v>
      </c>
      <c r="F3482" t="s">
        <v>304</v>
      </c>
      <c r="G3482">
        <v>1848</v>
      </c>
      <c r="H3482" t="s">
        <v>69</v>
      </c>
      <c r="I3482" t="s">
        <v>259</v>
      </c>
      <c r="J3482" s="10" t="str">
        <f>VLOOKUP(I3482,Categories!A:B,2,FALSE)</f>
        <v xml:space="preserve">Team BOT</v>
      </c>
      <c r="K3482" t="s">
        <v>130</v>
      </c>
      <c r="L3482" s="10" t="str">
        <f>VLOOKUP(K3482,Accounts!A:B,2,FALSE)</f>
        <v xml:space="preserve">KTC JCB</v>
      </c>
      <c r="M3482" t="s">
        <v>124</v>
      </c>
      <c r="N3482" s="10"/>
      <c r="O3482" t="s">
        <v>125</v>
      </c>
      <c r="Q3482" t="s">
        <v>126</v>
      </c>
      <c r="R3482" t="s">
        <v>124</v>
      </c>
      <c r="S3482" t="b">
        <v>0</v>
      </c>
      <c r="T3482" t="s">
        <v>124</v>
      </c>
    </row>
    <row r="3483">
      <c r="A3483" t="s">
        <v>6297</v>
      </c>
      <c r="B3483" t="s">
        <v>6298</v>
      </c>
      <c r="C3483" s="2">
        <v>2021</v>
      </c>
      <c r="D3483" s="10">
        <v>12</v>
      </c>
      <c r="E3483" s="10">
        <v>5</v>
      </c>
      <c r="F3483" t="s">
        <v>121</v>
      </c>
      <c r="G3483">
        <v>2299</v>
      </c>
      <c r="H3483" t="s">
        <v>69</v>
      </c>
      <c r="I3483" t="s">
        <v>157</v>
      </c>
      <c r="J3483" s="10" t="str">
        <f>VLOOKUP(I3483,Categories!A:B,2,FALSE)</f>
        <v>Boardgame</v>
      </c>
      <c r="K3483" t="s">
        <v>178</v>
      </c>
      <c r="L3483" s="10" t="str">
        <f>VLOOKUP(K3483,Accounts!A:B,2,FALSE)</f>
        <v>SCB</v>
      </c>
      <c r="M3483" t="s">
        <v>124</v>
      </c>
      <c r="N3483" s="10"/>
      <c r="O3483" t="s">
        <v>125</v>
      </c>
      <c r="Q3483" t="s">
        <v>126</v>
      </c>
      <c r="R3483" t="s">
        <v>124</v>
      </c>
      <c r="S3483" t="b">
        <v>0</v>
      </c>
      <c r="T3483" t="s">
        <v>124</v>
      </c>
    </row>
    <row r="3484">
      <c r="A3484" t="s">
        <v>6299</v>
      </c>
      <c r="B3484" t="s">
        <v>6298</v>
      </c>
      <c r="C3484" s="2">
        <v>2021</v>
      </c>
      <c r="D3484" s="10">
        <v>12</v>
      </c>
      <c r="E3484" s="10">
        <v>5</v>
      </c>
      <c r="F3484" t="s">
        <v>2360</v>
      </c>
      <c r="G3484">
        <v>428</v>
      </c>
      <c r="H3484" t="s">
        <v>69</v>
      </c>
      <c r="I3484" t="s">
        <v>614</v>
      </c>
      <c r="J3484" s="10" t="str">
        <f>VLOOKUP(I3484,Categories!A:B,2,FALSE)</f>
        <v>Books</v>
      </c>
      <c r="K3484" t="s">
        <v>1308</v>
      </c>
      <c r="L3484" s="10" t="str">
        <f>VLOOKUP(K3484,Accounts!A:B,2,FALSE)</f>
        <v xml:space="preserve">UOB Privilages</v>
      </c>
      <c r="M3484" t="s">
        <v>124</v>
      </c>
      <c r="N3484" s="10"/>
      <c r="O3484" t="s">
        <v>125</v>
      </c>
      <c r="Q3484" t="s">
        <v>126</v>
      </c>
      <c r="R3484" t="s">
        <v>124</v>
      </c>
      <c r="S3484" t="b">
        <v>0</v>
      </c>
      <c r="T3484" t="s">
        <v>124</v>
      </c>
    </row>
    <row r="3485">
      <c r="A3485" t="s">
        <v>6300</v>
      </c>
      <c r="B3485" t="s">
        <v>6298</v>
      </c>
      <c r="C3485" s="2">
        <v>2021</v>
      </c>
      <c r="D3485" s="10">
        <v>12</v>
      </c>
      <c r="E3485" s="10">
        <v>5</v>
      </c>
      <c r="F3485" t="s">
        <v>2360</v>
      </c>
      <c r="G3485">
        <v>240</v>
      </c>
      <c r="H3485" t="s">
        <v>69</v>
      </c>
      <c r="I3485" t="s">
        <v>157</v>
      </c>
      <c r="J3485" s="10" t="str">
        <f>VLOOKUP(I3485,Categories!A:B,2,FALSE)</f>
        <v>Boardgame</v>
      </c>
      <c r="K3485" t="s">
        <v>123</v>
      </c>
      <c r="L3485" s="10" t="str">
        <f>VLOOKUP(K3485,Accounts!A:B,2,FALSE)</f>
        <v>KBank</v>
      </c>
      <c r="M3485" t="s">
        <v>124</v>
      </c>
      <c r="N3485" s="10"/>
      <c r="O3485" t="s">
        <v>125</v>
      </c>
      <c r="Q3485" t="s">
        <v>126</v>
      </c>
      <c r="R3485" t="s">
        <v>124</v>
      </c>
      <c r="S3485" t="b">
        <v>0</v>
      </c>
      <c r="T3485" t="s">
        <v>124</v>
      </c>
    </row>
    <row r="3486">
      <c r="A3486" t="s">
        <v>6301</v>
      </c>
      <c r="B3486" t="s">
        <v>6302</v>
      </c>
      <c r="C3486" s="2">
        <v>2021</v>
      </c>
      <c r="D3486" s="10">
        <v>12</v>
      </c>
      <c r="E3486" s="10">
        <v>4</v>
      </c>
      <c r="F3486" t="s">
        <v>121</v>
      </c>
      <c r="G3486">
        <v>600</v>
      </c>
      <c r="H3486" t="s">
        <v>128</v>
      </c>
      <c r="I3486" t="s">
        <v>136</v>
      </c>
      <c r="J3486" s="10" t="str">
        <f>VLOOKUP(I3486,Categories!A:B,2,FALSE)</f>
        <v>อื่นๆ</v>
      </c>
      <c r="K3486" t="s">
        <v>178</v>
      </c>
      <c r="L3486" s="10" t="str">
        <f>VLOOKUP(K3486,Accounts!A:B,2,FALSE)</f>
        <v>SCB</v>
      </c>
      <c r="M3486" t="s">
        <v>893</v>
      </c>
      <c r="N3486" s="10" t="str">
        <f>VLOOKUP(M3486,Accounts!A:B,2,FALSE)</f>
        <v>Shopee</v>
      </c>
      <c r="O3486" t="s">
        <v>125</v>
      </c>
      <c r="Q3486" t="s">
        <v>126</v>
      </c>
      <c r="R3486" t="s">
        <v>124</v>
      </c>
      <c r="S3486" t="b">
        <v>0</v>
      </c>
      <c r="T3486" t="s">
        <v>124</v>
      </c>
    </row>
    <row r="3487">
      <c r="A3487" t="s">
        <v>6303</v>
      </c>
      <c r="B3487" t="s">
        <v>6302</v>
      </c>
      <c r="C3487" s="2">
        <v>2021</v>
      </c>
      <c r="D3487" s="10">
        <v>12</v>
      </c>
      <c r="E3487" s="10">
        <v>4</v>
      </c>
      <c r="F3487" t="s">
        <v>3523</v>
      </c>
      <c r="G3487">
        <v>9614.1200000000008</v>
      </c>
      <c r="H3487" t="s">
        <v>128</v>
      </c>
      <c r="I3487" t="s">
        <v>136</v>
      </c>
      <c r="J3487" s="10" t="str">
        <f>VLOOKUP(I3487,Categories!A:B,2,FALSE)</f>
        <v>อื่นๆ</v>
      </c>
      <c r="K3487" t="s">
        <v>178</v>
      </c>
      <c r="L3487" s="10" t="str">
        <f>VLOOKUP(K3487,Accounts!A:B,2,FALSE)</f>
        <v>SCB</v>
      </c>
      <c r="M3487" t="s">
        <v>130</v>
      </c>
      <c r="N3487" s="10" t="str">
        <f>VLOOKUP(M3487,Accounts!A:B,2,FALSE)</f>
        <v xml:space="preserve">KTC JCB</v>
      </c>
      <c r="O3487" t="s">
        <v>6304</v>
      </c>
      <c r="Q3487" t="s">
        <v>126</v>
      </c>
      <c r="R3487" t="s">
        <v>124</v>
      </c>
      <c r="S3487" t="b">
        <v>0</v>
      </c>
      <c r="T3487" t="s">
        <v>124</v>
      </c>
    </row>
    <row r="3488">
      <c r="A3488" t="s">
        <v>6305</v>
      </c>
      <c r="B3488" t="s">
        <v>6302</v>
      </c>
      <c r="C3488" s="2">
        <v>2021</v>
      </c>
      <c r="D3488" s="10">
        <v>12</v>
      </c>
      <c r="E3488" s="10">
        <v>4</v>
      </c>
      <c r="F3488" t="s">
        <v>5195</v>
      </c>
      <c r="G3488">
        <v>2080</v>
      </c>
      <c r="H3488" t="s">
        <v>69</v>
      </c>
      <c r="I3488" t="s">
        <v>254</v>
      </c>
      <c r="J3488" s="10" t="str">
        <f>VLOOKUP(I3488,Categories!A:B,2,FALSE)</f>
        <v xml:space="preserve">Modified Bal.</v>
      </c>
      <c r="K3488" t="s">
        <v>1308</v>
      </c>
      <c r="L3488" s="10" t="str">
        <f>VLOOKUP(K3488,Accounts!A:B,2,FALSE)</f>
        <v xml:space="preserve">UOB Privilages</v>
      </c>
      <c r="M3488" t="s">
        <v>124</v>
      </c>
      <c r="N3488" s="10"/>
      <c r="O3488" t="s">
        <v>6306</v>
      </c>
      <c r="Q3488" t="s">
        <v>126</v>
      </c>
      <c r="R3488" t="s">
        <v>124</v>
      </c>
      <c r="S3488" t="b">
        <v>0</v>
      </c>
      <c r="T3488" t="s">
        <v>124</v>
      </c>
    </row>
    <row r="3489">
      <c r="A3489" t="s">
        <v>6307</v>
      </c>
      <c r="B3489" t="s">
        <v>6302</v>
      </c>
      <c r="C3489" s="2">
        <v>2021</v>
      </c>
      <c r="D3489" s="10">
        <v>12</v>
      </c>
      <c r="E3489" s="10">
        <v>4</v>
      </c>
      <c r="F3489" t="s">
        <v>6308</v>
      </c>
      <c r="G3489">
        <v>5300</v>
      </c>
      <c r="H3489" t="s">
        <v>128</v>
      </c>
      <c r="I3489" t="s">
        <v>136</v>
      </c>
      <c r="J3489" s="10" t="str">
        <f>VLOOKUP(I3489,Categories!A:B,2,FALSE)</f>
        <v>อื่นๆ</v>
      </c>
      <c r="K3489" t="s">
        <v>2317</v>
      </c>
      <c r="L3489" s="10" t="str">
        <f>VLOOKUP(K3489,Accounts!A:B,2,FALSE)</f>
        <v xml:space="preserve">Marriage account</v>
      </c>
      <c r="M3489" t="s">
        <v>178</v>
      </c>
      <c r="N3489" s="10" t="str">
        <f>VLOOKUP(M3489,Accounts!A:B,2,FALSE)</f>
        <v>SCB</v>
      </c>
      <c r="O3489" t="s">
        <v>125</v>
      </c>
      <c r="Q3489" t="s">
        <v>126</v>
      </c>
      <c r="R3489" t="s">
        <v>124</v>
      </c>
      <c r="S3489" t="b">
        <v>0</v>
      </c>
      <c r="T3489" t="s">
        <v>124</v>
      </c>
    </row>
    <row r="3490">
      <c r="A3490" t="s">
        <v>6309</v>
      </c>
      <c r="B3490" t="s">
        <v>33</v>
      </c>
      <c r="C3490" s="2">
        <v>2021</v>
      </c>
      <c r="D3490" s="10">
        <v>12</v>
      </c>
      <c r="E3490" s="10">
        <v>2</v>
      </c>
      <c r="F3490" t="s">
        <v>6310</v>
      </c>
      <c r="G3490">
        <v>50</v>
      </c>
      <c r="H3490" t="s">
        <v>69</v>
      </c>
      <c r="I3490" t="s">
        <v>150</v>
      </c>
      <c r="J3490" s="10" t="str">
        <f>VLOOKUP(I3490,Categories!A:B,2,FALSE)</f>
        <v xml:space="preserve">Food &amp; Coff</v>
      </c>
      <c r="K3490" t="s">
        <v>178</v>
      </c>
      <c r="L3490" s="10" t="str">
        <f>VLOOKUP(K3490,Accounts!A:B,2,FALSE)</f>
        <v>SCB</v>
      </c>
      <c r="M3490" t="s">
        <v>124</v>
      </c>
      <c r="N3490" s="10"/>
      <c r="O3490" t="s">
        <v>125</v>
      </c>
      <c r="Q3490" t="s">
        <v>126</v>
      </c>
      <c r="R3490" t="s">
        <v>124</v>
      </c>
      <c r="S3490" t="b">
        <v>0</v>
      </c>
      <c r="T3490" t="s">
        <v>124</v>
      </c>
    </row>
    <row r="3491">
      <c r="A3491" t="s">
        <v>6311</v>
      </c>
      <c r="B3491" t="s">
        <v>33</v>
      </c>
      <c r="C3491" s="2">
        <v>2021</v>
      </c>
      <c r="D3491" s="10">
        <v>12</v>
      </c>
      <c r="E3491" s="10">
        <v>2</v>
      </c>
      <c r="F3491" t="s">
        <v>6312</v>
      </c>
      <c r="G3491">
        <v>190000</v>
      </c>
      <c r="H3491" t="s">
        <v>128</v>
      </c>
      <c r="I3491" t="s">
        <v>136</v>
      </c>
      <c r="J3491" s="10" t="str">
        <f>VLOOKUP(I3491,Categories!A:B,2,FALSE)</f>
        <v>อื่นๆ</v>
      </c>
      <c r="K3491" t="s">
        <v>123</v>
      </c>
      <c r="L3491" s="10" t="str">
        <f>VLOOKUP(K3491,Accounts!A:B,2,FALSE)</f>
        <v>KBank</v>
      </c>
      <c r="M3491" t="s">
        <v>215</v>
      </c>
      <c r="N3491" s="10" t="str">
        <f>VLOOKUP(M3491,Accounts!A:B,2,FALSE)</f>
        <v>Investment</v>
      </c>
      <c r="O3491" t="s">
        <v>125</v>
      </c>
      <c r="Q3491" t="s">
        <v>126</v>
      </c>
      <c r="R3491" t="s">
        <v>124</v>
      </c>
      <c r="S3491" t="b">
        <v>0</v>
      </c>
      <c r="T3491" t="s">
        <v>124</v>
      </c>
    </row>
    <row r="3492">
      <c r="A3492" t="s">
        <v>6313</v>
      </c>
      <c r="B3492" t="s">
        <v>6314</v>
      </c>
      <c r="C3492" s="2">
        <v>2021</v>
      </c>
      <c r="D3492" s="10">
        <v>12</v>
      </c>
      <c r="E3492" s="10">
        <v>1</v>
      </c>
      <c r="F3492" t="s">
        <v>121</v>
      </c>
      <c r="G3492">
        <v>10000</v>
      </c>
      <c r="H3492" t="s">
        <v>128</v>
      </c>
      <c r="I3492" t="s">
        <v>136</v>
      </c>
      <c r="J3492" s="10" t="str">
        <f>VLOOKUP(I3492,Categories!A:B,2,FALSE)</f>
        <v>อื่นๆ</v>
      </c>
      <c r="K3492" t="s">
        <v>178</v>
      </c>
      <c r="L3492" s="10" t="str">
        <f>VLOOKUP(K3492,Accounts!A:B,2,FALSE)</f>
        <v>SCB</v>
      </c>
      <c r="M3492" t="s">
        <v>2317</v>
      </c>
      <c r="N3492" s="10" t="str">
        <f>VLOOKUP(M3492,Accounts!A:B,2,FALSE)</f>
        <v xml:space="preserve">Marriage account</v>
      </c>
      <c r="O3492" t="s">
        <v>125</v>
      </c>
      <c r="Q3492" t="s">
        <v>126</v>
      </c>
      <c r="R3492" t="s">
        <v>124</v>
      </c>
      <c r="S3492" t="b">
        <v>0</v>
      </c>
      <c r="T3492" t="s">
        <v>124</v>
      </c>
    </row>
    <row r="3493">
      <c r="A3493" t="s">
        <v>6315</v>
      </c>
      <c r="B3493" t="s">
        <v>6314</v>
      </c>
      <c r="C3493" s="2">
        <v>2021</v>
      </c>
      <c r="D3493" s="10">
        <v>12</v>
      </c>
      <c r="E3493" s="10">
        <v>1</v>
      </c>
      <c r="F3493" t="s">
        <v>121</v>
      </c>
      <c r="G3493">
        <v>300</v>
      </c>
      <c r="H3493" t="s">
        <v>128</v>
      </c>
      <c r="I3493" t="s">
        <v>136</v>
      </c>
      <c r="J3493" s="10" t="str">
        <f>VLOOKUP(I3493,Categories!A:B,2,FALSE)</f>
        <v>อื่นๆ</v>
      </c>
      <c r="K3493" t="s">
        <v>178</v>
      </c>
      <c r="L3493" s="10" t="str">
        <f>VLOOKUP(K3493,Accounts!A:B,2,FALSE)</f>
        <v>SCB</v>
      </c>
      <c r="M3493" t="s">
        <v>893</v>
      </c>
      <c r="N3493" s="10" t="str">
        <f>VLOOKUP(M3493,Accounts!A:B,2,FALSE)</f>
        <v>Shopee</v>
      </c>
      <c r="O3493" t="s">
        <v>125</v>
      </c>
      <c r="Q3493" t="s">
        <v>126</v>
      </c>
      <c r="R3493" t="s">
        <v>124</v>
      </c>
      <c r="S3493" t="b">
        <v>0</v>
      </c>
      <c r="T3493" t="s">
        <v>124</v>
      </c>
    </row>
    <row r="3494">
      <c r="A3494" t="s">
        <v>6316</v>
      </c>
      <c r="B3494" t="s">
        <v>6314</v>
      </c>
      <c r="C3494" s="2">
        <v>2021</v>
      </c>
      <c r="D3494" s="10">
        <v>12</v>
      </c>
      <c r="E3494" s="10">
        <v>1</v>
      </c>
      <c r="F3494" t="s">
        <v>2131</v>
      </c>
      <c r="G3494">
        <v>10000</v>
      </c>
      <c r="H3494" t="s">
        <v>128</v>
      </c>
      <c r="I3494" t="s">
        <v>136</v>
      </c>
      <c r="J3494" s="10" t="str">
        <f>VLOOKUP(I3494,Categories!A:B,2,FALSE)</f>
        <v>อื่นๆ</v>
      </c>
      <c r="K3494" t="s">
        <v>3248</v>
      </c>
      <c r="L3494" s="10" t="str">
        <f>VLOOKUP(K3494,Accounts!A:B,2,FALSE)</f>
        <v>Loan</v>
      </c>
      <c r="M3494" t="s">
        <v>178</v>
      </c>
      <c r="N3494" s="10" t="str">
        <f>VLOOKUP(M3494,Accounts!A:B,2,FALSE)</f>
        <v>SCB</v>
      </c>
      <c r="O3494" t="s">
        <v>3249</v>
      </c>
      <c r="Q3494" t="s">
        <v>126</v>
      </c>
      <c r="R3494" t="s">
        <v>124</v>
      </c>
      <c r="S3494" t="b">
        <v>0</v>
      </c>
      <c r="T3494" t="s">
        <v>124</v>
      </c>
    </row>
    <row r="3495">
      <c r="A3495" t="s">
        <v>6317</v>
      </c>
      <c r="B3495" t="s">
        <v>6318</v>
      </c>
      <c r="C3495" s="2">
        <v>2021</v>
      </c>
      <c r="D3495" s="10">
        <v>11</v>
      </c>
      <c r="E3495" s="10">
        <v>30</v>
      </c>
      <c r="F3495" t="s">
        <v>6319</v>
      </c>
      <c r="G3495">
        <v>83</v>
      </c>
      <c r="H3495" t="s">
        <v>69</v>
      </c>
      <c r="I3495" t="s">
        <v>150</v>
      </c>
      <c r="J3495" s="10" t="str">
        <f>VLOOKUP(I3495,Categories!A:B,2,FALSE)</f>
        <v xml:space="preserve">Food &amp; Coff</v>
      </c>
      <c r="K3495" t="s">
        <v>178</v>
      </c>
      <c r="L3495" s="10" t="str">
        <f>VLOOKUP(K3495,Accounts!A:B,2,FALSE)</f>
        <v>SCB</v>
      </c>
      <c r="M3495" t="s">
        <v>124</v>
      </c>
      <c r="N3495" s="10"/>
      <c r="O3495" t="s">
        <v>6061</v>
      </c>
      <c r="Q3495" t="s">
        <v>126</v>
      </c>
      <c r="R3495" t="s">
        <v>124</v>
      </c>
      <c r="S3495" t="b">
        <v>0</v>
      </c>
      <c r="T3495" t="s">
        <v>124</v>
      </c>
    </row>
    <row r="3496">
      <c r="A3496" t="s">
        <v>6320</v>
      </c>
      <c r="B3496" t="s">
        <v>6318</v>
      </c>
      <c r="C3496" s="2">
        <v>2021</v>
      </c>
      <c r="D3496" s="10">
        <v>11</v>
      </c>
      <c r="E3496" s="10">
        <v>30</v>
      </c>
      <c r="F3496" t="s">
        <v>3477</v>
      </c>
      <c r="G3496">
        <v>300</v>
      </c>
      <c r="H3496" t="s">
        <v>128</v>
      </c>
      <c r="I3496" t="s">
        <v>136</v>
      </c>
      <c r="J3496" s="10" t="str">
        <f>VLOOKUP(I3496,Categories!A:B,2,FALSE)</f>
        <v>อื่นๆ</v>
      </c>
      <c r="K3496" t="s">
        <v>178</v>
      </c>
      <c r="L3496" s="10" t="str">
        <f>VLOOKUP(K3496,Accounts!A:B,2,FALSE)</f>
        <v>SCB</v>
      </c>
      <c r="M3496" t="s">
        <v>893</v>
      </c>
      <c r="N3496" s="10" t="str">
        <f>VLOOKUP(M3496,Accounts!A:B,2,FALSE)</f>
        <v>Shopee</v>
      </c>
      <c r="O3496" t="s">
        <v>125</v>
      </c>
      <c r="Q3496" t="s">
        <v>126</v>
      </c>
      <c r="R3496" t="s">
        <v>124</v>
      </c>
      <c r="S3496" t="b">
        <v>0</v>
      </c>
      <c r="T3496" t="s">
        <v>124</v>
      </c>
    </row>
    <row r="3497">
      <c r="A3497" t="s">
        <v>6321</v>
      </c>
      <c r="B3497" t="s">
        <v>6318</v>
      </c>
      <c r="C3497" s="2">
        <v>2021</v>
      </c>
      <c r="D3497" s="10">
        <v>11</v>
      </c>
      <c r="E3497" s="10">
        <v>30</v>
      </c>
      <c r="F3497" t="s">
        <v>2063</v>
      </c>
      <c r="G3497">
        <v>209</v>
      </c>
      <c r="H3497" t="s">
        <v>69</v>
      </c>
      <c r="I3497" t="s">
        <v>150</v>
      </c>
      <c r="J3497" s="10" t="str">
        <f>VLOOKUP(I3497,Categories!A:B,2,FALSE)</f>
        <v xml:space="preserve">Food &amp; Coff</v>
      </c>
      <c r="K3497" t="s">
        <v>178</v>
      </c>
      <c r="L3497" s="10" t="str">
        <f>VLOOKUP(K3497,Accounts!A:B,2,FALSE)</f>
        <v>SCB</v>
      </c>
      <c r="M3497" t="s">
        <v>124</v>
      </c>
      <c r="N3497" s="10"/>
      <c r="O3497" t="s">
        <v>6322</v>
      </c>
      <c r="Q3497" t="s">
        <v>126</v>
      </c>
      <c r="R3497" t="s">
        <v>124</v>
      </c>
      <c r="S3497" t="b">
        <v>0</v>
      </c>
      <c r="T3497" t="s">
        <v>124</v>
      </c>
    </row>
    <row r="3498">
      <c r="A3498" t="s">
        <v>6323</v>
      </c>
      <c r="B3498" t="s">
        <v>6318</v>
      </c>
      <c r="C3498" s="2">
        <v>2021</v>
      </c>
      <c r="D3498" s="10">
        <v>11</v>
      </c>
      <c r="E3498" s="10">
        <v>30</v>
      </c>
      <c r="F3498" t="s">
        <v>1659</v>
      </c>
      <c r="G3498">
        <v>30</v>
      </c>
      <c r="H3498" t="s">
        <v>69</v>
      </c>
      <c r="I3498" t="s">
        <v>6324</v>
      </c>
      <c r="J3498" s="10" t="str">
        <f>VLOOKUP(I3498,Categories!A:B,2,FALSE)</f>
        <v xml:space="preserve">Nintendo Switch</v>
      </c>
      <c r="K3498" t="s">
        <v>743</v>
      </c>
      <c r="L3498" s="10" t="str">
        <f>VLOOKUP(K3498,Accounts!A:B,2,FALSE)</f>
        <v>HOMEPRO</v>
      </c>
      <c r="M3498" t="s">
        <v>124</v>
      </c>
      <c r="N3498" s="10"/>
      <c r="O3498" t="s">
        <v>6085</v>
      </c>
      <c r="Q3498" t="s">
        <v>126</v>
      </c>
      <c r="R3498" t="s">
        <v>124</v>
      </c>
      <c r="S3498" t="b">
        <v>0</v>
      </c>
      <c r="T3498" t="s">
        <v>124</v>
      </c>
    </row>
    <row r="3499">
      <c r="A3499" t="s">
        <v>6325</v>
      </c>
      <c r="B3499" t="s">
        <v>6318</v>
      </c>
      <c r="C3499" s="2">
        <v>2021</v>
      </c>
      <c r="D3499" s="10">
        <v>11</v>
      </c>
      <c r="E3499" s="10">
        <v>30</v>
      </c>
      <c r="F3499" t="s">
        <v>1476</v>
      </c>
      <c r="G3499">
        <v>20000</v>
      </c>
      <c r="H3499" t="s">
        <v>128</v>
      </c>
      <c r="I3499" t="s">
        <v>136</v>
      </c>
      <c r="J3499" s="10" t="str">
        <f>VLOOKUP(I3499,Categories!A:B,2,FALSE)</f>
        <v>อื่นๆ</v>
      </c>
      <c r="K3499" t="s">
        <v>178</v>
      </c>
      <c r="L3499" s="10" t="str">
        <f>VLOOKUP(K3499,Accounts!A:B,2,FALSE)</f>
        <v>SCB</v>
      </c>
      <c r="M3499" t="s">
        <v>123</v>
      </c>
      <c r="N3499" s="10" t="str">
        <f>VLOOKUP(M3499,Accounts!A:B,2,FALSE)</f>
        <v>KBank</v>
      </c>
      <c r="O3499" t="s">
        <v>125</v>
      </c>
      <c r="Q3499" t="s">
        <v>126</v>
      </c>
      <c r="R3499" t="s">
        <v>124</v>
      </c>
      <c r="S3499" t="b">
        <v>0</v>
      </c>
      <c r="T3499" t="s">
        <v>124</v>
      </c>
    </row>
    <row r="3500">
      <c r="A3500" t="s">
        <v>6326</v>
      </c>
      <c r="B3500" t="s">
        <v>6318</v>
      </c>
      <c r="C3500" s="2">
        <v>2021</v>
      </c>
      <c r="D3500" s="10">
        <v>11</v>
      </c>
      <c r="E3500" s="10">
        <v>30</v>
      </c>
      <c r="F3500" t="s">
        <v>647</v>
      </c>
      <c r="G3500">
        <v>1105.48</v>
      </c>
      <c r="H3500" t="s">
        <v>69</v>
      </c>
      <c r="I3500" t="s">
        <v>139</v>
      </c>
      <c r="J3500" s="10" t="str">
        <f>VLOOKUP(I3500,Categories!A:B,2,FALSE)</f>
        <v>Condo</v>
      </c>
      <c r="K3500" t="s">
        <v>123</v>
      </c>
      <c r="L3500" s="10" t="str">
        <f>VLOOKUP(K3500,Accounts!A:B,2,FALSE)</f>
        <v>KBank</v>
      </c>
      <c r="M3500" t="s">
        <v>124</v>
      </c>
      <c r="N3500" s="10"/>
      <c r="O3500" t="s">
        <v>125</v>
      </c>
      <c r="Q3500" t="s">
        <v>126</v>
      </c>
      <c r="R3500" t="s">
        <v>124</v>
      </c>
      <c r="S3500" t="b">
        <v>0</v>
      </c>
      <c r="T3500" t="s">
        <v>124</v>
      </c>
    </row>
    <row r="3501">
      <c r="A3501" t="s">
        <v>6327</v>
      </c>
      <c r="B3501" t="s">
        <v>6318</v>
      </c>
      <c r="C3501" s="2">
        <v>2021</v>
      </c>
      <c r="D3501" s="10">
        <v>11</v>
      </c>
      <c r="E3501" s="10">
        <v>30</v>
      </c>
      <c r="F3501" t="s">
        <v>4696</v>
      </c>
      <c r="G3501">
        <v>288</v>
      </c>
      <c r="H3501" t="s">
        <v>69</v>
      </c>
      <c r="I3501" t="s">
        <v>150</v>
      </c>
      <c r="J3501" s="10" t="str">
        <f>VLOOKUP(I3501,Categories!A:B,2,FALSE)</f>
        <v xml:space="preserve">Food &amp; Coff</v>
      </c>
      <c r="K3501" t="s">
        <v>2317</v>
      </c>
      <c r="L3501" s="10" t="str">
        <f>VLOOKUP(K3501,Accounts!A:B,2,FALSE)</f>
        <v xml:space="preserve">Marriage account</v>
      </c>
      <c r="M3501" t="s">
        <v>124</v>
      </c>
      <c r="N3501" s="10"/>
      <c r="O3501" t="s">
        <v>6328</v>
      </c>
      <c r="Q3501" t="s">
        <v>126</v>
      </c>
      <c r="R3501" t="s">
        <v>124</v>
      </c>
      <c r="S3501" t="b">
        <v>0</v>
      </c>
      <c r="T3501" t="s">
        <v>124</v>
      </c>
    </row>
    <row r="3502">
      <c r="A3502" t="s">
        <v>6329</v>
      </c>
      <c r="B3502" t="s">
        <v>6318</v>
      </c>
      <c r="C3502" s="2">
        <v>2021</v>
      </c>
      <c r="D3502" s="10">
        <v>11</v>
      </c>
      <c r="E3502" s="10">
        <v>30</v>
      </c>
      <c r="F3502" t="s">
        <v>4625</v>
      </c>
      <c r="G3502">
        <v>288</v>
      </c>
      <c r="H3502" t="s">
        <v>128</v>
      </c>
      <c r="I3502" t="s">
        <v>136</v>
      </c>
      <c r="J3502" s="10" t="str">
        <f>VLOOKUP(I3502,Categories!A:B,2,FALSE)</f>
        <v>อื่นๆ</v>
      </c>
      <c r="K3502" t="s">
        <v>893</v>
      </c>
      <c r="L3502" s="10" t="str">
        <f>VLOOKUP(K3502,Accounts!A:B,2,FALSE)</f>
        <v>Shopee</v>
      </c>
      <c r="M3502" t="s">
        <v>178</v>
      </c>
      <c r="N3502" s="10" t="str">
        <f>VLOOKUP(M3502,Accounts!A:B,2,FALSE)</f>
        <v>SCB</v>
      </c>
      <c r="O3502" t="s">
        <v>125</v>
      </c>
      <c r="Q3502" t="s">
        <v>126</v>
      </c>
      <c r="R3502" t="s">
        <v>124</v>
      </c>
      <c r="S3502" t="b">
        <v>0</v>
      </c>
      <c r="T3502" t="s">
        <v>124</v>
      </c>
    </row>
    <row r="3503">
      <c r="A3503" t="s">
        <v>6330</v>
      </c>
      <c r="B3503" t="s">
        <v>6318</v>
      </c>
      <c r="C3503" s="2">
        <v>2021</v>
      </c>
      <c r="D3503" s="10">
        <v>11</v>
      </c>
      <c r="E3503" s="10">
        <v>30</v>
      </c>
      <c r="F3503" t="s">
        <v>2139</v>
      </c>
      <c r="G3503">
        <v>145</v>
      </c>
      <c r="H3503" t="s">
        <v>69</v>
      </c>
      <c r="I3503" t="s">
        <v>150</v>
      </c>
      <c r="J3503" s="10" t="str">
        <f>VLOOKUP(I3503,Categories!A:B,2,FALSE)</f>
        <v xml:space="preserve">Food &amp; Coff</v>
      </c>
      <c r="K3503" t="s">
        <v>2317</v>
      </c>
      <c r="L3503" s="10" t="str">
        <f>VLOOKUP(K3503,Accounts!A:B,2,FALSE)</f>
        <v xml:space="preserve">Marriage account</v>
      </c>
      <c r="M3503" t="s">
        <v>124</v>
      </c>
      <c r="N3503" s="10"/>
      <c r="O3503" t="s">
        <v>6331</v>
      </c>
      <c r="Q3503" t="s">
        <v>126</v>
      </c>
      <c r="R3503" t="s">
        <v>124</v>
      </c>
      <c r="S3503" t="b">
        <v>0</v>
      </c>
      <c r="T3503" t="s">
        <v>124</v>
      </c>
    </row>
    <row r="3504">
      <c r="A3504" t="s">
        <v>6332</v>
      </c>
      <c r="B3504" t="s">
        <v>6318</v>
      </c>
      <c r="C3504" s="2">
        <v>2021</v>
      </c>
      <c r="D3504" s="10">
        <v>11</v>
      </c>
      <c r="E3504" s="10">
        <v>30</v>
      </c>
      <c r="F3504" t="s">
        <v>3423</v>
      </c>
      <c r="G3504">
        <v>145</v>
      </c>
      <c r="H3504" t="s">
        <v>128</v>
      </c>
      <c r="I3504" t="s">
        <v>136</v>
      </c>
      <c r="J3504" s="10" t="str">
        <f>VLOOKUP(I3504,Categories!A:B,2,FALSE)</f>
        <v>อื่นๆ</v>
      </c>
      <c r="K3504" t="s">
        <v>893</v>
      </c>
      <c r="L3504" s="10" t="str">
        <f>VLOOKUP(K3504,Accounts!A:B,2,FALSE)</f>
        <v>Shopee</v>
      </c>
      <c r="M3504" t="s">
        <v>178</v>
      </c>
      <c r="N3504" s="10" t="str">
        <f>VLOOKUP(M3504,Accounts!A:B,2,FALSE)</f>
        <v>SCB</v>
      </c>
      <c r="O3504" t="s">
        <v>125</v>
      </c>
      <c r="Q3504" t="s">
        <v>126</v>
      </c>
      <c r="R3504" t="s">
        <v>124</v>
      </c>
      <c r="S3504" t="b">
        <v>0</v>
      </c>
      <c r="T3504" t="s">
        <v>124</v>
      </c>
    </row>
    <row r="3505">
      <c r="A3505" t="s">
        <v>6333</v>
      </c>
      <c r="B3505" t="s">
        <v>6318</v>
      </c>
      <c r="C3505" s="2">
        <v>2021</v>
      </c>
      <c r="D3505" s="10">
        <v>11</v>
      </c>
      <c r="E3505" s="10">
        <v>30</v>
      </c>
      <c r="F3505" t="s">
        <v>289</v>
      </c>
      <c r="G3505">
        <v>7974</v>
      </c>
      <c r="H3505" t="s">
        <v>128</v>
      </c>
      <c r="I3505" t="s">
        <v>136</v>
      </c>
      <c r="J3505" s="10" t="str">
        <f>VLOOKUP(I3505,Categories!A:B,2,FALSE)</f>
        <v>อื่นๆ</v>
      </c>
      <c r="K3505" t="s">
        <v>2317</v>
      </c>
      <c r="L3505" s="10" t="str">
        <f>VLOOKUP(K3505,Accounts!A:B,2,FALSE)</f>
        <v xml:space="preserve">Marriage account</v>
      </c>
      <c r="M3505" t="s">
        <v>178</v>
      </c>
      <c r="N3505" s="10" t="str">
        <f>VLOOKUP(M3505,Accounts!A:B,2,FALSE)</f>
        <v>SCB</v>
      </c>
      <c r="O3505" t="s">
        <v>125</v>
      </c>
      <c r="Q3505" t="s">
        <v>126</v>
      </c>
      <c r="R3505" t="s">
        <v>124</v>
      </c>
      <c r="S3505" t="b">
        <v>0</v>
      </c>
      <c r="T3505" t="s">
        <v>124</v>
      </c>
    </row>
    <row r="3506">
      <c r="A3506" t="s">
        <v>6334</v>
      </c>
      <c r="B3506" t="s">
        <v>6318</v>
      </c>
      <c r="C3506" s="2">
        <v>2021</v>
      </c>
      <c r="D3506" s="10">
        <v>11</v>
      </c>
      <c r="E3506" s="10">
        <v>30</v>
      </c>
      <c r="F3506" t="s">
        <v>1925</v>
      </c>
      <c r="G3506">
        <v>10000</v>
      </c>
      <c r="H3506" t="s">
        <v>206</v>
      </c>
      <c r="I3506" t="s">
        <v>207</v>
      </c>
      <c r="J3506" s="10" t="str">
        <f>VLOOKUP(I3506,Categories!A:B,2,FALSE)</f>
        <v>Salary</v>
      </c>
      <c r="K3506" t="s">
        <v>2317</v>
      </c>
      <c r="L3506" s="10" t="str">
        <f>VLOOKUP(K3506,Accounts!A:B,2,FALSE)</f>
        <v xml:space="preserve">Marriage account</v>
      </c>
      <c r="M3506" t="s">
        <v>124</v>
      </c>
      <c r="N3506" s="10"/>
      <c r="O3506" t="s">
        <v>6335</v>
      </c>
      <c r="Q3506" t="s">
        <v>126</v>
      </c>
      <c r="R3506" t="s">
        <v>124</v>
      </c>
      <c r="S3506" t="b">
        <v>0</v>
      </c>
      <c r="T3506" t="s">
        <v>124</v>
      </c>
    </row>
    <row r="3507">
      <c r="A3507" t="s">
        <v>6336</v>
      </c>
      <c r="B3507" t="s">
        <v>6318</v>
      </c>
      <c r="C3507" s="2">
        <v>2021</v>
      </c>
      <c r="D3507" s="10">
        <v>11</v>
      </c>
      <c r="E3507" s="10">
        <v>30</v>
      </c>
      <c r="F3507" t="s">
        <v>2107</v>
      </c>
      <c r="G3507">
        <v>5000</v>
      </c>
      <c r="H3507" t="s">
        <v>128</v>
      </c>
      <c r="I3507" t="s">
        <v>136</v>
      </c>
      <c r="J3507" s="10" t="str">
        <f>VLOOKUP(I3507,Categories!A:B,2,FALSE)</f>
        <v>อื่นๆ</v>
      </c>
      <c r="K3507" t="s">
        <v>2317</v>
      </c>
      <c r="L3507" s="10" t="str">
        <f>VLOOKUP(K3507,Accounts!A:B,2,FALSE)</f>
        <v xml:space="preserve">Marriage account</v>
      </c>
      <c r="M3507" t="s">
        <v>425</v>
      </c>
      <c r="N3507" s="10" t="str">
        <f>VLOOKUP(M3507,Accounts!A:B,2,FALSE)</f>
        <v>Cash</v>
      </c>
      <c r="O3507" t="s">
        <v>125</v>
      </c>
      <c r="Q3507" t="s">
        <v>126</v>
      </c>
      <c r="R3507" t="s">
        <v>124</v>
      </c>
      <c r="S3507" t="b">
        <v>0</v>
      </c>
      <c r="T3507" t="s">
        <v>124</v>
      </c>
    </row>
    <row r="3508">
      <c r="A3508" t="s">
        <v>6337</v>
      </c>
      <c r="B3508" t="s">
        <v>6318</v>
      </c>
      <c r="C3508" s="2">
        <v>2021</v>
      </c>
      <c r="D3508" s="10">
        <v>11</v>
      </c>
      <c r="E3508" s="10">
        <v>30</v>
      </c>
      <c r="F3508" t="s">
        <v>3593</v>
      </c>
      <c r="G3508">
        <v>1094</v>
      </c>
      <c r="H3508" t="s">
        <v>69</v>
      </c>
      <c r="I3508" t="s">
        <v>157</v>
      </c>
      <c r="J3508" s="10" t="str">
        <f>VLOOKUP(I3508,Categories!A:B,2,FALSE)</f>
        <v>Boardgame</v>
      </c>
      <c r="K3508" t="s">
        <v>130</v>
      </c>
      <c r="L3508" s="10" t="str">
        <f>VLOOKUP(K3508,Accounts!A:B,2,FALSE)</f>
        <v xml:space="preserve">KTC JCB</v>
      </c>
      <c r="M3508" t="s">
        <v>124</v>
      </c>
      <c r="N3508" s="10"/>
      <c r="O3508" t="s">
        <v>6338</v>
      </c>
      <c r="Q3508" t="s">
        <v>126</v>
      </c>
      <c r="R3508" t="s">
        <v>124</v>
      </c>
      <c r="S3508" t="b">
        <v>0</v>
      </c>
      <c r="T3508" t="s">
        <v>124</v>
      </c>
    </row>
    <row r="3509">
      <c r="A3509" t="s">
        <v>6339</v>
      </c>
      <c r="B3509" t="s">
        <v>6318</v>
      </c>
      <c r="C3509" s="2">
        <v>2021</v>
      </c>
      <c r="D3509" s="10">
        <v>11</v>
      </c>
      <c r="E3509" s="10">
        <v>30</v>
      </c>
      <c r="F3509" t="s">
        <v>6161</v>
      </c>
      <c r="G3509">
        <v>170000</v>
      </c>
      <c r="H3509" t="s">
        <v>128</v>
      </c>
      <c r="I3509" t="s">
        <v>136</v>
      </c>
      <c r="J3509" s="10" t="str">
        <f>VLOOKUP(I3509,Categories!A:B,2,FALSE)</f>
        <v>อื่นๆ</v>
      </c>
      <c r="K3509" t="s">
        <v>178</v>
      </c>
      <c r="L3509" s="10" t="str">
        <f>VLOOKUP(K3509,Accounts!A:B,2,FALSE)</f>
        <v>SCB</v>
      </c>
      <c r="M3509" t="s">
        <v>123</v>
      </c>
      <c r="N3509" s="10" t="str">
        <f>VLOOKUP(M3509,Accounts!A:B,2,FALSE)</f>
        <v>KBank</v>
      </c>
      <c r="O3509" t="s">
        <v>125</v>
      </c>
      <c r="Q3509" t="s">
        <v>126</v>
      </c>
      <c r="R3509" t="s">
        <v>124</v>
      </c>
      <c r="S3509" t="b">
        <v>0</v>
      </c>
      <c r="T3509" t="s">
        <v>124</v>
      </c>
    </row>
    <row r="3510">
      <c r="A3510" t="s">
        <v>6340</v>
      </c>
      <c r="B3510" t="s">
        <v>6341</v>
      </c>
      <c r="C3510" s="2">
        <v>2021</v>
      </c>
      <c r="D3510" s="10">
        <v>11</v>
      </c>
      <c r="E3510" s="10">
        <v>29</v>
      </c>
      <c r="F3510" t="s">
        <v>293</v>
      </c>
      <c r="G3510">
        <v>170</v>
      </c>
      <c r="H3510" t="s">
        <v>69</v>
      </c>
      <c r="I3510" t="s">
        <v>150</v>
      </c>
      <c r="J3510" s="10" t="str">
        <f>VLOOKUP(I3510,Categories!A:B,2,FALSE)</f>
        <v xml:space="preserve">Food &amp; Coff</v>
      </c>
      <c r="K3510" t="s">
        <v>2317</v>
      </c>
      <c r="L3510" s="10" t="str">
        <f>VLOOKUP(K3510,Accounts!A:B,2,FALSE)</f>
        <v xml:space="preserve">Marriage account</v>
      </c>
      <c r="M3510" t="s">
        <v>124</v>
      </c>
      <c r="N3510" s="10"/>
      <c r="O3510" t="s">
        <v>125</v>
      </c>
      <c r="Q3510" t="s">
        <v>126</v>
      </c>
      <c r="R3510" t="s">
        <v>124</v>
      </c>
      <c r="S3510" t="b">
        <v>0</v>
      </c>
      <c r="T3510" t="s">
        <v>124</v>
      </c>
    </row>
    <row r="3511">
      <c r="A3511" t="s">
        <v>6342</v>
      </c>
      <c r="B3511" t="s">
        <v>6343</v>
      </c>
      <c r="C3511" s="2">
        <v>2021</v>
      </c>
      <c r="D3511" s="10">
        <v>11</v>
      </c>
      <c r="E3511" s="10">
        <v>28</v>
      </c>
      <c r="F3511" t="s">
        <v>1701</v>
      </c>
      <c r="G3511">
        <v>5000</v>
      </c>
      <c r="H3511" t="s">
        <v>69</v>
      </c>
      <c r="I3511" t="s">
        <v>144</v>
      </c>
      <c r="J3511" s="10" t="str">
        <f>VLOOKUP(I3511,Categories!A:B,2,FALSE)</f>
        <v xml:space="preserve">Family paid</v>
      </c>
      <c r="K3511" t="s">
        <v>178</v>
      </c>
      <c r="L3511" s="10" t="str">
        <f>VLOOKUP(K3511,Accounts!A:B,2,FALSE)</f>
        <v>SCB</v>
      </c>
      <c r="M3511" t="s">
        <v>124</v>
      </c>
      <c r="N3511" s="10"/>
      <c r="O3511" t="s">
        <v>125</v>
      </c>
      <c r="Q3511" t="s">
        <v>126</v>
      </c>
      <c r="R3511" t="s">
        <v>124</v>
      </c>
      <c r="S3511" t="b">
        <v>0</v>
      </c>
      <c r="T3511" t="s">
        <v>124</v>
      </c>
    </row>
    <row r="3512">
      <c r="A3512" t="s">
        <v>6344</v>
      </c>
      <c r="B3512" t="s">
        <v>6343</v>
      </c>
      <c r="C3512" s="2">
        <v>2021</v>
      </c>
      <c r="D3512" s="10">
        <v>11</v>
      </c>
      <c r="E3512" s="10">
        <v>28</v>
      </c>
      <c r="F3512" t="s">
        <v>1349</v>
      </c>
      <c r="G3512">
        <v>446.16000000000003</v>
      </c>
      <c r="H3512" t="s">
        <v>69</v>
      </c>
      <c r="I3512" t="s">
        <v>150</v>
      </c>
      <c r="J3512" s="10" t="str">
        <f>VLOOKUP(I3512,Categories!A:B,2,FALSE)</f>
        <v xml:space="preserve">Food &amp; Coff</v>
      </c>
      <c r="K3512" t="s">
        <v>2317</v>
      </c>
      <c r="L3512" s="10" t="str">
        <f>VLOOKUP(K3512,Accounts!A:B,2,FALSE)</f>
        <v xml:space="preserve">Marriage account</v>
      </c>
      <c r="M3512" t="s">
        <v>124</v>
      </c>
      <c r="N3512" s="10"/>
      <c r="O3512" t="s">
        <v>6345</v>
      </c>
      <c r="Q3512" t="s">
        <v>126</v>
      </c>
      <c r="R3512" t="s">
        <v>124</v>
      </c>
      <c r="S3512" t="b">
        <v>0</v>
      </c>
      <c r="T3512" t="s">
        <v>124</v>
      </c>
    </row>
    <row r="3513">
      <c r="A3513" t="s">
        <v>6346</v>
      </c>
      <c r="B3513" t="s">
        <v>6343</v>
      </c>
      <c r="C3513" s="2">
        <v>2021</v>
      </c>
      <c r="D3513" s="10">
        <v>11</v>
      </c>
      <c r="E3513" s="10">
        <v>28</v>
      </c>
      <c r="F3513" t="s">
        <v>1662</v>
      </c>
      <c r="G3513">
        <v>10000</v>
      </c>
      <c r="H3513" t="s">
        <v>128</v>
      </c>
      <c r="I3513" t="s">
        <v>136</v>
      </c>
      <c r="J3513" s="10" t="str">
        <f>VLOOKUP(I3513,Categories!A:B,2,FALSE)</f>
        <v>อื่นๆ</v>
      </c>
      <c r="K3513" t="s">
        <v>178</v>
      </c>
      <c r="L3513" s="10" t="str">
        <f>VLOOKUP(K3513,Accounts!A:B,2,FALSE)</f>
        <v>SCB</v>
      </c>
      <c r="M3513" t="s">
        <v>2317</v>
      </c>
      <c r="N3513" s="10" t="str">
        <f>VLOOKUP(M3513,Accounts!A:B,2,FALSE)</f>
        <v xml:space="preserve">Marriage account</v>
      </c>
      <c r="O3513" t="s">
        <v>6347</v>
      </c>
      <c r="Q3513" t="s">
        <v>126</v>
      </c>
      <c r="R3513" t="s">
        <v>124</v>
      </c>
      <c r="S3513" t="b">
        <v>0</v>
      </c>
      <c r="T3513" t="s">
        <v>124</v>
      </c>
    </row>
    <row r="3514">
      <c r="A3514" t="s">
        <v>6348</v>
      </c>
      <c r="B3514" t="s">
        <v>6343</v>
      </c>
      <c r="C3514" s="2">
        <v>2021</v>
      </c>
      <c r="D3514" s="10">
        <v>11</v>
      </c>
      <c r="E3514" s="10">
        <v>28</v>
      </c>
      <c r="F3514" t="s">
        <v>1703</v>
      </c>
      <c r="G3514">
        <v>417</v>
      </c>
      <c r="H3514" t="s">
        <v>128</v>
      </c>
      <c r="I3514" t="s">
        <v>136</v>
      </c>
      <c r="J3514" s="10" t="str">
        <f>VLOOKUP(I3514,Categories!A:B,2,FALSE)</f>
        <v>อื่นๆ</v>
      </c>
      <c r="K3514" t="s">
        <v>5806</v>
      </c>
      <c r="L3514" s="10" t="str">
        <f>VLOOKUP(K3514,Accounts!A:B,2,FALSE)</f>
        <v>Grabpay</v>
      </c>
      <c r="M3514" t="s">
        <v>178</v>
      </c>
      <c r="N3514" s="10" t="str">
        <f>VLOOKUP(M3514,Accounts!A:B,2,FALSE)</f>
        <v>SCB</v>
      </c>
      <c r="O3514" t="s">
        <v>125</v>
      </c>
      <c r="Q3514" t="s">
        <v>126</v>
      </c>
      <c r="R3514" t="s">
        <v>124</v>
      </c>
      <c r="S3514" t="b">
        <v>0</v>
      </c>
      <c r="T3514" t="s">
        <v>124</v>
      </c>
    </row>
    <row r="3515">
      <c r="A3515" t="s">
        <v>6349</v>
      </c>
      <c r="B3515" t="s">
        <v>6343</v>
      </c>
      <c r="C3515" s="2">
        <v>2021</v>
      </c>
      <c r="D3515" s="10">
        <v>11</v>
      </c>
      <c r="E3515" s="10">
        <v>28</v>
      </c>
      <c r="F3515" t="s">
        <v>1703</v>
      </c>
      <c r="G3515">
        <v>500</v>
      </c>
      <c r="H3515" t="s">
        <v>128</v>
      </c>
      <c r="I3515" t="s">
        <v>136</v>
      </c>
      <c r="J3515" s="10" t="str">
        <f>VLOOKUP(I3515,Categories!A:B,2,FALSE)</f>
        <v>อื่นๆ</v>
      </c>
      <c r="K3515" t="s">
        <v>5803</v>
      </c>
      <c r="L3515" s="10" t="str">
        <f>VLOOKUP(K3515,Accounts!A:B,2,FALSE)</f>
        <v>grabvoucher</v>
      </c>
      <c r="M3515" t="s">
        <v>178</v>
      </c>
      <c r="N3515" s="10" t="str">
        <f>VLOOKUP(M3515,Accounts!A:B,2,FALSE)</f>
        <v>SCB</v>
      </c>
      <c r="O3515" t="s">
        <v>125</v>
      </c>
      <c r="Q3515" t="s">
        <v>126</v>
      </c>
      <c r="R3515" t="s">
        <v>124</v>
      </c>
      <c r="S3515" t="b">
        <v>0</v>
      </c>
      <c r="T3515" t="s">
        <v>124</v>
      </c>
    </row>
    <row r="3516">
      <c r="A3516" t="s">
        <v>6350</v>
      </c>
      <c r="B3516" t="s">
        <v>6343</v>
      </c>
      <c r="C3516" s="2">
        <v>2021</v>
      </c>
      <c r="D3516" s="10">
        <v>11</v>
      </c>
      <c r="E3516" s="10">
        <v>28</v>
      </c>
      <c r="F3516" t="s">
        <v>6351</v>
      </c>
      <c r="G3516">
        <v>531</v>
      </c>
      <c r="H3516" t="s">
        <v>128</v>
      </c>
      <c r="I3516" t="s">
        <v>136</v>
      </c>
      <c r="J3516" s="10" t="str">
        <f>VLOOKUP(I3516,Categories!A:B,2,FALSE)</f>
        <v>อื่นๆ</v>
      </c>
      <c r="K3516" t="s">
        <v>425</v>
      </c>
      <c r="L3516" s="10" t="str">
        <f>VLOOKUP(K3516,Accounts!A:B,2,FALSE)</f>
        <v>Cash</v>
      </c>
      <c r="M3516" t="s">
        <v>178</v>
      </c>
      <c r="N3516" s="10" t="str">
        <f>VLOOKUP(M3516,Accounts!A:B,2,FALSE)</f>
        <v>SCB</v>
      </c>
      <c r="O3516" t="s">
        <v>125</v>
      </c>
      <c r="Q3516" t="s">
        <v>126</v>
      </c>
      <c r="R3516" t="s">
        <v>124</v>
      </c>
      <c r="S3516" t="b">
        <v>0</v>
      </c>
      <c r="T3516" t="s">
        <v>124</v>
      </c>
    </row>
    <row r="3517">
      <c r="A3517" t="s">
        <v>6352</v>
      </c>
      <c r="B3517" t="s">
        <v>6343</v>
      </c>
      <c r="C3517" s="2">
        <v>2021</v>
      </c>
      <c r="D3517" s="10">
        <v>11</v>
      </c>
      <c r="E3517" s="10">
        <v>28</v>
      </c>
      <c r="F3517" t="s">
        <v>6351</v>
      </c>
      <c r="G3517">
        <v>531</v>
      </c>
      <c r="H3517" t="s">
        <v>69</v>
      </c>
      <c r="I3517" t="s">
        <v>150</v>
      </c>
      <c r="J3517" s="10" t="str">
        <f>VLOOKUP(I3517,Categories!A:B,2,FALSE)</f>
        <v xml:space="preserve">Food &amp; Coff</v>
      </c>
      <c r="K3517" t="s">
        <v>2317</v>
      </c>
      <c r="L3517" s="10" t="str">
        <f>VLOOKUP(K3517,Accounts!A:B,2,FALSE)</f>
        <v xml:space="preserve">Marriage account</v>
      </c>
      <c r="M3517" t="s">
        <v>124</v>
      </c>
      <c r="N3517" s="10"/>
      <c r="O3517" t="s">
        <v>3328</v>
      </c>
      <c r="Q3517" t="s">
        <v>126</v>
      </c>
      <c r="R3517" t="s">
        <v>124</v>
      </c>
      <c r="S3517" t="b">
        <v>0</v>
      </c>
      <c r="T3517" t="s">
        <v>124</v>
      </c>
    </row>
    <row r="3518">
      <c r="A3518" t="s">
        <v>6353</v>
      </c>
      <c r="B3518" t="s">
        <v>6343</v>
      </c>
      <c r="C3518" s="2">
        <v>2021</v>
      </c>
      <c r="D3518" s="10">
        <v>11</v>
      </c>
      <c r="E3518" s="10">
        <v>28</v>
      </c>
      <c r="F3518" t="s">
        <v>364</v>
      </c>
      <c r="G3518">
        <v>70</v>
      </c>
      <c r="H3518" t="s">
        <v>69</v>
      </c>
      <c r="I3518" t="s">
        <v>1679</v>
      </c>
      <c r="J3518" s="10" t="str">
        <f>VLOOKUP(I3518,Categories!A:B,2,FALSE)</f>
        <v xml:space="preserve">Condo stuff</v>
      </c>
      <c r="K3518" t="s">
        <v>2317</v>
      </c>
      <c r="L3518" s="10" t="str">
        <f>VLOOKUP(K3518,Accounts!A:B,2,FALSE)</f>
        <v xml:space="preserve">Marriage account</v>
      </c>
      <c r="M3518" t="s">
        <v>124</v>
      </c>
      <c r="N3518" s="10"/>
      <c r="O3518" t="s">
        <v>6354</v>
      </c>
      <c r="Q3518" t="s">
        <v>126</v>
      </c>
      <c r="R3518" t="s">
        <v>124</v>
      </c>
      <c r="S3518" t="b">
        <v>0</v>
      </c>
      <c r="T3518" t="s">
        <v>124</v>
      </c>
    </row>
    <row r="3519">
      <c r="A3519" t="s">
        <v>6355</v>
      </c>
      <c r="B3519" t="s">
        <v>6343</v>
      </c>
      <c r="C3519" s="2">
        <v>2021</v>
      </c>
      <c r="D3519" s="10">
        <v>11</v>
      </c>
      <c r="E3519" s="10">
        <v>28</v>
      </c>
      <c r="F3519" t="s">
        <v>4591</v>
      </c>
      <c r="G3519">
        <v>1513</v>
      </c>
      <c r="H3519" t="s">
        <v>69</v>
      </c>
      <c r="I3519" t="s">
        <v>150</v>
      </c>
      <c r="J3519" s="10" t="str">
        <f>VLOOKUP(I3519,Categories!A:B,2,FALSE)</f>
        <v xml:space="preserve">Food &amp; Coff</v>
      </c>
      <c r="K3519" t="s">
        <v>2317</v>
      </c>
      <c r="L3519" s="10" t="str">
        <f>VLOOKUP(K3519,Accounts!A:B,2,FALSE)</f>
        <v xml:space="preserve">Marriage account</v>
      </c>
      <c r="M3519" t="s">
        <v>124</v>
      </c>
      <c r="N3519" s="10"/>
      <c r="O3519" t="s">
        <v>5681</v>
      </c>
      <c r="Q3519" t="s">
        <v>126</v>
      </c>
      <c r="R3519" t="s">
        <v>124</v>
      </c>
      <c r="S3519" t="b">
        <v>0</v>
      </c>
      <c r="T3519" t="s">
        <v>124</v>
      </c>
    </row>
    <row r="3520">
      <c r="A3520" t="s">
        <v>6356</v>
      </c>
      <c r="B3520" t="s">
        <v>6343</v>
      </c>
      <c r="C3520" s="2">
        <v>2021</v>
      </c>
      <c r="D3520" s="10">
        <v>11</v>
      </c>
      <c r="E3520" s="10">
        <v>28</v>
      </c>
      <c r="F3520" t="s">
        <v>3558</v>
      </c>
      <c r="G3520">
        <v>200</v>
      </c>
      <c r="H3520" t="s">
        <v>69</v>
      </c>
      <c r="I3520" t="s">
        <v>150</v>
      </c>
      <c r="J3520" s="10" t="str">
        <f>VLOOKUP(I3520,Categories!A:B,2,FALSE)</f>
        <v xml:space="preserve">Food &amp; Coff</v>
      </c>
      <c r="K3520" t="s">
        <v>178</v>
      </c>
      <c r="L3520" s="10" t="str">
        <f>VLOOKUP(K3520,Accounts!A:B,2,FALSE)</f>
        <v>SCB</v>
      </c>
      <c r="M3520" t="s">
        <v>124</v>
      </c>
      <c r="N3520" s="10"/>
      <c r="O3520" t="s">
        <v>6357</v>
      </c>
      <c r="Q3520" t="s">
        <v>126</v>
      </c>
      <c r="R3520" t="s">
        <v>124</v>
      </c>
      <c r="S3520" t="b">
        <v>0</v>
      </c>
      <c r="T3520" t="s">
        <v>124</v>
      </c>
    </row>
    <row r="3521">
      <c r="A3521" t="s">
        <v>6358</v>
      </c>
      <c r="B3521" t="s">
        <v>6343</v>
      </c>
      <c r="C3521" s="2">
        <v>2021</v>
      </c>
      <c r="D3521" s="10">
        <v>11</v>
      </c>
      <c r="E3521" s="10">
        <v>28</v>
      </c>
      <c r="F3521" t="s">
        <v>2004</v>
      </c>
      <c r="G3521">
        <v>1226</v>
      </c>
      <c r="H3521" t="s">
        <v>69</v>
      </c>
      <c r="I3521" t="s">
        <v>1679</v>
      </c>
      <c r="J3521" s="10" t="str">
        <f>VLOOKUP(I3521,Categories!A:B,2,FALSE)</f>
        <v xml:space="preserve">Condo stuff</v>
      </c>
      <c r="K3521" t="s">
        <v>2317</v>
      </c>
      <c r="L3521" s="10" t="str">
        <f>VLOOKUP(K3521,Accounts!A:B,2,FALSE)</f>
        <v xml:space="preserve">Marriage account</v>
      </c>
      <c r="M3521" t="s">
        <v>124</v>
      </c>
      <c r="N3521" s="10"/>
      <c r="O3521" t="s">
        <v>3505</v>
      </c>
      <c r="Q3521" t="s">
        <v>126</v>
      </c>
      <c r="R3521" t="s">
        <v>124</v>
      </c>
      <c r="S3521" t="b">
        <v>0</v>
      </c>
      <c r="T3521" t="s">
        <v>124</v>
      </c>
    </row>
    <row r="3522">
      <c r="A3522" t="s">
        <v>6359</v>
      </c>
      <c r="B3522" t="s">
        <v>6360</v>
      </c>
      <c r="C3522" s="2">
        <v>2021</v>
      </c>
      <c r="D3522" s="10">
        <v>11</v>
      </c>
      <c r="E3522" s="10">
        <v>27</v>
      </c>
      <c r="F3522" t="s">
        <v>1667</v>
      </c>
      <c r="G3522">
        <v>738.58000000000004</v>
      </c>
      <c r="H3522" t="s">
        <v>69</v>
      </c>
      <c r="I3522" t="s">
        <v>6324</v>
      </c>
      <c r="J3522" s="10" t="str">
        <f>VLOOKUP(I3522,Categories!A:B,2,FALSE)</f>
        <v xml:space="preserve">Nintendo Switch</v>
      </c>
      <c r="K3522" t="s">
        <v>743</v>
      </c>
      <c r="L3522" s="10" t="str">
        <f>VLOOKUP(K3522,Accounts!A:B,2,FALSE)</f>
        <v>HOMEPRO</v>
      </c>
      <c r="M3522" t="s">
        <v>124</v>
      </c>
      <c r="N3522" s="10"/>
      <c r="O3522" t="s">
        <v>6361</v>
      </c>
      <c r="Q3522" t="s">
        <v>126</v>
      </c>
      <c r="R3522" t="s">
        <v>124</v>
      </c>
      <c r="S3522" t="b">
        <v>0</v>
      </c>
      <c r="T3522" t="s">
        <v>124</v>
      </c>
    </row>
    <row r="3523">
      <c r="A3523" t="s">
        <v>6362</v>
      </c>
      <c r="B3523" t="s">
        <v>6363</v>
      </c>
      <c r="C3523" s="2">
        <v>2021</v>
      </c>
      <c r="D3523" s="10">
        <v>11</v>
      </c>
      <c r="E3523" s="10">
        <v>26</v>
      </c>
      <c r="F3523" t="s">
        <v>1525</v>
      </c>
      <c r="G3523">
        <v>55</v>
      </c>
      <c r="H3523" t="s">
        <v>69</v>
      </c>
      <c r="I3523" t="s">
        <v>150</v>
      </c>
      <c r="J3523" s="10" t="str">
        <f>VLOOKUP(I3523,Categories!A:B,2,FALSE)</f>
        <v xml:space="preserve">Food &amp; Coff</v>
      </c>
      <c r="K3523" t="s">
        <v>5552</v>
      </c>
      <c r="L3523" s="10" t="str">
        <f>VLOOKUP(K3523,Accounts!A:B,2,FALSE)</f>
        <v xml:space="preserve">Kbank BLUECARD</v>
      </c>
      <c r="M3523" t="s">
        <v>124</v>
      </c>
      <c r="N3523" s="10"/>
      <c r="O3523" t="s">
        <v>125</v>
      </c>
      <c r="Q3523" t="s">
        <v>126</v>
      </c>
      <c r="R3523" t="s">
        <v>124</v>
      </c>
      <c r="S3523" t="b">
        <v>0</v>
      </c>
      <c r="T3523" t="s">
        <v>124</v>
      </c>
    </row>
    <row r="3524">
      <c r="A3524" t="s">
        <v>6364</v>
      </c>
      <c r="B3524" t="s">
        <v>6363</v>
      </c>
      <c r="C3524" s="2">
        <v>2021</v>
      </c>
      <c r="D3524" s="10">
        <v>11</v>
      </c>
      <c r="E3524" s="10">
        <v>26</v>
      </c>
      <c r="F3524" t="s">
        <v>4383</v>
      </c>
      <c r="G3524">
        <v>104</v>
      </c>
      <c r="H3524" t="s">
        <v>69</v>
      </c>
      <c r="I3524" t="s">
        <v>150</v>
      </c>
      <c r="J3524" s="10" t="str">
        <f>VLOOKUP(I3524,Categories!A:B,2,FALSE)</f>
        <v xml:space="preserve">Food &amp; Coff</v>
      </c>
      <c r="K3524" t="s">
        <v>178</v>
      </c>
      <c r="L3524" s="10" t="str">
        <f>VLOOKUP(K3524,Accounts!A:B,2,FALSE)</f>
        <v>SCB</v>
      </c>
      <c r="M3524" t="s">
        <v>124</v>
      </c>
      <c r="N3524" s="10"/>
      <c r="O3524" t="s">
        <v>6365</v>
      </c>
      <c r="Q3524" t="s">
        <v>126</v>
      </c>
      <c r="R3524" t="s">
        <v>124</v>
      </c>
      <c r="S3524" t="b">
        <v>0</v>
      </c>
      <c r="T3524" t="s">
        <v>124</v>
      </c>
    </row>
    <row r="3525">
      <c r="A3525" t="s">
        <v>6366</v>
      </c>
      <c r="B3525" t="s">
        <v>6363</v>
      </c>
      <c r="C3525" s="2">
        <v>2021</v>
      </c>
      <c r="D3525" s="10">
        <v>11</v>
      </c>
      <c r="E3525" s="10">
        <v>26</v>
      </c>
      <c r="F3525" t="s">
        <v>556</v>
      </c>
      <c r="G3525">
        <v>906</v>
      </c>
      <c r="H3525" t="s">
        <v>69</v>
      </c>
      <c r="I3525" t="s">
        <v>150</v>
      </c>
      <c r="J3525" s="10" t="str">
        <f>VLOOKUP(I3525,Categories!A:B,2,FALSE)</f>
        <v xml:space="preserve">Food &amp; Coff</v>
      </c>
      <c r="K3525" t="s">
        <v>2317</v>
      </c>
      <c r="L3525" s="10" t="str">
        <f>VLOOKUP(K3525,Accounts!A:B,2,FALSE)</f>
        <v xml:space="preserve">Marriage account</v>
      </c>
      <c r="M3525" t="s">
        <v>124</v>
      </c>
      <c r="N3525" s="10"/>
      <c r="O3525" t="s">
        <v>1388</v>
      </c>
      <c r="Q3525" t="s">
        <v>126</v>
      </c>
      <c r="R3525" t="s">
        <v>124</v>
      </c>
      <c r="S3525" t="b">
        <v>0</v>
      </c>
      <c r="T3525" t="s">
        <v>124</v>
      </c>
    </row>
    <row r="3526">
      <c r="A3526" t="s">
        <v>6367</v>
      </c>
      <c r="B3526" t="s">
        <v>6368</v>
      </c>
      <c r="C3526" s="2">
        <v>2021</v>
      </c>
      <c r="D3526" s="10">
        <v>11</v>
      </c>
      <c r="E3526" s="10">
        <v>25</v>
      </c>
      <c r="F3526" t="s">
        <v>121</v>
      </c>
      <c r="G3526">
        <v>139.34999999999999</v>
      </c>
      <c r="H3526" t="s">
        <v>69</v>
      </c>
      <c r="I3526" t="s">
        <v>443</v>
      </c>
      <c r="J3526" s="10" t="str">
        <f>VLOOKUP(I3526,Categories!A:B,2,FALSE)</f>
        <v xml:space="preserve">City SV Interest</v>
      </c>
      <c r="K3526" t="s">
        <v>178</v>
      </c>
      <c r="L3526" s="10" t="str">
        <f>VLOOKUP(K3526,Accounts!A:B,2,FALSE)</f>
        <v>SCB</v>
      </c>
      <c r="M3526" t="s">
        <v>124</v>
      </c>
      <c r="N3526" s="10"/>
      <c r="O3526" t="s">
        <v>125</v>
      </c>
      <c r="Q3526" t="s">
        <v>126</v>
      </c>
      <c r="R3526" t="s">
        <v>124</v>
      </c>
      <c r="S3526" t="b">
        <v>0</v>
      </c>
      <c r="T3526" t="s">
        <v>124</v>
      </c>
    </row>
    <row r="3527">
      <c r="A3527" t="s">
        <v>6369</v>
      </c>
      <c r="B3527" t="s">
        <v>6368</v>
      </c>
      <c r="C3527" s="2">
        <v>2021</v>
      </c>
      <c r="D3527" s="10">
        <v>11</v>
      </c>
      <c r="E3527" s="10">
        <v>25</v>
      </c>
      <c r="F3527" t="s">
        <v>121</v>
      </c>
      <c r="G3527">
        <v>641.42999999999995</v>
      </c>
      <c r="H3527" t="s">
        <v>69</v>
      </c>
      <c r="I3527" t="s">
        <v>199</v>
      </c>
      <c r="J3527" s="10" t="str">
        <f>VLOOKUP(I3527,Categories!A:B,2,FALSE)</f>
        <v xml:space="preserve">Home Chomthong Interest</v>
      </c>
      <c r="K3527" t="s">
        <v>178</v>
      </c>
      <c r="L3527" s="10" t="str">
        <f>VLOOKUP(K3527,Accounts!A:B,2,FALSE)</f>
        <v>SCB</v>
      </c>
      <c r="M3527" t="s">
        <v>124</v>
      </c>
      <c r="N3527" s="10"/>
      <c r="O3527" t="s">
        <v>125</v>
      </c>
      <c r="Q3527" t="s">
        <v>126</v>
      </c>
      <c r="R3527" t="s">
        <v>124</v>
      </c>
      <c r="S3527" t="b">
        <v>0</v>
      </c>
      <c r="T3527" t="s">
        <v>124</v>
      </c>
    </row>
    <row r="3528">
      <c r="A3528" t="s">
        <v>6370</v>
      </c>
      <c r="B3528" t="s">
        <v>6368</v>
      </c>
      <c r="C3528" s="2">
        <v>2021</v>
      </c>
      <c r="D3528" s="10">
        <v>11</v>
      </c>
      <c r="E3528" s="10">
        <v>25</v>
      </c>
      <c r="F3528" t="s">
        <v>121</v>
      </c>
      <c r="G3528">
        <v>7290</v>
      </c>
      <c r="H3528" t="s">
        <v>128</v>
      </c>
      <c r="I3528" t="s">
        <v>136</v>
      </c>
      <c r="J3528" s="10" t="str">
        <f>VLOOKUP(I3528,Categories!A:B,2,FALSE)</f>
        <v>อื่นๆ</v>
      </c>
      <c r="K3528" t="s">
        <v>178</v>
      </c>
      <c r="L3528" s="10" t="str">
        <f>VLOOKUP(K3528,Accounts!A:B,2,FALSE)</f>
        <v>SCB</v>
      </c>
      <c r="M3528" t="s">
        <v>1244</v>
      </c>
      <c r="N3528" s="10" t="str">
        <f>VLOOKUP(M3528,Accounts!A:B,2,FALSE)</f>
        <v xml:space="preserve">Home chomthong Loan</v>
      </c>
      <c r="O3528" t="s">
        <v>125</v>
      </c>
      <c r="Q3528" t="s">
        <v>126</v>
      </c>
      <c r="R3528" t="s">
        <v>124</v>
      </c>
      <c r="S3528" t="b">
        <v>0</v>
      </c>
      <c r="T3528" t="s">
        <v>124</v>
      </c>
    </row>
    <row r="3529">
      <c r="A3529" t="s">
        <v>6371</v>
      </c>
      <c r="B3529" t="s">
        <v>6368</v>
      </c>
      <c r="C3529" s="2">
        <v>2021</v>
      </c>
      <c r="D3529" s="10">
        <v>11</v>
      </c>
      <c r="E3529" s="10">
        <v>25</v>
      </c>
      <c r="F3529" t="s">
        <v>121</v>
      </c>
      <c r="G3529">
        <v>9240</v>
      </c>
      <c r="H3529" t="s">
        <v>128</v>
      </c>
      <c r="I3529" t="s">
        <v>136</v>
      </c>
      <c r="J3529" s="10" t="str">
        <f>VLOOKUP(I3529,Categories!A:B,2,FALSE)</f>
        <v>อื่นๆ</v>
      </c>
      <c r="K3529" t="s">
        <v>178</v>
      </c>
      <c r="L3529" s="10" t="str">
        <f>VLOOKUP(K3529,Accounts!A:B,2,FALSE)</f>
        <v>SCB</v>
      </c>
      <c r="M3529" t="s">
        <v>1246</v>
      </c>
      <c r="N3529" s="10" t="str">
        <f>VLOOKUP(M3529,Accounts!A:B,2,FALSE)</f>
        <v xml:space="preserve">Car Loan</v>
      </c>
      <c r="O3529" t="s">
        <v>125</v>
      </c>
      <c r="Q3529" t="s">
        <v>126</v>
      </c>
      <c r="R3529" t="s">
        <v>124</v>
      </c>
      <c r="S3529" t="b">
        <v>0</v>
      </c>
      <c r="T3529" t="s">
        <v>124</v>
      </c>
    </row>
    <row r="3530">
      <c r="A3530" t="s">
        <v>6372</v>
      </c>
      <c r="B3530" t="s">
        <v>6368</v>
      </c>
      <c r="C3530" s="2">
        <v>2021</v>
      </c>
      <c r="D3530" s="10">
        <v>11</v>
      </c>
      <c r="E3530" s="10">
        <v>25</v>
      </c>
      <c r="F3530" t="s">
        <v>121</v>
      </c>
      <c r="G3530">
        <v>500</v>
      </c>
      <c r="H3530" t="s">
        <v>128</v>
      </c>
      <c r="I3530" t="s">
        <v>136</v>
      </c>
      <c r="J3530" s="10" t="str">
        <f>VLOOKUP(I3530,Categories!A:B,2,FALSE)</f>
        <v>อื่นๆ</v>
      </c>
      <c r="K3530" t="s">
        <v>178</v>
      </c>
      <c r="L3530" s="10" t="str">
        <f>VLOOKUP(K3530,Accounts!A:B,2,FALSE)</f>
        <v>SCB</v>
      </c>
      <c r="M3530" t="s">
        <v>201</v>
      </c>
      <c r="N3530" s="10" t="str">
        <f>VLOOKUP(M3530,Accounts!A:B,2,FALSE)</f>
        <v>Coop</v>
      </c>
      <c r="O3530" t="s">
        <v>125</v>
      </c>
      <c r="Q3530" t="s">
        <v>126</v>
      </c>
      <c r="R3530" t="s">
        <v>124</v>
      </c>
      <c r="S3530" t="b">
        <v>0</v>
      </c>
      <c r="T3530" t="s">
        <v>124</v>
      </c>
    </row>
    <row r="3531">
      <c r="A3531" t="s">
        <v>6373</v>
      </c>
      <c r="B3531" t="s">
        <v>6368</v>
      </c>
      <c r="C3531" s="2">
        <v>2021</v>
      </c>
      <c r="D3531" s="10">
        <v>11</v>
      </c>
      <c r="E3531" s="10">
        <v>25</v>
      </c>
      <c r="F3531" t="s">
        <v>121</v>
      </c>
      <c r="G3531">
        <v>1917.8</v>
      </c>
      <c r="H3531" t="s">
        <v>128</v>
      </c>
      <c r="I3531" t="s">
        <v>136</v>
      </c>
      <c r="J3531" s="10" t="str">
        <f>VLOOKUP(I3531,Categories!A:B,2,FALSE)</f>
        <v>อื่นๆ</v>
      </c>
      <c r="K3531" t="s">
        <v>178</v>
      </c>
      <c r="L3531" s="10" t="str">
        <f>VLOOKUP(K3531,Accounts!A:B,2,FALSE)</f>
        <v>SCB</v>
      </c>
      <c r="M3531" t="s">
        <v>203</v>
      </c>
      <c r="N3531" s="10" t="str">
        <f>VLOOKUP(M3531,Accounts!A:B,2,FALSE)</f>
        <v xml:space="preserve">Provident Fund</v>
      </c>
      <c r="O3531" t="s">
        <v>125</v>
      </c>
      <c r="Q3531" t="s">
        <v>126</v>
      </c>
      <c r="R3531" t="s">
        <v>124</v>
      </c>
      <c r="S3531" t="b">
        <v>0</v>
      </c>
      <c r="T3531" t="s">
        <v>124</v>
      </c>
    </row>
    <row r="3532">
      <c r="A3532" t="s">
        <v>6374</v>
      </c>
      <c r="B3532" t="s">
        <v>6368</v>
      </c>
      <c r="C3532" s="2">
        <v>2021</v>
      </c>
      <c r="D3532" s="10">
        <v>11</v>
      </c>
      <c r="E3532" s="10">
        <v>25</v>
      </c>
      <c r="F3532" t="s">
        <v>121</v>
      </c>
      <c r="G3532">
        <v>95890</v>
      </c>
      <c r="H3532" t="s">
        <v>206</v>
      </c>
      <c r="I3532" t="s">
        <v>207</v>
      </c>
      <c r="J3532" s="10" t="str">
        <f>VLOOKUP(I3532,Categories!A:B,2,FALSE)</f>
        <v>Salary</v>
      </c>
      <c r="K3532" t="s">
        <v>178</v>
      </c>
      <c r="L3532" s="10" t="str">
        <f>VLOOKUP(K3532,Accounts!A:B,2,FALSE)</f>
        <v>SCB</v>
      </c>
      <c r="M3532" t="s">
        <v>124</v>
      </c>
      <c r="N3532" s="10"/>
      <c r="O3532" t="s">
        <v>125</v>
      </c>
      <c r="Q3532" t="s">
        <v>126</v>
      </c>
      <c r="R3532" t="s">
        <v>124</v>
      </c>
      <c r="S3532" t="b">
        <v>0</v>
      </c>
      <c r="T3532" t="s">
        <v>124</v>
      </c>
    </row>
    <row r="3533">
      <c r="A3533" t="s">
        <v>6375</v>
      </c>
      <c r="B3533" t="s">
        <v>6376</v>
      </c>
      <c r="C3533" s="2">
        <v>2021</v>
      </c>
      <c r="D3533" s="10">
        <v>11</v>
      </c>
      <c r="E3533" s="10">
        <v>23</v>
      </c>
      <c r="F3533" t="s">
        <v>4378</v>
      </c>
      <c r="G3533">
        <v>190</v>
      </c>
      <c r="H3533" t="s">
        <v>69</v>
      </c>
      <c r="I3533" t="s">
        <v>150</v>
      </c>
      <c r="J3533" s="10" t="str">
        <f>VLOOKUP(I3533,Categories!A:B,2,FALSE)</f>
        <v xml:space="preserve">Food &amp; Coff</v>
      </c>
      <c r="K3533" t="s">
        <v>2317</v>
      </c>
      <c r="L3533" s="10" t="str">
        <f>VLOOKUP(K3533,Accounts!A:B,2,FALSE)</f>
        <v xml:space="preserve">Marriage account</v>
      </c>
      <c r="M3533" t="s">
        <v>124</v>
      </c>
      <c r="N3533" s="10"/>
      <c r="O3533" t="s">
        <v>6377</v>
      </c>
      <c r="Q3533" t="s">
        <v>126</v>
      </c>
      <c r="R3533" t="s">
        <v>124</v>
      </c>
      <c r="S3533" t="b">
        <v>0</v>
      </c>
      <c r="T3533" t="s">
        <v>124</v>
      </c>
    </row>
    <row r="3534">
      <c r="A3534" t="s">
        <v>6378</v>
      </c>
      <c r="B3534" t="s">
        <v>6376</v>
      </c>
      <c r="C3534" s="2">
        <v>2021</v>
      </c>
      <c r="D3534" s="10">
        <v>11</v>
      </c>
      <c r="E3534" s="10">
        <v>23</v>
      </c>
      <c r="F3534" t="s">
        <v>1800</v>
      </c>
      <c r="G3534">
        <v>528</v>
      </c>
      <c r="H3534" t="s">
        <v>69</v>
      </c>
      <c r="I3534" t="s">
        <v>338</v>
      </c>
      <c r="J3534" s="10" t="str">
        <f>VLOOKUP(I3534,Categories!A:B,2,FALSE)</f>
        <v>Trips</v>
      </c>
      <c r="K3534" t="s">
        <v>2513</v>
      </c>
      <c r="L3534" s="10" t="str">
        <f>VLOOKUP(K3534,Accounts!A:B,2,FALSE)</f>
        <v xml:space="preserve">Pao tung</v>
      </c>
      <c r="M3534" t="s">
        <v>124</v>
      </c>
      <c r="N3534" s="10"/>
      <c r="O3534" t="s">
        <v>3055</v>
      </c>
      <c r="Q3534" t="s">
        <v>126</v>
      </c>
      <c r="R3534" t="s">
        <v>124</v>
      </c>
      <c r="S3534" t="b">
        <v>0</v>
      </c>
      <c r="T3534" t="s">
        <v>124</v>
      </c>
    </row>
    <row r="3535">
      <c r="A3535" t="s">
        <v>6379</v>
      </c>
      <c r="B3535" t="s">
        <v>6376</v>
      </c>
      <c r="C3535" s="2">
        <v>2021</v>
      </c>
      <c r="D3535" s="10">
        <v>11</v>
      </c>
      <c r="E3535" s="10">
        <v>23</v>
      </c>
      <c r="F3535" t="s">
        <v>3397</v>
      </c>
      <c r="G3535">
        <v>96</v>
      </c>
      <c r="H3535" t="s">
        <v>69</v>
      </c>
      <c r="I3535" t="s">
        <v>150</v>
      </c>
      <c r="J3535" s="10" t="str">
        <f>VLOOKUP(I3535,Categories!A:B,2,FALSE)</f>
        <v xml:space="preserve">Food &amp; Coff</v>
      </c>
      <c r="K3535" t="s">
        <v>2513</v>
      </c>
      <c r="L3535" s="10" t="str">
        <f>VLOOKUP(K3535,Accounts!A:B,2,FALSE)</f>
        <v xml:space="preserve">Pao tung</v>
      </c>
      <c r="M3535" t="s">
        <v>124</v>
      </c>
      <c r="N3535" s="10"/>
      <c r="O3535" t="s">
        <v>6380</v>
      </c>
      <c r="Q3535" t="s">
        <v>126</v>
      </c>
      <c r="R3535" t="s">
        <v>124</v>
      </c>
      <c r="S3535" t="b">
        <v>0</v>
      </c>
      <c r="T3535" t="s">
        <v>124</v>
      </c>
    </row>
    <row r="3536">
      <c r="A3536" t="s">
        <v>6381</v>
      </c>
      <c r="B3536" t="s">
        <v>6376</v>
      </c>
      <c r="C3536" s="2">
        <v>2021</v>
      </c>
      <c r="D3536" s="10">
        <v>11</v>
      </c>
      <c r="E3536" s="10">
        <v>23</v>
      </c>
      <c r="F3536" t="s">
        <v>6382</v>
      </c>
      <c r="G3536">
        <v>50</v>
      </c>
      <c r="H3536" t="s">
        <v>69</v>
      </c>
      <c r="I3536" t="s">
        <v>150</v>
      </c>
      <c r="J3536" s="10" t="str">
        <f>VLOOKUP(I3536,Categories!A:B,2,FALSE)</f>
        <v xml:space="preserve">Food &amp; Coff</v>
      </c>
      <c r="K3536" t="s">
        <v>2317</v>
      </c>
      <c r="L3536" s="10" t="str">
        <f>VLOOKUP(K3536,Accounts!A:B,2,FALSE)</f>
        <v xml:space="preserve">Marriage account</v>
      </c>
      <c r="M3536" t="s">
        <v>124</v>
      </c>
      <c r="N3536" s="10"/>
      <c r="O3536" t="s">
        <v>6383</v>
      </c>
      <c r="Q3536" t="s">
        <v>126</v>
      </c>
      <c r="R3536" t="s">
        <v>124</v>
      </c>
      <c r="S3536" t="b">
        <v>0</v>
      </c>
      <c r="T3536" t="s">
        <v>124</v>
      </c>
    </row>
    <row r="3537">
      <c r="A3537" t="s">
        <v>6384</v>
      </c>
      <c r="B3537" t="s">
        <v>6376</v>
      </c>
      <c r="C3537" s="2">
        <v>2021</v>
      </c>
      <c r="D3537" s="10">
        <v>11</v>
      </c>
      <c r="E3537" s="10">
        <v>23</v>
      </c>
      <c r="F3537" t="s">
        <v>4892</v>
      </c>
      <c r="G3537">
        <v>850</v>
      </c>
      <c r="H3537" t="s">
        <v>69</v>
      </c>
      <c r="I3537" t="s">
        <v>3276</v>
      </c>
      <c r="J3537" s="10" t="str">
        <f>VLOOKUP(I3537,Categories!A:B,2,FALSE)</f>
        <v>Fuel</v>
      </c>
      <c r="K3537" t="s">
        <v>130</v>
      </c>
      <c r="L3537" s="10" t="str">
        <f>VLOOKUP(K3537,Accounts!A:B,2,FALSE)</f>
        <v xml:space="preserve">KTC JCB</v>
      </c>
      <c r="M3537" t="s">
        <v>124</v>
      </c>
      <c r="N3537" s="10"/>
      <c r="O3537" t="s">
        <v>125</v>
      </c>
      <c r="Q3537" t="s">
        <v>126</v>
      </c>
      <c r="R3537" t="s">
        <v>124</v>
      </c>
      <c r="S3537" t="b">
        <v>0</v>
      </c>
      <c r="T3537" t="s">
        <v>124</v>
      </c>
    </row>
    <row r="3538">
      <c r="A3538" t="s">
        <v>6385</v>
      </c>
      <c r="B3538" t="s">
        <v>6376</v>
      </c>
      <c r="C3538" s="2">
        <v>2021</v>
      </c>
      <c r="D3538" s="10">
        <v>11</v>
      </c>
      <c r="E3538" s="10">
        <v>23</v>
      </c>
      <c r="F3538" t="s">
        <v>468</v>
      </c>
      <c r="G3538">
        <v>89</v>
      </c>
      <c r="H3538" t="s">
        <v>69</v>
      </c>
      <c r="I3538" t="s">
        <v>150</v>
      </c>
      <c r="J3538" s="10" t="str">
        <f>VLOOKUP(I3538,Categories!A:B,2,FALSE)</f>
        <v xml:space="preserve">Food &amp; Coff</v>
      </c>
      <c r="K3538" t="s">
        <v>2317</v>
      </c>
      <c r="L3538" s="10" t="str">
        <f>VLOOKUP(K3538,Accounts!A:B,2,FALSE)</f>
        <v xml:space="preserve">Marriage account</v>
      </c>
      <c r="M3538" t="s">
        <v>124</v>
      </c>
      <c r="N3538" s="10"/>
      <c r="O3538" t="s">
        <v>6386</v>
      </c>
      <c r="Q3538" t="s">
        <v>126</v>
      </c>
      <c r="R3538" t="s">
        <v>124</v>
      </c>
      <c r="S3538" t="b">
        <v>0</v>
      </c>
      <c r="T3538" t="s">
        <v>124</v>
      </c>
    </row>
    <row r="3539">
      <c r="A3539" t="s">
        <v>6387</v>
      </c>
      <c r="B3539" t="s">
        <v>6376</v>
      </c>
      <c r="C3539" s="2">
        <v>2021</v>
      </c>
      <c r="D3539" s="10">
        <v>11</v>
      </c>
      <c r="E3539" s="10">
        <v>23</v>
      </c>
      <c r="F3539" t="s">
        <v>4163</v>
      </c>
      <c r="G3539">
        <v>1000</v>
      </c>
      <c r="H3539" t="s">
        <v>69</v>
      </c>
      <c r="I3539" t="s">
        <v>338</v>
      </c>
      <c r="J3539" s="10" t="str">
        <f>VLOOKUP(I3539,Categories!A:B,2,FALSE)</f>
        <v>Trips</v>
      </c>
      <c r="K3539" t="s">
        <v>425</v>
      </c>
      <c r="L3539" s="10" t="str">
        <f>VLOOKUP(K3539,Accounts!A:B,2,FALSE)</f>
        <v>Cash</v>
      </c>
      <c r="M3539" t="s">
        <v>124</v>
      </c>
      <c r="N3539" s="10"/>
      <c r="O3539" t="s">
        <v>6388</v>
      </c>
      <c r="Q3539" t="s">
        <v>126</v>
      </c>
      <c r="R3539" t="s">
        <v>124</v>
      </c>
      <c r="S3539" t="b">
        <v>0</v>
      </c>
      <c r="T3539" t="s">
        <v>124</v>
      </c>
    </row>
    <row r="3540">
      <c r="A3540" t="s">
        <v>6389</v>
      </c>
      <c r="B3540" t="s">
        <v>6390</v>
      </c>
      <c r="C3540" s="2">
        <v>2021</v>
      </c>
      <c r="D3540" s="10">
        <v>11</v>
      </c>
      <c r="E3540" s="10">
        <v>22</v>
      </c>
      <c r="F3540" t="s">
        <v>2148</v>
      </c>
      <c r="G3540">
        <v>250</v>
      </c>
      <c r="H3540" t="s">
        <v>69</v>
      </c>
      <c r="I3540" t="s">
        <v>150</v>
      </c>
      <c r="J3540" s="10" t="str">
        <f>VLOOKUP(I3540,Categories!A:B,2,FALSE)</f>
        <v xml:space="preserve">Food &amp; Coff</v>
      </c>
      <c r="K3540" t="s">
        <v>2317</v>
      </c>
      <c r="L3540" s="10" t="str">
        <f>VLOOKUP(K3540,Accounts!A:B,2,FALSE)</f>
        <v xml:space="preserve">Marriage account</v>
      </c>
      <c r="M3540" t="s">
        <v>124</v>
      </c>
      <c r="N3540" s="10"/>
      <c r="O3540" t="s">
        <v>6391</v>
      </c>
      <c r="Q3540" t="s">
        <v>126</v>
      </c>
      <c r="R3540" t="s">
        <v>124</v>
      </c>
      <c r="S3540" t="b">
        <v>0</v>
      </c>
      <c r="T3540" t="s">
        <v>124</v>
      </c>
    </row>
    <row r="3541">
      <c r="A3541" t="s">
        <v>6392</v>
      </c>
      <c r="B3541" t="s">
        <v>6390</v>
      </c>
      <c r="C3541" s="2">
        <v>2021</v>
      </c>
      <c r="D3541" s="10">
        <v>11</v>
      </c>
      <c r="E3541" s="10">
        <v>22</v>
      </c>
      <c r="F3541" t="s">
        <v>6393</v>
      </c>
      <c r="G3541">
        <v>60</v>
      </c>
      <c r="H3541" t="s">
        <v>69</v>
      </c>
      <c r="I3541" t="s">
        <v>141</v>
      </c>
      <c r="J3541" s="10" t="str">
        <f>VLOOKUP(I3541,Categories!A:B,2,FALSE)</f>
        <v>Other</v>
      </c>
      <c r="K3541" t="s">
        <v>747</v>
      </c>
      <c r="L3541" s="10" t="str">
        <f>VLOOKUP(K3541,Accounts!A:B,2,FALSE)</f>
        <v xml:space="preserve">UOB world</v>
      </c>
      <c r="M3541" t="s">
        <v>124</v>
      </c>
      <c r="N3541" s="10"/>
      <c r="O3541" t="s">
        <v>6085</v>
      </c>
      <c r="Q3541" t="s">
        <v>126</v>
      </c>
      <c r="R3541" t="s">
        <v>124</v>
      </c>
      <c r="S3541" t="b">
        <v>0</v>
      </c>
      <c r="T3541" t="s">
        <v>124</v>
      </c>
    </row>
    <row r="3542">
      <c r="A3542" t="s">
        <v>6394</v>
      </c>
      <c r="B3542" t="s">
        <v>6390</v>
      </c>
      <c r="C3542" s="2">
        <v>2021</v>
      </c>
      <c r="D3542" s="10">
        <v>11</v>
      </c>
      <c r="E3542" s="10">
        <v>22</v>
      </c>
      <c r="F3542" t="s">
        <v>276</v>
      </c>
      <c r="G3542">
        <v>160</v>
      </c>
      <c r="H3542" t="s">
        <v>69</v>
      </c>
      <c r="I3542" t="s">
        <v>150</v>
      </c>
      <c r="J3542" s="10" t="str">
        <f>VLOOKUP(I3542,Categories!A:B,2,FALSE)</f>
        <v xml:space="preserve">Food &amp; Coff</v>
      </c>
      <c r="K3542" t="s">
        <v>2317</v>
      </c>
      <c r="L3542" s="10" t="str">
        <f>VLOOKUP(K3542,Accounts!A:B,2,FALSE)</f>
        <v xml:space="preserve">Marriage account</v>
      </c>
      <c r="M3542" t="s">
        <v>124</v>
      </c>
      <c r="N3542" s="10"/>
      <c r="O3542" t="s">
        <v>6395</v>
      </c>
      <c r="Q3542" t="s">
        <v>126</v>
      </c>
      <c r="R3542" t="s">
        <v>124</v>
      </c>
      <c r="S3542" t="b">
        <v>0</v>
      </c>
      <c r="T3542" t="s">
        <v>124</v>
      </c>
    </row>
    <row r="3543">
      <c r="A3543" t="s">
        <v>6396</v>
      </c>
      <c r="B3543" t="s">
        <v>6390</v>
      </c>
      <c r="C3543" s="2">
        <v>2021</v>
      </c>
      <c r="D3543" s="10">
        <v>11</v>
      </c>
      <c r="E3543" s="10">
        <v>22</v>
      </c>
      <c r="F3543" t="s">
        <v>1009</v>
      </c>
      <c r="G3543">
        <v>200</v>
      </c>
      <c r="H3543" t="s">
        <v>69</v>
      </c>
      <c r="I3543" t="s">
        <v>338</v>
      </c>
      <c r="J3543" s="10" t="str">
        <f>VLOOKUP(I3543,Categories!A:B,2,FALSE)</f>
        <v>Trips</v>
      </c>
      <c r="K3543" t="s">
        <v>425</v>
      </c>
      <c r="L3543" s="10" t="str">
        <f>VLOOKUP(K3543,Accounts!A:B,2,FALSE)</f>
        <v>Cash</v>
      </c>
      <c r="M3543" t="s">
        <v>124</v>
      </c>
      <c r="N3543" s="10"/>
      <c r="O3543" t="s">
        <v>6397</v>
      </c>
      <c r="Q3543" t="s">
        <v>126</v>
      </c>
      <c r="R3543" t="s">
        <v>124</v>
      </c>
      <c r="S3543" t="b">
        <v>0</v>
      </c>
      <c r="T3543" t="s">
        <v>124</v>
      </c>
    </row>
    <row r="3544">
      <c r="A3544" t="s">
        <v>6398</v>
      </c>
      <c r="B3544" t="s">
        <v>6390</v>
      </c>
      <c r="C3544" s="2">
        <v>2021</v>
      </c>
      <c r="D3544" s="10">
        <v>11</v>
      </c>
      <c r="E3544" s="10">
        <v>22</v>
      </c>
      <c r="F3544" t="s">
        <v>955</v>
      </c>
      <c r="G3544">
        <v>620</v>
      </c>
      <c r="H3544" t="s">
        <v>69</v>
      </c>
      <c r="I3544" t="s">
        <v>150</v>
      </c>
      <c r="J3544" s="10" t="str">
        <f>VLOOKUP(I3544,Categories!A:B,2,FALSE)</f>
        <v xml:space="preserve">Food &amp; Coff</v>
      </c>
      <c r="K3544" t="s">
        <v>425</v>
      </c>
      <c r="L3544" s="10" t="str">
        <f>VLOOKUP(K3544,Accounts!A:B,2,FALSE)</f>
        <v>Cash</v>
      </c>
      <c r="M3544" t="s">
        <v>124</v>
      </c>
      <c r="N3544" s="10"/>
      <c r="O3544" t="s">
        <v>6399</v>
      </c>
      <c r="Q3544" t="s">
        <v>126</v>
      </c>
      <c r="R3544" t="s">
        <v>124</v>
      </c>
      <c r="S3544" t="b">
        <v>0</v>
      </c>
      <c r="T3544" t="s">
        <v>124</v>
      </c>
    </row>
    <row r="3545">
      <c r="A3545" t="s">
        <v>6400</v>
      </c>
      <c r="B3545" t="s">
        <v>6390</v>
      </c>
      <c r="C3545" s="2">
        <v>2021</v>
      </c>
      <c r="D3545" s="10">
        <v>11</v>
      </c>
      <c r="E3545" s="10">
        <v>22</v>
      </c>
      <c r="F3545" t="s">
        <v>6401</v>
      </c>
      <c r="G3545">
        <v>108</v>
      </c>
      <c r="H3545" t="s">
        <v>69</v>
      </c>
      <c r="I3545" t="s">
        <v>150</v>
      </c>
      <c r="J3545" s="10" t="str">
        <f>VLOOKUP(I3545,Categories!A:B,2,FALSE)</f>
        <v xml:space="preserve">Food &amp; Coff</v>
      </c>
      <c r="K3545" t="s">
        <v>2317</v>
      </c>
      <c r="L3545" s="10" t="str">
        <f>VLOOKUP(K3545,Accounts!A:B,2,FALSE)</f>
        <v xml:space="preserve">Marriage account</v>
      </c>
      <c r="M3545" t="s">
        <v>124</v>
      </c>
      <c r="N3545" s="10"/>
      <c r="O3545" t="s">
        <v>6402</v>
      </c>
      <c r="Q3545" t="s">
        <v>126</v>
      </c>
      <c r="R3545" t="s">
        <v>124</v>
      </c>
      <c r="S3545" t="b">
        <v>0</v>
      </c>
      <c r="T3545" t="s">
        <v>124</v>
      </c>
    </row>
    <row r="3546">
      <c r="A3546" t="s">
        <v>6403</v>
      </c>
      <c r="B3546" t="s">
        <v>6404</v>
      </c>
      <c r="C3546" s="2">
        <v>2021</v>
      </c>
      <c r="D3546" s="10">
        <v>11</v>
      </c>
      <c r="E3546" s="10">
        <v>21</v>
      </c>
      <c r="F3546" t="s">
        <v>2031</v>
      </c>
      <c r="G3546">
        <v>30</v>
      </c>
      <c r="H3546" t="s">
        <v>69</v>
      </c>
      <c r="I3546" t="s">
        <v>150</v>
      </c>
      <c r="J3546" s="10" t="str">
        <f>VLOOKUP(I3546,Categories!A:B,2,FALSE)</f>
        <v xml:space="preserve">Food &amp; Coff</v>
      </c>
      <c r="K3546" t="s">
        <v>2317</v>
      </c>
      <c r="L3546" s="10" t="str">
        <f>VLOOKUP(K3546,Accounts!A:B,2,FALSE)</f>
        <v xml:space="preserve">Marriage account</v>
      </c>
      <c r="M3546" t="s">
        <v>124</v>
      </c>
      <c r="N3546" s="10"/>
      <c r="O3546" t="s">
        <v>6383</v>
      </c>
      <c r="Q3546" t="s">
        <v>126</v>
      </c>
      <c r="R3546" t="s">
        <v>124</v>
      </c>
      <c r="S3546" t="b">
        <v>0</v>
      </c>
      <c r="T3546" t="s">
        <v>124</v>
      </c>
    </row>
    <row r="3547">
      <c r="A3547" t="s">
        <v>6405</v>
      </c>
      <c r="B3547" t="s">
        <v>6404</v>
      </c>
      <c r="C3547" s="2">
        <v>2021</v>
      </c>
      <c r="D3547" s="10">
        <v>11</v>
      </c>
      <c r="E3547" s="10">
        <v>21</v>
      </c>
      <c r="F3547" t="s">
        <v>2946</v>
      </c>
      <c r="G3547">
        <v>70</v>
      </c>
      <c r="H3547" t="s">
        <v>69</v>
      </c>
      <c r="I3547" t="s">
        <v>150</v>
      </c>
      <c r="J3547" s="10" t="str">
        <f>VLOOKUP(I3547,Categories!A:B,2,FALSE)</f>
        <v xml:space="preserve">Food &amp; Coff</v>
      </c>
      <c r="K3547" t="s">
        <v>747</v>
      </c>
      <c r="L3547" s="10" t="str">
        <f>VLOOKUP(K3547,Accounts!A:B,2,FALSE)</f>
        <v xml:space="preserve">UOB world</v>
      </c>
      <c r="M3547" t="s">
        <v>124</v>
      </c>
      <c r="N3547" s="10"/>
      <c r="O3547" t="s">
        <v>6406</v>
      </c>
      <c r="Q3547" t="s">
        <v>126</v>
      </c>
      <c r="R3547" t="s">
        <v>124</v>
      </c>
      <c r="S3547" t="b">
        <v>0</v>
      </c>
      <c r="T3547" t="s">
        <v>124</v>
      </c>
    </row>
    <row r="3548">
      <c r="A3548" t="s">
        <v>6407</v>
      </c>
      <c r="B3548" t="s">
        <v>6404</v>
      </c>
      <c r="C3548" s="2">
        <v>2021</v>
      </c>
      <c r="D3548" s="10">
        <v>11</v>
      </c>
      <c r="E3548" s="10">
        <v>21</v>
      </c>
      <c r="F3548" t="s">
        <v>3176</v>
      </c>
      <c r="G3548">
        <v>700</v>
      </c>
      <c r="H3548" t="s">
        <v>69</v>
      </c>
      <c r="I3548" t="s">
        <v>338</v>
      </c>
      <c r="J3548" s="10" t="str">
        <f>VLOOKUP(I3548,Categories!A:B,2,FALSE)</f>
        <v>Trips</v>
      </c>
      <c r="K3548" t="s">
        <v>425</v>
      </c>
      <c r="L3548" s="10" t="str">
        <f>VLOOKUP(K3548,Accounts!A:B,2,FALSE)</f>
        <v>Cash</v>
      </c>
      <c r="M3548" t="s">
        <v>124</v>
      </c>
      <c r="N3548" s="10"/>
      <c r="O3548" t="s">
        <v>6408</v>
      </c>
      <c r="Q3548" t="s">
        <v>126</v>
      </c>
      <c r="R3548" t="s">
        <v>124</v>
      </c>
      <c r="S3548" t="b">
        <v>0</v>
      </c>
      <c r="T3548" t="s">
        <v>124</v>
      </c>
    </row>
    <row r="3549">
      <c r="A3549" t="s">
        <v>6409</v>
      </c>
      <c r="B3549" t="s">
        <v>6404</v>
      </c>
      <c r="C3549" s="2">
        <v>2021</v>
      </c>
      <c r="D3549" s="10">
        <v>11</v>
      </c>
      <c r="E3549" s="10">
        <v>21</v>
      </c>
      <c r="F3549" t="s">
        <v>3533</v>
      </c>
      <c r="G3549">
        <v>624</v>
      </c>
      <c r="H3549" t="s">
        <v>69</v>
      </c>
      <c r="I3549" t="s">
        <v>338</v>
      </c>
      <c r="J3549" s="10" t="str">
        <f>VLOOKUP(I3549,Categories!A:B,2,FALSE)</f>
        <v>Trips</v>
      </c>
      <c r="K3549" t="s">
        <v>130</v>
      </c>
      <c r="L3549" s="10" t="str">
        <f>VLOOKUP(K3549,Accounts!A:B,2,FALSE)</f>
        <v xml:space="preserve">KTC JCB</v>
      </c>
      <c r="M3549" t="s">
        <v>124</v>
      </c>
      <c r="N3549" s="10"/>
      <c r="O3549" t="s">
        <v>6410</v>
      </c>
      <c r="Q3549" t="s">
        <v>126</v>
      </c>
      <c r="R3549" t="s">
        <v>124</v>
      </c>
      <c r="S3549" t="b">
        <v>0</v>
      </c>
      <c r="T3549" t="s">
        <v>124</v>
      </c>
    </row>
    <row r="3550">
      <c r="A3550" t="s">
        <v>6411</v>
      </c>
      <c r="B3550" t="s">
        <v>6404</v>
      </c>
      <c r="C3550" s="2">
        <v>2021</v>
      </c>
      <c r="D3550" s="10">
        <v>11</v>
      </c>
      <c r="E3550" s="10">
        <v>21</v>
      </c>
      <c r="F3550" t="s">
        <v>2307</v>
      </c>
      <c r="G3550">
        <v>700</v>
      </c>
      <c r="H3550" t="s">
        <v>128</v>
      </c>
      <c r="I3550" t="s">
        <v>136</v>
      </c>
      <c r="J3550" s="10" t="str">
        <f>VLOOKUP(I3550,Categories!A:B,2,FALSE)</f>
        <v>อื่นๆ</v>
      </c>
      <c r="K3550" t="s">
        <v>130</v>
      </c>
      <c r="L3550" s="10" t="str">
        <f>VLOOKUP(K3550,Accounts!A:B,2,FALSE)</f>
        <v xml:space="preserve">KTC JCB</v>
      </c>
      <c r="M3550" t="s">
        <v>425</v>
      </c>
      <c r="N3550" s="10" t="str">
        <f>VLOOKUP(M3550,Accounts!A:B,2,FALSE)</f>
        <v>Cash</v>
      </c>
      <c r="O3550" t="s">
        <v>125</v>
      </c>
      <c r="Q3550" t="s">
        <v>126</v>
      </c>
      <c r="R3550" t="s">
        <v>124</v>
      </c>
      <c r="S3550" t="b">
        <v>0</v>
      </c>
      <c r="T3550" t="s">
        <v>124</v>
      </c>
    </row>
    <row r="3551">
      <c r="A3551" t="s">
        <v>6412</v>
      </c>
      <c r="B3551" t="s">
        <v>6404</v>
      </c>
      <c r="C3551" s="2">
        <v>2021</v>
      </c>
      <c r="D3551" s="10">
        <v>11</v>
      </c>
      <c r="E3551" s="10">
        <v>21</v>
      </c>
      <c r="F3551" t="s">
        <v>6413</v>
      </c>
      <c r="G3551">
        <v>35</v>
      </c>
      <c r="H3551" t="s">
        <v>69</v>
      </c>
      <c r="I3551" t="s">
        <v>150</v>
      </c>
      <c r="J3551" s="10" t="str">
        <f>VLOOKUP(I3551,Categories!A:B,2,FALSE)</f>
        <v xml:space="preserve">Food &amp; Coff</v>
      </c>
      <c r="K3551" t="s">
        <v>178</v>
      </c>
      <c r="L3551" s="10" t="str">
        <f>VLOOKUP(K3551,Accounts!A:B,2,FALSE)</f>
        <v>SCB</v>
      </c>
      <c r="M3551" t="s">
        <v>124</v>
      </c>
      <c r="N3551" s="10"/>
      <c r="O3551" t="s">
        <v>6414</v>
      </c>
      <c r="Q3551" t="s">
        <v>126</v>
      </c>
      <c r="R3551" t="s">
        <v>124</v>
      </c>
      <c r="S3551" t="b">
        <v>0</v>
      </c>
      <c r="T3551" t="s">
        <v>124</v>
      </c>
    </row>
    <row r="3552">
      <c r="A3552" t="s">
        <v>6415</v>
      </c>
      <c r="B3552" t="s">
        <v>6404</v>
      </c>
      <c r="C3552" s="2">
        <v>2021</v>
      </c>
      <c r="D3552" s="10">
        <v>11</v>
      </c>
      <c r="E3552" s="10">
        <v>21</v>
      </c>
      <c r="F3552" t="s">
        <v>737</v>
      </c>
      <c r="G3552">
        <v>120</v>
      </c>
      <c r="H3552" t="s">
        <v>69</v>
      </c>
      <c r="I3552" t="s">
        <v>150</v>
      </c>
      <c r="J3552" s="10" t="str">
        <f>VLOOKUP(I3552,Categories!A:B,2,FALSE)</f>
        <v xml:space="preserve">Food &amp; Coff</v>
      </c>
      <c r="K3552" t="s">
        <v>178</v>
      </c>
      <c r="L3552" s="10" t="str">
        <f>VLOOKUP(K3552,Accounts!A:B,2,FALSE)</f>
        <v>SCB</v>
      </c>
      <c r="M3552" t="s">
        <v>124</v>
      </c>
      <c r="N3552" s="10"/>
      <c r="O3552" t="s">
        <v>6416</v>
      </c>
      <c r="Q3552" t="s">
        <v>126</v>
      </c>
      <c r="R3552" t="s">
        <v>124</v>
      </c>
      <c r="S3552" t="b">
        <v>0</v>
      </c>
      <c r="T3552" t="s">
        <v>124</v>
      </c>
    </row>
    <row r="3553">
      <c r="A3553" t="s">
        <v>6417</v>
      </c>
      <c r="B3553" t="s">
        <v>6418</v>
      </c>
      <c r="C3553" s="2">
        <v>2021</v>
      </c>
      <c r="D3553" s="10">
        <v>11</v>
      </c>
      <c r="E3553" s="10">
        <v>20</v>
      </c>
      <c r="F3553" t="s">
        <v>2822</v>
      </c>
      <c r="G3553">
        <v>150</v>
      </c>
      <c r="H3553" t="s">
        <v>69</v>
      </c>
      <c r="I3553" t="s">
        <v>150</v>
      </c>
      <c r="J3553" s="10" t="str">
        <f>VLOOKUP(I3553,Categories!A:B,2,FALSE)</f>
        <v xml:space="preserve">Food &amp; Coff</v>
      </c>
      <c r="K3553" t="s">
        <v>425</v>
      </c>
      <c r="L3553" s="10" t="str">
        <f>VLOOKUP(K3553,Accounts!A:B,2,FALSE)</f>
        <v>Cash</v>
      </c>
      <c r="M3553" t="s">
        <v>124</v>
      </c>
      <c r="N3553" s="10"/>
      <c r="O3553" t="s">
        <v>6419</v>
      </c>
      <c r="Q3553" t="s">
        <v>126</v>
      </c>
      <c r="R3553" t="s">
        <v>124</v>
      </c>
      <c r="S3553" t="b">
        <v>0</v>
      </c>
      <c r="T3553" t="s">
        <v>124</v>
      </c>
    </row>
    <row r="3554">
      <c r="A3554" t="s">
        <v>6420</v>
      </c>
      <c r="B3554" t="s">
        <v>6418</v>
      </c>
      <c r="C3554" s="2">
        <v>2021</v>
      </c>
      <c r="D3554" s="10">
        <v>11</v>
      </c>
      <c r="E3554" s="10">
        <v>20</v>
      </c>
      <c r="F3554" t="s">
        <v>3447</v>
      </c>
      <c r="G3554">
        <v>3200</v>
      </c>
      <c r="H3554" t="s">
        <v>69</v>
      </c>
      <c r="I3554" t="s">
        <v>338</v>
      </c>
      <c r="J3554" s="10" t="str">
        <f>VLOOKUP(I3554,Categories!A:B,2,FALSE)</f>
        <v>Trips</v>
      </c>
      <c r="K3554" t="s">
        <v>178</v>
      </c>
      <c r="L3554" s="10" t="str">
        <f>VLOOKUP(K3554,Accounts!A:B,2,FALSE)</f>
        <v>SCB</v>
      </c>
      <c r="M3554" t="s">
        <v>124</v>
      </c>
      <c r="N3554" s="10"/>
      <c r="O3554" t="s">
        <v>6421</v>
      </c>
      <c r="Q3554" t="s">
        <v>126</v>
      </c>
      <c r="R3554" t="s">
        <v>124</v>
      </c>
      <c r="S3554" t="b">
        <v>0</v>
      </c>
      <c r="T3554" t="s">
        <v>124</v>
      </c>
    </row>
    <row r="3555">
      <c r="A3555" t="s">
        <v>6422</v>
      </c>
      <c r="B3555" t="s">
        <v>6418</v>
      </c>
      <c r="C3555" s="2">
        <v>2021</v>
      </c>
      <c r="D3555" s="10">
        <v>11</v>
      </c>
      <c r="E3555" s="10">
        <v>20</v>
      </c>
      <c r="F3555" t="s">
        <v>1683</v>
      </c>
      <c r="G3555">
        <v>40</v>
      </c>
      <c r="H3555" t="s">
        <v>69</v>
      </c>
      <c r="I3555" t="s">
        <v>338</v>
      </c>
      <c r="J3555" s="10" t="str">
        <f>VLOOKUP(I3555,Categories!A:B,2,FALSE)</f>
        <v>Trips</v>
      </c>
      <c r="K3555" t="s">
        <v>425</v>
      </c>
      <c r="L3555" s="10" t="str">
        <f>VLOOKUP(K3555,Accounts!A:B,2,FALSE)</f>
        <v>Cash</v>
      </c>
      <c r="M3555" t="s">
        <v>124</v>
      </c>
      <c r="N3555" s="10"/>
      <c r="O3555" t="s">
        <v>6421</v>
      </c>
      <c r="Q3555" t="s">
        <v>126</v>
      </c>
      <c r="R3555" t="s">
        <v>124</v>
      </c>
      <c r="S3555" t="b">
        <v>0</v>
      </c>
      <c r="T3555" t="s">
        <v>124</v>
      </c>
    </row>
    <row r="3556">
      <c r="A3556" t="s">
        <v>6423</v>
      </c>
      <c r="B3556" t="s">
        <v>6418</v>
      </c>
      <c r="C3556" s="2">
        <v>2021</v>
      </c>
      <c r="D3556" s="10">
        <v>11</v>
      </c>
      <c r="E3556" s="10">
        <v>20</v>
      </c>
      <c r="F3556" t="s">
        <v>6424</v>
      </c>
      <c r="G3556">
        <v>122</v>
      </c>
      <c r="H3556" t="s">
        <v>69</v>
      </c>
      <c r="I3556" t="s">
        <v>150</v>
      </c>
      <c r="J3556" s="10" t="str">
        <f>VLOOKUP(I3556,Categories!A:B,2,FALSE)</f>
        <v xml:space="preserve">Food &amp; Coff</v>
      </c>
      <c r="K3556" t="s">
        <v>425</v>
      </c>
      <c r="L3556" s="10" t="str">
        <f>VLOOKUP(K3556,Accounts!A:B,2,FALSE)</f>
        <v>Cash</v>
      </c>
      <c r="M3556" t="s">
        <v>124</v>
      </c>
      <c r="N3556" s="10"/>
      <c r="O3556" t="s">
        <v>3633</v>
      </c>
      <c r="Q3556" t="s">
        <v>126</v>
      </c>
      <c r="R3556" t="s">
        <v>124</v>
      </c>
      <c r="S3556" t="b">
        <v>0</v>
      </c>
      <c r="T3556" t="s">
        <v>124</v>
      </c>
    </row>
    <row r="3557">
      <c r="A3557" t="s">
        <v>6425</v>
      </c>
      <c r="B3557" t="s">
        <v>6418</v>
      </c>
      <c r="C3557" s="2">
        <v>2021</v>
      </c>
      <c r="D3557" s="10">
        <v>11</v>
      </c>
      <c r="E3557" s="10">
        <v>20</v>
      </c>
      <c r="F3557" t="s">
        <v>2319</v>
      </c>
      <c r="G3557">
        <v>80</v>
      </c>
      <c r="H3557" t="s">
        <v>69</v>
      </c>
      <c r="I3557" t="s">
        <v>150</v>
      </c>
      <c r="J3557" s="10" t="str">
        <f>VLOOKUP(I3557,Categories!A:B,2,FALSE)</f>
        <v xml:space="preserve">Food &amp; Coff</v>
      </c>
      <c r="K3557" t="s">
        <v>178</v>
      </c>
      <c r="L3557" s="10" t="str">
        <f>VLOOKUP(K3557,Accounts!A:B,2,FALSE)</f>
        <v>SCB</v>
      </c>
      <c r="M3557" t="s">
        <v>124</v>
      </c>
      <c r="N3557" s="10"/>
      <c r="O3557" t="s">
        <v>6426</v>
      </c>
      <c r="Q3557" t="s">
        <v>126</v>
      </c>
      <c r="R3557" t="s">
        <v>124</v>
      </c>
      <c r="S3557" t="b">
        <v>0</v>
      </c>
      <c r="T3557" t="s">
        <v>124</v>
      </c>
    </row>
    <row r="3558">
      <c r="A3558" t="s">
        <v>6427</v>
      </c>
      <c r="B3558" t="s">
        <v>6418</v>
      </c>
      <c r="C3558" s="2">
        <v>2021</v>
      </c>
      <c r="D3558" s="10">
        <v>11</v>
      </c>
      <c r="E3558" s="10">
        <v>20</v>
      </c>
      <c r="F3558" t="s">
        <v>1152</v>
      </c>
      <c r="G3558">
        <v>90</v>
      </c>
      <c r="H3558" t="s">
        <v>69</v>
      </c>
      <c r="I3558" t="s">
        <v>150</v>
      </c>
      <c r="J3558" s="10" t="str">
        <f>VLOOKUP(I3558,Categories!A:B,2,FALSE)</f>
        <v xml:space="preserve">Food &amp; Coff</v>
      </c>
      <c r="K3558" t="s">
        <v>2317</v>
      </c>
      <c r="L3558" s="10" t="str">
        <f>VLOOKUP(K3558,Accounts!A:B,2,FALSE)</f>
        <v xml:space="preserve">Marriage account</v>
      </c>
      <c r="M3558" t="s">
        <v>124</v>
      </c>
      <c r="N3558" s="10"/>
      <c r="O3558" t="s">
        <v>6428</v>
      </c>
      <c r="Q3558" t="s">
        <v>126</v>
      </c>
      <c r="R3558" t="s">
        <v>124</v>
      </c>
      <c r="S3558" t="b">
        <v>0</v>
      </c>
      <c r="T3558" t="s">
        <v>124</v>
      </c>
    </row>
    <row r="3559">
      <c r="A3559" t="s">
        <v>6429</v>
      </c>
      <c r="B3559" t="s">
        <v>6418</v>
      </c>
      <c r="C3559" s="2">
        <v>2021</v>
      </c>
      <c r="D3559" s="10">
        <v>11</v>
      </c>
      <c r="E3559" s="10">
        <v>20</v>
      </c>
      <c r="F3559" t="s">
        <v>4892</v>
      </c>
      <c r="G3559">
        <v>230</v>
      </c>
      <c r="H3559" t="s">
        <v>69</v>
      </c>
      <c r="I3559" t="s">
        <v>150</v>
      </c>
      <c r="J3559" s="10" t="str">
        <f>VLOOKUP(I3559,Categories!A:B,2,FALSE)</f>
        <v xml:space="preserve">Food &amp; Coff</v>
      </c>
      <c r="K3559" t="s">
        <v>2317</v>
      </c>
      <c r="L3559" s="10" t="str">
        <f>VLOOKUP(K3559,Accounts!A:B,2,FALSE)</f>
        <v xml:space="preserve">Marriage account</v>
      </c>
      <c r="M3559" t="s">
        <v>124</v>
      </c>
      <c r="N3559" s="10"/>
      <c r="O3559" t="s">
        <v>6430</v>
      </c>
      <c r="Q3559" t="s">
        <v>126</v>
      </c>
      <c r="R3559" t="s">
        <v>124</v>
      </c>
      <c r="S3559" t="b">
        <v>0</v>
      </c>
      <c r="T3559" t="s">
        <v>124</v>
      </c>
    </row>
    <row r="3560">
      <c r="A3560" t="s">
        <v>6431</v>
      </c>
      <c r="B3560" t="s">
        <v>6418</v>
      </c>
      <c r="C3560" s="2">
        <v>2021</v>
      </c>
      <c r="D3560" s="10">
        <v>11</v>
      </c>
      <c r="E3560" s="10">
        <v>20</v>
      </c>
      <c r="F3560" t="s">
        <v>1221</v>
      </c>
      <c r="G3560">
        <v>99</v>
      </c>
      <c r="H3560" t="s">
        <v>69</v>
      </c>
      <c r="I3560" t="s">
        <v>338</v>
      </c>
      <c r="J3560" s="10" t="str">
        <f>VLOOKUP(I3560,Categories!A:B,2,FALSE)</f>
        <v>Trips</v>
      </c>
      <c r="K3560" t="s">
        <v>747</v>
      </c>
      <c r="L3560" s="10" t="str">
        <f>VLOOKUP(K3560,Accounts!A:B,2,FALSE)</f>
        <v xml:space="preserve">UOB world</v>
      </c>
      <c r="M3560" t="s">
        <v>124</v>
      </c>
      <c r="N3560" s="10"/>
      <c r="O3560" t="s">
        <v>5387</v>
      </c>
      <c r="Q3560" t="s">
        <v>126</v>
      </c>
      <c r="R3560" t="s">
        <v>124</v>
      </c>
      <c r="S3560" t="b">
        <v>0</v>
      </c>
      <c r="T3560" t="s">
        <v>124</v>
      </c>
    </row>
    <row r="3561">
      <c r="A3561" t="s">
        <v>6432</v>
      </c>
      <c r="B3561" t="s">
        <v>6433</v>
      </c>
      <c r="C3561" s="2">
        <v>2021</v>
      </c>
      <c r="D3561" s="10">
        <v>11</v>
      </c>
      <c r="E3561" s="10">
        <v>19</v>
      </c>
      <c r="F3561" t="s">
        <v>440</v>
      </c>
      <c r="G3561">
        <v>620</v>
      </c>
      <c r="H3561" t="s">
        <v>69</v>
      </c>
      <c r="I3561" t="s">
        <v>150</v>
      </c>
      <c r="J3561" s="10" t="str">
        <f>VLOOKUP(I3561,Categories!A:B,2,FALSE)</f>
        <v xml:space="preserve">Food &amp; Coff</v>
      </c>
      <c r="K3561" t="s">
        <v>2317</v>
      </c>
      <c r="L3561" s="10" t="str">
        <f>VLOOKUP(K3561,Accounts!A:B,2,FALSE)</f>
        <v xml:space="preserve">Marriage account</v>
      </c>
      <c r="M3561" t="s">
        <v>124</v>
      </c>
      <c r="N3561" s="10"/>
      <c r="O3561" t="s">
        <v>6434</v>
      </c>
      <c r="Q3561" t="s">
        <v>126</v>
      </c>
      <c r="R3561" t="s">
        <v>124</v>
      </c>
      <c r="S3561" t="b">
        <v>0</v>
      </c>
      <c r="T3561" t="s">
        <v>124</v>
      </c>
    </row>
    <row r="3562">
      <c r="A3562" t="s">
        <v>6435</v>
      </c>
      <c r="B3562" t="s">
        <v>6433</v>
      </c>
      <c r="C3562" s="2">
        <v>2021</v>
      </c>
      <c r="D3562" s="10">
        <v>11</v>
      </c>
      <c r="E3562" s="10">
        <v>19</v>
      </c>
      <c r="F3562" t="s">
        <v>5638</v>
      </c>
      <c r="G3562">
        <v>1020</v>
      </c>
      <c r="H3562" t="s">
        <v>69</v>
      </c>
      <c r="I3562" t="s">
        <v>144</v>
      </c>
      <c r="J3562" s="10" t="str">
        <f>VLOOKUP(I3562,Categories!A:B,2,FALSE)</f>
        <v xml:space="preserve">Family paid</v>
      </c>
      <c r="K3562" t="s">
        <v>178</v>
      </c>
      <c r="L3562" s="10" t="str">
        <f>VLOOKUP(K3562,Accounts!A:B,2,FALSE)</f>
        <v>SCB</v>
      </c>
      <c r="M3562" t="s">
        <v>124</v>
      </c>
      <c r="N3562" s="10"/>
      <c r="O3562" t="s">
        <v>125</v>
      </c>
      <c r="Q3562" t="s">
        <v>126</v>
      </c>
      <c r="R3562" t="s">
        <v>124</v>
      </c>
      <c r="S3562" t="b">
        <v>0</v>
      </c>
      <c r="T3562" t="s">
        <v>124</v>
      </c>
    </row>
    <row r="3563">
      <c r="A3563" t="s">
        <v>6436</v>
      </c>
      <c r="B3563" t="s">
        <v>6437</v>
      </c>
      <c r="C3563" s="2">
        <v>2021</v>
      </c>
      <c r="D3563" s="10">
        <v>11</v>
      </c>
      <c r="E3563" s="10">
        <v>16</v>
      </c>
      <c r="F3563" t="s">
        <v>1231</v>
      </c>
      <c r="G3563">
        <v>170</v>
      </c>
      <c r="H3563" t="s">
        <v>69</v>
      </c>
      <c r="I3563" t="s">
        <v>150</v>
      </c>
      <c r="J3563" s="10" t="str">
        <f>VLOOKUP(I3563,Categories!A:B,2,FALSE)</f>
        <v xml:space="preserve">Food &amp; Coff</v>
      </c>
      <c r="K3563" t="s">
        <v>2317</v>
      </c>
      <c r="L3563" s="10" t="str">
        <f>VLOOKUP(K3563,Accounts!A:B,2,FALSE)</f>
        <v xml:space="preserve">Marriage account</v>
      </c>
      <c r="M3563" t="s">
        <v>124</v>
      </c>
      <c r="N3563" s="10"/>
      <c r="O3563" t="s">
        <v>6438</v>
      </c>
      <c r="Q3563" t="s">
        <v>126</v>
      </c>
      <c r="R3563" t="s">
        <v>124</v>
      </c>
      <c r="S3563" t="b">
        <v>0</v>
      </c>
      <c r="T3563" t="s">
        <v>124</v>
      </c>
    </row>
    <row r="3564">
      <c r="A3564" t="s">
        <v>6439</v>
      </c>
      <c r="B3564" t="s">
        <v>6437</v>
      </c>
      <c r="C3564" s="2">
        <v>2021</v>
      </c>
      <c r="D3564" s="10">
        <v>11</v>
      </c>
      <c r="E3564" s="10">
        <v>16</v>
      </c>
      <c r="F3564" t="s">
        <v>2827</v>
      </c>
      <c r="G3564">
        <v>5300</v>
      </c>
      <c r="H3564" t="s">
        <v>69</v>
      </c>
      <c r="I3564" t="s">
        <v>122</v>
      </c>
      <c r="J3564" s="10" t="str">
        <f>VLOOKUP(I3564,Categories!A:B,2,FALSE)</f>
        <v>Other</v>
      </c>
      <c r="K3564" t="s">
        <v>130</v>
      </c>
      <c r="L3564" s="10" t="str">
        <f>VLOOKUP(K3564,Accounts!A:B,2,FALSE)</f>
        <v xml:space="preserve">KTC JCB</v>
      </c>
      <c r="M3564" t="s">
        <v>124</v>
      </c>
      <c r="N3564" s="10"/>
      <c r="O3564" t="s">
        <v>6440</v>
      </c>
      <c r="Q3564" t="s">
        <v>126</v>
      </c>
      <c r="R3564" t="s">
        <v>124</v>
      </c>
      <c r="S3564" t="b">
        <v>0</v>
      </c>
      <c r="T3564" t="s">
        <v>124</v>
      </c>
    </row>
    <row r="3565">
      <c r="A3565" t="s">
        <v>6441</v>
      </c>
      <c r="B3565" t="s">
        <v>6437</v>
      </c>
      <c r="C3565" s="2">
        <v>2021</v>
      </c>
      <c r="D3565" s="10">
        <v>11</v>
      </c>
      <c r="E3565" s="10">
        <v>16</v>
      </c>
      <c r="F3565" t="s">
        <v>994</v>
      </c>
      <c r="G3565">
        <v>389</v>
      </c>
      <c r="H3565" t="s">
        <v>69</v>
      </c>
      <c r="I3565" t="s">
        <v>150</v>
      </c>
      <c r="J3565" s="10" t="str">
        <f>VLOOKUP(I3565,Categories!A:B,2,FALSE)</f>
        <v xml:space="preserve">Food &amp; Coff</v>
      </c>
      <c r="K3565" t="s">
        <v>2317</v>
      </c>
      <c r="L3565" s="10" t="str">
        <f>VLOOKUP(K3565,Accounts!A:B,2,FALSE)</f>
        <v xml:space="preserve">Marriage account</v>
      </c>
      <c r="M3565" t="s">
        <v>124</v>
      </c>
      <c r="N3565" s="10"/>
      <c r="O3565" t="s">
        <v>6442</v>
      </c>
      <c r="Q3565" t="s">
        <v>126</v>
      </c>
      <c r="R3565" t="s">
        <v>124</v>
      </c>
      <c r="S3565" t="b">
        <v>0</v>
      </c>
      <c r="T3565" t="s">
        <v>124</v>
      </c>
    </row>
    <row r="3566">
      <c r="A3566" t="s">
        <v>6443</v>
      </c>
      <c r="B3566" t="s">
        <v>6437</v>
      </c>
      <c r="C3566" s="2">
        <v>2021</v>
      </c>
      <c r="D3566" s="10">
        <v>11</v>
      </c>
      <c r="E3566" s="10">
        <v>16</v>
      </c>
      <c r="F3566" t="s">
        <v>1832</v>
      </c>
      <c r="G3566">
        <v>100</v>
      </c>
      <c r="H3566" t="s">
        <v>69</v>
      </c>
      <c r="I3566" t="s">
        <v>122</v>
      </c>
      <c r="J3566" s="10" t="str">
        <f>VLOOKUP(I3566,Categories!A:B,2,FALSE)</f>
        <v>Other</v>
      </c>
      <c r="K3566" t="s">
        <v>425</v>
      </c>
      <c r="L3566" s="10" t="str">
        <f>VLOOKUP(K3566,Accounts!A:B,2,FALSE)</f>
        <v>Cash</v>
      </c>
      <c r="M3566" t="s">
        <v>124</v>
      </c>
      <c r="N3566" s="10"/>
      <c r="O3566" t="s">
        <v>377</v>
      </c>
      <c r="Q3566" t="s">
        <v>126</v>
      </c>
      <c r="R3566" t="s">
        <v>124</v>
      </c>
      <c r="S3566" t="b">
        <v>0</v>
      </c>
      <c r="T3566" t="s">
        <v>124</v>
      </c>
    </row>
    <row r="3567">
      <c r="A3567" t="s">
        <v>6444</v>
      </c>
      <c r="B3567" t="s">
        <v>6437</v>
      </c>
      <c r="C3567" s="2">
        <v>2021</v>
      </c>
      <c r="D3567" s="10">
        <v>11</v>
      </c>
      <c r="E3567" s="10">
        <v>16</v>
      </c>
      <c r="F3567" t="s">
        <v>4465</v>
      </c>
      <c r="G3567">
        <v>70</v>
      </c>
      <c r="H3567" t="s">
        <v>69</v>
      </c>
      <c r="I3567" t="s">
        <v>150</v>
      </c>
      <c r="J3567" s="10" t="str">
        <f>VLOOKUP(I3567,Categories!A:B,2,FALSE)</f>
        <v xml:space="preserve">Food &amp; Coff</v>
      </c>
      <c r="K3567" t="s">
        <v>425</v>
      </c>
      <c r="L3567" s="10" t="str">
        <f>VLOOKUP(K3567,Accounts!A:B,2,FALSE)</f>
        <v>Cash</v>
      </c>
      <c r="M3567" t="s">
        <v>124</v>
      </c>
      <c r="N3567" s="10"/>
      <c r="O3567" t="s">
        <v>6445</v>
      </c>
      <c r="Q3567" t="s">
        <v>126</v>
      </c>
      <c r="R3567" t="s">
        <v>124</v>
      </c>
      <c r="S3567" t="b">
        <v>0</v>
      </c>
      <c r="T3567" t="s">
        <v>124</v>
      </c>
    </row>
    <row r="3568">
      <c r="A3568" t="s">
        <v>6446</v>
      </c>
      <c r="B3568" t="s">
        <v>6447</v>
      </c>
      <c r="C3568" s="2">
        <v>2021</v>
      </c>
      <c r="D3568" s="10">
        <v>11</v>
      </c>
      <c r="E3568" s="10">
        <v>15</v>
      </c>
      <c r="F3568" t="s">
        <v>121</v>
      </c>
      <c r="G3568">
        <v>420</v>
      </c>
      <c r="H3568" t="s">
        <v>128</v>
      </c>
      <c r="I3568" t="s">
        <v>136</v>
      </c>
      <c r="J3568" s="10" t="str">
        <f>VLOOKUP(I3568,Categories!A:B,2,FALSE)</f>
        <v>อื่นๆ</v>
      </c>
      <c r="K3568" t="s">
        <v>178</v>
      </c>
      <c r="L3568" s="10" t="str">
        <f>VLOOKUP(K3568,Accounts!A:B,2,FALSE)</f>
        <v>SCB</v>
      </c>
      <c r="M3568" t="s">
        <v>747</v>
      </c>
      <c r="N3568" s="10" t="str">
        <f>VLOOKUP(M3568,Accounts!A:B,2,FALSE)</f>
        <v xml:space="preserve">UOB world</v>
      </c>
      <c r="O3568" t="s">
        <v>125</v>
      </c>
      <c r="Q3568" t="s">
        <v>126</v>
      </c>
      <c r="R3568" t="s">
        <v>124</v>
      </c>
      <c r="S3568" t="b">
        <v>0</v>
      </c>
      <c r="T3568" t="s">
        <v>124</v>
      </c>
    </row>
    <row r="3569">
      <c r="A3569" t="s">
        <v>6448</v>
      </c>
      <c r="B3569" t="s">
        <v>6449</v>
      </c>
      <c r="C3569" s="2">
        <v>2021</v>
      </c>
      <c r="D3569" s="10">
        <v>11</v>
      </c>
      <c r="E3569" s="10">
        <v>14</v>
      </c>
      <c r="F3569" t="s">
        <v>121</v>
      </c>
      <c r="G3569">
        <v>419</v>
      </c>
      <c r="H3569" t="s">
        <v>69</v>
      </c>
      <c r="I3569" t="s">
        <v>1903</v>
      </c>
      <c r="J3569" s="10" t="str">
        <f>VLOOKUP(I3569,Categories!A:B,2,FALSE)</f>
        <v xml:space="preserve">Monthly subscription</v>
      </c>
      <c r="K3569" t="s">
        <v>747</v>
      </c>
      <c r="L3569" s="10" t="str">
        <f>VLOOKUP(K3569,Accounts!A:B,2,FALSE)</f>
        <v xml:space="preserve">UOB world</v>
      </c>
      <c r="M3569" t="s">
        <v>124</v>
      </c>
      <c r="N3569" s="10"/>
      <c r="O3569" t="s">
        <v>125</v>
      </c>
      <c r="Q3569" t="s">
        <v>126</v>
      </c>
      <c r="R3569" t="s">
        <v>124</v>
      </c>
      <c r="S3569" t="b">
        <v>0</v>
      </c>
      <c r="T3569" t="s">
        <v>124</v>
      </c>
    </row>
    <row r="3570">
      <c r="A3570" t="s">
        <v>6450</v>
      </c>
      <c r="B3570" t="s">
        <v>6449</v>
      </c>
      <c r="C3570" s="2">
        <v>2021</v>
      </c>
      <c r="D3570" s="10">
        <v>11</v>
      </c>
      <c r="E3570" s="10">
        <v>14</v>
      </c>
      <c r="F3570" t="s">
        <v>3099</v>
      </c>
      <c r="G3570">
        <v>1321.28</v>
      </c>
      <c r="H3570" t="s">
        <v>69</v>
      </c>
      <c r="I3570" t="s">
        <v>1882</v>
      </c>
      <c r="J3570" s="10" t="str">
        <f>VLOOKUP(I3570,Categories!A:B,2,FALSE)</f>
        <v>utility</v>
      </c>
      <c r="K3570" t="s">
        <v>2317</v>
      </c>
      <c r="L3570" s="10" t="str">
        <f>VLOOKUP(K3570,Accounts!A:B,2,FALSE)</f>
        <v xml:space="preserve">Marriage account</v>
      </c>
      <c r="M3570" t="s">
        <v>124</v>
      </c>
      <c r="N3570" s="10"/>
      <c r="O3570" t="s">
        <v>1589</v>
      </c>
      <c r="Q3570" t="s">
        <v>126</v>
      </c>
      <c r="R3570" t="s">
        <v>124</v>
      </c>
      <c r="S3570" t="b">
        <v>0</v>
      </c>
      <c r="T3570" t="s">
        <v>124</v>
      </c>
    </row>
    <row r="3571">
      <c r="A3571" t="s">
        <v>6451</v>
      </c>
      <c r="B3571" t="s">
        <v>6449</v>
      </c>
      <c r="C3571" s="2">
        <v>2021</v>
      </c>
      <c r="D3571" s="10">
        <v>11</v>
      </c>
      <c r="E3571" s="10">
        <v>14</v>
      </c>
      <c r="F3571" t="s">
        <v>3197</v>
      </c>
      <c r="G3571">
        <v>144</v>
      </c>
      <c r="H3571" t="s">
        <v>69</v>
      </c>
      <c r="I3571" t="s">
        <v>150</v>
      </c>
      <c r="J3571" s="10" t="str">
        <f>VLOOKUP(I3571,Categories!A:B,2,FALSE)</f>
        <v xml:space="preserve">Food &amp; Coff</v>
      </c>
      <c r="K3571" t="s">
        <v>747</v>
      </c>
      <c r="L3571" s="10" t="str">
        <f>VLOOKUP(K3571,Accounts!A:B,2,FALSE)</f>
        <v xml:space="preserve">UOB world</v>
      </c>
      <c r="M3571" t="s">
        <v>124</v>
      </c>
      <c r="N3571" s="10"/>
      <c r="O3571" t="s">
        <v>5387</v>
      </c>
      <c r="Q3571" t="s">
        <v>126</v>
      </c>
      <c r="R3571" t="s">
        <v>124</v>
      </c>
      <c r="S3571" t="b">
        <v>0</v>
      </c>
      <c r="T3571" t="s">
        <v>124</v>
      </c>
    </row>
    <row r="3572">
      <c r="A3572" t="s">
        <v>6452</v>
      </c>
      <c r="B3572" t="s">
        <v>6449</v>
      </c>
      <c r="C3572" s="2">
        <v>2021</v>
      </c>
      <c r="D3572" s="10">
        <v>11</v>
      </c>
      <c r="E3572" s="10">
        <v>14</v>
      </c>
      <c r="F3572" t="s">
        <v>2884</v>
      </c>
      <c r="G3572">
        <v>11750</v>
      </c>
      <c r="H3572" t="s">
        <v>69</v>
      </c>
      <c r="I3572" t="s">
        <v>144</v>
      </c>
      <c r="J3572" s="10" t="str">
        <f>VLOOKUP(I3572,Categories!A:B,2,FALSE)</f>
        <v xml:space="preserve">Family paid</v>
      </c>
      <c r="K3572" t="s">
        <v>743</v>
      </c>
      <c r="L3572" s="10" t="str">
        <f>VLOOKUP(K3572,Accounts!A:B,2,FALSE)</f>
        <v>HOMEPRO</v>
      </c>
      <c r="M3572" t="s">
        <v>124</v>
      </c>
      <c r="N3572" s="10"/>
      <c r="O3572" t="s">
        <v>125</v>
      </c>
      <c r="Q3572" t="s">
        <v>126</v>
      </c>
      <c r="R3572" t="s">
        <v>124</v>
      </c>
      <c r="S3572" t="b">
        <v>0</v>
      </c>
      <c r="T3572" t="s">
        <v>124</v>
      </c>
    </row>
    <row r="3573">
      <c r="A3573" t="s">
        <v>6453</v>
      </c>
      <c r="B3573" t="s">
        <v>6449</v>
      </c>
      <c r="C3573" s="2">
        <v>2021</v>
      </c>
      <c r="D3573" s="10">
        <v>11</v>
      </c>
      <c r="E3573" s="10">
        <v>14</v>
      </c>
      <c r="F3573" t="s">
        <v>1476</v>
      </c>
      <c r="G3573">
        <v>215</v>
      </c>
      <c r="H3573" t="s">
        <v>69</v>
      </c>
      <c r="I3573" t="s">
        <v>150</v>
      </c>
      <c r="J3573" s="10" t="str">
        <f>VLOOKUP(I3573,Categories!A:B,2,FALSE)</f>
        <v xml:space="preserve">Food &amp; Coff</v>
      </c>
      <c r="K3573" t="s">
        <v>2317</v>
      </c>
      <c r="L3573" s="10" t="str">
        <f>VLOOKUP(K3573,Accounts!A:B,2,FALSE)</f>
        <v xml:space="preserve">Marriage account</v>
      </c>
      <c r="M3573" t="s">
        <v>124</v>
      </c>
      <c r="N3573" s="10"/>
      <c r="O3573" t="s">
        <v>6454</v>
      </c>
      <c r="Q3573" t="s">
        <v>126</v>
      </c>
      <c r="R3573" t="s">
        <v>124</v>
      </c>
      <c r="S3573" t="b">
        <v>0</v>
      </c>
      <c r="T3573" t="s">
        <v>124</v>
      </c>
    </row>
    <row r="3574">
      <c r="A3574" t="s">
        <v>6455</v>
      </c>
      <c r="B3574" t="s">
        <v>6449</v>
      </c>
      <c r="C3574" s="2">
        <v>2021</v>
      </c>
      <c r="D3574" s="10">
        <v>11</v>
      </c>
      <c r="E3574" s="10">
        <v>14</v>
      </c>
      <c r="F3574" t="s">
        <v>4892</v>
      </c>
      <c r="G3574">
        <v>180</v>
      </c>
      <c r="H3574" t="s">
        <v>69</v>
      </c>
      <c r="I3574" t="s">
        <v>150</v>
      </c>
      <c r="J3574" s="10" t="str">
        <f>VLOOKUP(I3574,Categories!A:B,2,FALSE)</f>
        <v xml:space="preserve">Food &amp; Coff</v>
      </c>
      <c r="K3574" t="s">
        <v>2317</v>
      </c>
      <c r="L3574" s="10" t="str">
        <f>VLOOKUP(K3574,Accounts!A:B,2,FALSE)</f>
        <v xml:space="preserve">Marriage account</v>
      </c>
      <c r="M3574" t="s">
        <v>124</v>
      </c>
      <c r="N3574" s="10"/>
      <c r="O3574" t="s">
        <v>6456</v>
      </c>
      <c r="Q3574" t="s">
        <v>126</v>
      </c>
      <c r="R3574" t="s">
        <v>124</v>
      </c>
      <c r="S3574" t="b">
        <v>0</v>
      </c>
      <c r="T3574" t="s">
        <v>124</v>
      </c>
    </row>
    <row r="3575">
      <c r="A3575" t="s">
        <v>6457</v>
      </c>
      <c r="B3575" t="s">
        <v>6449</v>
      </c>
      <c r="C3575" s="2">
        <v>2021</v>
      </c>
      <c r="D3575" s="10">
        <v>11</v>
      </c>
      <c r="E3575" s="10">
        <v>14</v>
      </c>
      <c r="F3575" t="s">
        <v>1862</v>
      </c>
      <c r="G3575">
        <v>401.75</v>
      </c>
      <c r="H3575" t="s">
        <v>69</v>
      </c>
      <c r="I3575" t="s">
        <v>1679</v>
      </c>
      <c r="J3575" s="10" t="str">
        <f>VLOOKUP(I3575,Categories!A:B,2,FALSE)</f>
        <v xml:space="preserve">Condo stuff</v>
      </c>
      <c r="K3575" t="s">
        <v>130</v>
      </c>
      <c r="L3575" s="10" t="str">
        <f>VLOOKUP(K3575,Accounts!A:B,2,FALSE)</f>
        <v xml:space="preserve">KTC JCB</v>
      </c>
      <c r="M3575" t="s">
        <v>124</v>
      </c>
      <c r="N3575" s="10"/>
      <c r="O3575" t="s">
        <v>6458</v>
      </c>
      <c r="Q3575" t="s">
        <v>126</v>
      </c>
      <c r="R3575" t="s">
        <v>124</v>
      </c>
      <c r="S3575" t="b">
        <v>0</v>
      </c>
      <c r="T3575" t="s">
        <v>124</v>
      </c>
    </row>
    <row r="3576">
      <c r="A3576" t="s">
        <v>6459</v>
      </c>
      <c r="B3576" t="s">
        <v>6460</v>
      </c>
      <c r="C3576" s="2">
        <v>2021</v>
      </c>
      <c r="D3576" s="10">
        <v>11</v>
      </c>
      <c r="E3576" s="10">
        <v>13</v>
      </c>
      <c r="F3576" t="s">
        <v>1265</v>
      </c>
      <c r="G3576">
        <v>574</v>
      </c>
      <c r="H3576" t="s">
        <v>128</v>
      </c>
      <c r="I3576" t="s">
        <v>136</v>
      </c>
      <c r="J3576" s="10" t="str">
        <f>VLOOKUP(I3576,Categories!A:B,2,FALSE)</f>
        <v>อื่นๆ</v>
      </c>
      <c r="K3576" t="s">
        <v>5806</v>
      </c>
      <c r="L3576" s="10" t="str">
        <f>VLOOKUP(K3576,Accounts!A:B,2,FALSE)</f>
        <v>Grabpay</v>
      </c>
      <c r="M3576" t="s">
        <v>178</v>
      </c>
      <c r="N3576" s="10" t="str">
        <f>VLOOKUP(M3576,Accounts!A:B,2,FALSE)</f>
        <v>SCB</v>
      </c>
      <c r="O3576" t="s">
        <v>125</v>
      </c>
      <c r="Q3576" t="s">
        <v>126</v>
      </c>
      <c r="R3576" t="s">
        <v>124</v>
      </c>
      <c r="S3576" t="b">
        <v>0</v>
      </c>
      <c r="T3576" t="s">
        <v>124</v>
      </c>
    </row>
    <row r="3577">
      <c r="A3577" t="s">
        <v>6461</v>
      </c>
      <c r="B3577" t="s">
        <v>6460</v>
      </c>
      <c r="C3577" s="2">
        <v>2021</v>
      </c>
      <c r="D3577" s="10">
        <v>11</v>
      </c>
      <c r="E3577" s="10">
        <v>13</v>
      </c>
      <c r="F3577" t="s">
        <v>1060</v>
      </c>
      <c r="G3577">
        <v>400</v>
      </c>
      <c r="H3577" t="s">
        <v>128</v>
      </c>
      <c r="I3577" t="s">
        <v>136</v>
      </c>
      <c r="J3577" s="10" t="str">
        <f>VLOOKUP(I3577,Categories!A:B,2,FALSE)</f>
        <v>อื่นๆ</v>
      </c>
      <c r="K3577" t="s">
        <v>5803</v>
      </c>
      <c r="L3577" s="10" t="str">
        <f>VLOOKUP(K3577,Accounts!A:B,2,FALSE)</f>
        <v>grabvoucher</v>
      </c>
      <c r="M3577" t="s">
        <v>178</v>
      </c>
      <c r="N3577" s="10" t="str">
        <f>VLOOKUP(M3577,Accounts!A:B,2,FALSE)</f>
        <v>SCB</v>
      </c>
      <c r="O3577" t="s">
        <v>125</v>
      </c>
      <c r="Q3577" t="s">
        <v>126</v>
      </c>
      <c r="R3577" t="s">
        <v>124</v>
      </c>
      <c r="S3577" t="b">
        <v>0</v>
      </c>
      <c r="T3577" t="s">
        <v>124</v>
      </c>
    </row>
    <row r="3578">
      <c r="A3578" t="s">
        <v>6462</v>
      </c>
      <c r="B3578" t="s">
        <v>6460</v>
      </c>
      <c r="C3578" s="2">
        <v>2021</v>
      </c>
      <c r="D3578" s="10">
        <v>11</v>
      </c>
      <c r="E3578" s="10">
        <v>13</v>
      </c>
      <c r="F3578" t="s">
        <v>2063</v>
      </c>
      <c r="G3578">
        <v>1090</v>
      </c>
      <c r="H3578" t="s">
        <v>128</v>
      </c>
      <c r="I3578" t="s">
        <v>136</v>
      </c>
      <c r="J3578" s="10" t="str">
        <f>VLOOKUP(I3578,Categories!A:B,2,FALSE)</f>
        <v>อื่นๆ</v>
      </c>
      <c r="K3578" t="s">
        <v>178</v>
      </c>
      <c r="L3578" s="10" t="str">
        <f>VLOOKUP(K3578,Accounts!A:B,2,FALSE)</f>
        <v>SCB</v>
      </c>
      <c r="M3578" t="s">
        <v>130</v>
      </c>
      <c r="N3578" s="10" t="str">
        <f>VLOOKUP(M3578,Accounts!A:B,2,FALSE)</f>
        <v xml:space="preserve">KTC JCB</v>
      </c>
      <c r="O3578" t="s">
        <v>125</v>
      </c>
      <c r="Q3578" t="s">
        <v>126</v>
      </c>
      <c r="R3578" t="s">
        <v>124</v>
      </c>
      <c r="S3578" t="b">
        <v>0</v>
      </c>
      <c r="T3578" t="s">
        <v>124</v>
      </c>
    </row>
    <row r="3579">
      <c r="A3579" t="s">
        <v>6463</v>
      </c>
      <c r="B3579" t="s">
        <v>6460</v>
      </c>
      <c r="C3579" s="2">
        <v>2021</v>
      </c>
      <c r="D3579" s="10">
        <v>11</v>
      </c>
      <c r="E3579" s="10">
        <v>13</v>
      </c>
      <c r="F3579" t="s">
        <v>1670</v>
      </c>
      <c r="G3579">
        <v>877.61000000000001</v>
      </c>
      <c r="H3579" t="s">
        <v>128</v>
      </c>
      <c r="I3579" t="s">
        <v>136</v>
      </c>
      <c r="J3579" s="10" t="str">
        <f>VLOOKUP(I3579,Categories!A:B,2,FALSE)</f>
        <v>อื่นๆ</v>
      </c>
      <c r="K3579" t="s">
        <v>178</v>
      </c>
      <c r="L3579" s="10" t="str">
        <f>VLOOKUP(K3579,Accounts!A:B,2,FALSE)</f>
        <v>SCB</v>
      </c>
      <c r="M3579" t="s">
        <v>747</v>
      </c>
      <c r="N3579" s="10" t="str">
        <f>VLOOKUP(M3579,Accounts!A:B,2,FALSE)</f>
        <v xml:space="preserve">UOB world</v>
      </c>
      <c r="O3579" t="s">
        <v>125</v>
      </c>
      <c r="Q3579" t="s">
        <v>126</v>
      </c>
      <c r="R3579" t="s">
        <v>124</v>
      </c>
      <c r="S3579" t="b">
        <v>0</v>
      </c>
      <c r="T3579" t="s">
        <v>124</v>
      </c>
    </row>
    <row r="3580">
      <c r="A3580" t="s">
        <v>6464</v>
      </c>
      <c r="B3580" t="s">
        <v>6460</v>
      </c>
      <c r="C3580" s="2">
        <v>2021</v>
      </c>
      <c r="D3580" s="10">
        <v>11</v>
      </c>
      <c r="E3580" s="10">
        <v>13</v>
      </c>
      <c r="F3580" t="s">
        <v>1028</v>
      </c>
      <c r="G3580">
        <v>876.87</v>
      </c>
      <c r="H3580" t="s">
        <v>69</v>
      </c>
      <c r="I3580" t="s">
        <v>254</v>
      </c>
      <c r="J3580" s="10" t="str">
        <f>VLOOKUP(I3580,Categories!A:B,2,FALSE)</f>
        <v xml:space="preserve">Modified Bal.</v>
      </c>
      <c r="K3580" t="s">
        <v>747</v>
      </c>
      <c r="L3580" s="10" t="str">
        <f>VLOOKUP(K3580,Accounts!A:B,2,FALSE)</f>
        <v xml:space="preserve">UOB world</v>
      </c>
      <c r="M3580" t="s">
        <v>124</v>
      </c>
      <c r="N3580" s="10"/>
      <c r="O3580" t="s">
        <v>255</v>
      </c>
      <c r="Q3580" t="s">
        <v>126</v>
      </c>
      <c r="R3580" t="s">
        <v>124</v>
      </c>
      <c r="S3580" t="b">
        <v>0</v>
      </c>
      <c r="T3580" t="s">
        <v>124</v>
      </c>
    </row>
    <row r="3581">
      <c r="A3581" t="s">
        <v>6465</v>
      </c>
      <c r="B3581" t="s">
        <v>6460</v>
      </c>
      <c r="C3581" s="2">
        <v>2021</v>
      </c>
      <c r="D3581" s="10">
        <v>11</v>
      </c>
      <c r="E3581" s="10">
        <v>13</v>
      </c>
      <c r="F3581" t="s">
        <v>1662</v>
      </c>
      <c r="G3581">
        <v>1776</v>
      </c>
      <c r="H3581" t="s">
        <v>69</v>
      </c>
      <c r="I3581" t="s">
        <v>150</v>
      </c>
      <c r="J3581" s="10" t="str">
        <f>VLOOKUP(I3581,Categories!A:B,2,FALSE)</f>
        <v xml:space="preserve">Food &amp; Coff</v>
      </c>
      <c r="K3581" t="s">
        <v>2317</v>
      </c>
      <c r="L3581" s="10" t="str">
        <f>VLOOKUP(K3581,Accounts!A:B,2,FALSE)</f>
        <v xml:space="preserve">Marriage account</v>
      </c>
      <c r="M3581" t="s">
        <v>124</v>
      </c>
      <c r="N3581" s="10"/>
      <c r="O3581" t="s">
        <v>6466</v>
      </c>
      <c r="Q3581" t="s">
        <v>126</v>
      </c>
      <c r="R3581" t="s">
        <v>124</v>
      </c>
      <c r="S3581" t="b">
        <v>0</v>
      </c>
      <c r="T3581" t="s">
        <v>124</v>
      </c>
    </row>
    <row r="3582">
      <c r="A3582" t="s">
        <v>6467</v>
      </c>
      <c r="B3582" t="s">
        <v>6460</v>
      </c>
      <c r="C3582" s="2">
        <v>2021</v>
      </c>
      <c r="D3582" s="10">
        <v>11</v>
      </c>
      <c r="E3582" s="10">
        <v>13</v>
      </c>
      <c r="F3582" t="s">
        <v>1662</v>
      </c>
      <c r="G3582">
        <v>1287</v>
      </c>
      <c r="H3582" t="s">
        <v>69</v>
      </c>
      <c r="I3582" t="s">
        <v>150</v>
      </c>
      <c r="J3582" s="10" t="str">
        <f>VLOOKUP(I3582,Categories!A:B,2,FALSE)</f>
        <v xml:space="preserve">Food &amp; Coff</v>
      </c>
      <c r="K3582" t="s">
        <v>2317</v>
      </c>
      <c r="L3582" s="10" t="str">
        <f>VLOOKUP(K3582,Accounts!A:B,2,FALSE)</f>
        <v xml:space="preserve">Marriage account</v>
      </c>
      <c r="M3582" t="s">
        <v>124</v>
      </c>
      <c r="N3582" s="10"/>
      <c r="O3582" t="s">
        <v>5681</v>
      </c>
      <c r="Q3582" t="s">
        <v>126</v>
      </c>
      <c r="R3582" t="s">
        <v>124</v>
      </c>
      <c r="S3582" t="b">
        <v>0</v>
      </c>
      <c r="T3582" t="s">
        <v>124</v>
      </c>
    </row>
    <row r="3583">
      <c r="A3583" t="s">
        <v>6468</v>
      </c>
      <c r="B3583" t="s">
        <v>6460</v>
      </c>
      <c r="C3583" s="2">
        <v>2021</v>
      </c>
      <c r="D3583" s="10">
        <v>11</v>
      </c>
      <c r="E3583" s="10">
        <v>13</v>
      </c>
      <c r="F3583" t="s">
        <v>3377</v>
      </c>
      <c r="G3583">
        <v>975</v>
      </c>
      <c r="H3583" t="s">
        <v>69</v>
      </c>
      <c r="I3583" t="s">
        <v>3504</v>
      </c>
      <c r="J3583" s="10" t="str">
        <f>VLOOKUP(I3583,Categories!A:B,2,FALSE)</f>
        <v xml:space="preserve">Condo suppliers</v>
      </c>
      <c r="K3583" t="s">
        <v>2317</v>
      </c>
      <c r="L3583" s="10" t="str">
        <f>VLOOKUP(K3583,Accounts!A:B,2,FALSE)</f>
        <v xml:space="preserve">Marriage account</v>
      </c>
      <c r="M3583" t="s">
        <v>124</v>
      </c>
      <c r="N3583" s="10"/>
      <c r="O3583" t="s">
        <v>6469</v>
      </c>
      <c r="Q3583" t="s">
        <v>126</v>
      </c>
      <c r="R3583" t="s">
        <v>124</v>
      </c>
      <c r="S3583" t="b">
        <v>0</v>
      </c>
      <c r="T3583" t="s">
        <v>124</v>
      </c>
    </row>
    <row r="3584">
      <c r="A3584" t="s">
        <v>6470</v>
      </c>
      <c r="B3584" t="s">
        <v>6460</v>
      </c>
      <c r="C3584" s="2">
        <v>2021</v>
      </c>
      <c r="D3584" s="10">
        <v>11</v>
      </c>
      <c r="E3584" s="10">
        <v>13</v>
      </c>
      <c r="F3584" t="s">
        <v>5059</v>
      </c>
      <c r="G3584">
        <v>418</v>
      </c>
      <c r="H3584" t="s">
        <v>69</v>
      </c>
      <c r="I3584" t="s">
        <v>150</v>
      </c>
      <c r="J3584" s="10" t="str">
        <f>VLOOKUP(I3584,Categories!A:B,2,FALSE)</f>
        <v xml:space="preserve">Food &amp; Coff</v>
      </c>
      <c r="K3584" t="s">
        <v>2317</v>
      </c>
      <c r="L3584" s="10" t="str">
        <f>VLOOKUP(K3584,Accounts!A:B,2,FALSE)</f>
        <v xml:space="preserve">Marriage account</v>
      </c>
      <c r="M3584" t="s">
        <v>124</v>
      </c>
      <c r="N3584" s="10"/>
      <c r="O3584" t="s">
        <v>6471</v>
      </c>
      <c r="Q3584" t="s">
        <v>126</v>
      </c>
      <c r="R3584" t="s">
        <v>124</v>
      </c>
      <c r="S3584" t="b">
        <v>0</v>
      </c>
      <c r="T3584" t="s">
        <v>124</v>
      </c>
    </row>
    <row r="3585">
      <c r="A3585" t="s">
        <v>6472</v>
      </c>
      <c r="B3585" t="s">
        <v>6460</v>
      </c>
      <c r="C3585" s="2">
        <v>2021</v>
      </c>
      <c r="D3585" s="10">
        <v>11</v>
      </c>
      <c r="E3585" s="10">
        <v>13</v>
      </c>
      <c r="F3585" t="s">
        <v>1097</v>
      </c>
      <c r="G3585">
        <v>380</v>
      </c>
      <c r="H3585" t="s">
        <v>69</v>
      </c>
      <c r="I3585" t="s">
        <v>150</v>
      </c>
      <c r="J3585" s="10" t="str">
        <f>VLOOKUP(I3585,Categories!A:B,2,FALSE)</f>
        <v xml:space="preserve">Food &amp; Coff</v>
      </c>
      <c r="K3585" t="s">
        <v>2317</v>
      </c>
      <c r="L3585" s="10" t="str">
        <f>VLOOKUP(K3585,Accounts!A:B,2,FALSE)</f>
        <v xml:space="preserve">Marriage account</v>
      </c>
      <c r="M3585" t="s">
        <v>124</v>
      </c>
      <c r="N3585" s="10"/>
      <c r="O3585" t="s">
        <v>5387</v>
      </c>
      <c r="Q3585" t="s">
        <v>126</v>
      </c>
      <c r="R3585" t="s">
        <v>124</v>
      </c>
      <c r="S3585" t="b">
        <v>0</v>
      </c>
      <c r="T3585" t="s">
        <v>124</v>
      </c>
    </row>
    <row r="3586">
      <c r="A3586" t="s">
        <v>6473</v>
      </c>
      <c r="B3586" t="s">
        <v>6460</v>
      </c>
      <c r="C3586" s="2">
        <v>2021</v>
      </c>
      <c r="D3586" s="10">
        <v>11</v>
      </c>
      <c r="E3586" s="10">
        <v>13</v>
      </c>
      <c r="F3586" t="s">
        <v>1097</v>
      </c>
      <c r="G3586">
        <v>750</v>
      </c>
      <c r="H3586" t="s">
        <v>69</v>
      </c>
      <c r="I3586" t="s">
        <v>1882</v>
      </c>
      <c r="J3586" s="10" t="str">
        <f>VLOOKUP(I3586,Categories!A:B,2,FALSE)</f>
        <v>utility</v>
      </c>
      <c r="K3586" t="s">
        <v>2317</v>
      </c>
      <c r="L3586" s="10" t="str">
        <f>VLOOKUP(K3586,Accounts!A:B,2,FALSE)</f>
        <v xml:space="preserve">Marriage account</v>
      </c>
      <c r="M3586" t="s">
        <v>124</v>
      </c>
      <c r="N3586" s="10"/>
      <c r="O3586" t="s">
        <v>3268</v>
      </c>
      <c r="Q3586" t="s">
        <v>126</v>
      </c>
      <c r="R3586" t="s">
        <v>124</v>
      </c>
      <c r="S3586" t="b">
        <v>0</v>
      </c>
      <c r="T3586" t="s">
        <v>124</v>
      </c>
    </row>
    <row r="3587">
      <c r="A3587" t="s">
        <v>6474</v>
      </c>
      <c r="B3587" t="s">
        <v>6460</v>
      </c>
      <c r="C3587" s="2">
        <v>2021</v>
      </c>
      <c r="D3587" s="10">
        <v>11</v>
      </c>
      <c r="E3587" s="10">
        <v>13</v>
      </c>
      <c r="F3587" t="s">
        <v>3674</v>
      </c>
      <c r="G3587">
        <v>174.43000000000001</v>
      </c>
      <c r="H3587" t="s">
        <v>69</v>
      </c>
      <c r="I3587" t="s">
        <v>254</v>
      </c>
      <c r="J3587" s="10" t="str">
        <f>VLOOKUP(I3587,Categories!A:B,2,FALSE)</f>
        <v xml:space="preserve">Modified Bal.</v>
      </c>
      <c r="K3587" t="s">
        <v>2317</v>
      </c>
      <c r="L3587" s="10" t="str">
        <f>VLOOKUP(K3587,Accounts!A:B,2,FALSE)</f>
        <v xml:space="preserve">Marriage account</v>
      </c>
      <c r="M3587" t="s">
        <v>124</v>
      </c>
      <c r="N3587" s="10"/>
      <c r="O3587" t="s">
        <v>255</v>
      </c>
      <c r="Q3587" t="s">
        <v>126</v>
      </c>
      <c r="R3587" t="s">
        <v>124</v>
      </c>
      <c r="S3587" t="b">
        <v>0</v>
      </c>
      <c r="T3587" t="s">
        <v>124</v>
      </c>
    </row>
    <row r="3588">
      <c r="A3588" t="s">
        <v>6475</v>
      </c>
      <c r="B3588" t="s">
        <v>6460</v>
      </c>
      <c r="C3588" s="2">
        <v>2021</v>
      </c>
      <c r="D3588" s="10">
        <v>11</v>
      </c>
      <c r="E3588" s="10">
        <v>13</v>
      </c>
      <c r="F3588" t="s">
        <v>2179</v>
      </c>
      <c r="G3588">
        <v>2000</v>
      </c>
      <c r="H3588" t="s">
        <v>128</v>
      </c>
      <c r="I3588" t="s">
        <v>136</v>
      </c>
      <c r="J3588" s="10" t="str">
        <f>VLOOKUP(I3588,Categories!A:B,2,FALSE)</f>
        <v>อื่นๆ</v>
      </c>
      <c r="K3588" t="s">
        <v>213</v>
      </c>
      <c r="L3588" s="10" t="str">
        <f>VLOOKUP(K3588,Accounts!A:B,2,FALSE)</f>
        <v xml:space="preserve">Krungthai Next</v>
      </c>
      <c r="M3588" t="s">
        <v>2513</v>
      </c>
      <c r="N3588" s="10" t="str">
        <f>VLOOKUP(M3588,Accounts!A:B,2,FALSE)</f>
        <v xml:space="preserve">Pao tung</v>
      </c>
      <c r="O3588" t="s">
        <v>125</v>
      </c>
      <c r="Q3588" t="s">
        <v>126</v>
      </c>
      <c r="R3588" t="s">
        <v>124</v>
      </c>
      <c r="S3588" t="b">
        <v>0</v>
      </c>
      <c r="T3588" t="s">
        <v>124</v>
      </c>
    </row>
    <row r="3589">
      <c r="A3589" t="s">
        <v>6476</v>
      </c>
      <c r="B3589" t="s">
        <v>6460</v>
      </c>
      <c r="C3589" s="2">
        <v>2021</v>
      </c>
      <c r="D3589" s="10">
        <v>11</v>
      </c>
      <c r="E3589" s="10">
        <v>13</v>
      </c>
      <c r="F3589" t="s">
        <v>3150</v>
      </c>
      <c r="G3589">
        <v>4634.5200000000004</v>
      </c>
      <c r="H3589" t="s">
        <v>69</v>
      </c>
      <c r="I3589" t="s">
        <v>338</v>
      </c>
      <c r="J3589" s="10" t="str">
        <f>VLOOKUP(I3589,Categories!A:B,2,FALSE)</f>
        <v>Trips</v>
      </c>
      <c r="K3589" t="s">
        <v>2513</v>
      </c>
      <c r="L3589" s="10" t="str">
        <f>VLOOKUP(K3589,Accounts!A:B,2,FALSE)</f>
        <v xml:space="preserve">Pao tung</v>
      </c>
      <c r="M3589" t="s">
        <v>124</v>
      </c>
      <c r="N3589" s="10"/>
      <c r="O3589" t="s">
        <v>6477</v>
      </c>
      <c r="Q3589" t="s">
        <v>126</v>
      </c>
      <c r="R3589" t="s">
        <v>124</v>
      </c>
      <c r="S3589" t="b">
        <v>0</v>
      </c>
      <c r="T3589" t="s">
        <v>124</v>
      </c>
    </row>
    <row r="3590">
      <c r="A3590" t="s">
        <v>6478</v>
      </c>
      <c r="B3590" t="s">
        <v>6460</v>
      </c>
      <c r="C3590" s="2">
        <v>2021</v>
      </c>
      <c r="D3590" s="10">
        <v>11</v>
      </c>
      <c r="E3590" s="10">
        <v>13</v>
      </c>
      <c r="F3590" t="s">
        <v>3590</v>
      </c>
      <c r="G3590">
        <v>170</v>
      </c>
      <c r="H3590" t="s">
        <v>69</v>
      </c>
      <c r="I3590" t="s">
        <v>150</v>
      </c>
      <c r="J3590" s="10" t="str">
        <f>VLOOKUP(I3590,Categories!A:B,2,FALSE)</f>
        <v xml:space="preserve">Food &amp; Coff</v>
      </c>
      <c r="K3590" t="s">
        <v>130</v>
      </c>
      <c r="L3590" s="10" t="str">
        <f>VLOOKUP(K3590,Accounts!A:B,2,FALSE)</f>
        <v xml:space="preserve">KTC JCB</v>
      </c>
      <c r="M3590" t="s">
        <v>124</v>
      </c>
      <c r="N3590" s="10"/>
      <c r="O3590" t="s">
        <v>125</v>
      </c>
      <c r="Q3590" t="s">
        <v>126</v>
      </c>
      <c r="R3590" t="s">
        <v>124</v>
      </c>
      <c r="S3590" t="b">
        <v>0</v>
      </c>
      <c r="T3590" t="s">
        <v>124</v>
      </c>
    </row>
    <row r="3591">
      <c r="A3591" t="s">
        <v>6479</v>
      </c>
      <c r="B3591" t="s">
        <v>6460</v>
      </c>
      <c r="C3591" s="2">
        <v>2021</v>
      </c>
      <c r="D3591" s="10">
        <v>11</v>
      </c>
      <c r="E3591" s="10">
        <v>13</v>
      </c>
      <c r="F3591" t="s">
        <v>1172</v>
      </c>
      <c r="G3591">
        <v>505</v>
      </c>
      <c r="H3591" t="s">
        <v>206</v>
      </c>
      <c r="I3591" t="s">
        <v>281</v>
      </c>
      <c r="J3591" s="10" t="str">
        <f>VLOOKUP(I3591,Categories!A:B,2,FALSE)</f>
        <v>Others</v>
      </c>
      <c r="K3591" t="s">
        <v>123</v>
      </c>
      <c r="L3591" s="10" t="str">
        <f>VLOOKUP(K3591,Accounts!A:B,2,FALSE)</f>
        <v>KBank</v>
      </c>
      <c r="M3591" t="s">
        <v>124</v>
      </c>
      <c r="N3591" s="10"/>
      <c r="O3591" t="s">
        <v>125</v>
      </c>
      <c r="Q3591" t="s">
        <v>126</v>
      </c>
      <c r="R3591" t="s">
        <v>124</v>
      </c>
      <c r="S3591" t="b">
        <v>0</v>
      </c>
      <c r="T3591" t="s">
        <v>124</v>
      </c>
    </row>
    <row r="3592">
      <c r="A3592" t="s">
        <v>6480</v>
      </c>
      <c r="B3592" t="s">
        <v>6481</v>
      </c>
      <c r="C3592" s="2">
        <v>2021</v>
      </c>
      <c r="D3592" s="10">
        <v>11</v>
      </c>
      <c r="E3592" s="10">
        <v>12</v>
      </c>
      <c r="F3592" t="s">
        <v>5164</v>
      </c>
      <c r="G3592">
        <v>6875</v>
      </c>
      <c r="H3592" t="s">
        <v>206</v>
      </c>
      <c r="I3592" t="s">
        <v>281</v>
      </c>
      <c r="J3592" s="10" t="str">
        <f>VLOOKUP(I3592,Categories!A:B,2,FALSE)</f>
        <v>Others</v>
      </c>
      <c r="K3592" t="s">
        <v>178</v>
      </c>
      <c r="L3592" s="10" t="str">
        <f>VLOOKUP(K3592,Accounts!A:B,2,FALSE)</f>
        <v>SCB</v>
      </c>
      <c r="M3592" t="s">
        <v>124</v>
      </c>
      <c r="N3592" s="10"/>
      <c r="O3592" t="s">
        <v>6482</v>
      </c>
      <c r="Q3592" t="s">
        <v>126</v>
      </c>
      <c r="R3592" t="s">
        <v>124</v>
      </c>
      <c r="S3592" t="b">
        <v>0</v>
      </c>
      <c r="T3592" t="s">
        <v>124</v>
      </c>
    </row>
    <row r="3593">
      <c r="A3593" t="s">
        <v>6483</v>
      </c>
      <c r="B3593" t="s">
        <v>6484</v>
      </c>
      <c r="C3593" s="2">
        <v>2021</v>
      </c>
      <c r="D3593" s="10">
        <v>11</v>
      </c>
      <c r="E3593" s="10">
        <v>11</v>
      </c>
      <c r="F3593" t="s">
        <v>4753</v>
      </c>
      <c r="G3593">
        <v>600</v>
      </c>
      <c r="H3593" t="s">
        <v>128</v>
      </c>
      <c r="I3593" t="s">
        <v>136</v>
      </c>
      <c r="J3593" s="10" t="str">
        <f>VLOOKUP(I3593,Categories!A:B,2,FALSE)</f>
        <v>อื่นๆ</v>
      </c>
      <c r="K3593" t="s">
        <v>178</v>
      </c>
      <c r="L3593" s="10" t="str">
        <f>VLOOKUP(K3593,Accounts!A:B,2,FALSE)</f>
        <v>SCB</v>
      </c>
      <c r="M3593" t="s">
        <v>893</v>
      </c>
      <c r="N3593" s="10" t="str">
        <f>VLOOKUP(M3593,Accounts!A:B,2,FALSE)</f>
        <v>Shopee</v>
      </c>
      <c r="O3593" t="s">
        <v>125</v>
      </c>
      <c r="Q3593" t="s">
        <v>126</v>
      </c>
      <c r="R3593" t="s">
        <v>124</v>
      </c>
      <c r="S3593" t="b">
        <v>0</v>
      </c>
      <c r="T3593" t="s">
        <v>124</v>
      </c>
    </row>
    <row r="3594">
      <c r="A3594" t="s">
        <v>6485</v>
      </c>
      <c r="B3594" t="s">
        <v>6484</v>
      </c>
      <c r="C3594" s="2">
        <v>2021</v>
      </c>
      <c r="D3594" s="10">
        <v>11</v>
      </c>
      <c r="E3594" s="10">
        <v>11</v>
      </c>
      <c r="F3594" t="s">
        <v>696</v>
      </c>
      <c r="G3594">
        <v>1090</v>
      </c>
      <c r="H3594" t="s">
        <v>69</v>
      </c>
      <c r="I3594" t="s">
        <v>338</v>
      </c>
      <c r="J3594" s="10" t="str">
        <f>VLOOKUP(I3594,Categories!A:B,2,FALSE)</f>
        <v>Trips</v>
      </c>
      <c r="K3594" t="s">
        <v>130</v>
      </c>
      <c r="L3594" s="10" t="str">
        <f>VLOOKUP(K3594,Accounts!A:B,2,FALSE)</f>
        <v xml:space="preserve">KTC JCB</v>
      </c>
      <c r="M3594" t="s">
        <v>124</v>
      </c>
      <c r="N3594" s="10"/>
      <c r="O3594" t="s">
        <v>6477</v>
      </c>
      <c r="Q3594" t="s">
        <v>126</v>
      </c>
      <c r="R3594" t="s">
        <v>124</v>
      </c>
      <c r="S3594" t="b">
        <v>0</v>
      </c>
      <c r="T3594" t="s">
        <v>124</v>
      </c>
    </row>
    <row r="3595">
      <c r="A3595" t="s">
        <v>6486</v>
      </c>
      <c r="B3595" t="s">
        <v>6484</v>
      </c>
      <c r="C3595" s="2">
        <v>2021</v>
      </c>
      <c r="D3595" s="10">
        <v>11</v>
      </c>
      <c r="E3595" s="10">
        <v>11</v>
      </c>
      <c r="F3595" t="s">
        <v>191</v>
      </c>
      <c r="G3595">
        <v>3000</v>
      </c>
      <c r="H3595" t="s">
        <v>128</v>
      </c>
      <c r="I3595" t="s">
        <v>136</v>
      </c>
      <c r="J3595" s="10" t="str">
        <f>VLOOKUP(I3595,Categories!A:B,2,FALSE)</f>
        <v>อื่นๆ</v>
      </c>
      <c r="K3595" t="s">
        <v>178</v>
      </c>
      <c r="L3595" s="10" t="str">
        <f>VLOOKUP(K3595,Accounts!A:B,2,FALSE)</f>
        <v>SCB</v>
      </c>
      <c r="M3595" t="s">
        <v>213</v>
      </c>
      <c r="N3595" s="10" t="str">
        <f>VLOOKUP(M3595,Accounts!A:B,2,FALSE)</f>
        <v xml:space="preserve">Krungthai Next</v>
      </c>
      <c r="O3595" t="s">
        <v>125</v>
      </c>
      <c r="Q3595" t="s">
        <v>126</v>
      </c>
      <c r="R3595" t="s">
        <v>124</v>
      </c>
      <c r="S3595" t="b">
        <v>0</v>
      </c>
      <c r="T3595" t="s">
        <v>124</v>
      </c>
    </row>
    <row r="3596">
      <c r="A3596" t="s">
        <v>6487</v>
      </c>
      <c r="B3596" t="s">
        <v>6488</v>
      </c>
      <c r="C3596" s="2">
        <v>2021</v>
      </c>
      <c r="D3596" s="10">
        <v>11</v>
      </c>
      <c r="E3596" s="10">
        <v>10</v>
      </c>
      <c r="F3596" t="s">
        <v>3450</v>
      </c>
      <c r="G3596">
        <v>4566</v>
      </c>
      <c r="H3596" t="s">
        <v>69</v>
      </c>
      <c r="I3596" t="s">
        <v>1508</v>
      </c>
      <c r="J3596" s="10" t="str">
        <f>VLOOKUP(I3596,Categories!A:B,2,FALSE)</f>
        <v>Other</v>
      </c>
      <c r="K3596" t="s">
        <v>743</v>
      </c>
      <c r="L3596" s="10" t="str">
        <f>VLOOKUP(K3596,Accounts!A:B,2,FALSE)</f>
        <v>HOMEPRO</v>
      </c>
      <c r="M3596" t="s">
        <v>124</v>
      </c>
      <c r="N3596" s="10"/>
      <c r="O3596" t="s">
        <v>6489</v>
      </c>
      <c r="Q3596" t="s">
        <v>126</v>
      </c>
      <c r="R3596" t="s">
        <v>124</v>
      </c>
      <c r="S3596" t="b">
        <v>0</v>
      </c>
      <c r="T3596" t="s">
        <v>124</v>
      </c>
    </row>
    <row r="3597">
      <c r="A3597" t="s">
        <v>6490</v>
      </c>
      <c r="B3597" t="s">
        <v>6488</v>
      </c>
      <c r="C3597" s="2">
        <v>2021</v>
      </c>
      <c r="D3597" s="10">
        <v>11</v>
      </c>
      <c r="E3597" s="10">
        <v>10</v>
      </c>
      <c r="F3597" t="s">
        <v>3450</v>
      </c>
      <c r="G3597">
        <v>694.20000000000005</v>
      </c>
      <c r="H3597" t="s">
        <v>69</v>
      </c>
      <c r="I3597" t="s">
        <v>1508</v>
      </c>
      <c r="J3597" s="10" t="str">
        <f>VLOOKUP(I3597,Categories!A:B,2,FALSE)</f>
        <v>Other</v>
      </c>
      <c r="K3597" t="s">
        <v>743</v>
      </c>
      <c r="L3597" s="10" t="str">
        <f>VLOOKUP(K3597,Accounts!A:B,2,FALSE)</f>
        <v>HOMEPRO</v>
      </c>
      <c r="M3597" t="s">
        <v>124</v>
      </c>
      <c r="N3597" s="10"/>
      <c r="O3597" t="s">
        <v>6491</v>
      </c>
      <c r="Q3597" t="s">
        <v>126</v>
      </c>
      <c r="R3597" t="s">
        <v>124</v>
      </c>
      <c r="S3597" t="b">
        <v>0</v>
      </c>
      <c r="T3597" t="s">
        <v>124</v>
      </c>
    </row>
    <row r="3598">
      <c r="A3598" t="s">
        <v>6492</v>
      </c>
      <c r="B3598" t="s">
        <v>6493</v>
      </c>
      <c r="C3598" s="2">
        <v>2021</v>
      </c>
      <c r="D3598" s="10">
        <v>11</v>
      </c>
      <c r="E3598" s="10">
        <v>8</v>
      </c>
      <c r="F3598" t="s">
        <v>219</v>
      </c>
      <c r="G3598">
        <v>2137.46</v>
      </c>
      <c r="H3598" t="s">
        <v>69</v>
      </c>
      <c r="I3598" t="s">
        <v>139</v>
      </c>
      <c r="J3598" s="10" t="str">
        <f>VLOOKUP(I3598,Categories!A:B,2,FALSE)</f>
        <v>Condo</v>
      </c>
      <c r="K3598" t="s">
        <v>178</v>
      </c>
      <c r="L3598" s="10" t="str">
        <f>VLOOKUP(K3598,Accounts!A:B,2,FALSE)</f>
        <v>SCB</v>
      </c>
      <c r="M3598" t="s">
        <v>124</v>
      </c>
      <c r="N3598" s="10"/>
      <c r="O3598" t="s">
        <v>125</v>
      </c>
      <c r="Q3598" t="s">
        <v>126</v>
      </c>
      <c r="R3598" t="s">
        <v>124</v>
      </c>
      <c r="S3598" t="b">
        <v>0</v>
      </c>
      <c r="T3598" t="s">
        <v>124</v>
      </c>
    </row>
    <row r="3599">
      <c r="A3599" t="s">
        <v>6494</v>
      </c>
      <c r="B3599" t="s">
        <v>6495</v>
      </c>
      <c r="C3599" s="2">
        <v>2021</v>
      </c>
      <c r="D3599" s="10">
        <v>11</v>
      </c>
      <c r="E3599" s="10">
        <v>6</v>
      </c>
      <c r="F3599" t="s">
        <v>3008</v>
      </c>
      <c r="G3599">
        <v>55</v>
      </c>
      <c r="H3599" t="s">
        <v>69</v>
      </c>
      <c r="I3599" t="s">
        <v>150</v>
      </c>
      <c r="J3599" s="10" t="str">
        <f>VLOOKUP(I3599,Categories!A:B,2,FALSE)</f>
        <v xml:space="preserve">Food &amp; Coff</v>
      </c>
      <c r="K3599" t="s">
        <v>2317</v>
      </c>
      <c r="L3599" s="10" t="str">
        <f>VLOOKUP(K3599,Accounts!A:B,2,FALSE)</f>
        <v xml:space="preserve">Marriage account</v>
      </c>
      <c r="M3599" t="s">
        <v>124</v>
      </c>
      <c r="N3599" s="10"/>
      <c r="O3599" t="s">
        <v>6496</v>
      </c>
      <c r="Q3599" t="s">
        <v>126</v>
      </c>
      <c r="R3599" t="s">
        <v>124</v>
      </c>
      <c r="S3599" t="b">
        <v>0</v>
      </c>
      <c r="T3599" t="s">
        <v>124</v>
      </c>
    </row>
    <row r="3600">
      <c r="A3600" t="s">
        <v>6497</v>
      </c>
      <c r="B3600" t="s">
        <v>6495</v>
      </c>
      <c r="C3600" s="2">
        <v>2021</v>
      </c>
      <c r="D3600" s="10">
        <v>11</v>
      </c>
      <c r="E3600" s="10">
        <v>6</v>
      </c>
      <c r="F3600" t="s">
        <v>1766</v>
      </c>
      <c r="G3600">
        <v>70</v>
      </c>
      <c r="H3600" t="s">
        <v>128</v>
      </c>
      <c r="I3600" t="s">
        <v>136</v>
      </c>
      <c r="J3600" s="10" t="str">
        <f>VLOOKUP(I3600,Categories!A:B,2,FALSE)</f>
        <v>อื่นๆ</v>
      </c>
      <c r="K3600" t="s">
        <v>893</v>
      </c>
      <c r="L3600" s="10" t="str">
        <f>VLOOKUP(K3600,Accounts!A:B,2,FALSE)</f>
        <v>Shopee</v>
      </c>
      <c r="M3600" t="s">
        <v>178</v>
      </c>
      <c r="N3600" s="10" t="str">
        <f>VLOOKUP(M3600,Accounts!A:B,2,FALSE)</f>
        <v>SCB</v>
      </c>
      <c r="O3600" t="s">
        <v>125</v>
      </c>
      <c r="Q3600" t="s">
        <v>126</v>
      </c>
      <c r="R3600" t="s">
        <v>124</v>
      </c>
      <c r="S3600" t="b">
        <v>0</v>
      </c>
      <c r="T3600" t="s">
        <v>124</v>
      </c>
    </row>
    <row r="3601">
      <c r="A3601" t="s">
        <v>6498</v>
      </c>
      <c r="B3601" t="s">
        <v>6495</v>
      </c>
      <c r="C3601" s="2">
        <v>2021</v>
      </c>
      <c r="D3601" s="10">
        <v>11</v>
      </c>
      <c r="E3601" s="10">
        <v>6</v>
      </c>
      <c r="F3601" t="s">
        <v>1784</v>
      </c>
      <c r="G3601">
        <v>609.70000000000005</v>
      </c>
      <c r="H3601" t="s">
        <v>69</v>
      </c>
      <c r="I3601" t="s">
        <v>150</v>
      </c>
      <c r="J3601" s="10" t="str">
        <f>VLOOKUP(I3601,Categories!A:B,2,FALSE)</f>
        <v xml:space="preserve">Food &amp; Coff</v>
      </c>
      <c r="K3601" t="s">
        <v>2317</v>
      </c>
      <c r="L3601" s="10" t="str">
        <f>VLOOKUP(K3601,Accounts!A:B,2,FALSE)</f>
        <v xml:space="preserve">Marriage account</v>
      </c>
      <c r="M3601" t="s">
        <v>124</v>
      </c>
      <c r="N3601" s="10"/>
      <c r="O3601" t="s">
        <v>6499</v>
      </c>
      <c r="Q3601" t="s">
        <v>126</v>
      </c>
      <c r="R3601" t="s">
        <v>124</v>
      </c>
      <c r="S3601" t="b">
        <v>0</v>
      </c>
      <c r="T3601" t="s">
        <v>124</v>
      </c>
    </row>
    <row r="3602">
      <c r="A3602" t="s">
        <v>6500</v>
      </c>
      <c r="B3602" t="s">
        <v>6501</v>
      </c>
      <c r="C3602" s="2">
        <v>2021</v>
      </c>
      <c r="D3602" s="10">
        <v>11</v>
      </c>
      <c r="E3602" s="10">
        <v>5</v>
      </c>
      <c r="F3602" t="s">
        <v>3966</v>
      </c>
      <c r="G3602">
        <v>35</v>
      </c>
      <c r="H3602" t="s">
        <v>69</v>
      </c>
      <c r="I3602" t="s">
        <v>150</v>
      </c>
      <c r="J3602" s="10" t="str">
        <f>VLOOKUP(I3602,Categories!A:B,2,FALSE)</f>
        <v xml:space="preserve">Food &amp; Coff</v>
      </c>
      <c r="K3602" t="s">
        <v>178</v>
      </c>
      <c r="L3602" s="10" t="str">
        <f>VLOOKUP(K3602,Accounts!A:B,2,FALSE)</f>
        <v>SCB</v>
      </c>
      <c r="M3602" t="s">
        <v>124</v>
      </c>
      <c r="N3602" s="10"/>
      <c r="O3602" t="s">
        <v>125</v>
      </c>
      <c r="Q3602" t="s">
        <v>126</v>
      </c>
      <c r="R3602" t="s">
        <v>124</v>
      </c>
      <c r="S3602" t="b">
        <v>0</v>
      </c>
      <c r="T3602" t="s">
        <v>124</v>
      </c>
    </row>
    <row r="3603">
      <c r="A3603" t="s">
        <v>6502</v>
      </c>
      <c r="B3603" t="s">
        <v>6501</v>
      </c>
      <c r="C3603" s="2">
        <v>2021</v>
      </c>
      <c r="D3603" s="10">
        <v>11</v>
      </c>
      <c r="E3603" s="10">
        <v>5</v>
      </c>
      <c r="F3603" t="s">
        <v>882</v>
      </c>
      <c r="G3603">
        <v>25</v>
      </c>
      <c r="H3603" t="s">
        <v>69</v>
      </c>
      <c r="I3603" t="s">
        <v>150</v>
      </c>
      <c r="J3603" s="10" t="str">
        <f>VLOOKUP(I3603,Categories!A:B,2,FALSE)</f>
        <v xml:space="preserve">Food &amp; Coff</v>
      </c>
      <c r="K3603" t="s">
        <v>178</v>
      </c>
      <c r="L3603" s="10" t="str">
        <f>VLOOKUP(K3603,Accounts!A:B,2,FALSE)</f>
        <v>SCB</v>
      </c>
      <c r="M3603" t="s">
        <v>124</v>
      </c>
      <c r="N3603" s="10"/>
      <c r="O3603" t="s">
        <v>125</v>
      </c>
      <c r="Q3603" t="s">
        <v>126</v>
      </c>
      <c r="R3603" t="s">
        <v>124</v>
      </c>
      <c r="S3603" t="b">
        <v>0</v>
      </c>
      <c r="T3603" t="s">
        <v>124</v>
      </c>
    </row>
    <row r="3604">
      <c r="A3604" t="s">
        <v>6503</v>
      </c>
      <c r="B3604" t="s">
        <v>6501</v>
      </c>
      <c r="C3604" s="2">
        <v>2021</v>
      </c>
      <c r="D3604" s="10">
        <v>11</v>
      </c>
      <c r="E3604" s="10">
        <v>5</v>
      </c>
      <c r="F3604" t="s">
        <v>1424</v>
      </c>
      <c r="G3604">
        <v>605</v>
      </c>
      <c r="H3604" t="s">
        <v>69</v>
      </c>
      <c r="I3604" t="s">
        <v>150</v>
      </c>
      <c r="J3604" s="10" t="str">
        <f>VLOOKUP(I3604,Categories!A:B,2,FALSE)</f>
        <v xml:space="preserve">Food &amp; Coff</v>
      </c>
      <c r="K3604" t="s">
        <v>2317</v>
      </c>
      <c r="L3604" s="10" t="str">
        <f>VLOOKUP(K3604,Accounts!A:B,2,FALSE)</f>
        <v xml:space="preserve">Marriage account</v>
      </c>
      <c r="M3604" t="s">
        <v>124</v>
      </c>
      <c r="N3604" s="10"/>
      <c r="O3604" t="s">
        <v>3328</v>
      </c>
      <c r="Q3604" t="s">
        <v>126</v>
      </c>
      <c r="R3604" t="s">
        <v>124</v>
      </c>
      <c r="S3604" t="b">
        <v>0</v>
      </c>
      <c r="T3604" t="s">
        <v>124</v>
      </c>
    </row>
    <row r="3605">
      <c r="A3605" t="s">
        <v>6504</v>
      </c>
      <c r="B3605" t="s">
        <v>32</v>
      </c>
      <c r="C3605" s="2">
        <v>2021</v>
      </c>
      <c r="D3605" s="10">
        <v>11</v>
      </c>
      <c r="E3605" s="10">
        <v>4</v>
      </c>
      <c r="F3605" t="s">
        <v>1170</v>
      </c>
      <c r="G3605">
        <v>10000</v>
      </c>
      <c r="H3605" t="s">
        <v>128</v>
      </c>
      <c r="I3605" t="s">
        <v>136</v>
      </c>
      <c r="J3605" s="10" t="str">
        <f>VLOOKUP(I3605,Categories!A:B,2,FALSE)</f>
        <v>อื่นๆ</v>
      </c>
      <c r="K3605" t="s">
        <v>123</v>
      </c>
      <c r="L3605" s="10" t="str">
        <f>VLOOKUP(K3605,Accounts!A:B,2,FALSE)</f>
        <v>KBank</v>
      </c>
      <c r="M3605" t="s">
        <v>215</v>
      </c>
      <c r="N3605" s="10" t="str">
        <f>VLOOKUP(M3605,Accounts!A:B,2,FALSE)</f>
        <v>Investment</v>
      </c>
      <c r="O3605" t="s">
        <v>125</v>
      </c>
      <c r="Q3605" t="s">
        <v>126</v>
      </c>
      <c r="R3605" t="s">
        <v>124</v>
      </c>
      <c r="S3605" t="b">
        <v>0</v>
      </c>
      <c r="T3605" t="s">
        <v>124</v>
      </c>
    </row>
    <row r="3606">
      <c r="A3606" t="s">
        <v>6505</v>
      </c>
      <c r="B3606" t="s">
        <v>6506</v>
      </c>
      <c r="C3606" s="2">
        <v>2021</v>
      </c>
      <c r="D3606" s="10">
        <v>11</v>
      </c>
      <c r="E3606" s="10">
        <v>3</v>
      </c>
      <c r="F3606" t="s">
        <v>3068</v>
      </c>
      <c r="G3606">
        <v>10000</v>
      </c>
      <c r="H3606" t="s">
        <v>128</v>
      </c>
      <c r="I3606" t="s">
        <v>136</v>
      </c>
      <c r="J3606" s="10" t="str">
        <f>VLOOKUP(I3606,Categories!A:B,2,FALSE)</f>
        <v>อื่นๆ</v>
      </c>
      <c r="K3606" t="s">
        <v>178</v>
      </c>
      <c r="L3606" s="10" t="str">
        <f>VLOOKUP(K3606,Accounts!A:B,2,FALSE)</f>
        <v>SCB</v>
      </c>
      <c r="M3606" t="s">
        <v>123</v>
      </c>
      <c r="N3606" s="10" t="str">
        <f>VLOOKUP(M3606,Accounts!A:B,2,FALSE)</f>
        <v>KBank</v>
      </c>
      <c r="O3606" t="s">
        <v>125</v>
      </c>
      <c r="Q3606" t="s">
        <v>126</v>
      </c>
      <c r="R3606" t="s">
        <v>124</v>
      </c>
      <c r="S3606" t="b">
        <v>0</v>
      </c>
      <c r="T3606" t="s">
        <v>124</v>
      </c>
    </row>
    <row r="3607">
      <c r="A3607" t="s">
        <v>6507</v>
      </c>
      <c r="B3607" t="s">
        <v>6508</v>
      </c>
      <c r="C3607" s="2">
        <v>2021</v>
      </c>
      <c r="D3607" s="10">
        <v>11</v>
      </c>
      <c r="E3607" s="10">
        <v>1</v>
      </c>
      <c r="F3607" t="s">
        <v>3932</v>
      </c>
      <c r="G3607">
        <v>10000</v>
      </c>
      <c r="H3607" t="s">
        <v>206</v>
      </c>
      <c r="I3607" t="s">
        <v>207</v>
      </c>
      <c r="J3607" s="10" t="str">
        <f>VLOOKUP(I3607,Categories!A:B,2,FALSE)</f>
        <v>Salary</v>
      </c>
      <c r="K3607" t="s">
        <v>2317</v>
      </c>
      <c r="L3607" s="10" t="str">
        <f>VLOOKUP(K3607,Accounts!A:B,2,FALSE)</f>
        <v xml:space="preserve">Marriage account</v>
      </c>
      <c r="M3607" t="s">
        <v>124</v>
      </c>
      <c r="N3607" s="10"/>
      <c r="O3607" t="s">
        <v>6509</v>
      </c>
      <c r="Q3607" t="s">
        <v>126</v>
      </c>
      <c r="R3607" t="s">
        <v>124</v>
      </c>
      <c r="S3607" t="b">
        <v>0</v>
      </c>
      <c r="T3607" t="s">
        <v>124</v>
      </c>
    </row>
    <row r="3608">
      <c r="A3608" t="s">
        <v>6510</v>
      </c>
      <c r="B3608" t="s">
        <v>6508</v>
      </c>
      <c r="C3608" s="2">
        <v>2021</v>
      </c>
      <c r="D3608" s="10">
        <v>11</v>
      </c>
      <c r="E3608" s="10">
        <v>1</v>
      </c>
      <c r="F3608" t="s">
        <v>1771</v>
      </c>
      <c r="G3608">
        <v>230</v>
      </c>
      <c r="H3608" t="s">
        <v>69</v>
      </c>
      <c r="I3608" t="s">
        <v>150</v>
      </c>
      <c r="J3608" s="10" t="str">
        <f>VLOOKUP(I3608,Categories!A:B,2,FALSE)</f>
        <v xml:space="preserve">Food &amp; Coff</v>
      </c>
      <c r="K3608" t="s">
        <v>2317</v>
      </c>
      <c r="L3608" s="10" t="str">
        <f>VLOOKUP(K3608,Accounts!A:B,2,FALSE)</f>
        <v xml:space="preserve">Marriage account</v>
      </c>
      <c r="M3608" t="s">
        <v>124</v>
      </c>
      <c r="N3608" s="10"/>
      <c r="O3608" t="s">
        <v>3328</v>
      </c>
      <c r="Q3608" t="s">
        <v>126</v>
      </c>
      <c r="R3608" t="s">
        <v>124</v>
      </c>
      <c r="S3608" t="b">
        <v>0</v>
      </c>
      <c r="T3608" t="s">
        <v>124</v>
      </c>
    </row>
    <row r="3609">
      <c r="A3609" t="s">
        <v>6511</v>
      </c>
      <c r="B3609" t="s">
        <v>6512</v>
      </c>
      <c r="C3609" s="2">
        <v>2021</v>
      </c>
      <c r="D3609" s="10">
        <v>10</v>
      </c>
      <c r="E3609" s="10">
        <v>31</v>
      </c>
      <c r="F3609" t="s">
        <v>6513</v>
      </c>
      <c r="G3609">
        <v>35</v>
      </c>
      <c r="H3609" t="s">
        <v>69</v>
      </c>
      <c r="I3609" t="s">
        <v>150</v>
      </c>
      <c r="J3609" s="10" t="str">
        <f>VLOOKUP(I3609,Categories!A:B,2,FALSE)</f>
        <v xml:space="preserve">Food &amp; Coff</v>
      </c>
      <c r="K3609" t="s">
        <v>425</v>
      </c>
      <c r="L3609" s="10" t="str">
        <f>VLOOKUP(K3609,Accounts!A:B,2,FALSE)</f>
        <v>Cash</v>
      </c>
      <c r="M3609" t="s">
        <v>124</v>
      </c>
      <c r="N3609" s="10"/>
      <c r="O3609" t="s">
        <v>125</v>
      </c>
      <c r="Q3609" t="s">
        <v>126</v>
      </c>
      <c r="R3609" t="s">
        <v>124</v>
      </c>
      <c r="S3609" t="b">
        <v>0</v>
      </c>
      <c r="T3609" t="s">
        <v>124</v>
      </c>
    </row>
    <row r="3610">
      <c r="A3610" t="s">
        <v>6514</v>
      </c>
      <c r="B3610" t="s">
        <v>6512</v>
      </c>
      <c r="C3610" s="2">
        <v>2021</v>
      </c>
      <c r="D3610" s="10">
        <v>10</v>
      </c>
      <c r="E3610" s="10">
        <v>31</v>
      </c>
      <c r="F3610" t="s">
        <v>6036</v>
      </c>
      <c r="G3610">
        <v>10000</v>
      </c>
      <c r="H3610" t="s">
        <v>128</v>
      </c>
      <c r="I3610" t="s">
        <v>136</v>
      </c>
      <c r="J3610" s="10" t="str">
        <f>VLOOKUP(I3610,Categories!A:B,2,FALSE)</f>
        <v>อื่นๆ</v>
      </c>
      <c r="K3610" t="s">
        <v>178</v>
      </c>
      <c r="L3610" s="10" t="str">
        <f>VLOOKUP(K3610,Accounts!A:B,2,FALSE)</f>
        <v>SCB</v>
      </c>
      <c r="M3610" t="s">
        <v>2317</v>
      </c>
      <c r="N3610" s="10" t="str">
        <f>VLOOKUP(M3610,Accounts!A:B,2,FALSE)</f>
        <v xml:space="preserve">Marriage account</v>
      </c>
      <c r="O3610" t="s">
        <v>125</v>
      </c>
      <c r="Q3610" t="s">
        <v>126</v>
      </c>
      <c r="R3610" t="s">
        <v>124</v>
      </c>
      <c r="S3610" t="b">
        <v>0</v>
      </c>
      <c r="T3610" t="s">
        <v>124</v>
      </c>
    </row>
    <row r="3611">
      <c r="A3611" t="s">
        <v>6515</v>
      </c>
      <c r="B3611" t="s">
        <v>6512</v>
      </c>
      <c r="C3611" s="2">
        <v>2021</v>
      </c>
      <c r="D3611" s="10">
        <v>10</v>
      </c>
      <c r="E3611" s="10">
        <v>31</v>
      </c>
      <c r="F3611" t="s">
        <v>5195</v>
      </c>
      <c r="G3611">
        <v>804</v>
      </c>
      <c r="H3611" t="s">
        <v>69</v>
      </c>
      <c r="I3611" t="s">
        <v>150</v>
      </c>
      <c r="J3611" s="10" t="str">
        <f>VLOOKUP(I3611,Categories!A:B,2,FALSE)</f>
        <v xml:space="preserve">Food &amp; Coff</v>
      </c>
      <c r="K3611" t="s">
        <v>2317</v>
      </c>
      <c r="L3611" s="10" t="str">
        <f>VLOOKUP(K3611,Accounts!A:B,2,FALSE)</f>
        <v xml:space="preserve">Marriage account</v>
      </c>
      <c r="M3611" t="s">
        <v>124</v>
      </c>
      <c r="N3611" s="10"/>
      <c r="O3611" t="s">
        <v>6516</v>
      </c>
      <c r="Q3611" t="s">
        <v>126</v>
      </c>
      <c r="R3611" t="s">
        <v>124</v>
      </c>
      <c r="S3611" t="b">
        <v>0</v>
      </c>
      <c r="T3611" t="s">
        <v>124</v>
      </c>
    </row>
    <row r="3612">
      <c r="A3612" t="s">
        <v>6517</v>
      </c>
      <c r="B3612" t="s">
        <v>6512</v>
      </c>
      <c r="C3612" s="2">
        <v>2021</v>
      </c>
      <c r="D3612" s="10">
        <v>10</v>
      </c>
      <c r="E3612" s="10">
        <v>31</v>
      </c>
      <c r="F3612" t="s">
        <v>3847</v>
      </c>
      <c r="G3612">
        <v>135</v>
      </c>
      <c r="H3612" t="s">
        <v>128</v>
      </c>
      <c r="I3612" t="s">
        <v>136</v>
      </c>
      <c r="J3612" s="10" t="str">
        <f>VLOOKUP(I3612,Categories!A:B,2,FALSE)</f>
        <v>อื่นๆ</v>
      </c>
      <c r="K3612" t="s">
        <v>893</v>
      </c>
      <c r="L3612" s="10" t="str">
        <f>VLOOKUP(K3612,Accounts!A:B,2,FALSE)</f>
        <v>Shopee</v>
      </c>
      <c r="M3612" t="s">
        <v>178</v>
      </c>
      <c r="N3612" s="10" t="str">
        <f>VLOOKUP(M3612,Accounts!A:B,2,FALSE)</f>
        <v>SCB</v>
      </c>
      <c r="O3612" t="s">
        <v>125</v>
      </c>
      <c r="Q3612" t="s">
        <v>126</v>
      </c>
      <c r="R3612" t="s">
        <v>124</v>
      </c>
      <c r="S3612" t="b">
        <v>0</v>
      </c>
      <c r="T3612" t="s">
        <v>124</v>
      </c>
    </row>
    <row r="3613">
      <c r="A3613" t="s">
        <v>6518</v>
      </c>
      <c r="B3613" t="s">
        <v>6512</v>
      </c>
      <c r="C3613" s="2">
        <v>2021</v>
      </c>
      <c r="D3613" s="10">
        <v>10</v>
      </c>
      <c r="E3613" s="10">
        <v>31</v>
      </c>
      <c r="F3613" t="s">
        <v>3032</v>
      </c>
      <c r="G3613">
        <v>100</v>
      </c>
      <c r="H3613" t="s">
        <v>69</v>
      </c>
      <c r="I3613" t="s">
        <v>150</v>
      </c>
      <c r="J3613" s="10" t="str">
        <f>VLOOKUP(I3613,Categories!A:B,2,FALSE)</f>
        <v xml:space="preserve">Food &amp; Coff</v>
      </c>
      <c r="K3613" t="s">
        <v>2317</v>
      </c>
      <c r="L3613" s="10" t="str">
        <f>VLOOKUP(K3613,Accounts!A:B,2,FALSE)</f>
        <v xml:space="preserve">Marriage account</v>
      </c>
      <c r="M3613" t="s">
        <v>124</v>
      </c>
      <c r="N3613" s="10"/>
      <c r="O3613" t="s">
        <v>2561</v>
      </c>
      <c r="Q3613" t="s">
        <v>126</v>
      </c>
      <c r="R3613" t="s">
        <v>124</v>
      </c>
      <c r="S3613" t="b">
        <v>0</v>
      </c>
      <c r="T3613" t="s">
        <v>124</v>
      </c>
    </row>
    <row r="3614">
      <c r="A3614" t="s">
        <v>6519</v>
      </c>
      <c r="B3614" t="s">
        <v>6512</v>
      </c>
      <c r="C3614" s="2">
        <v>2021</v>
      </c>
      <c r="D3614" s="10">
        <v>10</v>
      </c>
      <c r="E3614" s="10">
        <v>31</v>
      </c>
      <c r="F3614" t="s">
        <v>905</v>
      </c>
      <c r="G3614">
        <v>285</v>
      </c>
      <c r="H3614" t="s">
        <v>69</v>
      </c>
      <c r="I3614" t="s">
        <v>152</v>
      </c>
      <c r="J3614" s="10" t="str">
        <f>VLOOKUP(I3614,Categories!A:B,2,FALSE)</f>
        <v xml:space="preserve">Office Suit</v>
      </c>
      <c r="K3614" t="s">
        <v>425</v>
      </c>
      <c r="L3614" s="10" t="str">
        <f>VLOOKUP(K3614,Accounts!A:B,2,FALSE)</f>
        <v>Cash</v>
      </c>
      <c r="M3614" t="s">
        <v>124</v>
      </c>
      <c r="N3614" s="10"/>
      <c r="O3614" t="s">
        <v>6520</v>
      </c>
      <c r="Q3614" t="s">
        <v>126</v>
      </c>
      <c r="R3614" t="s">
        <v>124</v>
      </c>
      <c r="S3614" t="b">
        <v>0</v>
      </c>
      <c r="T3614" t="s">
        <v>124</v>
      </c>
    </row>
    <row r="3615">
      <c r="A3615" t="s">
        <v>6521</v>
      </c>
      <c r="B3615" t="s">
        <v>6512</v>
      </c>
      <c r="C3615" s="2">
        <v>2021</v>
      </c>
      <c r="D3615" s="10">
        <v>10</v>
      </c>
      <c r="E3615" s="10">
        <v>31</v>
      </c>
      <c r="F3615" t="s">
        <v>962</v>
      </c>
      <c r="G3615">
        <v>505</v>
      </c>
      <c r="H3615" t="s">
        <v>69</v>
      </c>
      <c r="I3615" t="s">
        <v>150</v>
      </c>
      <c r="J3615" s="10" t="str">
        <f>VLOOKUP(I3615,Categories!A:B,2,FALSE)</f>
        <v xml:space="preserve">Food &amp; Coff</v>
      </c>
      <c r="K3615" t="s">
        <v>2317</v>
      </c>
      <c r="L3615" s="10" t="str">
        <f>VLOOKUP(K3615,Accounts!A:B,2,FALSE)</f>
        <v xml:space="preserve">Marriage account</v>
      </c>
      <c r="M3615" t="s">
        <v>124</v>
      </c>
      <c r="N3615" s="10"/>
      <c r="O3615" t="s">
        <v>3328</v>
      </c>
      <c r="Q3615" t="s">
        <v>126</v>
      </c>
      <c r="R3615" t="s">
        <v>124</v>
      </c>
      <c r="S3615" t="b">
        <v>0</v>
      </c>
      <c r="T3615" t="s">
        <v>124</v>
      </c>
    </row>
    <row r="3616">
      <c r="A3616" t="s">
        <v>6522</v>
      </c>
      <c r="B3616" t="s">
        <v>6523</v>
      </c>
      <c r="C3616" s="2">
        <v>2021</v>
      </c>
      <c r="D3616" s="10">
        <v>10</v>
      </c>
      <c r="E3616" s="10">
        <v>30</v>
      </c>
      <c r="F3616" t="s">
        <v>4214</v>
      </c>
      <c r="G3616">
        <v>15000</v>
      </c>
      <c r="H3616" t="s">
        <v>128</v>
      </c>
      <c r="I3616" t="s">
        <v>136</v>
      </c>
      <c r="J3616" s="10" t="str">
        <f>VLOOKUP(I3616,Categories!A:B,2,FALSE)</f>
        <v>อื่นๆ</v>
      </c>
      <c r="K3616" t="s">
        <v>178</v>
      </c>
      <c r="L3616" s="10" t="str">
        <f>VLOOKUP(K3616,Accounts!A:B,2,FALSE)</f>
        <v>SCB</v>
      </c>
      <c r="M3616" t="s">
        <v>766</v>
      </c>
      <c r="N3616" s="10" t="str">
        <f>VLOOKUP(M3616,Accounts!A:B,2,FALSE)</f>
        <v>KRUNGSRI</v>
      </c>
      <c r="O3616" t="s">
        <v>125</v>
      </c>
      <c r="Q3616" t="s">
        <v>126</v>
      </c>
      <c r="R3616" t="s">
        <v>124</v>
      </c>
      <c r="S3616" t="b">
        <v>0</v>
      </c>
      <c r="T3616" t="s">
        <v>124</v>
      </c>
    </row>
    <row r="3617">
      <c r="A3617" t="s">
        <v>6524</v>
      </c>
      <c r="B3617" t="s">
        <v>6523</v>
      </c>
      <c r="C3617" s="2">
        <v>2021</v>
      </c>
      <c r="D3617" s="10">
        <v>10</v>
      </c>
      <c r="E3617" s="10">
        <v>30</v>
      </c>
      <c r="F3617" t="s">
        <v>5244</v>
      </c>
      <c r="G3617">
        <v>5260.8699999999999</v>
      </c>
      <c r="H3617" t="s">
        <v>128</v>
      </c>
      <c r="I3617" t="s">
        <v>136</v>
      </c>
      <c r="J3617" s="10" t="str">
        <f>VLOOKUP(I3617,Categories!A:B,2,FALSE)</f>
        <v>อื่นๆ</v>
      </c>
      <c r="K3617" t="s">
        <v>766</v>
      </c>
      <c r="L3617" s="10" t="str">
        <f>VLOOKUP(K3617,Accounts!A:B,2,FALSE)</f>
        <v>KRUNGSRI</v>
      </c>
      <c r="M3617" t="s">
        <v>743</v>
      </c>
      <c r="N3617" s="10" t="str">
        <f>VLOOKUP(M3617,Accounts!A:B,2,FALSE)</f>
        <v>HOMEPRO</v>
      </c>
      <c r="O3617" t="s">
        <v>125</v>
      </c>
      <c r="Q3617" t="s">
        <v>126</v>
      </c>
      <c r="R3617" t="s">
        <v>124</v>
      </c>
      <c r="S3617" t="b">
        <v>0</v>
      </c>
      <c r="T3617" t="s">
        <v>124</v>
      </c>
    </row>
    <row r="3618">
      <c r="A3618" t="s">
        <v>6525</v>
      </c>
      <c r="B3618" t="s">
        <v>6523</v>
      </c>
      <c r="C3618" s="2">
        <v>2021</v>
      </c>
      <c r="D3618" s="10">
        <v>10</v>
      </c>
      <c r="E3618" s="10">
        <v>30</v>
      </c>
      <c r="F3618" t="s">
        <v>1611</v>
      </c>
      <c r="G3618">
        <v>13336.74</v>
      </c>
      <c r="H3618" t="s">
        <v>128</v>
      </c>
      <c r="I3618" t="s">
        <v>136</v>
      </c>
      <c r="J3618" s="10" t="str">
        <f>VLOOKUP(I3618,Categories!A:B,2,FALSE)</f>
        <v>อื่นๆ</v>
      </c>
      <c r="K3618" t="s">
        <v>178</v>
      </c>
      <c r="L3618" s="10" t="str">
        <f>VLOOKUP(K3618,Accounts!A:B,2,FALSE)</f>
        <v>SCB</v>
      </c>
      <c r="M3618" t="s">
        <v>743</v>
      </c>
      <c r="N3618" s="10" t="str">
        <f>VLOOKUP(M3618,Accounts!A:B,2,FALSE)</f>
        <v>HOMEPRO</v>
      </c>
      <c r="O3618" t="s">
        <v>125</v>
      </c>
      <c r="Q3618" t="s">
        <v>126</v>
      </c>
      <c r="R3618" t="s">
        <v>124</v>
      </c>
      <c r="S3618" t="b">
        <v>0</v>
      </c>
      <c r="T3618" t="s">
        <v>124</v>
      </c>
    </row>
    <row r="3619">
      <c r="A3619" t="s">
        <v>6526</v>
      </c>
      <c r="B3619" t="s">
        <v>6523</v>
      </c>
      <c r="C3619" s="2">
        <v>2021</v>
      </c>
      <c r="D3619" s="10">
        <v>10</v>
      </c>
      <c r="E3619" s="10">
        <v>30</v>
      </c>
      <c r="F3619" t="s">
        <v>3704</v>
      </c>
      <c r="G3619">
        <v>743</v>
      </c>
      <c r="H3619" t="s">
        <v>69</v>
      </c>
      <c r="I3619" t="s">
        <v>3504</v>
      </c>
      <c r="J3619" s="10" t="str">
        <f>VLOOKUP(I3619,Categories!A:B,2,FALSE)</f>
        <v xml:space="preserve">Condo suppliers</v>
      </c>
      <c r="K3619" t="s">
        <v>2317</v>
      </c>
      <c r="L3619" s="10" t="str">
        <f>VLOOKUP(K3619,Accounts!A:B,2,FALSE)</f>
        <v xml:space="preserve">Marriage account</v>
      </c>
      <c r="M3619" t="s">
        <v>124</v>
      </c>
      <c r="N3619" s="10"/>
      <c r="O3619" t="s">
        <v>125</v>
      </c>
      <c r="Q3619" t="s">
        <v>126</v>
      </c>
      <c r="R3619" t="s">
        <v>124</v>
      </c>
      <c r="S3619" t="b">
        <v>0</v>
      </c>
      <c r="T3619" t="s">
        <v>124</v>
      </c>
    </row>
    <row r="3620">
      <c r="A3620" t="s">
        <v>6527</v>
      </c>
      <c r="B3620" t="s">
        <v>6523</v>
      </c>
      <c r="C3620" s="2">
        <v>2021</v>
      </c>
      <c r="D3620" s="10">
        <v>10</v>
      </c>
      <c r="E3620" s="10">
        <v>30</v>
      </c>
      <c r="F3620" t="s">
        <v>2184</v>
      </c>
      <c r="G3620">
        <v>209</v>
      </c>
      <c r="H3620" t="s">
        <v>69</v>
      </c>
      <c r="I3620" t="s">
        <v>150</v>
      </c>
      <c r="J3620" s="10" t="str">
        <f>VLOOKUP(I3620,Categories!A:B,2,FALSE)</f>
        <v xml:space="preserve">Food &amp; Coff</v>
      </c>
      <c r="K3620" t="s">
        <v>2317</v>
      </c>
      <c r="L3620" s="10" t="str">
        <f>VLOOKUP(K3620,Accounts!A:B,2,FALSE)</f>
        <v xml:space="preserve">Marriage account</v>
      </c>
      <c r="M3620" t="s">
        <v>124</v>
      </c>
      <c r="N3620" s="10"/>
      <c r="O3620" t="s">
        <v>6528</v>
      </c>
      <c r="Q3620" t="s">
        <v>126</v>
      </c>
      <c r="R3620" t="s">
        <v>124</v>
      </c>
      <c r="S3620" t="b">
        <v>0</v>
      </c>
      <c r="T3620" t="s">
        <v>124</v>
      </c>
    </row>
    <row r="3621">
      <c r="A3621" t="s">
        <v>6529</v>
      </c>
      <c r="B3621" t="s">
        <v>6523</v>
      </c>
      <c r="C3621" s="2">
        <v>2021</v>
      </c>
      <c r="D3621" s="10">
        <v>10</v>
      </c>
      <c r="E3621" s="10">
        <v>30</v>
      </c>
      <c r="F3621" t="s">
        <v>5426</v>
      </c>
      <c r="G3621">
        <v>60</v>
      </c>
      <c r="H3621" t="s">
        <v>69</v>
      </c>
      <c r="I3621" t="s">
        <v>141</v>
      </c>
      <c r="J3621" s="10" t="str">
        <f>VLOOKUP(I3621,Categories!A:B,2,FALSE)</f>
        <v>Other</v>
      </c>
      <c r="K3621" t="s">
        <v>178</v>
      </c>
      <c r="L3621" s="10" t="str">
        <f>VLOOKUP(K3621,Accounts!A:B,2,FALSE)</f>
        <v>SCB</v>
      </c>
      <c r="M3621" t="s">
        <v>124</v>
      </c>
      <c r="N3621" s="10"/>
      <c r="O3621" t="s">
        <v>6530</v>
      </c>
      <c r="Q3621" t="s">
        <v>126</v>
      </c>
      <c r="R3621" t="s">
        <v>124</v>
      </c>
      <c r="S3621" t="b">
        <v>0</v>
      </c>
      <c r="T3621" t="s">
        <v>124</v>
      </c>
    </row>
    <row r="3622">
      <c r="A3622" t="s">
        <v>6531</v>
      </c>
      <c r="B3622" t="s">
        <v>6523</v>
      </c>
      <c r="C3622" s="2">
        <v>2021</v>
      </c>
      <c r="D3622" s="10">
        <v>10</v>
      </c>
      <c r="E3622" s="10">
        <v>30</v>
      </c>
      <c r="F3622" t="s">
        <v>1204</v>
      </c>
      <c r="G3622">
        <v>5000</v>
      </c>
      <c r="H3622" t="s">
        <v>128</v>
      </c>
      <c r="I3622" t="s">
        <v>136</v>
      </c>
      <c r="J3622" s="10" t="str">
        <f>VLOOKUP(I3622,Categories!A:B,2,FALSE)</f>
        <v>อื่นๆ</v>
      </c>
      <c r="K3622" t="s">
        <v>178</v>
      </c>
      <c r="L3622" s="10" t="str">
        <f>VLOOKUP(K3622,Accounts!A:B,2,FALSE)</f>
        <v>SCB</v>
      </c>
      <c r="M3622" t="s">
        <v>766</v>
      </c>
      <c r="N3622" s="10" t="str">
        <f>VLOOKUP(M3622,Accounts!A:B,2,FALSE)</f>
        <v>KRUNGSRI</v>
      </c>
      <c r="O3622" t="s">
        <v>125</v>
      </c>
      <c r="Q3622" t="s">
        <v>126</v>
      </c>
      <c r="R3622" t="s">
        <v>124</v>
      </c>
      <c r="S3622" t="b">
        <v>0</v>
      </c>
      <c r="T3622" t="s">
        <v>124</v>
      </c>
    </row>
    <row r="3623">
      <c r="A3623" t="s">
        <v>6532</v>
      </c>
      <c r="B3623" t="s">
        <v>6523</v>
      </c>
      <c r="C3623" s="2">
        <v>2021</v>
      </c>
      <c r="D3623" s="10">
        <v>10</v>
      </c>
      <c r="E3623" s="10">
        <v>30</v>
      </c>
      <c r="F3623" t="s">
        <v>1146</v>
      </c>
      <c r="G3623">
        <v>10203.98</v>
      </c>
      <c r="H3623" t="s">
        <v>128</v>
      </c>
      <c r="I3623" t="s">
        <v>136</v>
      </c>
      <c r="J3623" s="10" t="str">
        <f>VLOOKUP(I3623,Categories!A:B,2,FALSE)</f>
        <v>อื่นๆ</v>
      </c>
      <c r="K3623" t="s">
        <v>178</v>
      </c>
      <c r="L3623" s="10" t="str">
        <f>VLOOKUP(K3623,Accounts!A:B,2,FALSE)</f>
        <v>SCB</v>
      </c>
      <c r="M3623" t="s">
        <v>130</v>
      </c>
      <c r="N3623" s="10" t="str">
        <f>VLOOKUP(M3623,Accounts!A:B,2,FALSE)</f>
        <v xml:space="preserve">KTC JCB</v>
      </c>
      <c r="O3623" t="s">
        <v>125</v>
      </c>
      <c r="Q3623" t="s">
        <v>126</v>
      </c>
      <c r="R3623" t="s">
        <v>124</v>
      </c>
      <c r="S3623" t="b">
        <v>0</v>
      </c>
      <c r="T3623" t="s">
        <v>124</v>
      </c>
    </row>
    <row r="3624">
      <c r="A3624" t="s">
        <v>6533</v>
      </c>
      <c r="B3624" t="s">
        <v>6523</v>
      </c>
      <c r="C3624" s="2">
        <v>2021</v>
      </c>
      <c r="D3624" s="10">
        <v>10</v>
      </c>
      <c r="E3624" s="10">
        <v>30</v>
      </c>
      <c r="F3624" t="s">
        <v>6534</v>
      </c>
      <c r="G3624">
        <v>860</v>
      </c>
      <c r="H3624" t="s">
        <v>69</v>
      </c>
      <c r="I3624" t="s">
        <v>3276</v>
      </c>
      <c r="J3624" s="10" t="str">
        <f>VLOOKUP(I3624,Categories!A:B,2,FALSE)</f>
        <v>Fuel</v>
      </c>
      <c r="K3624" t="s">
        <v>2317</v>
      </c>
      <c r="L3624" s="10" t="str">
        <f>VLOOKUP(K3624,Accounts!A:B,2,FALSE)</f>
        <v xml:space="preserve">Marriage account</v>
      </c>
      <c r="M3624" t="s">
        <v>124</v>
      </c>
      <c r="N3624" s="10"/>
      <c r="O3624" t="s">
        <v>125</v>
      </c>
      <c r="Q3624" t="s">
        <v>126</v>
      </c>
      <c r="R3624" t="s">
        <v>124</v>
      </c>
      <c r="S3624" t="b">
        <v>0</v>
      </c>
      <c r="T3624" t="s">
        <v>124</v>
      </c>
    </row>
    <row r="3625">
      <c r="A3625" t="s">
        <v>6535</v>
      </c>
      <c r="B3625" t="s">
        <v>6523</v>
      </c>
      <c r="C3625" s="2">
        <v>2021</v>
      </c>
      <c r="D3625" s="10">
        <v>10</v>
      </c>
      <c r="E3625" s="10">
        <v>30</v>
      </c>
      <c r="F3625" t="s">
        <v>1114</v>
      </c>
      <c r="G3625">
        <v>200</v>
      </c>
      <c r="H3625" t="s">
        <v>206</v>
      </c>
      <c r="I3625" t="s">
        <v>254</v>
      </c>
      <c r="J3625" s="10" t="str">
        <f>VLOOKUP(I3625,Categories!A:B,2,FALSE)</f>
        <v xml:space="preserve">Modified Bal.</v>
      </c>
      <c r="K3625" t="s">
        <v>5552</v>
      </c>
      <c r="L3625" s="10" t="str">
        <f>VLOOKUP(K3625,Accounts!A:B,2,FALSE)</f>
        <v xml:space="preserve">Kbank BLUECARD</v>
      </c>
      <c r="M3625" t="s">
        <v>124</v>
      </c>
      <c r="N3625" s="10"/>
      <c r="O3625" t="s">
        <v>255</v>
      </c>
      <c r="Q3625" t="s">
        <v>126</v>
      </c>
      <c r="R3625" t="s">
        <v>124</v>
      </c>
      <c r="S3625" t="b">
        <v>0</v>
      </c>
      <c r="T3625" t="s">
        <v>124</v>
      </c>
    </row>
    <row r="3626">
      <c r="A3626" t="s">
        <v>6536</v>
      </c>
      <c r="B3626" t="s">
        <v>6523</v>
      </c>
      <c r="C3626" s="2">
        <v>2021</v>
      </c>
      <c r="D3626" s="10">
        <v>10</v>
      </c>
      <c r="E3626" s="10">
        <v>30</v>
      </c>
      <c r="F3626" t="s">
        <v>166</v>
      </c>
      <c r="G3626">
        <v>76333.600000000006</v>
      </c>
      <c r="H3626" t="s">
        <v>206</v>
      </c>
      <c r="I3626" t="s">
        <v>281</v>
      </c>
      <c r="J3626" s="10" t="str">
        <f>VLOOKUP(I3626,Categories!A:B,2,FALSE)</f>
        <v>Others</v>
      </c>
      <c r="K3626" t="s">
        <v>6537</v>
      </c>
      <c r="L3626" s="10" t="str">
        <f>VLOOKUP(K3626,Accounts!A:B,2,FALSE)</f>
        <v xml:space="preserve">Condo Recieve</v>
      </c>
      <c r="M3626" t="s">
        <v>124</v>
      </c>
      <c r="N3626" s="10"/>
      <c r="O3626" t="s">
        <v>125</v>
      </c>
      <c r="Q3626" t="s">
        <v>126</v>
      </c>
      <c r="R3626" t="s">
        <v>124</v>
      </c>
      <c r="S3626" t="b">
        <v>0</v>
      </c>
      <c r="T3626" t="s">
        <v>124</v>
      </c>
    </row>
    <row r="3627">
      <c r="A3627" t="s">
        <v>6538</v>
      </c>
      <c r="B3627" t="s">
        <v>6523</v>
      </c>
      <c r="C3627" s="2">
        <v>2021</v>
      </c>
      <c r="D3627" s="10">
        <v>10</v>
      </c>
      <c r="E3627" s="10">
        <v>30</v>
      </c>
      <c r="F3627" t="s">
        <v>1306</v>
      </c>
      <c r="G3627">
        <v>800</v>
      </c>
      <c r="H3627" t="s">
        <v>128</v>
      </c>
      <c r="I3627" t="s">
        <v>136</v>
      </c>
      <c r="J3627" s="10" t="str">
        <f>VLOOKUP(I3627,Categories!A:B,2,FALSE)</f>
        <v>อื่นๆ</v>
      </c>
      <c r="K3627" t="s">
        <v>425</v>
      </c>
      <c r="L3627" s="10" t="str">
        <f>VLOOKUP(K3627,Accounts!A:B,2,FALSE)</f>
        <v>Cash</v>
      </c>
      <c r="M3627" t="s">
        <v>178</v>
      </c>
      <c r="N3627" s="10" t="str">
        <f>VLOOKUP(M3627,Accounts!A:B,2,FALSE)</f>
        <v>SCB</v>
      </c>
      <c r="O3627" t="s">
        <v>6539</v>
      </c>
      <c r="Q3627" t="s">
        <v>126</v>
      </c>
      <c r="R3627" t="s">
        <v>124</v>
      </c>
      <c r="S3627" t="b">
        <v>0</v>
      </c>
      <c r="T3627" t="s">
        <v>124</v>
      </c>
    </row>
    <row r="3628">
      <c r="A3628" t="s">
        <v>6540</v>
      </c>
      <c r="B3628" t="s">
        <v>6523</v>
      </c>
      <c r="C3628" s="2">
        <v>2021</v>
      </c>
      <c r="D3628" s="10">
        <v>10</v>
      </c>
      <c r="E3628" s="10">
        <v>30</v>
      </c>
      <c r="F3628" t="s">
        <v>1233</v>
      </c>
      <c r="G3628">
        <v>556.64999999999998</v>
      </c>
      <c r="H3628" t="s">
        <v>69</v>
      </c>
      <c r="I3628" t="s">
        <v>254</v>
      </c>
      <c r="J3628" s="10" t="str">
        <f>VLOOKUP(I3628,Categories!A:B,2,FALSE)</f>
        <v xml:space="preserve">Modified Bal.</v>
      </c>
      <c r="K3628" t="s">
        <v>2317</v>
      </c>
      <c r="L3628" s="10" t="str">
        <f>VLOOKUP(K3628,Accounts!A:B,2,FALSE)</f>
        <v xml:space="preserve">Marriage account</v>
      </c>
      <c r="M3628" t="s">
        <v>124</v>
      </c>
      <c r="N3628" s="10"/>
      <c r="O3628" t="s">
        <v>255</v>
      </c>
      <c r="Q3628" t="s">
        <v>126</v>
      </c>
      <c r="R3628" t="s">
        <v>124</v>
      </c>
      <c r="S3628" t="b">
        <v>0</v>
      </c>
      <c r="T3628" t="s">
        <v>124</v>
      </c>
    </row>
    <row r="3629">
      <c r="A3629" t="s">
        <v>6541</v>
      </c>
      <c r="B3629" t="s">
        <v>6542</v>
      </c>
      <c r="C3629" s="2">
        <v>2021</v>
      </c>
      <c r="D3629" s="10">
        <v>10</v>
      </c>
      <c r="E3629" s="10">
        <v>29</v>
      </c>
      <c r="F3629" t="s">
        <v>6543</v>
      </c>
      <c r="G3629">
        <v>124</v>
      </c>
      <c r="H3629" t="s">
        <v>69</v>
      </c>
      <c r="I3629" t="s">
        <v>150</v>
      </c>
      <c r="J3629" s="10" t="str">
        <f>VLOOKUP(I3629,Categories!A:B,2,FALSE)</f>
        <v xml:space="preserve">Food &amp; Coff</v>
      </c>
      <c r="K3629" t="s">
        <v>2317</v>
      </c>
      <c r="L3629" s="10" t="str">
        <f>VLOOKUP(K3629,Accounts!A:B,2,FALSE)</f>
        <v xml:space="preserve">Marriage account</v>
      </c>
      <c r="M3629" t="s">
        <v>124</v>
      </c>
      <c r="N3629" s="10"/>
      <c r="O3629" t="s">
        <v>4655</v>
      </c>
      <c r="Q3629" t="s">
        <v>126</v>
      </c>
      <c r="R3629" t="s">
        <v>124</v>
      </c>
      <c r="S3629" t="b">
        <v>0</v>
      </c>
      <c r="T3629" t="s">
        <v>124</v>
      </c>
    </row>
    <row r="3630">
      <c r="A3630" t="s">
        <v>6544</v>
      </c>
      <c r="B3630" t="s">
        <v>6542</v>
      </c>
      <c r="C3630" s="2">
        <v>2021</v>
      </c>
      <c r="D3630" s="10">
        <v>10</v>
      </c>
      <c r="E3630" s="10">
        <v>29</v>
      </c>
      <c r="F3630" t="s">
        <v>5904</v>
      </c>
      <c r="G3630">
        <v>55</v>
      </c>
      <c r="H3630" t="s">
        <v>69</v>
      </c>
      <c r="I3630" t="s">
        <v>150</v>
      </c>
      <c r="J3630" s="10" t="str">
        <f>VLOOKUP(I3630,Categories!A:B,2,FALSE)</f>
        <v xml:space="preserve">Food &amp; Coff</v>
      </c>
      <c r="K3630" t="s">
        <v>178</v>
      </c>
      <c r="L3630" s="10" t="str">
        <f>VLOOKUP(K3630,Accounts!A:B,2,FALSE)</f>
        <v>SCB</v>
      </c>
      <c r="M3630" t="s">
        <v>124</v>
      </c>
      <c r="N3630" s="10"/>
      <c r="O3630" t="s">
        <v>5780</v>
      </c>
      <c r="Q3630" t="s">
        <v>126</v>
      </c>
      <c r="R3630" t="s">
        <v>124</v>
      </c>
      <c r="S3630" t="b">
        <v>0</v>
      </c>
      <c r="T3630" t="s">
        <v>124</v>
      </c>
    </row>
    <row r="3631">
      <c r="A3631" t="s">
        <v>6545</v>
      </c>
      <c r="B3631" t="s">
        <v>6542</v>
      </c>
      <c r="C3631" s="2">
        <v>2021</v>
      </c>
      <c r="D3631" s="10">
        <v>10</v>
      </c>
      <c r="E3631" s="10">
        <v>29</v>
      </c>
      <c r="F3631" t="s">
        <v>6546</v>
      </c>
      <c r="G3631">
        <v>449</v>
      </c>
      <c r="H3631" t="s">
        <v>128</v>
      </c>
      <c r="I3631" t="s">
        <v>136</v>
      </c>
      <c r="J3631" s="10" t="str">
        <f>VLOOKUP(I3631,Categories!A:B,2,FALSE)</f>
        <v>อื่นๆ</v>
      </c>
      <c r="K3631" t="s">
        <v>5806</v>
      </c>
      <c r="L3631" s="10" t="str">
        <f>VLOOKUP(K3631,Accounts!A:B,2,FALSE)</f>
        <v>Grabpay</v>
      </c>
      <c r="M3631" t="s">
        <v>178</v>
      </c>
      <c r="N3631" s="10" t="str">
        <f>VLOOKUP(M3631,Accounts!A:B,2,FALSE)</f>
        <v>SCB</v>
      </c>
      <c r="O3631" t="s">
        <v>125</v>
      </c>
      <c r="Q3631" t="s">
        <v>126</v>
      </c>
      <c r="R3631" t="s">
        <v>124</v>
      </c>
      <c r="S3631" t="b">
        <v>0</v>
      </c>
      <c r="T3631" t="s">
        <v>124</v>
      </c>
    </row>
    <row r="3632">
      <c r="A3632" t="s">
        <v>6547</v>
      </c>
      <c r="B3632" t="s">
        <v>6542</v>
      </c>
      <c r="C3632" s="2">
        <v>2021</v>
      </c>
      <c r="D3632" s="10">
        <v>10</v>
      </c>
      <c r="E3632" s="10">
        <v>29</v>
      </c>
      <c r="F3632" t="s">
        <v>2190</v>
      </c>
      <c r="G3632">
        <v>100</v>
      </c>
      <c r="H3632" t="s">
        <v>128</v>
      </c>
      <c r="I3632" t="s">
        <v>136</v>
      </c>
      <c r="J3632" s="10" t="str">
        <f>VLOOKUP(I3632,Categories!A:B,2,FALSE)</f>
        <v>อื่นๆ</v>
      </c>
      <c r="K3632" t="s">
        <v>5803</v>
      </c>
      <c r="L3632" s="10" t="str">
        <f>VLOOKUP(K3632,Accounts!A:B,2,FALSE)</f>
        <v>grabvoucher</v>
      </c>
      <c r="M3632" t="s">
        <v>178</v>
      </c>
      <c r="N3632" s="10" t="str">
        <f>VLOOKUP(M3632,Accounts!A:B,2,FALSE)</f>
        <v>SCB</v>
      </c>
      <c r="O3632" t="s">
        <v>125</v>
      </c>
      <c r="Q3632" t="s">
        <v>126</v>
      </c>
      <c r="R3632" t="s">
        <v>124</v>
      </c>
      <c r="S3632" t="b">
        <v>0</v>
      </c>
      <c r="T3632" t="s">
        <v>124</v>
      </c>
    </row>
    <row r="3633">
      <c r="A3633" t="s">
        <v>6548</v>
      </c>
      <c r="B3633" t="s">
        <v>6542</v>
      </c>
      <c r="C3633" s="2">
        <v>2021</v>
      </c>
      <c r="D3633" s="10">
        <v>10</v>
      </c>
      <c r="E3633" s="10">
        <v>29</v>
      </c>
      <c r="F3633" t="s">
        <v>933</v>
      </c>
      <c r="G3633">
        <v>424</v>
      </c>
      <c r="H3633" t="s">
        <v>69</v>
      </c>
      <c r="I3633" t="s">
        <v>150</v>
      </c>
      <c r="J3633" s="10" t="str">
        <f>VLOOKUP(I3633,Categories!A:B,2,FALSE)</f>
        <v xml:space="preserve">Food &amp; Coff</v>
      </c>
      <c r="K3633" t="s">
        <v>2317</v>
      </c>
      <c r="L3633" s="10" t="str">
        <f>VLOOKUP(K3633,Accounts!A:B,2,FALSE)</f>
        <v xml:space="preserve">Marriage account</v>
      </c>
      <c r="M3633" t="s">
        <v>124</v>
      </c>
      <c r="N3633" s="10"/>
      <c r="O3633" t="s">
        <v>6549</v>
      </c>
      <c r="Q3633" t="s">
        <v>126</v>
      </c>
      <c r="R3633" t="s">
        <v>124</v>
      </c>
      <c r="S3633" t="b">
        <v>0</v>
      </c>
      <c r="T3633" t="s">
        <v>124</v>
      </c>
    </row>
    <row r="3634">
      <c r="A3634" t="s">
        <v>6550</v>
      </c>
      <c r="B3634" t="s">
        <v>6551</v>
      </c>
      <c r="C3634" s="2">
        <v>2021</v>
      </c>
      <c r="D3634" s="10">
        <v>10</v>
      </c>
      <c r="E3634" s="10">
        <v>28</v>
      </c>
      <c r="F3634" t="s">
        <v>1004</v>
      </c>
      <c r="G3634">
        <v>5000</v>
      </c>
      <c r="H3634" t="s">
        <v>69</v>
      </c>
      <c r="I3634" t="s">
        <v>144</v>
      </c>
      <c r="J3634" s="10" t="str">
        <f>VLOOKUP(I3634,Categories!A:B,2,FALSE)</f>
        <v xml:space="preserve">Family paid</v>
      </c>
      <c r="K3634" t="s">
        <v>178</v>
      </c>
      <c r="L3634" s="10" t="str">
        <f>VLOOKUP(K3634,Accounts!A:B,2,FALSE)</f>
        <v>SCB</v>
      </c>
      <c r="M3634" t="s">
        <v>124</v>
      </c>
      <c r="N3634" s="10"/>
      <c r="O3634" t="s">
        <v>125</v>
      </c>
      <c r="Q3634" t="s">
        <v>126</v>
      </c>
      <c r="R3634" t="s">
        <v>124</v>
      </c>
      <c r="S3634" t="b">
        <v>0</v>
      </c>
      <c r="T3634" t="s">
        <v>124</v>
      </c>
    </row>
    <row r="3635">
      <c r="A3635" t="s">
        <v>6552</v>
      </c>
      <c r="B3635" t="s">
        <v>6551</v>
      </c>
      <c r="C3635" s="2">
        <v>2021</v>
      </c>
      <c r="D3635" s="10">
        <v>10</v>
      </c>
      <c r="E3635" s="10">
        <v>28</v>
      </c>
      <c r="F3635" t="s">
        <v>6393</v>
      </c>
      <c r="G3635">
        <v>193</v>
      </c>
      <c r="H3635" t="s">
        <v>69</v>
      </c>
      <c r="I3635" t="s">
        <v>150</v>
      </c>
      <c r="J3635" s="10" t="str">
        <f>VLOOKUP(I3635,Categories!A:B,2,FALSE)</f>
        <v xml:space="preserve">Food &amp; Coff</v>
      </c>
      <c r="K3635" t="s">
        <v>2317</v>
      </c>
      <c r="L3635" s="10" t="str">
        <f>VLOOKUP(K3635,Accounts!A:B,2,FALSE)</f>
        <v xml:space="preserve">Marriage account</v>
      </c>
      <c r="M3635" t="s">
        <v>124</v>
      </c>
      <c r="N3635" s="10"/>
      <c r="O3635" t="s">
        <v>125</v>
      </c>
      <c r="Q3635" t="s">
        <v>126</v>
      </c>
      <c r="R3635" t="s">
        <v>124</v>
      </c>
      <c r="S3635" t="b">
        <v>0</v>
      </c>
      <c r="T3635" t="s">
        <v>124</v>
      </c>
    </row>
    <row r="3636">
      <c r="A3636" t="s">
        <v>6553</v>
      </c>
      <c r="B3636" t="s">
        <v>6551</v>
      </c>
      <c r="C3636" s="2">
        <v>2021</v>
      </c>
      <c r="D3636" s="10">
        <v>10</v>
      </c>
      <c r="E3636" s="10">
        <v>28</v>
      </c>
      <c r="F3636" t="s">
        <v>3377</v>
      </c>
      <c r="G3636">
        <v>193</v>
      </c>
      <c r="H3636" t="s">
        <v>128</v>
      </c>
      <c r="I3636" t="s">
        <v>136</v>
      </c>
      <c r="J3636" s="10" t="str">
        <f>VLOOKUP(I3636,Categories!A:B,2,FALSE)</f>
        <v>อื่นๆ</v>
      </c>
      <c r="K3636" t="s">
        <v>5806</v>
      </c>
      <c r="L3636" s="10" t="str">
        <f>VLOOKUP(K3636,Accounts!A:B,2,FALSE)</f>
        <v>Grabpay</v>
      </c>
      <c r="M3636" t="s">
        <v>178</v>
      </c>
      <c r="N3636" s="10" t="str">
        <f>VLOOKUP(M3636,Accounts!A:B,2,FALSE)</f>
        <v>SCB</v>
      </c>
      <c r="O3636" t="s">
        <v>125</v>
      </c>
      <c r="Q3636" t="s">
        <v>126</v>
      </c>
      <c r="R3636" t="s">
        <v>124</v>
      </c>
      <c r="S3636" t="b">
        <v>0</v>
      </c>
      <c r="T3636" t="s">
        <v>124</v>
      </c>
    </row>
    <row r="3637">
      <c r="A3637" t="s">
        <v>6554</v>
      </c>
      <c r="B3637" t="s">
        <v>6551</v>
      </c>
      <c r="C3637" s="2">
        <v>2021</v>
      </c>
      <c r="D3637" s="10">
        <v>10</v>
      </c>
      <c r="E3637" s="10">
        <v>28</v>
      </c>
      <c r="F3637" t="s">
        <v>5059</v>
      </c>
      <c r="G3637">
        <v>100</v>
      </c>
      <c r="H3637" t="s">
        <v>128</v>
      </c>
      <c r="I3637" t="s">
        <v>136</v>
      </c>
      <c r="J3637" s="10" t="str">
        <f>VLOOKUP(I3637,Categories!A:B,2,FALSE)</f>
        <v>อื่นๆ</v>
      </c>
      <c r="K3637" t="s">
        <v>5803</v>
      </c>
      <c r="L3637" s="10" t="str">
        <f>VLOOKUP(K3637,Accounts!A:B,2,FALSE)</f>
        <v>grabvoucher</v>
      </c>
      <c r="M3637" t="s">
        <v>178</v>
      </c>
      <c r="N3637" s="10" t="str">
        <f>VLOOKUP(M3637,Accounts!A:B,2,FALSE)</f>
        <v>SCB</v>
      </c>
      <c r="O3637" t="s">
        <v>125</v>
      </c>
      <c r="Q3637" t="s">
        <v>126</v>
      </c>
      <c r="R3637" t="s">
        <v>124</v>
      </c>
      <c r="S3637" t="b">
        <v>0</v>
      </c>
      <c r="T3637" t="s">
        <v>124</v>
      </c>
    </row>
    <row r="3638">
      <c r="A3638" t="s">
        <v>6555</v>
      </c>
      <c r="B3638" t="s">
        <v>6551</v>
      </c>
      <c r="C3638" s="2">
        <v>2021</v>
      </c>
      <c r="D3638" s="10">
        <v>10</v>
      </c>
      <c r="E3638" s="10">
        <v>28</v>
      </c>
      <c r="F3638" t="s">
        <v>249</v>
      </c>
      <c r="G3638">
        <v>268</v>
      </c>
      <c r="H3638" t="s">
        <v>69</v>
      </c>
      <c r="I3638" t="s">
        <v>150</v>
      </c>
      <c r="J3638" s="10" t="str">
        <f>VLOOKUP(I3638,Categories!A:B,2,FALSE)</f>
        <v xml:space="preserve">Food &amp; Coff</v>
      </c>
      <c r="K3638" t="s">
        <v>2317</v>
      </c>
      <c r="L3638" s="10" t="str">
        <f>VLOOKUP(K3638,Accounts!A:B,2,FALSE)</f>
        <v xml:space="preserve">Marriage account</v>
      </c>
      <c r="M3638" t="s">
        <v>124</v>
      </c>
      <c r="N3638" s="10"/>
      <c r="O3638" t="s">
        <v>6556</v>
      </c>
      <c r="Q3638" t="s">
        <v>126</v>
      </c>
      <c r="R3638" t="s">
        <v>124</v>
      </c>
      <c r="S3638" t="b">
        <v>0</v>
      </c>
      <c r="T3638" t="s">
        <v>124</v>
      </c>
    </row>
    <row r="3639">
      <c r="A3639" t="s">
        <v>6557</v>
      </c>
      <c r="B3639" t="s">
        <v>6551</v>
      </c>
      <c r="C3639" s="2">
        <v>2021</v>
      </c>
      <c r="D3639" s="10">
        <v>10</v>
      </c>
      <c r="E3639" s="10">
        <v>28</v>
      </c>
      <c r="F3639" t="s">
        <v>389</v>
      </c>
      <c r="G3639">
        <v>245</v>
      </c>
      <c r="H3639" t="s">
        <v>69</v>
      </c>
      <c r="I3639" t="s">
        <v>150</v>
      </c>
      <c r="J3639" s="10" t="str">
        <f>VLOOKUP(I3639,Categories!A:B,2,FALSE)</f>
        <v xml:space="preserve">Food &amp; Coff</v>
      </c>
      <c r="K3639" t="s">
        <v>2317</v>
      </c>
      <c r="L3639" s="10" t="str">
        <f>VLOOKUP(K3639,Accounts!A:B,2,FALSE)</f>
        <v xml:space="preserve">Marriage account</v>
      </c>
      <c r="M3639" t="s">
        <v>124</v>
      </c>
      <c r="N3639" s="10"/>
      <c r="O3639" t="s">
        <v>6558</v>
      </c>
      <c r="Q3639" t="s">
        <v>126</v>
      </c>
      <c r="R3639" t="s">
        <v>124</v>
      </c>
      <c r="S3639" t="b">
        <v>0</v>
      </c>
      <c r="T3639" t="s">
        <v>124</v>
      </c>
    </row>
    <row r="3640">
      <c r="A3640" t="s">
        <v>6559</v>
      </c>
      <c r="B3640" t="s">
        <v>6551</v>
      </c>
      <c r="C3640" s="2">
        <v>2021</v>
      </c>
      <c r="D3640" s="10">
        <v>10</v>
      </c>
      <c r="E3640" s="10">
        <v>28</v>
      </c>
      <c r="F3640" t="s">
        <v>1974</v>
      </c>
      <c r="G3640">
        <v>246</v>
      </c>
      <c r="H3640" t="s">
        <v>69</v>
      </c>
      <c r="I3640" t="s">
        <v>150</v>
      </c>
      <c r="J3640" s="10" t="str">
        <f>VLOOKUP(I3640,Categories!A:B,2,FALSE)</f>
        <v xml:space="preserve">Food &amp; Coff</v>
      </c>
      <c r="K3640" t="s">
        <v>2317</v>
      </c>
      <c r="L3640" s="10" t="str">
        <f>VLOOKUP(K3640,Accounts!A:B,2,FALSE)</f>
        <v xml:space="preserve">Marriage account</v>
      </c>
      <c r="M3640" t="s">
        <v>124</v>
      </c>
      <c r="N3640" s="10"/>
      <c r="O3640" t="s">
        <v>6560</v>
      </c>
      <c r="Q3640" t="s">
        <v>126</v>
      </c>
      <c r="R3640" t="s">
        <v>124</v>
      </c>
      <c r="S3640" t="b">
        <v>0</v>
      </c>
      <c r="T3640" t="s">
        <v>124</v>
      </c>
    </row>
    <row r="3641">
      <c r="A3641" t="s">
        <v>6561</v>
      </c>
      <c r="B3641" t="s">
        <v>6562</v>
      </c>
      <c r="C3641" s="2">
        <v>2021</v>
      </c>
      <c r="D3641" s="10">
        <v>10</v>
      </c>
      <c r="E3641" s="10">
        <v>27</v>
      </c>
      <c r="F3641" t="s">
        <v>2131</v>
      </c>
      <c r="G3641">
        <v>169</v>
      </c>
      <c r="H3641" t="s">
        <v>69</v>
      </c>
      <c r="I3641" t="s">
        <v>150</v>
      </c>
      <c r="J3641" s="10" t="str">
        <f>VLOOKUP(I3641,Categories!A:B,2,FALSE)</f>
        <v xml:space="preserve">Food &amp; Coff</v>
      </c>
      <c r="K3641" t="s">
        <v>2317</v>
      </c>
      <c r="L3641" s="10" t="str">
        <f>VLOOKUP(K3641,Accounts!A:B,2,FALSE)</f>
        <v xml:space="preserve">Marriage account</v>
      </c>
      <c r="M3641" t="s">
        <v>124</v>
      </c>
      <c r="N3641" s="10"/>
      <c r="O3641" t="s">
        <v>125</v>
      </c>
      <c r="Q3641" t="s">
        <v>126</v>
      </c>
      <c r="R3641" t="s">
        <v>124</v>
      </c>
      <c r="S3641" t="b">
        <v>0</v>
      </c>
      <c r="T3641" t="s">
        <v>124</v>
      </c>
    </row>
    <row r="3642">
      <c r="A3642" t="s">
        <v>6563</v>
      </c>
      <c r="B3642" t="s">
        <v>6564</v>
      </c>
      <c r="C3642" s="2">
        <v>2021</v>
      </c>
      <c r="D3642" s="10">
        <v>10</v>
      </c>
      <c r="E3642" s="10">
        <v>26</v>
      </c>
      <c r="F3642" t="s">
        <v>1002</v>
      </c>
      <c r="G3642">
        <v>150</v>
      </c>
      <c r="H3642" t="s">
        <v>69</v>
      </c>
      <c r="I3642" t="s">
        <v>150</v>
      </c>
      <c r="J3642" s="10" t="str">
        <f>VLOOKUP(I3642,Categories!A:B,2,FALSE)</f>
        <v xml:space="preserve">Food &amp; Coff</v>
      </c>
      <c r="K3642" t="s">
        <v>2317</v>
      </c>
      <c r="L3642" s="10" t="str">
        <f>VLOOKUP(K3642,Accounts!A:B,2,FALSE)</f>
        <v xml:space="preserve">Marriage account</v>
      </c>
      <c r="M3642" t="s">
        <v>124</v>
      </c>
      <c r="N3642" s="10"/>
      <c r="O3642" t="s">
        <v>6565</v>
      </c>
      <c r="Q3642" t="s">
        <v>126</v>
      </c>
      <c r="R3642" t="s">
        <v>124</v>
      </c>
      <c r="S3642" t="b">
        <v>0</v>
      </c>
      <c r="T3642" t="s">
        <v>124</v>
      </c>
    </row>
    <row r="3643">
      <c r="A3643" t="s">
        <v>6566</v>
      </c>
      <c r="B3643" t="s">
        <v>6564</v>
      </c>
      <c r="C3643" s="2">
        <v>2021</v>
      </c>
      <c r="D3643" s="10">
        <v>10</v>
      </c>
      <c r="E3643" s="10">
        <v>26</v>
      </c>
      <c r="F3643" t="s">
        <v>2387</v>
      </c>
      <c r="G3643">
        <v>125</v>
      </c>
      <c r="H3643" t="s">
        <v>69</v>
      </c>
      <c r="I3643" t="s">
        <v>150</v>
      </c>
      <c r="J3643" s="10" t="str">
        <f>VLOOKUP(I3643,Categories!A:B,2,FALSE)</f>
        <v xml:space="preserve">Food &amp; Coff</v>
      </c>
      <c r="K3643" t="s">
        <v>2317</v>
      </c>
      <c r="L3643" s="10" t="str">
        <f>VLOOKUP(K3643,Accounts!A:B,2,FALSE)</f>
        <v xml:space="preserve">Marriage account</v>
      </c>
      <c r="M3643" t="s">
        <v>124</v>
      </c>
      <c r="N3643" s="10"/>
      <c r="O3643" t="s">
        <v>125</v>
      </c>
      <c r="Q3643" t="s">
        <v>126</v>
      </c>
      <c r="R3643" t="s">
        <v>124</v>
      </c>
      <c r="S3643" t="b">
        <v>0</v>
      </c>
      <c r="T3643" t="s">
        <v>124</v>
      </c>
    </row>
    <row r="3644">
      <c r="A3644" t="s">
        <v>6567</v>
      </c>
      <c r="B3644" t="s">
        <v>6564</v>
      </c>
      <c r="C3644" s="2">
        <v>2021</v>
      </c>
      <c r="D3644" s="10">
        <v>10</v>
      </c>
      <c r="E3644" s="10">
        <v>26</v>
      </c>
      <c r="F3644" t="s">
        <v>2894</v>
      </c>
      <c r="G3644">
        <v>187</v>
      </c>
      <c r="H3644" t="s">
        <v>69</v>
      </c>
      <c r="I3644" t="s">
        <v>150</v>
      </c>
      <c r="J3644" s="10" t="str">
        <f>VLOOKUP(I3644,Categories!A:B,2,FALSE)</f>
        <v xml:space="preserve">Food &amp; Coff</v>
      </c>
      <c r="K3644" t="s">
        <v>2317</v>
      </c>
      <c r="L3644" s="10" t="str">
        <f>VLOOKUP(K3644,Accounts!A:B,2,FALSE)</f>
        <v xml:space="preserve">Marriage account</v>
      </c>
      <c r="M3644" t="s">
        <v>124</v>
      </c>
      <c r="N3644" s="10"/>
      <c r="O3644" t="s">
        <v>125</v>
      </c>
      <c r="Q3644" t="s">
        <v>126</v>
      </c>
      <c r="R3644" t="s">
        <v>124</v>
      </c>
      <c r="S3644" t="b">
        <v>0</v>
      </c>
      <c r="T3644" t="s">
        <v>124</v>
      </c>
    </row>
    <row r="3645">
      <c r="A3645" t="s">
        <v>6568</v>
      </c>
      <c r="B3645" t="s">
        <v>6569</v>
      </c>
      <c r="C3645" s="2">
        <v>2021</v>
      </c>
      <c r="D3645" s="10">
        <v>10</v>
      </c>
      <c r="E3645" s="10">
        <v>25</v>
      </c>
      <c r="F3645" t="s">
        <v>121</v>
      </c>
      <c r="G3645">
        <v>137.34999999999999</v>
      </c>
      <c r="H3645" t="s">
        <v>69</v>
      </c>
      <c r="I3645" t="s">
        <v>443</v>
      </c>
      <c r="J3645" s="10" t="str">
        <f>VLOOKUP(I3645,Categories!A:B,2,FALSE)</f>
        <v xml:space="preserve">City SV Interest</v>
      </c>
      <c r="K3645" t="s">
        <v>178</v>
      </c>
      <c r="L3645" s="10" t="str">
        <f>VLOOKUP(K3645,Accounts!A:B,2,FALSE)</f>
        <v>SCB</v>
      </c>
      <c r="M3645" t="s">
        <v>124</v>
      </c>
      <c r="N3645" s="10"/>
      <c r="O3645" t="s">
        <v>125</v>
      </c>
      <c r="Q3645" t="s">
        <v>126</v>
      </c>
      <c r="R3645" t="s">
        <v>124</v>
      </c>
      <c r="S3645" t="b">
        <v>0</v>
      </c>
      <c r="T3645" t="s">
        <v>124</v>
      </c>
    </row>
    <row r="3646">
      <c r="A3646" t="s">
        <v>6570</v>
      </c>
      <c r="B3646" t="s">
        <v>6569</v>
      </c>
      <c r="C3646" s="2">
        <v>2021</v>
      </c>
      <c r="D3646" s="10">
        <v>10</v>
      </c>
      <c r="E3646" s="10">
        <v>25</v>
      </c>
      <c r="F3646" t="s">
        <v>121</v>
      </c>
      <c r="G3646">
        <v>622.13999999999999</v>
      </c>
      <c r="H3646" t="s">
        <v>69</v>
      </c>
      <c r="I3646" t="s">
        <v>199</v>
      </c>
      <c r="J3646" s="10" t="str">
        <f>VLOOKUP(I3646,Categories!A:B,2,FALSE)</f>
        <v xml:space="preserve">Home Chomthong Interest</v>
      </c>
      <c r="K3646" t="s">
        <v>178</v>
      </c>
      <c r="L3646" s="10" t="str">
        <f>VLOOKUP(K3646,Accounts!A:B,2,FALSE)</f>
        <v>SCB</v>
      </c>
      <c r="M3646" t="s">
        <v>124</v>
      </c>
      <c r="N3646" s="10"/>
      <c r="O3646" t="s">
        <v>125</v>
      </c>
      <c r="Q3646" t="s">
        <v>126</v>
      </c>
      <c r="R3646" t="s">
        <v>124</v>
      </c>
      <c r="S3646" t="b">
        <v>0</v>
      </c>
      <c r="T3646" t="s">
        <v>124</v>
      </c>
    </row>
    <row r="3647">
      <c r="A3647" t="s">
        <v>6571</v>
      </c>
      <c r="B3647" t="s">
        <v>6569</v>
      </c>
      <c r="C3647" s="2">
        <v>2021</v>
      </c>
      <c r="D3647" s="10">
        <v>10</v>
      </c>
      <c r="E3647" s="10">
        <v>25</v>
      </c>
      <c r="F3647" t="s">
        <v>121</v>
      </c>
      <c r="G3647">
        <v>7290</v>
      </c>
      <c r="H3647" t="s">
        <v>128</v>
      </c>
      <c r="I3647" t="s">
        <v>136</v>
      </c>
      <c r="J3647" s="10" t="str">
        <f>VLOOKUP(I3647,Categories!A:B,2,FALSE)</f>
        <v>อื่นๆ</v>
      </c>
      <c r="K3647" t="s">
        <v>178</v>
      </c>
      <c r="L3647" s="10" t="str">
        <f>VLOOKUP(K3647,Accounts!A:B,2,FALSE)</f>
        <v>SCB</v>
      </c>
      <c r="M3647" t="s">
        <v>1244</v>
      </c>
      <c r="N3647" s="10" t="str">
        <f>VLOOKUP(M3647,Accounts!A:B,2,FALSE)</f>
        <v xml:space="preserve">Home chomthong Loan</v>
      </c>
      <c r="O3647" t="s">
        <v>125</v>
      </c>
      <c r="Q3647" t="s">
        <v>126</v>
      </c>
      <c r="R3647" t="s">
        <v>124</v>
      </c>
      <c r="S3647" t="b">
        <v>0</v>
      </c>
      <c r="T3647" t="s">
        <v>124</v>
      </c>
    </row>
    <row r="3648">
      <c r="A3648" t="s">
        <v>6572</v>
      </c>
      <c r="B3648" t="s">
        <v>6569</v>
      </c>
      <c r="C3648" s="2">
        <v>2021</v>
      </c>
      <c r="D3648" s="10">
        <v>10</v>
      </c>
      <c r="E3648" s="10">
        <v>25</v>
      </c>
      <c r="F3648" t="s">
        <v>121</v>
      </c>
      <c r="G3648">
        <v>9240</v>
      </c>
      <c r="H3648" t="s">
        <v>128</v>
      </c>
      <c r="I3648" t="s">
        <v>136</v>
      </c>
      <c r="J3648" s="10" t="str">
        <f>VLOOKUP(I3648,Categories!A:B,2,FALSE)</f>
        <v>อื่นๆ</v>
      </c>
      <c r="K3648" t="s">
        <v>178</v>
      </c>
      <c r="L3648" s="10" t="str">
        <f>VLOOKUP(K3648,Accounts!A:B,2,FALSE)</f>
        <v>SCB</v>
      </c>
      <c r="M3648" t="s">
        <v>1246</v>
      </c>
      <c r="N3648" s="10" t="str">
        <f>VLOOKUP(M3648,Accounts!A:B,2,FALSE)</f>
        <v xml:space="preserve">Car Loan</v>
      </c>
      <c r="O3648" t="s">
        <v>125</v>
      </c>
      <c r="Q3648" t="s">
        <v>126</v>
      </c>
      <c r="R3648" t="s">
        <v>124</v>
      </c>
      <c r="S3648" t="b">
        <v>0</v>
      </c>
      <c r="T3648" t="s">
        <v>124</v>
      </c>
    </row>
    <row r="3649">
      <c r="A3649" t="s">
        <v>6573</v>
      </c>
      <c r="B3649" t="s">
        <v>6569</v>
      </c>
      <c r="C3649" s="2">
        <v>2021</v>
      </c>
      <c r="D3649" s="10">
        <v>10</v>
      </c>
      <c r="E3649" s="10">
        <v>25</v>
      </c>
      <c r="F3649" t="s">
        <v>121</v>
      </c>
      <c r="G3649">
        <v>500</v>
      </c>
      <c r="H3649" t="s">
        <v>128</v>
      </c>
      <c r="I3649" t="s">
        <v>136</v>
      </c>
      <c r="J3649" s="10" t="str">
        <f>VLOOKUP(I3649,Categories!A:B,2,FALSE)</f>
        <v>อื่นๆ</v>
      </c>
      <c r="K3649" t="s">
        <v>178</v>
      </c>
      <c r="L3649" s="10" t="str">
        <f>VLOOKUP(K3649,Accounts!A:B,2,FALSE)</f>
        <v>SCB</v>
      </c>
      <c r="M3649" t="s">
        <v>201</v>
      </c>
      <c r="N3649" s="10" t="str">
        <f>VLOOKUP(M3649,Accounts!A:B,2,FALSE)</f>
        <v>Coop</v>
      </c>
      <c r="O3649" t="s">
        <v>125</v>
      </c>
      <c r="Q3649" t="s">
        <v>126</v>
      </c>
      <c r="R3649" t="s">
        <v>124</v>
      </c>
      <c r="S3649" t="b">
        <v>0</v>
      </c>
      <c r="T3649" t="s">
        <v>124</v>
      </c>
    </row>
    <row r="3650">
      <c r="A3650" t="s">
        <v>6574</v>
      </c>
      <c r="B3650" t="s">
        <v>6569</v>
      </c>
      <c r="C3650" s="2">
        <v>2021</v>
      </c>
      <c r="D3650" s="10">
        <v>10</v>
      </c>
      <c r="E3650" s="10">
        <v>25</v>
      </c>
      <c r="F3650" t="s">
        <v>121</v>
      </c>
      <c r="G3650">
        <v>1917.8</v>
      </c>
      <c r="H3650" t="s">
        <v>128</v>
      </c>
      <c r="I3650" t="s">
        <v>136</v>
      </c>
      <c r="J3650" s="10" t="str">
        <f>VLOOKUP(I3650,Categories!A:B,2,FALSE)</f>
        <v>อื่นๆ</v>
      </c>
      <c r="K3650" t="s">
        <v>178</v>
      </c>
      <c r="L3650" s="10" t="str">
        <f>VLOOKUP(K3650,Accounts!A:B,2,FALSE)</f>
        <v>SCB</v>
      </c>
      <c r="M3650" t="s">
        <v>203</v>
      </c>
      <c r="N3650" s="10" t="str">
        <f>VLOOKUP(M3650,Accounts!A:B,2,FALSE)</f>
        <v xml:space="preserve">Provident Fund</v>
      </c>
      <c r="O3650" t="s">
        <v>125</v>
      </c>
      <c r="Q3650" t="s">
        <v>126</v>
      </c>
      <c r="R3650" t="s">
        <v>124</v>
      </c>
      <c r="S3650" t="b">
        <v>0</v>
      </c>
      <c r="T3650" t="s">
        <v>124</v>
      </c>
    </row>
    <row r="3651">
      <c r="A3651" t="s">
        <v>6575</v>
      </c>
      <c r="B3651" t="s">
        <v>6569</v>
      </c>
      <c r="C3651" s="2">
        <v>2021</v>
      </c>
      <c r="D3651" s="10">
        <v>10</v>
      </c>
      <c r="E3651" s="10">
        <v>25</v>
      </c>
      <c r="F3651" t="s">
        <v>121</v>
      </c>
      <c r="G3651">
        <v>95890</v>
      </c>
      <c r="H3651" t="s">
        <v>206</v>
      </c>
      <c r="I3651" t="s">
        <v>207</v>
      </c>
      <c r="J3651" s="10" t="str">
        <f>VLOOKUP(I3651,Categories!A:B,2,FALSE)</f>
        <v>Salary</v>
      </c>
      <c r="K3651" t="s">
        <v>178</v>
      </c>
      <c r="L3651" s="10" t="str">
        <f>VLOOKUP(K3651,Accounts!A:B,2,FALSE)</f>
        <v>SCB</v>
      </c>
      <c r="M3651" t="s">
        <v>124</v>
      </c>
      <c r="N3651" s="10"/>
      <c r="O3651" t="s">
        <v>125</v>
      </c>
      <c r="Q3651" t="s">
        <v>126</v>
      </c>
      <c r="R3651" t="s">
        <v>124</v>
      </c>
      <c r="S3651" t="b">
        <v>0</v>
      </c>
      <c r="T3651" t="s">
        <v>124</v>
      </c>
    </row>
    <row r="3652">
      <c r="A3652" t="s">
        <v>6576</v>
      </c>
      <c r="B3652" t="s">
        <v>6569</v>
      </c>
      <c r="C3652" s="2">
        <v>2021</v>
      </c>
      <c r="D3652" s="10">
        <v>10</v>
      </c>
      <c r="E3652" s="10">
        <v>25</v>
      </c>
      <c r="F3652" t="s">
        <v>1269</v>
      </c>
      <c r="G3652">
        <v>322</v>
      </c>
      <c r="H3652" t="s">
        <v>69</v>
      </c>
      <c r="I3652" t="s">
        <v>150</v>
      </c>
      <c r="J3652" s="10" t="str">
        <f>VLOOKUP(I3652,Categories!A:B,2,FALSE)</f>
        <v xml:space="preserve">Food &amp; Coff</v>
      </c>
      <c r="K3652" t="s">
        <v>2317</v>
      </c>
      <c r="L3652" s="10" t="str">
        <f>VLOOKUP(K3652,Accounts!A:B,2,FALSE)</f>
        <v xml:space="preserve">Marriage account</v>
      </c>
      <c r="M3652" t="s">
        <v>124</v>
      </c>
      <c r="N3652" s="10"/>
      <c r="O3652" t="s">
        <v>125</v>
      </c>
      <c r="Q3652" t="s">
        <v>126</v>
      </c>
      <c r="R3652" t="s">
        <v>124</v>
      </c>
      <c r="S3652" t="b">
        <v>0</v>
      </c>
      <c r="T3652" t="s">
        <v>124</v>
      </c>
    </row>
    <row r="3653">
      <c r="A3653" t="s">
        <v>6577</v>
      </c>
      <c r="B3653" t="s">
        <v>6578</v>
      </c>
      <c r="C3653" s="2">
        <v>2021</v>
      </c>
      <c r="D3653" s="10">
        <v>10</v>
      </c>
      <c r="E3653" s="10">
        <v>23</v>
      </c>
      <c r="F3653" t="s">
        <v>2228</v>
      </c>
      <c r="G3653">
        <v>217</v>
      </c>
      <c r="H3653" t="s">
        <v>69</v>
      </c>
      <c r="I3653" t="s">
        <v>150</v>
      </c>
      <c r="J3653" s="10" t="str">
        <f>VLOOKUP(I3653,Categories!A:B,2,FALSE)</f>
        <v xml:space="preserve">Food &amp; Coff</v>
      </c>
      <c r="K3653" t="s">
        <v>2317</v>
      </c>
      <c r="L3653" s="10" t="str">
        <f>VLOOKUP(K3653,Accounts!A:B,2,FALSE)</f>
        <v xml:space="preserve">Marriage account</v>
      </c>
      <c r="M3653" t="s">
        <v>124</v>
      </c>
      <c r="N3653" s="10"/>
      <c r="O3653" t="s">
        <v>6556</v>
      </c>
      <c r="Q3653" t="s">
        <v>126</v>
      </c>
      <c r="R3653" t="s">
        <v>124</v>
      </c>
      <c r="S3653" t="b">
        <v>0</v>
      </c>
      <c r="T3653" t="s">
        <v>124</v>
      </c>
    </row>
    <row r="3654">
      <c r="A3654" t="s">
        <v>6579</v>
      </c>
      <c r="B3654" t="s">
        <v>6578</v>
      </c>
      <c r="C3654" s="2">
        <v>2021</v>
      </c>
      <c r="D3654" s="10">
        <v>10</v>
      </c>
      <c r="E3654" s="10">
        <v>23</v>
      </c>
      <c r="F3654" t="s">
        <v>573</v>
      </c>
      <c r="G3654">
        <v>429</v>
      </c>
      <c r="H3654" t="s">
        <v>69</v>
      </c>
      <c r="I3654" t="s">
        <v>3504</v>
      </c>
      <c r="J3654" s="10" t="str">
        <f>VLOOKUP(I3654,Categories!A:B,2,FALSE)</f>
        <v xml:space="preserve">Condo suppliers</v>
      </c>
      <c r="K3654" t="s">
        <v>2317</v>
      </c>
      <c r="L3654" s="10" t="str">
        <f>VLOOKUP(K3654,Accounts!A:B,2,FALSE)</f>
        <v xml:space="preserve">Marriage account</v>
      </c>
      <c r="M3654" t="s">
        <v>124</v>
      </c>
      <c r="N3654" s="10"/>
      <c r="O3654" t="s">
        <v>6580</v>
      </c>
      <c r="Q3654" t="s">
        <v>126</v>
      </c>
      <c r="R3654" t="s">
        <v>124</v>
      </c>
      <c r="S3654" t="b">
        <v>0</v>
      </c>
      <c r="T3654" t="s">
        <v>124</v>
      </c>
    </row>
    <row r="3655">
      <c r="A3655" t="s">
        <v>6581</v>
      </c>
      <c r="B3655" t="s">
        <v>6578</v>
      </c>
      <c r="C3655" s="2">
        <v>2021</v>
      </c>
      <c r="D3655" s="10">
        <v>10</v>
      </c>
      <c r="E3655" s="10">
        <v>23</v>
      </c>
      <c r="F3655" t="s">
        <v>804</v>
      </c>
      <c r="G3655">
        <v>800</v>
      </c>
      <c r="H3655" t="s">
        <v>69</v>
      </c>
      <c r="I3655" t="s">
        <v>150</v>
      </c>
      <c r="J3655" s="10" t="str">
        <f>VLOOKUP(I3655,Categories!A:B,2,FALSE)</f>
        <v xml:space="preserve">Food &amp; Coff</v>
      </c>
      <c r="K3655" t="s">
        <v>2317</v>
      </c>
      <c r="L3655" s="10" t="str">
        <f>VLOOKUP(K3655,Accounts!A:B,2,FALSE)</f>
        <v xml:space="preserve">Marriage account</v>
      </c>
      <c r="M3655" t="s">
        <v>124</v>
      </c>
      <c r="N3655" s="10"/>
      <c r="O3655" t="s">
        <v>125</v>
      </c>
      <c r="Q3655" t="s">
        <v>126</v>
      </c>
      <c r="R3655" t="s">
        <v>124</v>
      </c>
      <c r="S3655" t="b">
        <v>0</v>
      </c>
      <c r="T3655" t="s">
        <v>124</v>
      </c>
    </row>
    <row r="3656">
      <c r="A3656" t="s">
        <v>6582</v>
      </c>
      <c r="B3656" t="s">
        <v>6583</v>
      </c>
      <c r="C3656" s="2">
        <v>2021</v>
      </c>
      <c r="D3656" s="10">
        <v>10</v>
      </c>
      <c r="E3656" s="10">
        <v>22</v>
      </c>
      <c r="F3656" t="s">
        <v>3397</v>
      </c>
      <c r="G3656">
        <v>904.5</v>
      </c>
      <c r="H3656" t="s">
        <v>69</v>
      </c>
      <c r="I3656" t="s">
        <v>3504</v>
      </c>
      <c r="J3656" s="10" t="str">
        <f>VLOOKUP(I3656,Categories!A:B,2,FALSE)</f>
        <v xml:space="preserve">Condo suppliers</v>
      </c>
      <c r="K3656" t="s">
        <v>2317</v>
      </c>
      <c r="L3656" s="10" t="str">
        <f>VLOOKUP(K3656,Accounts!A:B,2,FALSE)</f>
        <v xml:space="preserve">Marriage account</v>
      </c>
      <c r="M3656" t="s">
        <v>124</v>
      </c>
      <c r="N3656" s="10"/>
      <c r="O3656" t="s">
        <v>6584</v>
      </c>
      <c r="Q3656" t="s">
        <v>126</v>
      </c>
      <c r="R3656" t="s">
        <v>124</v>
      </c>
      <c r="S3656" t="b">
        <v>0</v>
      </c>
      <c r="T3656" t="s">
        <v>124</v>
      </c>
    </row>
    <row r="3657">
      <c r="A3657" t="s">
        <v>6585</v>
      </c>
      <c r="B3657" t="s">
        <v>6586</v>
      </c>
      <c r="C3657" s="2">
        <v>2021</v>
      </c>
      <c r="D3657" s="10">
        <v>10</v>
      </c>
      <c r="E3657" s="10">
        <v>21</v>
      </c>
      <c r="F3657" t="s">
        <v>999</v>
      </c>
      <c r="G3657">
        <v>150</v>
      </c>
      <c r="H3657" t="s">
        <v>69</v>
      </c>
      <c r="I3657" t="s">
        <v>150</v>
      </c>
      <c r="J3657" s="10" t="str">
        <f>VLOOKUP(I3657,Categories!A:B,2,FALSE)</f>
        <v xml:space="preserve">Food &amp; Coff</v>
      </c>
      <c r="K3657" t="s">
        <v>2317</v>
      </c>
      <c r="L3657" s="10" t="str">
        <f>VLOOKUP(K3657,Accounts!A:B,2,FALSE)</f>
        <v xml:space="preserve">Marriage account</v>
      </c>
      <c r="M3657" t="s">
        <v>124</v>
      </c>
      <c r="N3657" s="10"/>
      <c r="O3657" t="s">
        <v>6565</v>
      </c>
      <c r="Q3657" t="s">
        <v>126</v>
      </c>
      <c r="R3657" t="s">
        <v>124</v>
      </c>
      <c r="S3657" t="b">
        <v>0</v>
      </c>
      <c r="T3657" t="s">
        <v>124</v>
      </c>
    </row>
    <row r="3658">
      <c r="A3658" t="s">
        <v>6587</v>
      </c>
      <c r="B3658" t="s">
        <v>6586</v>
      </c>
      <c r="C3658" s="2">
        <v>2021</v>
      </c>
      <c r="D3658" s="10">
        <v>10</v>
      </c>
      <c r="E3658" s="10">
        <v>21</v>
      </c>
      <c r="F3658" t="s">
        <v>1002</v>
      </c>
      <c r="G3658">
        <v>100</v>
      </c>
      <c r="H3658" t="s">
        <v>69</v>
      </c>
      <c r="I3658" t="s">
        <v>150</v>
      </c>
      <c r="J3658" s="10" t="str">
        <f>VLOOKUP(I3658,Categories!A:B,2,FALSE)</f>
        <v xml:space="preserve">Food &amp; Coff</v>
      </c>
      <c r="K3658" t="s">
        <v>2317</v>
      </c>
      <c r="L3658" s="10" t="str">
        <f>VLOOKUP(K3658,Accounts!A:B,2,FALSE)</f>
        <v xml:space="preserve">Marriage account</v>
      </c>
      <c r="M3658" t="s">
        <v>124</v>
      </c>
      <c r="N3658" s="10"/>
      <c r="O3658" t="s">
        <v>4655</v>
      </c>
      <c r="Q3658" t="s">
        <v>126</v>
      </c>
      <c r="R3658" t="s">
        <v>124</v>
      </c>
      <c r="S3658" t="b">
        <v>0</v>
      </c>
      <c r="T3658" t="s">
        <v>124</v>
      </c>
    </row>
    <row r="3659">
      <c r="A3659" t="s">
        <v>6588</v>
      </c>
      <c r="B3659" t="s">
        <v>6586</v>
      </c>
      <c r="C3659" s="2">
        <v>2021</v>
      </c>
      <c r="D3659" s="10">
        <v>10</v>
      </c>
      <c r="E3659" s="10">
        <v>21</v>
      </c>
      <c r="F3659" t="s">
        <v>4085</v>
      </c>
      <c r="G3659">
        <v>100</v>
      </c>
      <c r="H3659" t="s">
        <v>128</v>
      </c>
      <c r="I3659" t="s">
        <v>136</v>
      </c>
      <c r="J3659" s="10" t="str">
        <f>VLOOKUP(I3659,Categories!A:B,2,FALSE)</f>
        <v>อื่นๆ</v>
      </c>
      <c r="K3659" t="s">
        <v>5803</v>
      </c>
      <c r="L3659" s="10" t="str">
        <f>VLOOKUP(K3659,Accounts!A:B,2,FALSE)</f>
        <v>grabvoucher</v>
      </c>
      <c r="M3659" t="s">
        <v>178</v>
      </c>
      <c r="N3659" s="10" t="str">
        <f>VLOOKUP(M3659,Accounts!A:B,2,FALSE)</f>
        <v>SCB</v>
      </c>
      <c r="O3659" t="s">
        <v>125</v>
      </c>
      <c r="Q3659" t="s">
        <v>126</v>
      </c>
      <c r="R3659" t="s">
        <v>124</v>
      </c>
      <c r="S3659" t="b">
        <v>0</v>
      </c>
      <c r="T3659" t="s">
        <v>124</v>
      </c>
    </row>
    <row r="3660">
      <c r="A3660" t="s">
        <v>6589</v>
      </c>
      <c r="B3660" t="s">
        <v>6586</v>
      </c>
      <c r="C3660" s="2">
        <v>2021</v>
      </c>
      <c r="D3660" s="10">
        <v>10</v>
      </c>
      <c r="E3660" s="10">
        <v>21</v>
      </c>
      <c r="F3660" t="s">
        <v>4085</v>
      </c>
      <c r="G3660">
        <v>98</v>
      </c>
      <c r="H3660" t="s">
        <v>128</v>
      </c>
      <c r="I3660" t="s">
        <v>136</v>
      </c>
      <c r="J3660" s="10" t="str">
        <f>VLOOKUP(I3660,Categories!A:B,2,FALSE)</f>
        <v>อื่นๆ</v>
      </c>
      <c r="K3660" t="s">
        <v>5806</v>
      </c>
      <c r="L3660" s="10" t="str">
        <f>VLOOKUP(K3660,Accounts!A:B,2,FALSE)</f>
        <v>Grabpay</v>
      </c>
      <c r="M3660" t="s">
        <v>178</v>
      </c>
      <c r="N3660" s="10" t="str">
        <f>VLOOKUP(M3660,Accounts!A:B,2,FALSE)</f>
        <v>SCB</v>
      </c>
      <c r="O3660" t="s">
        <v>125</v>
      </c>
      <c r="Q3660" t="s">
        <v>126</v>
      </c>
      <c r="R3660" t="s">
        <v>124</v>
      </c>
      <c r="S3660" t="b">
        <v>0</v>
      </c>
      <c r="T3660" t="s">
        <v>124</v>
      </c>
    </row>
    <row r="3661">
      <c r="A3661" t="s">
        <v>6590</v>
      </c>
      <c r="B3661" t="s">
        <v>6586</v>
      </c>
      <c r="C3661" s="2">
        <v>2021</v>
      </c>
      <c r="D3661" s="10">
        <v>10</v>
      </c>
      <c r="E3661" s="10">
        <v>21</v>
      </c>
      <c r="F3661" t="s">
        <v>3197</v>
      </c>
      <c r="G3661">
        <v>198</v>
      </c>
      <c r="H3661" t="s">
        <v>69</v>
      </c>
      <c r="I3661" t="s">
        <v>150</v>
      </c>
      <c r="J3661" s="10" t="str">
        <f>VLOOKUP(I3661,Categories!A:B,2,FALSE)</f>
        <v xml:space="preserve">Food &amp; Coff</v>
      </c>
      <c r="K3661" t="s">
        <v>2317</v>
      </c>
      <c r="L3661" s="10" t="str">
        <f>VLOOKUP(K3661,Accounts!A:B,2,FALSE)</f>
        <v xml:space="preserve">Marriage account</v>
      </c>
      <c r="M3661" t="s">
        <v>124</v>
      </c>
      <c r="N3661" s="10"/>
      <c r="O3661" t="s">
        <v>125</v>
      </c>
      <c r="Q3661" t="s">
        <v>126</v>
      </c>
      <c r="R3661" t="s">
        <v>124</v>
      </c>
      <c r="S3661" t="b">
        <v>0</v>
      </c>
      <c r="T3661" t="s">
        <v>124</v>
      </c>
    </row>
    <row r="3662">
      <c r="A3662" t="s">
        <v>6591</v>
      </c>
      <c r="B3662" t="s">
        <v>6586</v>
      </c>
      <c r="C3662" s="2">
        <v>2021</v>
      </c>
      <c r="D3662" s="10">
        <v>10</v>
      </c>
      <c r="E3662" s="10">
        <v>21</v>
      </c>
      <c r="F3662" t="s">
        <v>3454</v>
      </c>
      <c r="G3662">
        <v>509</v>
      </c>
      <c r="H3662" t="s">
        <v>69</v>
      </c>
      <c r="I3662" t="s">
        <v>150</v>
      </c>
      <c r="J3662" s="10" t="str">
        <f>VLOOKUP(I3662,Categories!A:B,2,FALSE)</f>
        <v xml:space="preserve">Food &amp; Coff</v>
      </c>
      <c r="K3662" t="s">
        <v>2317</v>
      </c>
      <c r="L3662" s="10" t="str">
        <f>VLOOKUP(K3662,Accounts!A:B,2,FALSE)</f>
        <v xml:space="preserve">Marriage account</v>
      </c>
      <c r="M3662" t="s">
        <v>124</v>
      </c>
      <c r="N3662" s="10"/>
      <c r="O3662" t="s">
        <v>6592</v>
      </c>
      <c r="Q3662" t="s">
        <v>126</v>
      </c>
      <c r="R3662" t="s">
        <v>124</v>
      </c>
      <c r="S3662" t="b">
        <v>0</v>
      </c>
      <c r="T3662" t="s">
        <v>124</v>
      </c>
    </row>
    <row r="3663">
      <c r="A3663" t="s">
        <v>6593</v>
      </c>
      <c r="B3663" t="s">
        <v>6594</v>
      </c>
      <c r="C3663" s="2">
        <v>2021</v>
      </c>
      <c r="D3663" s="10">
        <v>10</v>
      </c>
      <c r="E3663" s="10">
        <v>20</v>
      </c>
      <c r="F3663" t="s">
        <v>6595</v>
      </c>
      <c r="G3663">
        <v>189</v>
      </c>
      <c r="H3663" t="s">
        <v>69</v>
      </c>
      <c r="I3663" t="s">
        <v>150</v>
      </c>
      <c r="J3663" s="10" t="str">
        <f>VLOOKUP(I3663,Categories!A:B,2,FALSE)</f>
        <v xml:space="preserve">Food &amp; Coff</v>
      </c>
      <c r="K3663" t="s">
        <v>2317</v>
      </c>
      <c r="L3663" s="10" t="str">
        <f>VLOOKUP(K3663,Accounts!A:B,2,FALSE)</f>
        <v xml:space="preserve">Marriage account</v>
      </c>
      <c r="M3663" t="s">
        <v>124</v>
      </c>
      <c r="N3663" s="10"/>
      <c r="O3663" t="s">
        <v>125</v>
      </c>
      <c r="Q3663" t="s">
        <v>126</v>
      </c>
      <c r="R3663" t="s">
        <v>124</v>
      </c>
      <c r="S3663" t="b">
        <v>0</v>
      </c>
      <c r="T3663" t="s">
        <v>124</v>
      </c>
    </row>
    <row r="3664">
      <c r="A3664" t="s">
        <v>6596</v>
      </c>
      <c r="B3664" t="s">
        <v>6594</v>
      </c>
      <c r="C3664" s="2">
        <v>2021</v>
      </c>
      <c r="D3664" s="10">
        <v>10</v>
      </c>
      <c r="E3664" s="10">
        <v>20</v>
      </c>
      <c r="F3664" t="s">
        <v>4244</v>
      </c>
      <c r="G3664">
        <v>14401.5</v>
      </c>
      <c r="H3664" t="s">
        <v>69</v>
      </c>
      <c r="I3664" t="s">
        <v>1508</v>
      </c>
      <c r="J3664" s="10" t="str">
        <f>VLOOKUP(I3664,Categories!A:B,2,FALSE)</f>
        <v>Other</v>
      </c>
      <c r="K3664" t="s">
        <v>1308</v>
      </c>
      <c r="L3664" s="10" t="str">
        <f>VLOOKUP(K3664,Accounts!A:B,2,FALSE)</f>
        <v xml:space="preserve">UOB Privilages</v>
      </c>
      <c r="M3664" t="s">
        <v>124</v>
      </c>
      <c r="N3664" s="10"/>
      <c r="O3664" t="s">
        <v>6597</v>
      </c>
      <c r="Q3664" t="s">
        <v>126</v>
      </c>
      <c r="R3664" t="s">
        <v>124</v>
      </c>
      <c r="S3664" t="b">
        <v>0</v>
      </c>
      <c r="T3664" t="s">
        <v>124</v>
      </c>
    </row>
    <row r="3665">
      <c r="A3665" t="s">
        <v>6598</v>
      </c>
      <c r="B3665" t="s">
        <v>6594</v>
      </c>
      <c r="C3665" s="2">
        <v>2021</v>
      </c>
      <c r="D3665" s="10">
        <v>10</v>
      </c>
      <c r="E3665" s="10">
        <v>20</v>
      </c>
      <c r="F3665" t="s">
        <v>1416</v>
      </c>
      <c r="G3665">
        <v>240</v>
      </c>
      <c r="H3665" t="s">
        <v>69</v>
      </c>
      <c r="I3665" t="s">
        <v>150</v>
      </c>
      <c r="J3665" s="10" t="str">
        <f>VLOOKUP(I3665,Categories!A:B,2,FALSE)</f>
        <v xml:space="preserve">Food &amp; Coff</v>
      </c>
      <c r="K3665" t="s">
        <v>2317</v>
      </c>
      <c r="L3665" s="10" t="str">
        <f>VLOOKUP(K3665,Accounts!A:B,2,FALSE)</f>
        <v xml:space="preserve">Marriage account</v>
      </c>
      <c r="M3665" t="s">
        <v>124</v>
      </c>
      <c r="N3665" s="10"/>
      <c r="O3665" t="s">
        <v>125</v>
      </c>
      <c r="Q3665" t="s">
        <v>126</v>
      </c>
      <c r="R3665" t="s">
        <v>124</v>
      </c>
      <c r="S3665" t="b">
        <v>0</v>
      </c>
      <c r="T3665" t="s">
        <v>124</v>
      </c>
    </row>
    <row r="3666">
      <c r="A3666" t="s">
        <v>6599</v>
      </c>
      <c r="B3666" t="s">
        <v>6600</v>
      </c>
      <c r="C3666" s="2">
        <v>2021</v>
      </c>
      <c r="D3666" s="10">
        <v>10</v>
      </c>
      <c r="E3666" s="10">
        <v>19</v>
      </c>
      <c r="F3666" t="s">
        <v>4704</v>
      </c>
      <c r="G3666">
        <v>167</v>
      </c>
      <c r="H3666" t="s">
        <v>69</v>
      </c>
      <c r="I3666" t="s">
        <v>150</v>
      </c>
      <c r="J3666" s="10" t="str">
        <f>VLOOKUP(I3666,Categories!A:B,2,FALSE)</f>
        <v xml:space="preserve">Food &amp; Coff</v>
      </c>
      <c r="K3666" t="s">
        <v>178</v>
      </c>
      <c r="L3666" s="10" t="str">
        <f>VLOOKUP(K3666,Accounts!A:B,2,FALSE)</f>
        <v>SCB</v>
      </c>
      <c r="M3666" t="s">
        <v>124</v>
      </c>
      <c r="N3666" s="10"/>
      <c r="O3666" t="s">
        <v>125</v>
      </c>
      <c r="Q3666" t="s">
        <v>126</v>
      </c>
      <c r="R3666" t="s">
        <v>124</v>
      </c>
      <c r="S3666" t="b">
        <v>0</v>
      </c>
      <c r="T3666" t="s">
        <v>124</v>
      </c>
    </row>
    <row r="3667">
      <c r="A3667" t="s">
        <v>6601</v>
      </c>
      <c r="B3667" t="s">
        <v>6600</v>
      </c>
      <c r="C3667" s="2">
        <v>2021</v>
      </c>
      <c r="D3667" s="10">
        <v>10</v>
      </c>
      <c r="E3667" s="10">
        <v>19</v>
      </c>
      <c r="F3667" t="s">
        <v>3176</v>
      </c>
      <c r="G3667">
        <v>2815</v>
      </c>
      <c r="H3667" t="s">
        <v>69</v>
      </c>
      <c r="I3667" t="s">
        <v>1508</v>
      </c>
      <c r="J3667" s="10" t="str">
        <f>VLOOKUP(I3667,Categories!A:B,2,FALSE)</f>
        <v>Other</v>
      </c>
      <c r="K3667" t="s">
        <v>743</v>
      </c>
      <c r="L3667" s="10" t="str">
        <f>VLOOKUP(K3667,Accounts!A:B,2,FALSE)</f>
        <v>HOMEPRO</v>
      </c>
      <c r="M3667" t="s">
        <v>124</v>
      </c>
      <c r="N3667" s="10"/>
      <c r="O3667" t="s">
        <v>125</v>
      </c>
      <c r="Q3667" t="s">
        <v>126</v>
      </c>
      <c r="R3667" t="s">
        <v>124</v>
      </c>
      <c r="S3667" t="b">
        <v>0</v>
      </c>
      <c r="T3667" t="s">
        <v>124</v>
      </c>
    </row>
    <row r="3668">
      <c r="A3668" t="s">
        <v>6602</v>
      </c>
      <c r="B3668" t="s">
        <v>6600</v>
      </c>
      <c r="C3668" s="2">
        <v>2021</v>
      </c>
      <c r="D3668" s="10">
        <v>10</v>
      </c>
      <c r="E3668" s="10">
        <v>19</v>
      </c>
      <c r="F3668" t="s">
        <v>798</v>
      </c>
      <c r="G3668">
        <v>125</v>
      </c>
      <c r="H3668" t="s">
        <v>69</v>
      </c>
      <c r="I3668" t="s">
        <v>150</v>
      </c>
      <c r="J3668" s="10" t="str">
        <f>VLOOKUP(I3668,Categories!A:B,2,FALSE)</f>
        <v xml:space="preserve">Food &amp; Coff</v>
      </c>
      <c r="K3668" t="s">
        <v>2317</v>
      </c>
      <c r="L3668" s="10" t="str">
        <f>VLOOKUP(K3668,Accounts!A:B,2,FALSE)</f>
        <v xml:space="preserve">Marriage account</v>
      </c>
      <c r="M3668" t="s">
        <v>124</v>
      </c>
      <c r="N3668" s="10"/>
      <c r="O3668" t="s">
        <v>6603</v>
      </c>
      <c r="Q3668" t="s">
        <v>126</v>
      </c>
      <c r="R3668" t="s">
        <v>124</v>
      </c>
      <c r="S3668" t="b">
        <v>0</v>
      </c>
      <c r="T3668" t="s">
        <v>124</v>
      </c>
    </row>
    <row r="3669">
      <c r="A3669" t="s">
        <v>6604</v>
      </c>
      <c r="B3669" t="s">
        <v>6600</v>
      </c>
      <c r="C3669" s="2">
        <v>2021</v>
      </c>
      <c r="D3669" s="10">
        <v>10</v>
      </c>
      <c r="E3669" s="10">
        <v>19</v>
      </c>
      <c r="F3669" t="s">
        <v>2894</v>
      </c>
      <c r="G3669">
        <v>222</v>
      </c>
      <c r="H3669" t="s">
        <v>69</v>
      </c>
      <c r="I3669" t="s">
        <v>150</v>
      </c>
      <c r="J3669" s="10" t="str">
        <f>VLOOKUP(I3669,Categories!A:B,2,FALSE)</f>
        <v xml:space="preserve">Food &amp; Coff</v>
      </c>
      <c r="K3669" t="s">
        <v>2317</v>
      </c>
      <c r="L3669" s="10" t="str">
        <f>VLOOKUP(K3669,Accounts!A:B,2,FALSE)</f>
        <v xml:space="preserve">Marriage account</v>
      </c>
      <c r="M3669" t="s">
        <v>124</v>
      </c>
      <c r="N3669" s="10"/>
      <c r="O3669" t="s">
        <v>4715</v>
      </c>
      <c r="Q3669" t="s">
        <v>126</v>
      </c>
      <c r="R3669" t="s">
        <v>124</v>
      </c>
      <c r="S3669" t="b">
        <v>0</v>
      </c>
      <c r="T3669" t="s">
        <v>124</v>
      </c>
    </row>
    <row r="3670">
      <c r="A3670" t="s">
        <v>6605</v>
      </c>
      <c r="B3670" t="s">
        <v>6606</v>
      </c>
      <c r="C3670" s="2">
        <v>2021</v>
      </c>
      <c r="D3670" s="10">
        <v>10</v>
      </c>
      <c r="E3670" s="10">
        <v>18</v>
      </c>
      <c r="F3670" t="s">
        <v>4098</v>
      </c>
      <c r="G3670">
        <v>650</v>
      </c>
      <c r="H3670" t="s">
        <v>69</v>
      </c>
      <c r="I3670" t="s">
        <v>150</v>
      </c>
      <c r="J3670" s="10" t="str">
        <f>VLOOKUP(I3670,Categories!A:B,2,FALSE)</f>
        <v xml:space="preserve">Food &amp; Coff</v>
      </c>
      <c r="K3670" t="s">
        <v>425</v>
      </c>
      <c r="L3670" s="10" t="str">
        <f>VLOOKUP(K3670,Accounts!A:B,2,FALSE)</f>
        <v>Cash</v>
      </c>
      <c r="M3670" t="s">
        <v>124</v>
      </c>
      <c r="N3670" s="10"/>
      <c r="O3670" t="s">
        <v>125</v>
      </c>
      <c r="Q3670" t="s">
        <v>126</v>
      </c>
      <c r="R3670" t="s">
        <v>124</v>
      </c>
      <c r="S3670" t="b">
        <v>0</v>
      </c>
      <c r="T3670" t="s">
        <v>124</v>
      </c>
    </row>
    <row r="3671">
      <c r="A3671" t="s">
        <v>6607</v>
      </c>
      <c r="B3671" t="s">
        <v>6606</v>
      </c>
      <c r="C3671" s="2">
        <v>2021</v>
      </c>
      <c r="D3671" s="10">
        <v>10</v>
      </c>
      <c r="E3671" s="10">
        <v>18</v>
      </c>
      <c r="F3671" t="s">
        <v>2992</v>
      </c>
      <c r="G3671">
        <v>450</v>
      </c>
      <c r="H3671" t="s">
        <v>128</v>
      </c>
      <c r="I3671" t="s">
        <v>136</v>
      </c>
      <c r="J3671" s="10" t="str">
        <f>VLOOKUP(I3671,Categories!A:B,2,FALSE)</f>
        <v>อื่นๆ</v>
      </c>
      <c r="K3671" t="s">
        <v>425</v>
      </c>
      <c r="L3671" s="10" t="str">
        <f>VLOOKUP(K3671,Accounts!A:B,2,FALSE)</f>
        <v>Cash</v>
      </c>
      <c r="M3671" t="s">
        <v>178</v>
      </c>
      <c r="N3671" s="10" t="str">
        <f>VLOOKUP(M3671,Accounts!A:B,2,FALSE)</f>
        <v>SCB</v>
      </c>
      <c r="O3671" t="s">
        <v>125</v>
      </c>
      <c r="Q3671" t="s">
        <v>126</v>
      </c>
      <c r="R3671" t="s">
        <v>124</v>
      </c>
      <c r="S3671" t="b">
        <v>0</v>
      </c>
      <c r="T3671" t="s">
        <v>124</v>
      </c>
    </row>
    <row r="3672">
      <c r="A3672" t="s">
        <v>6608</v>
      </c>
      <c r="B3672" t="s">
        <v>6606</v>
      </c>
      <c r="C3672" s="2">
        <v>2021</v>
      </c>
      <c r="D3672" s="10">
        <v>10</v>
      </c>
      <c r="E3672" s="10">
        <v>18</v>
      </c>
      <c r="F3672" t="s">
        <v>326</v>
      </c>
      <c r="G3672">
        <v>114</v>
      </c>
      <c r="H3672" t="s">
        <v>69</v>
      </c>
      <c r="I3672" t="s">
        <v>150</v>
      </c>
      <c r="J3672" s="10" t="str">
        <f>VLOOKUP(I3672,Categories!A:B,2,FALSE)</f>
        <v xml:space="preserve">Food &amp; Coff</v>
      </c>
      <c r="K3672" t="s">
        <v>2317</v>
      </c>
      <c r="L3672" s="10" t="str">
        <f>VLOOKUP(K3672,Accounts!A:B,2,FALSE)</f>
        <v xml:space="preserve">Marriage account</v>
      </c>
      <c r="M3672" t="s">
        <v>124</v>
      </c>
      <c r="N3672" s="10"/>
      <c r="O3672" t="s">
        <v>6609</v>
      </c>
      <c r="Q3672" t="s">
        <v>126</v>
      </c>
      <c r="R3672" t="s">
        <v>124</v>
      </c>
      <c r="S3672" t="b">
        <v>0</v>
      </c>
      <c r="T3672" t="s">
        <v>124</v>
      </c>
    </row>
    <row r="3673">
      <c r="A3673" t="s">
        <v>6610</v>
      </c>
      <c r="B3673" t="s">
        <v>6606</v>
      </c>
      <c r="C3673" s="2">
        <v>2021</v>
      </c>
      <c r="D3673" s="10">
        <v>10</v>
      </c>
      <c r="E3673" s="10">
        <v>18</v>
      </c>
      <c r="F3673" t="s">
        <v>326</v>
      </c>
      <c r="G3673">
        <v>194</v>
      </c>
      <c r="H3673" t="s">
        <v>69</v>
      </c>
      <c r="I3673" t="s">
        <v>150</v>
      </c>
      <c r="J3673" s="10" t="str">
        <f>VLOOKUP(I3673,Categories!A:B,2,FALSE)</f>
        <v xml:space="preserve">Food &amp; Coff</v>
      </c>
      <c r="K3673" t="s">
        <v>2317</v>
      </c>
      <c r="L3673" s="10" t="str">
        <f>VLOOKUP(K3673,Accounts!A:B,2,FALSE)</f>
        <v xml:space="preserve">Marriage account</v>
      </c>
      <c r="M3673" t="s">
        <v>124</v>
      </c>
      <c r="N3673" s="10"/>
      <c r="O3673" t="s">
        <v>6611</v>
      </c>
      <c r="Q3673" t="s">
        <v>126</v>
      </c>
      <c r="R3673" t="s">
        <v>124</v>
      </c>
      <c r="S3673" t="b">
        <v>0</v>
      </c>
      <c r="T3673" t="s">
        <v>124</v>
      </c>
    </row>
    <row r="3674">
      <c r="A3674" t="s">
        <v>6612</v>
      </c>
      <c r="B3674" t="s">
        <v>6613</v>
      </c>
      <c r="C3674" s="2">
        <v>2021</v>
      </c>
      <c r="D3674" s="10">
        <v>10</v>
      </c>
      <c r="E3674" s="10">
        <v>17</v>
      </c>
      <c r="F3674" t="s">
        <v>4185</v>
      </c>
      <c r="G3674">
        <v>97</v>
      </c>
      <c r="H3674" t="s">
        <v>69</v>
      </c>
      <c r="I3674" t="s">
        <v>150</v>
      </c>
      <c r="J3674" s="10" t="str">
        <f>VLOOKUP(I3674,Categories!A:B,2,FALSE)</f>
        <v xml:space="preserve">Food &amp; Coff</v>
      </c>
      <c r="K3674" t="s">
        <v>2317</v>
      </c>
      <c r="L3674" s="10" t="str">
        <f>VLOOKUP(K3674,Accounts!A:B,2,FALSE)</f>
        <v xml:space="preserve">Marriage account</v>
      </c>
      <c r="M3674" t="s">
        <v>124</v>
      </c>
      <c r="N3674" s="10"/>
      <c r="O3674" t="s">
        <v>4655</v>
      </c>
      <c r="Q3674" t="s">
        <v>126</v>
      </c>
      <c r="R3674" t="s">
        <v>124</v>
      </c>
      <c r="S3674" t="b">
        <v>0</v>
      </c>
      <c r="T3674" t="s">
        <v>124</v>
      </c>
    </row>
    <row r="3675">
      <c r="A3675" t="s">
        <v>6614</v>
      </c>
      <c r="B3675" t="s">
        <v>6613</v>
      </c>
      <c r="C3675" s="2">
        <v>2021</v>
      </c>
      <c r="D3675" s="10">
        <v>10</v>
      </c>
      <c r="E3675" s="10">
        <v>17</v>
      </c>
      <c r="F3675" t="s">
        <v>1892</v>
      </c>
      <c r="G3675">
        <v>1900</v>
      </c>
      <c r="H3675" t="s">
        <v>128</v>
      </c>
      <c r="I3675" t="s">
        <v>136</v>
      </c>
      <c r="J3675" s="10" t="str">
        <f>VLOOKUP(I3675,Categories!A:B,2,FALSE)</f>
        <v>อื่นๆ</v>
      </c>
      <c r="K3675" t="s">
        <v>178</v>
      </c>
      <c r="L3675" s="10" t="str">
        <f>VLOOKUP(K3675,Accounts!A:B,2,FALSE)</f>
        <v>SCB</v>
      </c>
      <c r="M3675" t="s">
        <v>425</v>
      </c>
      <c r="N3675" s="10" t="str">
        <f>VLOOKUP(M3675,Accounts!A:B,2,FALSE)</f>
        <v>Cash</v>
      </c>
      <c r="O3675" t="s">
        <v>125</v>
      </c>
      <c r="Q3675" t="s">
        <v>126</v>
      </c>
      <c r="R3675" t="s">
        <v>124</v>
      </c>
      <c r="S3675" t="b">
        <v>0</v>
      </c>
      <c r="T3675" t="s">
        <v>124</v>
      </c>
    </row>
    <row r="3676">
      <c r="A3676" t="s">
        <v>6615</v>
      </c>
      <c r="B3676" t="s">
        <v>6613</v>
      </c>
      <c r="C3676" s="2">
        <v>2021</v>
      </c>
      <c r="D3676" s="10">
        <v>10</v>
      </c>
      <c r="E3676" s="10">
        <v>17</v>
      </c>
      <c r="F3676" t="s">
        <v>2181</v>
      </c>
      <c r="G3676">
        <v>450</v>
      </c>
      <c r="H3676" t="s">
        <v>69</v>
      </c>
      <c r="I3676" t="s">
        <v>150</v>
      </c>
      <c r="J3676" s="10" t="str">
        <f>VLOOKUP(I3676,Categories!A:B,2,FALSE)</f>
        <v xml:space="preserve">Food &amp; Coff</v>
      </c>
      <c r="K3676" t="s">
        <v>2317</v>
      </c>
      <c r="L3676" s="10" t="str">
        <f>VLOOKUP(K3676,Accounts!A:B,2,FALSE)</f>
        <v xml:space="preserve">Marriage account</v>
      </c>
      <c r="M3676" t="s">
        <v>124</v>
      </c>
      <c r="N3676" s="10"/>
      <c r="O3676" t="s">
        <v>6616</v>
      </c>
      <c r="Q3676" t="s">
        <v>126</v>
      </c>
      <c r="R3676" t="s">
        <v>124</v>
      </c>
      <c r="S3676" t="b">
        <v>0</v>
      </c>
      <c r="T3676" t="s">
        <v>124</v>
      </c>
    </row>
    <row r="3677">
      <c r="A3677" t="s">
        <v>6617</v>
      </c>
      <c r="B3677" t="s">
        <v>6613</v>
      </c>
      <c r="C3677" s="2">
        <v>2021</v>
      </c>
      <c r="D3677" s="10">
        <v>10</v>
      </c>
      <c r="E3677" s="10">
        <v>17</v>
      </c>
      <c r="F3677" t="s">
        <v>2150</v>
      </c>
      <c r="G3677">
        <v>220</v>
      </c>
      <c r="H3677" t="s">
        <v>69</v>
      </c>
      <c r="I3677" t="s">
        <v>150</v>
      </c>
      <c r="J3677" s="10" t="str">
        <f>VLOOKUP(I3677,Categories!A:B,2,FALSE)</f>
        <v xml:space="preserve">Food &amp; Coff</v>
      </c>
      <c r="K3677" t="s">
        <v>2317</v>
      </c>
      <c r="L3677" s="10" t="str">
        <f>VLOOKUP(K3677,Accounts!A:B,2,FALSE)</f>
        <v xml:space="preserve">Marriage account</v>
      </c>
      <c r="M3677" t="s">
        <v>124</v>
      </c>
      <c r="N3677" s="10"/>
      <c r="O3677" t="s">
        <v>6618</v>
      </c>
      <c r="Q3677" t="s">
        <v>126</v>
      </c>
      <c r="R3677" t="s">
        <v>124</v>
      </c>
      <c r="S3677" t="b">
        <v>0</v>
      </c>
      <c r="T3677" t="s">
        <v>124</v>
      </c>
    </row>
    <row r="3678">
      <c r="A3678" t="s">
        <v>6619</v>
      </c>
      <c r="B3678" t="s">
        <v>6613</v>
      </c>
      <c r="C3678" s="2">
        <v>2021</v>
      </c>
      <c r="D3678" s="10">
        <v>10</v>
      </c>
      <c r="E3678" s="10">
        <v>17</v>
      </c>
      <c r="F3678" t="s">
        <v>332</v>
      </c>
      <c r="G3678">
        <v>205</v>
      </c>
      <c r="H3678" t="s">
        <v>69</v>
      </c>
      <c r="I3678" t="s">
        <v>1339</v>
      </c>
      <c r="J3678" s="10" t="str">
        <f>VLOOKUP(I3678,Categories!A:B,2,FALSE)</f>
        <v>Manga</v>
      </c>
      <c r="K3678" t="s">
        <v>178</v>
      </c>
      <c r="L3678" s="10" t="str">
        <f>VLOOKUP(K3678,Accounts!A:B,2,FALSE)</f>
        <v>SCB</v>
      </c>
      <c r="M3678" t="s">
        <v>124</v>
      </c>
      <c r="N3678" s="10"/>
      <c r="O3678" t="s">
        <v>125</v>
      </c>
      <c r="Q3678" t="s">
        <v>126</v>
      </c>
      <c r="R3678" t="s">
        <v>124</v>
      </c>
      <c r="S3678" t="b">
        <v>0</v>
      </c>
      <c r="T3678" t="s">
        <v>124</v>
      </c>
    </row>
    <row r="3679">
      <c r="A3679" t="s">
        <v>6620</v>
      </c>
      <c r="B3679" t="s">
        <v>6613</v>
      </c>
      <c r="C3679" s="2">
        <v>2021</v>
      </c>
      <c r="D3679" s="10">
        <v>10</v>
      </c>
      <c r="E3679" s="10">
        <v>17</v>
      </c>
      <c r="F3679" t="s">
        <v>332</v>
      </c>
      <c r="G3679">
        <v>95</v>
      </c>
      <c r="H3679" t="s">
        <v>69</v>
      </c>
      <c r="I3679" t="s">
        <v>150</v>
      </c>
      <c r="J3679" s="10" t="str">
        <f>VLOOKUP(I3679,Categories!A:B,2,FALSE)</f>
        <v xml:space="preserve">Food &amp; Coff</v>
      </c>
      <c r="K3679" t="s">
        <v>178</v>
      </c>
      <c r="L3679" s="10" t="str">
        <f>VLOOKUP(K3679,Accounts!A:B,2,FALSE)</f>
        <v>SCB</v>
      </c>
      <c r="M3679" t="s">
        <v>124</v>
      </c>
      <c r="N3679" s="10"/>
      <c r="O3679" t="s">
        <v>6621</v>
      </c>
      <c r="Q3679" t="s">
        <v>126</v>
      </c>
      <c r="R3679" t="s">
        <v>124</v>
      </c>
      <c r="S3679" t="b">
        <v>0</v>
      </c>
      <c r="T3679" t="s">
        <v>124</v>
      </c>
    </row>
    <row r="3680">
      <c r="A3680" t="s">
        <v>6622</v>
      </c>
      <c r="B3680" t="s">
        <v>6613</v>
      </c>
      <c r="C3680" s="2">
        <v>2021</v>
      </c>
      <c r="D3680" s="10">
        <v>10</v>
      </c>
      <c r="E3680" s="10">
        <v>17</v>
      </c>
      <c r="F3680" t="s">
        <v>2195</v>
      </c>
      <c r="G3680">
        <v>178</v>
      </c>
      <c r="H3680" t="s">
        <v>69</v>
      </c>
      <c r="I3680" t="s">
        <v>150</v>
      </c>
      <c r="J3680" s="10" t="str">
        <f>VLOOKUP(I3680,Categories!A:B,2,FALSE)</f>
        <v xml:space="preserve">Food &amp; Coff</v>
      </c>
      <c r="K3680" t="s">
        <v>2317</v>
      </c>
      <c r="L3680" s="10" t="str">
        <f>VLOOKUP(K3680,Accounts!A:B,2,FALSE)</f>
        <v xml:space="preserve">Marriage account</v>
      </c>
      <c r="M3680" t="s">
        <v>124</v>
      </c>
      <c r="N3680" s="10"/>
      <c r="O3680" t="s">
        <v>6623</v>
      </c>
      <c r="Q3680" t="s">
        <v>126</v>
      </c>
      <c r="R3680" t="s">
        <v>124</v>
      </c>
      <c r="S3680" t="b">
        <v>0</v>
      </c>
      <c r="T3680" t="s">
        <v>124</v>
      </c>
    </row>
    <row r="3681">
      <c r="A3681" t="s">
        <v>6624</v>
      </c>
      <c r="B3681" t="s">
        <v>6625</v>
      </c>
      <c r="C3681" s="2">
        <v>2021</v>
      </c>
      <c r="D3681" s="10">
        <v>10</v>
      </c>
      <c r="E3681" s="10">
        <v>16</v>
      </c>
      <c r="F3681" t="s">
        <v>2584</v>
      </c>
      <c r="G3681">
        <v>95</v>
      </c>
      <c r="H3681" t="s">
        <v>69</v>
      </c>
      <c r="I3681" t="s">
        <v>150</v>
      </c>
      <c r="J3681" s="10" t="str">
        <f>VLOOKUP(I3681,Categories!A:B,2,FALSE)</f>
        <v xml:space="preserve">Food &amp; Coff</v>
      </c>
      <c r="K3681" t="s">
        <v>2317</v>
      </c>
      <c r="L3681" s="10" t="str">
        <f>VLOOKUP(K3681,Accounts!A:B,2,FALSE)</f>
        <v xml:space="preserve">Marriage account</v>
      </c>
      <c r="M3681" t="s">
        <v>124</v>
      </c>
      <c r="N3681" s="10"/>
      <c r="O3681" t="s">
        <v>6626</v>
      </c>
      <c r="Q3681" t="s">
        <v>126</v>
      </c>
      <c r="R3681" t="s">
        <v>124</v>
      </c>
      <c r="S3681" t="b">
        <v>0</v>
      </c>
      <c r="T3681" t="s">
        <v>124</v>
      </c>
    </row>
    <row r="3682">
      <c r="A3682" t="s">
        <v>6627</v>
      </c>
      <c r="B3682" t="s">
        <v>6625</v>
      </c>
      <c r="C3682" s="2">
        <v>2021</v>
      </c>
      <c r="D3682" s="10">
        <v>10</v>
      </c>
      <c r="E3682" s="10">
        <v>16</v>
      </c>
      <c r="F3682" t="s">
        <v>3153</v>
      </c>
      <c r="G3682">
        <v>1385.6800000000001</v>
      </c>
      <c r="H3682" t="s">
        <v>69</v>
      </c>
      <c r="I3682" t="s">
        <v>1882</v>
      </c>
      <c r="J3682" s="10" t="str">
        <f>VLOOKUP(I3682,Categories!A:B,2,FALSE)</f>
        <v>utility</v>
      </c>
      <c r="K3682" t="s">
        <v>2317</v>
      </c>
      <c r="L3682" s="10" t="str">
        <f>VLOOKUP(K3682,Accounts!A:B,2,FALSE)</f>
        <v xml:space="preserve">Marriage account</v>
      </c>
      <c r="M3682" t="s">
        <v>124</v>
      </c>
      <c r="N3682" s="10"/>
      <c r="O3682" t="s">
        <v>4893</v>
      </c>
      <c r="Q3682" t="s">
        <v>126</v>
      </c>
      <c r="R3682" t="s">
        <v>124</v>
      </c>
      <c r="S3682" t="b">
        <v>0</v>
      </c>
      <c r="T3682" t="s">
        <v>124</v>
      </c>
    </row>
    <row r="3683">
      <c r="A3683" t="s">
        <v>6628</v>
      </c>
      <c r="B3683" t="s">
        <v>6625</v>
      </c>
      <c r="C3683" s="2">
        <v>2021</v>
      </c>
      <c r="D3683" s="10">
        <v>10</v>
      </c>
      <c r="E3683" s="10">
        <v>16</v>
      </c>
      <c r="F3683" t="s">
        <v>326</v>
      </c>
      <c r="G3683">
        <v>825</v>
      </c>
      <c r="H3683" t="s">
        <v>128</v>
      </c>
      <c r="I3683" t="s">
        <v>136</v>
      </c>
      <c r="J3683" s="10" t="str">
        <f>VLOOKUP(I3683,Categories!A:B,2,FALSE)</f>
        <v>อื่นๆ</v>
      </c>
      <c r="K3683" t="s">
        <v>5806</v>
      </c>
      <c r="L3683" s="10" t="str">
        <f>VLOOKUP(K3683,Accounts!A:B,2,FALSE)</f>
        <v>Grabpay</v>
      </c>
      <c r="M3683" t="s">
        <v>178</v>
      </c>
      <c r="N3683" s="10" t="str">
        <f>VLOOKUP(M3683,Accounts!A:B,2,FALSE)</f>
        <v>SCB</v>
      </c>
      <c r="O3683" t="s">
        <v>125</v>
      </c>
      <c r="Q3683" t="s">
        <v>126</v>
      </c>
      <c r="R3683" t="s">
        <v>124</v>
      </c>
      <c r="S3683" t="b">
        <v>0</v>
      </c>
      <c r="T3683" t="s">
        <v>124</v>
      </c>
    </row>
    <row r="3684">
      <c r="A3684" t="s">
        <v>6629</v>
      </c>
      <c r="B3684" t="s">
        <v>6625</v>
      </c>
      <c r="C3684" s="2">
        <v>2021</v>
      </c>
      <c r="D3684" s="10">
        <v>10</v>
      </c>
      <c r="E3684" s="10">
        <v>16</v>
      </c>
      <c r="F3684" t="s">
        <v>329</v>
      </c>
      <c r="G3684">
        <v>200</v>
      </c>
      <c r="H3684" t="s">
        <v>128</v>
      </c>
      <c r="I3684" t="s">
        <v>136</v>
      </c>
      <c r="J3684" s="10" t="str">
        <f>VLOOKUP(I3684,Categories!A:B,2,FALSE)</f>
        <v>อื่นๆ</v>
      </c>
      <c r="K3684" t="s">
        <v>5803</v>
      </c>
      <c r="L3684" s="10" t="str">
        <f>VLOOKUP(K3684,Accounts!A:B,2,FALSE)</f>
        <v>grabvoucher</v>
      </c>
      <c r="M3684" t="s">
        <v>178</v>
      </c>
      <c r="N3684" s="10" t="str">
        <f>VLOOKUP(M3684,Accounts!A:B,2,FALSE)</f>
        <v>SCB</v>
      </c>
      <c r="O3684" t="s">
        <v>125</v>
      </c>
      <c r="Q3684" t="s">
        <v>126</v>
      </c>
      <c r="R3684" t="s">
        <v>124</v>
      </c>
      <c r="S3684" t="b">
        <v>0</v>
      </c>
      <c r="T3684" t="s">
        <v>124</v>
      </c>
    </row>
    <row r="3685">
      <c r="A3685" t="s">
        <v>6630</v>
      </c>
      <c r="B3685" t="s">
        <v>6625</v>
      </c>
      <c r="C3685" s="2">
        <v>2021</v>
      </c>
      <c r="D3685" s="10">
        <v>10</v>
      </c>
      <c r="E3685" s="10">
        <v>16</v>
      </c>
      <c r="F3685" t="s">
        <v>1066</v>
      </c>
      <c r="G3685">
        <v>95</v>
      </c>
      <c r="H3685" t="s">
        <v>128</v>
      </c>
      <c r="I3685" t="s">
        <v>136</v>
      </c>
      <c r="J3685" s="10" t="str">
        <f>VLOOKUP(I3685,Categories!A:B,2,FALSE)</f>
        <v>อื่นๆ</v>
      </c>
      <c r="K3685" t="s">
        <v>425</v>
      </c>
      <c r="L3685" s="10" t="str">
        <f>VLOOKUP(K3685,Accounts!A:B,2,FALSE)</f>
        <v>Cash</v>
      </c>
      <c r="M3685" t="s">
        <v>178</v>
      </c>
      <c r="N3685" s="10" t="str">
        <f>VLOOKUP(M3685,Accounts!A:B,2,FALSE)</f>
        <v>SCB</v>
      </c>
      <c r="O3685" t="s">
        <v>125</v>
      </c>
      <c r="Q3685" t="s">
        <v>126</v>
      </c>
      <c r="R3685" t="s">
        <v>124</v>
      </c>
      <c r="S3685" t="b">
        <v>0</v>
      </c>
      <c r="T3685" t="s">
        <v>124</v>
      </c>
    </row>
    <row r="3686">
      <c r="A3686" t="s">
        <v>6631</v>
      </c>
      <c r="B3686" t="s">
        <v>6632</v>
      </c>
      <c r="C3686" s="2">
        <v>2021</v>
      </c>
      <c r="D3686" s="10">
        <v>10</v>
      </c>
      <c r="E3686" s="10">
        <v>15</v>
      </c>
      <c r="F3686" t="s">
        <v>121</v>
      </c>
      <c r="G3686">
        <v>315</v>
      </c>
      <c r="H3686" t="s">
        <v>128</v>
      </c>
      <c r="I3686" t="s">
        <v>136</v>
      </c>
      <c r="J3686" s="10" t="str">
        <f>VLOOKUP(I3686,Categories!A:B,2,FALSE)</f>
        <v>อื่นๆ</v>
      </c>
      <c r="K3686" t="s">
        <v>178</v>
      </c>
      <c r="L3686" s="10" t="str">
        <f>VLOOKUP(K3686,Accounts!A:B,2,FALSE)</f>
        <v>SCB</v>
      </c>
      <c r="M3686" t="s">
        <v>1311</v>
      </c>
      <c r="N3686" s="10" t="str">
        <f>VLOOKUP(M3686,Accounts!A:B,2,FALSE)</f>
        <v xml:space="preserve">Netflix in Adv</v>
      </c>
      <c r="O3686" t="s">
        <v>125</v>
      </c>
      <c r="Q3686" t="s">
        <v>126</v>
      </c>
      <c r="R3686" t="s">
        <v>124</v>
      </c>
      <c r="S3686" t="b">
        <v>0</v>
      </c>
      <c r="T3686" t="s">
        <v>124</v>
      </c>
    </row>
    <row r="3687">
      <c r="A3687" t="s">
        <v>6633</v>
      </c>
      <c r="B3687" t="s">
        <v>6632</v>
      </c>
      <c r="C3687" s="2">
        <v>2021</v>
      </c>
      <c r="D3687" s="10">
        <v>10</v>
      </c>
      <c r="E3687" s="10">
        <v>15</v>
      </c>
      <c r="F3687" t="s">
        <v>6634</v>
      </c>
      <c r="G3687">
        <v>105</v>
      </c>
      <c r="H3687" t="s">
        <v>69</v>
      </c>
      <c r="I3687" t="s">
        <v>1903</v>
      </c>
      <c r="J3687" s="10" t="str">
        <f>VLOOKUP(I3687,Categories!A:B,2,FALSE)</f>
        <v xml:space="preserve">Monthly subscription</v>
      </c>
      <c r="K3687" t="s">
        <v>178</v>
      </c>
      <c r="L3687" s="10" t="str">
        <f>VLOOKUP(K3687,Accounts!A:B,2,FALSE)</f>
        <v>SCB</v>
      </c>
      <c r="M3687" t="s">
        <v>124</v>
      </c>
      <c r="N3687" s="10"/>
      <c r="O3687" t="s">
        <v>125</v>
      </c>
      <c r="Q3687" t="s">
        <v>126</v>
      </c>
      <c r="R3687" t="s">
        <v>124</v>
      </c>
      <c r="S3687" t="b">
        <v>0</v>
      </c>
      <c r="T3687" t="s">
        <v>124</v>
      </c>
    </row>
    <row r="3688">
      <c r="A3688" t="s">
        <v>6635</v>
      </c>
      <c r="B3688" t="s">
        <v>6632</v>
      </c>
      <c r="C3688" s="2">
        <v>2021</v>
      </c>
      <c r="D3688" s="10">
        <v>10</v>
      </c>
      <c r="E3688" s="10">
        <v>15</v>
      </c>
      <c r="F3688" t="s">
        <v>1498</v>
      </c>
      <c r="G3688">
        <v>135</v>
      </c>
      <c r="H3688" t="s">
        <v>69</v>
      </c>
      <c r="I3688" t="s">
        <v>150</v>
      </c>
      <c r="J3688" s="10" t="str">
        <f>VLOOKUP(I3688,Categories!A:B,2,FALSE)</f>
        <v xml:space="preserve">Food &amp; Coff</v>
      </c>
      <c r="K3688" t="s">
        <v>2317</v>
      </c>
      <c r="L3688" s="10" t="str">
        <f>VLOOKUP(K3688,Accounts!A:B,2,FALSE)</f>
        <v xml:space="preserve">Marriage account</v>
      </c>
      <c r="M3688" t="s">
        <v>124</v>
      </c>
      <c r="N3688" s="10"/>
      <c r="O3688" t="s">
        <v>6609</v>
      </c>
      <c r="Q3688" t="s">
        <v>126</v>
      </c>
      <c r="R3688" t="s">
        <v>124</v>
      </c>
      <c r="S3688" t="b">
        <v>0</v>
      </c>
      <c r="T3688" t="s">
        <v>124</v>
      </c>
    </row>
    <row r="3689">
      <c r="A3689" t="s">
        <v>6636</v>
      </c>
      <c r="B3689" t="s">
        <v>6632</v>
      </c>
      <c r="C3689" s="2">
        <v>2021</v>
      </c>
      <c r="D3689" s="10">
        <v>10</v>
      </c>
      <c r="E3689" s="10">
        <v>15</v>
      </c>
      <c r="F3689" t="s">
        <v>341</v>
      </c>
      <c r="G3689">
        <v>301</v>
      </c>
      <c r="H3689" t="s">
        <v>69</v>
      </c>
      <c r="I3689" t="s">
        <v>150</v>
      </c>
      <c r="J3689" s="10" t="str">
        <f>VLOOKUP(I3689,Categories!A:B,2,FALSE)</f>
        <v xml:space="preserve">Food &amp; Coff</v>
      </c>
      <c r="K3689" t="s">
        <v>2317</v>
      </c>
      <c r="L3689" s="10" t="str">
        <f>VLOOKUP(K3689,Accounts!A:B,2,FALSE)</f>
        <v xml:space="preserve">Marriage account</v>
      </c>
      <c r="M3689" t="s">
        <v>124</v>
      </c>
      <c r="N3689" s="10"/>
      <c r="O3689" t="s">
        <v>1388</v>
      </c>
      <c r="Q3689" t="s">
        <v>126</v>
      </c>
      <c r="R3689" t="s">
        <v>124</v>
      </c>
      <c r="S3689" t="b">
        <v>0</v>
      </c>
      <c r="T3689" t="s">
        <v>124</v>
      </c>
    </row>
    <row r="3690">
      <c r="A3690" t="s">
        <v>6637</v>
      </c>
      <c r="B3690" t="s">
        <v>6632</v>
      </c>
      <c r="C3690" s="2">
        <v>2021</v>
      </c>
      <c r="D3690" s="10">
        <v>10</v>
      </c>
      <c r="E3690" s="10">
        <v>15</v>
      </c>
      <c r="F3690" t="s">
        <v>171</v>
      </c>
      <c r="G3690">
        <v>65</v>
      </c>
      <c r="H3690" t="s">
        <v>69</v>
      </c>
      <c r="I3690" t="s">
        <v>150</v>
      </c>
      <c r="J3690" s="10" t="str">
        <f>VLOOKUP(I3690,Categories!A:B,2,FALSE)</f>
        <v xml:space="preserve">Food &amp; Coff</v>
      </c>
      <c r="K3690" t="s">
        <v>893</v>
      </c>
      <c r="L3690" s="10" t="str">
        <f>VLOOKUP(K3690,Accounts!A:B,2,FALSE)</f>
        <v>Shopee</v>
      </c>
      <c r="M3690" t="s">
        <v>124</v>
      </c>
      <c r="N3690" s="10"/>
      <c r="O3690" t="s">
        <v>125</v>
      </c>
      <c r="Q3690" t="s">
        <v>126</v>
      </c>
      <c r="R3690" t="s">
        <v>124</v>
      </c>
      <c r="S3690" t="b">
        <v>0</v>
      </c>
      <c r="T3690" t="s">
        <v>124</v>
      </c>
    </row>
    <row r="3691">
      <c r="A3691" t="s">
        <v>6638</v>
      </c>
      <c r="B3691" t="s">
        <v>6632</v>
      </c>
      <c r="C3691" s="2">
        <v>2021</v>
      </c>
      <c r="D3691" s="10">
        <v>10</v>
      </c>
      <c r="E3691" s="10">
        <v>15</v>
      </c>
      <c r="F3691" t="s">
        <v>551</v>
      </c>
      <c r="G3691">
        <v>3000</v>
      </c>
      <c r="H3691" t="s">
        <v>206</v>
      </c>
      <c r="I3691" t="s">
        <v>281</v>
      </c>
      <c r="J3691" s="10" t="str">
        <f>VLOOKUP(I3691,Categories!A:B,2,FALSE)</f>
        <v>Others</v>
      </c>
      <c r="K3691" t="s">
        <v>178</v>
      </c>
      <c r="L3691" s="10" t="str">
        <f>VLOOKUP(K3691,Accounts!A:B,2,FALSE)</f>
        <v>SCB</v>
      </c>
      <c r="M3691" t="s">
        <v>124</v>
      </c>
      <c r="N3691" s="10"/>
      <c r="O3691" t="s">
        <v>125</v>
      </c>
      <c r="Q3691" t="s">
        <v>126</v>
      </c>
      <c r="R3691" t="s">
        <v>124</v>
      </c>
      <c r="S3691" t="b">
        <v>0</v>
      </c>
      <c r="T3691" t="s">
        <v>124</v>
      </c>
    </row>
    <row r="3692">
      <c r="A3692" t="s">
        <v>6639</v>
      </c>
      <c r="B3692" t="s">
        <v>6632</v>
      </c>
      <c r="C3692" s="2">
        <v>2021</v>
      </c>
      <c r="D3692" s="10">
        <v>10</v>
      </c>
      <c r="E3692" s="10">
        <v>15</v>
      </c>
      <c r="F3692" t="s">
        <v>6640</v>
      </c>
      <c r="G3692">
        <v>65</v>
      </c>
      <c r="H3692" t="s">
        <v>69</v>
      </c>
      <c r="I3692" t="s">
        <v>150</v>
      </c>
      <c r="J3692" s="10" t="str">
        <f>VLOOKUP(I3692,Categories!A:B,2,FALSE)</f>
        <v xml:space="preserve">Food &amp; Coff</v>
      </c>
      <c r="K3692" t="s">
        <v>2317</v>
      </c>
      <c r="L3692" s="10" t="str">
        <f>VLOOKUP(K3692,Accounts!A:B,2,FALSE)</f>
        <v xml:space="preserve">Marriage account</v>
      </c>
      <c r="M3692" t="s">
        <v>124</v>
      </c>
      <c r="N3692" s="10"/>
      <c r="O3692" t="s">
        <v>6641</v>
      </c>
      <c r="Q3692" t="s">
        <v>126</v>
      </c>
      <c r="R3692" t="s">
        <v>124</v>
      </c>
      <c r="S3692" t="b">
        <v>0</v>
      </c>
      <c r="T3692" t="s">
        <v>124</v>
      </c>
    </row>
    <row r="3693">
      <c r="A3693" t="s">
        <v>6642</v>
      </c>
      <c r="B3693" t="s">
        <v>6632</v>
      </c>
      <c r="C3693" s="2">
        <v>2021</v>
      </c>
      <c r="D3693" s="10">
        <v>10</v>
      </c>
      <c r="E3693" s="10">
        <v>15</v>
      </c>
      <c r="F3693" t="s">
        <v>6640</v>
      </c>
      <c r="G3693">
        <v>65</v>
      </c>
      <c r="H3693" t="s">
        <v>128</v>
      </c>
      <c r="I3693" t="s">
        <v>136</v>
      </c>
      <c r="J3693" s="10" t="str">
        <f>VLOOKUP(I3693,Categories!A:B,2,FALSE)</f>
        <v>อื่นๆ</v>
      </c>
      <c r="K3693" t="s">
        <v>893</v>
      </c>
      <c r="L3693" s="10" t="str">
        <f>VLOOKUP(K3693,Accounts!A:B,2,FALSE)</f>
        <v>Shopee</v>
      </c>
      <c r="M3693" t="s">
        <v>178</v>
      </c>
      <c r="N3693" s="10" t="str">
        <f>VLOOKUP(M3693,Accounts!A:B,2,FALSE)</f>
        <v>SCB</v>
      </c>
      <c r="O3693" t="s">
        <v>125</v>
      </c>
      <c r="Q3693" t="s">
        <v>126</v>
      </c>
      <c r="R3693" t="s">
        <v>124</v>
      </c>
      <c r="S3693" t="b">
        <v>0</v>
      </c>
      <c r="T3693" t="s">
        <v>124</v>
      </c>
    </row>
    <row r="3694">
      <c r="A3694" t="s">
        <v>6643</v>
      </c>
      <c r="B3694" t="s">
        <v>6644</v>
      </c>
      <c r="C3694" s="2">
        <v>2021</v>
      </c>
      <c r="D3694" s="10">
        <v>10</v>
      </c>
      <c r="E3694" s="10">
        <v>14</v>
      </c>
      <c r="F3694" t="s">
        <v>1446</v>
      </c>
      <c r="G3694">
        <v>188</v>
      </c>
      <c r="H3694" t="s">
        <v>69</v>
      </c>
      <c r="I3694" t="s">
        <v>150</v>
      </c>
      <c r="J3694" s="10" t="str">
        <f>VLOOKUP(I3694,Categories!A:B,2,FALSE)</f>
        <v xml:space="preserve">Food &amp; Coff</v>
      </c>
      <c r="K3694" t="s">
        <v>2317</v>
      </c>
      <c r="L3694" s="10" t="str">
        <f>VLOOKUP(K3694,Accounts!A:B,2,FALSE)</f>
        <v xml:space="preserve">Marriage account</v>
      </c>
      <c r="M3694" t="s">
        <v>124</v>
      </c>
      <c r="N3694" s="10"/>
      <c r="O3694" t="s">
        <v>4544</v>
      </c>
      <c r="Q3694" t="s">
        <v>126</v>
      </c>
      <c r="R3694" t="s">
        <v>124</v>
      </c>
      <c r="S3694" t="b">
        <v>0</v>
      </c>
      <c r="T3694" t="s">
        <v>124</v>
      </c>
    </row>
    <row r="3695">
      <c r="A3695" t="s">
        <v>6645</v>
      </c>
      <c r="B3695" t="s">
        <v>6646</v>
      </c>
      <c r="C3695" s="2">
        <v>2021</v>
      </c>
      <c r="D3695" s="10">
        <v>10</v>
      </c>
      <c r="E3695" s="10">
        <v>13</v>
      </c>
      <c r="F3695" t="s">
        <v>5351</v>
      </c>
      <c r="G3695">
        <v>900</v>
      </c>
      <c r="H3695" t="s">
        <v>128</v>
      </c>
      <c r="I3695" t="s">
        <v>136</v>
      </c>
      <c r="J3695" s="10" t="str">
        <f>VLOOKUP(I3695,Categories!A:B,2,FALSE)</f>
        <v>อื่นๆ</v>
      </c>
      <c r="K3695" t="s">
        <v>766</v>
      </c>
      <c r="L3695" s="10" t="str">
        <f>VLOOKUP(K3695,Accounts!A:B,2,FALSE)</f>
        <v>KRUNGSRI</v>
      </c>
      <c r="M3695" t="s">
        <v>425</v>
      </c>
      <c r="N3695" s="10" t="str">
        <f>VLOOKUP(M3695,Accounts!A:B,2,FALSE)</f>
        <v>Cash</v>
      </c>
      <c r="O3695" t="s">
        <v>125</v>
      </c>
      <c r="Q3695" t="s">
        <v>126</v>
      </c>
      <c r="R3695" t="s">
        <v>124</v>
      </c>
      <c r="S3695" t="b">
        <v>0</v>
      </c>
      <c r="T3695" t="s">
        <v>124</v>
      </c>
    </row>
    <row r="3696">
      <c r="A3696" t="s">
        <v>6647</v>
      </c>
      <c r="B3696" t="s">
        <v>6646</v>
      </c>
      <c r="C3696" s="2">
        <v>2021</v>
      </c>
      <c r="D3696" s="10">
        <v>10</v>
      </c>
      <c r="E3696" s="10">
        <v>13</v>
      </c>
      <c r="F3696" t="s">
        <v>815</v>
      </c>
      <c r="G3696">
        <v>15</v>
      </c>
      <c r="H3696" t="s">
        <v>69</v>
      </c>
      <c r="I3696" t="s">
        <v>1508</v>
      </c>
      <c r="J3696" s="10" t="str">
        <f>VLOOKUP(I3696,Categories!A:B,2,FALSE)</f>
        <v>Other</v>
      </c>
      <c r="K3696" t="s">
        <v>178</v>
      </c>
      <c r="L3696" s="10" t="str">
        <f>VLOOKUP(K3696,Accounts!A:B,2,FALSE)</f>
        <v>SCB</v>
      </c>
      <c r="M3696" t="s">
        <v>124</v>
      </c>
      <c r="N3696" s="10"/>
      <c r="O3696" t="s">
        <v>125</v>
      </c>
      <c r="Q3696" t="s">
        <v>126</v>
      </c>
      <c r="R3696" t="s">
        <v>124</v>
      </c>
      <c r="S3696" t="b">
        <v>0</v>
      </c>
      <c r="T3696" t="s">
        <v>124</v>
      </c>
    </row>
    <row r="3697">
      <c r="A3697" t="s">
        <v>6648</v>
      </c>
      <c r="B3697" t="s">
        <v>6646</v>
      </c>
      <c r="C3697" s="2">
        <v>2021</v>
      </c>
      <c r="D3697" s="10">
        <v>10</v>
      </c>
      <c r="E3697" s="10">
        <v>13</v>
      </c>
      <c r="F3697" t="s">
        <v>671</v>
      </c>
      <c r="G3697">
        <v>1346</v>
      </c>
      <c r="H3697" t="s">
        <v>69</v>
      </c>
      <c r="I3697" t="s">
        <v>150</v>
      </c>
      <c r="J3697" s="10" t="str">
        <f>VLOOKUP(I3697,Categories!A:B,2,FALSE)</f>
        <v xml:space="preserve">Food &amp; Coff</v>
      </c>
      <c r="K3697" t="s">
        <v>2317</v>
      </c>
      <c r="L3697" s="10" t="str">
        <f>VLOOKUP(K3697,Accounts!A:B,2,FALSE)</f>
        <v xml:space="preserve">Marriage account</v>
      </c>
      <c r="M3697" t="s">
        <v>124</v>
      </c>
      <c r="N3697" s="10"/>
      <c r="O3697" t="s">
        <v>6649</v>
      </c>
      <c r="Q3697" t="s">
        <v>126</v>
      </c>
      <c r="R3697" t="s">
        <v>124</v>
      </c>
      <c r="S3697" t="b">
        <v>0</v>
      </c>
      <c r="T3697" t="s">
        <v>124</v>
      </c>
    </row>
    <row r="3698">
      <c r="A3698" t="s">
        <v>6650</v>
      </c>
      <c r="B3698" t="s">
        <v>6651</v>
      </c>
      <c r="C3698" s="2">
        <v>2021</v>
      </c>
      <c r="D3698" s="10">
        <v>10</v>
      </c>
      <c r="E3698" s="10">
        <v>12</v>
      </c>
      <c r="F3698" t="s">
        <v>4098</v>
      </c>
      <c r="G3698">
        <v>120</v>
      </c>
      <c r="H3698" t="s">
        <v>69</v>
      </c>
      <c r="I3698" t="s">
        <v>150</v>
      </c>
      <c r="J3698" s="10" t="str">
        <f>VLOOKUP(I3698,Categories!A:B,2,FALSE)</f>
        <v xml:space="preserve">Food &amp; Coff</v>
      </c>
      <c r="K3698" t="s">
        <v>2317</v>
      </c>
      <c r="L3698" s="10" t="str">
        <f>VLOOKUP(K3698,Accounts!A:B,2,FALSE)</f>
        <v xml:space="preserve">Marriage account</v>
      </c>
      <c r="M3698" t="s">
        <v>124</v>
      </c>
      <c r="N3698" s="10"/>
      <c r="O3698" t="s">
        <v>6565</v>
      </c>
      <c r="Q3698" t="s">
        <v>126</v>
      </c>
      <c r="R3698" t="s">
        <v>124</v>
      </c>
      <c r="S3698" t="b">
        <v>0</v>
      </c>
      <c r="T3698" t="s">
        <v>124</v>
      </c>
    </row>
    <row r="3699">
      <c r="A3699" t="s">
        <v>6652</v>
      </c>
      <c r="B3699" t="s">
        <v>6651</v>
      </c>
      <c r="C3699" s="2">
        <v>2021</v>
      </c>
      <c r="D3699" s="10">
        <v>10</v>
      </c>
      <c r="E3699" s="10">
        <v>12</v>
      </c>
      <c r="F3699" t="s">
        <v>6653</v>
      </c>
      <c r="G3699">
        <v>278</v>
      </c>
      <c r="H3699" t="s">
        <v>69</v>
      </c>
      <c r="I3699" t="s">
        <v>150</v>
      </c>
      <c r="J3699" s="10" t="str">
        <f>VLOOKUP(I3699,Categories!A:B,2,FALSE)</f>
        <v xml:space="preserve">Food &amp; Coff</v>
      </c>
      <c r="K3699" t="s">
        <v>2317</v>
      </c>
      <c r="L3699" s="10" t="str">
        <f>VLOOKUP(K3699,Accounts!A:B,2,FALSE)</f>
        <v xml:space="preserve">Marriage account</v>
      </c>
      <c r="M3699" t="s">
        <v>124</v>
      </c>
      <c r="N3699" s="10"/>
      <c r="O3699" t="s">
        <v>6654</v>
      </c>
      <c r="Q3699" t="s">
        <v>126</v>
      </c>
      <c r="R3699" t="s">
        <v>124</v>
      </c>
      <c r="S3699" t="b">
        <v>0</v>
      </c>
      <c r="T3699" t="s">
        <v>124</v>
      </c>
    </row>
    <row r="3700">
      <c r="A3700" t="s">
        <v>6655</v>
      </c>
      <c r="B3700" t="s">
        <v>6656</v>
      </c>
      <c r="C3700" s="2">
        <v>2021</v>
      </c>
      <c r="D3700" s="10">
        <v>10</v>
      </c>
      <c r="E3700" s="10">
        <v>11</v>
      </c>
      <c r="F3700" t="s">
        <v>1616</v>
      </c>
      <c r="G3700">
        <v>123</v>
      </c>
      <c r="H3700" t="s">
        <v>69</v>
      </c>
      <c r="I3700" t="s">
        <v>150</v>
      </c>
      <c r="J3700" s="10" t="str">
        <f>VLOOKUP(I3700,Categories!A:B,2,FALSE)</f>
        <v xml:space="preserve">Food &amp; Coff</v>
      </c>
      <c r="K3700" t="s">
        <v>2317</v>
      </c>
      <c r="L3700" s="10" t="str">
        <f>VLOOKUP(K3700,Accounts!A:B,2,FALSE)</f>
        <v xml:space="preserve">Marriage account</v>
      </c>
      <c r="M3700" t="s">
        <v>124</v>
      </c>
      <c r="N3700" s="10"/>
      <c r="O3700" t="s">
        <v>6657</v>
      </c>
      <c r="Q3700" t="s">
        <v>126</v>
      </c>
      <c r="R3700" t="s">
        <v>124</v>
      </c>
      <c r="S3700" t="b">
        <v>0</v>
      </c>
      <c r="T3700" t="s">
        <v>124</v>
      </c>
    </row>
    <row r="3701">
      <c r="A3701" t="s">
        <v>6658</v>
      </c>
      <c r="B3701" t="s">
        <v>6659</v>
      </c>
      <c r="C3701" s="2">
        <v>2021</v>
      </c>
      <c r="D3701" s="10">
        <v>10</v>
      </c>
      <c r="E3701" s="10">
        <v>10</v>
      </c>
      <c r="F3701" t="s">
        <v>722</v>
      </c>
      <c r="G3701">
        <v>120</v>
      </c>
      <c r="H3701" t="s">
        <v>69</v>
      </c>
      <c r="I3701" t="s">
        <v>150</v>
      </c>
      <c r="J3701" s="10" t="str">
        <f>VLOOKUP(I3701,Categories!A:B,2,FALSE)</f>
        <v xml:space="preserve">Food &amp; Coff</v>
      </c>
      <c r="K3701" t="s">
        <v>2317</v>
      </c>
      <c r="L3701" s="10" t="str">
        <f>VLOOKUP(K3701,Accounts!A:B,2,FALSE)</f>
        <v xml:space="preserve">Marriage account</v>
      </c>
      <c r="M3701" t="s">
        <v>124</v>
      </c>
      <c r="N3701" s="10"/>
      <c r="O3701" t="s">
        <v>6565</v>
      </c>
      <c r="Q3701" t="s">
        <v>126</v>
      </c>
      <c r="R3701" t="s">
        <v>124</v>
      </c>
      <c r="S3701" t="b">
        <v>0</v>
      </c>
      <c r="T3701" t="s">
        <v>124</v>
      </c>
    </row>
    <row r="3702">
      <c r="A3702" t="s">
        <v>6660</v>
      </c>
      <c r="B3702" t="s">
        <v>6659</v>
      </c>
      <c r="C3702" s="2">
        <v>2021</v>
      </c>
      <c r="D3702" s="10">
        <v>10</v>
      </c>
      <c r="E3702" s="10">
        <v>10</v>
      </c>
      <c r="F3702" t="s">
        <v>3450</v>
      </c>
      <c r="G3702">
        <v>4566</v>
      </c>
      <c r="H3702" t="s">
        <v>69</v>
      </c>
      <c r="I3702" t="s">
        <v>1508</v>
      </c>
      <c r="J3702" s="10" t="str">
        <f>VLOOKUP(I3702,Categories!A:B,2,FALSE)</f>
        <v>Other</v>
      </c>
      <c r="K3702" t="s">
        <v>743</v>
      </c>
      <c r="L3702" s="10" t="str">
        <f>VLOOKUP(K3702,Accounts!A:B,2,FALSE)</f>
        <v>HOMEPRO</v>
      </c>
      <c r="M3702" t="s">
        <v>124</v>
      </c>
      <c r="N3702" s="10"/>
      <c r="O3702" t="s">
        <v>6661</v>
      </c>
      <c r="Q3702" t="s">
        <v>126</v>
      </c>
      <c r="R3702" t="s">
        <v>124</v>
      </c>
      <c r="S3702" t="b">
        <v>0</v>
      </c>
      <c r="T3702" t="s">
        <v>124</v>
      </c>
    </row>
    <row r="3703">
      <c r="A3703" t="s">
        <v>6662</v>
      </c>
      <c r="B3703" t="s">
        <v>6659</v>
      </c>
      <c r="C3703" s="2">
        <v>2021</v>
      </c>
      <c r="D3703" s="10">
        <v>10</v>
      </c>
      <c r="E3703" s="10">
        <v>10</v>
      </c>
      <c r="F3703" t="s">
        <v>3450</v>
      </c>
      <c r="G3703">
        <v>694.20000000000005</v>
      </c>
      <c r="H3703" t="s">
        <v>69</v>
      </c>
      <c r="I3703" t="s">
        <v>1508</v>
      </c>
      <c r="J3703" s="10" t="str">
        <f>VLOOKUP(I3703,Categories!A:B,2,FALSE)</f>
        <v>Other</v>
      </c>
      <c r="K3703" t="s">
        <v>743</v>
      </c>
      <c r="L3703" s="10" t="str">
        <f>VLOOKUP(K3703,Accounts!A:B,2,FALSE)</f>
        <v>HOMEPRO</v>
      </c>
      <c r="M3703" t="s">
        <v>124</v>
      </c>
      <c r="N3703" s="10"/>
      <c r="O3703" t="s">
        <v>6663</v>
      </c>
      <c r="Q3703" t="s">
        <v>126</v>
      </c>
      <c r="R3703" t="s">
        <v>124</v>
      </c>
      <c r="S3703" t="b">
        <v>0</v>
      </c>
      <c r="T3703" t="s">
        <v>124</v>
      </c>
    </row>
    <row r="3704">
      <c r="A3704" t="s">
        <v>6664</v>
      </c>
      <c r="B3704" t="s">
        <v>6659</v>
      </c>
      <c r="C3704" s="2">
        <v>2021</v>
      </c>
      <c r="D3704" s="10">
        <v>10</v>
      </c>
      <c r="E3704" s="10">
        <v>10</v>
      </c>
      <c r="F3704" t="s">
        <v>6665</v>
      </c>
      <c r="G3704">
        <v>1783</v>
      </c>
      <c r="H3704" t="s">
        <v>69</v>
      </c>
      <c r="I3704" t="s">
        <v>157</v>
      </c>
      <c r="J3704" s="10" t="str">
        <f>VLOOKUP(I3704,Categories!A:B,2,FALSE)</f>
        <v>Boardgame</v>
      </c>
      <c r="K3704" t="s">
        <v>130</v>
      </c>
      <c r="L3704" s="10" t="str">
        <f>VLOOKUP(K3704,Accounts!A:B,2,FALSE)</f>
        <v xml:space="preserve">KTC JCB</v>
      </c>
      <c r="M3704" t="s">
        <v>124</v>
      </c>
      <c r="N3704" s="10"/>
      <c r="O3704" t="s">
        <v>125</v>
      </c>
      <c r="Q3704" t="s">
        <v>126</v>
      </c>
      <c r="R3704" t="s">
        <v>124</v>
      </c>
      <c r="S3704" t="b">
        <v>0</v>
      </c>
      <c r="T3704" t="s">
        <v>124</v>
      </c>
    </row>
    <row r="3705">
      <c r="A3705" t="s">
        <v>6666</v>
      </c>
      <c r="B3705" t="s">
        <v>6659</v>
      </c>
      <c r="C3705" s="2">
        <v>2021</v>
      </c>
      <c r="D3705" s="10">
        <v>10</v>
      </c>
      <c r="E3705" s="10">
        <v>10</v>
      </c>
      <c r="F3705" t="s">
        <v>6665</v>
      </c>
      <c r="G3705">
        <v>899</v>
      </c>
      <c r="H3705" t="s">
        <v>69</v>
      </c>
      <c r="I3705" t="s">
        <v>152</v>
      </c>
      <c r="J3705" s="10" t="str">
        <f>VLOOKUP(I3705,Categories!A:B,2,FALSE)</f>
        <v xml:space="preserve">Office Suit</v>
      </c>
      <c r="K3705" t="s">
        <v>130</v>
      </c>
      <c r="L3705" s="10" t="str">
        <f>VLOOKUP(K3705,Accounts!A:B,2,FALSE)</f>
        <v xml:space="preserve">KTC JCB</v>
      </c>
      <c r="M3705" t="s">
        <v>124</v>
      </c>
      <c r="N3705" s="10"/>
      <c r="O3705" t="s">
        <v>125</v>
      </c>
      <c r="Q3705" t="s">
        <v>126</v>
      </c>
      <c r="R3705" t="s">
        <v>124</v>
      </c>
      <c r="S3705" t="b">
        <v>0</v>
      </c>
      <c r="T3705" t="s">
        <v>124</v>
      </c>
    </row>
    <row r="3706">
      <c r="A3706" t="s">
        <v>6667</v>
      </c>
      <c r="B3706" t="s">
        <v>6659</v>
      </c>
      <c r="C3706" s="2">
        <v>2021</v>
      </c>
      <c r="D3706" s="10">
        <v>10</v>
      </c>
      <c r="E3706" s="10">
        <v>10</v>
      </c>
      <c r="F3706" t="s">
        <v>540</v>
      </c>
      <c r="G3706">
        <v>1009</v>
      </c>
      <c r="H3706" t="s">
        <v>69</v>
      </c>
      <c r="I3706" t="s">
        <v>614</v>
      </c>
      <c r="J3706" s="10" t="str">
        <f>VLOOKUP(I3706,Categories!A:B,2,FALSE)</f>
        <v>Books</v>
      </c>
      <c r="K3706" t="s">
        <v>130</v>
      </c>
      <c r="L3706" s="10" t="str">
        <f>VLOOKUP(K3706,Accounts!A:B,2,FALSE)</f>
        <v xml:space="preserve">KTC JCB</v>
      </c>
      <c r="M3706" t="s">
        <v>124</v>
      </c>
      <c r="N3706" s="10"/>
      <c r="O3706" t="s">
        <v>125</v>
      </c>
      <c r="Q3706" t="s">
        <v>126</v>
      </c>
      <c r="R3706" t="s">
        <v>124</v>
      </c>
      <c r="S3706" t="b">
        <v>0</v>
      </c>
      <c r="T3706" t="s">
        <v>124</v>
      </c>
    </row>
    <row r="3707">
      <c r="A3707" t="s">
        <v>6668</v>
      </c>
      <c r="B3707" t="s">
        <v>6659</v>
      </c>
      <c r="C3707" s="2">
        <v>2021</v>
      </c>
      <c r="D3707" s="10">
        <v>10</v>
      </c>
      <c r="E3707" s="10">
        <v>10</v>
      </c>
      <c r="F3707" t="s">
        <v>527</v>
      </c>
      <c r="G3707">
        <v>729</v>
      </c>
      <c r="H3707" t="s">
        <v>69</v>
      </c>
      <c r="I3707" t="s">
        <v>160</v>
      </c>
      <c r="J3707" s="10" t="str">
        <f>VLOOKUP(I3707,Categories!A:B,2,FALSE)</f>
        <v>Fashion</v>
      </c>
      <c r="K3707" t="s">
        <v>893</v>
      </c>
      <c r="L3707" s="10" t="str">
        <f>VLOOKUP(K3707,Accounts!A:B,2,FALSE)</f>
        <v>Shopee</v>
      </c>
      <c r="M3707" t="s">
        <v>124</v>
      </c>
      <c r="N3707" s="10"/>
      <c r="O3707" t="s">
        <v>6669</v>
      </c>
      <c r="Q3707" t="s">
        <v>126</v>
      </c>
      <c r="R3707" t="s">
        <v>124</v>
      </c>
      <c r="S3707" t="b">
        <v>0</v>
      </c>
      <c r="T3707" t="s">
        <v>124</v>
      </c>
    </row>
    <row r="3708">
      <c r="A3708" t="s">
        <v>6670</v>
      </c>
      <c r="B3708" t="s">
        <v>6659</v>
      </c>
      <c r="C3708" s="2">
        <v>2021</v>
      </c>
      <c r="D3708" s="10">
        <v>10</v>
      </c>
      <c r="E3708" s="10">
        <v>10</v>
      </c>
      <c r="F3708" t="s">
        <v>4594</v>
      </c>
      <c r="G3708">
        <v>600</v>
      </c>
      <c r="H3708" t="s">
        <v>128</v>
      </c>
      <c r="I3708" t="s">
        <v>136</v>
      </c>
      <c r="J3708" s="10" t="str">
        <f>VLOOKUP(I3708,Categories!A:B,2,FALSE)</f>
        <v>อื่นๆ</v>
      </c>
      <c r="K3708" t="s">
        <v>178</v>
      </c>
      <c r="L3708" s="10" t="str">
        <f>VLOOKUP(K3708,Accounts!A:B,2,FALSE)</f>
        <v>SCB</v>
      </c>
      <c r="M3708" t="s">
        <v>893</v>
      </c>
      <c r="N3708" s="10" t="str">
        <f>VLOOKUP(M3708,Accounts!A:B,2,FALSE)</f>
        <v>Shopee</v>
      </c>
      <c r="O3708" t="s">
        <v>125</v>
      </c>
      <c r="Q3708" t="s">
        <v>126</v>
      </c>
      <c r="R3708" t="s">
        <v>124</v>
      </c>
      <c r="S3708" t="b">
        <v>0</v>
      </c>
      <c r="T3708" t="s">
        <v>124</v>
      </c>
    </row>
    <row r="3709">
      <c r="A3709" t="s">
        <v>6671</v>
      </c>
      <c r="B3709" t="s">
        <v>6659</v>
      </c>
      <c r="C3709" s="2">
        <v>2021</v>
      </c>
      <c r="D3709" s="10">
        <v>10</v>
      </c>
      <c r="E3709" s="10">
        <v>10</v>
      </c>
      <c r="F3709" t="s">
        <v>3495</v>
      </c>
      <c r="G3709">
        <v>549</v>
      </c>
      <c r="H3709" t="s">
        <v>69</v>
      </c>
      <c r="I3709" t="s">
        <v>1679</v>
      </c>
      <c r="J3709" s="10" t="str">
        <f>VLOOKUP(I3709,Categories!A:B,2,FALSE)</f>
        <v xml:space="preserve">Condo stuff</v>
      </c>
      <c r="K3709" t="s">
        <v>2317</v>
      </c>
      <c r="L3709" s="10" t="str">
        <f>VLOOKUP(K3709,Accounts!A:B,2,FALSE)</f>
        <v xml:space="preserve">Marriage account</v>
      </c>
      <c r="M3709" t="s">
        <v>124</v>
      </c>
      <c r="N3709" s="10"/>
      <c r="O3709" t="s">
        <v>6672</v>
      </c>
      <c r="Q3709" t="s">
        <v>126</v>
      </c>
      <c r="R3709" t="s">
        <v>124</v>
      </c>
      <c r="S3709" t="b">
        <v>0</v>
      </c>
      <c r="T3709" t="s">
        <v>124</v>
      </c>
    </row>
    <row r="3710">
      <c r="A3710" t="s">
        <v>6673</v>
      </c>
      <c r="B3710" t="s">
        <v>6674</v>
      </c>
      <c r="C3710" s="2">
        <v>2021</v>
      </c>
      <c r="D3710" s="10">
        <v>10</v>
      </c>
      <c r="E3710" s="10">
        <v>9</v>
      </c>
      <c r="F3710" t="s">
        <v>251</v>
      </c>
      <c r="G3710">
        <v>246</v>
      </c>
      <c r="H3710" t="s">
        <v>69</v>
      </c>
      <c r="I3710" t="s">
        <v>150</v>
      </c>
      <c r="J3710" s="10" t="str">
        <f>VLOOKUP(I3710,Categories!A:B,2,FALSE)</f>
        <v xml:space="preserve">Food &amp; Coff</v>
      </c>
      <c r="K3710" t="s">
        <v>2317</v>
      </c>
      <c r="L3710" s="10" t="str">
        <f>VLOOKUP(K3710,Accounts!A:B,2,FALSE)</f>
        <v xml:space="preserve">Marriage account</v>
      </c>
      <c r="M3710" t="s">
        <v>124</v>
      </c>
      <c r="N3710" s="10"/>
      <c r="O3710" t="s">
        <v>6675</v>
      </c>
      <c r="Q3710" t="s">
        <v>126</v>
      </c>
      <c r="R3710" t="s">
        <v>124</v>
      </c>
      <c r="S3710" t="b">
        <v>0</v>
      </c>
      <c r="T3710" t="s">
        <v>124</v>
      </c>
    </row>
    <row r="3711">
      <c r="A3711" t="s">
        <v>6676</v>
      </c>
      <c r="B3711" t="s">
        <v>6674</v>
      </c>
      <c r="C3711" s="2">
        <v>2021</v>
      </c>
      <c r="D3711" s="10">
        <v>10</v>
      </c>
      <c r="E3711" s="10">
        <v>9</v>
      </c>
      <c r="F3711" t="s">
        <v>6677</v>
      </c>
      <c r="G3711">
        <v>38</v>
      </c>
      <c r="H3711" t="s">
        <v>69</v>
      </c>
      <c r="I3711" t="s">
        <v>1508</v>
      </c>
      <c r="J3711" s="10" t="str">
        <f>VLOOKUP(I3711,Categories!A:B,2,FALSE)</f>
        <v>Other</v>
      </c>
      <c r="K3711" t="s">
        <v>178</v>
      </c>
      <c r="L3711" s="10" t="str">
        <f>VLOOKUP(K3711,Accounts!A:B,2,FALSE)</f>
        <v>SCB</v>
      </c>
      <c r="M3711" t="s">
        <v>124</v>
      </c>
      <c r="N3711" s="10"/>
      <c r="O3711" t="s">
        <v>6678</v>
      </c>
      <c r="Q3711" t="s">
        <v>126</v>
      </c>
      <c r="R3711" t="s">
        <v>124</v>
      </c>
      <c r="S3711" t="b">
        <v>0</v>
      </c>
      <c r="T3711" t="s">
        <v>124</v>
      </c>
    </row>
    <row r="3712">
      <c r="A3712" t="s">
        <v>6679</v>
      </c>
      <c r="B3712" t="s">
        <v>6674</v>
      </c>
      <c r="C3712" s="2">
        <v>2021</v>
      </c>
      <c r="D3712" s="10">
        <v>10</v>
      </c>
      <c r="E3712" s="10">
        <v>9</v>
      </c>
      <c r="F3712" t="s">
        <v>2417</v>
      </c>
      <c r="G3712">
        <v>805</v>
      </c>
      <c r="H3712" t="s">
        <v>69</v>
      </c>
      <c r="I3712" t="s">
        <v>150</v>
      </c>
      <c r="J3712" s="10" t="str">
        <f>VLOOKUP(I3712,Categories!A:B,2,FALSE)</f>
        <v xml:space="preserve">Food &amp; Coff</v>
      </c>
      <c r="K3712" t="s">
        <v>2317</v>
      </c>
      <c r="L3712" s="10" t="str">
        <f>VLOOKUP(K3712,Accounts!A:B,2,FALSE)</f>
        <v xml:space="preserve">Marriage account</v>
      </c>
      <c r="M3712" t="s">
        <v>124</v>
      </c>
      <c r="N3712" s="10"/>
      <c r="O3712" t="s">
        <v>6680</v>
      </c>
      <c r="Q3712" t="s">
        <v>126</v>
      </c>
      <c r="R3712" t="s">
        <v>124</v>
      </c>
      <c r="S3712" t="b">
        <v>0</v>
      </c>
      <c r="T3712" t="s">
        <v>124</v>
      </c>
    </row>
    <row r="3713">
      <c r="A3713" t="s">
        <v>6681</v>
      </c>
      <c r="B3713" t="s">
        <v>6674</v>
      </c>
      <c r="C3713" s="2">
        <v>2021</v>
      </c>
      <c r="D3713" s="10">
        <v>10</v>
      </c>
      <c r="E3713" s="10">
        <v>9</v>
      </c>
      <c r="F3713" t="s">
        <v>2014</v>
      </c>
      <c r="G3713">
        <v>50</v>
      </c>
      <c r="H3713" t="s">
        <v>69</v>
      </c>
      <c r="I3713" t="s">
        <v>150</v>
      </c>
      <c r="J3713" s="10" t="str">
        <f>VLOOKUP(I3713,Categories!A:B,2,FALSE)</f>
        <v xml:space="preserve">Food &amp; Coff</v>
      </c>
      <c r="K3713" t="s">
        <v>2317</v>
      </c>
      <c r="L3713" s="10" t="str">
        <f>VLOOKUP(K3713,Accounts!A:B,2,FALSE)</f>
        <v xml:space="preserve">Marriage account</v>
      </c>
      <c r="M3713" t="s">
        <v>124</v>
      </c>
      <c r="N3713" s="10"/>
      <c r="O3713" t="s">
        <v>6682</v>
      </c>
      <c r="Q3713" t="s">
        <v>126</v>
      </c>
      <c r="R3713" t="s">
        <v>124</v>
      </c>
      <c r="S3713" t="b">
        <v>0</v>
      </c>
      <c r="T3713" t="s">
        <v>124</v>
      </c>
    </row>
    <row r="3714">
      <c r="A3714" t="s">
        <v>6683</v>
      </c>
      <c r="B3714" t="s">
        <v>6684</v>
      </c>
      <c r="C3714" s="2">
        <v>2021</v>
      </c>
      <c r="D3714" s="10">
        <v>10</v>
      </c>
      <c r="E3714" s="10">
        <v>8</v>
      </c>
      <c r="F3714" t="s">
        <v>3038</v>
      </c>
      <c r="G3714">
        <v>80</v>
      </c>
      <c r="H3714" t="s">
        <v>69</v>
      </c>
      <c r="I3714" t="s">
        <v>150</v>
      </c>
      <c r="J3714" s="10" t="str">
        <f>VLOOKUP(I3714,Categories!A:B,2,FALSE)</f>
        <v xml:space="preserve">Food &amp; Coff</v>
      </c>
      <c r="K3714" t="s">
        <v>2317</v>
      </c>
      <c r="L3714" s="10" t="str">
        <f>VLOOKUP(K3714,Accounts!A:B,2,FALSE)</f>
        <v xml:space="preserve">Marriage account</v>
      </c>
      <c r="M3714" t="s">
        <v>124</v>
      </c>
      <c r="N3714" s="10"/>
      <c r="O3714" t="s">
        <v>6565</v>
      </c>
      <c r="Q3714" t="s">
        <v>126</v>
      </c>
      <c r="R3714" t="s">
        <v>124</v>
      </c>
      <c r="S3714" t="b">
        <v>0</v>
      </c>
      <c r="T3714" t="s">
        <v>124</v>
      </c>
    </row>
    <row r="3715">
      <c r="A3715" t="s">
        <v>6685</v>
      </c>
      <c r="B3715" t="s">
        <v>6686</v>
      </c>
      <c r="C3715" s="2">
        <v>2021</v>
      </c>
      <c r="D3715" s="10">
        <v>10</v>
      </c>
      <c r="E3715" s="10">
        <v>7</v>
      </c>
      <c r="F3715" t="s">
        <v>3701</v>
      </c>
      <c r="G3715">
        <v>91</v>
      </c>
      <c r="H3715" t="s">
        <v>69</v>
      </c>
      <c r="I3715" t="s">
        <v>150</v>
      </c>
      <c r="J3715" s="10" t="str">
        <f>VLOOKUP(I3715,Categories!A:B,2,FALSE)</f>
        <v xml:space="preserve">Food &amp; Coff</v>
      </c>
      <c r="K3715" t="s">
        <v>2317</v>
      </c>
      <c r="L3715" s="10" t="str">
        <f>VLOOKUP(K3715,Accounts!A:B,2,FALSE)</f>
        <v xml:space="preserve">Marriage account</v>
      </c>
      <c r="M3715" t="s">
        <v>124</v>
      </c>
      <c r="N3715" s="10"/>
      <c r="O3715" t="s">
        <v>4655</v>
      </c>
      <c r="Q3715" t="s">
        <v>126</v>
      </c>
      <c r="R3715" t="s">
        <v>124</v>
      </c>
      <c r="S3715" t="b">
        <v>0</v>
      </c>
      <c r="T3715" t="s">
        <v>124</v>
      </c>
    </row>
    <row r="3716">
      <c r="A3716" t="s">
        <v>6687</v>
      </c>
      <c r="B3716" t="s">
        <v>6688</v>
      </c>
      <c r="C3716" s="2">
        <v>2021</v>
      </c>
      <c r="D3716" s="10">
        <v>10</v>
      </c>
      <c r="E3716" s="10">
        <v>5</v>
      </c>
      <c r="F3716" t="s">
        <v>613</v>
      </c>
      <c r="G3716">
        <v>40</v>
      </c>
      <c r="H3716" t="s">
        <v>69</v>
      </c>
      <c r="I3716" t="s">
        <v>150</v>
      </c>
      <c r="J3716" s="10" t="str">
        <f>VLOOKUP(I3716,Categories!A:B,2,FALSE)</f>
        <v xml:space="preserve">Food &amp; Coff</v>
      </c>
      <c r="K3716" t="s">
        <v>2317</v>
      </c>
      <c r="L3716" s="10" t="str">
        <f>VLOOKUP(K3716,Accounts!A:B,2,FALSE)</f>
        <v xml:space="preserve">Marriage account</v>
      </c>
      <c r="M3716" t="s">
        <v>124</v>
      </c>
      <c r="N3716" s="10"/>
      <c r="O3716" t="s">
        <v>125</v>
      </c>
      <c r="Q3716" t="s">
        <v>126</v>
      </c>
      <c r="R3716" t="s">
        <v>124</v>
      </c>
      <c r="S3716" t="b">
        <v>0</v>
      </c>
      <c r="T3716" t="s">
        <v>124</v>
      </c>
    </row>
    <row r="3717">
      <c r="A3717" t="s">
        <v>6689</v>
      </c>
      <c r="B3717" t="s">
        <v>6688</v>
      </c>
      <c r="C3717" s="2">
        <v>2021</v>
      </c>
      <c r="D3717" s="10">
        <v>10</v>
      </c>
      <c r="E3717" s="10">
        <v>5</v>
      </c>
      <c r="F3717" t="s">
        <v>603</v>
      </c>
      <c r="G3717">
        <v>200</v>
      </c>
      <c r="H3717" t="s">
        <v>69</v>
      </c>
      <c r="I3717" t="s">
        <v>150</v>
      </c>
      <c r="J3717" s="10" t="str">
        <f>VLOOKUP(I3717,Categories!A:B,2,FALSE)</f>
        <v xml:space="preserve">Food &amp; Coff</v>
      </c>
      <c r="K3717" t="s">
        <v>2317</v>
      </c>
      <c r="L3717" s="10" t="str">
        <f>VLOOKUP(K3717,Accounts!A:B,2,FALSE)</f>
        <v xml:space="preserve">Marriage account</v>
      </c>
      <c r="M3717" t="s">
        <v>124</v>
      </c>
      <c r="N3717" s="10"/>
      <c r="O3717" t="s">
        <v>6690</v>
      </c>
      <c r="Q3717" t="s">
        <v>126</v>
      </c>
      <c r="R3717" t="s">
        <v>124</v>
      </c>
      <c r="S3717" t="b">
        <v>0</v>
      </c>
      <c r="T3717" t="s">
        <v>124</v>
      </c>
    </row>
    <row r="3718">
      <c r="A3718" t="s">
        <v>6691</v>
      </c>
      <c r="B3718" t="s">
        <v>6688</v>
      </c>
      <c r="C3718" s="2">
        <v>2021</v>
      </c>
      <c r="D3718" s="10">
        <v>10</v>
      </c>
      <c r="E3718" s="10">
        <v>5</v>
      </c>
      <c r="F3718" t="s">
        <v>763</v>
      </c>
      <c r="G3718">
        <v>200</v>
      </c>
      <c r="H3718" t="s">
        <v>128</v>
      </c>
      <c r="I3718" t="s">
        <v>136</v>
      </c>
      <c r="J3718" s="10" t="str">
        <f>VLOOKUP(I3718,Categories!A:B,2,FALSE)</f>
        <v>อื่นๆ</v>
      </c>
      <c r="K3718" t="s">
        <v>425</v>
      </c>
      <c r="L3718" s="10" t="str">
        <f>VLOOKUP(K3718,Accounts!A:B,2,FALSE)</f>
        <v>Cash</v>
      </c>
      <c r="M3718" t="s">
        <v>178</v>
      </c>
      <c r="N3718" s="10" t="str">
        <f>VLOOKUP(M3718,Accounts!A:B,2,FALSE)</f>
        <v>SCB</v>
      </c>
      <c r="O3718" t="s">
        <v>125</v>
      </c>
      <c r="Q3718" t="s">
        <v>126</v>
      </c>
      <c r="R3718" t="s">
        <v>124</v>
      </c>
      <c r="S3718" t="b">
        <v>0</v>
      </c>
      <c r="T3718" t="s">
        <v>124</v>
      </c>
    </row>
    <row r="3719">
      <c r="A3719" t="s">
        <v>6692</v>
      </c>
      <c r="B3719" t="s">
        <v>6693</v>
      </c>
      <c r="C3719" s="2">
        <v>2021</v>
      </c>
      <c r="D3719" s="10">
        <v>10</v>
      </c>
      <c r="E3719" s="10">
        <v>3</v>
      </c>
      <c r="F3719" t="s">
        <v>306</v>
      </c>
      <c r="G3719">
        <v>930</v>
      </c>
      <c r="H3719" t="s">
        <v>69</v>
      </c>
      <c r="I3719" t="s">
        <v>3276</v>
      </c>
      <c r="J3719" s="10" t="str">
        <f>VLOOKUP(I3719,Categories!A:B,2,FALSE)</f>
        <v>Fuel</v>
      </c>
      <c r="K3719" t="s">
        <v>2317</v>
      </c>
      <c r="L3719" s="10" t="str">
        <f>VLOOKUP(K3719,Accounts!A:B,2,FALSE)</f>
        <v xml:space="preserve">Marriage account</v>
      </c>
      <c r="M3719" t="s">
        <v>124</v>
      </c>
      <c r="N3719" s="10"/>
      <c r="O3719" t="s">
        <v>125</v>
      </c>
      <c r="Q3719" t="s">
        <v>126</v>
      </c>
      <c r="R3719" t="s">
        <v>124</v>
      </c>
      <c r="S3719" t="b">
        <v>0</v>
      </c>
      <c r="T3719" t="s">
        <v>124</v>
      </c>
    </row>
    <row r="3720">
      <c r="A3720" t="s">
        <v>6694</v>
      </c>
      <c r="B3720" t="s">
        <v>6693</v>
      </c>
      <c r="C3720" s="2">
        <v>2021</v>
      </c>
      <c r="D3720" s="10">
        <v>10</v>
      </c>
      <c r="E3720" s="10">
        <v>3</v>
      </c>
      <c r="F3720" t="s">
        <v>1211</v>
      </c>
      <c r="G3720">
        <v>230</v>
      </c>
      <c r="H3720" t="s">
        <v>69</v>
      </c>
      <c r="I3720" t="s">
        <v>614</v>
      </c>
      <c r="J3720" s="10" t="str">
        <f>VLOOKUP(I3720,Categories!A:B,2,FALSE)</f>
        <v>Books</v>
      </c>
      <c r="K3720" t="s">
        <v>178</v>
      </c>
      <c r="L3720" s="10" t="str">
        <f>VLOOKUP(K3720,Accounts!A:B,2,FALSE)</f>
        <v>SCB</v>
      </c>
      <c r="M3720" t="s">
        <v>124</v>
      </c>
      <c r="N3720" s="10"/>
      <c r="O3720" t="s">
        <v>125</v>
      </c>
      <c r="Q3720" t="s">
        <v>126</v>
      </c>
      <c r="R3720" t="s">
        <v>124</v>
      </c>
      <c r="S3720" t="b">
        <v>0</v>
      </c>
      <c r="T3720" t="s">
        <v>124</v>
      </c>
    </row>
    <row r="3721">
      <c r="A3721" t="s">
        <v>6695</v>
      </c>
      <c r="B3721" t="s">
        <v>6693</v>
      </c>
      <c r="C3721" s="2">
        <v>2021</v>
      </c>
      <c r="D3721" s="10">
        <v>10</v>
      </c>
      <c r="E3721" s="10">
        <v>3</v>
      </c>
      <c r="F3721" t="s">
        <v>3508</v>
      </c>
      <c r="G3721">
        <v>451</v>
      </c>
      <c r="H3721" t="s">
        <v>69</v>
      </c>
      <c r="I3721" t="s">
        <v>3504</v>
      </c>
      <c r="J3721" s="10" t="str">
        <f>VLOOKUP(I3721,Categories!A:B,2,FALSE)</f>
        <v xml:space="preserve">Condo suppliers</v>
      </c>
      <c r="K3721" t="s">
        <v>2317</v>
      </c>
      <c r="L3721" s="10" t="str">
        <f>VLOOKUP(K3721,Accounts!A:B,2,FALSE)</f>
        <v xml:space="preserve">Marriage account</v>
      </c>
      <c r="M3721" t="s">
        <v>124</v>
      </c>
      <c r="N3721" s="10"/>
      <c r="O3721" t="s">
        <v>125</v>
      </c>
      <c r="Q3721" t="s">
        <v>126</v>
      </c>
      <c r="R3721" t="s">
        <v>124</v>
      </c>
      <c r="S3721" t="b">
        <v>0</v>
      </c>
      <c r="T3721" t="s">
        <v>124</v>
      </c>
    </row>
    <row r="3722">
      <c r="A3722" t="s">
        <v>6696</v>
      </c>
      <c r="B3722" t="s">
        <v>6693</v>
      </c>
      <c r="C3722" s="2">
        <v>2021</v>
      </c>
      <c r="D3722" s="10">
        <v>10</v>
      </c>
      <c r="E3722" s="10">
        <v>3</v>
      </c>
      <c r="F3722" t="s">
        <v>570</v>
      </c>
      <c r="G3722">
        <v>60</v>
      </c>
      <c r="H3722" t="s">
        <v>69</v>
      </c>
      <c r="I3722" t="s">
        <v>150</v>
      </c>
      <c r="J3722" s="10" t="str">
        <f>VLOOKUP(I3722,Categories!A:B,2,FALSE)</f>
        <v xml:space="preserve">Food &amp; Coff</v>
      </c>
      <c r="K3722" t="s">
        <v>425</v>
      </c>
      <c r="L3722" s="10" t="str">
        <f>VLOOKUP(K3722,Accounts!A:B,2,FALSE)</f>
        <v>Cash</v>
      </c>
      <c r="M3722" t="s">
        <v>124</v>
      </c>
      <c r="N3722" s="10"/>
      <c r="O3722" t="s">
        <v>6697</v>
      </c>
      <c r="Q3722" t="s">
        <v>126</v>
      </c>
      <c r="R3722" t="s">
        <v>124</v>
      </c>
      <c r="S3722" t="b">
        <v>0</v>
      </c>
      <c r="T3722" t="s">
        <v>124</v>
      </c>
    </row>
    <row r="3723">
      <c r="A3723" t="s">
        <v>6698</v>
      </c>
      <c r="B3723" t="s">
        <v>6693</v>
      </c>
      <c r="C3723" s="2">
        <v>2021</v>
      </c>
      <c r="D3723" s="10">
        <v>10</v>
      </c>
      <c r="E3723" s="10">
        <v>3</v>
      </c>
      <c r="F3723" t="s">
        <v>854</v>
      </c>
      <c r="G3723">
        <v>95</v>
      </c>
      <c r="H3723" t="s">
        <v>69</v>
      </c>
      <c r="I3723" t="s">
        <v>150</v>
      </c>
      <c r="J3723" s="10" t="str">
        <f>VLOOKUP(I3723,Categories!A:B,2,FALSE)</f>
        <v xml:space="preserve">Food &amp; Coff</v>
      </c>
      <c r="K3723" t="s">
        <v>2317</v>
      </c>
      <c r="L3723" s="10" t="str">
        <f>VLOOKUP(K3723,Accounts!A:B,2,FALSE)</f>
        <v xml:space="preserve">Marriage account</v>
      </c>
      <c r="M3723" t="s">
        <v>124</v>
      </c>
      <c r="N3723" s="10"/>
      <c r="O3723" t="s">
        <v>6699</v>
      </c>
      <c r="Q3723" t="s">
        <v>126</v>
      </c>
      <c r="R3723" t="s">
        <v>124</v>
      </c>
      <c r="S3723" t="b">
        <v>0</v>
      </c>
      <c r="T3723" t="s">
        <v>124</v>
      </c>
    </row>
    <row r="3724">
      <c r="A3724" t="s">
        <v>6700</v>
      </c>
      <c r="B3724" t="s">
        <v>6693</v>
      </c>
      <c r="C3724" s="2">
        <v>2021</v>
      </c>
      <c r="D3724" s="10">
        <v>10</v>
      </c>
      <c r="E3724" s="10">
        <v>3</v>
      </c>
      <c r="F3724" t="s">
        <v>3635</v>
      </c>
      <c r="G3724">
        <v>100</v>
      </c>
      <c r="H3724" t="s">
        <v>69</v>
      </c>
      <c r="I3724" t="s">
        <v>160</v>
      </c>
      <c r="J3724" s="10" t="str">
        <f>VLOOKUP(I3724,Categories!A:B,2,FALSE)</f>
        <v>Fashion</v>
      </c>
      <c r="K3724" t="s">
        <v>425</v>
      </c>
      <c r="L3724" s="10" t="str">
        <f>VLOOKUP(K3724,Accounts!A:B,2,FALSE)</f>
        <v>Cash</v>
      </c>
      <c r="M3724" t="s">
        <v>124</v>
      </c>
      <c r="N3724" s="10"/>
      <c r="O3724" t="s">
        <v>125</v>
      </c>
      <c r="Q3724" t="s">
        <v>126</v>
      </c>
      <c r="R3724" t="s">
        <v>124</v>
      </c>
      <c r="S3724" t="b">
        <v>0</v>
      </c>
      <c r="T3724" t="s">
        <v>124</v>
      </c>
    </row>
    <row r="3725">
      <c r="A3725" t="s">
        <v>6701</v>
      </c>
      <c r="B3725" t="s">
        <v>6702</v>
      </c>
      <c r="C3725" s="2">
        <v>2021</v>
      </c>
      <c r="D3725" s="10">
        <v>10</v>
      </c>
      <c r="E3725" s="10">
        <v>2</v>
      </c>
      <c r="F3725" t="s">
        <v>3513</v>
      </c>
      <c r="G3725">
        <v>112</v>
      </c>
      <c r="H3725" t="s">
        <v>69</v>
      </c>
      <c r="I3725" t="s">
        <v>150</v>
      </c>
      <c r="J3725" s="10" t="str">
        <f>VLOOKUP(I3725,Categories!A:B,2,FALSE)</f>
        <v xml:space="preserve">Food &amp; Coff</v>
      </c>
      <c r="K3725" t="s">
        <v>2317</v>
      </c>
      <c r="L3725" s="10" t="str">
        <f>VLOOKUP(K3725,Accounts!A:B,2,FALSE)</f>
        <v xml:space="preserve">Marriage account</v>
      </c>
      <c r="M3725" t="s">
        <v>124</v>
      </c>
      <c r="N3725" s="10"/>
      <c r="O3725" t="s">
        <v>5387</v>
      </c>
      <c r="Q3725" t="s">
        <v>126</v>
      </c>
      <c r="R3725" t="s">
        <v>124</v>
      </c>
      <c r="S3725" t="b">
        <v>0</v>
      </c>
      <c r="T3725" t="s">
        <v>124</v>
      </c>
    </row>
    <row r="3726">
      <c r="A3726" t="s">
        <v>6703</v>
      </c>
      <c r="B3726" t="s">
        <v>6702</v>
      </c>
      <c r="C3726" s="2">
        <v>2021</v>
      </c>
      <c r="D3726" s="10">
        <v>10</v>
      </c>
      <c r="E3726" s="10">
        <v>2</v>
      </c>
      <c r="F3726" t="s">
        <v>2445</v>
      </c>
      <c r="G3726">
        <v>10000</v>
      </c>
      <c r="H3726" t="s">
        <v>128</v>
      </c>
      <c r="I3726" t="s">
        <v>136</v>
      </c>
      <c r="J3726" s="10" t="str">
        <f>VLOOKUP(I3726,Categories!A:B,2,FALSE)</f>
        <v>อื่นๆ</v>
      </c>
      <c r="K3726" t="s">
        <v>178</v>
      </c>
      <c r="L3726" s="10" t="str">
        <f>VLOOKUP(K3726,Accounts!A:B,2,FALSE)</f>
        <v>SCB</v>
      </c>
      <c r="M3726" t="s">
        <v>2317</v>
      </c>
      <c r="N3726" s="10" t="str">
        <f>VLOOKUP(M3726,Accounts!A:B,2,FALSE)</f>
        <v xml:space="preserve">Marriage account</v>
      </c>
      <c r="O3726" t="s">
        <v>125</v>
      </c>
      <c r="Q3726" t="s">
        <v>126</v>
      </c>
      <c r="R3726" t="s">
        <v>124</v>
      </c>
      <c r="S3726" t="b">
        <v>0</v>
      </c>
      <c r="T3726" t="s">
        <v>124</v>
      </c>
    </row>
    <row r="3727">
      <c r="A3727" t="s">
        <v>6704</v>
      </c>
      <c r="B3727" t="s">
        <v>6702</v>
      </c>
      <c r="C3727" s="2">
        <v>2021</v>
      </c>
      <c r="D3727" s="10">
        <v>10</v>
      </c>
      <c r="E3727" s="10">
        <v>2</v>
      </c>
      <c r="F3727" t="s">
        <v>2447</v>
      </c>
      <c r="G3727">
        <v>80</v>
      </c>
      <c r="H3727" t="s">
        <v>69</v>
      </c>
      <c r="I3727" t="s">
        <v>150</v>
      </c>
      <c r="J3727" s="10" t="str">
        <f>VLOOKUP(I3727,Categories!A:B,2,FALSE)</f>
        <v xml:space="preserve">Food &amp; Coff</v>
      </c>
      <c r="K3727" t="s">
        <v>2317</v>
      </c>
      <c r="L3727" s="10" t="str">
        <f>VLOOKUP(K3727,Accounts!A:B,2,FALSE)</f>
        <v xml:space="preserve">Marriage account</v>
      </c>
      <c r="M3727" t="s">
        <v>124</v>
      </c>
      <c r="N3727" s="10"/>
      <c r="O3727" t="s">
        <v>3493</v>
      </c>
      <c r="Q3727" t="s">
        <v>126</v>
      </c>
      <c r="R3727" t="s">
        <v>124</v>
      </c>
      <c r="S3727" t="b">
        <v>0</v>
      </c>
      <c r="T3727" t="s">
        <v>124</v>
      </c>
    </row>
    <row r="3728">
      <c r="A3728" t="s">
        <v>6705</v>
      </c>
      <c r="B3728" t="s">
        <v>6702</v>
      </c>
      <c r="C3728" s="2">
        <v>2021</v>
      </c>
      <c r="D3728" s="10">
        <v>10</v>
      </c>
      <c r="E3728" s="10">
        <v>2</v>
      </c>
      <c r="F3728" t="s">
        <v>2449</v>
      </c>
      <c r="G3728">
        <v>140</v>
      </c>
      <c r="H3728" t="s">
        <v>69</v>
      </c>
      <c r="I3728" t="s">
        <v>150</v>
      </c>
      <c r="J3728" s="10" t="str">
        <f>VLOOKUP(I3728,Categories!A:B,2,FALSE)</f>
        <v xml:space="preserve">Food &amp; Coff</v>
      </c>
      <c r="K3728" t="s">
        <v>2317</v>
      </c>
      <c r="L3728" s="10" t="str">
        <f>VLOOKUP(K3728,Accounts!A:B,2,FALSE)</f>
        <v xml:space="preserve">Marriage account</v>
      </c>
      <c r="M3728" t="s">
        <v>124</v>
      </c>
      <c r="N3728" s="10"/>
      <c r="O3728" t="s">
        <v>125</v>
      </c>
      <c r="Q3728" t="s">
        <v>126</v>
      </c>
      <c r="R3728" t="s">
        <v>124</v>
      </c>
      <c r="S3728" t="b">
        <v>0</v>
      </c>
      <c r="T3728" t="s">
        <v>124</v>
      </c>
    </row>
    <row r="3729">
      <c r="A3729" t="s">
        <v>6706</v>
      </c>
      <c r="B3729" t="s">
        <v>6702</v>
      </c>
      <c r="C3729" s="2">
        <v>2021</v>
      </c>
      <c r="D3729" s="10">
        <v>10</v>
      </c>
      <c r="E3729" s="10">
        <v>2</v>
      </c>
      <c r="F3729" t="s">
        <v>298</v>
      </c>
      <c r="G3729">
        <v>300</v>
      </c>
      <c r="H3729" t="s">
        <v>128</v>
      </c>
      <c r="I3729" t="s">
        <v>136</v>
      </c>
      <c r="J3729" s="10" t="str">
        <f>VLOOKUP(I3729,Categories!A:B,2,FALSE)</f>
        <v>อื่นๆ</v>
      </c>
      <c r="K3729" t="s">
        <v>178</v>
      </c>
      <c r="L3729" s="10" t="str">
        <f>VLOOKUP(K3729,Accounts!A:B,2,FALSE)</f>
        <v>SCB</v>
      </c>
      <c r="M3729" t="s">
        <v>710</v>
      </c>
      <c r="N3729" s="10" t="str">
        <f>VLOOKUP(M3729,Accounts!A:B,2,FALSE)</f>
        <v xml:space="preserve">Line Pay</v>
      </c>
      <c r="O3729" t="s">
        <v>125</v>
      </c>
      <c r="Q3729" t="s">
        <v>126</v>
      </c>
      <c r="R3729" t="s">
        <v>124</v>
      </c>
      <c r="S3729" t="b">
        <v>0</v>
      </c>
      <c r="T3729" t="s">
        <v>124</v>
      </c>
    </row>
    <row r="3730">
      <c r="A3730" t="s">
        <v>6707</v>
      </c>
      <c r="B3730" t="s">
        <v>6702</v>
      </c>
      <c r="C3730" s="2">
        <v>2021</v>
      </c>
      <c r="D3730" s="10">
        <v>10</v>
      </c>
      <c r="E3730" s="10">
        <v>2</v>
      </c>
      <c r="F3730" t="s">
        <v>1574</v>
      </c>
      <c r="G3730">
        <v>1216.01</v>
      </c>
      <c r="H3730" t="s">
        <v>128</v>
      </c>
      <c r="I3730" t="s">
        <v>136</v>
      </c>
      <c r="J3730" s="10" t="str">
        <f>VLOOKUP(I3730,Categories!A:B,2,FALSE)</f>
        <v>อื่นๆ</v>
      </c>
      <c r="K3730" t="s">
        <v>178</v>
      </c>
      <c r="L3730" s="10" t="str">
        <f>VLOOKUP(K3730,Accounts!A:B,2,FALSE)</f>
        <v>SCB</v>
      </c>
      <c r="M3730" t="s">
        <v>747</v>
      </c>
      <c r="N3730" s="10" t="str">
        <f>VLOOKUP(M3730,Accounts!A:B,2,FALSE)</f>
        <v xml:space="preserve">UOB world</v>
      </c>
      <c r="O3730" t="s">
        <v>125</v>
      </c>
      <c r="Q3730" t="s">
        <v>126</v>
      </c>
      <c r="R3730" t="s">
        <v>124</v>
      </c>
      <c r="S3730" t="b">
        <v>0</v>
      </c>
      <c r="T3730" t="s">
        <v>124</v>
      </c>
    </row>
    <row r="3731">
      <c r="A3731" t="s">
        <v>6708</v>
      </c>
      <c r="B3731" t="s">
        <v>6702</v>
      </c>
      <c r="C3731" s="2">
        <v>2021</v>
      </c>
      <c r="D3731" s="10">
        <v>10</v>
      </c>
      <c r="E3731" s="10">
        <v>2</v>
      </c>
      <c r="F3731" t="s">
        <v>4403</v>
      </c>
      <c r="G3731">
        <v>1764.23</v>
      </c>
      <c r="H3731" t="s">
        <v>128</v>
      </c>
      <c r="I3731" t="s">
        <v>136</v>
      </c>
      <c r="J3731" s="10" t="str">
        <f>VLOOKUP(I3731,Categories!A:B,2,FALSE)</f>
        <v>อื่นๆ</v>
      </c>
      <c r="K3731" t="s">
        <v>2317</v>
      </c>
      <c r="L3731" s="10" t="str">
        <f>VLOOKUP(K3731,Accounts!A:B,2,FALSE)</f>
        <v xml:space="preserve">Marriage account</v>
      </c>
      <c r="M3731" t="s">
        <v>5238</v>
      </c>
      <c r="N3731" s="10" t="str">
        <f>VLOOKUP(M3731,Accounts!A:B,2,FALSE)</f>
        <v xml:space="preserve">marriage savings</v>
      </c>
      <c r="O3731" t="s">
        <v>125</v>
      </c>
      <c r="Q3731" t="s">
        <v>126</v>
      </c>
      <c r="R3731" t="s">
        <v>124</v>
      </c>
      <c r="S3731" t="b">
        <v>0</v>
      </c>
      <c r="T3731" t="s">
        <v>124</v>
      </c>
    </row>
    <row r="3732">
      <c r="A3732" t="s">
        <v>6709</v>
      </c>
      <c r="B3732" t="s">
        <v>6702</v>
      </c>
      <c r="C3732" s="2">
        <v>2021</v>
      </c>
      <c r="D3732" s="10">
        <v>10</v>
      </c>
      <c r="E3732" s="10">
        <v>2</v>
      </c>
      <c r="F3732" t="s">
        <v>3166</v>
      </c>
      <c r="G3732">
        <v>848.25</v>
      </c>
      <c r="H3732" t="s">
        <v>69</v>
      </c>
      <c r="I3732" t="s">
        <v>3504</v>
      </c>
      <c r="J3732" s="10" t="str">
        <f>VLOOKUP(I3732,Categories!A:B,2,FALSE)</f>
        <v xml:space="preserve">Condo suppliers</v>
      </c>
      <c r="K3732" t="s">
        <v>2317</v>
      </c>
      <c r="L3732" s="10" t="str">
        <f>VLOOKUP(K3732,Accounts!A:B,2,FALSE)</f>
        <v xml:space="preserve">Marriage account</v>
      </c>
      <c r="M3732" t="s">
        <v>124</v>
      </c>
      <c r="N3732" s="10"/>
      <c r="O3732" t="s">
        <v>6710</v>
      </c>
      <c r="Q3732" t="s">
        <v>126</v>
      </c>
      <c r="R3732" t="s">
        <v>124</v>
      </c>
      <c r="S3732" t="b">
        <v>0</v>
      </c>
      <c r="T3732" t="s">
        <v>124</v>
      </c>
    </row>
    <row r="3733">
      <c r="A3733" t="s">
        <v>6711</v>
      </c>
      <c r="B3733" t="s">
        <v>6702</v>
      </c>
      <c r="C3733" s="2">
        <v>2021</v>
      </c>
      <c r="D3733" s="10">
        <v>10</v>
      </c>
      <c r="E3733" s="10">
        <v>2</v>
      </c>
      <c r="F3733" t="s">
        <v>6712</v>
      </c>
      <c r="G3733">
        <v>100</v>
      </c>
      <c r="H3733" t="s">
        <v>69</v>
      </c>
      <c r="I3733" t="s">
        <v>150</v>
      </c>
      <c r="J3733" s="10" t="str">
        <f>VLOOKUP(I3733,Categories!A:B,2,FALSE)</f>
        <v xml:space="preserve">Food &amp; Coff</v>
      </c>
      <c r="K3733" t="s">
        <v>710</v>
      </c>
      <c r="L3733" s="10" t="str">
        <f>VLOOKUP(K3733,Accounts!A:B,2,FALSE)</f>
        <v xml:space="preserve">Line Pay</v>
      </c>
      <c r="M3733" t="s">
        <v>124</v>
      </c>
      <c r="N3733" s="10"/>
      <c r="O3733" t="s">
        <v>5778</v>
      </c>
      <c r="Q3733" t="s">
        <v>126</v>
      </c>
      <c r="R3733" t="s">
        <v>124</v>
      </c>
      <c r="S3733" t="b">
        <v>0</v>
      </c>
      <c r="T3733" t="s">
        <v>124</v>
      </c>
    </row>
    <row r="3734">
      <c r="A3734" t="s">
        <v>6713</v>
      </c>
      <c r="B3734" t="s">
        <v>6702</v>
      </c>
      <c r="C3734" s="2">
        <v>2021</v>
      </c>
      <c r="D3734" s="10">
        <v>10</v>
      </c>
      <c r="E3734" s="10">
        <v>2</v>
      </c>
      <c r="F3734" t="s">
        <v>827</v>
      </c>
      <c r="G3734">
        <v>140</v>
      </c>
      <c r="H3734" t="s">
        <v>128</v>
      </c>
      <c r="I3734" t="s">
        <v>136</v>
      </c>
      <c r="J3734" s="10" t="str">
        <f>VLOOKUP(I3734,Categories!A:B,2,FALSE)</f>
        <v>อื่นๆ</v>
      </c>
      <c r="K3734" t="s">
        <v>710</v>
      </c>
      <c r="L3734" s="10" t="str">
        <f>VLOOKUP(K3734,Accounts!A:B,2,FALSE)</f>
        <v xml:space="preserve">Line Pay</v>
      </c>
      <c r="M3734" t="s">
        <v>178</v>
      </c>
      <c r="N3734" s="10" t="str">
        <f>VLOOKUP(M3734,Accounts!A:B,2,FALSE)</f>
        <v>SCB</v>
      </c>
      <c r="O3734" t="s">
        <v>125</v>
      </c>
      <c r="Q3734" t="s">
        <v>126</v>
      </c>
      <c r="R3734" t="s">
        <v>124</v>
      </c>
      <c r="S3734" t="b">
        <v>0</v>
      </c>
      <c r="T3734" t="s">
        <v>124</v>
      </c>
    </row>
    <row r="3735">
      <c r="A3735" t="s">
        <v>6714</v>
      </c>
      <c r="B3735" t="s">
        <v>6702</v>
      </c>
      <c r="C3735" s="2">
        <v>2021</v>
      </c>
      <c r="D3735" s="10">
        <v>10</v>
      </c>
      <c r="E3735" s="10">
        <v>2</v>
      </c>
      <c r="F3735" t="s">
        <v>293</v>
      </c>
      <c r="G3735">
        <v>37800</v>
      </c>
      <c r="H3735" t="s">
        <v>69</v>
      </c>
      <c r="I3735" t="s">
        <v>144</v>
      </c>
      <c r="J3735" s="10" t="str">
        <f>VLOOKUP(I3735,Categories!A:B,2,FALSE)</f>
        <v xml:space="preserve">Family paid</v>
      </c>
      <c r="K3735" t="s">
        <v>178</v>
      </c>
      <c r="L3735" s="10" t="str">
        <f>VLOOKUP(K3735,Accounts!A:B,2,FALSE)</f>
        <v>SCB</v>
      </c>
      <c r="M3735" t="s">
        <v>124</v>
      </c>
      <c r="N3735" s="10"/>
      <c r="O3735" t="s">
        <v>6715</v>
      </c>
      <c r="Q3735" t="s">
        <v>126</v>
      </c>
      <c r="R3735" t="s">
        <v>124</v>
      </c>
      <c r="S3735" t="b">
        <v>0</v>
      </c>
      <c r="T3735" t="s">
        <v>124</v>
      </c>
    </row>
    <row r="3736">
      <c r="A3736" t="s">
        <v>6716</v>
      </c>
      <c r="B3736" t="s">
        <v>6702</v>
      </c>
      <c r="C3736" s="2">
        <v>2021</v>
      </c>
      <c r="D3736" s="10">
        <v>10</v>
      </c>
      <c r="E3736" s="10">
        <v>2</v>
      </c>
      <c r="F3736" t="s">
        <v>293</v>
      </c>
      <c r="G3736">
        <v>982</v>
      </c>
      <c r="H3736" t="s">
        <v>69</v>
      </c>
      <c r="I3736" t="s">
        <v>150</v>
      </c>
      <c r="J3736" s="10" t="str">
        <f>VLOOKUP(I3736,Categories!A:B,2,FALSE)</f>
        <v xml:space="preserve">Food &amp; Coff</v>
      </c>
      <c r="K3736" t="s">
        <v>178</v>
      </c>
      <c r="L3736" s="10" t="str">
        <f>VLOOKUP(K3736,Accounts!A:B,2,FALSE)</f>
        <v>SCB</v>
      </c>
      <c r="M3736" t="s">
        <v>124</v>
      </c>
      <c r="N3736" s="10"/>
      <c r="O3736" t="s">
        <v>1388</v>
      </c>
      <c r="Q3736" t="s">
        <v>126</v>
      </c>
      <c r="R3736" t="s">
        <v>124</v>
      </c>
      <c r="S3736" t="b">
        <v>0</v>
      </c>
      <c r="T3736" t="s">
        <v>124</v>
      </c>
    </row>
    <row r="3737">
      <c r="A3737" t="s">
        <v>6717</v>
      </c>
      <c r="B3737" t="s">
        <v>6702</v>
      </c>
      <c r="C3737" s="2">
        <v>2021</v>
      </c>
      <c r="D3737" s="10">
        <v>10</v>
      </c>
      <c r="E3737" s="10">
        <v>2</v>
      </c>
      <c r="F3737" t="s">
        <v>1935</v>
      </c>
      <c r="G3737">
        <v>1288</v>
      </c>
      <c r="H3737" t="s">
        <v>128</v>
      </c>
      <c r="I3737" t="s">
        <v>136</v>
      </c>
      <c r="J3737" s="10" t="str">
        <f>VLOOKUP(I3737,Categories!A:B,2,FALSE)</f>
        <v>อื่นๆ</v>
      </c>
      <c r="K3737" t="s">
        <v>5806</v>
      </c>
      <c r="L3737" s="10" t="str">
        <f>VLOOKUP(K3737,Accounts!A:B,2,FALSE)</f>
        <v>Grabpay</v>
      </c>
      <c r="M3737" t="s">
        <v>178</v>
      </c>
      <c r="N3737" s="10" t="str">
        <f>VLOOKUP(M3737,Accounts!A:B,2,FALSE)</f>
        <v>SCB</v>
      </c>
      <c r="O3737" t="s">
        <v>6718</v>
      </c>
      <c r="Q3737" t="s">
        <v>126</v>
      </c>
      <c r="R3737" t="s">
        <v>124</v>
      </c>
      <c r="S3737" t="b">
        <v>0</v>
      </c>
      <c r="T3737" t="s">
        <v>124</v>
      </c>
    </row>
    <row r="3738">
      <c r="A3738" t="s">
        <v>6719</v>
      </c>
      <c r="B3738" t="s">
        <v>6702</v>
      </c>
      <c r="C3738" s="2">
        <v>2021</v>
      </c>
      <c r="D3738" s="10">
        <v>10</v>
      </c>
      <c r="E3738" s="10">
        <v>2</v>
      </c>
      <c r="F3738" t="s">
        <v>185</v>
      </c>
      <c r="G3738">
        <v>400</v>
      </c>
      <c r="H3738" t="s">
        <v>128</v>
      </c>
      <c r="I3738" t="s">
        <v>136</v>
      </c>
      <c r="J3738" s="10" t="str">
        <f>VLOOKUP(I3738,Categories!A:B,2,FALSE)</f>
        <v>อื่นๆ</v>
      </c>
      <c r="K3738" t="s">
        <v>5803</v>
      </c>
      <c r="L3738" s="10" t="str">
        <f>VLOOKUP(K3738,Accounts!A:B,2,FALSE)</f>
        <v>grabvoucher</v>
      </c>
      <c r="M3738" t="s">
        <v>178</v>
      </c>
      <c r="N3738" s="10" t="str">
        <f>VLOOKUP(M3738,Accounts!A:B,2,FALSE)</f>
        <v>SCB</v>
      </c>
      <c r="O3738" t="s">
        <v>125</v>
      </c>
      <c r="Q3738" t="s">
        <v>126</v>
      </c>
      <c r="R3738" t="s">
        <v>124</v>
      </c>
      <c r="S3738" t="b">
        <v>0</v>
      </c>
      <c r="T3738" t="s">
        <v>124</v>
      </c>
    </row>
    <row r="3739">
      <c r="A3739" t="s">
        <v>6720</v>
      </c>
      <c r="B3739" t="s">
        <v>6702</v>
      </c>
      <c r="C3739" s="2">
        <v>2021</v>
      </c>
      <c r="D3739" s="10">
        <v>10</v>
      </c>
      <c r="E3739" s="10">
        <v>2</v>
      </c>
      <c r="F3739" t="s">
        <v>3271</v>
      </c>
      <c r="G3739">
        <v>180</v>
      </c>
      <c r="H3739" t="s">
        <v>128</v>
      </c>
      <c r="I3739" t="s">
        <v>136</v>
      </c>
      <c r="J3739" s="10" t="str">
        <f>VLOOKUP(I3739,Categories!A:B,2,FALSE)</f>
        <v>อื่นๆ</v>
      </c>
      <c r="K3739" t="s">
        <v>893</v>
      </c>
      <c r="L3739" s="10" t="str">
        <f>VLOOKUP(K3739,Accounts!A:B,2,FALSE)</f>
        <v>Shopee</v>
      </c>
      <c r="M3739" t="s">
        <v>178</v>
      </c>
      <c r="N3739" s="10" t="str">
        <f>VLOOKUP(M3739,Accounts!A:B,2,FALSE)</f>
        <v>SCB</v>
      </c>
      <c r="O3739" t="s">
        <v>125</v>
      </c>
      <c r="Q3739" t="s">
        <v>126</v>
      </c>
      <c r="R3739" t="s">
        <v>124</v>
      </c>
      <c r="S3739" t="b">
        <v>0</v>
      </c>
      <c r="T3739" t="s">
        <v>124</v>
      </c>
    </row>
    <row r="3740">
      <c r="A3740" t="s">
        <v>6721</v>
      </c>
      <c r="B3740" t="s">
        <v>6702</v>
      </c>
      <c r="C3740" s="2">
        <v>2021</v>
      </c>
      <c r="D3740" s="10">
        <v>10</v>
      </c>
      <c r="E3740" s="10">
        <v>2</v>
      </c>
      <c r="F3740" t="s">
        <v>1898</v>
      </c>
      <c r="G3740">
        <v>469.99000000000001</v>
      </c>
      <c r="H3740" t="s">
        <v>69</v>
      </c>
      <c r="I3740" t="s">
        <v>254</v>
      </c>
      <c r="J3740" s="10" t="str">
        <f>VLOOKUP(I3740,Categories!A:B,2,FALSE)</f>
        <v xml:space="preserve">Modified Bal.</v>
      </c>
      <c r="K3740" t="s">
        <v>178</v>
      </c>
      <c r="L3740" s="10" t="str">
        <f>VLOOKUP(K3740,Accounts!A:B,2,FALSE)</f>
        <v>SCB</v>
      </c>
      <c r="M3740" t="s">
        <v>124</v>
      </c>
      <c r="N3740" s="10"/>
      <c r="O3740" t="s">
        <v>255</v>
      </c>
      <c r="Q3740" t="s">
        <v>126</v>
      </c>
      <c r="R3740" t="s">
        <v>124</v>
      </c>
      <c r="S3740" t="b">
        <v>0</v>
      </c>
      <c r="T3740" t="s">
        <v>124</v>
      </c>
    </row>
    <row r="3741">
      <c r="A3741" t="s">
        <v>6722</v>
      </c>
      <c r="B3741" t="s">
        <v>6702</v>
      </c>
      <c r="C3741" s="2">
        <v>2021</v>
      </c>
      <c r="D3741" s="10">
        <v>10</v>
      </c>
      <c r="E3741" s="10">
        <v>2</v>
      </c>
      <c r="F3741" t="s">
        <v>2703</v>
      </c>
      <c r="G3741">
        <v>494.85000000000002</v>
      </c>
      <c r="H3741" t="s">
        <v>69</v>
      </c>
      <c r="I3741" t="s">
        <v>254</v>
      </c>
      <c r="J3741" s="10" t="str">
        <f>VLOOKUP(I3741,Categories!A:B,2,FALSE)</f>
        <v xml:space="preserve">Modified Bal.</v>
      </c>
      <c r="K3741" t="s">
        <v>130</v>
      </c>
      <c r="L3741" s="10" t="str">
        <f>VLOOKUP(K3741,Accounts!A:B,2,FALSE)</f>
        <v xml:space="preserve">KTC JCB</v>
      </c>
      <c r="M3741" t="s">
        <v>124</v>
      </c>
      <c r="N3741" s="10"/>
      <c r="O3741" t="s">
        <v>255</v>
      </c>
      <c r="Q3741" t="s">
        <v>126</v>
      </c>
      <c r="R3741" t="s">
        <v>124</v>
      </c>
      <c r="S3741" t="b">
        <v>0</v>
      </c>
      <c r="T3741" t="s">
        <v>124</v>
      </c>
    </row>
    <row r="3742">
      <c r="A3742" t="s">
        <v>6723</v>
      </c>
      <c r="B3742" t="s">
        <v>6702</v>
      </c>
      <c r="C3742" s="2">
        <v>2021</v>
      </c>
      <c r="D3742" s="10">
        <v>10</v>
      </c>
      <c r="E3742" s="10">
        <v>2</v>
      </c>
      <c r="F3742" t="s">
        <v>1228</v>
      </c>
      <c r="G3742">
        <v>113.75</v>
      </c>
      <c r="H3742" t="s">
        <v>69</v>
      </c>
      <c r="I3742" t="s">
        <v>254</v>
      </c>
      <c r="J3742" s="10" t="str">
        <f>VLOOKUP(I3742,Categories!A:B,2,FALSE)</f>
        <v xml:space="preserve">Modified Bal.</v>
      </c>
      <c r="K3742" t="s">
        <v>213</v>
      </c>
      <c r="L3742" s="10" t="str">
        <f>VLOOKUP(K3742,Accounts!A:B,2,FALSE)</f>
        <v xml:space="preserve">Krungthai Next</v>
      </c>
      <c r="M3742" t="s">
        <v>124</v>
      </c>
      <c r="N3742" s="10"/>
      <c r="O3742" t="s">
        <v>255</v>
      </c>
      <c r="Q3742" t="s">
        <v>126</v>
      </c>
      <c r="R3742" t="s">
        <v>124</v>
      </c>
      <c r="S3742" t="b">
        <v>0</v>
      </c>
      <c r="T3742" t="s">
        <v>124</v>
      </c>
    </row>
    <row r="3743">
      <c r="A3743" t="s">
        <v>6724</v>
      </c>
      <c r="B3743" t="s">
        <v>6702</v>
      </c>
      <c r="C3743" s="2">
        <v>2021</v>
      </c>
      <c r="D3743" s="10">
        <v>10</v>
      </c>
      <c r="E3743" s="10">
        <v>2</v>
      </c>
      <c r="F3743" t="s">
        <v>3289</v>
      </c>
      <c r="G3743">
        <v>28803</v>
      </c>
      <c r="H3743" t="s">
        <v>128</v>
      </c>
      <c r="I3743" t="s">
        <v>136</v>
      </c>
      <c r="J3743" s="10" t="str">
        <f>VLOOKUP(I3743,Categories!A:B,2,FALSE)</f>
        <v>อื่นๆ</v>
      </c>
      <c r="K3743" t="s">
        <v>178</v>
      </c>
      <c r="L3743" s="10" t="str">
        <f>VLOOKUP(K3743,Accounts!A:B,2,FALSE)</f>
        <v>SCB</v>
      </c>
      <c r="M3743" t="s">
        <v>1308</v>
      </c>
      <c r="N3743" s="10" t="str">
        <f>VLOOKUP(M3743,Accounts!A:B,2,FALSE)</f>
        <v xml:space="preserve">UOB Privilages</v>
      </c>
      <c r="O3743" t="s">
        <v>125</v>
      </c>
      <c r="Q3743" t="s">
        <v>126</v>
      </c>
      <c r="R3743" t="s">
        <v>124</v>
      </c>
      <c r="S3743" t="b">
        <v>0</v>
      </c>
      <c r="T3743" t="s">
        <v>124</v>
      </c>
    </row>
    <row r="3744">
      <c r="A3744" t="s">
        <v>6725</v>
      </c>
      <c r="B3744" t="s">
        <v>6702</v>
      </c>
      <c r="C3744" s="2">
        <v>2021</v>
      </c>
      <c r="D3744" s="10">
        <v>10</v>
      </c>
      <c r="E3744" s="10">
        <v>2</v>
      </c>
      <c r="F3744" t="s">
        <v>1221</v>
      </c>
      <c r="G3744">
        <v>354</v>
      </c>
      <c r="H3744" t="s">
        <v>69</v>
      </c>
      <c r="I3744" t="s">
        <v>1903</v>
      </c>
      <c r="J3744" s="10" t="str">
        <f>VLOOKUP(I3744,Categories!A:B,2,FALSE)</f>
        <v xml:space="preserve">Monthly subscription</v>
      </c>
      <c r="K3744" t="s">
        <v>178</v>
      </c>
      <c r="L3744" s="10" t="str">
        <f>VLOOKUP(K3744,Accounts!A:B,2,FALSE)</f>
        <v>SCB</v>
      </c>
      <c r="M3744" t="s">
        <v>124</v>
      </c>
      <c r="N3744" s="10"/>
      <c r="O3744" t="s">
        <v>125</v>
      </c>
      <c r="Q3744" t="s">
        <v>126</v>
      </c>
      <c r="R3744" t="s">
        <v>124</v>
      </c>
      <c r="S3744" t="b">
        <v>0</v>
      </c>
      <c r="T3744" t="s">
        <v>124</v>
      </c>
    </row>
    <row r="3745">
      <c r="A3745" t="s">
        <v>6726</v>
      </c>
      <c r="B3745" t="s">
        <v>6702</v>
      </c>
      <c r="C3745" s="2">
        <v>2021</v>
      </c>
      <c r="D3745" s="10">
        <v>10</v>
      </c>
      <c r="E3745" s="10">
        <v>2</v>
      </c>
      <c r="F3745" t="s">
        <v>1902</v>
      </c>
      <c r="G3745">
        <v>400</v>
      </c>
      <c r="H3745" t="s">
        <v>69</v>
      </c>
      <c r="I3745" t="s">
        <v>1882</v>
      </c>
      <c r="J3745" s="10" t="str">
        <f>VLOOKUP(I3745,Categories!A:B,2,FALSE)</f>
        <v>utility</v>
      </c>
      <c r="K3745" t="s">
        <v>2317</v>
      </c>
      <c r="L3745" s="10" t="str">
        <f>VLOOKUP(K3745,Accounts!A:B,2,FALSE)</f>
        <v xml:space="preserve">Marriage account</v>
      </c>
      <c r="M3745" t="s">
        <v>124</v>
      </c>
      <c r="N3745" s="10"/>
      <c r="O3745" t="s">
        <v>6727</v>
      </c>
      <c r="Q3745" t="s">
        <v>126</v>
      </c>
      <c r="R3745" t="s">
        <v>124</v>
      </c>
      <c r="S3745" t="b">
        <v>0</v>
      </c>
      <c r="T3745" t="s">
        <v>124</v>
      </c>
    </row>
    <row r="3746">
      <c r="A3746" t="s">
        <v>6728</v>
      </c>
      <c r="B3746" t="s">
        <v>6702</v>
      </c>
      <c r="C3746" s="2">
        <v>2021</v>
      </c>
      <c r="D3746" s="10">
        <v>10</v>
      </c>
      <c r="E3746" s="10">
        <v>2</v>
      </c>
      <c r="F3746" t="s">
        <v>1190</v>
      </c>
      <c r="G3746">
        <v>631</v>
      </c>
      <c r="H3746" t="s">
        <v>69</v>
      </c>
      <c r="I3746" t="s">
        <v>254</v>
      </c>
      <c r="J3746" s="10" t="str">
        <f>VLOOKUP(I3746,Categories!A:B,2,FALSE)</f>
        <v xml:space="preserve">Modified Bal.</v>
      </c>
      <c r="K3746" t="s">
        <v>123</v>
      </c>
      <c r="L3746" s="10" t="str">
        <f>VLOOKUP(K3746,Accounts!A:B,2,FALSE)</f>
        <v>KBank</v>
      </c>
      <c r="M3746" t="s">
        <v>124</v>
      </c>
      <c r="N3746" s="10"/>
      <c r="O3746" t="s">
        <v>255</v>
      </c>
      <c r="Q3746" t="s">
        <v>126</v>
      </c>
      <c r="R3746" t="s">
        <v>124</v>
      </c>
      <c r="S3746" t="b">
        <v>0</v>
      </c>
      <c r="T3746" t="s">
        <v>124</v>
      </c>
    </row>
    <row r="3747">
      <c r="A3747" t="s">
        <v>6729</v>
      </c>
      <c r="B3747" t="s">
        <v>6702</v>
      </c>
      <c r="C3747" s="2">
        <v>2021</v>
      </c>
      <c r="D3747" s="10">
        <v>10</v>
      </c>
      <c r="E3747" s="10">
        <v>2</v>
      </c>
      <c r="F3747" t="s">
        <v>1865</v>
      </c>
      <c r="G3747">
        <v>100</v>
      </c>
      <c r="H3747" t="s">
        <v>69</v>
      </c>
      <c r="I3747" t="s">
        <v>254</v>
      </c>
      <c r="J3747" s="10" t="str">
        <f>VLOOKUP(I3747,Categories!A:B,2,FALSE)</f>
        <v xml:space="preserve">Modified Bal.</v>
      </c>
      <c r="K3747" t="s">
        <v>5803</v>
      </c>
      <c r="L3747" s="10" t="str">
        <f>VLOOKUP(K3747,Accounts!A:B,2,FALSE)</f>
        <v>grabvoucher</v>
      </c>
      <c r="M3747" t="s">
        <v>124</v>
      </c>
      <c r="N3747" s="10"/>
      <c r="O3747" t="s">
        <v>255</v>
      </c>
      <c r="Q3747" t="s">
        <v>126</v>
      </c>
      <c r="R3747" t="s">
        <v>124</v>
      </c>
      <c r="S3747" t="b">
        <v>0</v>
      </c>
      <c r="T3747" t="s">
        <v>124</v>
      </c>
    </row>
    <row r="3748">
      <c r="A3748" t="s">
        <v>6730</v>
      </c>
      <c r="B3748" t="s">
        <v>6702</v>
      </c>
      <c r="C3748" s="2">
        <v>2021</v>
      </c>
      <c r="D3748" s="10">
        <v>10</v>
      </c>
      <c r="E3748" s="10">
        <v>2</v>
      </c>
      <c r="F3748" t="s">
        <v>1865</v>
      </c>
      <c r="G3748">
        <v>281.39999999999998</v>
      </c>
      <c r="H3748" t="s">
        <v>69</v>
      </c>
      <c r="I3748" t="s">
        <v>254</v>
      </c>
      <c r="J3748" s="10" t="str">
        <f>VLOOKUP(I3748,Categories!A:B,2,FALSE)</f>
        <v xml:space="preserve">Modified Bal.</v>
      </c>
      <c r="K3748" t="s">
        <v>893</v>
      </c>
      <c r="L3748" s="10" t="str">
        <f>VLOOKUP(K3748,Accounts!A:B,2,FALSE)</f>
        <v>Shopee</v>
      </c>
      <c r="M3748" t="s">
        <v>124</v>
      </c>
      <c r="N3748" s="10"/>
      <c r="O3748" t="s">
        <v>255</v>
      </c>
      <c r="Q3748" t="s">
        <v>126</v>
      </c>
      <c r="R3748" t="s">
        <v>124</v>
      </c>
      <c r="S3748" t="b">
        <v>0</v>
      </c>
      <c r="T3748" t="s">
        <v>124</v>
      </c>
    </row>
    <row r="3749">
      <c r="A3749" t="s">
        <v>6731</v>
      </c>
      <c r="B3749" t="s">
        <v>6702</v>
      </c>
      <c r="C3749" s="2">
        <v>2021</v>
      </c>
      <c r="D3749" s="10">
        <v>10</v>
      </c>
      <c r="E3749" s="10">
        <v>2</v>
      </c>
      <c r="F3749" t="s">
        <v>231</v>
      </c>
      <c r="G3749">
        <v>708</v>
      </c>
      <c r="H3749" t="s">
        <v>69</v>
      </c>
      <c r="I3749" t="s">
        <v>254</v>
      </c>
      <c r="J3749" s="10" t="str">
        <f>VLOOKUP(I3749,Categories!A:B,2,FALSE)</f>
        <v xml:space="preserve">Modified Bal.</v>
      </c>
      <c r="K3749" t="s">
        <v>425</v>
      </c>
      <c r="L3749" s="10" t="str">
        <f>VLOOKUP(K3749,Accounts!A:B,2,FALSE)</f>
        <v>Cash</v>
      </c>
      <c r="M3749" t="s">
        <v>124</v>
      </c>
      <c r="N3749" s="10"/>
      <c r="O3749" t="s">
        <v>255</v>
      </c>
      <c r="Q3749" t="s">
        <v>126</v>
      </c>
      <c r="R3749" t="s">
        <v>124</v>
      </c>
      <c r="S3749" t="b">
        <v>0</v>
      </c>
      <c r="T3749" t="s">
        <v>124</v>
      </c>
    </row>
    <row r="3750">
      <c r="A3750" t="s">
        <v>6732</v>
      </c>
      <c r="B3750" t="s">
        <v>6733</v>
      </c>
      <c r="C3750" s="2">
        <v>2021</v>
      </c>
      <c r="D3750" s="10">
        <v>10</v>
      </c>
      <c r="E3750" s="10">
        <v>1</v>
      </c>
      <c r="F3750" t="s">
        <v>6734</v>
      </c>
      <c r="G3750">
        <v>97</v>
      </c>
      <c r="H3750" t="s">
        <v>69</v>
      </c>
      <c r="I3750" t="s">
        <v>150</v>
      </c>
      <c r="J3750" s="10" t="str">
        <f>VLOOKUP(I3750,Categories!A:B,2,FALSE)</f>
        <v xml:space="preserve">Food &amp; Coff</v>
      </c>
      <c r="K3750" t="s">
        <v>2317</v>
      </c>
      <c r="L3750" s="10" t="str">
        <f>VLOOKUP(K3750,Accounts!A:B,2,FALSE)</f>
        <v xml:space="preserve">Marriage account</v>
      </c>
      <c r="M3750" t="s">
        <v>124</v>
      </c>
      <c r="N3750" s="10"/>
      <c r="O3750" t="s">
        <v>4655</v>
      </c>
      <c r="Q3750" t="s">
        <v>126</v>
      </c>
      <c r="R3750" t="s">
        <v>124</v>
      </c>
      <c r="S3750" t="b">
        <v>0</v>
      </c>
      <c r="T3750" t="s">
        <v>124</v>
      </c>
    </row>
    <row r="3751">
      <c r="A3751" t="s">
        <v>6735</v>
      </c>
      <c r="B3751" t="s">
        <v>6733</v>
      </c>
      <c r="C3751" s="2">
        <v>2021</v>
      </c>
      <c r="D3751" s="10">
        <v>10</v>
      </c>
      <c r="E3751" s="10">
        <v>1</v>
      </c>
      <c r="F3751" t="s">
        <v>768</v>
      </c>
      <c r="G3751">
        <v>7782.8699999999999</v>
      </c>
      <c r="H3751" t="s">
        <v>128</v>
      </c>
      <c r="I3751" t="s">
        <v>136</v>
      </c>
      <c r="J3751" s="10" t="str">
        <f>VLOOKUP(I3751,Categories!A:B,2,FALSE)</f>
        <v>อื่นๆ</v>
      </c>
      <c r="K3751" t="s">
        <v>766</v>
      </c>
      <c r="L3751" s="10" t="str">
        <f>VLOOKUP(K3751,Accounts!A:B,2,FALSE)</f>
        <v>KRUNGSRI</v>
      </c>
      <c r="M3751" t="s">
        <v>743</v>
      </c>
      <c r="N3751" s="10" t="str">
        <f>VLOOKUP(M3751,Accounts!A:B,2,FALSE)</f>
        <v>HOMEPRO</v>
      </c>
      <c r="O3751" t="s">
        <v>125</v>
      </c>
      <c r="Q3751" t="s">
        <v>126</v>
      </c>
      <c r="R3751" t="s">
        <v>124</v>
      </c>
      <c r="S3751" t="b">
        <v>0</v>
      </c>
      <c r="T3751" t="s">
        <v>124</v>
      </c>
    </row>
    <row r="3752">
      <c r="A3752" t="s">
        <v>6736</v>
      </c>
      <c r="B3752" t="s">
        <v>6733</v>
      </c>
      <c r="C3752" s="2">
        <v>2021</v>
      </c>
      <c r="D3752" s="10">
        <v>10</v>
      </c>
      <c r="E3752" s="10">
        <v>1</v>
      </c>
      <c r="F3752" t="s">
        <v>4403</v>
      </c>
      <c r="G3752">
        <v>10000</v>
      </c>
      <c r="H3752" t="s">
        <v>206</v>
      </c>
      <c r="I3752" t="s">
        <v>207</v>
      </c>
      <c r="J3752" s="10" t="str">
        <f>VLOOKUP(I3752,Categories!A:B,2,FALSE)</f>
        <v>Salary</v>
      </c>
      <c r="K3752" t="s">
        <v>2317</v>
      </c>
      <c r="L3752" s="10" t="str">
        <f>VLOOKUP(K3752,Accounts!A:B,2,FALSE)</f>
        <v xml:space="preserve">Marriage account</v>
      </c>
      <c r="M3752" t="s">
        <v>124</v>
      </c>
      <c r="N3752" s="10"/>
      <c r="O3752" t="s">
        <v>6737</v>
      </c>
      <c r="Q3752" t="s">
        <v>126</v>
      </c>
      <c r="R3752" t="s">
        <v>124</v>
      </c>
      <c r="S3752" t="b">
        <v>0</v>
      </c>
      <c r="T3752" t="s">
        <v>124</v>
      </c>
    </row>
    <row r="3753">
      <c r="A3753" t="s">
        <v>6738</v>
      </c>
      <c r="B3753" t="s">
        <v>6733</v>
      </c>
      <c r="C3753" s="2">
        <v>2021</v>
      </c>
      <c r="D3753" s="10">
        <v>10</v>
      </c>
      <c r="E3753" s="10">
        <v>1</v>
      </c>
      <c r="F3753" t="s">
        <v>851</v>
      </c>
      <c r="G3753">
        <v>345</v>
      </c>
      <c r="H3753" t="s">
        <v>69</v>
      </c>
      <c r="I3753" t="s">
        <v>3504</v>
      </c>
      <c r="J3753" s="10" t="str">
        <f>VLOOKUP(I3753,Categories!A:B,2,FALSE)</f>
        <v xml:space="preserve">Condo suppliers</v>
      </c>
      <c r="K3753" t="s">
        <v>2317</v>
      </c>
      <c r="L3753" s="10" t="str">
        <f>VLOOKUP(K3753,Accounts!A:B,2,FALSE)</f>
        <v xml:space="preserve">Marriage account</v>
      </c>
      <c r="M3753" t="s">
        <v>124</v>
      </c>
      <c r="N3753" s="10"/>
      <c r="O3753" t="s">
        <v>6739</v>
      </c>
      <c r="Q3753" t="s">
        <v>126</v>
      </c>
      <c r="R3753" t="s">
        <v>124</v>
      </c>
      <c r="S3753" t="b">
        <v>0</v>
      </c>
      <c r="T3753" t="s">
        <v>124</v>
      </c>
    </row>
    <row r="3754">
      <c r="A3754" t="s">
        <v>6740</v>
      </c>
      <c r="B3754" t="s">
        <v>6741</v>
      </c>
      <c r="C3754" s="2">
        <v>2021</v>
      </c>
      <c r="D3754" s="10">
        <v>9</v>
      </c>
      <c r="E3754" s="10">
        <v>30</v>
      </c>
      <c r="F3754" t="s">
        <v>1097</v>
      </c>
      <c r="G3754">
        <v>180</v>
      </c>
      <c r="H3754" t="s">
        <v>69</v>
      </c>
      <c r="I3754" t="s">
        <v>150</v>
      </c>
      <c r="J3754" s="10" t="str">
        <f>VLOOKUP(I3754,Categories!A:B,2,FALSE)</f>
        <v xml:space="preserve">Food &amp; Coff</v>
      </c>
      <c r="K3754" t="s">
        <v>2317</v>
      </c>
      <c r="L3754" s="10" t="str">
        <f>VLOOKUP(K3754,Accounts!A:B,2,FALSE)</f>
        <v xml:space="preserve">Marriage account</v>
      </c>
      <c r="M3754" t="s">
        <v>124</v>
      </c>
      <c r="N3754" s="10"/>
      <c r="O3754" t="s">
        <v>6611</v>
      </c>
      <c r="Q3754" t="s">
        <v>126</v>
      </c>
      <c r="R3754" t="s">
        <v>124</v>
      </c>
      <c r="S3754" t="b">
        <v>0</v>
      </c>
      <c r="T3754" t="s">
        <v>124</v>
      </c>
    </row>
    <row r="3755">
      <c r="A3755" t="s">
        <v>6742</v>
      </c>
      <c r="B3755" t="s">
        <v>6741</v>
      </c>
      <c r="C3755" s="2">
        <v>2021</v>
      </c>
      <c r="D3755" s="10">
        <v>9</v>
      </c>
      <c r="E3755" s="10">
        <v>30</v>
      </c>
      <c r="F3755" t="s">
        <v>928</v>
      </c>
      <c r="G3755">
        <v>263</v>
      </c>
      <c r="H3755" t="s">
        <v>69</v>
      </c>
      <c r="I3755" t="s">
        <v>259</v>
      </c>
      <c r="J3755" s="10" t="str">
        <f>VLOOKUP(I3755,Categories!A:B,2,FALSE)</f>
        <v xml:space="preserve">Team BOT</v>
      </c>
      <c r="K3755" t="s">
        <v>178</v>
      </c>
      <c r="L3755" s="10" t="str">
        <f>VLOOKUP(K3755,Accounts!A:B,2,FALSE)</f>
        <v>SCB</v>
      </c>
      <c r="M3755" t="s">
        <v>124</v>
      </c>
      <c r="N3755" s="10"/>
      <c r="O3755" t="s">
        <v>6743</v>
      </c>
      <c r="Q3755" t="s">
        <v>126</v>
      </c>
      <c r="R3755" t="s">
        <v>124</v>
      </c>
      <c r="S3755" t="b">
        <v>0</v>
      </c>
      <c r="T3755" t="s">
        <v>124</v>
      </c>
    </row>
    <row r="3756">
      <c r="A3756" t="s">
        <v>6744</v>
      </c>
      <c r="B3756" t="s">
        <v>6745</v>
      </c>
      <c r="C3756" s="2">
        <v>2021</v>
      </c>
      <c r="D3756" s="10">
        <v>9</v>
      </c>
      <c r="E3756" s="10">
        <v>29</v>
      </c>
      <c r="F3756" t="s">
        <v>1955</v>
      </c>
      <c r="G3756">
        <v>1180</v>
      </c>
      <c r="H3756" t="s">
        <v>69</v>
      </c>
      <c r="I3756" t="s">
        <v>139</v>
      </c>
      <c r="J3756" s="10" t="str">
        <f>VLOOKUP(I3756,Categories!A:B,2,FALSE)</f>
        <v>Condo</v>
      </c>
      <c r="K3756" t="s">
        <v>178</v>
      </c>
      <c r="L3756" s="10" t="str">
        <f>VLOOKUP(K3756,Accounts!A:B,2,FALSE)</f>
        <v>SCB</v>
      </c>
      <c r="M3756" t="s">
        <v>124</v>
      </c>
      <c r="N3756" s="10"/>
      <c r="O3756" t="s">
        <v>6746</v>
      </c>
      <c r="Q3756" t="s">
        <v>126</v>
      </c>
      <c r="R3756" t="s">
        <v>124</v>
      </c>
      <c r="S3756" t="b">
        <v>0</v>
      </c>
      <c r="T3756" t="s">
        <v>124</v>
      </c>
    </row>
    <row r="3757">
      <c r="A3757" t="s">
        <v>6747</v>
      </c>
      <c r="B3757" t="s">
        <v>6748</v>
      </c>
      <c r="C3757" s="2">
        <v>2021</v>
      </c>
      <c r="D3757" s="10">
        <v>9</v>
      </c>
      <c r="E3757" s="10">
        <v>28</v>
      </c>
      <c r="F3757" t="s">
        <v>3377</v>
      </c>
      <c r="G3757">
        <v>202</v>
      </c>
      <c r="H3757" t="s">
        <v>69</v>
      </c>
      <c r="I3757" t="s">
        <v>150</v>
      </c>
      <c r="J3757" s="10" t="str">
        <f>VLOOKUP(I3757,Categories!A:B,2,FALSE)</f>
        <v xml:space="preserve">Food &amp; Coff</v>
      </c>
      <c r="K3757" t="s">
        <v>2317</v>
      </c>
      <c r="L3757" s="10" t="str">
        <f>VLOOKUP(K3757,Accounts!A:B,2,FALSE)</f>
        <v xml:space="preserve">Marriage account</v>
      </c>
      <c r="M3757" t="s">
        <v>124</v>
      </c>
      <c r="N3757" s="10"/>
      <c r="O3757" t="s">
        <v>6749</v>
      </c>
      <c r="Q3757" t="s">
        <v>126</v>
      </c>
      <c r="R3757" t="s">
        <v>124</v>
      </c>
      <c r="S3757" t="b">
        <v>0</v>
      </c>
      <c r="T3757" t="s">
        <v>124</v>
      </c>
    </row>
    <row r="3758">
      <c r="A3758" t="s">
        <v>6750</v>
      </c>
      <c r="B3758" t="s">
        <v>6748</v>
      </c>
      <c r="C3758" s="2">
        <v>2021</v>
      </c>
      <c r="D3758" s="10">
        <v>9</v>
      </c>
      <c r="E3758" s="10">
        <v>28</v>
      </c>
      <c r="F3758" t="s">
        <v>3377</v>
      </c>
      <c r="G3758">
        <v>230</v>
      </c>
      <c r="H3758" t="s">
        <v>69</v>
      </c>
      <c r="I3758" t="s">
        <v>150</v>
      </c>
      <c r="J3758" s="10" t="str">
        <f>VLOOKUP(I3758,Categories!A:B,2,FALSE)</f>
        <v xml:space="preserve">Food &amp; Coff</v>
      </c>
      <c r="K3758" t="s">
        <v>2317</v>
      </c>
      <c r="L3758" s="10" t="str">
        <f>VLOOKUP(K3758,Accounts!A:B,2,FALSE)</f>
        <v xml:space="preserve">Marriage account</v>
      </c>
      <c r="M3758" t="s">
        <v>124</v>
      </c>
      <c r="N3758" s="10"/>
      <c r="O3758" t="s">
        <v>6751</v>
      </c>
      <c r="Q3758" t="s">
        <v>126</v>
      </c>
      <c r="R3758" t="s">
        <v>124</v>
      </c>
      <c r="S3758" t="b">
        <v>0</v>
      </c>
      <c r="T3758" t="s">
        <v>124</v>
      </c>
    </row>
    <row r="3759">
      <c r="A3759" t="s">
        <v>6752</v>
      </c>
      <c r="B3759" t="s">
        <v>6748</v>
      </c>
      <c r="C3759" s="2">
        <v>2021</v>
      </c>
      <c r="D3759" s="10">
        <v>9</v>
      </c>
      <c r="E3759" s="10">
        <v>28</v>
      </c>
      <c r="F3759" t="s">
        <v>2445</v>
      </c>
      <c r="G3759">
        <v>5000</v>
      </c>
      <c r="H3759" t="s">
        <v>69</v>
      </c>
      <c r="I3759" t="s">
        <v>144</v>
      </c>
      <c r="J3759" s="10" t="str">
        <f>VLOOKUP(I3759,Categories!A:B,2,FALSE)</f>
        <v xml:space="preserve">Family paid</v>
      </c>
      <c r="K3759" t="s">
        <v>178</v>
      </c>
      <c r="L3759" s="10" t="str">
        <f>VLOOKUP(K3759,Accounts!A:B,2,FALSE)</f>
        <v>SCB</v>
      </c>
      <c r="M3759" t="s">
        <v>124</v>
      </c>
      <c r="N3759" s="10"/>
      <c r="O3759" t="s">
        <v>125</v>
      </c>
      <c r="Q3759" t="s">
        <v>126</v>
      </c>
      <c r="R3759" t="s">
        <v>124</v>
      </c>
      <c r="S3759" t="b">
        <v>0</v>
      </c>
      <c r="T3759" t="s">
        <v>124</v>
      </c>
    </row>
    <row r="3760">
      <c r="A3760" t="s">
        <v>6753</v>
      </c>
      <c r="B3760" t="s">
        <v>6754</v>
      </c>
      <c r="C3760" s="2">
        <v>2021</v>
      </c>
      <c r="D3760" s="10">
        <v>9</v>
      </c>
      <c r="E3760" s="10">
        <v>27</v>
      </c>
      <c r="F3760" t="s">
        <v>1662</v>
      </c>
      <c r="G3760">
        <v>223</v>
      </c>
      <c r="H3760" t="s">
        <v>69</v>
      </c>
      <c r="I3760" t="s">
        <v>150</v>
      </c>
      <c r="J3760" s="10" t="str">
        <f>VLOOKUP(I3760,Categories!A:B,2,FALSE)</f>
        <v xml:space="preserve">Food &amp; Coff</v>
      </c>
      <c r="K3760" t="s">
        <v>2317</v>
      </c>
      <c r="L3760" s="10" t="str">
        <f>VLOOKUP(K3760,Accounts!A:B,2,FALSE)</f>
        <v xml:space="preserve">Marriage account</v>
      </c>
      <c r="M3760" t="s">
        <v>124</v>
      </c>
      <c r="N3760" s="10"/>
      <c r="O3760" t="s">
        <v>1388</v>
      </c>
      <c r="Q3760" t="s">
        <v>126</v>
      </c>
      <c r="R3760" t="s">
        <v>124</v>
      </c>
      <c r="S3760" t="b">
        <v>0</v>
      </c>
      <c r="T3760" t="s">
        <v>124</v>
      </c>
    </row>
    <row r="3761">
      <c r="A3761" t="s">
        <v>6755</v>
      </c>
      <c r="B3761" t="s">
        <v>6754</v>
      </c>
      <c r="C3761" s="2">
        <v>2021</v>
      </c>
      <c r="D3761" s="10">
        <v>9</v>
      </c>
      <c r="E3761" s="10">
        <v>27</v>
      </c>
      <c r="F3761" t="s">
        <v>6393</v>
      </c>
      <c r="G3761">
        <v>241</v>
      </c>
      <c r="H3761" t="s">
        <v>69</v>
      </c>
      <c r="I3761" t="s">
        <v>150</v>
      </c>
      <c r="J3761" s="10" t="str">
        <f>VLOOKUP(I3761,Categories!A:B,2,FALSE)</f>
        <v xml:space="preserve">Food &amp; Coff</v>
      </c>
      <c r="K3761" t="s">
        <v>2317</v>
      </c>
      <c r="L3761" s="10" t="str">
        <f>VLOOKUP(K3761,Accounts!A:B,2,FALSE)</f>
        <v xml:space="preserve">Marriage account</v>
      </c>
      <c r="M3761" t="s">
        <v>124</v>
      </c>
      <c r="N3761" s="10"/>
      <c r="O3761" t="s">
        <v>4800</v>
      </c>
      <c r="Q3761" t="s">
        <v>126</v>
      </c>
      <c r="R3761" t="s">
        <v>124</v>
      </c>
      <c r="S3761" t="b">
        <v>0</v>
      </c>
      <c r="T3761" t="s">
        <v>124</v>
      </c>
    </row>
    <row r="3762">
      <c r="A3762" t="s">
        <v>6756</v>
      </c>
      <c r="B3762" t="s">
        <v>6757</v>
      </c>
      <c r="C3762" s="2">
        <v>2021</v>
      </c>
      <c r="D3762" s="10">
        <v>9</v>
      </c>
      <c r="E3762" s="10">
        <v>26</v>
      </c>
      <c r="F3762" t="s">
        <v>3513</v>
      </c>
      <c r="G3762">
        <v>140</v>
      </c>
      <c r="H3762" t="s">
        <v>69</v>
      </c>
      <c r="I3762" t="s">
        <v>150</v>
      </c>
      <c r="J3762" s="10" t="str">
        <f>VLOOKUP(I3762,Categories!A:B,2,FALSE)</f>
        <v xml:space="preserve">Food &amp; Coff</v>
      </c>
      <c r="K3762" t="s">
        <v>2317</v>
      </c>
      <c r="L3762" s="10" t="str">
        <f>VLOOKUP(K3762,Accounts!A:B,2,FALSE)</f>
        <v xml:space="preserve">Marriage account</v>
      </c>
      <c r="M3762" t="s">
        <v>124</v>
      </c>
      <c r="N3762" s="10"/>
      <c r="O3762" t="s">
        <v>6758</v>
      </c>
      <c r="Q3762" t="s">
        <v>126</v>
      </c>
      <c r="R3762" t="s">
        <v>124</v>
      </c>
      <c r="S3762" t="b">
        <v>0</v>
      </c>
      <c r="T3762" t="s">
        <v>124</v>
      </c>
    </row>
    <row r="3763">
      <c r="A3763" t="s">
        <v>6759</v>
      </c>
      <c r="B3763" t="s">
        <v>6757</v>
      </c>
      <c r="C3763" s="2">
        <v>2021</v>
      </c>
      <c r="D3763" s="10">
        <v>9</v>
      </c>
      <c r="E3763" s="10">
        <v>26</v>
      </c>
      <c r="F3763" t="s">
        <v>3995</v>
      </c>
      <c r="G3763">
        <v>55</v>
      </c>
      <c r="H3763" t="s">
        <v>69</v>
      </c>
      <c r="I3763" t="s">
        <v>150</v>
      </c>
      <c r="J3763" s="10" t="str">
        <f>VLOOKUP(I3763,Categories!A:B,2,FALSE)</f>
        <v xml:space="preserve">Food &amp; Coff</v>
      </c>
      <c r="K3763" t="s">
        <v>425</v>
      </c>
      <c r="L3763" s="10" t="str">
        <f>VLOOKUP(K3763,Accounts!A:B,2,FALSE)</f>
        <v>Cash</v>
      </c>
      <c r="M3763" t="s">
        <v>124</v>
      </c>
      <c r="N3763" s="10"/>
      <c r="O3763" t="s">
        <v>6419</v>
      </c>
      <c r="Q3763" t="s">
        <v>126</v>
      </c>
      <c r="R3763" t="s">
        <v>124</v>
      </c>
      <c r="S3763" t="b">
        <v>0</v>
      </c>
      <c r="T3763" t="s">
        <v>124</v>
      </c>
    </row>
    <row r="3764">
      <c r="A3764" t="s">
        <v>6760</v>
      </c>
      <c r="B3764" t="s">
        <v>6757</v>
      </c>
      <c r="C3764" s="2">
        <v>2021</v>
      </c>
      <c r="D3764" s="10">
        <v>9</v>
      </c>
      <c r="E3764" s="10">
        <v>26</v>
      </c>
      <c r="F3764" t="s">
        <v>3197</v>
      </c>
      <c r="G3764">
        <v>100</v>
      </c>
      <c r="H3764" t="s">
        <v>69</v>
      </c>
      <c r="I3764" t="s">
        <v>150</v>
      </c>
      <c r="J3764" s="10" t="str">
        <f>VLOOKUP(I3764,Categories!A:B,2,FALSE)</f>
        <v xml:space="preserve">Food &amp; Coff</v>
      </c>
      <c r="K3764" t="s">
        <v>425</v>
      </c>
      <c r="L3764" s="10" t="str">
        <f>VLOOKUP(K3764,Accounts!A:B,2,FALSE)</f>
        <v>Cash</v>
      </c>
      <c r="M3764" t="s">
        <v>124</v>
      </c>
      <c r="N3764" s="10"/>
      <c r="O3764" t="s">
        <v>125</v>
      </c>
      <c r="Q3764" t="s">
        <v>126</v>
      </c>
      <c r="R3764" t="s">
        <v>124</v>
      </c>
      <c r="S3764" t="b">
        <v>0</v>
      </c>
      <c r="T3764" t="s">
        <v>124</v>
      </c>
    </row>
    <row r="3765">
      <c r="A3765" t="s">
        <v>6761</v>
      </c>
      <c r="B3765" t="s">
        <v>6757</v>
      </c>
      <c r="C3765" s="2">
        <v>2021</v>
      </c>
      <c r="D3765" s="10">
        <v>9</v>
      </c>
      <c r="E3765" s="10">
        <v>26</v>
      </c>
      <c r="F3765" t="s">
        <v>1881</v>
      </c>
      <c r="G3765">
        <v>140</v>
      </c>
      <c r="H3765" t="s">
        <v>69</v>
      </c>
      <c r="I3765" t="s">
        <v>150</v>
      </c>
      <c r="J3765" s="10" t="str">
        <f>VLOOKUP(I3765,Categories!A:B,2,FALSE)</f>
        <v xml:space="preserve">Food &amp; Coff</v>
      </c>
      <c r="K3765" t="s">
        <v>2317</v>
      </c>
      <c r="L3765" s="10" t="str">
        <f>VLOOKUP(K3765,Accounts!A:B,2,FALSE)</f>
        <v xml:space="preserve">Marriage account</v>
      </c>
      <c r="M3765" t="s">
        <v>124</v>
      </c>
      <c r="N3765" s="10"/>
      <c r="O3765" t="s">
        <v>6762</v>
      </c>
      <c r="Q3765" t="s">
        <v>126</v>
      </c>
      <c r="R3765" t="s">
        <v>124</v>
      </c>
      <c r="S3765" t="b">
        <v>0</v>
      </c>
      <c r="T3765" t="s">
        <v>124</v>
      </c>
    </row>
    <row r="3766">
      <c r="A3766" t="s">
        <v>6763</v>
      </c>
      <c r="B3766" t="s">
        <v>6757</v>
      </c>
      <c r="C3766" s="2">
        <v>2021</v>
      </c>
      <c r="D3766" s="10">
        <v>9</v>
      </c>
      <c r="E3766" s="10">
        <v>26</v>
      </c>
      <c r="F3766" t="s">
        <v>1102</v>
      </c>
      <c r="G3766">
        <v>140</v>
      </c>
      <c r="H3766" t="s">
        <v>128</v>
      </c>
      <c r="I3766" t="s">
        <v>136</v>
      </c>
      <c r="J3766" s="10" t="str">
        <f>VLOOKUP(I3766,Categories!A:B,2,FALSE)</f>
        <v>อื่นๆ</v>
      </c>
      <c r="K3766" t="s">
        <v>893</v>
      </c>
      <c r="L3766" s="10" t="str">
        <f>VLOOKUP(K3766,Accounts!A:B,2,FALSE)</f>
        <v>Shopee</v>
      </c>
      <c r="M3766" t="s">
        <v>178</v>
      </c>
      <c r="N3766" s="10" t="str">
        <f>VLOOKUP(M3766,Accounts!A:B,2,FALSE)</f>
        <v>SCB</v>
      </c>
      <c r="O3766" t="s">
        <v>125</v>
      </c>
      <c r="Q3766" t="s">
        <v>126</v>
      </c>
      <c r="R3766" t="s">
        <v>124</v>
      </c>
      <c r="S3766" t="b">
        <v>0</v>
      </c>
      <c r="T3766" t="s">
        <v>124</v>
      </c>
    </row>
    <row r="3767">
      <c r="A3767" t="s">
        <v>6764</v>
      </c>
      <c r="B3767" t="s">
        <v>6757</v>
      </c>
      <c r="C3767" s="2">
        <v>2021</v>
      </c>
      <c r="D3767" s="10">
        <v>9</v>
      </c>
      <c r="E3767" s="10">
        <v>26</v>
      </c>
      <c r="F3767" t="s">
        <v>882</v>
      </c>
      <c r="G3767">
        <v>108</v>
      </c>
      <c r="H3767" t="s">
        <v>69</v>
      </c>
      <c r="I3767" t="s">
        <v>150</v>
      </c>
      <c r="J3767" s="10" t="str">
        <f>VLOOKUP(I3767,Categories!A:B,2,FALSE)</f>
        <v xml:space="preserve">Food &amp; Coff</v>
      </c>
      <c r="K3767" t="s">
        <v>2317</v>
      </c>
      <c r="L3767" s="10" t="str">
        <f>VLOOKUP(K3767,Accounts!A:B,2,FALSE)</f>
        <v xml:space="preserve">Marriage account</v>
      </c>
      <c r="M3767" t="s">
        <v>124</v>
      </c>
      <c r="N3767" s="10"/>
      <c r="O3767" t="s">
        <v>125</v>
      </c>
      <c r="Q3767" t="s">
        <v>126</v>
      </c>
      <c r="R3767" t="s">
        <v>124</v>
      </c>
      <c r="S3767" t="b">
        <v>0</v>
      </c>
      <c r="T3767" t="s">
        <v>124</v>
      </c>
    </row>
    <row r="3768">
      <c r="A3768" t="s">
        <v>6765</v>
      </c>
      <c r="B3768" t="s">
        <v>6757</v>
      </c>
      <c r="C3768" s="2">
        <v>2021</v>
      </c>
      <c r="D3768" s="10">
        <v>9</v>
      </c>
      <c r="E3768" s="10">
        <v>26</v>
      </c>
      <c r="F3768" t="s">
        <v>482</v>
      </c>
      <c r="G3768">
        <v>163</v>
      </c>
      <c r="H3768" t="s">
        <v>69</v>
      </c>
      <c r="I3768" t="s">
        <v>150</v>
      </c>
      <c r="J3768" s="10" t="str">
        <f>VLOOKUP(I3768,Categories!A:B,2,FALSE)</f>
        <v xml:space="preserve">Food &amp; Coff</v>
      </c>
      <c r="K3768" t="s">
        <v>2317</v>
      </c>
      <c r="L3768" s="10" t="str">
        <f>VLOOKUP(K3768,Accounts!A:B,2,FALSE)</f>
        <v xml:space="preserve">Marriage account</v>
      </c>
      <c r="M3768" t="s">
        <v>124</v>
      </c>
      <c r="N3768" s="10"/>
      <c r="O3768" t="s">
        <v>6766</v>
      </c>
      <c r="Q3768" t="s">
        <v>126</v>
      </c>
      <c r="R3768" t="s">
        <v>124</v>
      </c>
      <c r="S3768" t="b">
        <v>0</v>
      </c>
      <c r="T3768" t="s">
        <v>124</v>
      </c>
    </row>
    <row r="3769">
      <c r="A3769" t="s">
        <v>6767</v>
      </c>
      <c r="B3769" t="s">
        <v>6768</v>
      </c>
      <c r="C3769" s="2">
        <v>2021</v>
      </c>
      <c r="D3769" s="10">
        <v>9</v>
      </c>
      <c r="E3769" s="10">
        <v>25</v>
      </c>
      <c r="F3769" t="s">
        <v>121</v>
      </c>
      <c r="G3769">
        <v>154.47999999999999</v>
      </c>
      <c r="H3769" t="s">
        <v>69</v>
      </c>
      <c r="I3769" t="s">
        <v>443</v>
      </c>
      <c r="J3769" s="10" t="str">
        <f>VLOOKUP(I3769,Categories!A:B,2,FALSE)</f>
        <v xml:space="preserve">City SV Interest</v>
      </c>
      <c r="K3769" t="s">
        <v>178</v>
      </c>
      <c r="L3769" s="10" t="str">
        <f>VLOOKUP(K3769,Accounts!A:B,2,FALSE)</f>
        <v>SCB</v>
      </c>
      <c r="M3769" t="s">
        <v>124</v>
      </c>
      <c r="N3769" s="10"/>
      <c r="O3769" t="s">
        <v>125</v>
      </c>
      <c r="Q3769" t="s">
        <v>126</v>
      </c>
      <c r="R3769" t="s">
        <v>124</v>
      </c>
      <c r="S3769" t="b">
        <v>0</v>
      </c>
      <c r="T3769" t="s">
        <v>124</v>
      </c>
    </row>
    <row r="3770">
      <c r="A3770" t="s">
        <v>6769</v>
      </c>
      <c r="B3770" t="s">
        <v>6768</v>
      </c>
      <c r="C3770" s="2">
        <v>2021</v>
      </c>
      <c r="D3770" s="10">
        <v>9</v>
      </c>
      <c r="E3770" s="10">
        <v>25</v>
      </c>
      <c r="F3770" t="s">
        <v>121</v>
      </c>
      <c r="G3770">
        <v>688.60000000000002</v>
      </c>
      <c r="H3770" t="s">
        <v>69</v>
      </c>
      <c r="I3770" t="s">
        <v>199</v>
      </c>
      <c r="J3770" s="10" t="str">
        <f>VLOOKUP(I3770,Categories!A:B,2,FALSE)</f>
        <v xml:space="preserve">Home Chomthong Interest</v>
      </c>
      <c r="K3770" t="s">
        <v>178</v>
      </c>
      <c r="L3770" s="10" t="str">
        <f>VLOOKUP(K3770,Accounts!A:B,2,FALSE)</f>
        <v>SCB</v>
      </c>
      <c r="M3770" t="s">
        <v>124</v>
      </c>
      <c r="N3770" s="10"/>
      <c r="O3770" t="s">
        <v>125</v>
      </c>
      <c r="Q3770" t="s">
        <v>126</v>
      </c>
      <c r="R3770" t="s">
        <v>124</v>
      </c>
      <c r="S3770" t="b">
        <v>0</v>
      </c>
      <c r="T3770" t="s">
        <v>124</v>
      </c>
    </row>
    <row r="3771">
      <c r="A3771" t="s">
        <v>6770</v>
      </c>
      <c r="B3771" t="s">
        <v>6768</v>
      </c>
      <c r="C3771" s="2">
        <v>2021</v>
      </c>
      <c r="D3771" s="10">
        <v>9</v>
      </c>
      <c r="E3771" s="10">
        <v>25</v>
      </c>
      <c r="F3771" t="s">
        <v>121</v>
      </c>
      <c r="G3771">
        <v>9240</v>
      </c>
      <c r="H3771" t="s">
        <v>128</v>
      </c>
      <c r="I3771" t="s">
        <v>136</v>
      </c>
      <c r="J3771" s="10" t="str">
        <f>VLOOKUP(I3771,Categories!A:B,2,FALSE)</f>
        <v>อื่นๆ</v>
      </c>
      <c r="K3771" t="s">
        <v>178</v>
      </c>
      <c r="L3771" s="10" t="str">
        <f>VLOOKUP(K3771,Accounts!A:B,2,FALSE)</f>
        <v>SCB</v>
      </c>
      <c r="M3771" t="s">
        <v>1246</v>
      </c>
      <c r="N3771" s="10" t="str">
        <f>VLOOKUP(M3771,Accounts!A:B,2,FALSE)</f>
        <v xml:space="preserve">Car Loan</v>
      </c>
      <c r="O3771" t="s">
        <v>125</v>
      </c>
      <c r="Q3771" t="s">
        <v>126</v>
      </c>
      <c r="R3771" t="s">
        <v>124</v>
      </c>
      <c r="S3771" t="b">
        <v>0</v>
      </c>
      <c r="T3771" t="s">
        <v>124</v>
      </c>
    </row>
    <row r="3772">
      <c r="A3772" t="s">
        <v>6771</v>
      </c>
      <c r="B3772" t="s">
        <v>6768</v>
      </c>
      <c r="C3772" s="2">
        <v>2021</v>
      </c>
      <c r="D3772" s="10">
        <v>9</v>
      </c>
      <c r="E3772" s="10">
        <v>25</v>
      </c>
      <c r="F3772" t="s">
        <v>121</v>
      </c>
      <c r="G3772">
        <v>1917.8</v>
      </c>
      <c r="H3772" t="s">
        <v>128</v>
      </c>
      <c r="I3772" t="s">
        <v>136</v>
      </c>
      <c r="J3772" s="10" t="str">
        <f>VLOOKUP(I3772,Categories!A:B,2,FALSE)</f>
        <v>อื่นๆ</v>
      </c>
      <c r="K3772" t="s">
        <v>178</v>
      </c>
      <c r="L3772" s="10" t="str">
        <f>VLOOKUP(K3772,Accounts!A:B,2,FALSE)</f>
        <v>SCB</v>
      </c>
      <c r="M3772" t="s">
        <v>203</v>
      </c>
      <c r="N3772" s="10" t="str">
        <f>VLOOKUP(M3772,Accounts!A:B,2,FALSE)</f>
        <v xml:space="preserve">Provident Fund</v>
      </c>
      <c r="O3772" t="s">
        <v>125</v>
      </c>
      <c r="Q3772" t="s">
        <v>126</v>
      </c>
      <c r="R3772" t="s">
        <v>124</v>
      </c>
      <c r="S3772" t="b">
        <v>0</v>
      </c>
      <c r="T3772" t="s">
        <v>124</v>
      </c>
    </row>
    <row r="3773">
      <c r="A3773" t="s">
        <v>6772</v>
      </c>
      <c r="B3773" t="s">
        <v>6768</v>
      </c>
      <c r="C3773" s="2">
        <v>2021</v>
      </c>
      <c r="D3773" s="10">
        <v>9</v>
      </c>
      <c r="E3773" s="10">
        <v>25</v>
      </c>
      <c r="F3773" t="s">
        <v>121</v>
      </c>
      <c r="G3773">
        <v>95890</v>
      </c>
      <c r="H3773" t="s">
        <v>206</v>
      </c>
      <c r="I3773" t="s">
        <v>207</v>
      </c>
      <c r="J3773" s="10" t="str">
        <f>VLOOKUP(I3773,Categories!A:B,2,FALSE)</f>
        <v>Salary</v>
      </c>
      <c r="K3773" t="s">
        <v>178</v>
      </c>
      <c r="L3773" s="10" t="str">
        <f>VLOOKUP(K3773,Accounts!A:B,2,FALSE)</f>
        <v>SCB</v>
      </c>
      <c r="M3773" t="s">
        <v>124</v>
      </c>
      <c r="N3773" s="10"/>
      <c r="O3773" t="s">
        <v>125</v>
      </c>
      <c r="Q3773" t="s">
        <v>126</v>
      </c>
      <c r="R3773" t="s">
        <v>124</v>
      </c>
      <c r="S3773" t="b">
        <v>0</v>
      </c>
      <c r="T3773" t="s">
        <v>124</v>
      </c>
    </row>
    <row r="3774">
      <c r="A3774" t="s">
        <v>6773</v>
      </c>
      <c r="B3774" t="s">
        <v>6768</v>
      </c>
      <c r="C3774" s="2">
        <v>2021</v>
      </c>
      <c r="D3774" s="10">
        <v>9</v>
      </c>
      <c r="E3774" s="10">
        <v>25</v>
      </c>
      <c r="F3774" t="s">
        <v>121</v>
      </c>
      <c r="G3774">
        <v>6665</v>
      </c>
      <c r="H3774" t="s">
        <v>128</v>
      </c>
      <c r="I3774" t="s">
        <v>136</v>
      </c>
      <c r="J3774" s="10" t="str">
        <f>VLOOKUP(I3774,Categories!A:B,2,FALSE)</f>
        <v>อื่นๆ</v>
      </c>
      <c r="K3774" t="s">
        <v>178</v>
      </c>
      <c r="L3774" s="10" t="str">
        <f>VLOOKUP(K3774,Accounts!A:B,2,FALSE)</f>
        <v>SCB</v>
      </c>
      <c r="M3774" t="s">
        <v>1244</v>
      </c>
      <c r="N3774" s="10" t="str">
        <f>VLOOKUP(M3774,Accounts!A:B,2,FALSE)</f>
        <v xml:space="preserve">Home chomthong Loan</v>
      </c>
      <c r="O3774" t="s">
        <v>125</v>
      </c>
      <c r="Q3774" t="s">
        <v>126</v>
      </c>
      <c r="R3774" t="s">
        <v>124</v>
      </c>
      <c r="S3774" t="b">
        <v>0</v>
      </c>
      <c r="T3774" t="s">
        <v>124</v>
      </c>
    </row>
    <row r="3775">
      <c r="A3775" t="s">
        <v>6774</v>
      </c>
      <c r="B3775" t="s">
        <v>6768</v>
      </c>
      <c r="C3775" s="2">
        <v>2021</v>
      </c>
      <c r="D3775" s="10">
        <v>9</v>
      </c>
      <c r="E3775" s="10">
        <v>25</v>
      </c>
      <c r="F3775" t="s">
        <v>121</v>
      </c>
      <c r="G3775">
        <v>500</v>
      </c>
      <c r="H3775" t="s">
        <v>128</v>
      </c>
      <c r="I3775" t="s">
        <v>136</v>
      </c>
      <c r="J3775" s="10" t="str">
        <f>VLOOKUP(I3775,Categories!A:B,2,FALSE)</f>
        <v>อื่นๆ</v>
      </c>
      <c r="K3775" t="s">
        <v>178</v>
      </c>
      <c r="L3775" s="10" t="str">
        <f>VLOOKUP(K3775,Accounts!A:B,2,FALSE)</f>
        <v>SCB</v>
      </c>
      <c r="M3775" t="s">
        <v>201</v>
      </c>
      <c r="N3775" s="10" t="str">
        <f>VLOOKUP(M3775,Accounts!A:B,2,FALSE)</f>
        <v>Coop</v>
      </c>
      <c r="O3775" t="s">
        <v>125</v>
      </c>
      <c r="Q3775" t="s">
        <v>126</v>
      </c>
      <c r="R3775" t="s">
        <v>124</v>
      </c>
      <c r="S3775" t="b">
        <v>0</v>
      </c>
      <c r="T3775" t="s">
        <v>124</v>
      </c>
    </row>
    <row r="3776">
      <c r="A3776" t="s">
        <v>6775</v>
      </c>
      <c r="B3776" t="s">
        <v>6768</v>
      </c>
      <c r="C3776" s="2">
        <v>2021</v>
      </c>
      <c r="D3776" s="10">
        <v>9</v>
      </c>
      <c r="E3776" s="10">
        <v>25</v>
      </c>
      <c r="F3776" t="s">
        <v>6653</v>
      </c>
      <c r="G3776">
        <v>180</v>
      </c>
      <c r="H3776" t="s">
        <v>69</v>
      </c>
      <c r="I3776" t="s">
        <v>150</v>
      </c>
      <c r="J3776" s="10" t="str">
        <f>VLOOKUP(I3776,Categories!A:B,2,FALSE)</f>
        <v xml:space="preserve">Food &amp; Coff</v>
      </c>
      <c r="K3776" t="s">
        <v>2317</v>
      </c>
      <c r="L3776" s="10" t="str">
        <f>VLOOKUP(K3776,Accounts!A:B,2,FALSE)</f>
        <v xml:space="preserve">Marriage account</v>
      </c>
      <c r="M3776" t="s">
        <v>124</v>
      </c>
      <c r="N3776" s="10"/>
      <c r="O3776" t="s">
        <v>6776</v>
      </c>
      <c r="Q3776" t="s">
        <v>126</v>
      </c>
      <c r="R3776" t="s">
        <v>124</v>
      </c>
      <c r="S3776" t="b">
        <v>0</v>
      </c>
      <c r="T3776" t="s">
        <v>124</v>
      </c>
    </row>
    <row r="3777">
      <c r="A3777" t="s">
        <v>6777</v>
      </c>
      <c r="B3777" t="s">
        <v>6768</v>
      </c>
      <c r="C3777" s="2">
        <v>2021</v>
      </c>
      <c r="D3777" s="10">
        <v>9</v>
      </c>
      <c r="E3777" s="10">
        <v>25</v>
      </c>
      <c r="F3777" t="s">
        <v>2909</v>
      </c>
      <c r="G3777">
        <v>200</v>
      </c>
      <c r="H3777" t="s">
        <v>128</v>
      </c>
      <c r="I3777" t="s">
        <v>136</v>
      </c>
      <c r="J3777" s="10" t="str">
        <f>VLOOKUP(I3777,Categories!A:B,2,FALSE)</f>
        <v>อื่นๆ</v>
      </c>
      <c r="K3777" t="s">
        <v>5552</v>
      </c>
      <c r="L3777" s="10" t="str">
        <f>VLOOKUP(K3777,Accounts!A:B,2,FALSE)</f>
        <v xml:space="preserve">Kbank BLUECARD</v>
      </c>
      <c r="M3777" t="s">
        <v>425</v>
      </c>
      <c r="N3777" s="10" t="str">
        <f>VLOOKUP(M3777,Accounts!A:B,2,FALSE)</f>
        <v>Cash</v>
      </c>
      <c r="O3777" t="s">
        <v>125</v>
      </c>
      <c r="Q3777" t="s">
        <v>126</v>
      </c>
      <c r="R3777" t="s">
        <v>124</v>
      </c>
      <c r="S3777" t="b">
        <v>0</v>
      </c>
      <c r="T3777" t="s">
        <v>124</v>
      </c>
    </row>
    <row r="3778">
      <c r="A3778" t="s">
        <v>6778</v>
      </c>
      <c r="B3778" t="s">
        <v>6768</v>
      </c>
      <c r="C3778" s="2">
        <v>2021</v>
      </c>
      <c r="D3778" s="10">
        <v>9</v>
      </c>
      <c r="E3778" s="10">
        <v>25</v>
      </c>
      <c r="F3778" t="s">
        <v>4060</v>
      </c>
      <c r="G3778">
        <v>168</v>
      </c>
      <c r="H3778" t="s">
        <v>69</v>
      </c>
      <c r="I3778" t="s">
        <v>150</v>
      </c>
      <c r="J3778" s="10" t="str">
        <f>VLOOKUP(I3778,Categories!A:B,2,FALSE)</f>
        <v xml:space="preserve">Food &amp; Coff</v>
      </c>
      <c r="K3778" t="s">
        <v>2317</v>
      </c>
      <c r="L3778" s="10" t="str">
        <f>VLOOKUP(K3778,Accounts!A:B,2,FALSE)</f>
        <v xml:space="preserve">Marriage account</v>
      </c>
      <c r="M3778" t="s">
        <v>124</v>
      </c>
      <c r="N3778" s="10"/>
      <c r="O3778" t="s">
        <v>6779</v>
      </c>
      <c r="Q3778" t="s">
        <v>126</v>
      </c>
      <c r="R3778" t="s">
        <v>124</v>
      </c>
      <c r="S3778" t="b">
        <v>0</v>
      </c>
      <c r="T3778" t="s">
        <v>124</v>
      </c>
    </row>
    <row r="3779">
      <c r="A3779" t="s">
        <v>6780</v>
      </c>
      <c r="B3779" t="s">
        <v>6768</v>
      </c>
      <c r="C3779" s="2">
        <v>2021</v>
      </c>
      <c r="D3779" s="10">
        <v>9</v>
      </c>
      <c r="E3779" s="10">
        <v>25</v>
      </c>
      <c r="F3779" t="s">
        <v>1193</v>
      </c>
      <c r="G3779">
        <v>303</v>
      </c>
      <c r="H3779" t="s">
        <v>69</v>
      </c>
      <c r="I3779" t="s">
        <v>1679</v>
      </c>
      <c r="J3779" s="10" t="str">
        <f>VLOOKUP(I3779,Categories!A:B,2,FALSE)</f>
        <v xml:space="preserve">Condo stuff</v>
      </c>
      <c r="K3779" t="s">
        <v>893</v>
      </c>
      <c r="L3779" s="10" t="str">
        <f>VLOOKUP(K3779,Accounts!A:B,2,FALSE)</f>
        <v>Shopee</v>
      </c>
      <c r="M3779" t="s">
        <v>124</v>
      </c>
      <c r="N3779" s="10"/>
      <c r="O3779" t="s">
        <v>125</v>
      </c>
      <c r="Q3779" t="s">
        <v>126</v>
      </c>
      <c r="R3779" t="s">
        <v>124</v>
      </c>
      <c r="S3779" t="b">
        <v>0</v>
      </c>
      <c r="T3779" t="s">
        <v>124</v>
      </c>
    </row>
    <row r="3780">
      <c r="A3780" t="s">
        <v>6781</v>
      </c>
      <c r="B3780" t="s">
        <v>6782</v>
      </c>
      <c r="C3780" s="2">
        <v>2021</v>
      </c>
      <c r="D3780" s="10">
        <v>9</v>
      </c>
      <c r="E3780" s="10">
        <v>24</v>
      </c>
      <c r="F3780" t="s">
        <v>431</v>
      </c>
      <c r="G3780">
        <v>45</v>
      </c>
      <c r="H3780" t="s">
        <v>69</v>
      </c>
      <c r="I3780" t="s">
        <v>150</v>
      </c>
      <c r="J3780" s="10" t="str">
        <f>VLOOKUP(I3780,Categories!A:B,2,FALSE)</f>
        <v xml:space="preserve">Food &amp; Coff</v>
      </c>
      <c r="K3780" t="s">
        <v>425</v>
      </c>
      <c r="L3780" s="10" t="str">
        <f>VLOOKUP(K3780,Accounts!A:B,2,FALSE)</f>
        <v>Cash</v>
      </c>
      <c r="M3780" t="s">
        <v>124</v>
      </c>
      <c r="N3780" s="10"/>
      <c r="O3780" t="s">
        <v>6419</v>
      </c>
      <c r="Q3780" t="s">
        <v>126</v>
      </c>
      <c r="R3780" t="s">
        <v>124</v>
      </c>
      <c r="S3780" t="b">
        <v>0</v>
      </c>
      <c r="T3780" t="s">
        <v>124</v>
      </c>
    </row>
    <row r="3781">
      <c r="A3781" t="s">
        <v>6783</v>
      </c>
      <c r="B3781" t="s">
        <v>6782</v>
      </c>
      <c r="C3781" s="2">
        <v>2021</v>
      </c>
      <c r="D3781" s="10">
        <v>9</v>
      </c>
      <c r="E3781" s="10">
        <v>24</v>
      </c>
      <c r="F3781" t="s">
        <v>424</v>
      </c>
      <c r="G3781">
        <v>509</v>
      </c>
      <c r="H3781" t="s">
        <v>128</v>
      </c>
      <c r="I3781" t="s">
        <v>136</v>
      </c>
      <c r="J3781" s="10" t="str">
        <f>VLOOKUP(I3781,Categories!A:B,2,FALSE)</f>
        <v>อื่นๆ</v>
      </c>
      <c r="K3781" t="s">
        <v>425</v>
      </c>
      <c r="L3781" s="10" t="str">
        <f>VLOOKUP(K3781,Accounts!A:B,2,FALSE)</f>
        <v>Cash</v>
      </c>
      <c r="M3781" t="s">
        <v>178</v>
      </c>
      <c r="N3781" s="10" t="str">
        <f>VLOOKUP(M3781,Accounts!A:B,2,FALSE)</f>
        <v>SCB</v>
      </c>
      <c r="O3781" t="s">
        <v>125</v>
      </c>
      <c r="Q3781" t="s">
        <v>126</v>
      </c>
      <c r="R3781" t="s">
        <v>124</v>
      </c>
      <c r="S3781" t="b">
        <v>0</v>
      </c>
      <c r="T3781" t="s">
        <v>124</v>
      </c>
    </row>
    <row r="3782">
      <c r="A3782" t="s">
        <v>6784</v>
      </c>
      <c r="B3782" t="s">
        <v>6782</v>
      </c>
      <c r="C3782" s="2">
        <v>2021</v>
      </c>
      <c r="D3782" s="10">
        <v>9</v>
      </c>
      <c r="E3782" s="10">
        <v>24</v>
      </c>
      <c r="F3782" t="s">
        <v>424</v>
      </c>
      <c r="G3782">
        <v>509</v>
      </c>
      <c r="H3782" t="s">
        <v>69</v>
      </c>
      <c r="I3782" t="s">
        <v>150</v>
      </c>
      <c r="J3782" s="10" t="str">
        <f>VLOOKUP(I3782,Categories!A:B,2,FALSE)</f>
        <v xml:space="preserve">Food &amp; Coff</v>
      </c>
      <c r="K3782" t="s">
        <v>2317</v>
      </c>
      <c r="L3782" s="10" t="str">
        <f>VLOOKUP(K3782,Accounts!A:B,2,FALSE)</f>
        <v xml:space="preserve">Marriage account</v>
      </c>
      <c r="M3782" t="s">
        <v>124</v>
      </c>
      <c r="N3782" s="10"/>
      <c r="O3782" t="s">
        <v>3328</v>
      </c>
      <c r="Q3782" t="s">
        <v>126</v>
      </c>
      <c r="R3782" t="s">
        <v>124</v>
      </c>
      <c r="S3782" t="b">
        <v>0</v>
      </c>
      <c r="T3782" t="s">
        <v>124</v>
      </c>
    </row>
    <row r="3783">
      <c r="A3783" t="s">
        <v>6785</v>
      </c>
      <c r="B3783" t="s">
        <v>6782</v>
      </c>
      <c r="C3783" s="2">
        <v>2021</v>
      </c>
      <c r="D3783" s="10">
        <v>9</v>
      </c>
      <c r="E3783" s="10">
        <v>24</v>
      </c>
      <c r="F3783" t="s">
        <v>551</v>
      </c>
      <c r="G3783">
        <v>372</v>
      </c>
      <c r="H3783" t="s">
        <v>128</v>
      </c>
      <c r="I3783" t="s">
        <v>136</v>
      </c>
      <c r="J3783" s="10" t="str">
        <f>VLOOKUP(I3783,Categories!A:B,2,FALSE)</f>
        <v>อื่นๆ</v>
      </c>
      <c r="K3783" t="s">
        <v>5806</v>
      </c>
      <c r="L3783" s="10" t="str">
        <f>VLOOKUP(K3783,Accounts!A:B,2,FALSE)</f>
        <v>Grabpay</v>
      </c>
      <c r="M3783" t="s">
        <v>178</v>
      </c>
      <c r="N3783" s="10" t="str">
        <f>VLOOKUP(M3783,Accounts!A:B,2,FALSE)</f>
        <v>SCB</v>
      </c>
      <c r="O3783" t="s">
        <v>6786</v>
      </c>
      <c r="Q3783" t="s">
        <v>126</v>
      </c>
      <c r="R3783" t="s">
        <v>124</v>
      </c>
      <c r="S3783" t="b">
        <v>0</v>
      </c>
      <c r="T3783" t="s">
        <v>124</v>
      </c>
    </row>
    <row r="3784">
      <c r="A3784" t="s">
        <v>6787</v>
      </c>
      <c r="B3784" t="s">
        <v>6782</v>
      </c>
      <c r="C3784" s="2">
        <v>2021</v>
      </c>
      <c r="D3784" s="10">
        <v>9</v>
      </c>
      <c r="E3784" s="10">
        <v>24</v>
      </c>
      <c r="F3784" t="s">
        <v>573</v>
      </c>
      <c r="G3784">
        <v>400</v>
      </c>
      <c r="H3784" t="s">
        <v>128</v>
      </c>
      <c r="I3784" t="s">
        <v>136</v>
      </c>
      <c r="J3784" s="10" t="str">
        <f>VLOOKUP(I3784,Categories!A:B,2,FALSE)</f>
        <v>อื่นๆ</v>
      </c>
      <c r="K3784" t="s">
        <v>5803</v>
      </c>
      <c r="L3784" s="10" t="str">
        <f>VLOOKUP(K3784,Accounts!A:B,2,FALSE)</f>
        <v>grabvoucher</v>
      </c>
      <c r="M3784" t="s">
        <v>178</v>
      </c>
      <c r="N3784" s="10" t="str">
        <f>VLOOKUP(M3784,Accounts!A:B,2,FALSE)</f>
        <v>SCB</v>
      </c>
      <c r="O3784" t="s">
        <v>125</v>
      </c>
      <c r="Q3784" t="s">
        <v>126</v>
      </c>
      <c r="R3784" t="s">
        <v>124</v>
      </c>
      <c r="S3784" t="b">
        <v>0</v>
      </c>
      <c r="T3784" t="s">
        <v>124</v>
      </c>
    </row>
    <row r="3785">
      <c r="A3785" t="s">
        <v>6788</v>
      </c>
      <c r="B3785" t="s">
        <v>6782</v>
      </c>
      <c r="C3785" s="2">
        <v>2021</v>
      </c>
      <c r="D3785" s="10">
        <v>9</v>
      </c>
      <c r="E3785" s="10">
        <v>24</v>
      </c>
      <c r="F3785" t="s">
        <v>804</v>
      </c>
      <c r="G3785">
        <v>1236.75</v>
      </c>
      <c r="H3785" t="s">
        <v>69</v>
      </c>
      <c r="I3785" t="s">
        <v>3504</v>
      </c>
      <c r="J3785" s="10" t="str">
        <f>VLOOKUP(I3785,Categories!A:B,2,FALSE)</f>
        <v xml:space="preserve">Condo suppliers</v>
      </c>
      <c r="K3785" t="s">
        <v>2317</v>
      </c>
      <c r="L3785" s="10" t="str">
        <f>VLOOKUP(K3785,Accounts!A:B,2,FALSE)</f>
        <v xml:space="preserve">Marriage account</v>
      </c>
      <c r="M3785" t="s">
        <v>124</v>
      </c>
      <c r="N3785" s="10"/>
      <c r="O3785" t="s">
        <v>6584</v>
      </c>
      <c r="Q3785" t="s">
        <v>126</v>
      </c>
      <c r="R3785" t="s">
        <v>124</v>
      </c>
      <c r="S3785" t="b">
        <v>0</v>
      </c>
      <c r="T3785" t="s">
        <v>124</v>
      </c>
    </row>
    <row r="3786">
      <c r="A3786" t="s">
        <v>6789</v>
      </c>
      <c r="B3786" t="s">
        <v>6790</v>
      </c>
      <c r="C3786" s="2">
        <v>2021</v>
      </c>
      <c r="D3786" s="10">
        <v>9</v>
      </c>
      <c r="E3786" s="10">
        <v>23</v>
      </c>
      <c r="F3786" t="s">
        <v>431</v>
      </c>
      <c r="G3786">
        <v>50</v>
      </c>
      <c r="H3786" t="s">
        <v>69</v>
      </c>
      <c r="I3786" t="s">
        <v>150</v>
      </c>
      <c r="J3786" s="10" t="str">
        <f>VLOOKUP(I3786,Categories!A:B,2,FALSE)</f>
        <v xml:space="preserve">Food &amp; Coff</v>
      </c>
      <c r="K3786" t="s">
        <v>2317</v>
      </c>
      <c r="L3786" s="10" t="str">
        <f>VLOOKUP(K3786,Accounts!A:B,2,FALSE)</f>
        <v xml:space="preserve">Marriage account</v>
      </c>
      <c r="M3786" t="s">
        <v>124</v>
      </c>
      <c r="N3786" s="10"/>
      <c r="O3786" t="s">
        <v>125</v>
      </c>
      <c r="Q3786" t="s">
        <v>126</v>
      </c>
      <c r="R3786" t="s">
        <v>124</v>
      </c>
      <c r="S3786" t="b">
        <v>0</v>
      </c>
      <c r="T3786" t="s">
        <v>124</v>
      </c>
    </row>
    <row r="3787">
      <c r="A3787" t="s">
        <v>6791</v>
      </c>
      <c r="B3787" t="s">
        <v>6790</v>
      </c>
      <c r="C3787" s="2">
        <v>2021</v>
      </c>
      <c r="D3787" s="10">
        <v>9</v>
      </c>
      <c r="E3787" s="10">
        <v>23</v>
      </c>
      <c r="F3787" t="s">
        <v>431</v>
      </c>
      <c r="G3787">
        <v>105</v>
      </c>
      <c r="H3787" t="s">
        <v>69</v>
      </c>
      <c r="I3787" t="s">
        <v>150</v>
      </c>
      <c r="J3787" s="10" t="str">
        <f>VLOOKUP(I3787,Categories!A:B,2,FALSE)</f>
        <v xml:space="preserve">Food &amp; Coff</v>
      </c>
      <c r="K3787" t="s">
        <v>2317</v>
      </c>
      <c r="L3787" s="10" t="str">
        <f>VLOOKUP(K3787,Accounts!A:B,2,FALSE)</f>
        <v xml:space="preserve">Marriage account</v>
      </c>
      <c r="M3787" t="s">
        <v>124</v>
      </c>
      <c r="N3787" s="10"/>
      <c r="O3787" t="s">
        <v>6792</v>
      </c>
      <c r="Q3787" t="s">
        <v>126</v>
      </c>
      <c r="R3787" t="s">
        <v>124</v>
      </c>
      <c r="S3787" t="b">
        <v>0</v>
      </c>
      <c r="T3787" t="s">
        <v>124</v>
      </c>
    </row>
    <row r="3788">
      <c r="A3788" t="s">
        <v>6793</v>
      </c>
      <c r="B3788" t="s">
        <v>6794</v>
      </c>
      <c r="C3788" s="2">
        <v>2021</v>
      </c>
      <c r="D3788" s="10">
        <v>9</v>
      </c>
      <c r="E3788" s="10">
        <v>22</v>
      </c>
      <c r="F3788" t="s">
        <v>3203</v>
      </c>
      <c r="G3788">
        <v>110</v>
      </c>
      <c r="H3788" t="s">
        <v>69</v>
      </c>
      <c r="I3788" t="s">
        <v>150</v>
      </c>
      <c r="J3788" s="10" t="str">
        <f>VLOOKUP(I3788,Categories!A:B,2,FALSE)</f>
        <v xml:space="preserve">Food &amp; Coff</v>
      </c>
      <c r="K3788" t="s">
        <v>2317</v>
      </c>
      <c r="L3788" s="10" t="str">
        <f>VLOOKUP(K3788,Accounts!A:B,2,FALSE)</f>
        <v xml:space="preserve">Marriage account</v>
      </c>
      <c r="M3788" t="s">
        <v>124</v>
      </c>
      <c r="N3788" s="10"/>
      <c r="O3788" t="s">
        <v>6565</v>
      </c>
      <c r="Q3788" t="s">
        <v>126</v>
      </c>
      <c r="R3788" t="s">
        <v>124</v>
      </c>
      <c r="S3788" t="b">
        <v>0</v>
      </c>
      <c r="T3788" t="s">
        <v>124</v>
      </c>
    </row>
    <row r="3789">
      <c r="A3789" t="s">
        <v>6795</v>
      </c>
      <c r="B3789" t="s">
        <v>6796</v>
      </c>
      <c r="C3789" s="2">
        <v>2021</v>
      </c>
      <c r="D3789" s="10">
        <v>9</v>
      </c>
      <c r="E3789" s="10">
        <v>21</v>
      </c>
      <c r="F3789" t="s">
        <v>4267</v>
      </c>
      <c r="G3789">
        <v>310</v>
      </c>
      <c r="H3789" t="s">
        <v>69</v>
      </c>
      <c r="I3789" t="s">
        <v>150</v>
      </c>
      <c r="J3789" s="10" t="str">
        <f>VLOOKUP(I3789,Categories!A:B,2,FALSE)</f>
        <v xml:space="preserve">Food &amp; Coff</v>
      </c>
      <c r="K3789" t="s">
        <v>2317</v>
      </c>
      <c r="L3789" s="10" t="str">
        <f>VLOOKUP(K3789,Accounts!A:B,2,FALSE)</f>
        <v xml:space="preserve">Marriage account</v>
      </c>
      <c r="M3789" t="s">
        <v>124</v>
      </c>
      <c r="N3789" s="10"/>
      <c r="O3789" t="s">
        <v>6797</v>
      </c>
      <c r="Q3789" t="s">
        <v>126</v>
      </c>
      <c r="R3789" t="s">
        <v>124</v>
      </c>
      <c r="S3789" t="b">
        <v>0</v>
      </c>
      <c r="T3789" t="s">
        <v>124</v>
      </c>
    </row>
    <row r="3790">
      <c r="A3790" t="s">
        <v>6798</v>
      </c>
      <c r="B3790" t="s">
        <v>6799</v>
      </c>
      <c r="C3790" s="2">
        <v>2021</v>
      </c>
      <c r="D3790" s="10">
        <v>9</v>
      </c>
      <c r="E3790" s="10">
        <v>20</v>
      </c>
      <c r="F3790" t="s">
        <v>4704</v>
      </c>
      <c r="G3790">
        <v>123</v>
      </c>
      <c r="H3790" t="s">
        <v>69</v>
      </c>
      <c r="I3790" t="s">
        <v>150</v>
      </c>
      <c r="J3790" s="10" t="str">
        <f>VLOOKUP(I3790,Categories!A:B,2,FALSE)</f>
        <v xml:space="preserve">Food &amp; Coff</v>
      </c>
      <c r="K3790" t="s">
        <v>2317</v>
      </c>
      <c r="L3790" s="10" t="str">
        <f>VLOOKUP(K3790,Accounts!A:B,2,FALSE)</f>
        <v xml:space="preserve">Marriage account</v>
      </c>
      <c r="M3790" t="s">
        <v>124</v>
      </c>
      <c r="N3790" s="10"/>
      <c r="O3790" t="s">
        <v>6419</v>
      </c>
      <c r="Q3790" t="s">
        <v>126</v>
      </c>
      <c r="R3790" t="s">
        <v>124</v>
      </c>
      <c r="S3790" t="b">
        <v>0</v>
      </c>
      <c r="T3790" t="s">
        <v>124</v>
      </c>
    </row>
    <row r="3791">
      <c r="A3791" t="s">
        <v>6800</v>
      </c>
      <c r="B3791" t="s">
        <v>6799</v>
      </c>
      <c r="C3791" s="2">
        <v>2021</v>
      </c>
      <c r="D3791" s="10">
        <v>9</v>
      </c>
      <c r="E3791" s="10">
        <v>20</v>
      </c>
      <c r="F3791" t="s">
        <v>4244</v>
      </c>
      <c r="G3791">
        <v>14401.5</v>
      </c>
      <c r="H3791" t="s">
        <v>69</v>
      </c>
      <c r="I3791" t="s">
        <v>1508</v>
      </c>
      <c r="J3791" s="10" t="str">
        <f>VLOOKUP(I3791,Categories!A:B,2,FALSE)</f>
        <v>Other</v>
      </c>
      <c r="K3791" t="s">
        <v>1308</v>
      </c>
      <c r="L3791" s="10" t="str">
        <f>VLOOKUP(K3791,Accounts!A:B,2,FALSE)</f>
        <v xml:space="preserve">UOB Privilages</v>
      </c>
      <c r="M3791" t="s">
        <v>124</v>
      </c>
      <c r="N3791" s="10"/>
      <c r="O3791" t="s">
        <v>6801</v>
      </c>
      <c r="Q3791" t="s">
        <v>126</v>
      </c>
      <c r="R3791" t="s">
        <v>124</v>
      </c>
      <c r="S3791" t="b">
        <v>0</v>
      </c>
      <c r="T3791" t="s">
        <v>124</v>
      </c>
    </row>
    <row r="3792">
      <c r="A3792" t="s">
        <v>6802</v>
      </c>
      <c r="B3792" t="s">
        <v>6799</v>
      </c>
      <c r="C3792" s="2">
        <v>2021</v>
      </c>
      <c r="D3792" s="10">
        <v>9</v>
      </c>
      <c r="E3792" s="10">
        <v>20</v>
      </c>
      <c r="F3792" t="s">
        <v>3035</v>
      </c>
      <c r="G3792">
        <v>167</v>
      </c>
      <c r="H3792" t="s">
        <v>69</v>
      </c>
      <c r="I3792" t="s">
        <v>150</v>
      </c>
      <c r="J3792" s="10" t="str">
        <f>VLOOKUP(I3792,Categories!A:B,2,FALSE)</f>
        <v xml:space="preserve">Food &amp; Coff</v>
      </c>
      <c r="K3792" t="s">
        <v>2317</v>
      </c>
      <c r="L3792" s="10" t="str">
        <f>VLOOKUP(K3792,Accounts!A:B,2,FALSE)</f>
        <v xml:space="preserve">Marriage account</v>
      </c>
      <c r="M3792" t="s">
        <v>124</v>
      </c>
      <c r="N3792" s="10"/>
      <c r="O3792" t="s">
        <v>6803</v>
      </c>
      <c r="Q3792" t="s">
        <v>126</v>
      </c>
      <c r="R3792" t="s">
        <v>124</v>
      </c>
      <c r="S3792" t="b">
        <v>0</v>
      </c>
      <c r="T3792" t="s">
        <v>124</v>
      </c>
    </row>
    <row r="3793">
      <c r="A3793" t="s">
        <v>6804</v>
      </c>
      <c r="B3793" t="s">
        <v>6799</v>
      </c>
      <c r="C3793" s="2">
        <v>2021</v>
      </c>
      <c r="D3793" s="10">
        <v>9</v>
      </c>
      <c r="E3793" s="10">
        <v>20</v>
      </c>
      <c r="F3793" t="s">
        <v>3035</v>
      </c>
      <c r="G3793">
        <v>172</v>
      </c>
      <c r="H3793" t="s">
        <v>69</v>
      </c>
      <c r="I3793" t="s">
        <v>150</v>
      </c>
      <c r="J3793" s="10" t="str">
        <f>VLOOKUP(I3793,Categories!A:B,2,FALSE)</f>
        <v xml:space="preserve">Food &amp; Coff</v>
      </c>
      <c r="K3793" t="s">
        <v>2317</v>
      </c>
      <c r="L3793" s="10" t="str">
        <f>VLOOKUP(K3793,Accounts!A:B,2,FALSE)</f>
        <v xml:space="preserve">Marriage account</v>
      </c>
      <c r="M3793" t="s">
        <v>124</v>
      </c>
      <c r="N3793" s="10"/>
      <c r="O3793" t="s">
        <v>4111</v>
      </c>
      <c r="Q3793" t="s">
        <v>126</v>
      </c>
      <c r="R3793" t="s">
        <v>124</v>
      </c>
      <c r="S3793" t="b">
        <v>0</v>
      </c>
      <c r="T3793" t="s">
        <v>124</v>
      </c>
    </row>
    <row r="3794">
      <c r="A3794" t="s">
        <v>6805</v>
      </c>
      <c r="B3794" t="s">
        <v>6806</v>
      </c>
      <c r="C3794" s="2">
        <v>2021</v>
      </c>
      <c r="D3794" s="10">
        <v>9</v>
      </c>
      <c r="E3794" s="10">
        <v>18</v>
      </c>
      <c r="F3794" t="s">
        <v>5093</v>
      </c>
      <c r="G3794">
        <v>167</v>
      </c>
      <c r="H3794" t="s">
        <v>69</v>
      </c>
      <c r="I3794" t="s">
        <v>150</v>
      </c>
      <c r="J3794" s="10" t="str">
        <f>VLOOKUP(I3794,Categories!A:B,2,FALSE)</f>
        <v xml:space="preserve">Food &amp; Coff</v>
      </c>
      <c r="K3794" t="s">
        <v>2317</v>
      </c>
      <c r="L3794" s="10" t="str">
        <f>VLOOKUP(K3794,Accounts!A:B,2,FALSE)</f>
        <v xml:space="preserve">Marriage account</v>
      </c>
      <c r="M3794" t="s">
        <v>124</v>
      </c>
      <c r="N3794" s="10"/>
      <c r="O3794" t="s">
        <v>6807</v>
      </c>
      <c r="Q3794" t="s">
        <v>126</v>
      </c>
      <c r="R3794" t="s">
        <v>124</v>
      </c>
      <c r="S3794" t="b">
        <v>0</v>
      </c>
      <c r="T3794" t="s">
        <v>124</v>
      </c>
    </row>
    <row r="3795">
      <c r="A3795" t="s">
        <v>6808</v>
      </c>
      <c r="B3795" t="s">
        <v>6806</v>
      </c>
      <c r="C3795" s="2">
        <v>2021</v>
      </c>
      <c r="D3795" s="10">
        <v>9</v>
      </c>
      <c r="E3795" s="10">
        <v>18</v>
      </c>
      <c r="F3795" t="s">
        <v>1613</v>
      </c>
      <c r="G3795">
        <v>6300</v>
      </c>
      <c r="H3795" t="s">
        <v>128</v>
      </c>
      <c r="I3795" t="s">
        <v>136</v>
      </c>
      <c r="J3795" s="10" t="str">
        <f>VLOOKUP(I3795,Categories!A:B,2,FALSE)</f>
        <v>อื่นๆ</v>
      </c>
      <c r="K3795" t="s">
        <v>178</v>
      </c>
      <c r="L3795" s="10" t="str">
        <f>VLOOKUP(K3795,Accounts!A:B,2,FALSE)</f>
        <v>SCB</v>
      </c>
      <c r="M3795" t="s">
        <v>5806</v>
      </c>
      <c r="N3795" s="10" t="str">
        <f>VLOOKUP(M3795,Accounts!A:B,2,FALSE)</f>
        <v>Grabpay</v>
      </c>
      <c r="O3795" t="s">
        <v>125</v>
      </c>
      <c r="Q3795" t="s">
        <v>126</v>
      </c>
      <c r="R3795" t="s">
        <v>124</v>
      </c>
      <c r="S3795" t="b">
        <v>0</v>
      </c>
      <c r="T3795" t="s">
        <v>124</v>
      </c>
    </row>
    <row r="3796">
      <c r="A3796" t="s">
        <v>6809</v>
      </c>
      <c r="B3796" t="s">
        <v>6806</v>
      </c>
      <c r="C3796" s="2">
        <v>2021</v>
      </c>
      <c r="D3796" s="10">
        <v>9</v>
      </c>
      <c r="E3796" s="10">
        <v>18</v>
      </c>
      <c r="F3796" t="s">
        <v>2992</v>
      </c>
      <c r="G3796">
        <v>7300</v>
      </c>
      <c r="H3796" t="s">
        <v>206</v>
      </c>
      <c r="I3796" t="s">
        <v>254</v>
      </c>
      <c r="J3796" s="10" t="str">
        <f>VLOOKUP(I3796,Categories!A:B,2,FALSE)</f>
        <v xml:space="preserve">Modified Bal.</v>
      </c>
      <c r="K3796" t="s">
        <v>5803</v>
      </c>
      <c r="L3796" s="10" t="str">
        <f>VLOOKUP(K3796,Accounts!A:B,2,FALSE)</f>
        <v>grabvoucher</v>
      </c>
      <c r="M3796" t="s">
        <v>124</v>
      </c>
      <c r="N3796" s="10"/>
      <c r="O3796" t="s">
        <v>255</v>
      </c>
      <c r="Q3796" t="s">
        <v>126</v>
      </c>
      <c r="R3796" t="s">
        <v>124</v>
      </c>
      <c r="S3796" t="b">
        <v>0</v>
      </c>
      <c r="T3796" t="s">
        <v>124</v>
      </c>
    </row>
    <row r="3797">
      <c r="A3797" t="s">
        <v>6810</v>
      </c>
      <c r="B3797" t="s">
        <v>6806</v>
      </c>
      <c r="C3797" s="2">
        <v>2021</v>
      </c>
      <c r="D3797" s="10">
        <v>9</v>
      </c>
      <c r="E3797" s="10">
        <v>18</v>
      </c>
      <c r="F3797" t="s">
        <v>1647</v>
      </c>
      <c r="G3797">
        <v>113</v>
      </c>
      <c r="H3797" t="s">
        <v>69</v>
      </c>
      <c r="I3797" t="s">
        <v>150</v>
      </c>
      <c r="J3797" s="10" t="str">
        <f>VLOOKUP(I3797,Categories!A:B,2,FALSE)</f>
        <v xml:space="preserve">Food &amp; Coff</v>
      </c>
      <c r="K3797" t="s">
        <v>2317</v>
      </c>
      <c r="L3797" s="10" t="str">
        <f>VLOOKUP(K3797,Accounts!A:B,2,FALSE)</f>
        <v xml:space="preserve">Marriage account</v>
      </c>
      <c r="M3797" t="s">
        <v>124</v>
      </c>
      <c r="N3797" s="10"/>
      <c r="O3797" t="s">
        <v>6419</v>
      </c>
      <c r="Q3797" t="s">
        <v>126</v>
      </c>
      <c r="R3797" t="s">
        <v>124</v>
      </c>
      <c r="S3797" t="b">
        <v>0</v>
      </c>
      <c r="T3797" t="s">
        <v>124</v>
      </c>
    </row>
    <row r="3798">
      <c r="A3798" t="s">
        <v>6811</v>
      </c>
      <c r="B3798" t="s">
        <v>6806</v>
      </c>
      <c r="C3798" s="2">
        <v>2021</v>
      </c>
      <c r="D3798" s="10">
        <v>9</v>
      </c>
      <c r="E3798" s="10">
        <v>18</v>
      </c>
      <c r="F3798" t="s">
        <v>1662</v>
      </c>
      <c r="G3798">
        <v>2700</v>
      </c>
      <c r="H3798" t="s">
        <v>128</v>
      </c>
      <c r="I3798" t="s">
        <v>136</v>
      </c>
      <c r="J3798" s="10" t="str">
        <f>VLOOKUP(I3798,Categories!A:B,2,FALSE)</f>
        <v>อื่นๆ</v>
      </c>
      <c r="K3798" t="s">
        <v>178</v>
      </c>
      <c r="L3798" s="10" t="str">
        <f>VLOOKUP(K3798,Accounts!A:B,2,FALSE)</f>
        <v>SCB</v>
      </c>
      <c r="M3798" t="s">
        <v>5803</v>
      </c>
      <c r="N3798" s="10" t="str">
        <f>VLOOKUP(M3798,Accounts!A:B,2,FALSE)</f>
        <v>grabvoucher</v>
      </c>
      <c r="O3798" t="s">
        <v>125</v>
      </c>
      <c r="Q3798" t="s">
        <v>126</v>
      </c>
      <c r="R3798" t="s">
        <v>124</v>
      </c>
      <c r="S3798" t="b">
        <v>0</v>
      </c>
      <c r="T3798" t="s">
        <v>124</v>
      </c>
    </row>
    <row r="3799">
      <c r="A3799" t="s">
        <v>6812</v>
      </c>
      <c r="B3799" t="s">
        <v>6806</v>
      </c>
      <c r="C3799" s="2">
        <v>2021</v>
      </c>
      <c r="D3799" s="10">
        <v>9</v>
      </c>
      <c r="E3799" s="10">
        <v>18</v>
      </c>
      <c r="F3799" t="s">
        <v>5059</v>
      </c>
      <c r="G3799">
        <v>709</v>
      </c>
      <c r="H3799" t="s">
        <v>128</v>
      </c>
      <c r="I3799" t="s">
        <v>136</v>
      </c>
      <c r="J3799" s="10" t="str">
        <f>VLOOKUP(I3799,Categories!A:B,2,FALSE)</f>
        <v>อื่นๆ</v>
      </c>
      <c r="K3799" t="s">
        <v>5806</v>
      </c>
      <c r="L3799" s="10" t="str">
        <f>VLOOKUP(K3799,Accounts!A:B,2,FALSE)</f>
        <v>Grabpay</v>
      </c>
      <c r="M3799" t="s">
        <v>178</v>
      </c>
      <c r="N3799" s="10" t="str">
        <f>VLOOKUP(M3799,Accounts!A:B,2,FALSE)</f>
        <v>SCB</v>
      </c>
      <c r="O3799" t="s">
        <v>125</v>
      </c>
      <c r="Q3799" t="s">
        <v>126</v>
      </c>
      <c r="R3799" t="s">
        <v>124</v>
      </c>
      <c r="S3799" t="b">
        <v>0</v>
      </c>
      <c r="T3799" t="s">
        <v>124</v>
      </c>
    </row>
    <row r="3800">
      <c r="A3800" t="s">
        <v>6813</v>
      </c>
      <c r="B3800" t="s">
        <v>6806</v>
      </c>
      <c r="C3800" s="2">
        <v>2021</v>
      </c>
      <c r="D3800" s="10">
        <v>9</v>
      </c>
      <c r="E3800" s="10">
        <v>18</v>
      </c>
      <c r="F3800" t="s">
        <v>1097</v>
      </c>
      <c r="G3800">
        <v>200</v>
      </c>
      <c r="H3800" t="s">
        <v>128</v>
      </c>
      <c r="I3800" t="s">
        <v>136</v>
      </c>
      <c r="J3800" s="10" t="str">
        <f>VLOOKUP(I3800,Categories!A:B,2,FALSE)</f>
        <v>อื่นๆ</v>
      </c>
      <c r="K3800" t="s">
        <v>5803</v>
      </c>
      <c r="L3800" s="10" t="str">
        <f>VLOOKUP(K3800,Accounts!A:B,2,FALSE)</f>
        <v>grabvoucher</v>
      </c>
      <c r="M3800" t="s">
        <v>178</v>
      </c>
      <c r="N3800" s="10" t="str">
        <f>VLOOKUP(M3800,Accounts!A:B,2,FALSE)</f>
        <v>SCB</v>
      </c>
      <c r="O3800" t="s">
        <v>125</v>
      </c>
      <c r="Q3800" t="s">
        <v>126</v>
      </c>
      <c r="R3800" t="s">
        <v>124</v>
      </c>
      <c r="S3800" t="b">
        <v>0</v>
      </c>
      <c r="T3800" t="s">
        <v>124</v>
      </c>
    </row>
    <row r="3801">
      <c r="A3801" t="s">
        <v>6814</v>
      </c>
      <c r="B3801" t="s">
        <v>6806</v>
      </c>
      <c r="C3801" s="2">
        <v>2021</v>
      </c>
      <c r="D3801" s="10">
        <v>9</v>
      </c>
      <c r="E3801" s="10">
        <v>18</v>
      </c>
      <c r="F3801" t="s">
        <v>1513</v>
      </c>
      <c r="G3801">
        <v>415</v>
      </c>
      <c r="H3801" t="s">
        <v>128</v>
      </c>
      <c r="I3801" t="s">
        <v>136</v>
      </c>
      <c r="J3801" s="10" t="str">
        <f>VLOOKUP(I3801,Categories!A:B,2,FALSE)</f>
        <v>อื่นๆ</v>
      </c>
      <c r="K3801" t="s">
        <v>178</v>
      </c>
      <c r="L3801" s="10" t="str">
        <f>VLOOKUP(K3801,Accounts!A:B,2,FALSE)</f>
        <v>SCB</v>
      </c>
      <c r="M3801" t="s">
        <v>747</v>
      </c>
      <c r="N3801" s="10" t="str">
        <f>VLOOKUP(M3801,Accounts!A:B,2,FALSE)</f>
        <v xml:space="preserve">UOB world</v>
      </c>
      <c r="O3801" t="s">
        <v>125</v>
      </c>
      <c r="Q3801" t="s">
        <v>126</v>
      </c>
      <c r="R3801" t="s">
        <v>124</v>
      </c>
      <c r="S3801" t="b">
        <v>0</v>
      </c>
      <c r="T3801" t="s">
        <v>124</v>
      </c>
    </row>
    <row r="3802">
      <c r="A3802" t="s">
        <v>6815</v>
      </c>
      <c r="B3802" t="s">
        <v>6806</v>
      </c>
      <c r="C3802" s="2">
        <v>2021</v>
      </c>
      <c r="D3802" s="10">
        <v>9</v>
      </c>
      <c r="E3802" s="10">
        <v>18</v>
      </c>
      <c r="F3802" t="s">
        <v>308</v>
      </c>
      <c r="G3802">
        <v>100</v>
      </c>
      <c r="H3802" t="s">
        <v>69</v>
      </c>
      <c r="I3802" t="s">
        <v>150</v>
      </c>
      <c r="J3802" s="10" t="str">
        <f>VLOOKUP(I3802,Categories!A:B,2,FALSE)</f>
        <v xml:space="preserve">Food &amp; Coff</v>
      </c>
      <c r="K3802" t="s">
        <v>2317</v>
      </c>
      <c r="L3802" s="10" t="str">
        <f>VLOOKUP(K3802,Accounts!A:B,2,FALSE)</f>
        <v xml:space="preserve">Marriage account</v>
      </c>
      <c r="M3802" t="s">
        <v>124</v>
      </c>
      <c r="N3802" s="10"/>
      <c r="O3802" t="s">
        <v>6816</v>
      </c>
      <c r="Q3802" t="s">
        <v>126</v>
      </c>
      <c r="R3802" t="s">
        <v>124</v>
      </c>
      <c r="S3802" t="b">
        <v>0</v>
      </c>
      <c r="T3802" t="s">
        <v>124</v>
      </c>
    </row>
    <row r="3803">
      <c r="A3803" t="s">
        <v>6817</v>
      </c>
      <c r="B3803" t="s">
        <v>6806</v>
      </c>
      <c r="C3803" s="2">
        <v>2021</v>
      </c>
      <c r="D3803" s="10">
        <v>9</v>
      </c>
      <c r="E3803" s="10">
        <v>18</v>
      </c>
      <c r="F3803" t="s">
        <v>311</v>
      </c>
      <c r="G3803">
        <v>40</v>
      </c>
      <c r="H3803" t="s">
        <v>69</v>
      </c>
      <c r="I3803" t="s">
        <v>150</v>
      </c>
      <c r="J3803" s="10" t="str">
        <f>VLOOKUP(I3803,Categories!A:B,2,FALSE)</f>
        <v xml:space="preserve">Food &amp; Coff</v>
      </c>
      <c r="K3803" t="s">
        <v>2317</v>
      </c>
      <c r="L3803" s="10" t="str">
        <f>VLOOKUP(K3803,Accounts!A:B,2,FALSE)</f>
        <v xml:space="preserve">Marriage account</v>
      </c>
      <c r="M3803" t="s">
        <v>124</v>
      </c>
      <c r="N3803" s="10"/>
      <c r="O3803" t="s">
        <v>6818</v>
      </c>
      <c r="Q3803" t="s">
        <v>126</v>
      </c>
      <c r="R3803" t="s">
        <v>124</v>
      </c>
      <c r="S3803" t="b">
        <v>0</v>
      </c>
      <c r="T3803" t="s">
        <v>124</v>
      </c>
    </row>
    <row r="3804">
      <c r="A3804" t="s">
        <v>6819</v>
      </c>
      <c r="B3804" t="s">
        <v>6806</v>
      </c>
      <c r="C3804" s="2">
        <v>2021</v>
      </c>
      <c r="D3804" s="10">
        <v>9</v>
      </c>
      <c r="E3804" s="10">
        <v>18</v>
      </c>
      <c r="F3804" t="s">
        <v>3508</v>
      </c>
      <c r="G3804">
        <v>130</v>
      </c>
      <c r="H3804" t="s">
        <v>69</v>
      </c>
      <c r="I3804" t="s">
        <v>150</v>
      </c>
      <c r="J3804" s="10" t="str">
        <f>VLOOKUP(I3804,Categories!A:B,2,FALSE)</f>
        <v xml:space="preserve">Food &amp; Coff</v>
      </c>
      <c r="K3804" t="s">
        <v>2317</v>
      </c>
      <c r="L3804" s="10" t="str">
        <f>VLOOKUP(K3804,Accounts!A:B,2,FALSE)</f>
        <v xml:space="preserve">Marriage account</v>
      </c>
      <c r="M3804" t="s">
        <v>124</v>
      </c>
      <c r="N3804" s="10"/>
      <c r="O3804" t="s">
        <v>4544</v>
      </c>
      <c r="Q3804" t="s">
        <v>126</v>
      </c>
      <c r="R3804" t="s">
        <v>124</v>
      </c>
      <c r="S3804" t="b">
        <v>0</v>
      </c>
      <c r="T3804" t="s">
        <v>124</v>
      </c>
    </row>
    <row r="3805">
      <c r="A3805" t="s">
        <v>6820</v>
      </c>
      <c r="B3805" t="s">
        <v>6806</v>
      </c>
      <c r="C3805" s="2">
        <v>2021</v>
      </c>
      <c r="D3805" s="10">
        <v>9</v>
      </c>
      <c r="E3805" s="10">
        <v>18</v>
      </c>
      <c r="F3805" t="s">
        <v>3508</v>
      </c>
      <c r="G3805">
        <v>60</v>
      </c>
      <c r="H3805" t="s">
        <v>69</v>
      </c>
      <c r="I3805" t="s">
        <v>150</v>
      </c>
      <c r="J3805" s="10" t="str">
        <f>VLOOKUP(I3805,Categories!A:B,2,FALSE)</f>
        <v xml:space="preserve">Food &amp; Coff</v>
      </c>
      <c r="K3805" t="s">
        <v>2317</v>
      </c>
      <c r="L3805" s="10" t="str">
        <f>VLOOKUP(K3805,Accounts!A:B,2,FALSE)</f>
        <v xml:space="preserve">Marriage account</v>
      </c>
      <c r="M3805" t="s">
        <v>124</v>
      </c>
      <c r="N3805" s="10"/>
      <c r="O3805" t="s">
        <v>6821</v>
      </c>
      <c r="Q3805" t="s">
        <v>126</v>
      </c>
      <c r="R3805" t="s">
        <v>124</v>
      </c>
      <c r="S3805" t="b">
        <v>0</v>
      </c>
      <c r="T3805" t="s">
        <v>124</v>
      </c>
    </row>
    <row r="3806">
      <c r="A3806" t="s">
        <v>6822</v>
      </c>
      <c r="B3806" t="s">
        <v>6823</v>
      </c>
      <c r="C3806" s="2">
        <v>2021</v>
      </c>
      <c r="D3806" s="10">
        <v>9</v>
      </c>
      <c r="E3806" s="10">
        <v>17</v>
      </c>
      <c r="F3806" t="s">
        <v>1094</v>
      </c>
      <c r="G3806">
        <v>110.5</v>
      </c>
      <c r="H3806" t="s">
        <v>69</v>
      </c>
      <c r="I3806" t="s">
        <v>150</v>
      </c>
      <c r="J3806" s="10" t="str">
        <f>VLOOKUP(I3806,Categories!A:B,2,FALSE)</f>
        <v xml:space="preserve">Food &amp; Coff</v>
      </c>
      <c r="K3806" t="s">
        <v>2317</v>
      </c>
      <c r="L3806" s="10" t="str">
        <f>VLOOKUP(K3806,Accounts!A:B,2,FALSE)</f>
        <v xml:space="preserve">Marriage account</v>
      </c>
      <c r="M3806" t="s">
        <v>124</v>
      </c>
      <c r="N3806" s="10"/>
      <c r="O3806" t="s">
        <v>6824</v>
      </c>
      <c r="Q3806" t="s">
        <v>126</v>
      </c>
      <c r="R3806" t="s">
        <v>124</v>
      </c>
      <c r="S3806" t="b">
        <v>0</v>
      </c>
      <c r="T3806" t="s">
        <v>124</v>
      </c>
    </row>
    <row r="3807">
      <c r="A3807" t="s">
        <v>6825</v>
      </c>
      <c r="B3807" t="s">
        <v>6823</v>
      </c>
      <c r="C3807" s="2">
        <v>2021</v>
      </c>
      <c r="D3807" s="10">
        <v>9</v>
      </c>
      <c r="E3807" s="10">
        <v>17</v>
      </c>
      <c r="F3807" t="s">
        <v>1094</v>
      </c>
      <c r="G3807">
        <v>73</v>
      </c>
      <c r="H3807" t="s">
        <v>69</v>
      </c>
      <c r="I3807" t="s">
        <v>150</v>
      </c>
      <c r="J3807" s="10" t="str">
        <f>VLOOKUP(I3807,Categories!A:B,2,FALSE)</f>
        <v xml:space="preserve">Food &amp; Coff</v>
      </c>
      <c r="K3807" t="s">
        <v>2317</v>
      </c>
      <c r="L3807" s="10" t="str">
        <f>VLOOKUP(K3807,Accounts!A:B,2,FALSE)</f>
        <v xml:space="preserve">Marriage account</v>
      </c>
      <c r="M3807" t="s">
        <v>124</v>
      </c>
      <c r="N3807" s="10"/>
      <c r="O3807" t="s">
        <v>6826</v>
      </c>
      <c r="Q3807" t="s">
        <v>126</v>
      </c>
      <c r="R3807" t="s">
        <v>124</v>
      </c>
      <c r="S3807" t="b">
        <v>0</v>
      </c>
      <c r="T3807" t="s">
        <v>124</v>
      </c>
    </row>
    <row r="3808">
      <c r="A3808" t="s">
        <v>6827</v>
      </c>
      <c r="B3808" t="s">
        <v>6823</v>
      </c>
      <c r="C3808" s="2">
        <v>2021</v>
      </c>
      <c r="D3808" s="10">
        <v>9</v>
      </c>
      <c r="E3808" s="10">
        <v>17</v>
      </c>
      <c r="F3808" t="s">
        <v>510</v>
      </c>
      <c r="G3808">
        <v>220</v>
      </c>
      <c r="H3808" t="s">
        <v>69</v>
      </c>
      <c r="I3808" t="s">
        <v>150</v>
      </c>
      <c r="J3808" s="10" t="str">
        <f>VLOOKUP(I3808,Categories!A:B,2,FALSE)</f>
        <v xml:space="preserve">Food &amp; Coff</v>
      </c>
      <c r="K3808" t="s">
        <v>2317</v>
      </c>
      <c r="L3808" s="10" t="str">
        <f>VLOOKUP(K3808,Accounts!A:B,2,FALSE)</f>
        <v xml:space="preserve">Marriage account</v>
      </c>
      <c r="M3808" t="s">
        <v>124</v>
      </c>
      <c r="N3808" s="10"/>
      <c r="O3808" t="s">
        <v>6828</v>
      </c>
      <c r="Q3808" t="s">
        <v>126</v>
      </c>
      <c r="R3808" t="s">
        <v>124</v>
      </c>
      <c r="S3808" t="b">
        <v>0</v>
      </c>
      <c r="T3808" t="s">
        <v>124</v>
      </c>
    </row>
    <row r="3809">
      <c r="A3809" t="s">
        <v>6829</v>
      </c>
      <c r="B3809" t="s">
        <v>6830</v>
      </c>
      <c r="C3809" s="2">
        <v>2021</v>
      </c>
      <c r="D3809" s="10">
        <v>9</v>
      </c>
      <c r="E3809" s="10">
        <v>16</v>
      </c>
      <c r="F3809" t="s">
        <v>1278</v>
      </c>
      <c r="G3809">
        <v>159</v>
      </c>
      <c r="H3809" t="s">
        <v>69</v>
      </c>
      <c r="I3809" t="s">
        <v>141</v>
      </c>
      <c r="J3809" s="10" t="str">
        <f>VLOOKUP(I3809,Categories!A:B,2,FALSE)</f>
        <v>Other</v>
      </c>
      <c r="K3809" t="s">
        <v>178</v>
      </c>
      <c r="L3809" s="10" t="str">
        <f>VLOOKUP(K3809,Accounts!A:B,2,FALSE)</f>
        <v>SCB</v>
      </c>
      <c r="M3809" t="s">
        <v>124</v>
      </c>
      <c r="N3809" s="10"/>
      <c r="O3809" t="s">
        <v>6831</v>
      </c>
      <c r="Q3809" t="s">
        <v>126</v>
      </c>
      <c r="R3809" t="s">
        <v>124</v>
      </c>
      <c r="S3809" t="b">
        <v>0</v>
      </c>
      <c r="T3809" t="s">
        <v>124</v>
      </c>
    </row>
    <row r="3810">
      <c r="A3810" t="s">
        <v>6832</v>
      </c>
      <c r="B3810" t="s">
        <v>6830</v>
      </c>
      <c r="C3810" s="2">
        <v>2021</v>
      </c>
      <c r="D3810" s="10">
        <v>9</v>
      </c>
      <c r="E3810" s="10">
        <v>16</v>
      </c>
      <c r="F3810" t="s">
        <v>3309</v>
      </c>
      <c r="G3810">
        <v>219</v>
      </c>
      <c r="H3810" t="s">
        <v>69</v>
      </c>
      <c r="I3810" t="s">
        <v>150</v>
      </c>
      <c r="J3810" s="10" t="str">
        <f>VLOOKUP(I3810,Categories!A:B,2,FALSE)</f>
        <v xml:space="preserve">Food &amp; Coff</v>
      </c>
      <c r="K3810" t="s">
        <v>2317</v>
      </c>
      <c r="L3810" s="10" t="str">
        <f>VLOOKUP(K3810,Accounts!A:B,2,FALSE)</f>
        <v xml:space="preserve">Marriage account</v>
      </c>
      <c r="M3810" t="s">
        <v>124</v>
      </c>
      <c r="N3810" s="10"/>
      <c r="O3810" t="s">
        <v>6833</v>
      </c>
      <c r="Q3810" t="s">
        <v>126</v>
      </c>
      <c r="R3810" t="s">
        <v>124</v>
      </c>
      <c r="S3810" t="b">
        <v>0</v>
      </c>
      <c r="T3810" t="s">
        <v>124</v>
      </c>
    </row>
    <row r="3811">
      <c r="A3811" t="s">
        <v>6834</v>
      </c>
      <c r="B3811" t="s">
        <v>6830</v>
      </c>
      <c r="C3811" s="2">
        <v>2021</v>
      </c>
      <c r="D3811" s="10">
        <v>9</v>
      </c>
      <c r="E3811" s="10">
        <v>16</v>
      </c>
      <c r="F3811" t="s">
        <v>1689</v>
      </c>
      <c r="G3811">
        <v>180</v>
      </c>
      <c r="H3811" t="s">
        <v>69</v>
      </c>
      <c r="I3811" t="s">
        <v>150</v>
      </c>
      <c r="J3811" s="10" t="str">
        <f>VLOOKUP(I3811,Categories!A:B,2,FALSE)</f>
        <v xml:space="preserve">Food &amp; Coff</v>
      </c>
      <c r="K3811" t="s">
        <v>2317</v>
      </c>
      <c r="L3811" s="10" t="str">
        <f>VLOOKUP(K3811,Accounts!A:B,2,FALSE)</f>
        <v xml:space="preserve">Marriage account</v>
      </c>
      <c r="M3811" t="s">
        <v>124</v>
      </c>
      <c r="N3811" s="10"/>
      <c r="O3811" t="s">
        <v>4544</v>
      </c>
      <c r="Q3811" t="s">
        <v>126</v>
      </c>
      <c r="R3811" t="s">
        <v>124</v>
      </c>
      <c r="S3811" t="b">
        <v>0</v>
      </c>
      <c r="T3811" t="s">
        <v>124</v>
      </c>
    </row>
    <row r="3812">
      <c r="A3812" t="s">
        <v>6835</v>
      </c>
      <c r="B3812" t="s">
        <v>6836</v>
      </c>
      <c r="C3812" s="2">
        <v>2021</v>
      </c>
      <c r="D3812" s="10">
        <v>9</v>
      </c>
      <c r="E3812" s="10">
        <v>15</v>
      </c>
      <c r="F3812" t="s">
        <v>5093</v>
      </c>
      <c r="G3812">
        <v>180</v>
      </c>
      <c r="H3812" t="s">
        <v>69</v>
      </c>
      <c r="I3812" t="s">
        <v>150</v>
      </c>
      <c r="J3812" s="10" t="str">
        <f>VLOOKUP(I3812,Categories!A:B,2,FALSE)</f>
        <v xml:space="preserve">Food &amp; Coff</v>
      </c>
      <c r="K3812" t="s">
        <v>2317</v>
      </c>
      <c r="L3812" s="10" t="str">
        <f>VLOOKUP(K3812,Accounts!A:B,2,FALSE)</f>
        <v xml:space="preserve">Marriage account</v>
      </c>
      <c r="M3812" t="s">
        <v>124</v>
      </c>
      <c r="N3812" s="10"/>
      <c r="O3812" t="s">
        <v>6837</v>
      </c>
      <c r="Q3812" t="s">
        <v>126</v>
      </c>
      <c r="R3812" t="s">
        <v>124</v>
      </c>
      <c r="S3812" t="b">
        <v>0</v>
      </c>
      <c r="T3812" t="s">
        <v>124</v>
      </c>
    </row>
    <row r="3813">
      <c r="A3813" t="s">
        <v>6838</v>
      </c>
      <c r="B3813" t="s">
        <v>6836</v>
      </c>
      <c r="C3813" s="2">
        <v>2021</v>
      </c>
      <c r="D3813" s="10">
        <v>9</v>
      </c>
      <c r="E3813" s="10">
        <v>15</v>
      </c>
      <c r="F3813" t="s">
        <v>1057</v>
      </c>
      <c r="G3813">
        <v>145</v>
      </c>
      <c r="H3813" t="s">
        <v>69</v>
      </c>
      <c r="I3813" t="s">
        <v>150</v>
      </c>
      <c r="J3813" s="10" t="str">
        <f>VLOOKUP(I3813,Categories!A:B,2,FALSE)</f>
        <v xml:space="preserve">Food &amp; Coff</v>
      </c>
      <c r="K3813" t="s">
        <v>2317</v>
      </c>
      <c r="L3813" s="10" t="str">
        <f>VLOOKUP(K3813,Accounts!A:B,2,FALSE)</f>
        <v xml:space="preserve">Marriage account</v>
      </c>
      <c r="M3813" t="s">
        <v>124</v>
      </c>
      <c r="N3813" s="10"/>
      <c r="O3813" t="s">
        <v>6839</v>
      </c>
      <c r="Q3813" t="s">
        <v>126</v>
      </c>
      <c r="R3813" t="s">
        <v>124</v>
      </c>
      <c r="S3813" t="b">
        <v>0</v>
      </c>
      <c r="T3813" t="s">
        <v>124</v>
      </c>
    </row>
    <row r="3814">
      <c r="A3814" t="s">
        <v>6840</v>
      </c>
      <c r="B3814" t="s">
        <v>6836</v>
      </c>
      <c r="C3814" s="2">
        <v>2021</v>
      </c>
      <c r="D3814" s="10">
        <v>9</v>
      </c>
      <c r="E3814" s="10">
        <v>15</v>
      </c>
      <c r="F3814" t="s">
        <v>1645</v>
      </c>
      <c r="G3814">
        <v>279</v>
      </c>
      <c r="H3814" t="s">
        <v>69</v>
      </c>
      <c r="I3814" t="s">
        <v>150</v>
      </c>
      <c r="J3814" s="10" t="str">
        <f>VLOOKUP(I3814,Categories!A:B,2,FALSE)</f>
        <v xml:space="preserve">Food &amp; Coff</v>
      </c>
      <c r="K3814" t="s">
        <v>2317</v>
      </c>
      <c r="L3814" s="10" t="str">
        <f>VLOOKUP(K3814,Accounts!A:B,2,FALSE)</f>
        <v xml:space="preserve">Marriage account</v>
      </c>
      <c r="M3814" t="s">
        <v>124</v>
      </c>
      <c r="N3814" s="10"/>
      <c r="O3814" t="s">
        <v>125</v>
      </c>
      <c r="Q3814" t="s">
        <v>126</v>
      </c>
      <c r="R3814" t="s">
        <v>124</v>
      </c>
      <c r="S3814" t="b">
        <v>0</v>
      </c>
      <c r="T3814" t="s">
        <v>124</v>
      </c>
    </row>
    <row r="3815">
      <c r="A3815" t="s">
        <v>6841</v>
      </c>
      <c r="B3815" t="s">
        <v>6842</v>
      </c>
      <c r="C3815" s="2">
        <v>2021</v>
      </c>
      <c r="D3815" s="10">
        <v>9</v>
      </c>
      <c r="E3815" s="10">
        <v>14</v>
      </c>
      <c r="F3815" t="s">
        <v>121</v>
      </c>
      <c r="G3815">
        <v>419</v>
      </c>
      <c r="H3815" t="s">
        <v>69</v>
      </c>
      <c r="I3815" t="s">
        <v>1903</v>
      </c>
      <c r="J3815" s="10" t="str">
        <f>VLOOKUP(I3815,Categories!A:B,2,FALSE)</f>
        <v xml:space="preserve">Monthly subscription</v>
      </c>
      <c r="K3815" t="s">
        <v>747</v>
      </c>
      <c r="L3815" s="10" t="str">
        <f>VLOOKUP(K3815,Accounts!A:B,2,FALSE)</f>
        <v xml:space="preserve">UOB world</v>
      </c>
      <c r="M3815" t="s">
        <v>124</v>
      </c>
      <c r="N3815" s="10"/>
      <c r="O3815" t="s">
        <v>125</v>
      </c>
      <c r="Q3815" t="s">
        <v>126</v>
      </c>
      <c r="R3815" t="s">
        <v>124</v>
      </c>
      <c r="S3815" t="b">
        <v>0</v>
      </c>
      <c r="T3815" t="s">
        <v>124</v>
      </c>
    </row>
    <row r="3816">
      <c r="A3816" t="s">
        <v>6843</v>
      </c>
      <c r="B3816" t="s">
        <v>6842</v>
      </c>
      <c r="C3816" s="2">
        <v>2021</v>
      </c>
      <c r="D3816" s="10">
        <v>9</v>
      </c>
      <c r="E3816" s="10">
        <v>14</v>
      </c>
      <c r="F3816" t="s">
        <v>2937</v>
      </c>
      <c r="G3816">
        <v>500</v>
      </c>
      <c r="H3816" t="s">
        <v>128</v>
      </c>
      <c r="I3816" t="s">
        <v>136</v>
      </c>
      <c r="J3816" s="10" t="str">
        <f>VLOOKUP(I3816,Categories!A:B,2,FALSE)</f>
        <v>อื่นๆ</v>
      </c>
      <c r="K3816" t="s">
        <v>178</v>
      </c>
      <c r="L3816" s="10" t="str">
        <f>VLOOKUP(K3816,Accounts!A:B,2,FALSE)</f>
        <v>SCB</v>
      </c>
      <c r="M3816" t="s">
        <v>893</v>
      </c>
      <c r="N3816" s="10" t="str">
        <f>VLOOKUP(M3816,Accounts!A:B,2,FALSE)</f>
        <v>Shopee</v>
      </c>
      <c r="O3816" t="s">
        <v>125</v>
      </c>
      <c r="Q3816" t="s">
        <v>126</v>
      </c>
      <c r="R3816" t="s">
        <v>124</v>
      </c>
      <c r="S3816" t="b">
        <v>0</v>
      </c>
      <c r="T3816" t="s">
        <v>124</v>
      </c>
    </row>
    <row r="3817">
      <c r="A3817" t="s">
        <v>6844</v>
      </c>
      <c r="B3817" t="s">
        <v>6842</v>
      </c>
      <c r="C3817" s="2">
        <v>2021</v>
      </c>
      <c r="D3817" s="10">
        <v>9</v>
      </c>
      <c r="E3817" s="10">
        <v>14</v>
      </c>
      <c r="F3817" t="s">
        <v>2082</v>
      </c>
      <c r="G3817">
        <v>200</v>
      </c>
      <c r="H3817" t="s">
        <v>69</v>
      </c>
      <c r="I3817" t="s">
        <v>150</v>
      </c>
      <c r="J3817" s="10" t="str">
        <f>VLOOKUP(I3817,Categories!A:B,2,FALSE)</f>
        <v xml:space="preserve">Food &amp; Coff</v>
      </c>
      <c r="K3817" t="s">
        <v>2317</v>
      </c>
      <c r="L3817" s="10" t="str">
        <f>VLOOKUP(K3817,Accounts!A:B,2,FALSE)</f>
        <v xml:space="preserve">Marriage account</v>
      </c>
      <c r="M3817" t="s">
        <v>124</v>
      </c>
      <c r="N3817" s="10"/>
      <c r="O3817" t="s">
        <v>6845</v>
      </c>
      <c r="Q3817" t="s">
        <v>126</v>
      </c>
      <c r="R3817" t="s">
        <v>124</v>
      </c>
      <c r="S3817" t="b">
        <v>0</v>
      </c>
      <c r="T3817" t="s">
        <v>124</v>
      </c>
    </row>
    <row r="3818">
      <c r="A3818" t="s">
        <v>6846</v>
      </c>
      <c r="B3818" t="s">
        <v>6847</v>
      </c>
      <c r="C3818" s="2">
        <v>2021</v>
      </c>
      <c r="D3818" s="10">
        <v>9</v>
      </c>
      <c r="E3818" s="10">
        <v>13</v>
      </c>
      <c r="F3818" t="s">
        <v>485</v>
      </c>
      <c r="G3818">
        <v>140</v>
      </c>
      <c r="H3818" t="s">
        <v>69</v>
      </c>
      <c r="I3818" t="s">
        <v>150</v>
      </c>
      <c r="J3818" s="10" t="str">
        <f>VLOOKUP(I3818,Categories!A:B,2,FALSE)</f>
        <v xml:space="preserve">Food &amp; Coff</v>
      </c>
      <c r="K3818" t="s">
        <v>2317</v>
      </c>
      <c r="L3818" s="10" t="str">
        <f>VLOOKUP(K3818,Accounts!A:B,2,FALSE)</f>
        <v xml:space="preserve">Marriage account</v>
      </c>
      <c r="M3818" t="s">
        <v>124</v>
      </c>
      <c r="N3818" s="10"/>
      <c r="O3818" t="s">
        <v>6848</v>
      </c>
      <c r="Q3818" t="s">
        <v>126</v>
      </c>
      <c r="R3818" t="s">
        <v>124</v>
      </c>
      <c r="S3818" t="b">
        <v>0</v>
      </c>
      <c r="T3818" t="s">
        <v>124</v>
      </c>
    </row>
    <row r="3819">
      <c r="A3819" t="s">
        <v>6849</v>
      </c>
      <c r="B3819" t="s">
        <v>6850</v>
      </c>
      <c r="C3819" s="2">
        <v>2021</v>
      </c>
      <c r="D3819" s="10">
        <v>9</v>
      </c>
      <c r="E3819" s="10">
        <v>12</v>
      </c>
      <c r="F3819" t="s">
        <v>1683</v>
      </c>
      <c r="G3819">
        <v>360</v>
      </c>
      <c r="H3819" t="s">
        <v>69</v>
      </c>
      <c r="I3819" t="s">
        <v>150</v>
      </c>
      <c r="J3819" s="10" t="str">
        <f>VLOOKUP(I3819,Categories!A:B,2,FALSE)</f>
        <v xml:space="preserve">Food &amp; Coff</v>
      </c>
      <c r="K3819" t="s">
        <v>2317</v>
      </c>
      <c r="L3819" s="10" t="str">
        <f>VLOOKUP(K3819,Accounts!A:B,2,FALSE)</f>
        <v xml:space="preserve">Marriage account</v>
      </c>
      <c r="M3819" t="s">
        <v>124</v>
      </c>
      <c r="N3819" s="10"/>
      <c r="O3819" t="s">
        <v>3686</v>
      </c>
      <c r="Q3819" t="s">
        <v>126</v>
      </c>
      <c r="R3819" t="s">
        <v>124</v>
      </c>
      <c r="S3819" t="b">
        <v>0</v>
      </c>
      <c r="T3819" t="s">
        <v>124</v>
      </c>
    </row>
    <row r="3820">
      <c r="A3820" t="s">
        <v>6851</v>
      </c>
      <c r="B3820" t="s">
        <v>6850</v>
      </c>
      <c r="C3820" s="2">
        <v>2021</v>
      </c>
      <c r="D3820" s="10">
        <v>9</v>
      </c>
      <c r="E3820" s="10">
        <v>12</v>
      </c>
      <c r="F3820" t="s">
        <v>3623</v>
      </c>
      <c r="G3820">
        <v>135</v>
      </c>
      <c r="H3820" t="s">
        <v>69</v>
      </c>
      <c r="I3820" t="s">
        <v>150</v>
      </c>
      <c r="J3820" s="10" t="str">
        <f>VLOOKUP(I3820,Categories!A:B,2,FALSE)</f>
        <v xml:space="preserve">Food &amp; Coff</v>
      </c>
      <c r="K3820" t="s">
        <v>2317</v>
      </c>
      <c r="L3820" s="10" t="str">
        <f>VLOOKUP(K3820,Accounts!A:B,2,FALSE)</f>
        <v xml:space="preserve">Marriage account</v>
      </c>
      <c r="M3820" t="s">
        <v>124</v>
      </c>
      <c r="N3820" s="10"/>
      <c r="O3820" t="s">
        <v>125</v>
      </c>
      <c r="Q3820" t="s">
        <v>126</v>
      </c>
      <c r="R3820" t="s">
        <v>124</v>
      </c>
      <c r="S3820" t="b">
        <v>0</v>
      </c>
      <c r="T3820" t="s">
        <v>124</v>
      </c>
    </row>
    <row r="3821">
      <c r="A3821" t="s">
        <v>6852</v>
      </c>
      <c r="B3821" t="s">
        <v>6850</v>
      </c>
      <c r="C3821" s="2">
        <v>2021</v>
      </c>
      <c r="D3821" s="10">
        <v>9</v>
      </c>
      <c r="E3821" s="10">
        <v>12</v>
      </c>
      <c r="F3821" t="s">
        <v>6853</v>
      </c>
      <c r="G3821">
        <v>900</v>
      </c>
      <c r="H3821" t="s">
        <v>69</v>
      </c>
      <c r="I3821" t="s">
        <v>3276</v>
      </c>
      <c r="J3821" s="10" t="str">
        <f>VLOOKUP(I3821,Categories!A:B,2,FALSE)</f>
        <v>Fuel</v>
      </c>
      <c r="K3821" t="s">
        <v>2317</v>
      </c>
      <c r="L3821" s="10" t="str">
        <f>VLOOKUP(K3821,Accounts!A:B,2,FALSE)</f>
        <v xml:space="preserve">Marriage account</v>
      </c>
      <c r="M3821" t="s">
        <v>124</v>
      </c>
      <c r="N3821" s="10"/>
      <c r="O3821" t="s">
        <v>125</v>
      </c>
      <c r="Q3821" t="s">
        <v>126</v>
      </c>
      <c r="R3821" t="s">
        <v>124</v>
      </c>
      <c r="S3821" t="b">
        <v>0</v>
      </c>
      <c r="T3821" t="s">
        <v>124</v>
      </c>
    </row>
    <row r="3822">
      <c r="A3822" t="s">
        <v>6854</v>
      </c>
      <c r="B3822" t="s">
        <v>6850</v>
      </c>
      <c r="C3822" s="2">
        <v>2021</v>
      </c>
      <c r="D3822" s="10">
        <v>9</v>
      </c>
      <c r="E3822" s="10">
        <v>12</v>
      </c>
      <c r="F3822" t="s">
        <v>5611</v>
      </c>
      <c r="G3822">
        <v>477</v>
      </c>
      <c r="H3822" t="s">
        <v>69</v>
      </c>
      <c r="I3822" t="s">
        <v>3504</v>
      </c>
      <c r="J3822" s="10" t="str">
        <f>VLOOKUP(I3822,Categories!A:B,2,FALSE)</f>
        <v xml:space="preserve">Condo suppliers</v>
      </c>
      <c r="K3822" t="s">
        <v>2317</v>
      </c>
      <c r="L3822" s="10" t="str">
        <f>VLOOKUP(K3822,Accounts!A:B,2,FALSE)</f>
        <v xml:space="preserve">Marriage account</v>
      </c>
      <c r="M3822" t="s">
        <v>124</v>
      </c>
      <c r="N3822" s="10"/>
      <c r="O3822" t="s">
        <v>5785</v>
      </c>
      <c r="Q3822" t="s">
        <v>126</v>
      </c>
      <c r="R3822" t="s">
        <v>124</v>
      </c>
      <c r="S3822" t="b">
        <v>0</v>
      </c>
      <c r="T3822" t="s">
        <v>124</v>
      </c>
    </row>
    <row r="3823">
      <c r="A3823" t="s">
        <v>6855</v>
      </c>
      <c r="B3823" t="s">
        <v>6856</v>
      </c>
      <c r="C3823" s="2">
        <v>2021</v>
      </c>
      <c r="D3823" s="10">
        <v>9</v>
      </c>
      <c r="E3823" s="10">
        <v>11</v>
      </c>
      <c r="F3823" t="s">
        <v>5164</v>
      </c>
      <c r="G3823">
        <v>136.03999999999999</v>
      </c>
      <c r="H3823" t="s">
        <v>69</v>
      </c>
      <c r="I3823" t="s">
        <v>150</v>
      </c>
      <c r="J3823" s="10" t="str">
        <f>VLOOKUP(I3823,Categories!A:B,2,FALSE)</f>
        <v xml:space="preserve">Food &amp; Coff</v>
      </c>
      <c r="K3823" t="s">
        <v>2317</v>
      </c>
      <c r="L3823" s="10" t="str">
        <f>VLOOKUP(K3823,Accounts!A:B,2,FALSE)</f>
        <v xml:space="preserve">Marriage account</v>
      </c>
      <c r="M3823" t="s">
        <v>124</v>
      </c>
      <c r="N3823" s="10"/>
      <c r="O3823" t="s">
        <v>6857</v>
      </c>
      <c r="Q3823" t="s">
        <v>126</v>
      </c>
      <c r="R3823" t="s">
        <v>124</v>
      </c>
      <c r="S3823" t="b">
        <v>0</v>
      </c>
      <c r="T3823" t="s">
        <v>124</v>
      </c>
    </row>
    <row r="3824">
      <c r="A3824" t="s">
        <v>6858</v>
      </c>
      <c r="B3824" t="s">
        <v>6856</v>
      </c>
      <c r="C3824" s="2">
        <v>2021</v>
      </c>
      <c r="D3824" s="10">
        <v>9</v>
      </c>
      <c r="E3824" s="10">
        <v>11</v>
      </c>
      <c r="F3824" t="s">
        <v>693</v>
      </c>
      <c r="G3824">
        <v>10000</v>
      </c>
      <c r="H3824" t="s">
        <v>206</v>
      </c>
      <c r="I3824" t="s">
        <v>207</v>
      </c>
      <c r="J3824" s="10" t="str">
        <f>VLOOKUP(I3824,Categories!A:B,2,FALSE)</f>
        <v>Salary</v>
      </c>
      <c r="K3824" t="s">
        <v>2317</v>
      </c>
      <c r="L3824" s="10" t="str">
        <f>VLOOKUP(K3824,Accounts!A:B,2,FALSE)</f>
        <v xml:space="preserve">Marriage account</v>
      </c>
      <c r="M3824" t="s">
        <v>124</v>
      </c>
      <c r="N3824" s="10"/>
      <c r="O3824" t="s">
        <v>125</v>
      </c>
      <c r="Q3824" t="s">
        <v>126</v>
      </c>
      <c r="R3824" t="s">
        <v>124</v>
      </c>
      <c r="S3824" t="b">
        <v>0</v>
      </c>
      <c r="T3824" t="s">
        <v>124</v>
      </c>
    </row>
    <row r="3825">
      <c r="A3825" t="s">
        <v>6859</v>
      </c>
      <c r="B3825" t="s">
        <v>6856</v>
      </c>
      <c r="C3825" s="2">
        <v>2021</v>
      </c>
      <c r="D3825" s="10">
        <v>9</v>
      </c>
      <c r="E3825" s="10">
        <v>11</v>
      </c>
      <c r="F3825" t="s">
        <v>2075</v>
      </c>
      <c r="G3825">
        <v>70</v>
      </c>
      <c r="H3825" t="s">
        <v>128</v>
      </c>
      <c r="I3825" t="s">
        <v>136</v>
      </c>
      <c r="J3825" s="10" t="str">
        <f>VLOOKUP(I3825,Categories!A:B,2,FALSE)</f>
        <v>อื่นๆ</v>
      </c>
      <c r="K3825" t="s">
        <v>425</v>
      </c>
      <c r="L3825" s="10" t="str">
        <f>VLOOKUP(K3825,Accounts!A:B,2,FALSE)</f>
        <v>Cash</v>
      </c>
      <c r="M3825" t="s">
        <v>178</v>
      </c>
      <c r="N3825" s="10" t="str">
        <f>VLOOKUP(M3825,Accounts!A:B,2,FALSE)</f>
        <v>SCB</v>
      </c>
      <c r="O3825" t="s">
        <v>125</v>
      </c>
      <c r="Q3825" t="s">
        <v>126</v>
      </c>
      <c r="R3825" t="s">
        <v>124</v>
      </c>
      <c r="S3825" t="b">
        <v>0</v>
      </c>
      <c r="T3825" t="s">
        <v>124</v>
      </c>
    </row>
    <row r="3826">
      <c r="A3826" t="s">
        <v>6860</v>
      </c>
      <c r="B3826" t="s">
        <v>6856</v>
      </c>
      <c r="C3826" s="2">
        <v>2021</v>
      </c>
      <c r="D3826" s="10">
        <v>9</v>
      </c>
      <c r="E3826" s="10">
        <v>11</v>
      </c>
      <c r="F3826" t="s">
        <v>1594</v>
      </c>
      <c r="G3826">
        <v>188</v>
      </c>
      <c r="H3826" t="s">
        <v>69</v>
      </c>
      <c r="I3826" t="s">
        <v>150</v>
      </c>
      <c r="J3826" s="10" t="str">
        <f>VLOOKUP(I3826,Categories!A:B,2,FALSE)</f>
        <v xml:space="preserve">Food &amp; Coff</v>
      </c>
      <c r="K3826" t="s">
        <v>2317</v>
      </c>
      <c r="L3826" s="10" t="str">
        <f>VLOOKUP(K3826,Accounts!A:B,2,FALSE)</f>
        <v xml:space="preserve">Marriage account</v>
      </c>
      <c r="M3826" t="s">
        <v>124</v>
      </c>
      <c r="N3826" s="10"/>
      <c r="O3826" t="s">
        <v>6861</v>
      </c>
      <c r="Q3826" t="s">
        <v>126</v>
      </c>
      <c r="R3826" t="s">
        <v>124</v>
      </c>
      <c r="S3826" t="b">
        <v>0</v>
      </c>
      <c r="T3826" t="s">
        <v>124</v>
      </c>
    </row>
    <row r="3827">
      <c r="A3827" t="s">
        <v>6862</v>
      </c>
      <c r="B3827" t="s">
        <v>6856</v>
      </c>
      <c r="C3827" s="2">
        <v>2021</v>
      </c>
      <c r="D3827" s="10">
        <v>9</v>
      </c>
      <c r="E3827" s="10">
        <v>11</v>
      </c>
      <c r="F3827" t="s">
        <v>1045</v>
      </c>
      <c r="G3827">
        <v>10000</v>
      </c>
      <c r="H3827" t="s">
        <v>69</v>
      </c>
      <c r="I3827" t="s">
        <v>122</v>
      </c>
      <c r="J3827" s="10" t="str">
        <f>VLOOKUP(I3827,Categories!A:B,2,FALSE)</f>
        <v>Other</v>
      </c>
      <c r="K3827" t="s">
        <v>178</v>
      </c>
      <c r="L3827" s="10" t="str">
        <f>VLOOKUP(K3827,Accounts!A:B,2,FALSE)</f>
        <v>SCB</v>
      </c>
      <c r="M3827" t="s">
        <v>124</v>
      </c>
      <c r="N3827" s="10"/>
      <c r="O3827" t="s">
        <v>6863</v>
      </c>
      <c r="Q3827" t="s">
        <v>126</v>
      </c>
      <c r="R3827" t="s">
        <v>124</v>
      </c>
      <c r="S3827" t="b">
        <v>0</v>
      </c>
      <c r="T3827" t="s">
        <v>124</v>
      </c>
    </row>
    <row r="3828">
      <c r="A3828" t="s">
        <v>6864</v>
      </c>
      <c r="B3828" t="s">
        <v>6865</v>
      </c>
      <c r="C3828" s="2">
        <v>2021</v>
      </c>
      <c r="D3828" s="10">
        <v>9</v>
      </c>
      <c r="E3828" s="10">
        <v>10</v>
      </c>
      <c r="F3828" t="s">
        <v>1689</v>
      </c>
      <c r="G3828">
        <v>198</v>
      </c>
      <c r="H3828" t="s">
        <v>69</v>
      </c>
      <c r="I3828" t="s">
        <v>150</v>
      </c>
      <c r="J3828" s="10" t="str">
        <f>VLOOKUP(I3828,Categories!A:B,2,FALSE)</f>
        <v xml:space="preserve">Food &amp; Coff</v>
      </c>
      <c r="K3828" t="s">
        <v>2317</v>
      </c>
      <c r="L3828" s="10" t="str">
        <f>VLOOKUP(K3828,Accounts!A:B,2,FALSE)</f>
        <v xml:space="preserve">Marriage account</v>
      </c>
      <c r="M3828" t="s">
        <v>124</v>
      </c>
      <c r="N3828" s="10"/>
      <c r="O3828" t="s">
        <v>6866</v>
      </c>
      <c r="Q3828" t="s">
        <v>126</v>
      </c>
      <c r="R3828" t="s">
        <v>124</v>
      </c>
      <c r="S3828" t="b">
        <v>0</v>
      </c>
      <c r="T3828" t="s">
        <v>124</v>
      </c>
    </row>
    <row r="3829">
      <c r="A3829" t="s">
        <v>6867</v>
      </c>
      <c r="B3829" t="s">
        <v>6865</v>
      </c>
      <c r="C3829" s="2">
        <v>2021</v>
      </c>
      <c r="D3829" s="10">
        <v>9</v>
      </c>
      <c r="E3829" s="10">
        <v>10</v>
      </c>
      <c r="F3829" t="s">
        <v>1647</v>
      </c>
      <c r="G3829">
        <v>317</v>
      </c>
      <c r="H3829" t="s">
        <v>69</v>
      </c>
      <c r="I3829" t="s">
        <v>150</v>
      </c>
      <c r="J3829" s="10" t="str">
        <f>VLOOKUP(I3829,Categories!A:B,2,FALSE)</f>
        <v xml:space="preserve">Food &amp; Coff</v>
      </c>
      <c r="K3829" t="s">
        <v>2317</v>
      </c>
      <c r="L3829" s="10" t="str">
        <f>VLOOKUP(K3829,Accounts!A:B,2,FALSE)</f>
        <v xml:space="preserve">Marriage account</v>
      </c>
      <c r="M3829" t="s">
        <v>124</v>
      </c>
      <c r="N3829" s="10"/>
      <c r="O3829" t="s">
        <v>6868</v>
      </c>
      <c r="Q3829" t="s">
        <v>126</v>
      </c>
      <c r="R3829" t="s">
        <v>124</v>
      </c>
      <c r="S3829" t="b">
        <v>0</v>
      </c>
      <c r="T3829" t="s">
        <v>124</v>
      </c>
    </row>
    <row r="3830">
      <c r="A3830" t="s">
        <v>6869</v>
      </c>
      <c r="B3830" t="s">
        <v>6865</v>
      </c>
      <c r="C3830" s="2">
        <v>2021</v>
      </c>
      <c r="D3830" s="10">
        <v>9</v>
      </c>
      <c r="E3830" s="10">
        <v>10</v>
      </c>
      <c r="F3830" t="s">
        <v>1647</v>
      </c>
      <c r="G3830">
        <v>202</v>
      </c>
      <c r="H3830" t="s">
        <v>69</v>
      </c>
      <c r="I3830" t="s">
        <v>150</v>
      </c>
      <c r="J3830" s="10" t="str">
        <f>VLOOKUP(I3830,Categories!A:B,2,FALSE)</f>
        <v xml:space="preserve">Food &amp; Coff</v>
      </c>
      <c r="K3830" t="s">
        <v>2317</v>
      </c>
      <c r="L3830" s="10" t="str">
        <f>VLOOKUP(K3830,Accounts!A:B,2,FALSE)</f>
        <v xml:space="preserve">Marriage account</v>
      </c>
      <c r="M3830" t="s">
        <v>124</v>
      </c>
      <c r="N3830" s="10"/>
      <c r="O3830" t="s">
        <v>6845</v>
      </c>
      <c r="Q3830" t="s">
        <v>126</v>
      </c>
      <c r="R3830" t="s">
        <v>124</v>
      </c>
      <c r="S3830" t="b">
        <v>0</v>
      </c>
      <c r="T3830" t="s">
        <v>124</v>
      </c>
    </row>
    <row r="3831">
      <c r="A3831" t="s">
        <v>6870</v>
      </c>
      <c r="B3831" t="s">
        <v>6865</v>
      </c>
      <c r="C3831" s="2">
        <v>2021</v>
      </c>
      <c r="D3831" s="10">
        <v>9</v>
      </c>
      <c r="E3831" s="10">
        <v>10</v>
      </c>
      <c r="F3831" t="s">
        <v>2972</v>
      </c>
      <c r="G3831">
        <v>2522</v>
      </c>
      <c r="H3831" t="s">
        <v>69</v>
      </c>
      <c r="I3831" t="s">
        <v>1508</v>
      </c>
      <c r="J3831" s="10" t="str">
        <f>VLOOKUP(I3831,Categories!A:B,2,FALSE)</f>
        <v>Other</v>
      </c>
      <c r="K3831" t="s">
        <v>743</v>
      </c>
      <c r="L3831" s="10" t="str">
        <f>VLOOKUP(K3831,Accounts!A:B,2,FALSE)</f>
        <v>HOMEPRO</v>
      </c>
      <c r="M3831" t="s">
        <v>124</v>
      </c>
      <c r="N3831" s="10"/>
      <c r="O3831" t="s">
        <v>6871</v>
      </c>
      <c r="Q3831" t="s">
        <v>126</v>
      </c>
      <c r="R3831" t="s">
        <v>124</v>
      </c>
      <c r="S3831" t="b">
        <v>0</v>
      </c>
      <c r="T3831" t="s">
        <v>124</v>
      </c>
    </row>
    <row r="3832">
      <c r="A3832" t="s">
        <v>6872</v>
      </c>
      <c r="B3832" t="s">
        <v>6865</v>
      </c>
      <c r="C3832" s="2">
        <v>2021</v>
      </c>
      <c r="D3832" s="10">
        <v>9</v>
      </c>
      <c r="E3832" s="10">
        <v>10</v>
      </c>
      <c r="F3832" t="s">
        <v>3450</v>
      </c>
      <c r="G3832">
        <v>4566</v>
      </c>
      <c r="H3832" t="s">
        <v>69</v>
      </c>
      <c r="I3832" t="s">
        <v>1508</v>
      </c>
      <c r="J3832" s="10" t="str">
        <f>VLOOKUP(I3832,Categories!A:B,2,FALSE)</f>
        <v>Other</v>
      </c>
      <c r="K3832" t="s">
        <v>743</v>
      </c>
      <c r="L3832" s="10" t="str">
        <f>VLOOKUP(K3832,Accounts!A:B,2,FALSE)</f>
        <v>HOMEPRO</v>
      </c>
      <c r="M3832" t="s">
        <v>124</v>
      </c>
      <c r="N3832" s="10"/>
      <c r="O3832" t="s">
        <v>6873</v>
      </c>
      <c r="Q3832" t="s">
        <v>126</v>
      </c>
      <c r="R3832" t="s">
        <v>124</v>
      </c>
      <c r="S3832" t="b">
        <v>0</v>
      </c>
      <c r="T3832" t="s">
        <v>124</v>
      </c>
    </row>
    <row r="3833">
      <c r="A3833" t="s">
        <v>6874</v>
      </c>
      <c r="B3833" t="s">
        <v>6865</v>
      </c>
      <c r="C3833" s="2">
        <v>2021</v>
      </c>
      <c r="D3833" s="10">
        <v>9</v>
      </c>
      <c r="E3833" s="10">
        <v>10</v>
      </c>
      <c r="F3833" t="s">
        <v>3450</v>
      </c>
      <c r="G3833">
        <v>694.20000000000005</v>
      </c>
      <c r="H3833" t="s">
        <v>69</v>
      </c>
      <c r="I3833" t="s">
        <v>1508</v>
      </c>
      <c r="J3833" s="10" t="str">
        <f>VLOOKUP(I3833,Categories!A:B,2,FALSE)</f>
        <v>Other</v>
      </c>
      <c r="K3833" t="s">
        <v>743</v>
      </c>
      <c r="L3833" s="10" t="str">
        <f>VLOOKUP(K3833,Accounts!A:B,2,FALSE)</f>
        <v>HOMEPRO</v>
      </c>
      <c r="M3833" t="s">
        <v>124</v>
      </c>
      <c r="N3833" s="10"/>
      <c r="O3833" t="s">
        <v>6875</v>
      </c>
      <c r="Q3833" t="s">
        <v>126</v>
      </c>
      <c r="R3833" t="s">
        <v>124</v>
      </c>
      <c r="S3833" t="b">
        <v>0</v>
      </c>
      <c r="T3833" t="s">
        <v>124</v>
      </c>
    </row>
    <row r="3834">
      <c r="A3834" t="s">
        <v>6876</v>
      </c>
      <c r="B3834" t="s">
        <v>6877</v>
      </c>
      <c r="C3834" s="2">
        <v>2021</v>
      </c>
      <c r="D3834" s="10">
        <v>9</v>
      </c>
      <c r="E3834" s="10">
        <v>9</v>
      </c>
      <c r="F3834" t="s">
        <v>2937</v>
      </c>
      <c r="G3834">
        <v>125</v>
      </c>
      <c r="H3834" t="s">
        <v>69</v>
      </c>
      <c r="I3834" t="s">
        <v>150</v>
      </c>
      <c r="J3834" s="10" t="str">
        <f>VLOOKUP(I3834,Categories!A:B,2,FALSE)</f>
        <v xml:space="preserve">Food &amp; Coff</v>
      </c>
      <c r="K3834" t="s">
        <v>2317</v>
      </c>
      <c r="L3834" s="10" t="str">
        <f>VLOOKUP(K3834,Accounts!A:B,2,FALSE)</f>
        <v xml:space="preserve">Marriage account</v>
      </c>
      <c r="M3834" t="s">
        <v>124</v>
      </c>
      <c r="N3834" s="10"/>
      <c r="O3834" t="s">
        <v>6609</v>
      </c>
      <c r="Q3834" t="s">
        <v>126</v>
      </c>
      <c r="R3834" t="s">
        <v>124</v>
      </c>
      <c r="S3834" t="b">
        <v>0</v>
      </c>
      <c r="T3834" t="s">
        <v>124</v>
      </c>
    </row>
    <row r="3835">
      <c r="A3835" t="s">
        <v>6878</v>
      </c>
      <c r="B3835" t="s">
        <v>6877</v>
      </c>
      <c r="C3835" s="2">
        <v>2021</v>
      </c>
      <c r="D3835" s="10">
        <v>9</v>
      </c>
      <c r="E3835" s="10">
        <v>9</v>
      </c>
      <c r="F3835" t="s">
        <v>2696</v>
      </c>
      <c r="G3835">
        <v>1800</v>
      </c>
      <c r="H3835" t="s">
        <v>128</v>
      </c>
      <c r="I3835" t="s">
        <v>136</v>
      </c>
      <c r="J3835" s="10" t="str">
        <f>VLOOKUP(I3835,Categories!A:B,2,FALSE)</f>
        <v>อื่นๆ</v>
      </c>
      <c r="K3835" t="s">
        <v>178</v>
      </c>
      <c r="L3835" s="10" t="str">
        <f>VLOOKUP(K3835,Accounts!A:B,2,FALSE)</f>
        <v>SCB</v>
      </c>
      <c r="M3835" t="s">
        <v>893</v>
      </c>
      <c r="N3835" s="10" t="str">
        <f>VLOOKUP(M3835,Accounts!A:B,2,FALSE)</f>
        <v>Shopee</v>
      </c>
      <c r="O3835" t="s">
        <v>125</v>
      </c>
      <c r="Q3835" t="s">
        <v>126</v>
      </c>
      <c r="R3835" t="s">
        <v>124</v>
      </c>
      <c r="S3835" t="b">
        <v>0</v>
      </c>
      <c r="T3835" t="s">
        <v>124</v>
      </c>
    </row>
    <row r="3836">
      <c r="A3836" t="s">
        <v>6879</v>
      </c>
      <c r="B3836" t="s">
        <v>6877</v>
      </c>
      <c r="C3836" s="2">
        <v>2021</v>
      </c>
      <c r="D3836" s="10">
        <v>9</v>
      </c>
      <c r="E3836" s="10">
        <v>9</v>
      </c>
      <c r="F3836" t="s">
        <v>1645</v>
      </c>
      <c r="G3836">
        <v>147</v>
      </c>
      <c r="H3836" t="s">
        <v>69</v>
      </c>
      <c r="I3836" t="s">
        <v>150</v>
      </c>
      <c r="J3836" s="10" t="str">
        <f>VLOOKUP(I3836,Categories!A:B,2,FALSE)</f>
        <v xml:space="preserve">Food &amp; Coff</v>
      </c>
      <c r="K3836" t="s">
        <v>2317</v>
      </c>
      <c r="L3836" s="10" t="str">
        <f>VLOOKUP(K3836,Accounts!A:B,2,FALSE)</f>
        <v xml:space="preserve">Marriage account</v>
      </c>
      <c r="M3836" t="s">
        <v>124</v>
      </c>
      <c r="N3836" s="10"/>
      <c r="O3836" t="s">
        <v>6880</v>
      </c>
      <c r="Q3836" t="s">
        <v>126</v>
      </c>
      <c r="R3836" t="s">
        <v>124</v>
      </c>
      <c r="S3836" t="b">
        <v>0</v>
      </c>
      <c r="T3836" t="s">
        <v>124</v>
      </c>
    </row>
    <row r="3837">
      <c r="A3837" t="s">
        <v>6881</v>
      </c>
      <c r="B3837" t="s">
        <v>6877</v>
      </c>
      <c r="C3837" s="2">
        <v>2021</v>
      </c>
      <c r="D3837" s="10">
        <v>9</v>
      </c>
      <c r="E3837" s="10">
        <v>9</v>
      </c>
      <c r="F3837" t="s">
        <v>1645</v>
      </c>
      <c r="G3837">
        <v>238</v>
      </c>
      <c r="H3837" t="s">
        <v>69</v>
      </c>
      <c r="I3837" t="s">
        <v>150</v>
      </c>
      <c r="J3837" s="10" t="str">
        <f>VLOOKUP(I3837,Categories!A:B,2,FALSE)</f>
        <v xml:space="preserve">Food &amp; Coff</v>
      </c>
      <c r="K3837" t="s">
        <v>2317</v>
      </c>
      <c r="L3837" s="10" t="str">
        <f>VLOOKUP(K3837,Accounts!A:B,2,FALSE)</f>
        <v xml:space="preserve">Marriage account</v>
      </c>
      <c r="M3837" t="s">
        <v>124</v>
      </c>
      <c r="N3837" s="10"/>
      <c r="O3837" t="s">
        <v>6882</v>
      </c>
      <c r="Q3837" t="s">
        <v>126</v>
      </c>
      <c r="R3837" t="s">
        <v>124</v>
      </c>
      <c r="S3837" t="b">
        <v>0</v>
      </c>
      <c r="T3837" t="s">
        <v>124</v>
      </c>
    </row>
    <row r="3838">
      <c r="A3838" t="s">
        <v>6883</v>
      </c>
      <c r="B3838" t="s">
        <v>6877</v>
      </c>
      <c r="C3838" s="2">
        <v>2021</v>
      </c>
      <c r="D3838" s="10">
        <v>9</v>
      </c>
      <c r="E3838" s="10">
        <v>9</v>
      </c>
      <c r="F3838" t="s">
        <v>373</v>
      </c>
      <c r="G3838">
        <v>294</v>
      </c>
      <c r="H3838" t="s">
        <v>69</v>
      </c>
      <c r="I3838" t="s">
        <v>1679</v>
      </c>
      <c r="J3838" s="10" t="str">
        <f>VLOOKUP(I3838,Categories!A:B,2,FALSE)</f>
        <v xml:space="preserve">Condo stuff</v>
      </c>
      <c r="K3838" t="s">
        <v>893</v>
      </c>
      <c r="L3838" s="10" t="str">
        <f>VLOOKUP(K3838,Accounts!A:B,2,FALSE)</f>
        <v>Shopee</v>
      </c>
      <c r="M3838" t="s">
        <v>124</v>
      </c>
      <c r="N3838" s="10"/>
      <c r="O3838" t="s">
        <v>125</v>
      </c>
      <c r="Q3838" t="s">
        <v>126</v>
      </c>
      <c r="R3838" t="s">
        <v>124</v>
      </c>
      <c r="S3838" t="b">
        <v>0</v>
      </c>
      <c r="T3838" t="s">
        <v>124</v>
      </c>
    </row>
    <row r="3839">
      <c r="A3839" t="s">
        <v>6884</v>
      </c>
      <c r="B3839" t="s">
        <v>6877</v>
      </c>
      <c r="C3839" s="2">
        <v>2021</v>
      </c>
      <c r="D3839" s="10">
        <v>9</v>
      </c>
      <c r="E3839" s="10">
        <v>9</v>
      </c>
      <c r="F3839" t="s">
        <v>367</v>
      </c>
      <c r="G3839">
        <v>700</v>
      </c>
      <c r="H3839" t="s">
        <v>69</v>
      </c>
      <c r="I3839" t="s">
        <v>157</v>
      </c>
      <c r="J3839" s="10" t="str">
        <f>VLOOKUP(I3839,Categories!A:B,2,FALSE)</f>
        <v>Boardgame</v>
      </c>
      <c r="K3839" t="s">
        <v>130</v>
      </c>
      <c r="L3839" s="10" t="str">
        <f>VLOOKUP(K3839,Accounts!A:B,2,FALSE)</f>
        <v xml:space="preserve">KTC JCB</v>
      </c>
      <c r="M3839" t="s">
        <v>124</v>
      </c>
      <c r="N3839" s="10"/>
      <c r="O3839" t="s">
        <v>125</v>
      </c>
      <c r="Q3839" t="s">
        <v>126</v>
      </c>
      <c r="R3839" t="s">
        <v>124</v>
      </c>
      <c r="S3839" t="b">
        <v>0</v>
      </c>
      <c r="T3839" t="s">
        <v>124</v>
      </c>
    </row>
    <row r="3840">
      <c r="A3840" t="s">
        <v>6885</v>
      </c>
      <c r="B3840" t="s">
        <v>6877</v>
      </c>
      <c r="C3840" s="2">
        <v>2021</v>
      </c>
      <c r="D3840" s="10">
        <v>9</v>
      </c>
      <c r="E3840" s="10">
        <v>9</v>
      </c>
      <c r="F3840" t="s">
        <v>361</v>
      </c>
      <c r="G3840">
        <v>1507</v>
      </c>
      <c r="H3840" t="s">
        <v>69</v>
      </c>
      <c r="I3840" t="s">
        <v>614</v>
      </c>
      <c r="J3840" s="10" t="str">
        <f>VLOOKUP(I3840,Categories!A:B,2,FALSE)</f>
        <v>Books</v>
      </c>
      <c r="K3840" t="s">
        <v>130</v>
      </c>
      <c r="L3840" s="10" t="str">
        <f>VLOOKUP(K3840,Accounts!A:B,2,FALSE)</f>
        <v xml:space="preserve">KTC JCB</v>
      </c>
      <c r="M3840" t="s">
        <v>124</v>
      </c>
      <c r="N3840" s="10"/>
      <c r="O3840" t="s">
        <v>125</v>
      </c>
      <c r="Q3840" t="s">
        <v>126</v>
      </c>
      <c r="R3840" t="s">
        <v>124</v>
      </c>
      <c r="S3840" t="b">
        <v>0</v>
      </c>
      <c r="T3840" t="s">
        <v>124</v>
      </c>
    </row>
    <row r="3841">
      <c r="A3841" t="s">
        <v>6886</v>
      </c>
      <c r="B3841" t="s">
        <v>6887</v>
      </c>
      <c r="C3841" s="2">
        <v>2021</v>
      </c>
      <c r="D3841" s="10">
        <v>9</v>
      </c>
      <c r="E3841" s="10">
        <v>8</v>
      </c>
      <c r="F3841" t="s">
        <v>6888</v>
      </c>
      <c r="G3841">
        <v>320</v>
      </c>
      <c r="H3841" t="s">
        <v>69</v>
      </c>
      <c r="I3841" t="s">
        <v>1508</v>
      </c>
      <c r="J3841" s="10" t="str">
        <f>VLOOKUP(I3841,Categories!A:B,2,FALSE)</f>
        <v>Other</v>
      </c>
      <c r="K3841" t="s">
        <v>2317</v>
      </c>
      <c r="L3841" s="10" t="str">
        <f>VLOOKUP(K3841,Accounts!A:B,2,FALSE)</f>
        <v xml:space="preserve">Marriage account</v>
      </c>
      <c r="M3841" t="s">
        <v>124</v>
      </c>
      <c r="N3841" s="10"/>
      <c r="O3841" t="s">
        <v>3734</v>
      </c>
      <c r="Q3841" t="s">
        <v>126</v>
      </c>
      <c r="R3841" t="s">
        <v>124</v>
      </c>
      <c r="S3841" t="b">
        <v>0</v>
      </c>
      <c r="T3841" t="s">
        <v>124</v>
      </c>
    </row>
    <row r="3842">
      <c r="A3842" t="s">
        <v>6889</v>
      </c>
      <c r="B3842" t="s">
        <v>6887</v>
      </c>
      <c r="C3842" s="2">
        <v>2021</v>
      </c>
      <c r="D3842" s="10">
        <v>9</v>
      </c>
      <c r="E3842" s="10">
        <v>8</v>
      </c>
      <c r="F3842" t="s">
        <v>1687</v>
      </c>
      <c r="G3842">
        <v>268</v>
      </c>
      <c r="H3842" t="s">
        <v>69</v>
      </c>
      <c r="I3842" t="s">
        <v>150</v>
      </c>
      <c r="J3842" s="10" t="str">
        <f>VLOOKUP(I3842,Categories!A:B,2,FALSE)</f>
        <v xml:space="preserve">Food &amp; Coff</v>
      </c>
      <c r="K3842" t="s">
        <v>2317</v>
      </c>
      <c r="L3842" s="10" t="str">
        <f>VLOOKUP(K3842,Accounts!A:B,2,FALSE)</f>
        <v xml:space="preserve">Marriage account</v>
      </c>
      <c r="M3842" t="s">
        <v>124</v>
      </c>
      <c r="N3842" s="10"/>
      <c r="O3842" t="s">
        <v>6890</v>
      </c>
      <c r="Q3842" t="s">
        <v>126</v>
      </c>
      <c r="R3842" t="s">
        <v>124</v>
      </c>
      <c r="S3842" t="b">
        <v>0</v>
      </c>
      <c r="T3842" t="s">
        <v>124</v>
      </c>
    </row>
    <row r="3843">
      <c r="A3843" t="s">
        <v>6891</v>
      </c>
      <c r="B3843" t="s">
        <v>6887</v>
      </c>
      <c r="C3843" s="2">
        <v>2021</v>
      </c>
      <c r="D3843" s="10">
        <v>9</v>
      </c>
      <c r="E3843" s="10">
        <v>8</v>
      </c>
      <c r="F3843" t="s">
        <v>5638</v>
      </c>
      <c r="G3843">
        <v>85</v>
      </c>
      <c r="H3843" t="s">
        <v>69</v>
      </c>
      <c r="I3843" t="s">
        <v>150</v>
      </c>
      <c r="J3843" s="10" t="str">
        <f>VLOOKUP(I3843,Categories!A:B,2,FALSE)</f>
        <v xml:space="preserve">Food &amp; Coff</v>
      </c>
      <c r="K3843" t="s">
        <v>2317</v>
      </c>
      <c r="L3843" s="10" t="str">
        <f>VLOOKUP(K3843,Accounts!A:B,2,FALSE)</f>
        <v xml:space="preserve">Marriage account</v>
      </c>
      <c r="M3843" t="s">
        <v>124</v>
      </c>
      <c r="N3843" s="10"/>
      <c r="O3843" t="s">
        <v>6641</v>
      </c>
      <c r="Q3843" t="s">
        <v>126</v>
      </c>
      <c r="R3843" t="s">
        <v>124</v>
      </c>
      <c r="S3843" t="b">
        <v>0</v>
      </c>
      <c r="T3843" t="s">
        <v>124</v>
      </c>
    </row>
    <row r="3844">
      <c r="A3844" t="s">
        <v>6892</v>
      </c>
      <c r="B3844" t="s">
        <v>6887</v>
      </c>
      <c r="C3844" s="2">
        <v>2021</v>
      </c>
      <c r="D3844" s="10">
        <v>9</v>
      </c>
      <c r="E3844" s="10">
        <v>8</v>
      </c>
      <c r="F3844" t="s">
        <v>1862</v>
      </c>
      <c r="G3844">
        <v>85</v>
      </c>
      <c r="H3844" t="s">
        <v>128</v>
      </c>
      <c r="I3844" t="s">
        <v>136</v>
      </c>
      <c r="J3844" s="10" t="str">
        <f>VLOOKUP(I3844,Categories!A:B,2,FALSE)</f>
        <v>อื่นๆ</v>
      </c>
      <c r="K3844" t="s">
        <v>893</v>
      </c>
      <c r="L3844" s="10" t="str">
        <f>VLOOKUP(K3844,Accounts!A:B,2,FALSE)</f>
        <v>Shopee</v>
      </c>
      <c r="M3844" t="s">
        <v>178</v>
      </c>
      <c r="N3844" s="10" t="str">
        <f>VLOOKUP(M3844,Accounts!A:B,2,FALSE)</f>
        <v>SCB</v>
      </c>
      <c r="O3844" t="s">
        <v>125</v>
      </c>
      <c r="Q3844" t="s">
        <v>126</v>
      </c>
      <c r="R3844" t="s">
        <v>124</v>
      </c>
      <c r="S3844" t="b">
        <v>0</v>
      </c>
      <c r="T3844" t="s">
        <v>124</v>
      </c>
    </row>
    <row r="3845">
      <c r="A3845" t="s">
        <v>6893</v>
      </c>
      <c r="B3845" t="s">
        <v>6894</v>
      </c>
      <c r="C3845" s="2">
        <v>2021</v>
      </c>
      <c r="D3845" s="10">
        <v>9</v>
      </c>
      <c r="E3845" s="10">
        <v>7</v>
      </c>
      <c r="F3845" t="s">
        <v>6285</v>
      </c>
      <c r="G3845">
        <v>201</v>
      </c>
      <c r="H3845" t="s">
        <v>69</v>
      </c>
      <c r="I3845" t="s">
        <v>150</v>
      </c>
      <c r="J3845" s="10" t="str">
        <f>VLOOKUP(I3845,Categories!A:B,2,FALSE)</f>
        <v xml:space="preserve">Food &amp; Coff</v>
      </c>
      <c r="K3845" t="s">
        <v>2317</v>
      </c>
      <c r="L3845" s="10" t="str">
        <f>VLOOKUP(K3845,Accounts!A:B,2,FALSE)</f>
        <v xml:space="preserve">Marriage account</v>
      </c>
      <c r="M3845" t="s">
        <v>124</v>
      </c>
      <c r="N3845" s="10"/>
      <c r="O3845" t="s">
        <v>4111</v>
      </c>
      <c r="Q3845" t="s">
        <v>126</v>
      </c>
      <c r="R3845" t="s">
        <v>124</v>
      </c>
      <c r="S3845" t="b">
        <v>0</v>
      </c>
      <c r="T3845" t="s">
        <v>124</v>
      </c>
    </row>
    <row r="3846">
      <c r="A3846" t="s">
        <v>6895</v>
      </c>
      <c r="B3846" t="s">
        <v>6896</v>
      </c>
      <c r="C3846" s="2">
        <v>2021</v>
      </c>
      <c r="D3846" s="10">
        <v>9</v>
      </c>
      <c r="E3846" s="10">
        <v>6</v>
      </c>
      <c r="F3846" t="s">
        <v>4753</v>
      </c>
      <c r="G3846">
        <v>70</v>
      </c>
      <c r="H3846" t="s">
        <v>69</v>
      </c>
      <c r="I3846" t="s">
        <v>150</v>
      </c>
      <c r="J3846" s="10" t="str">
        <f>VLOOKUP(I3846,Categories!A:B,2,FALSE)</f>
        <v xml:space="preserve">Food &amp; Coff</v>
      </c>
      <c r="K3846" t="s">
        <v>2317</v>
      </c>
      <c r="L3846" s="10" t="str">
        <f>VLOOKUP(K3846,Accounts!A:B,2,FALSE)</f>
        <v xml:space="preserve">Marriage account</v>
      </c>
      <c r="M3846" t="s">
        <v>124</v>
      </c>
      <c r="N3846" s="10"/>
      <c r="O3846" t="s">
        <v>6565</v>
      </c>
      <c r="Q3846" t="s">
        <v>126</v>
      </c>
      <c r="R3846" t="s">
        <v>124</v>
      </c>
      <c r="S3846" t="b">
        <v>0</v>
      </c>
      <c r="T3846" t="s">
        <v>124</v>
      </c>
    </row>
    <row r="3847">
      <c r="A3847" t="s">
        <v>6897</v>
      </c>
      <c r="B3847" t="s">
        <v>6896</v>
      </c>
      <c r="C3847" s="2">
        <v>2021</v>
      </c>
      <c r="D3847" s="10">
        <v>9</v>
      </c>
      <c r="E3847" s="10">
        <v>6</v>
      </c>
      <c r="F3847" t="s">
        <v>6898</v>
      </c>
      <c r="G3847">
        <v>1590</v>
      </c>
      <c r="H3847" t="s">
        <v>69</v>
      </c>
      <c r="I3847" t="s">
        <v>3276</v>
      </c>
      <c r="J3847" s="10" t="str">
        <f>VLOOKUP(I3847,Categories!A:B,2,FALSE)</f>
        <v>Fuel</v>
      </c>
      <c r="K3847" t="s">
        <v>2317</v>
      </c>
      <c r="L3847" s="10" t="str">
        <f>VLOOKUP(K3847,Accounts!A:B,2,FALSE)</f>
        <v xml:space="preserve">Marriage account</v>
      </c>
      <c r="M3847" t="s">
        <v>124</v>
      </c>
      <c r="N3847" s="10"/>
      <c r="O3847" t="s">
        <v>6899</v>
      </c>
      <c r="Q3847" t="s">
        <v>126</v>
      </c>
      <c r="R3847" t="s">
        <v>124</v>
      </c>
      <c r="S3847" t="b">
        <v>0</v>
      </c>
      <c r="T3847" t="s">
        <v>124</v>
      </c>
    </row>
    <row r="3848">
      <c r="A3848" t="s">
        <v>6900</v>
      </c>
      <c r="B3848" t="s">
        <v>6896</v>
      </c>
      <c r="C3848" s="2">
        <v>2021</v>
      </c>
      <c r="D3848" s="10">
        <v>9</v>
      </c>
      <c r="E3848" s="10">
        <v>6</v>
      </c>
      <c r="F3848" t="s">
        <v>2222</v>
      </c>
      <c r="G3848">
        <v>167</v>
      </c>
      <c r="H3848" t="s">
        <v>69</v>
      </c>
      <c r="I3848" t="s">
        <v>150</v>
      </c>
      <c r="J3848" s="10" t="str">
        <f>VLOOKUP(I3848,Categories!A:B,2,FALSE)</f>
        <v xml:space="preserve">Food &amp; Coff</v>
      </c>
      <c r="K3848" t="s">
        <v>2317</v>
      </c>
      <c r="L3848" s="10" t="str">
        <f>VLOOKUP(K3848,Accounts!A:B,2,FALSE)</f>
        <v xml:space="preserve">Marriage account</v>
      </c>
      <c r="M3848" t="s">
        <v>124</v>
      </c>
      <c r="N3848" s="10"/>
      <c r="O3848" t="s">
        <v>6866</v>
      </c>
      <c r="Q3848" t="s">
        <v>126</v>
      </c>
      <c r="R3848" t="s">
        <v>124</v>
      </c>
      <c r="S3848" t="b">
        <v>0</v>
      </c>
      <c r="T3848" t="s">
        <v>124</v>
      </c>
    </row>
    <row r="3849">
      <c r="A3849" t="s">
        <v>6901</v>
      </c>
      <c r="B3849" t="s">
        <v>6896</v>
      </c>
      <c r="C3849" s="2">
        <v>2021</v>
      </c>
      <c r="D3849" s="10">
        <v>9</v>
      </c>
      <c r="E3849" s="10">
        <v>6</v>
      </c>
      <c r="F3849" t="s">
        <v>2222</v>
      </c>
      <c r="G3849">
        <v>298</v>
      </c>
      <c r="H3849" t="s">
        <v>69</v>
      </c>
      <c r="I3849" t="s">
        <v>150</v>
      </c>
      <c r="J3849" s="10" t="str">
        <f>VLOOKUP(I3849,Categories!A:B,2,FALSE)</f>
        <v xml:space="preserve">Food &amp; Coff</v>
      </c>
      <c r="K3849" t="s">
        <v>2317</v>
      </c>
      <c r="L3849" s="10" t="str">
        <f>VLOOKUP(K3849,Accounts!A:B,2,FALSE)</f>
        <v xml:space="preserve">Marriage account</v>
      </c>
      <c r="M3849" t="s">
        <v>124</v>
      </c>
      <c r="N3849" s="10"/>
      <c r="O3849" t="s">
        <v>3096</v>
      </c>
      <c r="Q3849" t="s">
        <v>126</v>
      </c>
      <c r="R3849" t="s">
        <v>124</v>
      </c>
      <c r="S3849" t="b">
        <v>0</v>
      </c>
      <c r="T3849" t="s">
        <v>124</v>
      </c>
    </row>
    <row r="3850">
      <c r="A3850" t="s">
        <v>6902</v>
      </c>
      <c r="B3850" t="s">
        <v>6896</v>
      </c>
      <c r="C3850" s="2">
        <v>2021</v>
      </c>
      <c r="D3850" s="10">
        <v>9</v>
      </c>
      <c r="E3850" s="10">
        <v>6</v>
      </c>
      <c r="F3850" t="s">
        <v>613</v>
      </c>
      <c r="G3850">
        <v>50</v>
      </c>
      <c r="H3850" t="s">
        <v>206</v>
      </c>
      <c r="I3850" t="s">
        <v>281</v>
      </c>
      <c r="J3850" s="10" t="str">
        <f>VLOOKUP(I3850,Categories!A:B,2,FALSE)</f>
        <v>Others</v>
      </c>
      <c r="K3850" t="s">
        <v>178</v>
      </c>
      <c r="L3850" s="10" t="str">
        <f>VLOOKUP(K3850,Accounts!A:B,2,FALSE)</f>
        <v>SCB</v>
      </c>
      <c r="M3850" t="s">
        <v>124</v>
      </c>
      <c r="N3850" s="10"/>
      <c r="O3850" t="s">
        <v>125</v>
      </c>
      <c r="Q3850" t="s">
        <v>126</v>
      </c>
      <c r="R3850" t="s">
        <v>124</v>
      </c>
      <c r="S3850" t="b">
        <v>0</v>
      </c>
      <c r="T3850" t="s">
        <v>124</v>
      </c>
    </row>
    <row r="3851">
      <c r="A3851" t="s">
        <v>6903</v>
      </c>
      <c r="B3851" t="s">
        <v>6896</v>
      </c>
      <c r="C3851" s="2">
        <v>2021</v>
      </c>
      <c r="D3851" s="10">
        <v>9</v>
      </c>
      <c r="E3851" s="10">
        <v>6</v>
      </c>
      <c r="F3851" t="s">
        <v>376</v>
      </c>
      <c r="G3851">
        <v>1113</v>
      </c>
      <c r="H3851" t="s">
        <v>69</v>
      </c>
      <c r="I3851" t="s">
        <v>1679</v>
      </c>
      <c r="J3851" s="10" t="str">
        <f>VLOOKUP(I3851,Categories!A:B,2,FALSE)</f>
        <v xml:space="preserve">Condo stuff</v>
      </c>
      <c r="K3851" t="s">
        <v>130</v>
      </c>
      <c r="L3851" s="10" t="str">
        <f>VLOOKUP(K3851,Accounts!A:B,2,FALSE)</f>
        <v xml:space="preserve">KTC JCB</v>
      </c>
      <c r="M3851" t="s">
        <v>124</v>
      </c>
      <c r="N3851" s="10"/>
      <c r="O3851" t="s">
        <v>125</v>
      </c>
      <c r="Q3851" t="s">
        <v>126</v>
      </c>
      <c r="R3851" t="s">
        <v>124</v>
      </c>
      <c r="S3851" t="b">
        <v>0</v>
      </c>
      <c r="T3851" t="s">
        <v>124</v>
      </c>
    </row>
    <row r="3852">
      <c r="A3852" t="s">
        <v>6904</v>
      </c>
      <c r="B3852" t="s">
        <v>6905</v>
      </c>
      <c r="C3852" s="2">
        <v>2021</v>
      </c>
      <c r="D3852" s="10">
        <v>9</v>
      </c>
      <c r="E3852" s="10">
        <v>5</v>
      </c>
      <c r="F3852" t="s">
        <v>4298</v>
      </c>
      <c r="G3852">
        <v>70</v>
      </c>
      <c r="H3852" t="s">
        <v>69</v>
      </c>
      <c r="I3852" t="s">
        <v>150</v>
      </c>
      <c r="J3852" s="10" t="str">
        <f>VLOOKUP(I3852,Categories!A:B,2,FALSE)</f>
        <v xml:space="preserve">Food &amp; Coff</v>
      </c>
      <c r="K3852" t="s">
        <v>2317</v>
      </c>
      <c r="L3852" s="10" t="str">
        <f>VLOOKUP(K3852,Accounts!A:B,2,FALSE)</f>
        <v xml:space="preserve">Marriage account</v>
      </c>
      <c r="M3852" t="s">
        <v>124</v>
      </c>
      <c r="N3852" s="10"/>
      <c r="O3852" t="s">
        <v>6906</v>
      </c>
      <c r="Q3852" t="s">
        <v>126</v>
      </c>
      <c r="R3852" t="s">
        <v>124</v>
      </c>
      <c r="S3852" t="b">
        <v>0</v>
      </c>
      <c r="T3852" t="s">
        <v>124</v>
      </c>
    </row>
    <row r="3853">
      <c r="A3853" t="s">
        <v>6907</v>
      </c>
      <c r="B3853" t="s">
        <v>6905</v>
      </c>
      <c r="C3853" s="2">
        <v>2021</v>
      </c>
      <c r="D3853" s="10">
        <v>9</v>
      </c>
      <c r="E3853" s="10">
        <v>5</v>
      </c>
      <c r="F3853" t="s">
        <v>2730</v>
      </c>
      <c r="G3853">
        <v>160</v>
      </c>
      <c r="H3853" t="s">
        <v>69</v>
      </c>
      <c r="I3853" t="s">
        <v>150</v>
      </c>
      <c r="J3853" s="10" t="str">
        <f>VLOOKUP(I3853,Categories!A:B,2,FALSE)</f>
        <v xml:space="preserve">Food &amp; Coff</v>
      </c>
      <c r="K3853" t="s">
        <v>2317</v>
      </c>
      <c r="L3853" s="10" t="str">
        <f>VLOOKUP(K3853,Accounts!A:B,2,FALSE)</f>
        <v xml:space="preserve">Marriage account</v>
      </c>
      <c r="M3853" t="s">
        <v>124</v>
      </c>
      <c r="N3853" s="10"/>
      <c r="O3853" t="s">
        <v>6908</v>
      </c>
      <c r="Q3853" t="s">
        <v>126</v>
      </c>
      <c r="R3853" t="s">
        <v>124</v>
      </c>
      <c r="S3853" t="b">
        <v>0</v>
      </c>
      <c r="T3853" t="s">
        <v>124</v>
      </c>
    </row>
    <row r="3854">
      <c r="A3854" t="s">
        <v>6909</v>
      </c>
      <c r="B3854" t="s">
        <v>6905</v>
      </c>
      <c r="C3854" s="2">
        <v>2021</v>
      </c>
      <c r="D3854" s="10">
        <v>9</v>
      </c>
      <c r="E3854" s="10">
        <v>5</v>
      </c>
      <c r="F3854" t="s">
        <v>3623</v>
      </c>
      <c r="G3854">
        <v>40</v>
      </c>
      <c r="H3854" t="s">
        <v>69</v>
      </c>
      <c r="I3854" t="s">
        <v>150</v>
      </c>
      <c r="J3854" s="10" t="str">
        <f>VLOOKUP(I3854,Categories!A:B,2,FALSE)</f>
        <v xml:space="preserve">Food &amp; Coff</v>
      </c>
      <c r="K3854" t="s">
        <v>893</v>
      </c>
      <c r="L3854" s="10" t="str">
        <f>VLOOKUP(K3854,Accounts!A:B,2,FALSE)</f>
        <v>Shopee</v>
      </c>
      <c r="M3854" t="s">
        <v>124</v>
      </c>
      <c r="N3854" s="10"/>
      <c r="O3854" t="s">
        <v>125</v>
      </c>
      <c r="Q3854" t="s">
        <v>126</v>
      </c>
      <c r="R3854" t="s">
        <v>124</v>
      </c>
      <c r="S3854" t="b">
        <v>0</v>
      </c>
      <c r="T3854" t="s">
        <v>124</v>
      </c>
    </row>
    <row r="3855">
      <c r="A3855" t="s">
        <v>6910</v>
      </c>
      <c r="B3855" t="s">
        <v>6905</v>
      </c>
      <c r="C3855" s="2">
        <v>2021</v>
      </c>
      <c r="D3855" s="10">
        <v>9</v>
      </c>
      <c r="E3855" s="10">
        <v>5</v>
      </c>
      <c r="F3855" t="s">
        <v>361</v>
      </c>
      <c r="G3855">
        <v>435</v>
      </c>
      <c r="H3855" t="s">
        <v>69</v>
      </c>
      <c r="I3855" t="s">
        <v>144</v>
      </c>
      <c r="J3855" s="10" t="str">
        <f>VLOOKUP(I3855,Categories!A:B,2,FALSE)</f>
        <v xml:space="preserve">Family paid</v>
      </c>
      <c r="K3855" t="s">
        <v>130</v>
      </c>
      <c r="L3855" s="10" t="str">
        <f>VLOOKUP(K3855,Accounts!A:B,2,FALSE)</f>
        <v xml:space="preserve">KTC JCB</v>
      </c>
      <c r="M3855" t="s">
        <v>124</v>
      </c>
      <c r="N3855" s="10"/>
      <c r="O3855" t="s">
        <v>6911</v>
      </c>
      <c r="Q3855" t="s">
        <v>126</v>
      </c>
      <c r="R3855" t="s">
        <v>124</v>
      </c>
      <c r="S3855" t="b">
        <v>0</v>
      </c>
      <c r="T3855" t="s">
        <v>124</v>
      </c>
    </row>
    <row r="3856">
      <c r="A3856" t="s">
        <v>6912</v>
      </c>
      <c r="B3856" t="s">
        <v>6913</v>
      </c>
      <c r="C3856" s="2">
        <v>2021</v>
      </c>
      <c r="D3856" s="10">
        <v>9</v>
      </c>
      <c r="E3856" s="10">
        <v>4</v>
      </c>
      <c r="F3856" t="s">
        <v>3737</v>
      </c>
      <c r="G3856">
        <v>55</v>
      </c>
      <c r="H3856" t="s">
        <v>69</v>
      </c>
      <c r="I3856" t="s">
        <v>150</v>
      </c>
      <c r="J3856" s="10" t="str">
        <f>VLOOKUP(I3856,Categories!A:B,2,FALSE)</f>
        <v xml:space="preserve">Food &amp; Coff</v>
      </c>
      <c r="K3856" t="s">
        <v>2317</v>
      </c>
      <c r="L3856" s="10" t="str">
        <f>VLOOKUP(K3856,Accounts!A:B,2,FALSE)</f>
        <v xml:space="preserve">Marriage account</v>
      </c>
      <c r="M3856" t="s">
        <v>124</v>
      </c>
      <c r="N3856" s="10"/>
      <c r="O3856" t="s">
        <v>6914</v>
      </c>
      <c r="Q3856" t="s">
        <v>126</v>
      </c>
      <c r="R3856" t="s">
        <v>124</v>
      </c>
      <c r="S3856" t="b">
        <v>0</v>
      </c>
      <c r="T3856" t="s">
        <v>124</v>
      </c>
    </row>
    <row r="3857">
      <c r="A3857" t="s">
        <v>6915</v>
      </c>
      <c r="B3857" t="s">
        <v>6913</v>
      </c>
      <c r="C3857" s="2">
        <v>2021</v>
      </c>
      <c r="D3857" s="10">
        <v>9</v>
      </c>
      <c r="E3857" s="10">
        <v>4</v>
      </c>
      <c r="F3857" t="s">
        <v>2493</v>
      </c>
      <c r="G3857">
        <v>70</v>
      </c>
      <c r="H3857" t="s">
        <v>128</v>
      </c>
      <c r="I3857" t="s">
        <v>136</v>
      </c>
      <c r="J3857" s="10" t="str">
        <f>VLOOKUP(I3857,Categories!A:B,2,FALSE)</f>
        <v>อื่นๆ</v>
      </c>
      <c r="K3857" t="s">
        <v>2317</v>
      </c>
      <c r="L3857" s="10" t="str">
        <f>VLOOKUP(K3857,Accounts!A:B,2,FALSE)</f>
        <v xml:space="preserve">Marriage account</v>
      </c>
      <c r="M3857" t="s">
        <v>178</v>
      </c>
      <c r="N3857" s="10" t="str">
        <f>VLOOKUP(M3857,Accounts!A:B,2,FALSE)</f>
        <v>SCB</v>
      </c>
      <c r="O3857" t="s">
        <v>6916</v>
      </c>
      <c r="Q3857" t="s">
        <v>126</v>
      </c>
      <c r="R3857" t="s">
        <v>124</v>
      </c>
      <c r="S3857" t="b">
        <v>0</v>
      </c>
      <c r="T3857" t="s">
        <v>124</v>
      </c>
    </row>
    <row r="3858">
      <c r="A3858" t="s">
        <v>6917</v>
      </c>
      <c r="B3858" t="s">
        <v>6913</v>
      </c>
      <c r="C3858" s="2">
        <v>2021</v>
      </c>
      <c r="D3858" s="10">
        <v>9</v>
      </c>
      <c r="E3858" s="10">
        <v>4</v>
      </c>
      <c r="F3858" t="s">
        <v>1534</v>
      </c>
      <c r="G3858">
        <v>100</v>
      </c>
      <c r="H3858" t="s">
        <v>69</v>
      </c>
      <c r="I3858" t="s">
        <v>150</v>
      </c>
      <c r="J3858" s="10" t="str">
        <f>VLOOKUP(I3858,Categories!A:B,2,FALSE)</f>
        <v xml:space="preserve">Food &amp; Coff</v>
      </c>
      <c r="K3858" t="s">
        <v>1313</v>
      </c>
      <c r="L3858" s="10" t="str">
        <f>VLOOKUP(K3858,Accounts!A:B,2,FALSE)</f>
        <v>Starbucks</v>
      </c>
      <c r="M3858" t="s">
        <v>124</v>
      </c>
      <c r="N3858" s="10"/>
      <c r="O3858" t="s">
        <v>125</v>
      </c>
      <c r="Q3858" t="s">
        <v>126</v>
      </c>
      <c r="R3858" t="s">
        <v>124</v>
      </c>
      <c r="S3858" t="b">
        <v>0</v>
      </c>
      <c r="T3858" t="s">
        <v>124</v>
      </c>
    </row>
    <row r="3859">
      <c r="A3859" t="s">
        <v>6918</v>
      </c>
      <c r="B3859" t="s">
        <v>6913</v>
      </c>
      <c r="C3859" s="2">
        <v>2021</v>
      </c>
      <c r="D3859" s="10">
        <v>9</v>
      </c>
      <c r="E3859" s="10">
        <v>4</v>
      </c>
      <c r="F3859" t="s">
        <v>6653</v>
      </c>
      <c r="G3859">
        <v>847.52999999999997</v>
      </c>
      <c r="H3859" t="s">
        <v>69</v>
      </c>
      <c r="I3859" t="s">
        <v>139</v>
      </c>
      <c r="J3859" s="10" t="str">
        <f>VLOOKUP(I3859,Categories!A:B,2,FALSE)</f>
        <v>Condo</v>
      </c>
      <c r="K3859" t="s">
        <v>178</v>
      </c>
      <c r="L3859" s="10" t="str">
        <f>VLOOKUP(K3859,Accounts!A:B,2,FALSE)</f>
        <v>SCB</v>
      </c>
      <c r="M3859" t="s">
        <v>124</v>
      </c>
      <c r="N3859" s="10"/>
      <c r="O3859" t="s">
        <v>6919</v>
      </c>
      <c r="Q3859" t="s">
        <v>126</v>
      </c>
      <c r="R3859" t="s">
        <v>124</v>
      </c>
      <c r="S3859" t="b">
        <v>0</v>
      </c>
      <c r="T3859" t="s">
        <v>124</v>
      </c>
    </row>
    <row r="3860">
      <c r="A3860" t="s">
        <v>6920</v>
      </c>
      <c r="B3860" t="s">
        <v>6913</v>
      </c>
      <c r="C3860" s="2">
        <v>2021</v>
      </c>
      <c r="D3860" s="10">
        <v>9</v>
      </c>
      <c r="E3860" s="10">
        <v>4</v>
      </c>
      <c r="F3860" t="s">
        <v>1703</v>
      </c>
      <c r="G3860">
        <v>753</v>
      </c>
      <c r="H3860" t="s">
        <v>69</v>
      </c>
      <c r="I3860" t="s">
        <v>150</v>
      </c>
      <c r="J3860" s="10" t="str">
        <f>VLOOKUP(I3860,Categories!A:B,2,FALSE)</f>
        <v xml:space="preserve">Food &amp; Coff</v>
      </c>
      <c r="K3860" t="s">
        <v>2317</v>
      </c>
      <c r="L3860" s="10" t="str">
        <f>VLOOKUP(K3860,Accounts!A:B,2,FALSE)</f>
        <v xml:space="preserve">Marriage account</v>
      </c>
      <c r="M3860" t="s">
        <v>124</v>
      </c>
      <c r="N3860" s="10"/>
      <c r="O3860" t="s">
        <v>5785</v>
      </c>
      <c r="Q3860" t="s">
        <v>126</v>
      </c>
      <c r="R3860" t="s">
        <v>124</v>
      </c>
      <c r="S3860" t="b">
        <v>0</v>
      </c>
      <c r="T3860" t="s">
        <v>124</v>
      </c>
    </row>
    <row r="3861">
      <c r="A3861" t="s">
        <v>6921</v>
      </c>
      <c r="B3861" t="s">
        <v>6913</v>
      </c>
      <c r="C3861" s="2">
        <v>2021</v>
      </c>
      <c r="D3861" s="10">
        <v>9</v>
      </c>
      <c r="E3861" s="10">
        <v>4</v>
      </c>
      <c r="F3861" t="s">
        <v>3674</v>
      </c>
      <c r="G3861">
        <v>675</v>
      </c>
      <c r="H3861" t="s">
        <v>69</v>
      </c>
      <c r="I3861" t="s">
        <v>1508</v>
      </c>
      <c r="J3861" s="10" t="str">
        <f>VLOOKUP(I3861,Categories!A:B,2,FALSE)</f>
        <v>Other</v>
      </c>
      <c r="K3861" t="s">
        <v>2317</v>
      </c>
      <c r="L3861" s="10" t="str">
        <f>VLOOKUP(K3861,Accounts!A:B,2,FALSE)</f>
        <v xml:space="preserve">Marriage account</v>
      </c>
      <c r="M3861" t="s">
        <v>124</v>
      </c>
      <c r="N3861" s="10"/>
      <c r="O3861" t="s">
        <v>6922</v>
      </c>
      <c r="Q3861" t="s">
        <v>126</v>
      </c>
      <c r="R3861" t="s">
        <v>124</v>
      </c>
      <c r="S3861" t="b">
        <v>0</v>
      </c>
      <c r="T3861" t="s">
        <v>124</v>
      </c>
    </row>
    <row r="3862">
      <c r="A3862" t="s">
        <v>6923</v>
      </c>
      <c r="B3862" t="s">
        <v>6913</v>
      </c>
      <c r="C3862" s="2">
        <v>2021</v>
      </c>
      <c r="D3862" s="10">
        <v>9</v>
      </c>
      <c r="E3862" s="10">
        <v>4</v>
      </c>
      <c r="F3862" t="s">
        <v>2709</v>
      </c>
      <c r="G3862">
        <v>328</v>
      </c>
      <c r="H3862" t="s">
        <v>69</v>
      </c>
      <c r="I3862" t="s">
        <v>1679</v>
      </c>
      <c r="J3862" s="10" t="str">
        <f>VLOOKUP(I3862,Categories!A:B,2,FALSE)</f>
        <v xml:space="preserve">Condo stuff</v>
      </c>
      <c r="K3862" t="s">
        <v>893</v>
      </c>
      <c r="L3862" s="10" t="str">
        <f>VLOOKUP(K3862,Accounts!A:B,2,FALSE)</f>
        <v>Shopee</v>
      </c>
      <c r="M3862" t="s">
        <v>124</v>
      </c>
      <c r="N3862" s="10"/>
      <c r="O3862" t="s">
        <v>125</v>
      </c>
      <c r="Q3862" t="s">
        <v>126</v>
      </c>
      <c r="R3862" t="s">
        <v>124</v>
      </c>
      <c r="S3862" t="b">
        <v>0</v>
      </c>
      <c r="T3862" t="s">
        <v>124</v>
      </c>
    </row>
    <row r="3863">
      <c r="A3863" t="s">
        <v>6924</v>
      </c>
      <c r="B3863" t="s">
        <v>6913</v>
      </c>
      <c r="C3863" s="2">
        <v>2021</v>
      </c>
      <c r="D3863" s="10">
        <v>9</v>
      </c>
      <c r="E3863" s="10">
        <v>4</v>
      </c>
      <c r="F3863" t="s">
        <v>847</v>
      </c>
      <c r="G3863">
        <v>832</v>
      </c>
      <c r="H3863" t="s">
        <v>69</v>
      </c>
      <c r="I3863" t="s">
        <v>150</v>
      </c>
      <c r="J3863" s="10" t="str">
        <f>VLOOKUP(I3863,Categories!A:B,2,FALSE)</f>
        <v xml:space="preserve">Food &amp; Coff</v>
      </c>
      <c r="K3863" t="s">
        <v>2317</v>
      </c>
      <c r="L3863" s="10" t="str">
        <f>VLOOKUP(K3863,Accounts!A:B,2,FALSE)</f>
        <v xml:space="preserve">Marriage account</v>
      </c>
      <c r="M3863" t="s">
        <v>124</v>
      </c>
      <c r="N3863" s="10"/>
      <c r="O3863" t="s">
        <v>1388</v>
      </c>
      <c r="Q3863" t="s">
        <v>126</v>
      </c>
      <c r="R3863" t="s">
        <v>124</v>
      </c>
      <c r="S3863" t="b">
        <v>0</v>
      </c>
      <c r="T3863" t="s">
        <v>124</v>
      </c>
    </row>
    <row r="3864">
      <c r="A3864" t="s">
        <v>6925</v>
      </c>
      <c r="B3864" t="s">
        <v>6926</v>
      </c>
      <c r="C3864" s="2">
        <v>2021</v>
      </c>
      <c r="D3864" s="10">
        <v>9</v>
      </c>
      <c r="E3864" s="10">
        <v>3</v>
      </c>
      <c r="F3864" t="s">
        <v>121</v>
      </c>
      <c r="G3864">
        <v>55</v>
      </c>
      <c r="H3864" t="s">
        <v>69</v>
      </c>
      <c r="I3864" t="s">
        <v>150</v>
      </c>
      <c r="J3864" s="10" t="str">
        <f>VLOOKUP(I3864,Categories!A:B,2,FALSE)</f>
        <v xml:space="preserve">Food &amp; Coff</v>
      </c>
      <c r="K3864" t="s">
        <v>2317</v>
      </c>
      <c r="L3864" s="10" t="str">
        <f>VLOOKUP(K3864,Accounts!A:B,2,FALSE)</f>
        <v xml:space="preserve">Marriage account</v>
      </c>
      <c r="M3864" t="s">
        <v>124</v>
      </c>
      <c r="N3864" s="10"/>
      <c r="O3864" t="s">
        <v>6927</v>
      </c>
      <c r="Q3864" t="s">
        <v>126</v>
      </c>
      <c r="R3864" t="s">
        <v>124</v>
      </c>
      <c r="S3864" t="b">
        <v>0</v>
      </c>
      <c r="T3864" t="s">
        <v>124</v>
      </c>
    </row>
    <row r="3865">
      <c r="A3865" t="s">
        <v>6928</v>
      </c>
      <c r="B3865" t="s">
        <v>6926</v>
      </c>
      <c r="C3865" s="2">
        <v>2021</v>
      </c>
      <c r="D3865" s="10">
        <v>9</v>
      </c>
      <c r="E3865" s="10">
        <v>3</v>
      </c>
      <c r="F3865" t="s">
        <v>3111</v>
      </c>
      <c r="G3865">
        <v>1900</v>
      </c>
      <c r="H3865" t="s">
        <v>128</v>
      </c>
      <c r="I3865" t="s">
        <v>136</v>
      </c>
      <c r="J3865" s="10" t="str">
        <f>VLOOKUP(I3865,Categories!A:B,2,FALSE)</f>
        <v>อื่นๆ</v>
      </c>
      <c r="K3865" t="s">
        <v>844</v>
      </c>
      <c r="L3865" s="10" t="str">
        <f>VLOOKUP(K3865,Accounts!A:B,2,FALSE)</f>
        <v>BBL</v>
      </c>
      <c r="M3865" t="s">
        <v>425</v>
      </c>
      <c r="N3865" s="10" t="str">
        <f>VLOOKUP(M3865,Accounts!A:B,2,FALSE)</f>
        <v>Cash</v>
      </c>
      <c r="O3865" t="s">
        <v>125</v>
      </c>
      <c r="Q3865" t="s">
        <v>126</v>
      </c>
      <c r="R3865" t="s">
        <v>124</v>
      </c>
      <c r="S3865" t="b">
        <v>0</v>
      </c>
      <c r="T3865" t="s">
        <v>124</v>
      </c>
    </row>
    <row r="3866">
      <c r="A3866" t="s">
        <v>6929</v>
      </c>
      <c r="B3866" t="s">
        <v>6926</v>
      </c>
      <c r="C3866" s="2">
        <v>2021</v>
      </c>
      <c r="D3866" s="10">
        <v>9</v>
      </c>
      <c r="E3866" s="10">
        <v>3</v>
      </c>
      <c r="F3866" t="s">
        <v>1992</v>
      </c>
      <c r="G3866">
        <v>200</v>
      </c>
      <c r="H3866" t="s">
        <v>69</v>
      </c>
      <c r="I3866" t="s">
        <v>150</v>
      </c>
      <c r="J3866" s="10" t="str">
        <f>VLOOKUP(I3866,Categories!A:B,2,FALSE)</f>
        <v xml:space="preserve">Food &amp; Coff</v>
      </c>
      <c r="K3866" t="s">
        <v>2317</v>
      </c>
      <c r="L3866" s="10" t="str">
        <f>VLOOKUP(K3866,Accounts!A:B,2,FALSE)</f>
        <v xml:space="preserve">Marriage account</v>
      </c>
      <c r="M3866" t="s">
        <v>124</v>
      </c>
      <c r="N3866" s="10"/>
      <c r="O3866" t="s">
        <v>6930</v>
      </c>
      <c r="Q3866" t="s">
        <v>126</v>
      </c>
      <c r="R3866" t="s">
        <v>124</v>
      </c>
      <c r="S3866" t="b">
        <v>0</v>
      </c>
      <c r="T3866" t="s">
        <v>124</v>
      </c>
    </row>
    <row r="3867">
      <c r="A3867" t="s">
        <v>6931</v>
      </c>
      <c r="B3867" t="s">
        <v>6926</v>
      </c>
      <c r="C3867" s="2">
        <v>2021</v>
      </c>
      <c r="D3867" s="10">
        <v>9</v>
      </c>
      <c r="E3867" s="10">
        <v>3</v>
      </c>
      <c r="F3867" t="s">
        <v>1992</v>
      </c>
      <c r="G3867">
        <v>200</v>
      </c>
      <c r="H3867" t="s">
        <v>128</v>
      </c>
      <c r="I3867" t="s">
        <v>136</v>
      </c>
      <c r="J3867" s="10" t="str">
        <f>VLOOKUP(I3867,Categories!A:B,2,FALSE)</f>
        <v>อื่นๆ</v>
      </c>
      <c r="K3867" t="s">
        <v>425</v>
      </c>
      <c r="L3867" s="10" t="str">
        <f>VLOOKUP(K3867,Accounts!A:B,2,FALSE)</f>
        <v>Cash</v>
      </c>
      <c r="M3867" t="s">
        <v>178</v>
      </c>
      <c r="N3867" s="10" t="str">
        <f>VLOOKUP(M3867,Accounts!A:B,2,FALSE)</f>
        <v>SCB</v>
      </c>
      <c r="O3867" t="s">
        <v>6932</v>
      </c>
      <c r="Q3867" t="s">
        <v>126</v>
      </c>
      <c r="R3867" t="s">
        <v>124</v>
      </c>
      <c r="S3867" t="b">
        <v>0</v>
      </c>
      <c r="T3867" t="s">
        <v>124</v>
      </c>
    </row>
    <row r="3868">
      <c r="A3868" t="s">
        <v>6933</v>
      </c>
      <c r="B3868" t="s">
        <v>6934</v>
      </c>
      <c r="C3868" s="2">
        <v>2021</v>
      </c>
      <c r="D3868" s="10">
        <v>9</v>
      </c>
      <c r="E3868" s="10">
        <v>2</v>
      </c>
      <c r="F3868" t="s">
        <v>2835</v>
      </c>
      <c r="G3868">
        <v>79</v>
      </c>
      <c r="H3868" t="s">
        <v>69</v>
      </c>
      <c r="I3868" t="s">
        <v>150</v>
      </c>
      <c r="J3868" s="10" t="str">
        <f>VLOOKUP(I3868,Categories!A:B,2,FALSE)</f>
        <v xml:space="preserve">Food &amp; Coff</v>
      </c>
      <c r="K3868" t="s">
        <v>2317</v>
      </c>
      <c r="L3868" s="10" t="str">
        <f>VLOOKUP(K3868,Accounts!A:B,2,FALSE)</f>
        <v xml:space="preserve">Marriage account</v>
      </c>
      <c r="M3868" t="s">
        <v>124</v>
      </c>
      <c r="N3868" s="10"/>
      <c r="O3868" t="s">
        <v>6935</v>
      </c>
      <c r="Q3868" t="s">
        <v>126</v>
      </c>
      <c r="R3868" t="s">
        <v>124</v>
      </c>
      <c r="S3868" t="b">
        <v>0</v>
      </c>
      <c r="T3868" t="s">
        <v>124</v>
      </c>
    </row>
    <row r="3869">
      <c r="A3869" t="s">
        <v>6936</v>
      </c>
      <c r="B3869" t="s">
        <v>6934</v>
      </c>
      <c r="C3869" s="2">
        <v>2021</v>
      </c>
      <c r="D3869" s="10">
        <v>9</v>
      </c>
      <c r="E3869" s="10">
        <v>2</v>
      </c>
      <c r="F3869" t="s">
        <v>386</v>
      </c>
      <c r="G3869">
        <v>184</v>
      </c>
      <c r="H3869" t="s">
        <v>69</v>
      </c>
      <c r="I3869" t="s">
        <v>150</v>
      </c>
      <c r="J3869" s="10" t="str">
        <f>VLOOKUP(I3869,Categories!A:B,2,FALSE)</f>
        <v xml:space="preserve">Food &amp; Coff</v>
      </c>
      <c r="K3869" t="s">
        <v>2317</v>
      </c>
      <c r="L3869" s="10" t="str">
        <f>VLOOKUP(K3869,Accounts!A:B,2,FALSE)</f>
        <v xml:space="preserve">Marriage account</v>
      </c>
      <c r="M3869" t="s">
        <v>124</v>
      </c>
      <c r="N3869" s="10"/>
      <c r="O3869" t="s">
        <v>6611</v>
      </c>
      <c r="Q3869" t="s">
        <v>126</v>
      </c>
      <c r="R3869" t="s">
        <v>124</v>
      </c>
      <c r="S3869" t="b">
        <v>0</v>
      </c>
      <c r="T3869" t="s">
        <v>124</v>
      </c>
    </row>
    <row r="3870">
      <c r="A3870" t="s">
        <v>6937</v>
      </c>
      <c r="B3870" t="s">
        <v>6934</v>
      </c>
      <c r="C3870" s="2">
        <v>2021</v>
      </c>
      <c r="D3870" s="10">
        <v>9</v>
      </c>
      <c r="E3870" s="10">
        <v>2</v>
      </c>
      <c r="F3870" t="s">
        <v>380</v>
      </c>
      <c r="G3870">
        <v>160</v>
      </c>
      <c r="H3870" t="s">
        <v>69</v>
      </c>
      <c r="I3870" t="s">
        <v>150</v>
      </c>
      <c r="J3870" s="10" t="str">
        <f>VLOOKUP(I3870,Categories!A:B,2,FALSE)</f>
        <v xml:space="preserve">Food &amp; Coff</v>
      </c>
      <c r="K3870" t="s">
        <v>2317</v>
      </c>
      <c r="L3870" s="10" t="str">
        <f>VLOOKUP(K3870,Accounts!A:B,2,FALSE)</f>
        <v xml:space="preserve">Marriage account</v>
      </c>
      <c r="M3870" t="s">
        <v>124</v>
      </c>
      <c r="N3870" s="10"/>
      <c r="O3870" t="s">
        <v>4230</v>
      </c>
      <c r="Q3870" t="s">
        <v>126</v>
      </c>
      <c r="R3870" t="s">
        <v>124</v>
      </c>
      <c r="S3870" t="b">
        <v>0</v>
      </c>
      <c r="T3870" t="s">
        <v>124</v>
      </c>
    </row>
    <row r="3871">
      <c r="A3871" t="s">
        <v>6938</v>
      </c>
      <c r="B3871" t="s">
        <v>6934</v>
      </c>
      <c r="C3871" s="2">
        <v>2021</v>
      </c>
      <c r="D3871" s="10">
        <v>9</v>
      </c>
      <c r="E3871" s="10">
        <v>2</v>
      </c>
      <c r="F3871" t="s">
        <v>1741</v>
      </c>
      <c r="G3871">
        <v>3943.6599999999999</v>
      </c>
      <c r="H3871" t="s">
        <v>128</v>
      </c>
      <c r="I3871" t="s">
        <v>136</v>
      </c>
      <c r="J3871" s="10" t="str">
        <f>VLOOKUP(I3871,Categories!A:B,2,FALSE)</f>
        <v>อื่นๆ</v>
      </c>
      <c r="K3871" t="s">
        <v>2317</v>
      </c>
      <c r="L3871" s="10" t="str">
        <f>VLOOKUP(K3871,Accounts!A:B,2,FALSE)</f>
        <v xml:space="preserve">Marriage account</v>
      </c>
      <c r="M3871" t="s">
        <v>5238</v>
      </c>
      <c r="N3871" s="10" t="str">
        <f>VLOOKUP(M3871,Accounts!A:B,2,FALSE)</f>
        <v xml:space="preserve">marriage savings</v>
      </c>
      <c r="O3871" t="s">
        <v>125</v>
      </c>
      <c r="Q3871" t="s">
        <v>126</v>
      </c>
      <c r="R3871" t="s">
        <v>124</v>
      </c>
      <c r="S3871" t="b">
        <v>0</v>
      </c>
      <c r="T3871" t="s">
        <v>124</v>
      </c>
    </row>
    <row r="3872">
      <c r="A3872" t="s">
        <v>6939</v>
      </c>
      <c r="B3872" t="s">
        <v>6934</v>
      </c>
      <c r="C3872" s="2">
        <v>2021</v>
      </c>
      <c r="D3872" s="10">
        <v>9</v>
      </c>
      <c r="E3872" s="10">
        <v>2</v>
      </c>
      <c r="F3872" t="s">
        <v>1837</v>
      </c>
      <c r="G3872">
        <v>623</v>
      </c>
      <c r="H3872" t="s">
        <v>69</v>
      </c>
      <c r="I3872" t="s">
        <v>150</v>
      </c>
      <c r="J3872" s="10" t="str">
        <f>VLOOKUP(I3872,Categories!A:B,2,FALSE)</f>
        <v xml:space="preserve">Food &amp; Coff</v>
      </c>
      <c r="K3872" t="s">
        <v>2317</v>
      </c>
      <c r="L3872" s="10" t="str">
        <f>VLOOKUP(K3872,Accounts!A:B,2,FALSE)</f>
        <v xml:space="preserve">Marriage account</v>
      </c>
      <c r="M3872" t="s">
        <v>124</v>
      </c>
      <c r="N3872" s="10"/>
      <c r="O3872" t="s">
        <v>6940</v>
      </c>
      <c r="Q3872" t="s">
        <v>126</v>
      </c>
      <c r="R3872" t="s">
        <v>124</v>
      </c>
      <c r="S3872" t="b">
        <v>0</v>
      </c>
      <c r="T3872" t="s">
        <v>124</v>
      </c>
    </row>
    <row r="3873">
      <c r="A3873" t="s">
        <v>6941</v>
      </c>
      <c r="B3873" t="s">
        <v>6942</v>
      </c>
      <c r="C3873" s="2">
        <v>2021</v>
      </c>
      <c r="D3873" s="10">
        <v>9</v>
      </c>
      <c r="E3873" s="10">
        <v>1</v>
      </c>
      <c r="F3873" t="s">
        <v>2827</v>
      </c>
      <c r="G3873">
        <v>10000</v>
      </c>
      <c r="H3873" t="s">
        <v>128</v>
      </c>
      <c r="I3873" t="s">
        <v>136</v>
      </c>
      <c r="J3873" s="10" t="str">
        <f>VLOOKUP(I3873,Categories!A:B,2,FALSE)</f>
        <v>อื่นๆ</v>
      </c>
      <c r="K3873" t="s">
        <v>178</v>
      </c>
      <c r="L3873" s="10" t="str">
        <f>VLOOKUP(K3873,Accounts!A:B,2,FALSE)</f>
        <v>SCB</v>
      </c>
      <c r="M3873" t="s">
        <v>2317</v>
      </c>
      <c r="N3873" s="10" t="str">
        <f>VLOOKUP(M3873,Accounts!A:B,2,FALSE)</f>
        <v xml:space="preserve">Marriage account</v>
      </c>
      <c r="O3873" t="s">
        <v>125</v>
      </c>
      <c r="Q3873" t="s">
        <v>126</v>
      </c>
      <c r="R3873" t="s">
        <v>124</v>
      </c>
      <c r="S3873" t="b">
        <v>0</v>
      </c>
      <c r="T3873" t="s">
        <v>124</v>
      </c>
    </row>
    <row r="3874">
      <c r="A3874" t="s">
        <v>6943</v>
      </c>
      <c r="B3874" t="s">
        <v>6942</v>
      </c>
      <c r="C3874" s="2">
        <v>2021</v>
      </c>
      <c r="D3874" s="10">
        <v>9</v>
      </c>
      <c r="E3874" s="10">
        <v>1</v>
      </c>
      <c r="F3874" t="s">
        <v>2445</v>
      </c>
      <c r="G3874">
        <v>477</v>
      </c>
      <c r="H3874" t="s">
        <v>69</v>
      </c>
      <c r="I3874" t="s">
        <v>144</v>
      </c>
      <c r="J3874" s="10" t="str">
        <f>VLOOKUP(I3874,Categories!A:B,2,FALSE)</f>
        <v xml:space="preserve">Family paid</v>
      </c>
      <c r="K3874" t="s">
        <v>747</v>
      </c>
      <c r="L3874" s="10" t="str">
        <f>VLOOKUP(K3874,Accounts!A:B,2,FALSE)</f>
        <v xml:space="preserve">UOB world</v>
      </c>
      <c r="M3874" t="s">
        <v>124</v>
      </c>
      <c r="N3874" s="10"/>
      <c r="O3874" t="s">
        <v>125</v>
      </c>
      <c r="Q3874" t="s">
        <v>126</v>
      </c>
      <c r="R3874" t="s">
        <v>124</v>
      </c>
      <c r="S3874" t="b">
        <v>0</v>
      </c>
      <c r="T3874" t="s">
        <v>124</v>
      </c>
    </row>
    <row r="3875">
      <c r="A3875" t="s">
        <v>6944</v>
      </c>
      <c r="B3875" t="s">
        <v>6945</v>
      </c>
      <c r="C3875" s="2">
        <v>2021</v>
      </c>
      <c r="D3875" s="10">
        <v>8</v>
      </c>
      <c r="E3875" s="10">
        <v>31</v>
      </c>
      <c r="F3875" t="s">
        <v>1057</v>
      </c>
      <c r="G3875">
        <v>109</v>
      </c>
      <c r="H3875" t="s">
        <v>69</v>
      </c>
      <c r="I3875" t="s">
        <v>150</v>
      </c>
      <c r="J3875" s="10" t="str">
        <f>VLOOKUP(I3875,Categories!A:B,2,FALSE)</f>
        <v xml:space="preserve">Food &amp; Coff</v>
      </c>
      <c r="K3875" t="s">
        <v>2317</v>
      </c>
      <c r="L3875" s="10" t="str">
        <f>VLOOKUP(K3875,Accounts!A:B,2,FALSE)</f>
        <v xml:space="preserve">Marriage account</v>
      </c>
      <c r="M3875" t="s">
        <v>124</v>
      </c>
      <c r="N3875" s="10"/>
      <c r="O3875" t="s">
        <v>6946</v>
      </c>
      <c r="Q3875" t="s">
        <v>126</v>
      </c>
      <c r="R3875" t="s">
        <v>124</v>
      </c>
      <c r="S3875" t="b">
        <v>0</v>
      </c>
      <c r="T3875" t="s">
        <v>124</v>
      </c>
    </row>
    <row r="3876">
      <c r="A3876" t="s">
        <v>6947</v>
      </c>
      <c r="B3876" t="s">
        <v>6948</v>
      </c>
      <c r="C3876" s="2">
        <v>2021</v>
      </c>
      <c r="D3876" s="10">
        <v>8</v>
      </c>
      <c r="E3876" s="10">
        <v>30</v>
      </c>
      <c r="F3876" t="s">
        <v>620</v>
      </c>
      <c r="G3876">
        <v>145.24000000000001</v>
      </c>
      <c r="H3876" t="s">
        <v>69</v>
      </c>
      <c r="I3876" t="s">
        <v>150</v>
      </c>
      <c r="J3876" s="10" t="str">
        <f>VLOOKUP(I3876,Categories!A:B,2,FALSE)</f>
        <v xml:space="preserve">Food &amp; Coff</v>
      </c>
      <c r="K3876" t="s">
        <v>2317</v>
      </c>
      <c r="L3876" s="10" t="str">
        <f>VLOOKUP(K3876,Accounts!A:B,2,FALSE)</f>
        <v xml:space="preserve">Marriage account</v>
      </c>
      <c r="M3876" t="s">
        <v>124</v>
      </c>
      <c r="N3876" s="10"/>
      <c r="O3876" t="s">
        <v>6857</v>
      </c>
      <c r="Q3876" t="s">
        <v>126</v>
      </c>
      <c r="R3876" t="s">
        <v>124</v>
      </c>
      <c r="S3876" t="b">
        <v>0</v>
      </c>
      <c r="T3876" t="s">
        <v>124</v>
      </c>
    </row>
    <row r="3877">
      <c r="A3877" t="s">
        <v>6949</v>
      </c>
      <c r="B3877" t="s">
        <v>6948</v>
      </c>
      <c r="C3877" s="2">
        <v>2021</v>
      </c>
      <c r="D3877" s="10">
        <v>8</v>
      </c>
      <c r="E3877" s="10">
        <v>30</v>
      </c>
      <c r="F3877" t="s">
        <v>1654</v>
      </c>
      <c r="G3877">
        <v>384</v>
      </c>
      <c r="H3877" t="s">
        <v>69</v>
      </c>
      <c r="I3877" t="s">
        <v>150</v>
      </c>
      <c r="J3877" s="10" t="str">
        <f>VLOOKUP(I3877,Categories!A:B,2,FALSE)</f>
        <v xml:space="preserve">Food &amp; Coff</v>
      </c>
      <c r="K3877" t="s">
        <v>2317</v>
      </c>
      <c r="L3877" s="10" t="str">
        <f>VLOOKUP(K3877,Accounts!A:B,2,FALSE)</f>
        <v xml:space="preserve">Marriage account</v>
      </c>
      <c r="M3877" t="s">
        <v>124</v>
      </c>
      <c r="N3877" s="10"/>
      <c r="O3877" t="s">
        <v>6950</v>
      </c>
      <c r="Q3877" t="s">
        <v>126</v>
      </c>
      <c r="R3877" t="s">
        <v>124</v>
      </c>
      <c r="S3877" t="b">
        <v>0</v>
      </c>
      <c r="T3877" t="s">
        <v>124</v>
      </c>
    </row>
    <row r="3878">
      <c r="A3878" t="s">
        <v>6951</v>
      </c>
      <c r="B3878" t="s">
        <v>6948</v>
      </c>
      <c r="C3878" s="2">
        <v>2021</v>
      </c>
      <c r="D3878" s="10">
        <v>8</v>
      </c>
      <c r="E3878" s="10">
        <v>30</v>
      </c>
      <c r="F3878" t="s">
        <v>2498</v>
      </c>
      <c r="G3878">
        <v>50</v>
      </c>
      <c r="H3878" t="s">
        <v>206</v>
      </c>
      <c r="I3878" t="s">
        <v>281</v>
      </c>
      <c r="J3878" s="10" t="str">
        <f>VLOOKUP(I3878,Categories!A:B,2,FALSE)</f>
        <v>Others</v>
      </c>
      <c r="K3878" t="s">
        <v>178</v>
      </c>
      <c r="L3878" s="10" t="str">
        <f>VLOOKUP(K3878,Accounts!A:B,2,FALSE)</f>
        <v>SCB</v>
      </c>
      <c r="M3878" t="s">
        <v>124</v>
      </c>
      <c r="N3878" s="10"/>
      <c r="O3878" t="s">
        <v>125</v>
      </c>
      <c r="Q3878" t="s">
        <v>126</v>
      </c>
      <c r="R3878" t="s">
        <v>124</v>
      </c>
      <c r="S3878" t="b">
        <v>0</v>
      </c>
      <c r="T3878" t="s">
        <v>124</v>
      </c>
    </row>
    <row r="3879">
      <c r="A3879" t="s">
        <v>6952</v>
      </c>
      <c r="B3879" t="s">
        <v>6948</v>
      </c>
      <c r="C3879" s="2">
        <v>2021</v>
      </c>
      <c r="D3879" s="10">
        <v>8</v>
      </c>
      <c r="E3879" s="10">
        <v>30</v>
      </c>
      <c r="F3879" t="s">
        <v>3704</v>
      </c>
      <c r="G3879">
        <v>1000</v>
      </c>
      <c r="H3879" t="s">
        <v>69</v>
      </c>
      <c r="I3879" t="s">
        <v>1508</v>
      </c>
      <c r="J3879" s="10" t="str">
        <f>VLOOKUP(I3879,Categories!A:B,2,FALSE)</f>
        <v>Other</v>
      </c>
      <c r="K3879" t="s">
        <v>425</v>
      </c>
      <c r="L3879" s="10" t="str">
        <f>VLOOKUP(K3879,Accounts!A:B,2,FALSE)</f>
        <v>Cash</v>
      </c>
      <c r="M3879" t="s">
        <v>124</v>
      </c>
      <c r="N3879" s="10"/>
      <c r="O3879" t="s">
        <v>6953</v>
      </c>
      <c r="Q3879" t="s">
        <v>126</v>
      </c>
      <c r="R3879" t="s">
        <v>124</v>
      </c>
      <c r="S3879" t="b">
        <v>0</v>
      </c>
      <c r="T3879" t="s">
        <v>124</v>
      </c>
    </row>
    <row r="3880">
      <c r="A3880" t="s">
        <v>6954</v>
      </c>
      <c r="B3880" t="s">
        <v>6955</v>
      </c>
      <c r="C3880" s="2">
        <v>2021</v>
      </c>
      <c r="D3880" s="10">
        <v>8</v>
      </c>
      <c r="E3880" s="10">
        <v>29</v>
      </c>
      <c r="F3880" t="s">
        <v>620</v>
      </c>
      <c r="G3880">
        <v>145.24000000000001</v>
      </c>
      <c r="H3880" t="s">
        <v>69</v>
      </c>
      <c r="I3880" t="s">
        <v>150</v>
      </c>
      <c r="J3880" s="10" t="str">
        <f>VLOOKUP(I3880,Categories!A:B,2,FALSE)</f>
        <v xml:space="preserve">Food &amp; Coff</v>
      </c>
      <c r="K3880" t="s">
        <v>2317</v>
      </c>
      <c r="L3880" s="10" t="str">
        <f>VLOOKUP(K3880,Accounts!A:B,2,FALSE)</f>
        <v xml:space="preserve">Marriage account</v>
      </c>
      <c r="M3880" t="s">
        <v>124</v>
      </c>
      <c r="N3880" s="10"/>
      <c r="O3880" t="s">
        <v>125</v>
      </c>
      <c r="Q3880" t="s">
        <v>126</v>
      </c>
      <c r="R3880" t="s">
        <v>124</v>
      </c>
      <c r="S3880" t="b">
        <v>0</v>
      </c>
      <c r="T3880" t="s">
        <v>124</v>
      </c>
    </row>
    <row r="3881">
      <c r="A3881" t="s">
        <v>6956</v>
      </c>
      <c r="B3881" t="s">
        <v>6955</v>
      </c>
      <c r="C3881" s="2">
        <v>2021</v>
      </c>
      <c r="D3881" s="10">
        <v>8</v>
      </c>
      <c r="E3881" s="10">
        <v>29</v>
      </c>
      <c r="F3881" t="s">
        <v>3223</v>
      </c>
      <c r="G3881">
        <v>940</v>
      </c>
      <c r="H3881" t="s">
        <v>69</v>
      </c>
      <c r="I3881" t="s">
        <v>144</v>
      </c>
      <c r="J3881" s="10" t="str">
        <f>VLOOKUP(I3881,Categories!A:B,2,FALSE)</f>
        <v xml:space="preserve">Family paid</v>
      </c>
      <c r="K3881" t="s">
        <v>178</v>
      </c>
      <c r="L3881" s="10" t="str">
        <f>VLOOKUP(K3881,Accounts!A:B,2,FALSE)</f>
        <v>SCB</v>
      </c>
      <c r="M3881" t="s">
        <v>124</v>
      </c>
      <c r="N3881" s="10"/>
      <c r="O3881" t="s">
        <v>6957</v>
      </c>
      <c r="Q3881" t="s">
        <v>126</v>
      </c>
      <c r="R3881" t="s">
        <v>124</v>
      </c>
      <c r="S3881" t="b">
        <v>0</v>
      </c>
      <c r="T3881" t="s">
        <v>124</v>
      </c>
    </row>
    <row r="3882">
      <c r="A3882" t="s">
        <v>6958</v>
      </c>
      <c r="B3882" t="s">
        <v>6955</v>
      </c>
      <c r="C3882" s="2">
        <v>2021</v>
      </c>
      <c r="D3882" s="10">
        <v>8</v>
      </c>
      <c r="E3882" s="10">
        <v>29</v>
      </c>
      <c r="F3882" t="s">
        <v>3580</v>
      </c>
      <c r="G3882">
        <v>6000</v>
      </c>
      <c r="H3882" t="s">
        <v>128</v>
      </c>
      <c r="I3882" t="s">
        <v>136</v>
      </c>
      <c r="J3882" s="10" t="str">
        <f>VLOOKUP(I3882,Categories!A:B,2,FALSE)</f>
        <v>อื่นๆ</v>
      </c>
      <c r="K3882" t="s">
        <v>123</v>
      </c>
      <c r="L3882" s="10" t="str">
        <f>VLOOKUP(K3882,Accounts!A:B,2,FALSE)</f>
        <v>KBank</v>
      </c>
      <c r="M3882" t="s">
        <v>425</v>
      </c>
      <c r="N3882" s="10" t="str">
        <f>VLOOKUP(M3882,Accounts!A:B,2,FALSE)</f>
        <v>Cash</v>
      </c>
      <c r="O3882" t="s">
        <v>125</v>
      </c>
      <c r="Q3882" t="s">
        <v>126</v>
      </c>
      <c r="R3882" t="s">
        <v>124</v>
      </c>
      <c r="S3882" t="b">
        <v>0</v>
      </c>
      <c r="T3882" t="s">
        <v>124</v>
      </c>
    </row>
    <row r="3883">
      <c r="A3883" t="s">
        <v>6959</v>
      </c>
      <c r="B3883" t="s">
        <v>6955</v>
      </c>
      <c r="C3883" s="2">
        <v>2021</v>
      </c>
      <c r="D3883" s="10">
        <v>8</v>
      </c>
      <c r="E3883" s="10">
        <v>29</v>
      </c>
      <c r="F3883" t="s">
        <v>1624</v>
      </c>
      <c r="G3883">
        <v>5000</v>
      </c>
      <c r="H3883" t="s">
        <v>69</v>
      </c>
      <c r="I3883" t="s">
        <v>144</v>
      </c>
      <c r="J3883" s="10" t="str">
        <f>VLOOKUP(I3883,Categories!A:B,2,FALSE)</f>
        <v xml:space="preserve">Family paid</v>
      </c>
      <c r="K3883" t="s">
        <v>425</v>
      </c>
      <c r="L3883" s="10" t="str">
        <f>VLOOKUP(K3883,Accounts!A:B,2,FALSE)</f>
        <v>Cash</v>
      </c>
      <c r="M3883" t="s">
        <v>124</v>
      </c>
      <c r="N3883" s="10"/>
      <c r="O3883" t="s">
        <v>125</v>
      </c>
      <c r="Q3883" t="s">
        <v>126</v>
      </c>
      <c r="R3883" t="s">
        <v>124</v>
      </c>
      <c r="S3883" t="b">
        <v>0</v>
      </c>
      <c r="T3883" t="s">
        <v>124</v>
      </c>
    </row>
    <row r="3884">
      <c r="A3884" t="s">
        <v>6960</v>
      </c>
      <c r="B3884" t="s">
        <v>6961</v>
      </c>
      <c r="C3884" s="2">
        <v>2021</v>
      </c>
      <c r="D3884" s="10">
        <v>8</v>
      </c>
      <c r="E3884" s="10">
        <v>28</v>
      </c>
      <c r="F3884" t="s">
        <v>3525</v>
      </c>
      <c r="G3884">
        <v>390</v>
      </c>
      <c r="H3884" t="s">
        <v>69</v>
      </c>
      <c r="I3884" t="s">
        <v>150</v>
      </c>
      <c r="J3884" s="10" t="str">
        <f>VLOOKUP(I3884,Categories!A:B,2,FALSE)</f>
        <v xml:space="preserve">Food &amp; Coff</v>
      </c>
      <c r="K3884" t="s">
        <v>2317</v>
      </c>
      <c r="L3884" s="10" t="str">
        <f>VLOOKUP(K3884,Accounts!A:B,2,FALSE)</f>
        <v xml:space="preserve">Marriage account</v>
      </c>
      <c r="M3884" t="s">
        <v>124</v>
      </c>
      <c r="N3884" s="10"/>
      <c r="O3884" t="s">
        <v>6962</v>
      </c>
      <c r="Q3884" t="s">
        <v>126</v>
      </c>
      <c r="R3884" t="s">
        <v>124</v>
      </c>
      <c r="S3884" t="b">
        <v>0</v>
      </c>
      <c r="T3884" t="s">
        <v>124</v>
      </c>
    </row>
    <row r="3885">
      <c r="A3885" t="s">
        <v>6963</v>
      </c>
      <c r="B3885" t="s">
        <v>6961</v>
      </c>
      <c r="C3885" s="2">
        <v>2021</v>
      </c>
      <c r="D3885" s="10">
        <v>8</v>
      </c>
      <c r="E3885" s="10">
        <v>28</v>
      </c>
      <c r="F3885" t="s">
        <v>579</v>
      </c>
      <c r="G3885">
        <v>189.15000000000001</v>
      </c>
      <c r="H3885" t="s">
        <v>69</v>
      </c>
      <c r="I3885" t="s">
        <v>1508</v>
      </c>
      <c r="J3885" s="10" t="str">
        <f>VLOOKUP(I3885,Categories!A:B,2,FALSE)</f>
        <v>Other</v>
      </c>
      <c r="K3885" t="s">
        <v>2317</v>
      </c>
      <c r="L3885" s="10" t="str">
        <f>VLOOKUP(K3885,Accounts!A:B,2,FALSE)</f>
        <v xml:space="preserve">Marriage account</v>
      </c>
      <c r="M3885" t="s">
        <v>124</v>
      </c>
      <c r="N3885" s="10"/>
      <c r="O3885" t="s">
        <v>6964</v>
      </c>
      <c r="Q3885" t="s">
        <v>126</v>
      </c>
      <c r="R3885" t="s">
        <v>124</v>
      </c>
      <c r="S3885" t="b">
        <v>0</v>
      </c>
      <c r="T3885" t="s">
        <v>124</v>
      </c>
    </row>
    <row r="3886">
      <c r="A3886" t="s">
        <v>6965</v>
      </c>
      <c r="B3886" t="s">
        <v>6961</v>
      </c>
      <c r="C3886" s="2">
        <v>2021</v>
      </c>
      <c r="D3886" s="10">
        <v>8</v>
      </c>
      <c r="E3886" s="10">
        <v>28</v>
      </c>
      <c r="F3886" t="s">
        <v>5320</v>
      </c>
      <c r="G3886">
        <v>1074.5</v>
      </c>
      <c r="H3886" t="s">
        <v>69</v>
      </c>
      <c r="I3886" t="s">
        <v>150</v>
      </c>
      <c r="J3886" s="10" t="str">
        <f>VLOOKUP(I3886,Categories!A:B,2,FALSE)</f>
        <v xml:space="preserve">Food &amp; Coff</v>
      </c>
      <c r="K3886" t="s">
        <v>2317</v>
      </c>
      <c r="L3886" s="10" t="str">
        <f>VLOOKUP(K3886,Accounts!A:B,2,FALSE)</f>
        <v xml:space="preserve">Marriage account</v>
      </c>
      <c r="M3886" t="s">
        <v>124</v>
      </c>
      <c r="N3886" s="10"/>
      <c r="O3886" t="s">
        <v>6469</v>
      </c>
      <c r="Q3886" t="s">
        <v>126</v>
      </c>
      <c r="R3886" t="s">
        <v>124</v>
      </c>
      <c r="S3886" t="b">
        <v>0</v>
      </c>
      <c r="T3886" t="s">
        <v>124</v>
      </c>
    </row>
    <row r="3887">
      <c r="A3887" t="s">
        <v>6966</v>
      </c>
      <c r="B3887" t="s">
        <v>6961</v>
      </c>
      <c r="C3887" s="2">
        <v>2021</v>
      </c>
      <c r="D3887" s="10">
        <v>8</v>
      </c>
      <c r="E3887" s="10">
        <v>28</v>
      </c>
      <c r="F3887" t="s">
        <v>4465</v>
      </c>
      <c r="G3887">
        <v>2150</v>
      </c>
      <c r="H3887" t="s">
        <v>69</v>
      </c>
      <c r="I3887" t="s">
        <v>152</v>
      </c>
      <c r="J3887" s="10" t="str">
        <f>VLOOKUP(I3887,Categories!A:B,2,FALSE)</f>
        <v xml:space="preserve">Office Suit</v>
      </c>
      <c r="K3887" t="s">
        <v>130</v>
      </c>
      <c r="L3887" s="10" t="str">
        <f>VLOOKUP(K3887,Accounts!A:B,2,FALSE)</f>
        <v xml:space="preserve">KTC JCB</v>
      </c>
      <c r="M3887" t="s">
        <v>124</v>
      </c>
      <c r="N3887" s="10"/>
      <c r="O3887" t="s">
        <v>6967</v>
      </c>
      <c r="Q3887" t="s">
        <v>126</v>
      </c>
      <c r="R3887" t="s">
        <v>124</v>
      </c>
      <c r="S3887" t="b">
        <v>0</v>
      </c>
      <c r="T3887" t="s">
        <v>124</v>
      </c>
    </row>
    <row r="3888">
      <c r="A3888" t="s">
        <v>6968</v>
      </c>
      <c r="B3888" t="s">
        <v>6961</v>
      </c>
      <c r="C3888" s="2">
        <v>2021</v>
      </c>
      <c r="D3888" s="10">
        <v>8</v>
      </c>
      <c r="E3888" s="10">
        <v>28</v>
      </c>
      <c r="F3888" t="s">
        <v>1885</v>
      </c>
      <c r="G3888">
        <v>10311.66</v>
      </c>
      <c r="H3888" t="s">
        <v>128</v>
      </c>
      <c r="I3888" t="s">
        <v>136</v>
      </c>
      <c r="J3888" s="10" t="str">
        <f>VLOOKUP(I3888,Categories!A:B,2,FALSE)</f>
        <v>อื่นๆ</v>
      </c>
      <c r="K3888" t="s">
        <v>178</v>
      </c>
      <c r="L3888" s="10" t="str">
        <f>VLOOKUP(K3888,Accounts!A:B,2,FALSE)</f>
        <v>SCB</v>
      </c>
      <c r="M3888" t="s">
        <v>743</v>
      </c>
      <c r="N3888" s="10" t="str">
        <f>VLOOKUP(M3888,Accounts!A:B,2,FALSE)</f>
        <v>HOMEPRO</v>
      </c>
      <c r="O3888" t="s">
        <v>125</v>
      </c>
      <c r="Q3888" t="s">
        <v>126</v>
      </c>
      <c r="R3888" t="s">
        <v>124</v>
      </c>
      <c r="S3888" t="b">
        <v>0</v>
      </c>
      <c r="T3888" t="s">
        <v>124</v>
      </c>
    </row>
    <row r="3889">
      <c r="A3889" t="s">
        <v>6969</v>
      </c>
      <c r="B3889" t="s">
        <v>6961</v>
      </c>
      <c r="C3889" s="2">
        <v>2021</v>
      </c>
      <c r="D3889" s="10">
        <v>8</v>
      </c>
      <c r="E3889" s="10">
        <v>28</v>
      </c>
      <c r="F3889" t="s">
        <v>1178</v>
      </c>
      <c r="G3889">
        <v>245</v>
      </c>
      <c r="H3889" t="s">
        <v>69</v>
      </c>
      <c r="I3889" t="s">
        <v>254</v>
      </c>
      <c r="J3889" s="10" t="str">
        <f>VLOOKUP(I3889,Categories!A:B,2,FALSE)</f>
        <v xml:space="preserve">Modified Bal.</v>
      </c>
      <c r="K3889" t="s">
        <v>2317</v>
      </c>
      <c r="L3889" s="10" t="str">
        <f>VLOOKUP(K3889,Accounts!A:B,2,FALSE)</f>
        <v xml:space="preserve">Marriage account</v>
      </c>
      <c r="M3889" t="s">
        <v>124</v>
      </c>
      <c r="N3889" s="10"/>
      <c r="O3889" t="s">
        <v>255</v>
      </c>
      <c r="Q3889" t="s">
        <v>126</v>
      </c>
      <c r="R3889" t="s">
        <v>124</v>
      </c>
      <c r="S3889" t="b">
        <v>0</v>
      </c>
      <c r="T3889" t="s">
        <v>124</v>
      </c>
    </row>
    <row r="3890">
      <c r="A3890" t="s">
        <v>6970</v>
      </c>
      <c r="B3890" t="s">
        <v>6971</v>
      </c>
      <c r="C3890" s="2">
        <v>2021</v>
      </c>
      <c r="D3890" s="10">
        <v>8</v>
      </c>
      <c r="E3890" s="10">
        <v>27</v>
      </c>
      <c r="F3890" t="s">
        <v>1806</v>
      </c>
      <c r="G3890">
        <v>100</v>
      </c>
      <c r="H3890" t="s">
        <v>69</v>
      </c>
      <c r="I3890" t="s">
        <v>150</v>
      </c>
      <c r="J3890" s="10" t="str">
        <f>VLOOKUP(I3890,Categories!A:B,2,FALSE)</f>
        <v xml:space="preserve">Food &amp; Coff</v>
      </c>
      <c r="K3890" t="s">
        <v>2317</v>
      </c>
      <c r="L3890" s="10" t="str">
        <f>VLOOKUP(K3890,Accounts!A:B,2,FALSE)</f>
        <v xml:space="preserve">Marriage account</v>
      </c>
      <c r="M3890" t="s">
        <v>124</v>
      </c>
      <c r="N3890" s="10"/>
      <c r="O3890" t="s">
        <v>6972</v>
      </c>
      <c r="Q3890" t="s">
        <v>126</v>
      </c>
      <c r="R3890" t="s">
        <v>124</v>
      </c>
      <c r="S3890" t="b">
        <v>0</v>
      </c>
      <c r="T3890" t="s">
        <v>124</v>
      </c>
    </row>
    <row r="3891">
      <c r="A3891" t="s">
        <v>6973</v>
      </c>
      <c r="B3891" t="s">
        <v>6971</v>
      </c>
      <c r="C3891" s="2">
        <v>2021</v>
      </c>
      <c r="D3891" s="10">
        <v>8</v>
      </c>
      <c r="E3891" s="10">
        <v>27</v>
      </c>
      <c r="F3891" t="s">
        <v>1806</v>
      </c>
      <c r="G3891">
        <v>45</v>
      </c>
      <c r="H3891" t="s">
        <v>69</v>
      </c>
      <c r="I3891" t="s">
        <v>150</v>
      </c>
      <c r="J3891" s="10" t="str">
        <f>VLOOKUP(I3891,Categories!A:B,2,FALSE)</f>
        <v xml:space="preserve">Food &amp; Coff</v>
      </c>
      <c r="K3891" t="s">
        <v>2317</v>
      </c>
      <c r="L3891" s="10" t="str">
        <f>VLOOKUP(K3891,Accounts!A:B,2,FALSE)</f>
        <v xml:space="preserve">Marriage account</v>
      </c>
      <c r="M3891" t="s">
        <v>124</v>
      </c>
      <c r="N3891" s="10"/>
      <c r="O3891" t="s">
        <v>6974</v>
      </c>
      <c r="Q3891" t="s">
        <v>126</v>
      </c>
      <c r="R3891" t="s">
        <v>124</v>
      </c>
      <c r="S3891" t="b">
        <v>0</v>
      </c>
      <c r="T3891" t="s">
        <v>124</v>
      </c>
    </row>
    <row r="3892">
      <c r="A3892" t="s">
        <v>6975</v>
      </c>
      <c r="B3892" t="s">
        <v>6976</v>
      </c>
      <c r="C3892" s="2">
        <v>2021</v>
      </c>
      <c r="D3892" s="10">
        <v>8</v>
      </c>
      <c r="E3892" s="10">
        <v>26</v>
      </c>
      <c r="F3892" t="s">
        <v>121</v>
      </c>
      <c r="G3892">
        <v>9240</v>
      </c>
      <c r="H3892" t="s">
        <v>128</v>
      </c>
      <c r="I3892" t="s">
        <v>136</v>
      </c>
      <c r="J3892" s="10" t="str">
        <f>VLOOKUP(I3892,Categories!A:B,2,FALSE)</f>
        <v>อื่นๆ</v>
      </c>
      <c r="K3892" t="s">
        <v>178</v>
      </c>
      <c r="L3892" s="10" t="str">
        <f>VLOOKUP(K3892,Accounts!A:B,2,FALSE)</f>
        <v>SCB</v>
      </c>
      <c r="M3892" t="s">
        <v>1246</v>
      </c>
      <c r="N3892" s="10" t="str">
        <f>VLOOKUP(M3892,Accounts!A:B,2,FALSE)</f>
        <v xml:space="preserve">Car Loan</v>
      </c>
      <c r="O3892" t="s">
        <v>125</v>
      </c>
      <c r="Q3892" t="s">
        <v>126</v>
      </c>
      <c r="R3892" t="s">
        <v>124</v>
      </c>
      <c r="S3892" t="b">
        <v>0</v>
      </c>
      <c r="T3892" t="s">
        <v>124</v>
      </c>
    </row>
    <row r="3893">
      <c r="A3893" t="s">
        <v>6977</v>
      </c>
      <c r="B3893" t="s">
        <v>6976</v>
      </c>
      <c r="C3893" s="2">
        <v>2021</v>
      </c>
      <c r="D3893" s="10">
        <v>8</v>
      </c>
      <c r="E3893" s="10">
        <v>26</v>
      </c>
      <c r="F3893" t="s">
        <v>121</v>
      </c>
      <c r="G3893">
        <v>6665</v>
      </c>
      <c r="H3893" t="s">
        <v>128</v>
      </c>
      <c r="I3893" t="s">
        <v>136</v>
      </c>
      <c r="J3893" s="10" t="str">
        <f>VLOOKUP(I3893,Categories!A:B,2,FALSE)</f>
        <v>อื่นๆ</v>
      </c>
      <c r="K3893" t="s">
        <v>178</v>
      </c>
      <c r="L3893" s="10" t="str">
        <f>VLOOKUP(K3893,Accounts!A:B,2,FALSE)</f>
        <v>SCB</v>
      </c>
      <c r="M3893" t="s">
        <v>1244</v>
      </c>
      <c r="N3893" s="10" t="str">
        <f>VLOOKUP(M3893,Accounts!A:B,2,FALSE)</f>
        <v xml:space="preserve">Home chomthong Loan</v>
      </c>
      <c r="O3893" t="s">
        <v>125</v>
      </c>
      <c r="Q3893" t="s">
        <v>126</v>
      </c>
      <c r="R3893" t="s">
        <v>124</v>
      </c>
      <c r="S3893" t="b">
        <v>0</v>
      </c>
      <c r="T3893" t="s">
        <v>124</v>
      </c>
    </row>
    <row r="3894">
      <c r="A3894" t="s">
        <v>6978</v>
      </c>
      <c r="B3894" t="s">
        <v>6976</v>
      </c>
      <c r="C3894" s="2">
        <v>2021</v>
      </c>
      <c r="D3894" s="10">
        <v>8</v>
      </c>
      <c r="E3894" s="10">
        <v>26</v>
      </c>
      <c r="F3894" t="s">
        <v>121</v>
      </c>
      <c r="G3894">
        <v>500</v>
      </c>
      <c r="H3894" t="s">
        <v>128</v>
      </c>
      <c r="I3894" t="s">
        <v>136</v>
      </c>
      <c r="J3894" s="10" t="str">
        <f>VLOOKUP(I3894,Categories!A:B,2,FALSE)</f>
        <v>อื่นๆ</v>
      </c>
      <c r="K3894" t="s">
        <v>178</v>
      </c>
      <c r="L3894" s="10" t="str">
        <f>VLOOKUP(K3894,Accounts!A:B,2,FALSE)</f>
        <v>SCB</v>
      </c>
      <c r="M3894" t="s">
        <v>201</v>
      </c>
      <c r="N3894" s="10" t="str">
        <f>VLOOKUP(M3894,Accounts!A:B,2,FALSE)</f>
        <v>Coop</v>
      </c>
      <c r="O3894" t="s">
        <v>125</v>
      </c>
      <c r="Q3894" t="s">
        <v>126</v>
      </c>
      <c r="R3894" t="s">
        <v>124</v>
      </c>
      <c r="S3894" t="b">
        <v>0</v>
      </c>
      <c r="T3894" t="s">
        <v>124</v>
      </c>
    </row>
    <row r="3895">
      <c r="A3895" t="s">
        <v>6979</v>
      </c>
      <c r="B3895" t="s">
        <v>6976</v>
      </c>
      <c r="C3895" s="2">
        <v>2021</v>
      </c>
      <c r="D3895" s="10">
        <v>8</v>
      </c>
      <c r="E3895" s="10">
        <v>26</v>
      </c>
      <c r="F3895" t="s">
        <v>121</v>
      </c>
      <c r="G3895">
        <v>1917.8</v>
      </c>
      <c r="H3895" t="s">
        <v>128</v>
      </c>
      <c r="I3895" t="s">
        <v>136</v>
      </c>
      <c r="J3895" s="10" t="str">
        <f>VLOOKUP(I3895,Categories!A:B,2,FALSE)</f>
        <v>อื่นๆ</v>
      </c>
      <c r="K3895" t="s">
        <v>178</v>
      </c>
      <c r="L3895" s="10" t="str">
        <f>VLOOKUP(K3895,Accounts!A:B,2,FALSE)</f>
        <v>SCB</v>
      </c>
      <c r="M3895" t="s">
        <v>203</v>
      </c>
      <c r="N3895" s="10" t="str">
        <f>VLOOKUP(M3895,Accounts!A:B,2,FALSE)</f>
        <v xml:space="preserve">Provident Fund</v>
      </c>
      <c r="O3895" t="s">
        <v>125</v>
      </c>
      <c r="Q3895" t="s">
        <v>126</v>
      </c>
      <c r="R3895" t="s">
        <v>124</v>
      </c>
      <c r="S3895" t="b">
        <v>0</v>
      </c>
      <c r="T3895" t="s">
        <v>124</v>
      </c>
    </row>
    <row r="3896">
      <c r="A3896" t="s">
        <v>6980</v>
      </c>
      <c r="B3896" t="s">
        <v>6976</v>
      </c>
      <c r="C3896" s="2">
        <v>2021</v>
      </c>
      <c r="D3896" s="10">
        <v>8</v>
      </c>
      <c r="E3896" s="10">
        <v>26</v>
      </c>
      <c r="F3896" t="s">
        <v>121</v>
      </c>
      <c r="G3896">
        <v>95890</v>
      </c>
      <c r="H3896" t="s">
        <v>206</v>
      </c>
      <c r="I3896" t="s">
        <v>207</v>
      </c>
      <c r="J3896" s="10" t="str">
        <f>VLOOKUP(I3896,Categories!A:B,2,FALSE)</f>
        <v>Salary</v>
      </c>
      <c r="K3896" t="s">
        <v>178</v>
      </c>
      <c r="L3896" s="10" t="str">
        <f>VLOOKUP(K3896,Accounts!A:B,2,FALSE)</f>
        <v>SCB</v>
      </c>
      <c r="M3896" t="s">
        <v>124</v>
      </c>
      <c r="N3896" s="10"/>
      <c r="O3896" t="s">
        <v>125</v>
      </c>
      <c r="Q3896" t="s">
        <v>126</v>
      </c>
      <c r="R3896" t="s">
        <v>124</v>
      </c>
      <c r="S3896" t="b">
        <v>0</v>
      </c>
      <c r="T3896" t="s">
        <v>124</v>
      </c>
    </row>
    <row r="3897">
      <c r="A3897" t="s">
        <v>6981</v>
      </c>
      <c r="B3897" t="s">
        <v>6976</v>
      </c>
      <c r="C3897" s="2">
        <v>2021</v>
      </c>
      <c r="D3897" s="10">
        <v>8</v>
      </c>
      <c r="E3897" s="10">
        <v>26</v>
      </c>
      <c r="F3897" t="s">
        <v>121</v>
      </c>
      <c r="G3897">
        <v>167.22999999999999</v>
      </c>
      <c r="H3897" t="s">
        <v>69</v>
      </c>
      <c r="I3897" t="s">
        <v>443</v>
      </c>
      <c r="J3897" s="10" t="str">
        <f>VLOOKUP(I3897,Categories!A:B,2,FALSE)</f>
        <v xml:space="preserve">City SV Interest</v>
      </c>
      <c r="K3897" t="s">
        <v>178</v>
      </c>
      <c r="L3897" s="10" t="str">
        <f>VLOOKUP(K3897,Accounts!A:B,2,FALSE)</f>
        <v>SCB</v>
      </c>
      <c r="M3897" t="s">
        <v>124</v>
      </c>
      <c r="N3897" s="10"/>
      <c r="O3897" t="s">
        <v>125</v>
      </c>
      <c r="Q3897" t="s">
        <v>126</v>
      </c>
      <c r="R3897" t="s">
        <v>124</v>
      </c>
      <c r="S3897" t="b">
        <v>0</v>
      </c>
      <c r="T3897" t="s">
        <v>124</v>
      </c>
    </row>
    <row r="3898">
      <c r="A3898" t="s">
        <v>6982</v>
      </c>
      <c r="B3898" t="s">
        <v>6976</v>
      </c>
      <c r="C3898" s="2">
        <v>2021</v>
      </c>
      <c r="D3898" s="10">
        <v>8</v>
      </c>
      <c r="E3898" s="10">
        <v>26</v>
      </c>
      <c r="F3898" t="s">
        <v>121</v>
      </c>
      <c r="G3898">
        <v>733.87</v>
      </c>
      <c r="H3898" t="s">
        <v>69</v>
      </c>
      <c r="I3898" t="s">
        <v>199</v>
      </c>
      <c r="J3898" s="10" t="str">
        <f>VLOOKUP(I3898,Categories!A:B,2,FALSE)</f>
        <v xml:space="preserve">Home Chomthong Interest</v>
      </c>
      <c r="K3898" t="s">
        <v>178</v>
      </c>
      <c r="L3898" s="10" t="str">
        <f>VLOOKUP(K3898,Accounts!A:B,2,FALSE)</f>
        <v>SCB</v>
      </c>
      <c r="M3898" t="s">
        <v>124</v>
      </c>
      <c r="N3898" s="10"/>
      <c r="O3898" t="s">
        <v>125</v>
      </c>
      <c r="Q3898" t="s">
        <v>126</v>
      </c>
      <c r="R3898" t="s">
        <v>124</v>
      </c>
      <c r="S3898" t="b">
        <v>0</v>
      </c>
      <c r="T3898" t="s">
        <v>124</v>
      </c>
    </row>
    <row r="3899">
      <c r="A3899" t="s">
        <v>6983</v>
      </c>
      <c r="B3899" t="s">
        <v>6976</v>
      </c>
      <c r="C3899" s="2">
        <v>2021</v>
      </c>
      <c r="D3899" s="10">
        <v>8</v>
      </c>
      <c r="E3899" s="10">
        <v>26</v>
      </c>
      <c r="F3899" t="s">
        <v>4711</v>
      </c>
      <c r="G3899">
        <v>187602</v>
      </c>
      <c r="H3899" t="s">
        <v>206</v>
      </c>
      <c r="I3899" t="s">
        <v>281</v>
      </c>
      <c r="J3899" s="10" t="str">
        <f>VLOOKUP(I3899,Categories!A:B,2,FALSE)</f>
        <v>Others</v>
      </c>
      <c r="K3899" t="s">
        <v>178</v>
      </c>
      <c r="L3899" s="10" t="str">
        <f>VLOOKUP(K3899,Accounts!A:B,2,FALSE)</f>
        <v>SCB</v>
      </c>
      <c r="M3899" t="s">
        <v>124</v>
      </c>
      <c r="N3899" s="10"/>
      <c r="O3899" t="s">
        <v>1719</v>
      </c>
      <c r="Q3899" t="s">
        <v>126</v>
      </c>
      <c r="R3899" t="s">
        <v>124</v>
      </c>
      <c r="S3899" t="b">
        <v>0</v>
      </c>
      <c r="T3899" t="s">
        <v>124</v>
      </c>
    </row>
    <row r="3900">
      <c r="A3900" t="s">
        <v>6984</v>
      </c>
      <c r="B3900" t="s">
        <v>6976</v>
      </c>
      <c r="C3900" s="2">
        <v>2021</v>
      </c>
      <c r="D3900" s="10">
        <v>8</v>
      </c>
      <c r="E3900" s="10">
        <v>26</v>
      </c>
      <c r="F3900" t="s">
        <v>1498</v>
      </c>
      <c r="G3900">
        <v>145.24000000000001</v>
      </c>
      <c r="H3900" t="s">
        <v>69</v>
      </c>
      <c r="I3900" t="s">
        <v>150</v>
      </c>
      <c r="J3900" s="10" t="str">
        <f>VLOOKUP(I3900,Categories!A:B,2,FALSE)</f>
        <v xml:space="preserve">Food &amp; Coff</v>
      </c>
      <c r="K3900" t="s">
        <v>2317</v>
      </c>
      <c r="L3900" s="10" t="str">
        <f>VLOOKUP(K3900,Accounts!A:B,2,FALSE)</f>
        <v xml:space="preserve">Marriage account</v>
      </c>
      <c r="M3900" t="s">
        <v>124</v>
      </c>
      <c r="N3900" s="10"/>
      <c r="O3900" t="s">
        <v>6935</v>
      </c>
      <c r="Q3900" t="s">
        <v>126</v>
      </c>
      <c r="R3900" t="s">
        <v>124</v>
      </c>
      <c r="S3900" t="b">
        <v>0</v>
      </c>
      <c r="T3900" t="s">
        <v>124</v>
      </c>
    </row>
    <row r="3901">
      <c r="A3901" t="s">
        <v>6985</v>
      </c>
      <c r="B3901" t="s">
        <v>6976</v>
      </c>
      <c r="C3901" s="2">
        <v>2021</v>
      </c>
      <c r="D3901" s="10">
        <v>8</v>
      </c>
      <c r="E3901" s="10">
        <v>26</v>
      </c>
      <c r="F3901" t="s">
        <v>212</v>
      </c>
      <c r="G3901">
        <v>194</v>
      </c>
      <c r="H3901" t="s">
        <v>69</v>
      </c>
      <c r="I3901" t="s">
        <v>150</v>
      </c>
      <c r="J3901" s="10" t="str">
        <f>VLOOKUP(I3901,Categories!A:B,2,FALSE)</f>
        <v xml:space="preserve">Food &amp; Coff</v>
      </c>
      <c r="K3901" t="s">
        <v>2317</v>
      </c>
      <c r="L3901" s="10" t="str">
        <f>VLOOKUP(K3901,Accounts!A:B,2,FALSE)</f>
        <v xml:space="preserve">Marriage account</v>
      </c>
      <c r="M3901" t="s">
        <v>124</v>
      </c>
      <c r="N3901" s="10"/>
      <c r="O3901" t="s">
        <v>6986</v>
      </c>
      <c r="Q3901" t="s">
        <v>126</v>
      </c>
      <c r="R3901" t="s">
        <v>124</v>
      </c>
      <c r="S3901" t="b">
        <v>0</v>
      </c>
      <c r="T3901" t="s">
        <v>124</v>
      </c>
    </row>
    <row r="3902">
      <c r="A3902" t="s">
        <v>6987</v>
      </c>
      <c r="B3902" t="s">
        <v>6976</v>
      </c>
      <c r="C3902" s="2">
        <v>2021</v>
      </c>
      <c r="D3902" s="10">
        <v>8</v>
      </c>
      <c r="E3902" s="10">
        <v>26</v>
      </c>
      <c r="F3902" t="s">
        <v>1458</v>
      </c>
      <c r="G3902">
        <v>165</v>
      </c>
      <c r="H3902" t="s">
        <v>69</v>
      </c>
      <c r="I3902" t="s">
        <v>150</v>
      </c>
      <c r="J3902" s="10" t="str">
        <f>VLOOKUP(I3902,Categories!A:B,2,FALSE)</f>
        <v xml:space="preserve">Food &amp; Coff</v>
      </c>
      <c r="K3902" t="s">
        <v>2317</v>
      </c>
      <c r="L3902" s="10" t="str">
        <f>VLOOKUP(K3902,Accounts!A:B,2,FALSE)</f>
        <v xml:space="preserve">Marriage account</v>
      </c>
      <c r="M3902" t="s">
        <v>124</v>
      </c>
      <c r="N3902" s="10"/>
      <c r="O3902" t="s">
        <v>6988</v>
      </c>
      <c r="Q3902" t="s">
        <v>126</v>
      </c>
      <c r="R3902" t="s">
        <v>124</v>
      </c>
      <c r="S3902" t="b">
        <v>0</v>
      </c>
      <c r="T3902" t="s">
        <v>124</v>
      </c>
    </row>
    <row r="3903">
      <c r="A3903" t="s">
        <v>6989</v>
      </c>
      <c r="B3903" t="s">
        <v>6976</v>
      </c>
      <c r="C3903" s="2">
        <v>2021</v>
      </c>
      <c r="D3903" s="10">
        <v>8</v>
      </c>
      <c r="E3903" s="10">
        <v>26</v>
      </c>
      <c r="F3903" t="s">
        <v>2014</v>
      </c>
      <c r="G3903">
        <v>796</v>
      </c>
      <c r="H3903" t="s">
        <v>69</v>
      </c>
      <c r="I3903" t="s">
        <v>1339</v>
      </c>
      <c r="J3903" s="10" t="str">
        <f>VLOOKUP(I3903,Categories!A:B,2,FALSE)</f>
        <v>Manga</v>
      </c>
      <c r="K3903" t="s">
        <v>178</v>
      </c>
      <c r="L3903" s="10" t="str">
        <f>VLOOKUP(K3903,Accounts!A:B,2,FALSE)</f>
        <v>SCB</v>
      </c>
      <c r="M3903" t="s">
        <v>124</v>
      </c>
      <c r="N3903" s="10"/>
      <c r="O3903" t="s">
        <v>125</v>
      </c>
      <c r="Q3903" t="s">
        <v>126</v>
      </c>
      <c r="R3903" t="s">
        <v>124</v>
      </c>
      <c r="S3903" t="b">
        <v>0</v>
      </c>
      <c r="T3903" t="s">
        <v>124</v>
      </c>
    </row>
    <row r="3904">
      <c r="A3904" t="s">
        <v>6990</v>
      </c>
      <c r="B3904" t="s">
        <v>6991</v>
      </c>
      <c r="C3904" s="2">
        <v>2021</v>
      </c>
      <c r="D3904" s="10">
        <v>8</v>
      </c>
      <c r="E3904" s="10">
        <v>25</v>
      </c>
      <c r="F3904" t="s">
        <v>4193</v>
      </c>
      <c r="G3904">
        <v>83.799999999999997</v>
      </c>
      <c r="H3904" t="s">
        <v>69</v>
      </c>
      <c r="I3904" t="s">
        <v>150</v>
      </c>
      <c r="J3904" s="10" t="str">
        <f>VLOOKUP(I3904,Categories!A:B,2,FALSE)</f>
        <v xml:space="preserve">Food &amp; Coff</v>
      </c>
      <c r="K3904" t="s">
        <v>2317</v>
      </c>
      <c r="L3904" s="10" t="str">
        <f>VLOOKUP(K3904,Accounts!A:B,2,FALSE)</f>
        <v xml:space="preserve">Marriage account</v>
      </c>
      <c r="M3904" t="s">
        <v>124</v>
      </c>
      <c r="N3904" s="10"/>
      <c r="O3904" t="s">
        <v>6992</v>
      </c>
      <c r="Q3904" t="s">
        <v>126</v>
      </c>
      <c r="R3904" t="s">
        <v>124</v>
      </c>
      <c r="S3904" t="b">
        <v>0</v>
      </c>
      <c r="T3904" t="s">
        <v>124</v>
      </c>
    </row>
    <row r="3905">
      <c r="A3905" t="s">
        <v>6993</v>
      </c>
      <c r="B3905" t="s">
        <v>6991</v>
      </c>
      <c r="C3905" s="2">
        <v>2021</v>
      </c>
      <c r="D3905" s="10">
        <v>8</v>
      </c>
      <c r="E3905" s="10">
        <v>25</v>
      </c>
      <c r="F3905" t="s">
        <v>2677</v>
      </c>
      <c r="G3905">
        <v>148</v>
      </c>
      <c r="H3905" t="s">
        <v>69</v>
      </c>
      <c r="I3905" t="s">
        <v>150</v>
      </c>
      <c r="J3905" s="10" t="str">
        <f>VLOOKUP(I3905,Categories!A:B,2,FALSE)</f>
        <v xml:space="preserve">Food &amp; Coff</v>
      </c>
      <c r="K3905" t="s">
        <v>2317</v>
      </c>
      <c r="L3905" s="10" t="str">
        <f>VLOOKUP(K3905,Accounts!A:B,2,FALSE)</f>
        <v xml:space="preserve">Marriage account</v>
      </c>
      <c r="M3905" t="s">
        <v>124</v>
      </c>
      <c r="N3905" s="10"/>
      <c r="O3905" t="s">
        <v>6994</v>
      </c>
      <c r="Q3905" t="s">
        <v>126</v>
      </c>
      <c r="R3905" t="s">
        <v>124</v>
      </c>
      <c r="S3905" t="b">
        <v>0</v>
      </c>
      <c r="T3905" t="s">
        <v>124</v>
      </c>
    </row>
    <row r="3906">
      <c r="A3906" t="s">
        <v>6995</v>
      </c>
      <c r="B3906" t="s">
        <v>6991</v>
      </c>
      <c r="C3906" s="2">
        <v>2021</v>
      </c>
      <c r="D3906" s="10">
        <v>8</v>
      </c>
      <c r="E3906" s="10">
        <v>25</v>
      </c>
      <c r="F3906" t="s">
        <v>6996</v>
      </c>
      <c r="G3906">
        <v>219</v>
      </c>
      <c r="H3906" t="s">
        <v>69</v>
      </c>
      <c r="I3906" t="s">
        <v>150</v>
      </c>
      <c r="J3906" s="10" t="str">
        <f>VLOOKUP(I3906,Categories!A:B,2,FALSE)</f>
        <v xml:space="preserve">Food &amp; Coff</v>
      </c>
      <c r="K3906" t="s">
        <v>2317</v>
      </c>
      <c r="L3906" s="10" t="str">
        <f>VLOOKUP(K3906,Accounts!A:B,2,FALSE)</f>
        <v xml:space="preserve">Marriage account</v>
      </c>
      <c r="M3906" t="s">
        <v>124</v>
      </c>
      <c r="N3906" s="10"/>
      <c r="O3906" t="s">
        <v>6997</v>
      </c>
      <c r="Q3906" t="s">
        <v>126</v>
      </c>
      <c r="R3906" t="s">
        <v>124</v>
      </c>
      <c r="S3906" t="b">
        <v>0</v>
      </c>
      <c r="T3906" t="s">
        <v>124</v>
      </c>
    </row>
    <row r="3907">
      <c r="A3907" t="s">
        <v>6998</v>
      </c>
      <c r="B3907" t="s">
        <v>6999</v>
      </c>
      <c r="C3907" s="2">
        <v>2021</v>
      </c>
      <c r="D3907" s="10">
        <v>8</v>
      </c>
      <c r="E3907" s="10">
        <v>24</v>
      </c>
      <c r="F3907" t="s">
        <v>1822</v>
      </c>
      <c r="G3907">
        <v>197</v>
      </c>
      <c r="H3907" t="s">
        <v>69</v>
      </c>
      <c r="I3907" t="s">
        <v>150</v>
      </c>
      <c r="J3907" s="10" t="str">
        <f>VLOOKUP(I3907,Categories!A:B,2,FALSE)</f>
        <v xml:space="preserve">Food &amp; Coff</v>
      </c>
      <c r="K3907" t="s">
        <v>2317</v>
      </c>
      <c r="L3907" s="10" t="str">
        <f>VLOOKUP(K3907,Accounts!A:B,2,FALSE)</f>
        <v xml:space="preserve">Marriage account</v>
      </c>
      <c r="M3907" t="s">
        <v>124</v>
      </c>
      <c r="N3907" s="10"/>
      <c r="O3907" t="s">
        <v>7000</v>
      </c>
      <c r="Q3907" t="s">
        <v>126</v>
      </c>
      <c r="R3907" t="s">
        <v>124</v>
      </c>
      <c r="S3907" t="b">
        <v>0</v>
      </c>
      <c r="T3907" t="s">
        <v>124</v>
      </c>
    </row>
    <row r="3908">
      <c r="A3908" t="s">
        <v>7001</v>
      </c>
      <c r="B3908" t="s">
        <v>6999</v>
      </c>
      <c r="C3908" s="2">
        <v>2021</v>
      </c>
      <c r="D3908" s="10">
        <v>8</v>
      </c>
      <c r="E3908" s="10">
        <v>24</v>
      </c>
      <c r="F3908" t="s">
        <v>3423</v>
      </c>
      <c r="G3908">
        <v>92</v>
      </c>
      <c r="H3908" t="s">
        <v>69</v>
      </c>
      <c r="I3908" t="s">
        <v>150</v>
      </c>
      <c r="J3908" s="10" t="str">
        <f>VLOOKUP(I3908,Categories!A:B,2,FALSE)</f>
        <v xml:space="preserve">Food &amp; Coff</v>
      </c>
      <c r="K3908" t="s">
        <v>2317</v>
      </c>
      <c r="L3908" s="10" t="str">
        <f>VLOOKUP(K3908,Accounts!A:B,2,FALSE)</f>
        <v xml:space="preserve">Marriage account</v>
      </c>
      <c r="M3908" t="s">
        <v>124</v>
      </c>
      <c r="N3908" s="10"/>
      <c r="O3908" t="s">
        <v>7002</v>
      </c>
      <c r="Q3908" t="s">
        <v>126</v>
      </c>
      <c r="R3908" t="s">
        <v>124</v>
      </c>
      <c r="S3908" t="b">
        <v>0</v>
      </c>
      <c r="T3908" t="s">
        <v>124</v>
      </c>
    </row>
    <row r="3909">
      <c r="A3909" t="s">
        <v>7003</v>
      </c>
      <c r="B3909" t="s">
        <v>6999</v>
      </c>
      <c r="C3909" s="2">
        <v>2021</v>
      </c>
      <c r="D3909" s="10">
        <v>8</v>
      </c>
      <c r="E3909" s="10">
        <v>24</v>
      </c>
      <c r="F3909" t="s">
        <v>3423</v>
      </c>
      <c r="G3909">
        <v>50</v>
      </c>
      <c r="H3909" t="s">
        <v>206</v>
      </c>
      <c r="I3909" t="s">
        <v>281</v>
      </c>
      <c r="J3909" s="10" t="str">
        <f>VLOOKUP(I3909,Categories!A:B,2,FALSE)</f>
        <v>Others</v>
      </c>
      <c r="K3909" t="s">
        <v>178</v>
      </c>
      <c r="L3909" s="10" t="str">
        <f>VLOOKUP(K3909,Accounts!A:B,2,FALSE)</f>
        <v>SCB</v>
      </c>
      <c r="M3909" t="s">
        <v>124</v>
      </c>
      <c r="N3909" s="10"/>
      <c r="O3909" t="s">
        <v>125</v>
      </c>
      <c r="Q3909" t="s">
        <v>126</v>
      </c>
      <c r="R3909" t="s">
        <v>124</v>
      </c>
      <c r="S3909" t="b">
        <v>0</v>
      </c>
      <c r="T3909" t="s">
        <v>124</v>
      </c>
    </row>
    <row r="3910">
      <c r="A3910" t="s">
        <v>7004</v>
      </c>
      <c r="B3910" t="s">
        <v>7005</v>
      </c>
      <c r="C3910" s="2">
        <v>2021</v>
      </c>
      <c r="D3910" s="10">
        <v>8</v>
      </c>
      <c r="E3910" s="10">
        <v>23</v>
      </c>
      <c r="F3910" t="s">
        <v>3513</v>
      </c>
      <c r="G3910">
        <v>164</v>
      </c>
      <c r="H3910" t="s">
        <v>69</v>
      </c>
      <c r="I3910" t="s">
        <v>150</v>
      </c>
      <c r="J3910" s="10" t="str">
        <f>VLOOKUP(I3910,Categories!A:B,2,FALSE)</f>
        <v xml:space="preserve">Food &amp; Coff</v>
      </c>
      <c r="K3910" t="s">
        <v>178</v>
      </c>
      <c r="L3910" s="10" t="str">
        <f>VLOOKUP(K3910,Accounts!A:B,2,FALSE)</f>
        <v>SCB</v>
      </c>
      <c r="M3910" t="s">
        <v>124</v>
      </c>
      <c r="N3910" s="10"/>
      <c r="O3910" t="s">
        <v>7006</v>
      </c>
      <c r="Q3910" t="s">
        <v>126</v>
      </c>
      <c r="R3910" t="s">
        <v>124</v>
      </c>
      <c r="S3910" t="b">
        <v>0</v>
      </c>
      <c r="T3910" t="s">
        <v>124</v>
      </c>
    </row>
    <row r="3911">
      <c r="A3911" t="s">
        <v>7007</v>
      </c>
      <c r="B3911" t="s">
        <v>7005</v>
      </c>
      <c r="C3911" s="2">
        <v>2021</v>
      </c>
      <c r="D3911" s="10">
        <v>8</v>
      </c>
      <c r="E3911" s="10">
        <v>23</v>
      </c>
      <c r="F3911" t="s">
        <v>4919</v>
      </c>
      <c r="G3911">
        <v>243</v>
      </c>
      <c r="H3911" t="s">
        <v>69</v>
      </c>
      <c r="I3911" t="s">
        <v>150</v>
      </c>
      <c r="J3911" s="10" t="str">
        <f>VLOOKUP(I3911,Categories!A:B,2,FALSE)</f>
        <v xml:space="preserve">Food &amp; Coff</v>
      </c>
      <c r="K3911" t="s">
        <v>2317</v>
      </c>
      <c r="L3911" s="10" t="str">
        <f>VLOOKUP(K3911,Accounts!A:B,2,FALSE)</f>
        <v xml:space="preserve">Marriage account</v>
      </c>
      <c r="M3911" t="s">
        <v>124</v>
      </c>
      <c r="N3911" s="10"/>
      <c r="O3911" t="s">
        <v>7008</v>
      </c>
      <c r="Q3911" t="s">
        <v>126</v>
      </c>
      <c r="R3911" t="s">
        <v>124</v>
      </c>
      <c r="S3911" t="b">
        <v>0</v>
      </c>
      <c r="T3911" t="s">
        <v>124</v>
      </c>
    </row>
    <row r="3912">
      <c r="A3912" t="s">
        <v>7009</v>
      </c>
      <c r="B3912" t="s">
        <v>7005</v>
      </c>
      <c r="C3912" s="2">
        <v>2021</v>
      </c>
      <c r="D3912" s="10">
        <v>8</v>
      </c>
      <c r="E3912" s="10">
        <v>23</v>
      </c>
      <c r="F3912" t="s">
        <v>6222</v>
      </c>
      <c r="G3912">
        <v>671</v>
      </c>
      <c r="H3912" t="s">
        <v>69</v>
      </c>
      <c r="I3912" t="s">
        <v>122</v>
      </c>
      <c r="J3912" s="10" t="str">
        <f>VLOOKUP(I3912,Categories!A:B,2,FALSE)</f>
        <v>Other</v>
      </c>
      <c r="K3912" t="s">
        <v>893</v>
      </c>
      <c r="L3912" s="10" t="str">
        <f>VLOOKUP(K3912,Accounts!A:B,2,FALSE)</f>
        <v>Shopee</v>
      </c>
      <c r="M3912" t="s">
        <v>124</v>
      </c>
      <c r="N3912" s="10"/>
      <c r="O3912" t="s">
        <v>125</v>
      </c>
      <c r="Q3912" t="s">
        <v>126</v>
      </c>
      <c r="R3912" t="s">
        <v>124</v>
      </c>
      <c r="S3912" t="b">
        <v>0</v>
      </c>
      <c r="T3912" t="s">
        <v>124</v>
      </c>
    </row>
    <row r="3913">
      <c r="A3913" t="s">
        <v>7010</v>
      </c>
      <c r="B3913" t="s">
        <v>7005</v>
      </c>
      <c r="C3913" s="2">
        <v>2021</v>
      </c>
      <c r="D3913" s="10">
        <v>8</v>
      </c>
      <c r="E3913" s="10">
        <v>23</v>
      </c>
      <c r="F3913" t="s">
        <v>3223</v>
      </c>
      <c r="G3913">
        <v>300</v>
      </c>
      <c r="H3913" t="s">
        <v>128</v>
      </c>
      <c r="I3913" t="s">
        <v>136</v>
      </c>
      <c r="J3913" s="10" t="str">
        <f>VLOOKUP(I3913,Categories!A:B,2,FALSE)</f>
        <v>อื่นๆ</v>
      </c>
      <c r="K3913" t="s">
        <v>178</v>
      </c>
      <c r="L3913" s="10" t="str">
        <f>VLOOKUP(K3913,Accounts!A:B,2,FALSE)</f>
        <v>SCB</v>
      </c>
      <c r="M3913" t="s">
        <v>893</v>
      </c>
      <c r="N3913" s="10" t="str">
        <f>VLOOKUP(M3913,Accounts!A:B,2,FALSE)</f>
        <v>Shopee</v>
      </c>
      <c r="O3913" t="s">
        <v>125</v>
      </c>
      <c r="Q3913" t="s">
        <v>126</v>
      </c>
      <c r="R3913" t="s">
        <v>124</v>
      </c>
      <c r="S3913" t="b">
        <v>0</v>
      </c>
      <c r="T3913" t="s">
        <v>124</v>
      </c>
    </row>
    <row r="3914">
      <c r="A3914" t="s">
        <v>7011</v>
      </c>
      <c r="B3914" t="s">
        <v>7005</v>
      </c>
      <c r="C3914" s="2">
        <v>2021</v>
      </c>
      <c r="D3914" s="10">
        <v>8</v>
      </c>
      <c r="E3914" s="10">
        <v>23</v>
      </c>
      <c r="F3914" t="s">
        <v>968</v>
      </c>
      <c r="G3914">
        <v>207</v>
      </c>
      <c r="H3914" t="s">
        <v>69</v>
      </c>
      <c r="I3914" t="s">
        <v>150</v>
      </c>
      <c r="J3914" s="10" t="str">
        <f>VLOOKUP(I3914,Categories!A:B,2,FALSE)</f>
        <v xml:space="preserve">Food &amp; Coff</v>
      </c>
      <c r="K3914" t="s">
        <v>2317</v>
      </c>
      <c r="L3914" s="10" t="str">
        <f>VLOOKUP(K3914,Accounts!A:B,2,FALSE)</f>
        <v xml:space="preserve">Marriage account</v>
      </c>
      <c r="M3914" t="s">
        <v>124</v>
      </c>
      <c r="N3914" s="10"/>
      <c r="O3914" t="s">
        <v>7012</v>
      </c>
      <c r="Q3914" t="s">
        <v>126</v>
      </c>
      <c r="R3914" t="s">
        <v>124</v>
      </c>
      <c r="S3914" t="b">
        <v>0</v>
      </c>
      <c r="T3914" t="s">
        <v>124</v>
      </c>
    </row>
    <row r="3915">
      <c r="A3915" t="s">
        <v>7013</v>
      </c>
      <c r="B3915" t="s">
        <v>7005</v>
      </c>
      <c r="C3915" s="2">
        <v>2021</v>
      </c>
      <c r="D3915" s="10">
        <v>8</v>
      </c>
      <c r="E3915" s="10">
        <v>23</v>
      </c>
      <c r="F3915" t="s">
        <v>955</v>
      </c>
      <c r="G3915">
        <v>50</v>
      </c>
      <c r="H3915" t="s">
        <v>206</v>
      </c>
      <c r="I3915" t="s">
        <v>281</v>
      </c>
      <c r="J3915" s="10" t="str">
        <f>VLOOKUP(I3915,Categories!A:B,2,FALSE)</f>
        <v>Others</v>
      </c>
      <c r="K3915" t="s">
        <v>178</v>
      </c>
      <c r="L3915" s="10" t="str">
        <f>VLOOKUP(K3915,Accounts!A:B,2,FALSE)</f>
        <v>SCB</v>
      </c>
      <c r="M3915" t="s">
        <v>124</v>
      </c>
      <c r="N3915" s="10"/>
      <c r="O3915" t="s">
        <v>125</v>
      </c>
      <c r="Q3915" t="s">
        <v>126</v>
      </c>
      <c r="R3915" t="s">
        <v>124</v>
      </c>
      <c r="S3915" t="b">
        <v>0</v>
      </c>
      <c r="T3915" t="s">
        <v>124</v>
      </c>
    </row>
    <row r="3916">
      <c r="A3916" t="s">
        <v>7014</v>
      </c>
      <c r="B3916" t="s">
        <v>7015</v>
      </c>
      <c r="C3916" s="2">
        <v>2021</v>
      </c>
      <c r="D3916" s="10">
        <v>8</v>
      </c>
      <c r="E3916" s="10">
        <v>22</v>
      </c>
      <c r="F3916" t="s">
        <v>1487</v>
      </c>
      <c r="G3916">
        <v>25</v>
      </c>
      <c r="H3916" t="s">
        <v>69</v>
      </c>
      <c r="I3916" t="s">
        <v>150</v>
      </c>
      <c r="J3916" s="10" t="str">
        <f>VLOOKUP(I3916,Categories!A:B,2,FALSE)</f>
        <v xml:space="preserve">Food &amp; Coff</v>
      </c>
      <c r="K3916" t="s">
        <v>747</v>
      </c>
      <c r="L3916" s="10" t="str">
        <f>VLOOKUP(K3916,Accounts!A:B,2,FALSE)</f>
        <v xml:space="preserve">UOB world</v>
      </c>
      <c r="M3916" t="s">
        <v>124</v>
      </c>
      <c r="N3916" s="10"/>
      <c r="O3916" t="s">
        <v>125</v>
      </c>
      <c r="Q3916" t="s">
        <v>126</v>
      </c>
      <c r="R3916" t="s">
        <v>124</v>
      </c>
      <c r="S3916" t="b">
        <v>0</v>
      </c>
      <c r="T3916" t="s">
        <v>124</v>
      </c>
    </row>
    <row r="3917">
      <c r="A3917" t="s">
        <v>7016</v>
      </c>
      <c r="B3917" t="s">
        <v>7015</v>
      </c>
      <c r="C3917" s="2">
        <v>2021</v>
      </c>
      <c r="D3917" s="10">
        <v>8</v>
      </c>
      <c r="E3917" s="10">
        <v>22</v>
      </c>
      <c r="F3917" t="s">
        <v>1487</v>
      </c>
      <c r="G3917">
        <v>62</v>
      </c>
      <c r="H3917" t="s">
        <v>69</v>
      </c>
      <c r="I3917" t="s">
        <v>150</v>
      </c>
      <c r="J3917" s="10" t="str">
        <f>VLOOKUP(I3917,Categories!A:B,2,FALSE)</f>
        <v xml:space="preserve">Food &amp; Coff</v>
      </c>
      <c r="K3917" t="s">
        <v>178</v>
      </c>
      <c r="L3917" s="10" t="str">
        <f>VLOOKUP(K3917,Accounts!A:B,2,FALSE)</f>
        <v>SCB</v>
      </c>
      <c r="M3917" t="s">
        <v>124</v>
      </c>
      <c r="N3917" s="10"/>
      <c r="O3917" t="s">
        <v>7017</v>
      </c>
      <c r="Q3917" t="s">
        <v>126</v>
      </c>
      <c r="R3917" t="s">
        <v>124</v>
      </c>
      <c r="S3917" t="b">
        <v>0</v>
      </c>
      <c r="T3917" t="s">
        <v>124</v>
      </c>
    </row>
    <row r="3918">
      <c r="A3918" t="s">
        <v>7018</v>
      </c>
      <c r="B3918" t="s">
        <v>7015</v>
      </c>
      <c r="C3918" s="2">
        <v>2021</v>
      </c>
      <c r="D3918" s="10">
        <v>8</v>
      </c>
      <c r="E3918" s="10">
        <v>22</v>
      </c>
      <c r="F3918" t="s">
        <v>224</v>
      </c>
      <c r="G3918">
        <v>55</v>
      </c>
      <c r="H3918" t="s">
        <v>69</v>
      </c>
      <c r="I3918" t="s">
        <v>150</v>
      </c>
      <c r="J3918" s="10" t="str">
        <f>VLOOKUP(I3918,Categories!A:B,2,FALSE)</f>
        <v xml:space="preserve">Food &amp; Coff</v>
      </c>
      <c r="K3918" t="s">
        <v>747</v>
      </c>
      <c r="L3918" s="10" t="str">
        <f>VLOOKUP(K3918,Accounts!A:B,2,FALSE)</f>
        <v xml:space="preserve">UOB world</v>
      </c>
      <c r="M3918" t="s">
        <v>124</v>
      </c>
      <c r="N3918" s="10"/>
      <c r="O3918" t="s">
        <v>125</v>
      </c>
      <c r="Q3918" t="s">
        <v>126</v>
      </c>
      <c r="R3918" t="s">
        <v>124</v>
      </c>
      <c r="S3918" t="b">
        <v>0</v>
      </c>
      <c r="T3918" t="s">
        <v>124</v>
      </c>
    </row>
    <row r="3919">
      <c r="A3919" t="s">
        <v>7019</v>
      </c>
      <c r="B3919" t="s">
        <v>7015</v>
      </c>
      <c r="C3919" s="2">
        <v>2021</v>
      </c>
      <c r="D3919" s="10">
        <v>8</v>
      </c>
      <c r="E3919" s="10">
        <v>22</v>
      </c>
      <c r="F3919" t="s">
        <v>3712</v>
      </c>
      <c r="G3919">
        <v>220</v>
      </c>
      <c r="H3919" t="s">
        <v>69</v>
      </c>
      <c r="I3919" t="s">
        <v>150</v>
      </c>
      <c r="J3919" s="10" t="str">
        <f>VLOOKUP(I3919,Categories!A:B,2,FALSE)</f>
        <v xml:space="preserve">Food &amp; Coff</v>
      </c>
      <c r="K3919" t="s">
        <v>130</v>
      </c>
      <c r="L3919" s="10" t="str">
        <f>VLOOKUP(K3919,Accounts!A:B,2,FALSE)</f>
        <v xml:space="preserve">KTC JCB</v>
      </c>
      <c r="M3919" t="s">
        <v>124</v>
      </c>
      <c r="N3919" s="10"/>
      <c r="O3919" t="s">
        <v>125</v>
      </c>
      <c r="Q3919" t="s">
        <v>126</v>
      </c>
      <c r="R3919" t="s">
        <v>124</v>
      </c>
      <c r="S3919" t="b">
        <v>0</v>
      </c>
      <c r="T3919" t="s">
        <v>124</v>
      </c>
    </row>
    <row r="3920">
      <c r="A3920" t="s">
        <v>7020</v>
      </c>
      <c r="B3920" t="s">
        <v>7021</v>
      </c>
      <c r="C3920" s="2">
        <v>2021</v>
      </c>
      <c r="D3920" s="10">
        <v>8</v>
      </c>
      <c r="E3920" s="10">
        <v>21</v>
      </c>
      <c r="F3920" t="s">
        <v>3623</v>
      </c>
      <c r="G3920">
        <v>80</v>
      </c>
      <c r="H3920" t="s">
        <v>128</v>
      </c>
      <c r="I3920" t="s">
        <v>136</v>
      </c>
      <c r="J3920" s="10" t="str">
        <f>VLOOKUP(I3920,Categories!A:B,2,FALSE)</f>
        <v>อื่นๆ</v>
      </c>
      <c r="K3920" t="s">
        <v>893</v>
      </c>
      <c r="L3920" s="10" t="str">
        <f>VLOOKUP(K3920,Accounts!A:B,2,FALSE)</f>
        <v>Shopee</v>
      </c>
      <c r="M3920" t="s">
        <v>178</v>
      </c>
      <c r="N3920" s="10" t="str">
        <f>VLOOKUP(M3920,Accounts!A:B,2,FALSE)</f>
        <v>SCB</v>
      </c>
      <c r="O3920" t="s">
        <v>125</v>
      </c>
      <c r="Q3920" t="s">
        <v>126</v>
      </c>
      <c r="R3920" t="s">
        <v>124</v>
      </c>
      <c r="S3920" t="b">
        <v>0</v>
      </c>
      <c r="T3920" t="s">
        <v>124</v>
      </c>
    </row>
    <row r="3921">
      <c r="A3921" t="s">
        <v>7022</v>
      </c>
      <c r="B3921" t="s">
        <v>7021</v>
      </c>
      <c r="C3921" s="2">
        <v>2021</v>
      </c>
      <c r="D3921" s="10">
        <v>8</v>
      </c>
      <c r="E3921" s="10">
        <v>21</v>
      </c>
      <c r="F3921" t="s">
        <v>3623</v>
      </c>
      <c r="G3921">
        <v>80</v>
      </c>
      <c r="H3921" t="s">
        <v>69</v>
      </c>
      <c r="I3921" t="s">
        <v>150</v>
      </c>
      <c r="J3921" s="10" t="str">
        <f>VLOOKUP(I3921,Categories!A:B,2,FALSE)</f>
        <v xml:space="preserve">Food &amp; Coff</v>
      </c>
      <c r="K3921" t="s">
        <v>2317</v>
      </c>
      <c r="L3921" s="10" t="str">
        <f>VLOOKUP(K3921,Accounts!A:B,2,FALSE)</f>
        <v xml:space="preserve">Marriage account</v>
      </c>
      <c r="M3921" t="s">
        <v>124</v>
      </c>
      <c r="N3921" s="10"/>
      <c r="O3921" t="s">
        <v>3493</v>
      </c>
      <c r="Q3921" t="s">
        <v>126</v>
      </c>
      <c r="R3921" t="s">
        <v>124</v>
      </c>
      <c r="S3921" t="b">
        <v>0</v>
      </c>
      <c r="T3921" t="s">
        <v>124</v>
      </c>
    </row>
    <row r="3922">
      <c r="A3922" t="s">
        <v>7023</v>
      </c>
      <c r="B3922" t="s">
        <v>7021</v>
      </c>
      <c r="C3922" s="2">
        <v>2021</v>
      </c>
      <c r="D3922" s="10">
        <v>8</v>
      </c>
      <c r="E3922" s="10">
        <v>21</v>
      </c>
      <c r="F3922" t="s">
        <v>5172</v>
      </c>
      <c r="G3922">
        <v>100</v>
      </c>
      <c r="H3922" t="s">
        <v>69</v>
      </c>
      <c r="I3922" t="s">
        <v>150</v>
      </c>
      <c r="J3922" s="10" t="str">
        <f>VLOOKUP(I3922,Categories!A:B,2,FALSE)</f>
        <v xml:space="preserve">Food &amp; Coff</v>
      </c>
      <c r="K3922" t="s">
        <v>2317</v>
      </c>
      <c r="L3922" s="10" t="str">
        <f>VLOOKUP(K3922,Accounts!A:B,2,FALSE)</f>
        <v xml:space="preserve">Marriage account</v>
      </c>
      <c r="M3922" t="s">
        <v>124</v>
      </c>
      <c r="N3922" s="10"/>
      <c r="O3922" t="s">
        <v>5577</v>
      </c>
      <c r="Q3922" t="s">
        <v>126</v>
      </c>
      <c r="R3922" t="s">
        <v>124</v>
      </c>
      <c r="S3922" t="b">
        <v>0</v>
      </c>
      <c r="T3922" t="s">
        <v>124</v>
      </c>
    </row>
    <row r="3923">
      <c r="A3923" t="s">
        <v>7024</v>
      </c>
      <c r="B3923" t="s">
        <v>7021</v>
      </c>
      <c r="C3923" s="2">
        <v>2021</v>
      </c>
      <c r="D3923" s="10">
        <v>8</v>
      </c>
      <c r="E3923" s="10">
        <v>21</v>
      </c>
      <c r="F3923" t="s">
        <v>533</v>
      </c>
      <c r="G3923">
        <v>250</v>
      </c>
      <c r="H3923" t="s">
        <v>128</v>
      </c>
      <c r="I3923" t="s">
        <v>136</v>
      </c>
      <c r="J3923" s="10" t="str">
        <f>VLOOKUP(I3923,Categories!A:B,2,FALSE)</f>
        <v>อื่นๆ</v>
      </c>
      <c r="K3923" t="s">
        <v>178</v>
      </c>
      <c r="L3923" s="10" t="str">
        <f>VLOOKUP(K3923,Accounts!A:B,2,FALSE)</f>
        <v>SCB</v>
      </c>
      <c r="M3923" t="s">
        <v>1421</v>
      </c>
      <c r="N3923" s="10" t="str">
        <f>VLOOKUP(M3923,Accounts!A:B,2,FALSE)</f>
        <v>Hong</v>
      </c>
      <c r="O3923" t="s">
        <v>7025</v>
      </c>
      <c r="Q3923" t="s">
        <v>126</v>
      </c>
      <c r="R3923" t="s">
        <v>124</v>
      </c>
      <c r="S3923" t="b">
        <v>0</v>
      </c>
      <c r="T3923" t="s">
        <v>124</v>
      </c>
    </row>
    <row r="3924">
      <c r="A3924" t="s">
        <v>7026</v>
      </c>
      <c r="B3924" t="s">
        <v>7021</v>
      </c>
      <c r="C3924" s="2">
        <v>2021</v>
      </c>
      <c r="D3924" s="10">
        <v>8</v>
      </c>
      <c r="E3924" s="10">
        <v>21</v>
      </c>
      <c r="F3924" t="s">
        <v>3580</v>
      </c>
      <c r="G3924">
        <v>1489.75</v>
      </c>
      <c r="H3924" t="s">
        <v>69</v>
      </c>
      <c r="I3924" t="s">
        <v>150</v>
      </c>
      <c r="J3924" s="10" t="str">
        <f>VLOOKUP(I3924,Categories!A:B,2,FALSE)</f>
        <v xml:space="preserve">Food &amp; Coff</v>
      </c>
      <c r="K3924" t="s">
        <v>2317</v>
      </c>
      <c r="L3924" s="10" t="str">
        <f>VLOOKUP(K3924,Accounts!A:B,2,FALSE)</f>
        <v xml:space="preserve">Marriage account</v>
      </c>
      <c r="M3924" t="s">
        <v>124</v>
      </c>
      <c r="N3924" s="10"/>
      <c r="O3924" t="s">
        <v>7027</v>
      </c>
      <c r="Q3924" t="s">
        <v>126</v>
      </c>
      <c r="R3924" t="s">
        <v>124</v>
      </c>
      <c r="S3924" t="b">
        <v>0</v>
      </c>
      <c r="T3924" t="s">
        <v>124</v>
      </c>
    </row>
    <row r="3925">
      <c r="A3925" t="s">
        <v>7028</v>
      </c>
      <c r="B3925" t="s">
        <v>7021</v>
      </c>
      <c r="C3925" s="2">
        <v>2021</v>
      </c>
      <c r="D3925" s="10">
        <v>8</v>
      </c>
      <c r="E3925" s="10">
        <v>21</v>
      </c>
      <c r="F3925" t="s">
        <v>2900</v>
      </c>
      <c r="G3925">
        <v>14401.5</v>
      </c>
      <c r="H3925" t="s">
        <v>128</v>
      </c>
      <c r="I3925" t="s">
        <v>136</v>
      </c>
      <c r="J3925" s="10" t="str">
        <f>VLOOKUP(I3925,Categories!A:B,2,FALSE)</f>
        <v>อื่นๆ</v>
      </c>
      <c r="K3925" t="s">
        <v>178</v>
      </c>
      <c r="L3925" s="10" t="str">
        <f>VLOOKUP(K3925,Accounts!A:B,2,FALSE)</f>
        <v>SCB</v>
      </c>
      <c r="M3925" t="s">
        <v>1308</v>
      </c>
      <c r="N3925" s="10" t="str">
        <f>VLOOKUP(M3925,Accounts!A:B,2,FALSE)</f>
        <v xml:space="preserve">UOB Privilages</v>
      </c>
      <c r="O3925" t="s">
        <v>7029</v>
      </c>
      <c r="Q3925" t="s">
        <v>126</v>
      </c>
      <c r="R3925" t="s">
        <v>124</v>
      </c>
      <c r="S3925" t="b">
        <v>0</v>
      </c>
      <c r="T3925" t="s">
        <v>124</v>
      </c>
    </row>
    <row r="3926">
      <c r="A3926" t="s">
        <v>7030</v>
      </c>
      <c r="B3926" t="s">
        <v>7021</v>
      </c>
      <c r="C3926" s="2">
        <v>2021</v>
      </c>
      <c r="D3926" s="10">
        <v>8</v>
      </c>
      <c r="E3926" s="10">
        <v>21</v>
      </c>
      <c r="F3926" t="s">
        <v>4254</v>
      </c>
      <c r="G3926">
        <v>5000</v>
      </c>
      <c r="H3926" t="s">
        <v>128</v>
      </c>
      <c r="I3926" t="s">
        <v>136</v>
      </c>
      <c r="J3926" s="10" t="str">
        <f>VLOOKUP(I3926,Categories!A:B,2,FALSE)</f>
        <v>อื่นๆ</v>
      </c>
      <c r="K3926" t="s">
        <v>178</v>
      </c>
      <c r="L3926" s="10" t="str">
        <f>VLOOKUP(K3926,Accounts!A:B,2,FALSE)</f>
        <v>SCB</v>
      </c>
      <c r="M3926" t="s">
        <v>2317</v>
      </c>
      <c r="N3926" s="10" t="str">
        <f>VLOOKUP(M3926,Accounts!A:B,2,FALSE)</f>
        <v xml:space="preserve">Marriage account</v>
      </c>
      <c r="O3926" t="s">
        <v>7031</v>
      </c>
      <c r="Q3926" t="s">
        <v>126</v>
      </c>
      <c r="R3926" t="s">
        <v>124</v>
      </c>
      <c r="S3926" t="b">
        <v>0</v>
      </c>
      <c r="T3926" t="s">
        <v>124</v>
      </c>
    </row>
    <row r="3927">
      <c r="A3927" t="s">
        <v>7032</v>
      </c>
      <c r="B3927" t="s">
        <v>7021</v>
      </c>
      <c r="C3927" s="2">
        <v>2021</v>
      </c>
      <c r="D3927" s="10">
        <v>8</v>
      </c>
      <c r="E3927" s="10">
        <v>21</v>
      </c>
      <c r="F3927" t="s">
        <v>4110</v>
      </c>
      <c r="G3927">
        <v>108</v>
      </c>
      <c r="H3927" t="s">
        <v>128</v>
      </c>
      <c r="I3927" t="s">
        <v>136</v>
      </c>
      <c r="J3927" s="10" t="str">
        <f>VLOOKUP(I3927,Categories!A:B,2,FALSE)</f>
        <v>อื่นๆ</v>
      </c>
      <c r="K3927" t="s">
        <v>5806</v>
      </c>
      <c r="L3927" s="10" t="str">
        <f>VLOOKUP(K3927,Accounts!A:B,2,FALSE)</f>
        <v>Grabpay</v>
      </c>
      <c r="M3927" t="s">
        <v>130</v>
      </c>
      <c r="N3927" s="10" t="str">
        <f>VLOOKUP(M3927,Accounts!A:B,2,FALSE)</f>
        <v xml:space="preserve">KTC JCB</v>
      </c>
      <c r="O3927" t="s">
        <v>125</v>
      </c>
      <c r="Q3927" t="s">
        <v>126</v>
      </c>
      <c r="R3927" t="s">
        <v>124</v>
      </c>
      <c r="S3927" t="b">
        <v>0</v>
      </c>
      <c r="T3927" t="s">
        <v>124</v>
      </c>
    </row>
    <row r="3928">
      <c r="A3928" t="s">
        <v>7033</v>
      </c>
      <c r="B3928" t="s">
        <v>7021</v>
      </c>
      <c r="C3928" s="2">
        <v>2021</v>
      </c>
      <c r="D3928" s="10">
        <v>8</v>
      </c>
      <c r="E3928" s="10">
        <v>21</v>
      </c>
      <c r="F3928" t="s">
        <v>2139</v>
      </c>
      <c r="G3928">
        <v>195</v>
      </c>
      <c r="H3928" t="s">
        <v>128</v>
      </c>
      <c r="I3928" t="s">
        <v>136</v>
      </c>
      <c r="J3928" s="10" t="str">
        <f>VLOOKUP(I3928,Categories!A:B,2,FALSE)</f>
        <v>อื่นๆ</v>
      </c>
      <c r="K3928" t="s">
        <v>5806</v>
      </c>
      <c r="L3928" s="10" t="str">
        <f>VLOOKUP(K3928,Accounts!A:B,2,FALSE)</f>
        <v>Grabpay</v>
      </c>
      <c r="M3928" t="s">
        <v>178</v>
      </c>
      <c r="N3928" s="10" t="str">
        <f>VLOOKUP(M3928,Accounts!A:B,2,FALSE)</f>
        <v>SCB</v>
      </c>
      <c r="O3928" t="s">
        <v>125</v>
      </c>
      <c r="Q3928" t="s">
        <v>126</v>
      </c>
      <c r="R3928" t="s">
        <v>124</v>
      </c>
      <c r="S3928" t="b">
        <v>0</v>
      </c>
      <c r="T3928" t="s">
        <v>124</v>
      </c>
    </row>
    <row r="3929">
      <c r="A3929" t="s">
        <v>7034</v>
      </c>
      <c r="B3929" t="s">
        <v>7021</v>
      </c>
      <c r="C3929" s="2">
        <v>2021</v>
      </c>
      <c r="D3929" s="10">
        <v>8</v>
      </c>
      <c r="E3929" s="10">
        <v>21</v>
      </c>
      <c r="F3929" t="s">
        <v>2139</v>
      </c>
      <c r="G3929">
        <v>50</v>
      </c>
      <c r="H3929" t="s">
        <v>206</v>
      </c>
      <c r="I3929" t="s">
        <v>281</v>
      </c>
      <c r="J3929" s="10" t="str">
        <f>VLOOKUP(I3929,Categories!A:B,2,FALSE)</f>
        <v>Others</v>
      </c>
      <c r="K3929" t="s">
        <v>178</v>
      </c>
      <c r="L3929" s="10" t="str">
        <f>VLOOKUP(K3929,Accounts!A:B,2,FALSE)</f>
        <v>SCB</v>
      </c>
      <c r="M3929" t="s">
        <v>124</v>
      </c>
      <c r="N3929" s="10"/>
      <c r="O3929" t="s">
        <v>125</v>
      </c>
      <c r="Q3929" t="s">
        <v>126</v>
      </c>
      <c r="R3929" t="s">
        <v>124</v>
      </c>
      <c r="S3929" t="b">
        <v>0</v>
      </c>
      <c r="T3929" t="s">
        <v>124</v>
      </c>
    </row>
    <row r="3930">
      <c r="A3930" t="s">
        <v>7035</v>
      </c>
      <c r="B3930" t="s">
        <v>7021</v>
      </c>
      <c r="C3930" s="2">
        <v>2021</v>
      </c>
      <c r="D3930" s="10">
        <v>8</v>
      </c>
      <c r="E3930" s="10">
        <v>21</v>
      </c>
      <c r="F3930" t="s">
        <v>1898</v>
      </c>
      <c r="G3930">
        <v>1002</v>
      </c>
      <c r="H3930" t="s">
        <v>69</v>
      </c>
      <c r="I3930" t="s">
        <v>1903</v>
      </c>
      <c r="J3930" s="10" t="str">
        <f>VLOOKUP(I3930,Categories!A:B,2,FALSE)</f>
        <v xml:space="preserve">Monthly subscription</v>
      </c>
      <c r="K3930" t="s">
        <v>178</v>
      </c>
      <c r="L3930" s="10" t="str">
        <f>VLOOKUP(K3930,Accounts!A:B,2,FALSE)</f>
        <v>SCB</v>
      </c>
      <c r="M3930" t="s">
        <v>124</v>
      </c>
      <c r="N3930" s="10"/>
      <c r="O3930" t="s">
        <v>125</v>
      </c>
      <c r="Q3930" t="s">
        <v>126</v>
      </c>
      <c r="R3930" t="s">
        <v>124</v>
      </c>
      <c r="S3930" t="b">
        <v>0</v>
      </c>
      <c r="T3930" t="s">
        <v>124</v>
      </c>
    </row>
    <row r="3931">
      <c r="A3931" t="s">
        <v>7036</v>
      </c>
      <c r="B3931" t="s">
        <v>7021</v>
      </c>
      <c r="C3931" s="2">
        <v>2021</v>
      </c>
      <c r="D3931" s="10">
        <v>8</v>
      </c>
      <c r="E3931" s="10">
        <v>21</v>
      </c>
      <c r="F3931" t="s">
        <v>737</v>
      </c>
      <c r="G3931">
        <v>250</v>
      </c>
      <c r="H3931" t="s">
        <v>128</v>
      </c>
      <c r="I3931" t="s">
        <v>136</v>
      </c>
      <c r="J3931" s="10" t="str">
        <f>VLOOKUP(I3931,Categories!A:B,2,FALSE)</f>
        <v>อื่นๆ</v>
      </c>
      <c r="K3931" t="s">
        <v>1421</v>
      </c>
      <c r="L3931" s="10" t="str">
        <f>VLOOKUP(K3931,Accounts!A:B,2,FALSE)</f>
        <v>Hong</v>
      </c>
      <c r="M3931" t="s">
        <v>178</v>
      </c>
      <c r="N3931" s="10" t="str">
        <f>VLOOKUP(M3931,Accounts!A:B,2,FALSE)</f>
        <v>SCB</v>
      </c>
      <c r="O3931" t="s">
        <v>7037</v>
      </c>
      <c r="Q3931" t="s">
        <v>126</v>
      </c>
      <c r="R3931" t="s">
        <v>124</v>
      </c>
      <c r="S3931" t="b">
        <v>0</v>
      </c>
      <c r="T3931" t="s">
        <v>124</v>
      </c>
    </row>
    <row r="3932">
      <c r="A3932" t="s">
        <v>7038</v>
      </c>
      <c r="B3932" t="s">
        <v>7021</v>
      </c>
      <c r="C3932" s="2">
        <v>2021</v>
      </c>
      <c r="D3932" s="10">
        <v>8</v>
      </c>
      <c r="E3932" s="10">
        <v>21</v>
      </c>
      <c r="F3932" t="s">
        <v>231</v>
      </c>
      <c r="G3932">
        <v>5000</v>
      </c>
      <c r="H3932" t="s">
        <v>206</v>
      </c>
      <c r="I3932" t="s">
        <v>281</v>
      </c>
      <c r="J3932" s="10" t="str">
        <f>VLOOKUP(I3932,Categories!A:B,2,FALSE)</f>
        <v>Others</v>
      </c>
      <c r="K3932" t="s">
        <v>2317</v>
      </c>
      <c r="L3932" s="10" t="str">
        <f>VLOOKUP(K3932,Accounts!A:B,2,FALSE)</f>
        <v xml:space="preserve">Marriage account</v>
      </c>
      <c r="M3932" t="s">
        <v>124</v>
      </c>
      <c r="N3932" s="10"/>
      <c r="O3932" t="s">
        <v>6335</v>
      </c>
      <c r="Q3932" t="s">
        <v>126</v>
      </c>
      <c r="R3932" t="s">
        <v>124</v>
      </c>
      <c r="S3932" t="b">
        <v>0</v>
      </c>
      <c r="T3932" t="s">
        <v>124</v>
      </c>
    </row>
    <row r="3933">
      <c r="A3933" t="s">
        <v>7039</v>
      </c>
      <c r="B3933" t="s">
        <v>7021</v>
      </c>
      <c r="C3933" s="2">
        <v>2021</v>
      </c>
      <c r="D3933" s="10">
        <v>8</v>
      </c>
      <c r="E3933" s="10">
        <v>21</v>
      </c>
      <c r="F3933" t="s">
        <v>3653</v>
      </c>
      <c r="G3933">
        <v>550</v>
      </c>
      <c r="H3933" t="s">
        <v>69</v>
      </c>
      <c r="I3933" t="s">
        <v>1903</v>
      </c>
      <c r="J3933" s="10" t="str">
        <f>VLOOKUP(I3933,Categories!A:B,2,FALSE)</f>
        <v xml:space="preserve">Monthly subscription</v>
      </c>
      <c r="K3933" t="s">
        <v>2317</v>
      </c>
      <c r="L3933" s="10" t="str">
        <f>VLOOKUP(K3933,Accounts!A:B,2,FALSE)</f>
        <v xml:space="preserve">Marriage account</v>
      </c>
      <c r="M3933" t="s">
        <v>124</v>
      </c>
      <c r="N3933" s="10"/>
      <c r="O3933" t="s">
        <v>7040</v>
      </c>
      <c r="Q3933" t="s">
        <v>126</v>
      </c>
      <c r="R3933" t="s">
        <v>124</v>
      </c>
      <c r="S3933" t="b">
        <v>0</v>
      </c>
      <c r="T3933" t="s">
        <v>124</v>
      </c>
    </row>
    <row r="3934">
      <c r="A3934" t="s">
        <v>7041</v>
      </c>
      <c r="B3934" t="s">
        <v>7021</v>
      </c>
      <c r="C3934" s="2">
        <v>2021</v>
      </c>
      <c r="D3934" s="10">
        <v>8</v>
      </c>
      <c r="E3934" s="10">
        <v>21</v>
      </c>
      <c r="F3934" t="s">
        <v>3653</v>
      </c>
      <c r="G3934">
        <v>547</v>
      </c>
      <c r="H3934" t="s">
        <v>69</v>
      </c>
      <c r="I3934" t="s">
        <v>1508</v>
      </c>
      <c r="J3934" s="10" t="str">
        <f>VLOOKUP(I3934,Categories!A:B,2,FALSE)</f>
        <v>Other</v>
      </c>
      <c r="K3934" t="s">
        <v>2317</v>
      </c>
      <c r="L3934" s="10" t="str">
        <f>VLOOKUP(K3934,Accounts!A:B,2,FALSE)</f>
        <v xml:space="preserve">Marriage account</v>
      </c>
      <c r="M3934" t="s">
        <v>124</v>
      </c>
      <c r="N3934" s="10"/>
      <c r="O3934" t="s">
        <v>7042</v>
      </c>
      <c r="Q3934" t="s">
        <v>126</v>
      </c>
      <c r="R3934" t="s">
        <v>124</v>
      </c>
      <c r="S3934" t="b">
        <v>0</v>
      </c>
      <c r="T3934" t="s">
        <v>124</v>
      </c>
    </row>
    <row r="3935">
      <c r="A3935" t="s">
        <v>7043</v>
      </c>
      <c r="B3935" t="s">
        <v>7021</v>
      </c>
      <c r="C3935" s="2">
        <v>2021</v>
      </c>
      <c r="D3935" s="10">
        <v>8</v>
      </c>
      <c r="E3935" s="10">
        <v>21</v>
      </c>
      <c r="F3935" t="s">
        <v>7044</v>
      </c>
      <c r="G3935">
        <v>155.36000000000001</v>
      </c>
      <c r="H3935" t="s">
        <v>206</v>
      </c>
      <c r="I3935" t="s">
        <v>122</v>
      </c>
      <c r="J3935" s="10" t="str">
        <f>VLOOKUP(I3935,Categories!A:B,2,FALSE)</f>
        <v>Other</v>
      </c>
      <c r="K3935" t="s">
        <v>178</v>
      </c>
      <c r="L3935" s="10" t="str">
        <f>VLOOKUP(K3935,Accounts!A:B,2,FALSE)</f>
        <v>SCB</v>
      </c>
      <c r="M3935" t="s">
        <v>124</v>
      </c>
      <c r="N3935" s="10"/>
      <c r="O3935" t="s">
        <v>125</v>
      </c>
      <c r="Q3935" t="s">
        <v>126</v>
      </c>
      <c r="R3935" t="s">
        <v>124</v>
      </c>
      <c r="S3935" t="b">
        <v>0</v>
      </c>
      <c r="T3935" t="s">
        <v>124</v>
      </c>
    </row>
    <row r="3936">
      <c r="A3936" t="s">
        <v>7045</v>
      </c>
      <c r="B3936" t="s">
        <v>7046</v>
      </c>
      <c r="C3936" s="2">
        <v>2021</v>
      </c>
      <c r="D3936" s="10">
        <v>8</v>
      </c>
      <c r="E3936" s="10">
        <v>20</v>
      </c>
      <c r="F3936" t="s">
        <v>284</v>
      </c>
      <c r="G3936">
        <v>143</v>
      </c>
      <c r="H3936" t="s">
        <v>69</v>
      </c>
      <c r="I3936" t="s">
        <v>150</v>
      </c>
      <c r="J3936" s="10" t="str">
        <f>VLOOKUP(I3936,Categories!A:B,2,FALSE)</f>
        <v xml:space="preserve">Food &amp; Coff</v>
      </c>
      <c r="K3936" t="s">
        <v>2317</v>
      </c>
      <c r="L3936" s="10" t="str">
        <f>VLOOKUP(K3936,Accounts!A:B,2,FALSE)</f>
        <v xml:space="preserve">Marriage account</v>
      </c>
      <c r="M3936" t="s">
        <v>124</v>
      </c>
      <c r="N3936" s="10"/>
      <c r="O3936" t="s">
        <v>7047</v>
      </c>
      <c r="Q3936" t="s">
        <v>126</v>
      </c>
      <c r="R3936" t="s">
        <v>124</v>
      </c>
      <c r="S3936" t="b">
        <v>0</v>
      </c>
      <c r="T3936" t="s">
        <v>124</v>
      </c>
    </row>
    <row r="3937">
      <c r="A3937" t="s">
        <v>7048</v>
      </c>
      <c r="B3937" t="s">
        <v>7046</v>
      </c>
      <c r="C3937" s="2">
        <v>2021</v>
      </c>
      <c r="D3937" s="10">
        <v>8</v>
      </c>
      <c r="E3937" s="10">
        <v>20</v>
      </c>
      <c r="F3937" t="s">
        <v>4244</v>
      </c>
      <c r="G3937">
        <v>14401.5</v>
      </c>
      <c r="H3937" t="s">
        <v>69</v>
      </c>
      <c r="I3937" t="s">
        <v>1508</v>
      </c>
      <c r="J3937" s="10" t="str">
        <f>VLOOKUP(I3937,Categories!A:B,2,FALSE)</f>
        <v>Other</v>
      </c>
      <c r="K3937" t="s">
        <v>1308</v>
      </c>
      <c r="L3937" s="10" t="str">
        <f>VLOOKUP(K3937,Accounts!A:B,2,FALSE)</f>
        <v xml:space="preserve">UOB Privilages</v>
      </c>
      <c r="M3937" t="s">
        <v>124</v>
      </c>
      <c r="N3937" s="10"/>
      <c r="O3937" t="s">
        <v>7049</v>
      </c>
      <c r="Q3937" t="s">
        <v>126</v>
      </c>
      <c r="R3937" t="s">
        <v>124</v>
      </c>
      <c r="S3937" t="b">
        <v>0</v>
      </c>
      <c r="T3937" t="s">
        <v>124</v>
      </c>
    </row>
    <row r="3938">
      <c r="A3938" t="s">
        <v>7050</v>
      </c>
      <c r="B3938" t="s">
        <v>7051</v>
      </c>
      <c r="C3938" s="2">
        <v>2021</v>
      </c>
      <c r="D3938" s="10">
        <v>8</v>
      </c>
      <c r="E3938" s="10">
        <v>19</v>
      </c>
      <c r="F3938" t="s">
        <v>2384</v>
      </c>
      <c r="G3938">
        <v>178.36000000000001</v>
      </c>
      <c r="H3938" t="s">
        <v>69</v>
      </c>
      <c r="I3938" t="s">
        <v>150</v>
      </c>
      <c r="J3938" s="10" t="str">
        <f>VLOOKUP(I3938,Categories!A:B,2,FALSE)</f>
        <v xml:space="preserve">Food &amp; Coff</v>
      </c>
      <c r="K3938" t="s">
        <v>2317</v>
      </c>
      <c r="L3938" s="10" t="str">
        <f>VLOOKUP(K3938,Accounts!A:B,2,FALSE)</f>
        <v xml:space="preserve">Marriage account</v>
      </c>
      <c r="M3938" t="s">
        <v>124</v>
      </c>
      <c r="N3938" s="10"/>
      <c r="O3938" t="s">
        <v>7052</v>
      </c>
      <c r="Q3938" t="s">
        <v>126</v>
      </c>
      <c r="R3938" t="s">
        <v>124</v>
      </c>
      <c r="S3938" t="b">
        <v>0</v>
      </c>
      <c r="T3938" t="s">
        <v>124</v>
      </c>
    </row>
    <row r="3939">
      <c r="A3939" t="s">
        <v>7053</v>
      </c>
      <c r="B3939" t="s">
        <v>7051</v>
      </c>
      <c r="C3939" s="2">
        <v>2021</v>
      </c>
      <c r="D3939" s="10">
        <v>8</v>
      </c>
      <c r="E3939" s="10">
        <v>19</v>
      </c>
      <c r="F3939" t="s">
        <v>597</v>
      </c>
      <c r="G3939">
        <v>248</v>
      </c>
      <c r="H3939" t="s">
        <v>69</v>
      </c>
      <c r="I3939" t="s">
        <v>150</v>
      </c>
      <c r="J3939" s="10" t="str">
        <f>VLOOKUP(I3939,Categories!A:B,2,FALSE)</f>
        <v xml:space="preserve">Food &amp; Coff</v>
      </c>
      <c r="K3939" t="s">
        <v>2317</v>
      </c>
      <c r="L3939" s="10" t="str">
        <f>VLOOKUP(K3939,Accounts!A:B,2,FALSE)</f>
        <v xml:space="preserve">Marriage account</v>
      </c>
      <c r="M3939" t="s">
        <v>124</v>
      </c>
      <c r="N3939" s="10"/>
      <c r="O3939" t="s">
        <v>5735</v>
      </c>
      <c r="Q3939" t="s">
        <v>126</v>
      </c>
      <c r="R3939" t="s">
        <v>124</v>
      </c>
      <c r="S3939" t="b">
        <v>0</v>
      </c>
      <c r="T3939" t="s">
        <v>124</v>
      </c>
    </row>
    <row r="3940">
      <c r="A3940" t="s">
        <v>7054</v>
      </c>
      <c r="B3940" t="s">
        <v>7051</v>
      </c>
      <c r="C3940" s="2">
        <v>2021</v>
      </c>
      <c r="D3940" s="10">
        <v>8</v>
      </c>
      <c r="E3940" s="10">
        <v>19</v>
      </c>
      <c r="F3940" t="s">
        <v>2983</v>
      </c>
      <c r="G3940">
        <v>158</v>
      </c>
      <c r="H3940" t="s">
        <v>69</v>
      </c>
      <c r="I3940" t="s">
        <v>150</v>
      </c>
      <c r="J3940" s="10" t="str">
        <f>VLOOKUP(I3940,Categories!A:B,2,FALSE)</f>
        <v xml:space="preserve">Food &amp; Coff</v>
      </c>
      <c r="K3940" t="s">
        <v>2317</v>
      </c>
      <c r="L3940" s="10" t="str">
        <f>VLOOKUP(K3940,Accounts!A:B,2,FALSE)</f>
        <v xml:space="preserve">Marriage account</v>
      </c>
      <c r="M3940" t="s">
        <v>124</v>
      </c>
      <c r="N3940" s="10"/>
      <c r="O3940" t="s">
        <v>7055</v>
      </c>
      <c r="Q3940" t="s">
        <v>126</v>
      </c>
      <c r="R3940" t="s">
        <v>124</v>
      </c>
      <c r="S3940" t="b">
        <v>0</v>
      </c>
      <c r="T3940" t="s">
        <v>124</v>
      </c>
    </row>
    <row r="3941">
      <c r="A3941" t="s">
        <v>7056</v>
      </c>
      <c r="B3941" t="s">
        <v>7051</v>
      </c>
      <c r="C3941" s="2">
        <v>2021</v>
      </c>
      <c r="D3941" s="10">
        <v>8</v>
      </c>
      <c r="E3941" s="10">
        <v>19</v>
      </c>
      <c r="F3941" t="s">
        <v>3732</v>
      </c>
      <c r="G3941">
        <v>100</v>
      </c>
      <c r="H3941" t="s">
        <v>206</v>
      </c>
      <c r="I3941" t="s">
        <v>281</v>
      </c>
      <c r="J3941" s="10" t="str">
        <f>VLOOKUP(I3941,Categories!A:B,2,FALSE)</f>
        <v>Others</v>
      </c>
      <c r="K3941" t="s">
        <v>178</v>
      </c>
      <c r="L3941" s="10" t="str">
        <f>VLOOKUP(K3941,Accounts!A:B,2,FALSE)</f>
        <v>SCB</v>
      </c>
      <c r="M3941" t="s">
        <v>124</v>
      </c>
      <c r="N3941" s="10"/>
      <c r="O3941" t="s">
        <v>125</v>
      </c>
      <c r="Q3941" t="s">
        <v>126</v>
      </c>
      <c r="R3941" t="s">
        <v>124</v>
      </c>
      <c r="S3941" t="b">
        <v>0</v>
      </c>
      <c r="T3941" t="s">
        <v>124</v>
      </c>
    </row>
    <row r="3942">
      <c r="A3942" t="s">
        <v>7057</v>
      </c>
      <c r="B3942" t="s">
        <v>7058</v>
      </c>
      <c r="C3942" s="2">
        <v>2021</v>
      </c>
      <c r="D3942" s="10">
        <v>8</v>
      </c>
      <c r="E3942" s="10">
        <v>18</v>
      </c>
      <c r="F3942" t="s">
        <v>705</v>
      </c>
      <c r="G3942">
        <v>181</v>
      </c>
      <c r="H3942" t="s">
        <v>69</v>
      </c>
      <c r="I3942" t="s">
        <v>150</v>
      </c>
      <c r="J3942" s="10" t="str">
        <f>VLOOKUP(I3942,Categories!A:B,2,FALSE)</f>
        <v xml:space="preserve">Food &amp; Coff</v>
      </c>
      <c r="K3942" t="s">
        <v>2317</v>
      </c>
      <c r="L3942" s="10" t="str">
        <f>VLOOKUP(K3942,Accounts!A:B,2,FALSE)</f>
        <v xml:space="preserve">Marriage account</v>
      </c>
      <c r="M3942" t="s">
        <v>124</v>
      </c>
      <c r="N3942" s="10"/>
      <c r="O3942" t="s">
        <v>7059</v>
      </c>
      <c r="Q3942" t="s">
        <v>126</v>
      </c>
      <c r="R3942" t="s">
        <v>124</v>
      </c>
      <c r="S3942" t="b">
        <v>0</v>
      </c>
      <c r="T3942" t="s">
        <v>124</v>
      </c>
    </row>
    <row r="3943">
      <c r="A3943" t="s">
        <v>7060</v>
      </c>
      <c r="B3943" t="s">
        <v>7058</v>
      </c>
      <c r="C3943" s="2">
        <v>2021</v>
      </c>
      <c r="D3943" s="10">
        <v>8</v>
      </c>
      <c r="E3943" s="10">
        <v>18</v>
      </c>
      <c r="F3943" t="s">
        <v>693</v>
      </c>
      <c r="G3943">
        <v>50</v>
      </c>
      <c r="H3943" t="s">
        <v>206</v>
      </c>
      <c r="I3943" t="s">
        <v>281</v>
      </c>
      <c r="J3943" s="10" t="str">
        <f>VLOOKUP(I3943,Categories!A:B,2,FALSE)</f>
        <v>Others</v>
      </c>
      <c r="K3943" t="s">
        <v>178</v>
      </c>
      <c r="L3943" s="10" t="str">
        <f>VLOOKUP(K3943,Accounts!A:B,2,FALSE)</f>
        <v>SCB</v>
      </c>
      <c r="M3943" t="s">
        <v>124</v>
      </c>
      <c r="N3943" s="10"/>
      <c r="O3943" t="s">
        <v>125</v>
      </c>
      <c r="Q3943" t="s">
        <v>126</v>
      </c>
      <c r="R3943" t="s">
        <v>124</v>
      </c>
      <c r="S3943" t="b">
        <v>0</v>
      </c>
      <c r="T3943" t="s">
        <v>124</v>
      </c>
    </row>
    <row r="3944">
      <c r="A3944" t="s">
        <v>7061</v>
      </c>
      <c r="B3944" t="s">
        <v>7058</v>
      </c>
      <c r="C3944" s="2">
        <v>2021</v>
      </c>
      <c r="D3944" s="10">
        <v>8</v>
      </c>
      <c r="E3944" s="10">
        <v>18</v>
      </c>
      <c r="F3944" t="s">
        <v>1358</v>
      </c>
      <c r="G3944">
        <v>2466.9899999999998</v>
      </c>
      <c r="H3944" t="s">
        <v>69</v>
      </c>
      <c r="I3944" t="s">
        <v>1455</v>
      </c>
      <c r="J3944" s="10" t="str">
        <f>VLOOKUP(I3944,Categories!A:B,2,FALSE)</f>
        <v xml:space="preserve">Merit and gift</v>
      </c>
      <c r="K3944" t="s">
        <v>178</v>
      </c>
      <c r="L3944" s="10" t="str">
        <f>VLOOKUP(K3944,Accounts!A:B,2,FALSE)</f>
        <v>SCB</v>
      </c>
      <c r="M3944" t="s">
        <v>124</v>
      </c>
      <c r="N3944" s="10"/>
      <c r="O3944" t="s">
        <v>5444</v>
      </c>
      <c r="Q3944" t="s">
        <v>126</v>
      </c>
      <c r="R3944" t="s">
        <v>124</v>
      </c>
      <c r="S3944" t="b">
        <v>0</v>
      </c>
      <c r="T3944" t="s">
        <v>124</v>
      </c>
    </row>
    <row r="3945">
      <c r="A3945" t="s">
        <v>7062</v>
      </c>
      <c r="B3945" t="s">
        <v>7058</v>
      </c>
      <c r="C3945" s="2">
        <v>2021</v>
      </c>
      <c r="D3945" s="10">
        <v>8</v>
      </c>
      <c r="E3945" s="10">
        <v>18</v>
      </c>
      <c r="F3945" t="s">
        <v>1773</v>
      </c>
      <c r="G3945">
        <v>100</v>
      </c>
      <c r="H3945" t="s">
        <v>69</v>
      </c>
      <c r="I3945" t="s">
        <v>150</v>
      </c>
      <c r="J3945" s="10" t="str">
        <f>VLOOKUP(I3945,Categories!A:B,2,FALSE)</f>
        <v xml:space="preserve">Food &amp; Coff</v>
      </c>
      <c r="K3945" t="s">
        <v>2317</v>
      </c>
      <c r="L3945" s="10" t="str">
        <f>VLOOKUP(K3945,Accounts!A:B,2,FALSE)</f>
        <v xml:space="preserve">Marriage account</v>
      </c>
      <c r="M3945" t="s">
        <v>124</v>
      </c>
      <c r="N3945" s="10"/>
      <c r="O3945" t="s">
        <v>7063</v>
      </c>
      <c r="Q3945" t="s">
        <v>126</v>
      </c>
      <c r="R3945" t="s">
        <v>124</v>
      </c>
      <c r="S3945" t="b">
        <v>0</v>
      </c>
      <c r="T3945" t="s">
        <v>124</v>
      </c>
    </row>
    <row r="3946">
      <c r="A3946" t="s">
        <v>7064</v>
      </c>
      <c r="B3946" t="s">
        <v>7058</v>
      </c>
      <c r="C3946" s="2">
        <v>2021</v>
      </c>
      <c r="D3946" s="10">
        <v>8</v>
      </c>
      <c r="E3946" s="10">
        <v>18</v>
      </c>
      <c r="F3946" t="s">
        <v>2461</v>
      </c>
      <c r="G3946">
        <v>166.75</v>
      </c>
      <c r="H3946" t="s">
        <v>69</v>
      </c>
      <c r="I3946" t="s">
        <v>150</v>
      </c>
      <c r="J3946" s="10" t="str">
        <f>VLOOKUP(I3946,Categories!A:B,2,FALSE)</f>
        <v xml:space="preserve">Food &amp; Coff</v>
      </c>
      <c r="K3946" t="s">
        <v>2317</v>
      </c>
      <c r="L3946" s="10" t="str">
        <f>VLOOKUP(K3946,Accounts!A:B,2,FALSE)</f>
        <v xml:space="preserve">Marriage account</v>
      </c>
      <c r="M3946" t="s">
        <v>124</v>
      </c>
      <c r="N3946" s="10"/>
      <c r="O3946" t="s">
        <v>6833</v>
      </c>
      <c r="Q3946" t="s">
        <v>126</v>
      </c>
      <c r="R3946" t="s">
        <v>124</v>
      </c>
      <c r="S3946" t="b">
        <v>0</v>
      </c>
      <c r="T3946" t="s">
        <v>124</v>
      </c>
    </row>
    <row r="3947">
      <c r="A3947" t="s">
        <v>7065</v>
      </c>
      <c r="B3947" t="s">
        <v>7066</v>
      </c>
      <c r="C3947" s="2">
        <v>2021</v>
      </c>
      <c r="D3947" s="10">
        <v>8</v>
      </c>
      <c r="E3947" s="10">
        <v>17</v>
      </c>
      <c r="F3947" t="s">
        <v>3203</v>
      </c>
      <c r="G3947">
        <v>108.44</v>
      </c>
      <c r="H3947" t="s">
        <v>69</v>
      </c>
      <c r="I3947" t="s">
        <v>150</v>
      </c>
      <c r="J3947" s="10" t="str">
        <f>VLOOKUP(I3947,Categories!A:B,2,FALSE)</f>
        <v xml:space="preserve">Food &amp; Coff</v>
      </c>
      <c r="K3947" t="s">
        <v>2317</v>
      </c>
      <c r="L3947" s="10" t="str">
        <f>VLOOKUP(K3947,Accounts!A:B,2,FALSE)</f>
        <v xml:space="preserve">Marriage account</v>
      </c>
      <c r="M3947" t="s">
        <v>124</v>
      </c>
      <c r="N3947" s="10"/>
      <c r="O3947" t="s">
        <v>7067</v>
      </c>
      <c r="Q3947" t="s">
        <v>126</v>
      </c>
      <c r="R3947" t="s">
        <v>124</v>
      </c>
      <c r="S3947" t="b">
        <v>0</v>
      </c>
      <c r="T3947" t="s">
        <v>124</v>
      </c>
    </row>
    <row r="3948">
      <c r="A3948" t="s">
        <v>7068</v>
      </c>
      <c r="B3948" t="s">
        <v>7066</v>
      </c>
      <c r="C3948" s="2">
        <v>2021</v>
      </c>
      <c r="D3948" s="10">
        <v>8</v>
      </c>
      <c r="E3948" s="10">
        <v>17</v>
      </c>
      <c r="F3948" t="s">
        <v>1585</v>
      </c>
      <c r="G3948">
        <v>166.75</v>
      </c>
      <c r="H3948" t="s">
        <v>69</v>
      </c>
      <c r="I3948" t="s">
        <v>150</v>
      </c>
      <c r="J3948" s="10" t="str">
        <f>VLOOKUP(I3948,Categories!A:B,2,FALSE)</f>
        <v xml:space="preserve">Food &amp; Coff</v>
      </c>
      <c r="K3948" t="s">
        <v>747</v>
      </c>
      <c r="L3948" s="10" t="str">
        <f>VLOOKUP(K3948,Accounts!A:B,2,FALSE)</f>
        <v xml:space="preserve">UOB world</v>
      </c>
      <c r="M3948" t="s">
        <v>124</v>
      </c>
      <c r="N3948" s="10"/>
      <c r="O3948" t="s">
        <v>125</v>
      </c>
      <c r="Q3948" t="s">
        <v>126</v>
      </c>
      <c r="R3948" t="s">
        <v>124</v>
      </c>
      <c r="S3948" t="b">
        <v>0</v>
      </c>
      <c r="T3948" t="s">
        <v>124</v>
      </c>
    </row>
    <row r="3949">
      <c r="A3949" t="s">
        <v>7069</v>
      </c>
      <c r="B3949" t="s">
        <v>7066</v>
      </c>
      <c r="C3949" s="2">
        <v>2021</v>
      </c>
      <c r="D3949" s="10">
        <v>8</v>
      </c>
      <c r="E3949" s="10">
        <v>17</v>
      </c>
      <c r="F3949" t="s">
        <v>649</v>
      </c>
      <c r="G3949">
        <v>50</v>
      </c>
      <c r="H3949" t="s">
        <v>206</v>
      </c>
      <c r="I3949" t="s">
        <v>281</v>
      </c>
      <c r="J3949" s="10" t="str">
        <f>VLOOKUP(I3949,Categories!A:B,2,FALSE)</f>
        <v>Others</v>
      </c>
      <c r="K3949" t="s">
        <v>178</v>
      </c>
      <c r="L3949" s="10" t="str">
        <f>VLOOKUP(K3949,Accounts!A:B,2,FALSE)</f>
        <v>SCB</v>
      </c>
      <c r="M3949" t="s">
        <v>124</v>
      </c>
      <c r="N3949" s="10"/>
      <c r="O3949" t="s">
        <v>125</v>
      </c>
      <c r="Q3949" t="s">
        <v>126</v>
      </c>
      <c r="R3949" t="s">
        <v>124</v>
      </c>
      <c r="S3949" t="b">
        <v>0</v>
      </c>
      <c r="T3949" t="s">
        <v>124</v>
      </c>
    </row>
    <row r="3950">
      <c r="A3950" t="s">
        <v>7070</v>
      </c>
      <c r="B3950" t="s">
        <v>7066</v>
      </c>
      <c r="C3950" s="2">
        <v>2021</v>
      </c>
      <c r="D3950" s="10">
        <v>8</v>
      </c>
      <c r="E3950" s="10">
        <v>17</v>
      </c>
      <c r="F3950" t="s">
        <v>649</v>
      </c>
      <c r="G3950">
        <v>288</v>
      </c>
      <c r="H3950" t="s">
        <v>69</v>
      </c>
      <c r="I3950" t="s">
        <v>150</v>
      </c>
      <c r="J3950" s="10" t="str">
        <f>VLOOKUP(I3950,Categories!A:B,2,FALSE)</f>
        <v xml:space="preserve">Food &amp; Coff</v>
      </c>
      <c r="K3950" t="s">
        <v>2317</v>
      </c>
      <c r="L3950" s="10" t="str">
        <f>VLOOKUP(K3950,Accounts!A:B,2,FALSE)</f>
        <v xml:space="preserve">Marriage account</v>
      </c>
      <c r="M3950" t="s">
        <v>124</v>
      </c>
      <c r="N3950" s="10"/>
      <c r="O3950" t="s">
        <v>7071</v>
      </c>
      <c r="Q3950" t="s">
        <v>126</v>
      </c>
      <c r="R3950" t="s">
        <v>124</v>
      </c>
      <c r="S3950" t="b">
        <v>0</v>
      </c>
      <c r="T3950" t="s">
        <v>124</v>
      </c>
    </row>
    <row r="3951">
      <c r="A3951" t="s">
        <v>7072</v>
      </c>
      <c r="B3951" t="s">
        <v>7073</v>
      </c>
      <c r="C3951" s="2">
        <v>2021</v>
      </c>
      <c r="D3951" s="10">
        <v>8</v>
      </c>
      <c r="E3951" s="10">
        <v>16</v>
      </c>
      <c r="F3951" t="s">
        <v>829</v>
      </c>
      <c r="G3951">
        <v>197</v>
      </c>
      <c r="H3951" t="s">
        <v>69</v>
      </c>
      <c r="I3951" t="s">
        <v>150</v>
      </c>
      <c r="J3951" s="10" t="str">
        <f>VLOOKUP(I3951,Categories!A:B,2,FALSE)</f>
        <v xml:space="preserve">Food &amp; Coff</v>
      </c>
      <c r="K3951" t="s">
        <v>2317</v>
      </c>
      <c r="L3951" s="10" t="str">
        <f>VLOOKUP(K3951,Accounts!A:B,2,FALSE)</f>
        <v xml:space="preserve">Marriage account</v>
      </c>
      <c r="M3951" t="s">
        <v>124</v>
      </c>
      <c r="N3951" s="10"/>
      <c r="O3951" t="s">
        <v>7074</v>
      </c>
      <c r="Q3951" t="s">
        <v>126</v>
      </c>
      <c r="R3951" t="s">
        <v>124</v>
      </c>
      <c r="S3951" t="b">
        <v>0</v>
      </c>
      <c r="T3951" t="s">
        <v>124</v>
      </c>
    </row>
    <row r="3952">
      <c r="A3952" t="s">
        <v>7075</v>
      </c>
      <c r="B3952" t="s">
        <v>7073</v>
      </c>
      <c r="C3952" s="2">
        <v>2021</v>
      </c>
      <c r="D3952" s="10">
        <v>8</v>
      </c>
      <c r="E3952" s="10">
        <v>16</v>
      </c>
      <c r="F3952" t="s">
        <v>1452</v>
      </c>
      <c r="G3952">
        <v>140</v>
      </c>
      <c r="H3952" t="s">
        <v>69</v>
      </c>
      <c r="I3952" t="s">
        <v>150</v>
      </c>
      <c r="J3952" s="10" t="str">
        <f>VLOOKUP(I3952,Categories!A:B,2,FALSE)</f>
        <v xml:space="preserve">Food &amp; Coff</v>
      </c>
      <c r="K3952" t="s">
        <v>2317</v>
      </c>
      <c r="L3952" s="10" t="str">
        <f>VLOOKUP(K3952,Accounts!A:B,2,FALSE)</f>
        <v xml:space="preserve">Marriage account</v>
      </c>
      <c r="M3952" t="s">
        <v>124</v>
      </c>
      <c r="N3952" s="10"/>
      <c r="O3952" t="s">
        <v>7076</v>
      </c>
      <c r="Q3952" t="s">
        <v>126</v>
      </c>
      <c r="R3952" t="s">
        <v>124</v>
      </c>
      <c r="S3952" t="b">
        <v>0</v>
      </c>
      <c r="T3952" t="s">
        <v>124</v>
      </c>
    </row>
    <row r="3953">
      <c r="A3953" t="s">
        <v>7077</v>
      </c>
      <c r="B3953" t="s">
        <v>7073</v>
      </c>
      <c r="C3953" s="2">
        <v>2021</v>
      </c>
      <c r="D3953" s="10">
        <v>8</v>
      </c>
      <c r="E3953" s="10">
        <v>16</v>
      </c>
      <c r="F3953" t="s">
        <v>476</v>
      </c>
      <c r="G3953">
        <v>280</v>
      </c>
      <c r="H3953" t="s">
        <v>128</v>
      </c>
      <c r="I3953" t="s">
        <v>136</v>
      </c>
      <c r="J3953" s="10" t="str">
        <f>VLOOKUP(I3953,Categories!A:B,2,FALSE)</f>
        <v>อื่นๆ</v>
      </c>
      <c r="K3953" t="s">
        <v>5806</v>
      </c>
      <c r="L3953" s="10" t="str">
        <f>VLOOKUP(K3953,Accounts!A:B,2,FALSE)</f>
        <v>Grabpay</v>
      </c>
      <c r="M3953" t="s">
        <v>178</v>
      </c>
      <c r="N3953" s="10" t="str">
        <f>VLOOKUP(M3953,Accounts!A:B,2,FALSE)</f>
        <v>SCB</v>
      </c>
      <c r="O3953" t="s">
        <v>125</v>
      </c>
      <c r="Q3953" t="s">
        <v>126</v>
      </c>
      <c r="R3953" t="s">
        <v>124</v>
      </c>
      <c r="S3953" t="b">
        <v>0</v>
      </c>
      <c r="T3953" t="s">
        <v>124</v>
      </c>
    </row>
    <row r="3954">
      <c r="A3954" t="s">
        <v>7078</v>
      </c>
      <c r="B3954" t="s">
        <v>7073</v>
      </c>
      <c r="C3954" s="2">
        <v>2021</v>
      </c>
      <c r="D3954" s="10">
        <v>8</v>
      </c>
      <c r="E3954" s="10">
        <v>16</v>
      </c>
      <c r="F3954" t="s">
        <v>476</v>
      </c>
      <c r="G3954">
        <v>50</v>
      </c>
      <c r="H3954" t="s">
        <v>206</v>
      </c>
      <c r="I3954" t="s">
        <v>281</v>
      </c>
      <c r="J3954" s="10" t="str">
        <f>VLOOKUP(I3954,Categories!A:B,2,FALSE)</f>
        <v>Others</v>
      </c>
      <c r="K3954" t="s">
        <v>178</v>
      </c>
      <c r="L3954" s="10" t="str">
        <f>VLOOKUP(K3954,Accounts!A:B,2,FALSE)</f>
        <v>SCB</v>
      </c>
      <c r="M3954" t="s">
        <v>124</v>
      </c>
      <c r="N3954" s="10"/>
      <c r="O3954" t="s">
        <v>125</v>
      </c>
      <c r="Q3954" t="s">
        <v>126</v>
      </c>
      <c r="R3954" t="s">
        <v>124</v>
      </c>
      <c r="S3954" t="b">
        <v>0</v>
      </c>
      <c r="T3954" t="s">
        <v>124</v>
      </c>
    </row>
    <row r="3955">
      <c r="A3955" t="s">
        <v>7079</v>
      </c>
      <c r="B3955" t="s">
        <v>7073</v>
      </c>
      <c r="C3955" s="2">
        <v>2021</v>
      </c>
      <c r="D3955" s="10">
        <v>8</v>
      </c>
      <c r="E3955" s="10">
        <v>16</v>
      </c>
      <c r="F3955" t="s">
        <v>2860</v>
      </c>
      <c r="G3955">
        <v>330</v>
      </c>
      <c r="H3955" t="s">
        <v>69</v>
      </c>
      <c r="I3955" t="s">
        <v>150</v>
      </c>
      <c r="J3955" s="10" t="str">
        <f>VLOOKUP(I3955,Categories!A:B,2,FALSE)</f>
        <v xml:space="preserve">Food &amp; Coff</v>
      </c>
      <c r="K3955" t="s">
        <v>2317</v>
      </c>
      <c r="L3955" s="10" t="str">
        <f>VLOOKUP(K3955,Accounts!A:B,2,FALSE)</f>
        <v xml:space="preserve">Marriage account</v>
      </c>
      <c r="M3955" t="s">
        <v>124</v>
      </c>
      <c r="N3955" s="10"/>
      <c r="O3955" t="s">
        <v>7080</v>
      </c>
      <c r="Q3955" t="s">
        <v>126</v>
      </c>
      <c r="R3955" t="s">
        <v>124</v>
      </c>
      <c r="S3955" t="b">
        <v>0</v>
      </c>
      <c r="T3955" t="s">
        <v>124</v>
      </c>
    </row>
    <row r="3956">
      <c r="A3956" t="s">
        <v>7081</v>
      </c>
      <c r="B3956" t="s">
        <v>7082</v>
      </c>
      <c r="C3956" s="2">
        <v>2021</v>
      </c>
      <c r="D3956" s="10">
        <v>8</v>
      </c>
      <c r="E3956" s="10">
        <v>15</v>
      </c>
      <c r="F3956" t="s">
        <v>191</v>
      </c>
      <c r="G3956">
        <v>80</v>
      </c>
      <c r="H3956" t="s">
        <v>69</v>
      </c>
      <c r="I3956" t="s">
        <v>150</v>
      </c>
      <c r="J3956" s="10" t="str">
        <f>VLOOKUP(I3956,Categories!A:B,2,FALSE)</f>
        <v xml:space="preserve">Food &amp; Coff</v>
      </c>
      <c r="K3956" t="s">
        <v>2317</v>
      </c>
      <c r="L3956" s="10" t="str">
        <f>VLOOKUP(K3956,Accounts!A:B,2,FALSE)</f>
        <v xml:space="preserve">Marriage account</v>
      </c>
      <c r="M3956" t="s">
        <v>124</v>
      </c>
      <c r="N3956" s="10"/>
      <c r="O3956" t="s">
        <v>6699</v>
      </c>
      <c r="Q3956" t="s">
        <v>126</v>
      </c>
      <c r="R3956" t="s">
        <v>124</v>
      </c>
      <c r="S3956" t="b">
        <v>0</v>
      </c>
      <c r="T3956" t="s">
        <v>124</v>
      </c>
    </row>
    <row r="3957">
      <c r="A3957" t="s">
        <v>7083</v>
      </c>
      <c r="B3957" t="s">
        <v>7082</v>
      </c>
      <c r="C3957" s="2">
        <v>2021</v>
      </c>
      <c r="D3957" s="10">
        <v>8</v>
      </c>
      <c r="E3957" s="10">
        <v>15</v>
      </c>
      <c r="F3957" t="s">
        <v>191</v>
      </c>
      <c r="G3957">
        <v>80</v>
      </c>
      <c r="H3957" t="s">
        <v>128</v>
      </c>
      <c r="I3957" t="s">
        <v>136</v>
      </c>
      <c r="J3957" s="10" t="str">
        <f>VLOOKUP(I3957,Categories!A:B,2,FALSE)</f>
        <v>อื่นๆ</v>
      </c>
      <c r="K3957" t="s">
        <v>425</v>
      </c>
      <c r="L3957" s="10" t="str">
        <f>VLOOKUP(K3957,Accounts!A:B,2,FALSE)</f>
        <v>Cash</v>
      </c>
      <c r="M3957" t="s">
        <v>178</v>
      </c>
      <c r="N3957" s="10" t="str">
        <f>VLOOKUP(M3957,Accounts!A:B,2,FALSE)</f>
        <v>SCB</v>
      </c>
      <c r="O3957" t="s">
        <v>125</v>
      </c>
      <c r="Q3957" t="s">
        <v>126</v>
      </c>
      <c r="R3957" t="s">
        <v>124</v>
      </c>
      <c r="S3957" t="b">
        <v>0</v>
      </c>
      <c r="T3957" t="s">
        <v>124</v>
      </c>
    </row>
    <row r="3958">
      <c r="A3958" t="s">
        <v>7084</v>
      </c>
      <c r="B3958" t="s">
        <v>7082</v>
      </c>
      <c r="C3958" s="2">
        <v>2021</v>
      </c>
      <c r="D3958" s="10">
        <v>8</v>
      </c>
      <c r="E3958" s="10">
        <v>15</v>
      </c>
      <c r="F3958" t="s">
        <v>1214</v>
      </c>
      <c r="G3958">
        <v>251</v>
      </c>
      <c r="H3958" t="s">
        <v>69</v>
      </c>
      <c r="I3958" t="s">
        <v>1339</v>
      </c>
      <c r="J3958" s="10" t="str">
        <f>VLOOKUP(I3958,Categories!A:B,2,FALSE)</f>
        <v>Manga</v>
      </c>
      <c r="K3958" t="s">
        <v>893</v>
      </c>
      <c r="L3958" s="10" t="str">
        <f>VLOOKUP(K3958,Accounts!A:B,2,FALSE)</f>
        <v>Shopee</v>
      </c>
      <c r="M3958" t="s">
        <v>124</v>
      </c>
      <c r="N3958" s="10"/>
      <c r="O3958" t="s">
        <v>125</v>
      </c>
      <c r="Q3958" t="s">
        <v>126</v>
      </c>
      <c r="R3958" t="s">
        <v>124</v>
      </c>
      <c r="S3958" t="b">
        <v>0</v>
      </c>
      <c r="T3958" t="s">
        <v>124</v>
      </c>
    </row>
    <row r="3959">
      <c r="A3959" t="s">
        <v>7085</v>
      </c>
      <c r="B3959" t="s">
        <v>7082</v>
      </c>
      <c r="C3959" s="2">
        <v>2021</v>
      </c>
      <c r="D3959" s="10">
        <v>8</v>
      </c>
      <c r="E3959" s="10">
        <v>15</v>
      </c>
      <c r="F3959" t="s">
        <v>3289</v>
      </c>
      <c r="G3959">
        <v>547</v>
      </c>
      <c r="H3959" t="s">
        <v>128</v>
      </c>
      <c r="I3959" t="s">
        <v>136</v>
      </c>
      <c r="J3959" s="10" t="str">
        <f>VLOOKUP(I3959,Categories!A:B,2,FALSE)</f>
        <v>อื่นๆ</v>
      </c>
      <c r="K3959" t="s">
        <v>893</v>
      </c>
      <c r="L3959" s="10" t="str">
        <f>VLOOKUP(K3959,Accounts!A:B,2,FALSE)</f>
        <v>Shopee</v>
      </c>
      <c r="M3959" t="s">
        <v>178</v>
      </c>
      <c r="N3959" s="10" t="str">
        <f>VLOOKUP(M3959,Accounts!A:B,2,FALSE)</f>
        <v>SCB</v>
      </c>
      <c r="O3959" t="s">
        <v>125</v>
      </c>
      <c r="Q3959" t="s">
        <v>126</v>
      </c>
      <c r="R3959" t="s">
        <v>124</v>
      </c>
      <c r="S3959" t="b">
        <v>0</v>
      </c>
      <c r="T3959" t="s">
        <v>124</v>
      </c>
    </row>
    <row r="3960">
      <c r="A3960" t="s">
        <v>7086</v>
      </c>
      <c r="B3960" t="s">
        <v>7082</v>
      </c>
      <c r="C3960" s="2">
        <v>2021</v>
      </c>
      <c r="D3960" s="10">
        <v>8</v>
      </c>
      <c r="E3960" s="10">
        <v>15</v>
      </c>
      <c r="F3960" t="s">
        <v>1596</v>
      </c>
      <c r="G3960">
        <v>300</v>
      </c>
      <c r="H3960" t="s">
        <v>128</v>
      </c>
      <c r="I3960" t="s">
        <v>136</v>
      </c>
      <c r="J3960" s="10" t="str">
        <f>VLOOKUP(I3960,Categories!A:B,2,FALSE)</f>
        <v>อื่นๆ</v>
      </c>
      <c r="K3960" t="s">
        <v>178</v>
      </c>
      <c r="L3960" s="10" t="str">
        <f>VLOOKUP(K3960,Accounts!A:B,2,FALSE)</f>
        <v>SCB</v>
      </c>
      <c r="M3960" t="s">
        <v>893</v>
      </c>
      <c r="N3960" s="10" t="str">
        <f>VLOOKUP(M3960,Accounts!A:B,2,FALSE)</f>
        <v>Shopee</v>
      </c>
      <c r="O3960" t="s">
        <v>125</v>
      </c>
      <c r="Q3960" t="s">
        <v>126</v>
      </c>
      <c r="R3960" t="s">
        <v>124</v>
      </c>
      <c r="S3960" t="b">
        <v>0</v>
      </c>
      <c r="T3960" t="s">
        <v>124</v>
      </c>
    </row>
    <row r="3961">
      <c r="A3961" t="s">
        <v>7087</v>
      </c>
      <c r="B3961" t="s">
        <v>7088</v>
      </c>
      <c r="C3961" s="2">
        <v>2021</v>
      </c>
      <c r="D3961" s="10">
        <v>8</v>
      </c>
      <c r="E3961" s="10">
        <v>14</v>
      </c>
      <c r="F3961" t="s">
        <v>121</v>
      </c>
      <c r="G3961">
        <v>419</v>
      </c>
      <c r="H3961" t="s">
        <v>69</v>
      </c>
      <c r="I3961" t="s">
        <v>1903</v>
      </c>
      <c r="J3961" s="10" t="str">
        <f>VLOOKUP(I3961,Categories!A:B,2,FALSE)</f>
        <v xml:space="preserve">Monthly subscription</v>
      </c>
      <c r="K3961" t="s">
        <v>747</v>
      </c>
      <c r="L3961" s="10" t="str">
        <f>VLOOKUP(K3961,Accounts!A:B,2,FALSE)</f>
        <v xml:space="preserve">UOB world</v>
      </c>
      <c r="M3961" t="s">
        <v>124</v>
      </c>
      <c r="N3961" s="10"/>
      <c r="O3961" t="s">
        <v>125</v>
      </c>
      <c r="Q3961" t="s">
        <v>126</v>
      </c>
      <c r="R3961" t="s">
        <v>124</v>
      </c>
      <c r="S3961" t="b">
        <v>0</v>
      </c>
      <c r="T3961" t="s">
        <v>124</v>
      </c>
    </row>
    <row r="3962">
      <c r="A3962" t="s">
        <v>7089</v>
      </c>
      <c r="B3962" t="s">
        <v>7088</v>
      </c>
      <c r="C3962" s="2">
        <v>2021</v>
      </c>
      <c r="D3962" s="10">
        <v>8</v>
      </c>
      <c r="E3962" s="10">
        <v>14</v>
      </c>
      <c r="F3962" t="s">
        <v>1332</v>
      </c>
      <c r="G3962">
        <v>76.299999999999997</v>
      </c>
      <c r="H3962" t="s">
        <v>69</v>
      </c>
      <c r="I3962" t="s">
        <v>150</v>
      </c>
      <c r="J3962" s="10" t="str">
        <f>VLOOKUP(I3962,Categories!A:B,2,FALSE)</f>
        <v xml:space="preserve">Food &amp; Coff</v>
      </c>
      <c r="K3962" t="s">
        <v>2317</v>
      </c>
      <c r="L3962" s="10" t="str">
        <f>VLOOKUP(K3962,Accounts!A:B,2,FALSE)</f>
        <v xml:space="preserve">Marriage account</v>
      </c>
      <c r="M3962" t="s">
        <v>124</v>
      </c>
      <c r="N3962" s="10"/>
      <c r="O3962" t="s">
        <v>7052</v>
      </c>
      <c r="Q3962" t="s">
        <v>126</v>
      </c>
      <c r="R3962" t="s">
        <v>124</v>
      </c>
      <c r="S3962" t="b">
        <v>0</v>
      </c>
      <c r="T3962" t="s">
        <v>124</v>
      </c>
    </row>
    <row r="3963">
      <c r="A3963" t="s">
        <v>7090</v>
      </c>
      <c r="B3963" t="s">
        <v>7091</v>
      </c>
      <c r="C3963" s="2">
        <v>2021</v>
      </c>
      <c r="D3963" s="10">
        <v>8</v>
      </c>
      <c r="E3963" s="10">
        <v>13</v>
      </c>
      <c r="F3963" t="s">
        <v>1510</v>
      </c>
      <c r="G3963">
        <v>107</v>
      </c>
      <c r="H3963" t="s">
        <v>69</v>
      </c>
      <c r="I3963" t="s">
        <v>150</v>
      </c>
      <c r="J3963" s="10" t="str">
        <f>VLOOKUP(I3963,Categories!A:B,2,FALSE)</f>
        <v xml:space="preserve">Food &amp; Coff</v>
      </c>
      <c r="K3963" t="s">
        <v>2317</v>
      </c>
      <c r="L3963" s="10" t="str">
        <f>VLOOKUP(K3963,Accounts!A:B,2,FALSE)</f>
        <v xml:space="preserve">Marriage account</v>
      </c>
      <c r="M3963" t="s">
        <v>124</v>
      </c>
      <c r="N3963" s="10"/>
      <c r="O3963" t="s">
        <v>7092</v>
      </c>
      <c r="Q3963" t="s">
        <v>126</v>
      </c>
      <c r="R3963" t="s">
        <v>124</v>
      </c>
      <c r="S3963" t="b">
        <v>0</v>
      </c>
      <c r="T3963" t="s">
        <v>124</v>
      </c>
    </row>
    <row r="3964">
      <c r="A3964" t="s">
        <v>7093</v>
      </c>
      <c r="B3964" t="s">
        <v>7091</v>
      </c>
      <c r="C3964" s="2">
        <v>2021</v>
      </c>
      <c r="D3964" s="10">
        <v>8</v>
      </c>
      <c r="E3964" s="10">
        <v>13</v>
      </c>
      <c r="F3964" t="s">
        <v>3620</v>
      </c>
      <c r="G3964">
        <v>290</v>
      </c>
      <c r="H3964" t="s">
        <v>69</v>
      </c>
      <c r="I3964" t="s">
        <v>150</v>
      </c>
      <c r="J3964" s="10" t="str">
        <f>VLOOKUP(I3964,Categories!A:B,2,FALSE)</f>
        <v xml:space="preserve">Food &amp; Coff</v>
      </c>
      <c r="K3964" t="s">
        <v>2317</v>
      </c>
      <c r="L3964" s="10" t="str">
        <f>VLOOKUP(K3964,Accounts!A:B,2,FALSE)</f>
        <v xml:space="preserve">Marriage account</v>
      </c>
      <c r="M3964" t="s">
        <v>124</v>
      </c>
      <c r="N3964" s="10"/>
      <c r="O3964" t="s">
        <v>4111</v>
      </c>
      <c r="Q3964" t="s">
        <v>126</v>
      </c>
      <c r="R3964" t="s">
        <v>124</v>
      </c>
      <c r="S3964" t="b">
        <v>0</v>
      </c>
      <c r="T3964" t="s">
        <v>124</v>
      </c>
    </row>
    <row r="3965">
      <c r="A3965" t="s">
        <v>7094</v>
      </c>
      <c r="B3965" t="s">
        <v>7091</v>
      </c>
      <c r="C3965" s="2">
        <v>2021</v>
      </c>
      <c r="D3965" s="10">
        <v>8</v>
      </c>
      <c r="E3965" s="10">
        <v>13</v>
      </c>
      <c r="F3965" t="s">
        <v>6401</v>
      </c>
      <c r="G3965">
        <v>107</v>
      </c>
      <c r="H3965" t="s">
        <v>128</v>
      </c>
      <c r="I3965" t="s">
        <v>136</v>
      </c>
      <c r="J3965" s="10" t="str">
        <f>VLOOKUP(I3965,Categories!A:B,2,FALSE)</f>
        <v>อื่นๆ</v>
      </c>
      <c r="K3965" t="s">
        <v>5806</v>
      </c>
      <c r="L3965" s="10" t="str">
        <f>VLOOKUP(K3965,Accounts!A:B,2,FALSE)</f>
        <v>Grabpay</v>
      </c>
      <c r="M3965" t="s">
        <v>178</v>
      </c>
      <c r="N3965" s="10" t="str">
        <f>VLOOKUP(M3965,Accounts!A:B,2,FALSE)</f>
        <v>SCB</v>
      </c>
      <c r="O3965" t="s">
        <v>125</v>
      </c>
      <c r="Q3965" t="s">
        <v>126</v>
      </c>
      <c r="R3965" t="s">
        <v>124</v>
      </c>
      <c r="S3965" t="b">
        <v>0</v>
      </c>
      <c r="T3965" t="s">
        <v>124</v>
      </c>
    </row>
    <row r="3966">
      <c r="A3966" t="s">
        <v>7095</v>
      </c>
      <c r="B3966" t="s">
        <v>7091</v>
      </c>
      <c r="C3966" s="2">
        <v>2021</v>
      </c>
      <c r="D3966" s="10">
        <v>8</v>
      </c>
      <c r="E3966" s="10">
        <v>13</v>
      </c>
      <c r="F3966" t="s">
        <v>3600</v>
      </c>
      <c r="G3966">
        <v>70</v>
      </c>
      <c r="H3966" t="s">
        <v>69</v>
      </c>
      <c r="I3966" t="s">
        <v>150</v>
      </c>
      <c r="J3966" s="10" t="str">
        <f>VLOOKUP(I3966,Categories!A:B,2,FALSE)</f>
        <v xml:space="preserve">Food &amp; Coff</v>
      </c>
      <c r="K3966" t="s">
        <v>747</v>
      </c>
      <c r="L3966" s="10" t="str">
        <f>VLOOKUP(K3966,Accounts!A:B,2,FALSE)</f>
        <v xml:space="preserve">UOB world</v>
      </c>
      <c r="M3966" t="s">
        <v>124</v>
      </c>
      <c r="N3966" s="10"/>
      <c r="O3966" t="s">
        <v>125</v>
      </c>
      <c r="Q3966" t="s">
        <v>126</v>
      </c>
      <c r="R3966" t="s">
        <v>124</v>
      </c>
      <c r="S3966" t="b">
        <v>0</v>
      </c>
      <c r="T3966" t="s">
        <v>124</v>
      </c>
    </row>
    <row r="3967">
      <c r="A3967" t="s">
        <v>7096</v>
      </c>
      <c r="B3967" t="s">
        <v>7091</v>
      </c>
      <c r="C3967" s="2">
        <v>2021</v>
      </c>
      <c r="D3967" s="10">
        <v>8</v>
      </c>
      <c r="E3967" s="10">
        <v>13</v>
      </c>
      <c r="F3967" t="s">
        <v>5157</v>
      </c>
      <c r="G3967">
        <v>50</v>
      </c>
      <c r="H3967" t="s">
        <v>206</v>
      </c>
      <c r="I3967" t="s">
        <v>281</v>
      </c>
      <c r="J3967" s="10" t="str">
        <f>VLOOKUP(I3967,Categories!A:B,2,FALSE)</f>
        <v>Others</v>
      </c>
      <c r="K3967" t="s">
        <v>178</v>
      </c>
      <c r="L3967" s="10" t="str">
        <f>VLOOKUP(K3967,Accounts!A:B,2,FALSE)</f>
        <v>SCB</v>
      </c>
      <c r="M3967" t="s">
        <v>124</v>
      </c>
      <c r="N3967" s="10"/>
      <c r="O3967" t="s">
        <v>125</v>
      </c>
      <c r="Q3967" t="s">
        <v>126</v>
      </c>
      <c r="R3967" t="s">
        <v>124</v>
      </c>
      <c r="S3967" t="b">
        <v>0</v>
      </c>
      <c r="T3967" t="s">
        <v>124</v>
      </c>
    </row>
    <row r="3968">
      <c r="A3968" t="s">
        <v>7097</v>
      </c>
      <c r="B3968" t="s">
        <v>7091</v>
      </c>
      <c r="C3968" s="2">
        <v>2021</v>
      </c>
      <c r="D3968" s="10">
        <v>8</v>
      </c>
      <c r="E3968" s="10">
        <v>13</v>
      </c>
      <c r="F3968" t="s">
        <v>1396</v>
      </c>
      <c r="G3968">
        <v>400</v>
      </c>
      <c r="H3968" t="s">
        <v>69</v>
      </c>
      <c r="I3968" t="s">
        <v>150</v>
      </c>
      <c r="J3968" s="10" t="str">
        <f>VLOOKUP(I3968,Categories!A:B,2,FALSE)</f>
        <v xml:space="preserve">Food &amp; Coff</v>
      </c>
      <c r="K3968" t="s">
        <v>2317</v>
      </c>
      <c r="L3968" s="10" t="str">
        <f>VLOOKUP(K3968,Accounts!A:B,2,FALSE)</f>
        <v xml:space="preserve">Marriage account</v>
      </c>
      <c r="M3968" t="s">
        <v>124</v>
      </c>
      <c r="N3968" s="10"/>
      <c r="O3968" t="s">
        <v>3328</v>
      </c>
      <c r="Q3968" t="s">
        <v>126</v>
      </c>
      <c r="R3968" t="s">
        <v>124</v>
      </c>
      <c r="S3968" t="b">
        <v>0</v>
      </c>
      <c r="T3968" t="s">
        <v>124</v>
      </c>
    </row>
    <row r="3969">
      <c r="A3969" t="s">
        <v>7098</v>
      </c>
      <c r="B3969" t="s">
        <v>7099</v>
      </c>
      <c r="C3969" s="2">
        <v>2021</v>
      </c>
      <c r="D3969" s="10">
        <v>8</v>
      </c>
      <c r="E3969" s="10">
        <v>12</v>
      </c>
      <c r="F3969" t="s">
        <v>1271</v>
      </c>
      <c r="G3969">
        <v>100</v>
      </c>
      <c r="H3969" t="s">
        <v>69</v>
      </c>
      <c r="I3969" t="s">
        <v>150</v>
      </c>
      <c r="J3969" s="10" t="str">
        <f>VLOOKUP(I3969,Categories!A:B,2,FALSE)</f>
        <v xml:space="preserve">Food &amp; Coff</v>
      </c>
      <c r="K3969" t="s">
        <v>2317</v>
      </c>
      <c r="L3969" s="10" t="str">
        <f>VLOOKUP(K3969,Accounts!A:B,2,FALSE)</f>
        <v xml:space="preserve">Marriage account</v>
      </c>
      <c r="M3969" t="s">
        <v>124</v>
      </c>
      <c r="N3969" s="10"/>
      <c r="O3969" t="s">
        <v>125</v>
      </c>
      <c r="Q3969" t="s">
        <v>126</v>
      </c>
      <c r="R3969" t="s">
        <v>124</v>
      </c>
      <c r="S3969" t="b">
        <v>0</v>
      </c>
      <c r="T3969" t="s">
        <v>124</v>
      </c>
    </row>
    <row r="3970">
      <c r="A3970" t="s">
        <v>7100</v>
      </c>
      <c r="B3970" t="s">
        <v>7099</v>
      </c>
      <c r="C3970" s="2">
        <v>2021</v>
      </c>
      <c r="D3970" s="10">
        <v>8</v>
      </c>
      <c r="E3970" s="10">
        <v>12</v>
      </c>
      <c r="F3970" t="s">
        <v>1654</v>
      </c>
      <c r="G3970">
        <v>640</v>
      </c>
      <c r="H3970" t="s">
        <v>69</v>
      </c>
      <c r="I3970" t="s">
        <v>144</v>
      </c>
      <c r="J3970" s="10" t="str">
        <f>VLOOKUP(I3970,Categories!A:B,2,FALSE)</f>
        <v xml:space="preserve">Family paid</v>
      </c>
      <c r="K3970" t="s">
        <v>2317</v>
      </c>
      <c r="L3970" s="10" t="str">
        <f>VLOOKUP(K3970,Accounts!A:B,2,FALSE)</f>
        <v xml:space="preserve">Marriage account</v>
      </c>
      <c r="M3970" t="s">
        <v>124</v>
      </c>
      <c r="N3970" s="10"/>
      <c r="O3970" t="s">
        <v>7101</v>
      </c>
      <c r="Q3970" t="s">
        <v>126</v>
      </c>
      <c r="R3970" t="s">
        <v>124</v>
      </c>
      <c r="S3970" t="b">
        <v>0</v>
      </c>
      <c r="T3970" t="s">
        <v>124</v>
      </c>
    </row>
    <row r="3971">
      <c r="A3971" t="s">
        <v>7102</v>
      </c>
      <c r="B3971" t="s">
        <v>7099</v>
      </c>
      <c r="C3971" s="2">
        <v>2021</v>
      </c>
      <c r="D3971" s="10">
        <v>8</v>
      </c>
      <c r="E3971" s="10">
        <v>12</v>
      </c>
      <c r="F3971" t="s">
        <v>1137</v>
      </c>
      <c r="G3971">
        <v>1208</v>
      </c>
      <c r="H3971" t="s">
        <v>69</v>
      </c>
      <c r="I3971" t="s">
        <v>144</v>
      </c>
      <c r="J3971" s="10" t="str">
        <f>VLOOKUP(I3971,Categories!A:B,2,FALSE)</f>
        <v xml:space="preserve">Family paid</v>
      </c>
      <c r="K3971" t="s">
        <v>425</v>
      </c>
      <c r="L3971" s="10" t="str">
        <f>VLOOKUP(K3971,Accounts!A:B,2,FALSE)</f>
        <v>Cash</v>
      </c>
      <c r="M3971" t="s">
        <v>124</v>
      </c>
      <c r="N3971" s="10"/>
      <c r="O3971" t="s">
        <v>125</v>
      </c>
      <c r="Q3971" t="s">
        <v>126</v>
      </c>
      <c r="R3971" t="s">
        <v>124</v>
      </c>
      <c r="S3971" t="b">
        <v>0</v>
      </c>
      <c r="T3971" t="s">
        <v>124</v>
      </c>
    </row>
    <row r="3972">
      <c r="A3972" t="s">
        <v>7103</v>
      </c>
      <c r="B3972" t="s">
        <v>7099</v>
      </c>
      <c r="C3972" s="2">
        <v>2021</v>
      </c>
      <c r="D3972" s="10">
        <v>8</v>
      </c>
      <c r="E3972" s="10">
        <v>12</v>
      </c>
      <c r="F3972" t="s">
        <v>968</v>
      </c>
      <c r="G3972">
        <v>393</v>
      </c>
      <c r="H3972" t="s">
        <v>69</v>
      </c>
      <c r="I3972" t="s">
        <v>150</v>
      </c>
      <c r="J3972" s="10" t="str">
        <f>VLOOKUP(I3972,Categories!A:B,2,FALSE)</f>
        <v xml:space="preserve">Food &amp; Coff</v>
      </c>
      <c r="K3972" t="s">
        <v>2317</v>
      </c>
      <c r="L3972" s="10" t="str">
        <f>VLOOKUP(K3972,Accounts!A:B,2,FALSE)</f>
        <v xml:space="preserve">Marriage account</v>
      </c>
      <c r="M3972" t="s">
        <v>124</v>
      </c>
      <c r="N3972" s="10"/>
      <c r="O3972" t="s">
        <v>7104</v>
      </c>
      <c r="Q3972" t="s">
        <v>126</v>
      </c>
      <c r="R3972" t="s">
        <v>124</v>
      </c>
      <c r="S3972" t="b">
        <v>0</v>
      </c>
      <c r="T3972" t="s">
        <v>124</v>
      </c>
    </row>
    <row r="3973">
      <c r="A3973" t="s">
        <v>7105</v>
      </c>
      <c r="B3973" t="s">
        <v>7099</v>
      </c>
      <c r="C3973" s="2">
        <v>2021</v>
      </c>
      <c r="D3973" s="10">
        <v>8</v>
      </c>
      <c r="E3973" s="10">
        <v>12</v>
      </c>
      <c r="F3973" t="s">
        <v>701</v>
      </c>
      <c r="G3973">
        <v>393</v>
      </c>
      <c r="H3973" t="s">
        <v>128</v>
      </c>
      <c r="I3973" t="s">
        <v>136</v>
      </c>
      <c r="J3973" s="10" t="str">
        <f>VLOOKUP(I3973,Categories!A:B,2,FALSE)</f>
        <v>อื่นๆ</v>
      </c>
      <c r="K3973" t="s">
        <v>425</v>
      </c>
      <c r="L3973" s="10" t="str">
        <f>VLOOKUP(K3973,Accounts!A:B,2,FALSE)</f>
        <v>Cash</v>
      </c>
      <c r="M3973" t="s">
        <v>178</v>
      </c>
      <c r="N3973" s="10" t="str">
        <f>VLOOKUP(M3973,Accounts!A:B,2,FALSE)</f>
        <v>SCB</v>
      </c>
      <c r="O3973" t="s">
        <v>125</v>
      </c>
      <c r="Q3973" t="s">
        <v>126</v>
      </c>
      <c r="R3973" t="s">
        <v>124</v>
      </c>
      <c r="S3973" t="b">
        <v>0</v>
      </c>
      <c r="T3973" t="s">
        <v>124</v>
      </c>
    </row>
    <row r="3974">
      <c r="A3974" t="s">
        <v>7106</v>
      </c>
      <c r="B3974" t="s">
        <v>7107</v>
      </c>
      <c r="C3974" s="2">
        <v>2021</v>
      </c>
      <c r="D3974" s="10">
        <v>8</v>
      </c>
      <c r="E3974" s="10">
        <v>11</v>
      </c>
      <c r="F3974" t="s">
        <v>3390</v>
      </c>
      <c r="G3974">
        <v>603</v>
      </c>
      <c r="H3974" t="s">
        <v>69</v>
      </c>
      <c r="I3974" t="s">
        <v>150</v>
      </c>
      <c r="J3974" s="10" t="str">
        <f>VLOOKUP(I3974,Categories!A:B,2,FALSE)</f>
        <v xml:space="preserve">Food &amp; Coff</v>
      </c>
      <c r="K3974" t="s">
        <v>2317</v>
      </c>
      <c r="L3974" s="10" t="str">
        <f>VLOOKUP(K3974,Accounts!A:B,2,FALSE)</f>
        <v xml:space="preserve">Marriage account</v>
      </c>
      <c r="M3974" t="s">
        <v>124</v>
      </c>
      <c r="N3974" s="10"/>
      <c r="O3974" t="s">
        <v>3328</v>
      </c>
      <c r="Q3974" t="s">
        <v>126</v>
      </c>
      <c r="R3974" t="s">
        <v>124</v>
      </c>
      <c r="S3974" t="b">
        <v>0</v>
      </c>
      <c r="T3974" t="s">
        <v>124</v>
      </c>
    </row>
    <row r="3975">
      <c r="A3975" t="s">
        <v>7108</v>
      </c>
      <c r="B3975" t="s">
        <v>7107</v>
      </c>
      <c r="C3975" s="2">
        <v>2021</v>
      </c>
      <c r="D3975" s="10">
        <v>8</v>
      </c>
      <c r="E3975" s="10">
        <v>11</v>
      </c>
      <c r="F3975" t="s">
        <v>1306</v>
      </c>
      <c r="G3975">
        <v>918.89999999999998</v>
      </c>
      <c r="H3975" t="s">
        <v>69</v>
      </c>
      <c r="I3975" t="s">
        <v>6324</v>
      </c>
      <c r="J3975" s="10" t="str">
        <f>VLOOKUP(I3975,Categories!A:B,2,FALSE)</f>
        <v xml:space="preserve">Nintendo Switch</v>
      </c>
      <c r="K3975" t="s">
        <v>178</v>
      </c>
      <c r="L3975" s="10" t="str">
        <f>VLOOKUP(K3975,Accounts!A:B,2,FALSE)</f>
        <v>SCB</v>
      </c>
      <c r="M3975" t="s">
        <v>124</v>
      </c>
      <c r="N3975" s="10"/>
      <c r="O3975" t="s">
        <v>125</v>
      </c>
      <c r="Q3975" t="s">
        <v>126</v>
      </c>
      <c r="R3975" t="s">
        <v>124</v>
      </c>
      <c r="S3975" t="b">
        <v>0</v>
      </c>
      <c r="T3975" t="s">
        <v>124</v>
      </c>
    </row>
    <row r="3976">
      <c r="A3976" t="s">
        <v>7109</v>
      </c>
      <c r="B3976" t="s">
        <v>7107</v>
      </c>
      <c r="C3976" s="2">
        <v>2021</v>
      </c>
      <c r="D3976" s="10">
        <v>8</v>
      </c>
      <c r="E3976" s="10">
        <v>11</v>
      </c>
      <c r="F3976" t="s">
        <v>1233</v>
      </c>
      <c r="G3976">
        <v>100</v>
      </c>
      <c r="H3976" t="s">
        <v>128</v>
      </c>
      <c r="I3976" t="s">
        <v>136</v>
      </c>
      <c r="J3976" s="10" t="str">
        <f>VLOOKUP(I3976,Categories!A:B,2,FALSE)</f>
        <v>อื่นๆ</v>
      </c>
      <c r="K3976" t="s">
        <v>425</v>
      </c>
      <c r="L3976" s="10" t="str">
        <f>VLOOKUP(K3976,Accounts!A:B,2,FALSE)</f>
        <v>Cash</v>
      </c>
      <c r="M3976" t="s">
        <v>178</v>
      </c>
      <c r="N3976" s="10" t="str">
        <f>VLOOKUP(M3976,Accounts!A:B,2,FALSE)</f>
        <v>SCB</v>
      </c>
      <c r="O3976" t="s">
        <v>3328</v>
      </c>
      <c r="Q3976" t="s">
        <v>126</v>
      </c>
      <c r="R3976" t="s">
        <v>124</v>
      </c>
      <c r="S3976" t="b">
        <v>0</v>
      </c>
      <c r="T3976" t="s">
        <v>124</v>
      </c>
    </row>
    <row r="3977">
      <c r="A3977" t="s">
        <v>7110</v>
      </c>
      <c r="B3977" t="s">
        <v>7107</v>
      </c>
      <c r="C3977" s="2">
        <v>2021</v>
      </c>
      <c r="D3977" s="10">
        <v>8</v>
      </c>
      <c r="E3977" s="10">
        <v>11</v>
      </c>
      <c r="F3977" t="s">
        <v>1233</v>
      </c>
      <c r="G3977">
        <v>67</v>
      </c>
      <c r="H3977" t="s">
        <v>69</v>
      </c>
      <c r="I3977" t="s">
        <v>150</v>
      </c>
      <c r="J3977" s="10" t="str">
        <f>VLOOKUP(I3977,Categories!A:B,2,FALSE)</f>
        <v xml:space="preserve">Food &amp; Coff</v>
      </c>
      <c r="K3977" t="s">
        <v>425</v>
      </c>
      <c r="L3977" s="10" t="str">
        <f>VLOOKUP(K3977,Accounts!A:B,2,FALSE)</f>
        <v>Cash</v>
      </c>
      <c r="M3977" t="s">
        <v>124</v>
      </c>
      <c r="N3977" s="10"/>
      <c r="O3977" t="s">
        <v>125</v>
      </c>
      <c r="Q3977" t="s">
        <v>126</v>
      </c>
      <c r="R3977" t="s">
        <v>124</v>
      </c>
      <c r="S3977" t="b">
        <v>0</v>
      </c>
      <c r="T3977" t="s">
        <v>124</v>
      </c>
    </row>
    <row r="3978">
      <c r="A3978" t="s">
        <v>7111</v>
      </c>
      <c r="B3978" t="s">
        <v>7107</v>
      </c>
      <c r="C3978" s="2">
        <v>2021</v>
      </c>
      <c r="D3978" s="10">
        <v>8</v>
      </c>
      <c r="E3978" s="10">
        <v>11</v>
      </c>
      <c r="F3978" t="s">
        <v>2860</v>
      </c>
      <c r="G3978">
        <v>303.5</v>
      </c>
      <c r="H3978" t="s">
        <v>69</v>
      </c>
      <c r="I3978" t="s">
        <v>150</v>
      </c>
      <c r="J3978" s="10" t="str">
        <f>VLOOKUP(I3978,Categories!A:B,2,FALSE)</f>
        <v xml:space="preserve">Food &amp; Coff</v>
      </c>
      <c r="K3978" t="s">
        <v>2317</v>
      </c>
      <c r="L3978" s="10" t="str">
        <f>VLOOKUP(K3978,Accounts!A:B,2,FALSE)</f>
        <v xml:space="preserve">Marriage account</v>
      </c>
      <c r="M3978" t="s">
        <v>124</v>
      </c>
      <c r="N3978" s="10"/>
      <c r="O3978" t="s">
        <v>4230</v>
      </c>
      <c r="Q3978" t="s">
        <v>126</v>
      </c>
      <c r="R3978" t="s">
        <v>124</v>
      </c>
      <c r="S3978" t="b">
        <v>0</v>
      </c>
      <c r="T3978" t="s">
        <v>124</v>
      </c>
    </row>
    <row r="3979">
      <c r="A3979" t="s">
        <v>7112</v>
      </c>
      <c r="B3979" t="s">
        <v>7107</v>
      </c>
      <c r="C3979" s="2">
        <v>2021</v>
      </c>
      <c r="D3979" s="10">
        <v>8</v>
      </c>
      <c r="E3979" s="10">
        <v>11</v>
      </c>
      <c r="F3979" t="s">
        <v>1889</v>
      </c>
      <c r="G3979">
        <v>250</v>
      </c>
      <c r="H3979" t="s">
        <v>206</v>
      </c>
      <c r="I3979" t="s">
        <v>281</v>
      </c>
      <c r="J3979" s="10" t="str">
        <f>VLOOKUP(I3979,Categories!A:B,2,FALSE)</f>
        <v>Others</v>
      </c>
      <c r="K3979" t="s">
        <v>178</v>
      </c>
      <c r="L3979" s="10" t="str">
        <f>VLOOKUP(K3979,Accounts!A:B,2,FALSE)</f>
        <v>SCB</v>
      </c>
      <c r="M3979" t="s">
        <v>124</v>
      </c>
      <c r="N3979" s="10"/>
      <c r="O3979" t="s">
        <v>125</v>
      </c>
      <c r="Q3979" t="s">
        <v>126</v>
      </c>
      <c r="R3979" t="s">
        <v>124</v>
      </c>
      <c r="S3979" t="b">
        <v>0</v>
      </c>
      <c r="T3979" t="s">
        <v>124</v>
      </c>
    </row>
    <row r="3980">
      <c r="A3980" t="s">
        <v>7113</v>
      </c>
      <c r="B3980" t="s">
        <v>7107</v>
      </c>
      <c r="C3980" s="2">
        <v>2021</v>
      </c>
      <c r="D3980" s="10">
        <v>8</v>
      </c>
      <c r="E3980" s="10">
        <v>11</v>
      </c>
      <c r="F3980" t="s">
        <v>1803</v>
      </c>
      <c r="G3980">
        <v>118</v>
      </c>
      <c r="H3980" t="s">
        <v>206</v>
      </c>
      <c r="I3980" t="s">
        <v>281</v>
      </c>
      <c r="J3980" s="10" t="str">
        <f>VLOOKUP(I3980,Categories!A:B,2,FALSE)</f>
        <v>Others</v>
      </c>
      <c r="K3980" t="s">
        <v>178</v>
      </c>
      <c r="L3980" s="10" t="str">
        <f>VLOOKUP(K3980,Accounts!A:B,2,FALSE)</f>
        <v>SCB</v>
      </c>
      <c r="M3980" t="s">
        <v>124</v>
      </c>
      <c r="N3980" s="10"/>
      <c r="O3980" t="s">
        <v>125</v>
      </c>
      <c r="Q3980" t="s">
        <v>126</v>
      </c>
      <c r="R3980" t="s">
        <v>124</v>
      </c>
      <c r="S3980" t="b">
        <v>0</v>
      </c>
      <c r="T3980" t="s">
        <v>124</v>
      </c>
    </row>
    <row r="3981">
      <c r="A3981" t="s">
        <v>7114</v>
      </c>
      <c r="B3981" t="s">
        <v>7107</v>
      </c>
      <c r="C3981" s="2">
        <v>2021</v>
      </c>
      <c r="D3981" s="10">
        <v>8</v>
      </c>
      <c r="E3981" s="10">
        <v>11</v>
      </c>
      <c r="F3981" t="s">
        <v>2087</v>
      </c>
      <c r="G3981">
        <v>299</v>
      </c>
      <c r="H3981" t="s">
        <v>206</v>
      </c>
      <c r="I3981" t="s">
        <v>281</v>
      </c>
      <c r="J3981" s="10" t="str">
        <f>VLOOKUP(I3981,Categories!A:B,2,FALSE)</f>
        <v>Others</v>
      </c>
      <c r="K3981" t="s">
        <v>123</v>
      </c>
      <c r="L3981" s="10" t="str">
        <f>VLOOKUP(K3981,Accounts!A:B,2,FALSE)</f>
        <v>KBank</v>
      </c>
      <c r="M3981" t="s">
        <v>124</v>
      </c>
      <c r="N3981" s="10"/>
      <c r="O3981" t="s">
        <v>125</v>
      </c>
      <c r="Q3981" t="s">
        <v>126</v>
      </c>
      <c r="R3981" t="s">
        <v>124</v>
      </c>
      <c r="S3981" t="b">
        <v>0</v>
      </c>
      <c r="T3981" t="s">
        <v>124</v>
      </c>
    </row>
    <row r="3982">
      <c r="A3982" t="s">
        <v>7115</v>
      </c>
      <c r="B3982" t="s">
        <v>7107</v>
      </c>
      <c r="C3982" s="2">
        <v>2021</v>
      </c>
      <c r="D3982" s="10">
        <v>8</v>
      </c>
      <c r="E3982" s="10">
        <v>11</v>
      </c>
      <c r="F3982" t="s">
        <v>1218</v>
      </c>
      <c r="G3982">
        <v>85</v>
      </c>
      <c r="H3982" t="s">
        <v>69</v>
      </c>
      <c r="I3982" t="s">
        <v>254</v>
      </c>
      <c r="J3982" s="10" t="str">
        <f>VLOOKUP(I3982,Categories!A:B,2,FALSE)</f>
        <v xml:space="preserve">Modified Bal.</v>
      </c>
      <c r="K3982" t="s">
        <v>2317</v>
      </c>
      <c r="L3982" s="10" t="str">
        <f>VLOOKUP(K3982,Accounts!A:B,2,FALSE)</f>
        <v xml:space="preserve">Marriage account</v>
      </c>
      <c r="M3982" t="s">
        <v>124</v>
      </c>
      <c r="N3982" s="10"/>
      <c r="O3982" t="s">
        <v>255</v>
      </c>
      <c r="Q3982" t="s">
        <v>126</v>
      </c>
      <c r="R3982" t="s">
        <v>124</v>
      </c>
      <c r="S3982" t="b">
        <v>0</v>
      </c>
      <c r="T3982" t="s">
        <v>124</v>
      </c>
    </row>
    <row r="3983">
      <c r="A3983" t="s">
        <v>7116</v>
      </c>
      <c r="B3983" t="s">
        <v>7117</v>
      </c>
      <c r="C3983" s="2">
        <v>2021</v>
      </c>
      <c r="D3983" s="10">
        <v>8</v>
      </c>
      <c r="E3983" s="10">
        <v>10</v>
      </c>
      <c r="F3983" t="s">
        <v>121</v>
      </c>
      <c r="G3983">
        <v>245</v>
      </c>
      <c r="H3983" t="s">
        <v>69</v>
      </c>
      <c r="I3983" t="s">
        <v>150</v>
      </c>
      <c r="J3983" s="10" t="str">
        <f>VLOOKUP(I3983,Categories!A:B,2,FALSE)</f>
        <v xml:space="preserve">Food &amp; Coff</v>
      </c>
      <c r="K3983" t="s">
        <v>2317</v>
      </c>
      <c r="L3983" s="10" t="str">
        <f>VLOOKUP(K3983,Accounts!A:B,2,FALSE)</f>
        <v xml:space="preserve">Marriage account</v>
      </c>
      <c r="M3983" t="s">
        <v>124</v>
      </c>
      <c r="N3983" s="10"/>
      <c r="O3983" t="s">
        <v>6438</v>
      </c>
      <c r="Q3983" t="s">
        <v>126</v>
      </c>
      <c r="R3983" t="s">
        <v>124</v>
      </c>
      <c r="S3983" t="b">
        <v>0</v>
      </c>
      <c r="T3983" t="s">
        <v>124</v>
      </c>
    </row>
    <row r="3984">
      <c r="A3984" t="s">
        <v>7118</v>
      </c>
      <c r="B3984" t="s">
        <v>7117</v>
      </c>
      <c r="C3984" s="2">
        <v>2021</v>
      </c>
      <c r="D3984" s="10">
        <v>8</v>
      </c>
      <c r="E3984" s="10">
        <v>10</v>
      </c>
      <c r="F3984" t="s">
        <v>2972</v>
      </c>
      <c r="G3984">
        <v>2522</v>
      </c>
      <c r="H3984" t="s">
        <v>69</v>
      </c>
      <c r="I3984" t="s">
        <v>1508</v>
      </c>
      <c r="J3984" s="10" t="str">
        <f>VLOOKUP(I3984,Categories!A:B,2,FALSE)</f>
        <v>Other</v>
      </c>
      <c r="K3984" t="s">
        <v>743</v>
      </c>
      <c r="L3984" s="10" t="str">
        <f>VLOOKUP(K3984,Accounts!A:B,2,FALSE)</f>
        <v>HOMEPRO</v>
      </c>
      <c r="M3984" t="s">
        <v>124</v>
      </c>
      <c r="N3984" s="10"/>
      <c r="O3984" t="s">
        <v>7119</v>
      </c>
      <c r="Q3984" t="s">
        <v>126</v>
      </c>
      <c r="R3984" t="s">
        <v>124</v>
      </c>
      <c r="S3984" t="b">
        <v>0</v>
      </c>
      <c r="T3984" t="s">
        <v>124</v>
      </c>
    </row>
    <row r="3985">
      <c r="A3985" t="s">
        <v>7120</v>
      </c>
      <c r="B3985" t="s">
        <v>7117</v>
      </c>
      <c r="C3985" s="2">
        <v>2021</v>
      </c>
      <c r="D3985" s="10">
        <v>8</v>
      </c>
      <c r="E3985" s="10">
        <v>10</v>
      </c>
      <c r="F3985" t="s">
        <v>3450</v>
      </c>
      <c r="G3985">
        <v>4566</v>
      </c>
      <c r="H3985" t="s">
        <v>69</v>
      </c>
      <c r="I3985" t="s">
        <v>1508</v>
      </c>
      <c r="J3985" s="10" t="str">
        <f>VLOOKUP(I3985,Categories!A:B,2,FALSE)</f>
        <v>Other</v>
      </c>
      <c r="K3985" t="s">
        <v>743</v>
      </c>
      <c r="L3985" s="10" t="str">
        <f>VLOOKUP(K3985,Accounts!A:B,2,FALSE)</f>
        <v>HOMEPRO</v>
      </c>
      <c r="M3985" t="s">
        <v>124</v>
      </c>
      <c r="N3985" s="10"/>
      <c r="O3985" t="s">
        <v>7121</v>
      </c>
      <c r="Q3985" t="s">
        <v>126</v>
      </c>
      <c r="R3985" t="s">
        <v>124</v>
      </c>
      <c r="S3985" t="b">
        <v>0</v>
      </c>
      <c r="T3985" t="s">
        <v>124</v>
      </c>
    </row>
    <row r="3986">
      <c r="A3986" t="s">
        <v>7122</v>
      </c>
      <c r="B3986" t="s">
        <v>7117</v>
      </c>
      <c r="C3986" s="2">
        <v>2021</v>
      </c>
      <c r="D3986" s="10">
        <v>8</v>
      </c>
      <c r="E3986" s="10">
        <v>10</v>
      </c>
      <c r="F3986" t="s">
        <v>3450</v>
      </c>
      <c r="G3986">
        <v>694.20000000000005</v>
      </c>
      <c r="H3986" t="s">
        <v>69</v>
      </c>
      <c r="I3986" t="s">
        <v>1508</v>
      </c>
      <c r="J3986" s="10" t="str">
        <f>VLOOKUP(I3986,Categories!A:B,2,FALSE)</f>
        <v>Other</v>
      </c>
      <c r="K3986" t="s">
        <v>743</v>
      </c>
      <c r="L3986" s="10" t="str">
        <f>VLOOKUP(K3986,Accounts!A:B,2,FALSE)</f>
        <v>HOMEPRO</v>
      </c>
      <c r="M3986" t="s">
        <v>124</v>
      </c>
      <c r="N3986" s="10"/>
      <c r="O3986" t="s">
        <v>7123</v>
      </c>
      <c r="Q3986" t="s">
        <v>126</v>
      </c>
      <c r="R3986" t="s">
        <v>124</v>
      </c>
      <c r="S3986" t="b">
        <v>0</v>
      </c>
      <c r="T3986" t="s">
        <v>124</v>
      </c>
    </row>
    <row r="3987">
      <c r="A3987" t="s">
        <v>7124</v>
      </c>
      <c r="B3987" t="s">
        <v>7117</v>
      </c>
      <c r="C3987" s="2">
        <v>2021</v>
      </c>
      <c r="D3987" s="10">
        <v>8</v>
      </c>
      <c r="E3987" s="10">
        <v>10</v>
      </c>
      <c r="F3987" t="s">
        <v>1461</v>
      </c>
      <c r="G3987">
        <v>414.10000000000002</v>
      </c>
      <c r="H3987" t="s">
        <v>69</v>
      </c>
      <c r="I3987" t="s">
        <v>150</v>
      </c>
      <c r="J3987" s="10" t="str">
        <f>VLOOKUP(I3987,Categories!A:B,2,FALSE)</f>
        <v xml:space="preserve">Food &amp; Coff</v>
      </c>
      <c r="K3987" t="s">
        <v>2317</v>
      </c>
      <c r="L3987" s="10" t="str">
        <f>VLOOKUP(K3987,Accounts!A:B,2,FALSE)</f>
        <v xml:space="preserve">Marriage account</v>
      </c>
      <c r="M3987" t="s">
        <v>124</v>
      </c>
      <c r="N3987" s="10"/>
      <c r="O3987" t="s">
        <v>7125</v>
      </c>
      <c r="Q3987" t="s">
        <v>126</v>
      </c>
      <c r="R3987" t="s">
        <v>124</v>
      </c>
      <c r="S3987" t="b">
        <v>0</v>
      </c>
      <c r="T3987" t="s">
        <v>124</v>
      </c>
    </row>
    <row r="3988">
      <c r="A3988" t="s">
        <v>7126</v>
      </c>
      <c r="B3988" t="s">
        <v>7117</v>
      </c>
      <c r="C3988" s="2">
        <v>2021</v>
      </c>
      <c r="D3988" s="10">
        <v>8</v>
      </c>
      <c r="E3988" s="10">
        <v>10</v>
      </c>
      <c r="F3988" t="s">
        <v>1461</v>
      </c>
      <c r="G3988">
        <v>144</v>
      </c>
      <c r="H3988" t="s">
        <v>69</v>
      </c>
      <c r="I3988" t="s">
        <v>150</v>
      </c>
      <c r="J3988" s="10" t="str">
        <f>VLOOKUP(I3988,Categories!A:B,2,FALSE)</f>
        <v xml:space="preserve">Food &amp; Coff</v>
      </c>
      <c r="K3988" t="s">
        <v>2317</v>
      </c>
      <c r="L3988" s="10" t="str">
        <f>VLOOKUP(K3988,Accounts!A:B,2,FALSE)</f>
        <v xml:space="preserve">Marriage account</v>
      </c>
      <c r="M3988" t="s">
        <v>124</v>
      </c>
      <c r="N3988" s="10"/>
      <c r="O3988" t="s">
        <v>7002</v>
      </c>
      <c r="Q3988" t="s">
        <v>126</v>
      </c>
      <c r="R3988" t="s">
        <v>124</v>
      </c>
      <c r="S3988" t="b">
        <v>0</v>
      </c>
      <c r="T3988" t="s">
        <v>124</v>
      </c>
    </row>
    <row r="3989">
      <c r="A3989" t="s">
        <v>7127</v>
      </c>
      <c r="B3989" t="s">
        <v>7117</v>
      </c>
      <c r="C3989" s="2">
        <v>2021</v>
      </c>
      <c r="D3989" s="10">
        <v>8</v>
      </c>
      <c r="E3989" s="10">
        <v>10</v>
      </c>
      <c r="F3989" t="s">
        <v>3273</v>
      </c>
      <c r="G3989">
        <v>800</v>
      </c>
      <c r="H3989" t="s">
        <v>128</v>
      </c>
      <c r="I3989" t="s">
        <v>136</v>
      </c>
      <c r="J3989" s="10" t="str">
        <f>VLOOKUP(I3989,Categories!A:B,2,FALSE)</f>
        <v>อื่นๆ</v>
      </c>
      <c r="K3989" t="s">
        <v>123</v>
      </c>
      <c r="L3989" s="10" t="str">
        <f>VLOOKUP(K3989,Accounts!A:B,2,FALSE)</f>
        <v>KBank</v>
      </c>
      <c r="M3989" t="s">
        <v>5806</v>
      </c>
      <c r="N3989" s="10" t="str">
        <f>VLOOKUP(M3989,Accounts!A:B,2,FALSE)</f>
        <v>Grabpay</v>
      </c>
      <c r="O3989" t="s">
        <v>125</v>
      </c>
      <c r="Q3989" t="s">
        <v>126</v>
      </c>
      <c r="R3989" t="s">
        <v>124</v>
      </c>
      <c r="S3989" t="b">
        <v>0</v>
      </c>
      <c r="T3989" t="s">
        <v>124</v>
      </c>
    </row>
    <row r="3990">
      <c r="A3990" t="s">
        <v>7128</v>
      </c>
      <c r="B3990" t="s">
        <v>7117</v>
      </c>
      <c r="C3990" s="2">
        <v>2021</v>
      </c>
      <c r="D3990" s="10">
        <v>8</v>
      </c>
      <c r="E3990" s="10">
        <v>10</v>
      </c>
      <c r="F3990" t="s">
        <v>1172</v>
      </c>
      <c r="G3990">
        <v>65</v>
      </c>
      <c r="H3990" t="s">
        <v>69</v>
      </c>
      <c r="I3990" t="s">
        <v>150</v>
      </c>
      <c r="J3990" s="10" t="str">
        <f>VLOOKUP(I3990,Categories!A:B,2,FALSE)</f>
        <v xml:space="preserve">Food &amp; Coff</v>
      </c>
      <c r="K3990" t="s">
        <v>425</v>
      </c>
      <c r="L3990" s="10" t="str">
        <f>VLOOKUP(K3990,Accounts!A:B,2,FALSE)</f>
        <v>Cash</v>
      </c>
      <c r="M3990" t="s">
        <v>124</v>
      </c>
      <c r="N3990" s="10"/>
      <c r="O3990" t="s">
        <v>125</v>
      </c>
      <c r="Q3990" t="s">
        <v>126</v>
      </c>
      <c r="R3990" t="s">
        <v>124</v>
      </c>
      <c r="S3990" t="b">
        <v>0</v>
      </c>
      <c r="T3990" t="s">
        <v>124</v>
      </c>
    </row>
    <row r="3991">
      <c r="A3991" t="s">
        <v>7129</v>
      </c>
      <c r="B3991" t="s">
        <v>7130</v>
      </c>
      <c r="C3991" s="2">
        <v>2021</v>
      </c>
      <c r="D3991" s="10">
        <v>8</v>
      </c>
      <c r="E3991" s="10">
        <v>9</v>
      </c>
      <c r="F3991" t="s">
        <v>121</v>
      </c>
      <c r="G3991">
        <v>245</v>
      </c>
      <c r="H3991" t="s">
        <v>69</v>
      </c>
      <c r="I3991" t="s">
        <v>150</v>
      </c>
      <c r="J3991" s="10" t="str">
        <f>VLOOKUP(I3991,Categories!A:B,2,FALSE)</f>
        <v xml:space="preserve">Food &amp; Coff</v>
      </c>
      <c r="K3991" t="s">
        <v>2317</v>
      </c>
      <c r="L3991" s="10" t="str">
        <f>VLOOKUP(K3991,Accounts!A:B,2,FALSE)</f>
        <v xml:space="preserve">Marriage account</v>
      </c>
      <c r="M3991" t="s">
        <v>124</v>
      </c>
      <c r="N3991" s="10"/>
      <c r="O3991" t="s">
        <v>6616</v>
      </c>
      <c r="Q3991" t="s">
        <v>126</v>
      </c>
      <c r="R3991" t="s">
        <v>124</v>
      </c>
      <c r="S3991" t="b">
        <v>0</v>
      </c>
      <c r="T3991" t="s">
        <v>124</v>
      </c>
    </row>
    <row r="3992">
      <c r="A3992" t="s">
        <v>7131</v>
      </c>
      <c r="B3992" t="s">
        <v>7130</v>
      </c>
      <c r="C3992" s="2">
        <v>2021</v>
      </c>
      <c r="D3992" s="10">
        <v>8</v>
      </c>
      <c r="E3992" s="10">
        <v>9</v>
      </c>
      <c r="F3992" t="s">
        <v>121</v>
      </c>
      <c r="G3992">
        <v>154</v>
      </c>
      <c r="H3992" t="s">
        <v>69</v>
      </c>
      <c r="I3992" t="s">
        <v>150</v>
      </c>
      <c r="J3992" s="10" t="str">
        <f>VLOOKUP(I3992,Categories!A:B,2,FALSE)</f>
        <v xml:space="preserve">Food &amp; Coff</v>
      </c>
      <c r="K3992" t="s">
        <v>2317</v>
      </c>
      <c r="L3992" s="10" t="str">
        <f>VLOOKUP(K3992,Accounts!A:B,2,FALSE)</f>
        <v xml:space="preserve">Marriage account</v>
      </c>
      <c r="M3992" t="s">
        <v>124</v>
      </c>
      <c r="N3992" s="10"/>
      <c r="O3992" t="s">
        <v>7132</v>
      </c>
      <c r="Q3992" t="s">
        <v>126</v>
      </c>
      <c r="R3992" t="s">
        <v>124</v>
      </c>
      <c r="S3992" t="b">
        <v>0</v>
      </c>
      <c r="T3992" t="s">
        <v>124</v>
      </c>
    </row>
    <row r="3993">
      <c r="A3993" t="s">
        <v>7133</v>
      </c>
      <c r="B3993" t="s">
        <v>7130</v>
      </c>
      <c r="C3993" s="2">
        <v>2021</v>
      </c>
      <c r="D3993" s="10">
        <v>8</v>
      </c>
      <c r="E3993" s="10">
        <v>9</v>
      </c>
      <c r="F3993" t="s">
        <v>4201</v>
      </c>
      <c r="G3993">
        <v>186</v>
      </c>
      <c r="H3993" t="s">
        <v>69</v>
      </c>
      <c r="I3993" t="s">
        <v>150</v>
      </c>
      <c r="J3993" s="10" t="str">
        <f>VLOOKUP(I3993,Categories!A:B,2,FALSE)</f>
        <v xml:space="preserve">Food &amp; Coff</v>
      </c>
      <c r="K3993" t="s">
        <v>2317</v>
      </c>
      <c r="L3993" s="10" t="str">
        <f>VLOOKUP(K3993,Accounts!A:B,2,FALSE)</f>
        <v xml:space="preserve">Marriage account</v>
      </c>
      <c r="M3993" t="s">
        <v>124</v>
      </c>
      <c r="N3993" s="10"/>
      <c r="O3993" t="s">
        <v>7134</v>
      </c>
      <c r="Q3993" t="s">
        <v>126</v>
      </c>
      <c r="R3993" t="s">
        <v>124</v>
      </c>
      <c r="S3993" t="b">
        <v>0</v>
      </c>
      <c r="T3993" t="s">
        <v>124</v>
      </c>
    </row>
    <row r="3994">
      <c r="A3994" t="s">
        <v>7135</v>
      </c>
      <c r="B3994" t="s">
        <v>7136</v>
      </c>
      <c r="C3994" s="2">
        <v>2021</v>
      </c>
      <c r="D3994" s="10">
        <v>8</v>
      </c>
      <c r="E3994" s="10">
        <v>8</v>
      </c>
      <c r="F3994" t="s">
        <v>7137</v>
      </c>
      <c r="G3994">
        <v>3558</v>
      </c>
      <c r="H3994" t="s">
        <v>128</v>
      </c>
      <c r="I3994" t="s">
        <v>136</v>
      </c>
      <c r="J3994" s="10" t="str">
        <f>VLOOKUP(I3994,Categories!A:B,2,FALSE)</f>
        <v>อื่นๆ</v>
      </c>
      <c r="K3994" t="s">
        <v>893</v>
      </c>
      <c r="L3994" s="10" t="str">
        <f>VLOOKUP(K3994,Accounts!A:B,2,FALSE)</f>
        <v>Shopee</v>
      </c>
      <c r="M3994" t="s">
        <v>178</v>
      </c>
      <c r="N3994" s="10" t="str">
        <f>VLOOKUP(M3994,Accounts!A:B,2,FALSE)</f>
        <v>SCB</v>
      </c>
      <c r="O3994" t="s">
        <v>125</v>
      </c>
      <c r="Q3994" t="s">
        <v>126</v>
      </c>
      <c r="R3994" t="s">
        <v>124</v>
      </c>
      <c r="S3994" t="b">
        <v>0</v>
      </c>
      <c r="T3994" t="s">
        <v>124</v>
      </c>
    </row>
    <row r="3995">
      <c r="A3995" t="s">
        <v>7138</v>
      </c>
      <c r="B3995" t="s">
        <v>7136</v>
      </c>
      <c r="C3995" s="2">
        <v>2021</v>
      </c>
      <c r="D3995" s="10">
        <v>8</v>
      </c>
      <c r="E3995" s="10">
        <v>8</v>
      </c>
      <c r="F3995" t="s">
        <v>7139</v>
      </c>
      <c r="G3995">
        <v>145.24000000000001</v>
      </c>
      <c r="H3995" t="s">
        <v>69</v>
      </c>
      <c r="I3995" t="s">
        <v>150</v>
      </c>
      <c r="J3995" s="10" t="str">
        <f>VLOOKUP(I3995,Categories!A:B,2,FALSE)</f>
        <v xml:space="preserve">Food &amp; Coff</v>
      </c>
      <c r="K3995" t="s">
        <v>2317</v>
      </c>
      <c r="L3995" s="10" t="str">
        <f>VLOOKUP(K3995,Accounts!A:B,2,FALSE)</f>
        <v xml:space="preserve">Marriage account</v>
      </c>
      <c r="M3995" t="s">
        <v>124</v>
      </c>
      <c r="N3995" s="10"/>
      <c r="O3995" t="s">
        <v>6857</v>
      </c>
      <c r="Q3995" t="s">
        <v>126</v>
      </c>
      <c r="R3995" t="s">
        <v>124</v>
      </c>
      <c r="S3995" t="b">
        <v>0</v>
      </c>
      <c r="T3995" t="s">
        <v>124</v>
      </c>
    </row>
    <row r="3996">
      <c r="A3996" t="s">
        <v>7140</v>
      </c>
      <c r="B3996" t="s">
        <v>7136</v>
      </c>
      <c r="C3996" s="2">
        <v>2021</v>
      </c>
      <c r="D3996" s="10">
        <v>8</v>
      </c>
      <c r="E3996" s="10">
        <v>8</v>
      </c>
      <c r="F3996" t="s">
        <v>1002</v>
      </c>
      <c r="G3996">
        <v>767</v>
      </c>
      <c r="H3996" t="s">
        <v>69</v>
      </c>
      <c r="I3996" t="s">
        <v>157</v>
      </c>
      <c r="J3996" s="10" t="str">
        <f>VLOOKUP(I3996,Categories!A:B,2,FALSE)</f>
        <v>Boardgame</v>
      </c>
      <c r="K3996" t="s">
        <v>893</v>
      </c>
      <c r="L3996" s="10" t="str">
        <f>VLOOKUP(K3996,Accounts!A:B,2,FALSE)</f>
        <v>Shopee</v>
      </c>
      <c r="M3996" t="s">
        <v>124</v>
      </c>
      <c r="N3996" s="10"/>
      <c r="O3996" t="s">
        <v>7141</v>
      </c>
      <c r="Q3996" t="s">
        <v>126</v>
      </c>
      <c r="R3996" t="s">
        <v>124</v>
      </c>
      <c r="S3996" t="b">
        <v>0</v>
      </c>
      <c r="T3996" t="s">
        <v>124</v>
      </c>
    </row>
    <row r="3997">
      <c r="A3997" t="s">
        <v>7142</v>
      </c>
      <c r="B3997" t="s">
        <v>7136</v>
      </c>
      <c r="C3997" s="2">
        <v>2021</v>
      </c>
      <c r="D3997" s="10">
        <v>8</v>
      </c>
      <c r="E3997" s="10">
        <v>8</v>
      </c>
      <c r="F3997" t="s">
        <v>1132</v>
      </c>
      <c r="G3997">
        <v>10000</v>
      </c>
      <c r="H3997" t="s">
        <v>206</v>
      </c>
      <c r="I3997" t="s">
        <v>281</v>
      </c>
      <c r="J3997" s="10" t="str">
        <f>VLOOKUP(I3997,Categories!A:B,2,FALSE)</f>
        <v>Others</v>
      </c>
      <c r="K3997" t="s">
        <v>2317</v>
      </c>
      <c r="L3997" s="10" t="str">
        <f>VLOOKUP(K3997,Accounts!A:B,2,FALSE)</f>
        <v xml:space="preserve">Marriage account</v>
      </c>
      <c r="M3997" t="s">
        <v>124</v>
      </c>
      <c r="N3997" s="10"/>
      <c r="O3997" t="s">
        <v>6509</v>
      </c>
      <c r="Q3997" t="s">
        <v>126</v>
      </c>
      <c r="R3997" t="s">
        <v>124</v>
      </c>
      <c r="S3997" t="b">
        <v>0</v>
      </c>
      <c r="T3997" t="s">
        <v>124</v>
      </c>
    </row>
    <row r="3998">
      <c r="A3998" t="s">
        <v>7143</v>
      </c>
      <c r="B3998" t="s">
        <v>7136</v>
      </c>
      <c r="C3998" s="2">
        <v>2021</v>
      </c>
      <c r="D3998" s="10">
        <v>8</v>
      </c>
      <c r="E3998" s="10">
        <v>8</v>
      </c>
      <c r="F3998" t="s">
        <v>163</v>
      </c>
      <c r="G3998">
        <v>500</v>
      </c>
      <c r="H3998" t="s">
        <v>206</v>
      </c>
      <c r="I3998" t="s">
        <v>281</v>
      </c>
      <c r="J3998" s="10" t="str">
        <f>VLOOKUP(I3998,Categories!A:B,2,FALSE)</f>
        <v>Others</v>
      </c>
      <c r="K3998" t="s">
        <v>178</v>
      </c>
      <c r="L3998" s="10" t="str">
        <f>VLOOKUP(K3998,Accounts!A:B,2,FALSE)</f>
        <v>SCB</v>
      </c>
      <c r="M3998" t="s">
        <v>124</v>
      </c>
      <c r="N3998" s="10"/>
      <c r="O3998" t="s">
        <v>7144</v>
      </c>
      <c r="Q3998" t="s">
        <v>126</v>
      </c>
      <c r="R3998" t="s">
        <v>124</v>
      </c>
      <c r="S3998" t="b">
        <v>0</v>
      </c>
      <c r="T3998" t="s">
        <v>124</v>
      </c>
    </row>
    <row r="3999">
      <c r="A3999" t="s">
        <v>7145</v>
      </c>
      <c r="B3999" t="s">
        <v>7136</v>
      </c>
      <c r="C3999" s="2">
        <v>2021</v>
      </c>
      <c r="D3999" s="10">
        <v>8</v>
      </c>
      <c r="E3999" s="10">
        <v>8</v>
      </c>
      <c r="F3999" t="s">
        <v>2360</v>
      </c>
      <c r="G3999">
        <v>70</v>
      </c>
      <c r="H3999" t="s">
        <v>69</v>
      </c>
      <c r="I3999" t="s">
        <v>150</v>
      </c>
      <c r="J3999" s="10" t="str">
        <f>VLOOKUP(I3999,Categories!A:B,2,FALSE)</f>
        <v xml:space="preserve">Food &amp; Coff</v>
      </c>
      <c r="K3999" t="s">
        <v>893</v>
      </c>
      <c r="L3999" s="10" t="str">
        <f>VLOOKUP(K3999,Accounts!A:B,2,FALSE)</f>
        <v>Shopee</v>
      </c>
      <c r="M3999" t="s">
        <v>124</v>
      </c>
      <c r="N3999" s="10"/>
      <c r="O3999" t="s">
        <v>7146</v>
      </c>
      <c r="Q3999" t="s">
        <v>126</v>
      </c>
      <c r="R3999" t="s">
        <v>124</v>
      </c>
      <c r="S3999" t="b">
        <v>0</v>
      </c>
      <c r="T3999" t="s">
        <v>124</v>
      </c>
    </row>
    <row r="4000">
      <c r="A4000" t="s">
        <v>7147</v>
      </c>
      <c r="B4000" t="s">
        <v>7136</v>
      </c>
      <c r="C4000" s="2">
        <v>2021</v>
      </c>
      <c r="D4000" s="10">
        <v>8</v>
      </c>
      <c r="E4000" s="10">
        <v>8</v>
      </c>
      <c r="F4000" t="s">
        <v>820</v>
      </c>
      <c r="G4000">
        <v>4058</v>
      </c>
      <c r="H4000" t="s">
        <v>69</v>
      </c>
      <c r="I4000" t="s">
        <v>1508</v>
      </c>
      <c r="J4000" s="10" t="str">
        <f>VLOOKUP(I4000,Categories!A:B,2,FALSE)</f>
        <v>Other</v>
      </c>
      <c r="K4000" t="s">
        <v>2317</v>
      </c>
      <c r="L4000" s="10" t="str">
        <f>VLOOKUP(K4000,Accounts!A:B,2,FALSE)</f>
        <v xml:space="preserve">Marriage account</v>
      </c>
      <c r="M4000" t="s">
        <v>124</v>
      </c>
      <c r="N4000" s="10"/>
      <c r="O4000" t="s">
        <v>7148</v>
      </c>
      <c r="Q4000" t="s">
        <v>126</v>
      </c>
      <c r="R4000" t="s">
        <v>124</v>
      </c>
      <c r="S4000" t="b">
        <v>0</v>
      </c>
      <c r="T4000" t="s">
        <v>124</v>
      </c>
    </row>
    <row r="4001">
      <c r="A4001" t="s">
        <v>7149</v>
      </c>
      <c r="B4001" t="s">
        <v>7136</v>
      </c>
      <c r="C4001" s="2">
        <v>2021</v>
      </c>
      <c r="D4001" s="10">
        <v>8</v>
      </c>
      <c r="E4001" s="10">
        <v>8</v>
      </c>
      <c r="F4001" t="s">
        <v>3508</v>
      </c>
      <c r="G4001">
        <v>692</v>
      </c>
      <c r="H4001" t="s">
        <v>69</v>
      </c>
      <c r="I4001" t="s">
        <v>1508</v>
      </c>
      <c r="J4001" s="10" t="str">
        <f>VLOOKUP(I4001,Categories!A:B,2,FALSE)</f>
        <v>Other</v>
      </c>
      <c r="K4001" t="s">
        <v>2317</v>
      </c>
      <c r="L4001" s="10" t="str">
        <f>VLOOKUP(K4001,Accounts!A:B,2,FALSE)</f>
        <v xml:space="preserve">Marriage account</v>
      </c>
      <c r="M4001" t="s">
        <v>124</v>
      </c>
      <c r="N4001" s="10"/>
      <c r="O4001" t="s">
        <v>7104</v>
      </c>
      <c r="Q4001" t="s">
        <v>126</v>
      </c>
      <c r="R4001" t="s">
        <v>124</v>
      </c>
      <c r="S4001" t="b">
        <v>0</v>
      </c>
      <c r="T4001" t="s">
        <v>124</v>
      </c>
    </row>
    <row r="4002">
      <c r="A4002" t="s">
        <v>7150</v>
      </c>
      <c r="B4002" t="s">
        <v>7136</v>
      </c>
      <c r="C4002" s="2">
        <v>2021</v>
      </c>
      <c r="D4002" s="10">
        <v>8</v>
      </c>
      <c r="E4002" s="10">
        <v>8</v>
      </c>
      <c r="F4002" t="s">
        <v>671</v>
      </c>
      <c r="G4002">
        <v>180</v>
      </c>
      <c r="H4002" t="s">
        <v>69</v>
      </c>
      <c r="I4002" t="s">
        <v>160</v>
      </c>
      <c r="J4002" s="10" t="str">
        <f>VLOOKUP(I4002,Categories!A:B,2,FALSE)</f>
        <v>Fashion</v>
      </c>
      <c r="K4002" t="s">
        <v>893</v>
      </c>
      <c r="L4002" s="10" t="str">
        <f>VLOOKUP(K4002,Accounts!A:B,2,FALSE)</f>
        <v>Shopee</v>
      </c>
      <c r="M4002" t="s">
        <v>124</v>
      </c>
      <c r="N4002" s="10"/>
      <c r="O4002" t="s">
        <v>7151</v>
      </c>
      <c r="Q4002" t="s">
        <v>126</v>
      </c>
      <c r="R4002" t="s">
        <v>124</v>
      </c>
      <c r="S4002" t="b">
        <v>0</v>
      </c>
      <c r="T4002" t="s">
        <v>124</v>
      </c>
    </row>
    <row r="4003">
      <c r="A4003" t="s">
        <v>7152</v>
      </c>
      <c r="B4003" t="s">
        <v>7136</v>
      </c>
      <c r="C4003" s="2">
        <v>2021</v>
      </c>
      <c r="D4003" s="10">
        <v>8</v>
      </c>
      <c r="E4003" s="10">
        <v>8</v>
      </c>
      <c r="F4003" t="s">
        <v>662</v>
      </c>
      <c r="G4003">
        <v>745</v>
      </c>
      <c r="H4003" t="s">
        <v>69</v>
      </c>
      <c r="I4003" t="s">
        <v>152</v>
      </c>
      <c r="J4003" s="10" t="str">
        <f>VLOOKUP(I4003,Categories!A:B,2,FALSE)</f>
        <v xml:space="preserve">Office Suit</v>
      </c>
      <c r="K4003" t="s">
        <v>893</v>
      </c>
      <c r="L4003" s="10" t="str">
        <f>VLOOKUP(K4003,Accounts!A:B,2,FALSE)</f>
        <v>Shopee</v>
      </c>
      <c r="M4003" t="s">
        <v>124</v>
      </c>
      <c r="N4003" s="10"/>
      <c r="O4003" t="s">
        <v>7153</v>
      </c>
      <c r="Q4003" t="s">
        <v>126</v>
      </c>
      <c r="R4003" t="s">
        <v>124</v>
      </c>
      <c r="S4003" t="b">
        <v>0</v>
      </c>
      <c r="T4003" t="s">
        <v>124</v>
      </c>
    </row>
    <row r="4004">
      <c r="A4004" t="s">
        <v>7154</v>
      </c>
      <c r="B4004" t="s">
        <v>7136</v>
      </c>
      <c r="C4004" s="2">
        <v>2021</v>
      </c>
      <c r="D4004" s="10">
        <v>8</v>
      </c>
      <c r="E4004" s="10">
        <v>8</v>
      </c>
      <c r="F4004" t="s">
        <v>649</v>
      </c>
      <c r="G4004">
        <v>624</v>
      </c>
      <c r="H4004" t="s">
        <v>128</v>
      </c>
      <c r="I4004" t="s">
        <v>136</v>
      </c>
      <c r="J4004" s="10" t="str">
        <f>VLOOKUP(I4004,Categories!A:B,2,FALSE)</f>
        <v>อื่นๆ</v>
      </c>
      <c r="K4004" t="s">
        <v>893</v>
      </c>
      <c r="L4004" s="10" t="str">
        <f>VLOOKUP(K4004,Accounts!A:B,2,FALSE)</f>
        <v>Shopee</v>
      </c>
      <c r="M4004" t="s">
        <v>178</v>
      </c>
      <c r="N4004" s="10" t="str">
        <f>VLOOKUP(M4004,Accounts!A:B,2,FALSE)</f>
        <v>SCB</v>
      </c>
      <c r="O4004" t="s">
        <v>125</v>
      </c>
      <c r="Q4004" t="s">
        <v>126</v>
      </c>
      <c r="R4004" t="s">
        <v>124</v>
      </c>
      <c r="S4004" t="b">
        <v>0</v>
      </c>
      <c r="T4004" t="s">
        <v>124</v>
      </c>
    </row>
    <row r="4005">
      <c r="A4005" t="s">
        <v>7155</v>
      </c>
      <c r="B4005" t="s">
        <v>7136</v>
      </c>
      <c r="C4005" s="2">
        <v>2021</v>
      </c>
      <c r="D4005" s="10">
        <v>8</v>
      </c>
      <c r="E4005" s="10">
        <v>8</v>
      </c>
      <c r="F4005" t="s">
        <v>2166</v>
      </c>
      <c r="G4005">
        <v>624</v>
      </c>
      <c r="H4005" t="s">
        <v>69</v>
      </c>
      <c r="I4005" t="s">
        <v>1508</v>
      </c>
      <c r="J4005" s="10" t="str">
        <f>VLOOKUP(I4005,Categories!A:B,2,FALSE)</f>
        <v>Other</v>
      </c>
      <c r="K4005" t="s">
        <v>2317</v>
      </c>
      <c r="L4005" s="10" t="str">
        <f>VLOOKUP(K4005,Accounts!A:B,2,FALSE)</f>
        <v xml:space="preserve">Marriage account</v>
      </c>
      <c r="M4005" t="s">
        <v>124</v>
      </c>
      <c r="N4005" s="10"/>
      <c r="O4005" t="s">
        <v>7042</v>
      </c>
      <c r="Q4005" t="s">
        <v>126</v>
      </c>
      <c r="R4005" t="s">
        <v>124</v>
      </c>
      <c r="S4005" t="b">
        <v>0</v>
      </c>
      <c r="T4005" t="s">
        <v>124</v>
      </c>
    </row>
    <row r="4006">
      <c r="A4006" t="s">
        <v>7156</v>
      </c>
      <c r="B4006" t="s">
        <v>7157</v>
      </c>
      <c r="C4006" s="2">
        <v>2021</v>
      </c>
      <c r="D4006" s="10">
        <v>8</v>
      </c>
      <c r="E4006" s="10">
        <v>7</v>
      </c>
      <c r="F4006" t="s">
        <v>3847</v>
      </c>
      <c r="G4006">
        <v>100</v>
      </c>
      <c r="H4006" t="s">
        <v>69</v>
      </c>
      <c r="I4006" t="s">
        <v>150</v>
      </c>
      <c r="J4006" s="10" t="str">
        <f>VLOOKUP(I4006,Categories!A:B,2,FALSE)</f>
        <v xml:space="preserve">Food &amp; Coff</v>
      </c>
      <c r="K4006" t="s">
        <v>178</v>
      </c>
      <c r="L4006" s="10" t="str">
        <f>VLOOKUP(K4006,Accounts!A:B,2,FALSE)</f>
        <v>SCB</v>
      </c>
      <c r="M4006" t="s">
        <v>124</v>
      </c>
      <c r="N4006" s="10"/>
      <c r="O4006" t="s">
        <v>7158</v>
      </c>
      <c r="Q4006" t="s">
        <v>126</v>
      </c>
      <c r="R4006" t="s">
        <v>124</v>
      </c>
      <c r="S4006" t="b">
        <v>0</v>
      </c>
      <c r="T4006" t="s">
        <v>124</v>
      </c>
    </row>
    <row r="4007">
      <c r="A4007" t="s">
        <v>7159</v>
      </c>
      <c r="B4007" t="s">
        <v>7157</v>
      </c>
      <c r="C4007" s="2">
        <v>2021</v>
      </c>
      <c r="D4007" s="10">
        <v>8</v>
      </c>
      <c r="E4007" s="10">
        <v>7</v>
      </c>
      <c r="F4007" t="s">
        <v>5879</v>
      </c>
      <c r="G4007">
        <v>6000</v>
      </c>
      <c r="H4007" t="s">
        <v>128</v>
      </c>
      <c r="I4007" t="s">
        <v>136</v>
      </c>
      <c r="J4007" s="10" t="str">
        <f>VLOOKUP(I4007,Categories!A:B,2,FALSE)</f>
        <v>อื่นๆ</v>
      </c>
      <c r="K4007" t="s">
        <v>178</v>
      </c>
      <c r="L4007" s="10" t="str">
        <f>VLOOKUP(K4007,Accounts!A:B,2,FALSE)</f>
        <v>SCB</v>
      </c>
      <c r="M4007" t="s">
        <v>893</v>
      </c>
      <c r="N4007" s="10" t="str">
        <f>VLOOKUP(M4007,Accounts!A:B,2,FALSE)</f>
        <v>Shopee</v>
      </c>
      <c r="O4007" t="s">
        <v>125</v>
      </c>
      <c r="Q4007" t="s">
        <v>126</v>
      </c>
      <c r="R4007" t="s">
        <v>124</v>
      </c>
      <c r="S4007" t="b">
        <v>0</v>
      </c>
      <c r="T4007" t="s">
        <v>124</v>
      </c>
    </row>
    <row r="4008">
      <c r="A4008" t="s">
        <v>7160</v>
      </c>
      <c r="B4008" t="s">
        <v>7161</v>
      </c>
      <c r="C4008" s="2">
        <v>2021</v>
      </c>
      <c r="D4008" s="10">
        <v>8</v>
      </c>
      <c r="E4008" s="10">
        <v>6</v>
      </c>
      <c r="F4008" t="s">
        <v>121</v>
      </c>
      <c r="G4008">
        <v>212</v>
      </c>
      <c r="H4008" t="s">
        <v>69</v>
      </c>
      <c r="I4008" t="s">
        <v>150</v>
      </c>
      <c r="J4008" s="10" t="str">
        <f>VLOOKUP(I4008,Categories!A:B,2,FALSE)</f>
        <v xml:space="preserve">Food &amp; Coff</v>
      </c>
      <c r="K4008" t="s">
        <v>2317</v>
      </c>
      <c r="L4008" s="10" t="str">
        <f>VLOOKUP(K4008,Accounts!A:B,2,FALSE)</f>
        <v xml:space="preserve">Marriage account</v>
      </c>
      <c r="M4008" t="s">
        <v>124</v>
      </c>
      <c r="N4008" s="10"/>
      <c r="O4008" t="s">
        <v>4800</v>
      </c>
      <c r="Q4008" t="s">
        <v>126</v>
      </c>
      <c r="R4008" t="s">
        <v>124</v>
      </c>
      <c r="S4008" t="b">
        <v>0</v>
      </c>
      <c r="T4008" t="s">
        <v>124</v>
      </c>
    </row>
    <row r="4009">
      <c r="A4009" t="s">
        <v>7162</v>
      </c>
      <c r="B4009" t="s">
        <v>7161</v>
      </c>
      <c r="C4009" s="2">
        <v>2021</v>
      </c>
      <c r="D4009" s="10">
        <v>8</v>
      </c>
      <c r="E4009" s="10">
        <v>6</v>
      </c>
      <c r="F4009" t="s">
        <v>3301</v>
      </c>
      <c r="G4009">
        <v>228.5</v>
      </c>
      <c r="H4009" t="s">
        <v>69</v>
      </c>
      <c r="I4009" t="s">
        <v>150</v>
      </c>
      <c r="J4009" s="10" t="str">
        <f>VLOOKUP(I4009,Categories!A:B,2,FALSE)</f>
        <v xml:space="preserve">Food &amp; Coff</v>
      </c>
      <c r="K4009" t="s">
        <v>2317</v>
      </c>
      <c r="L4009" s="10" t="str">
        <f>VLOOKUP(K4009,Accounts!A:B,2,FALSE)</f>
        <v xml:space="preserve">Marriage account</v>
      </c>
      <c r="M4009" t="s">
        <v>124</v>
      </c>
      <c r="N4009" s="10"/>
      <c r="O4009" t="s">
        <v>7163</v>
      </c>
      <c r="Q4009" t="s">
        <v>126</v>
      </c>
      <c r="R4009" t="s">
        <v>124</v>
      </c>
      <c r="S4009" t="b">
        <v>0</v>
      </c>
      <c r="T4009" t="s">
        <v>124</v>
      </c>
    </row>
    <row r="4010">
      <c r="A4010" t="s">
        <v>7164</v>
      </c>
      <c r="B4010" t="s">
        <v>7165</v>
      </c>
      <c r="C4010" s="2">
        <v>2021</v>
      </c>
      <c r="D4010" s="10">
        <v>8</v>
      </c>
      <c r="E4010" s="10">
        <v>5</v>
      </c>
      <c r="F4010" t="s">
        <v>7166</v>
      </c>
      <c r="G4010">
        <v>100</v>
      </c>
      <c r="H4010" t="s">
        <v>69</v>
      </c>
      <c r="I4010" t="s">
        <v>150</v>
      </c>
      <c r="J4010" s="10" t="str">
        <f>VLOOKUP(I4010,Categories!A:B,2,FALSE)</f>
        <v xml:space="preserve">Food &amp; Coff</v>
      </c>
      <c r="K4010" t="s">
        <v>2317</v>
      </c>
      <c r="L4010" s="10" t="str">
        <f>VLOOKUP(K4010,Accounts!A:B,2,FALSE)</f>
        <v xml:space="preserve">Marriage account</v>
      </c>
      <c r="M4010" t="s">
        <v>124</v>
      </c>
      <c r="N4010" s="10"/>
      <c r="O4010" t="s">
        <v>6609</v>
      </c>
      <c r="Q4010" t="s">
        <v>126</v>
      </c>
      <c r="R4010" t="s">
        <v>124</v>
      </c>
      <c r="S4010" t="b">
        <v>0</v>
      </c>
      <c r="T4010" t="s">
        <v>124</v>
      </c>
    </row>
    <row r="4011">
      <c r="A4011" t="s">
        <v>7167</v>
      </c>
      <c r="B4011" t="s">
        <v>7165</v>
      </c>
      <c r="C4011" s="2">
        <v>2021</v>
      </c>
      <c r="D4011" s="10">
        <v>8</v>
      </c>
      <c r="E4011" s="10">
        <v>5</v>
      </c>
      <c r="F4011" t="s">
        <v>7168</v>
      </c>
      <c r="G4011">
        <v>199</v>
      </c>
      <c r="H4011" t="s">
        <v>69</v>
      </c>
      <c r="I4011" t="s">
        <v>150</v>
      </c>
      <c r="J4011" s="10" t="str">
        <f>VLOOKUP(I4011,Categories!A:B,2,FALSE)</f>
        <v xml:space="preserve">Food &amp; Coff</v>
      </c>
      <c r="K4011" t="s">
        <v>2317</v>
      </c>
      <c r="L4011" s="10" t="str">
        <f>VLOOKUP(K4011,Accounts!A:B,2,FALSE)</f>
        <v xml:space="preserve">Marriage account</v>
      </c>
      <c r="M4011" t="s">
        <v>124</v>
      </c>
      <c r="N4011" s="10"/>
      <c r="O4011" t="s">
        <v>7169</v>
      </c>
      <c r="Q4011" t="s">
        <v>126</v>
      </c>
      <c r="R4011" t="s">
        <v>124</v>
      </c>
      <c r="S4011" t="b">
        <v>0</v>
      </c>
      <c r="T4011" t="s">
        <v>124</v>
      </c>
    </row>
    <row r="4012">
      <c r="A4012" t="s">
        <v>7170</v>
      </c>
      <c r="B4012" t="s">
        <v>7165</v>
      </c>
      <c r="C4012" s="2">
        <v>2021</v>
      </c>
      <c r="D4012" s="10">
        <v>8</v>
      </c>
      <c r="E4012" s="10">
        <v>5</v>
      </c>
      <c r="F4012" t="s">
        <v>1097</v>
      </c>
      <c r="G4012">
        <v>213</v>
      </c>
      <c r="H4012" t="s">
        <v>69</v>
      </c>
      <c r="I4012" t="s">
        <v>150</v>
      </c>
      <c r="J4012" s="10" t="str">
        <f>VLOOKUP(I4012,Categories!A:B,2,FALSE)</f>
        <v xml:space="preserve">Food &amp; Coff</v>
      </c>
      <c r="K4012" t="s">
        <v>2317</v>
      </c>
      <c r="L4012" s="10" t="str">
        <f>VLOOKUP(K4012,Accounts!A:B,2,FALSE)</f>
        <v xml:space="preserve">Marriage account</v>
      </c>
      <c r="M4012" t="s">
        <v>124</v>
      </c>
      <c r="N4012" s="10"/>
      <c r="O4012" t="s">
        <v>7171</v>
      </c>
      <c r="Q4012" t="s">
        <v>126</v>
      </c>
      <c r="R4012" t="s">
        <v>124</v>
      </c>
      <c r="S4012" t="b">
        <v>0</v>
      </c>
      <c r="T4012" t="s">
        <v>124</v>
      </c>
    </row>
    <row r="4013">
      <c r="A4013" t="s">
        <v>7172</v>
      </c>
      <c r="B4013" t="s">
        <v>7165</v>
      </c>
      <c r="C4013" s="2">
        <v>2021</v>
      </c>
      <c r="D4013" s="10">
        <v>8</v>
      </c>
      <c r="E4013" s="10">
        <v>5</v>
      </c>
      <c r="F4013" t="s">
        <v>3525</v>
      </c>
      <c r="G4013">
        <v>418</v>
      </c>
      <c r="H4013" t="s">
        <v>69</v>
      </c>
      <c r="I4013" t="s">
        <v>150</v>
      </c>
      <c r="J4013" s="10" t="str">
        <f>VLOOKUP(I4013,Categories!A:B,2,FALSE)</f>
        <v xml:space="preserve">Food &amp; Coff</v>
      </c>
      <c r="K4013" t="s">
        <v>2317</v>
      </c>
      <c r="L4013" s="10" t="str">
        <f>VLOOKUP(K4013,Accounts!A:B,2,FALSE)</f>
        <v xml:space="preserve">Marriage account</v>
      </c>
      <c r="M4013" t="s">
        <v>124</v>
      </c>
      <c r="N4013" s="10"/>
      <c r="O4013" t="s">
        <v>6471</v>
      </c>
      <c r="Q4013" t="s">
        <v>126</v>
      </c>
      <c r="R4013" t="s">
        <v>124</v>
      </c>
      <c r="S4013" t="b">
        <v>0</v>
      </c>
      <c r="T4013" t="s">
        <v>124</v>
      </c>
    </row>
    <row r="4014">
      <c r="A4014" t="s">
        <v>7173</v>
      </c>
      <c r="B4014" t="s">
        <v>7174</v>
      </c>
      <c r="C4014" s="2">
        <v>2021</v>
      </c>
      <c r="D4014" s="10">
        <v>8</v>
      </c>
      <c r="E4014" s="10">
        <v>4</v>
      </c>
      <c r="F4014" t="s">
        <v>2179</v>
      </c>
      <c r="G4014">
        <v>129.59999999999999</v>
      </c>
      <c r="H4014" t="s">
        <v>69</v>
      </c>
      <c r="I4014" t="s">
        <v>150</v>
      </c>
      <c r="J4014" s="10" t="str">
        <f>VLOOKUP(I4014,Categories!A:B,2,FALSE)</f>
        <v xml:space="preserve">Food &amp; Coff</v>
      </c>
      <c r="K4014" t="s">
        <v>2317</v>
      </c>
      <c r="L4014" s="10" t="str">
        <f>VLOOKUP(K4014,Accounts!A:B,2,FALSE)</f>
        <v xml:space="preserve">Marriage account</v>
      </c>
      <c r="M4014" t="s">
        <v>124</v>
      </c>
      <c r="N4014" s="10"/>
      <c r="O4014" t="s">
        <v>7175</v>
      </c>
      <c r="Q4014" t="s">
        <v>126</v>
      </c>
      <c r="R4014" t="s">
        <v>124</v>
      </c>
      <c r="S4014" t="b">
        <v>0</v>
      </c>
      <c r="T4014" t="s">
        <v>124</v>
      </c>
    </row>
    <row r="4015">
      <c r="A4015" t="s">
        <v>7176</v>
      </c>
      <c r="B4015" t="s">
        <v>7174</v>
      </c>
      <c r="C4015" s="2">
        <v>2021</v>
      </c>
      <c r="D4015" s="10">
        <v>8</v>
      </c>
      <c r="E4015" s="10">
        <v>4</v>
      </c>
      <c r="F4015" t="s">
        <v>3508</v>
      </c>
      <c r="G4015">
        <v>410</v>
      </c>
      <c r="H4015" t="s">
        <v>69</v>
      </c>
      <c r="I4015" t="s">
        <v>150</v>
      </c>
      <c r="J4015" s="10" t="str">
        <f>VLOOKUP(I4015,Categories!A:B,2,FALSE)</f>
        <v xml:space="preserve">Food &amp; Coff</v>
      </c>
      <c r="K4015" t="s">
        <v>2317</v>
      </c>
      <c r="L4015" s="10" t="str">
        <f>VLOOKUP(K4015,Accounts!A:B,2,FALSE)</f>
        <v xml:space="preserve">Marriage account</v>
      </c>
      <c r="M4015" t="s">
        <v>124</v>
      </c>
      <c r="N4015" s="10"/>
      <c r="O4015" t="s">
        <v>6845</v>
      </c>
      <c r="Q4015" t="s">
        <v>126</v>
      </c>
      <c r="R4015" t="s">
        <v>124</v>
      </c>
      <c r="S4015" t="b">
        <v>0</v>
      </c>
      <c r="T4015" t="s">
        <v>124</v>
      </c>
    </row>
    <row r="4016">
      <c r="A4016" t="s">
        <v>7177</v>
      </c>
      <c r="B4016" t="s">
        <v>7178</v>
      </c>
      <c r="C4016" s="2">
        <v>2021</v>
      </c>
      <c r="D4016" s="10">
        <v>8</v>
      </c>
      <c r="E4016" s="10">
        <v>3</v>
      </c>
      <c r="F4016" t="s">
        <v>121</v>
      </c>
      <c r="G4016">
        <v>220</v>
      </c>
      <c r="H4016" t="s">
        <v>69</v>
      </c>
      <c r="I4016" t="s">
        <v>150</v>
      </c>
      <c r="J4016" s="10" t="str">
        <f>VLOOKUP(I4016,Categories!A:B,2,FALSE)</f>
        <v xml:space="preserve">Food &amp; Coff</v>
      </c>
      <c r="K4016" t="s">
        <v>2317</v>
      </c>
      <c r="L4016" s="10" t="str">
        <f>VLOOKUP(K4016,Accounts!A:B,2,FALSE)</f>
        <v xml:space="preserve">Marriage account</v>
      </c>
      <c r="M4016" t="s">
        <v>124</v>
      </c>
      <c r="N4016" s="10"/>
      <c r="O4016" t="s">
        <v>7179</v>
      </c>
      <c r="Q4016" t="s">
        <v>126</v>
      </c>
      <c r="R4016" t="s">
        <v>124</v>
      </c>
      <c r="S4016" t="b">
        <v>0</v>
      </c>
      <c r="T4016" t="s">
        <v>124</v>
      </c>
    </row>
    <row r="4017">
      <c r="A4017" t="s">
        <v>7180</v>
      </c>
      <c r="B4017" t="s">
        <v>7178</v>
      </c>
      <c r="C4017" s="2">
        <v>2021</v>
      </c>
      <c r="D4017" s="10">
        <v>8</v>
      </c>
      <c r="E4017" s="10">
        <v>3</v>
      </c>
      <c r="F4017" t="s">
        <v>121</v>
      </c>
      <c r="G4017">
        <v>138</v>
      </c>
      <c r="H4017" t="s">
        <v>69</v>
      </c>
      <c r="I4017" t="s">
        <v>150</v>
      </c>
      <c r="J4017" s="10" t="str">
        <f>VLOOKUP(I4017,Categories!A:B,2,FALSE)</f>
        <v xml:space="preserve">Food &amp; Coff</v>
      </c>
      <c r="K4017" t="s">
        <v>2317</v>
      </c>
      <c r="L4017" s="10" t="str">
        <f>VLOOKUP(K4017,Accounts!A:B,2,FALSE)</f>
        <v xml:space="preserve">Marriage account</v>
      </c>
      <c r="M4017" t="s">
        <v>124</v>
      </c>
      <c r="N4017" s="10"/>
      <c r="O4017" t="s">
        <v>7181</v>
      </c>
      <c r="Q4017" t="s">
        <v>126</v>
      </c>
      <c r="R4017" t="s">
        <v>124</v>
      </c>
      <c r="S4017" t="b">
        <v>0</v>
      </c>
      <c r="T4017" t="s">
        <v>124</v>
      </c>
    </row>
    <row r="4018">
      <c r="A4018" t="s">
        <v>7182</v>
      </c>
      <c r="B4018" t="s">
        <v>7178</v>
      </c>
      <c r="C4018" s="2">
        <v>2021</v>
      </c>
      <c r="D4018" s="10">
        <v>8</v>
      </c>
      <c r="E4018" s="10">
        <v>3</v>
      </c>
      <c r="F4018" t="s">
        <v>3005</v>
      </c>
      <c r="G4018">
        <v>118</v>
      </c>
      <c r="H4018" t="s">
        <v>69</v>
      </c>
      <c r="I4018" t="s">
        <v>1508</v>
      </c>
      <c r="J4018" s="10" t="str">
        <f>VLOOKUP(I4018,Categories!A:B,2,FALSE)</f>
        <v>Other</v>
      </c>
      <c r="K4018" t="s">
        <v>2317</v>
      </c>
      <c r="L4018" s="10" t="str">
        <f>VLOOKUP(K4018,Accounts!A:B,2,FALSE)</f>
        <v xml:space="preserve">Marriage account</v>
      </c>
      <c r="M4018" t="s">
        <v>124</v>
      </c>
      <c r="N4018" s="10"/>
      <c r="O4018" t="s">
        <v>7183</v>
      </c>
      <c r="Q4018" t="s">
        <v>126</v>
      </c>
      <c r="R4018" t="s">
        <v>124</v>
      </c>
      <c r="S4018" t="b">
        <v>0</v>
      </c>
      <c r="T4018" t="s">
        <v>124</v>
      </c>
    </row>
    <row r="4019">
      <c r="A4019" t="s">
        <v>7184</v>
      </c>
      <c r="B4019" t="s">
        <v>7185</v>
      </c>
      <c r="C4019" s="2">
        <v>2021</v>
      </c>
      <c r="D4019" s="10">
        <v>8</v>
      </c>
      <c r="E4019" s="10">
        <v>2</v>
      </c>
      <c r="F4019" t="s">
        <v>992</v>
      </c>
      <c r="G4019">
        <v>1719.28</v>
      </c>
      <c r="H4019" t="s">
        <v>69</v>
      </c>
      <c r="I4019" t="s">
        <v>1508</v>
      </c>
      <c r="J4019" s="10" t="str">
        <f>VLOOKUP(I4019,Categories!A:B,2,FALSE)</f>
        <v>Other</v>
      </c>
      <c r="K4019" t="s">
        <v>2317</v>
      </c>
      <c r="L4019" s="10" t="str">
        <f>VLOOKUP(K4019,Accounts!A:B,2,FALSE)</f>
        <v xml:space="preserve">Marriage account</v>
      </c>
      <c r="M4019" t="s">
        <v>124</v>
      </c>
      <c r="N4019" s="10"/>
      <c r="O4019" t="s">
        <v>7186</v>
      </c>
      <c r="Q4019" t="s">
        <v>126</v>
      </c>
      <c r="R4019" t="s">
        <v>124</v>
      </c>
      <c r="S4019" t="b">
        <v>0</v>
      </c>
      <c r="T4019" t="s">
        <v>124</v>
      </c>
    </row>
    <row r="4020">
      <c r="A4020" t="s">
        <v>7187</v>
      </c>
      <c r="B4020" t="s">
        <v>7185</v>
      </c>
      <c r="C4020" s="2">
        <v>2021</v>
      </c>
      <c r="D4020" s="10">
        <v>8</v>
      </c>
      <c r="E4020" s="10">
        <v>2</v>
      </c>
      <c r="F4020" t="s">
        <v>992</v>
      </c>
      <c r="G4020">
        <v>202</v>
      </c>
      <c r="H4020" t="s">
        <v>69</v>
      </c>
      <c r="I4020" t="s">
        <v>150</v>
      </c>
      <c r="J4020" s="10" t="str">
        <f>VLOOKUP(I4020,Categories!A:B,2,FALSE)</f>
        <v xml:space="preserve">Food &amp; Coff</v>
      </c>
      <c r="K4020" t="s">
        <v>2317</v>
      </c>
      <c r="L4020" s="10" t="str">
        <f>VLOOKUP(K4020,Accounts!A:B,2,FALSE)</f>
        <v xml:space="preserve">Marriage account</v>
      </c>
      <c r="M4020" t="s">
        <v>124</v>
      </c>
      <c r="N4020" s="10"/>
      <c r="O4020" t="s">
        <v>7169</v>
      </c>
      <c r="Q4020" t="s">
        <v>126</v>
      </c>
      <c r="R4020" t="s">
        <v>124</v>
      </c>
      <c r="S4020" t="b">
        <v>0</v>
      </c>
      <c r="T4020" t="s">
        <v>124</v>
      </c>
    </row>
    <row r="4021">
      <c r="A4021" t="s">
        <v>7188</v>
      </c>
      <c r="B4021" t="s">
        <v>7185</v>
      </c>
      <c r="C4021" s="2">
        <v>2021</v>
      </c>
      <c r="D4021" s="10">
        <v>8</v>
      </c>
      <c r="E4021" s="10">
        <v>2</v>
      </c>
      <c r="F4021" t="s">
        <v>994</v>
      </c>
      <c r="G4021">
        <v>250</v>
      </c>
      <c r="H4021" t="s">
        <v>69</v>
      </c>
      <c r="I4021" t="s">
        <v>150</v>
      </c>
      <c r="J4021" s="10" t="str">
        <f>VLOOKUP(I4021,Categories!A:B,2,FALSE)</f>
        <v xml:space="preserve">Food &amp; Coff</v>
      </c>
      <c r="K4021" t="s">
        <v>2317</v>
      </c>
      <c r="L4021" s="10" t="str">
        <f>VLOOKUP(K4021,Accounts!A:B,2,FALSE)</f>
        <v xml:space="preserve">Marriage account</v>
      </c>
      <c r="M4021" t="s">
        <v>124</v>
      </c>
      <c r="N4021" s="10"/>
      <c r="O4021" t="s">
        <v>7189</v>
      </c>
      <c r="Q4021" t="s">
        <v>126</v>
      </c>
      <c r="R4021" t="s">
        <v>124</v>
      </c>
      <c r="S4021" t="b">
        <v>0</v>
      </c>
      <c r="T4021" t="s">
        <v>124</v>
      </c>
    </row>
    <row r="4022">
      <c r="A4022" t="s">
        <v>7190</v>
      </c>
      <c r="B4022" t="s">
        <v>7185</v>
      </c>
      <c r="C4022" s="2">
        <v>2021</v>
      </c>
      <c r="D4022" s="10">
        <v>8</v>
      </c>
      <c r="E4022" s="10">
        <v>2</v>
      </c>
      <c r="F4022" t="s">
        <v>994</v>
      </c>
      <c r="G4022">
        <v>1236</v>
      </c>
      <c r="H4022" t="s">
        <v>69</v>
      </c>
      <c r="I4022" t="s">
        <v>150</v>
      </c>
      <c r="J4022" s="10" t="str">
        <f>VLOOKUP(I4022,Categories!A:B,2,FALSE)</f>
        <v xml:space="preserve">Food &amp; Coff</v>
      </c>
      <c r="K4022" t="s">
        <v>2317</v>
      </c>
      <c r="L4022" s="10" t="str">
        <f>VLOOKUP(K4022,Accounts!A:B,2,FALSE)</f>
        <v xml:space="preserve">Marriage account</v>
      </c>
      <c r="M4022" t="s">
        <v>124</v>
      </c>
      <c r="N4022" s="10"/>
      <c r="O4022" t="s">
        <v>5088</v>
      </c>
      <c r="Q4022" t="s">
        <v>126</v>
      </c>
      <c r="R4022" t="s">
        <v>124</v>
      </c>
      <c r="S4022" t="b">
        <v>0</v>
      </c>
      <c r="T4022" t="s">
        <v>124</v>
      </c>
    </row>
    <row r="4023">
      <c r="A4023" t="s">
        <v>7191</v>
      </c>
      <c r="B4023" t="s">
        <v>7185</v>
      </c>
      <c r="C4023" s="2">
        <v>2021</v>
      </c>
      <c r="D4023" s="10">
        <v>8</v>
      </c>
      <c r="E4023" s="10">
        <v>2</v>
      </c>
      <c r="F4023" t="s">
        <v>994</v>
      </c>
      <c r="G4023">
        <v>557</v>
      </c>
      <c r="H4023" t="s">
        <v>69</v>
      </c>
      <c r="I4023" t="s">
        <v>150</v>
      </c>
      <c r="J4023" s="10" t="str">
        <f>VLOOKUP(I4023,Categories!A:B,2,FALSE)</f>
        <v xml:space="preserve">Food &amp; Coff</v>
      </c>
      <c r="K4023" t="s">
        <v>2317</v>
      </c>
      <c r="L4023" s="10" t="str">
        <f>VLOOKUP(K4023,Accounts!A:B,2,FALSE)</f>
        <v xml:space="preserve">Marriage account</v>
      </c>
      <c r="M4023" t="s">
        <v>124</v>
      </c>
      <c r="N4023" s="10"/>
      <c r="O4023" t="s">
        <v>7192</v>
      </c>
      <c r="Q4023" t="s">
        <v>126</v>
      </c>
      <c r="R4023" t="s">
        <v>124</v>
      </c>
      <c r="S4023" t="b">
        <v>0</v>
      </c>
      <c r="T4023" t="s">
        <v>124</v>
      </c>
    </row>
    <row r="4024">
      <c r="A4024" t="s">
        <v>7193</v>
      </c>
      <c r="B4024" t="s">
        <v>7185</v>
      </c>
      <c r="C4024" s="2">
        <v>2021</v>
      </c>
      <c r="D4024" s="10">
        <v>8</v>
      </c>
      <c r="E4024" s="10">
        <v>2</v>
      </c>
      <c r="F4024" t="s">
        <v>603</v>
      </c>
      <c r="G4024">
        <v>1236</v>
      </c>
      <c r="H4024" t="s">
        <v>128</v>
      </c>
      <c r="I4024" t="s">
        <v>136</v>
      </c>
      <c r="J4024" s="10" t="str">
        <f>VLOOKUP(I4024,Categories!A:B,2,FALSE)</f>
        <v>อื่นๆ</v>
      </c>
      <c r="K4024" t="s">
        <v>425</v>
      </c>
      <c r="L4024" s="10" t="str">
        <f>VLOOKUP(K4024,Accounts!A:B,2,FALSE)</f>
        <v>Cash</v>
      </c>
      <c r="M4024" t="s">
        <v>178</v>
      </c>
      <c r="N4024" s="10" t="str">
        <f>VLOOKUP(M4024,Accounts!A:B,2,FALSE)</f>
        <v>SCB</v>
      </c>
      <c r="O4024" t="s">
        <v>125</v>
      </c>
      <c r="Q4024" t="s">
        <v>126</v>
      </c>
      <c r="R4024" t="s">
        <v>124</v>
      </c>
      <c r="S4024" t="b">
        <v>0</v>
      </c>
      <c r="T4024" t="s">
        <v>124</v>
      </c>
    </row>
    <row r="4025">
      <c r="A4025" t="s">
        <v>7194</v>
      </c>
      <c r="B4025" t="s">
        <v>7185</v>
      </c>
      <c r="C4025" s="2">
        <v>2021</v>
      </c>
      <c r="D4025" s="10">
        <v>8</v>
      </c>
      <c r="E4025" s="10">
        <v>2</v>
      </c>
      <c r="F4025" t="s">
        <v>595</v>
      </c>
      <c r="G4025">
        <v>69</v>
      </c>
      <c r="H4025" t="s">
        <v>69</v>
      </c>
      <c r="I4025" t="s">
        <v>150</v>
      </c>
      <c r="J4025" s="10" t="str">
        <f>VLOOKUP(I4025,Categories!A:B,2,FALSE)</f>
        <v xml:space="preserve">Food &amp; Coff</v>
      </c>
      <c r="K4025" t="s">
        <v>178</v>
      </c>
      <c r="L4025" s="10" t="str">
        <f>VLOOKUP(K4025,Accounts!A:B,2,FALSE)</f>
        <v>SCB</v>
      </c>
      <c r="M4025" t="s">
        <v>124</v>
      </c>
      <c r="N4025" s="10"/>
      <c r="O4025" t="s">
        <v>7067</v>
      </c>
      <c r="Q4025" t="s">
        <v>126</v>
      </c>
      <c r="R4025" t="s">
        <v>124</v>
      </c>
      <c r="S4025" t="b">
        <v>0</v>
      </c>
      <c r="T4025" t="s">
        <v>124</v>
      </c>
    </row>
    <row r="4026">
      <c r="A4026" t="s">
        <v>7195</v>
      </c>
      <c r="B4026" t="s">
        <v>7185</v>
      </c>
      <c r="C4026" s="2">
        <v>2021</v>
      </c>
      <c r="D4026" s="10">
        <v>8</v>
      </c>
      <c r="E4026" s="10">
        <v>2</v>
      </c>
      <c r="F4026" t="s">
        <v>2369</v>
      </c>
      <c r="G4026">
        <v>218</v>
      </c>
      <c r="H4026" t="s">
        <v>69</v>
      </c>
      <c r="I4026" t="s">
        <v>150</v>
      </c>
      <c r="J4026" s="10" t="str">
        <f>VLOOKUP(I4026,Categories!A:B,2,FALSE)</f>
        <v xml:space="preserve">Food &amp; Coff</v>
      </c>
      <c r="K4026" t="s">
        <v>2317</v>
      </c>
      <c r="L4026" s="10" t="str">
        <f>VLOOKUP(K4026,Accounts!A:B,2,FALSE)</f>
        <v xml:space="preserve">Marriage account</v>
      </c>
      <c r="M4026" t="s">
        <v>124</v>
      </c>
      <c r="N4026" s="10"/>
      <c r="O4026" t="s">
        <v>7196</v>
      </c>
      <c r="Q4026" t="s">
        <v>126</v>
      </c>
      <c r="R4026" t="s">
        <v>124</v>
      </c>
      <c r="S4026" t="b">
        <v>0</v>
      </c>
      <c r="T4026" t="s">
        <v>124</v>
      </c>
    </row>
    <row r="4027">
      <c r="A4027" t="s">
        <v>7197</v>
      </c>
      <c r="B4027" t="s">
        <v>7185</v>
      </c>
      <c r="C4027" s="2">
        <v>2021</v>
      </c>
      <c r="D4027" s="10">
        <v>8</v>
      </c>
      <c r="E4027" s="10">
        <v>2</v>
      </c>
      <c r="F4027" t="s">
        <v>1416</v>
      </c>
      <c r="G4027">
        <v>100</v>
      </c>
      <c r="H4027" t="s">
        <v>206</v>
      </c>
      <c r="I4027" t="s">
        <v>281</v>
      </c>
      <c r="J4027" s="10" t="str">
        <f>VLOOKUP(I4027,Categories!A:B,2,FALSE)</f>
        <v>Others</v>
      </c>
      <c r="K4027" t="s">
        <v>178</v>
      </c>
      <c r="L4027" s="10" t="str">
        <f>VLOOKUP(K4027,Accounts!A:B,2,FALSE)</f>
        <v>SCB</v>
      </c>
      <c r="M4027" t="s">
        <v>124</v>
      </c>
      <c r="N4027" s="10"/>
      <c r="O4027" t="s">
        <v>125</v>
      </c>
      <c r="Q4027" t="s">
        <v>126</v>
      </c>
      <c r="R4027" t="s">
        <v>124</v>
      </c>
      <c r="S4027" t="b">
        <v>0</v>
      </c>
      <c r="T4027" t="s">
        <v>124</v>
      </c>
    </row>
    <row r="4028">
      <c r="A4028" t="s">
        <v>7198</v>
      </c>
      <c r="B4028" t="s">
        <v>7199</v>
      </c>
      <c r="C4028" s="2">
        <v>2021</v>
      </c>
      <c r="D4028" s="10">
        <v>8</v>
      </c>
      <c r="E4028" s="10">
        <v>1</v>
      </c>
      <c r="F4028" t="s">
        <v>1523</v>
      </c>
      <c r="G4028">
        <v>10000</v>
      </c>
      <c r="H4028" t="s">
        <v>206</v>
      </c>
      <c r="I4028" t="s">
        <v>254</v>
      </c>
      <c r="J4028" s="10" t="str">
        <f>VLOOKUP(I4028,Categories!A:B,2,FALSE)</f>
        <v xml:space="preserve">Modified Bal.</v>
      </c>
      <c r="K4028" t="s">
        <v>2317</v>
      </c>
      <c r="L4028" s="10" t="str">
        <f>VLOOKUP(K4028,Accounts!A:B,2,FALSE)</f>
        <v xml:space="preserve">Marriage account</v>
      </c>
      <c r="M4028" t="s">
        <v>124</v>
      </c>
      <c r="N4028" s="10"/>
      <c r="O4028" t="s">
        <v>255</v>
      </c>
      <c r="Q4028" t="s">
        <v>126</v>
      </c>
      <c r="R4028" t="s">
        <v>124</v>
      </c>
      <c r="S4028" t="b">
        <v>0</v>
      </c>
      <c r="T4028" t="s">
        <v>124</v>
      </c>
    </row>
    <row r="4029">
      <c r="A4029" t="s">
        <v>7200</v>
      </c>
      <c r="B4029" t="s">
        <v>7199</v>
      </c>
      <c r="C4029" s="2">
        <v>2021</v>
      </c>
      <c r="D4029" s="10">
        <v>8</v>
      </c>
      <c r="E4029" s="10">
        <v>1</v>
      </c>
      <c r="F4029" t="s">
        <v>7201</v>
      </c>
      <c r="G4029">
        <v>118.75</v>
      </c>
      <c r="H4029" t="s">
        <v>69</v>
      </c>
      <c r="I4029" t="s">
        <v>150</v>
      </c>
      <c r="J4029" s="10" t="str">
        <f>VLOOKUP(I4029,Categories!A:B,2,FALSE)</f>
        <v xml:space="preserve">Food &amp; Coff</v>
      </c>
      <c r="K4029" t="s">
        <v>2317</v>
      </c>
      <c r="L4029" s="10" t="str">
        <f>VLOOKUP(K4029,Accounts!A:B,2,FALSE)</f>
        <v xml:space="preserve">Marriage account</v>
      </c>
      <c r="M4029" t="s">
        <v>124</v>
      </c>
      <c r="N4029" s="10"/>
      <c r="O4029" t="s">
        <v>7202</v>
      </c>
      <c r="Q4029" t="s">
        <v>126</v>
      </c>
      <c r="R4029" t="s">
        <v>124</v>
      </c>
      <c r="S4029" t="b">
        <v>0</v>
      </c>
      <c r="T4029" t="s">
        <v>124</v>
      </c>
    </row>
    <row r="4030">
      <c r="A4030" t="s">
        <v>7203</v>
      </c>
      <c r="B4030" t="s">
        <v>7199</v>
      </c>
      <c r="C4030" s="2">
        <v>2021</v>
      </c>
      <c r="D4030" s="10">
        <v>8</v>
      </c>
      <c r="E4030" s="10">
        <v>1</v>
      </c>
      <c r="F4030" t="s">
        <v>361</v>
      </c>
      <c r="G4030">
        <v>229</v>
      </c>
      <c r="H4030" t="s">
        <v>69</v>
      </c>
      <c r="I4030" t="s">
        <v>150</v>
      </c>
      <c r="J4030" s="10" t="str">
        <f>VLOOKUP(I4030,Categories!A:B,2,FALSE)</f>
        <v xml:space="preserve">Food &amp; Coff</v>
      </c>
      <c r="K4030" t="s">
        <v>2317</v>
      </c>
      <c r="L4030" s="10" t="str">
        <f>VLOOKUP(K4030,Accounts!A:B,2,FALSE)</f>
        <v xml:space="preserve">Marriage account</v>
      </c>
      <c r="M4030" t="s">
        <v>124</v>
      </c>
      <c r="N4030" s="10"/>
      <c r="O4030" t="s">
        <v>7204</v>
      </c>
      <c r="Q4030" t="s">
        <v>126</v>
      </c>
      <c r="R4030" t="s">
        <v>124</v>
      </c>
      <c r="S4030" t="b">
        <v>0</v>
      </c>
      <c r="T4030" t="s">
        <v>124</v>
      </c>
    </row>
    <row r="4031">
      <c r="A4031" t="s">
        <v>7205</v>
      </c>
      <c r="B4031" t="s">
        <v>7199</v>
      </c>
      <c r="C4031" s="2">
        <v>2021</v>
      </c>
      <c r="D4031" s="10">
        <v>8</v>
      </c>
      <c r="E4031" s="10">
        <v>1</v>
      </c>
      <c r="F4031" t="s">
        <v>361</v>
      </c>
      <c r="G4031">
        <v>298</v>
      </c>
      <c r="H4031" t="s">
        <v>69</v>
      </c>
      <c r="I4031" t="s">
        <v>1508</v>
      </c>
      <c r="J4031" s="10" t="str">
        <f>VLOOKUP(I4031,Categories!A:B,2,FALSE)</f>
        <v>Other</v>
      </c>
      <c r="K4031" t="s">
        <v>2317</v>
      </c>
      <c r="L4031" s="10" t="str">
        <f>VLOOKUP(K4031,Accounts!A:B,2,FALSE)</f>
        <v xml:space="preserve">Marriage account</v>
      </c>
      <c r="M4031" t="s">
        <v>124</v>
      </c>
      <c r="N4031" s="10"/>
      <c r="O4031" t="s">
        <v>7206</v>
      </c>
      <c r="Q4031" t="s">
        <v>126</v>
      </c>
      <c r="R4031" t="s">
        <v>124</v>
      </c>
      <c r="S4031" t="b">
        <v>0</v>
      </c>
      <c r="T4031" t="s">
        <v>124</v>
      </c>
    </row>
    <row r="4032">
      <c r="A4032" t="s">
        <v>7207</v>
      </c>
      <c r="B4032" t="s">
        <v>7199</v>
      </c>
      <c r="C4032" s="2">
        <v>2021</v>
      </c>
      <c r="D4032" s="10">
        <v>8</v>
      </c>
      <c r="E4032" s="10">
        <v>1</v>
      </c>
      <c r="F4032" t="s">
        <v>3704</v>
      </c>
      <c r="G4032">
        <v>114</v>
      </c>
      <c r="H4032" t="s">
        <v>69</v>
      </c>
      <c r="I4032" t="s">
        <v>150</v>
      </c>
      <c r="J4032" s="10" t="str">
        <f>VLOOKUP(I4032,Categories!A:B,2,FALSE)</f>
        <v xml:space="preserve">Food &amp; Coff</v>
      </c>
      <c r="K4032" t="s">
        <v>2317</v>
      </c>
      <c r="L4032" s="10" t="str">
        <f>VLOOKUP(K4032,Accounts!A:B,2,FALSE)</f>
        <v xml:space="preserve">Marriage account</v>
      </c>
      <c r="M4032" t="s">
        <v>124</v>
      </c>
      <c r="N4032" s="10"/>
      <c r="O4032" t="s">
        <v>7208</v>
      </c>
      <c r="Q4032" t="s">
        <v>126</v>
      </c>
      <c r="R4032" t="s">
        <v>124</v>
      </c>
      <c r="S4032" t="b">
        <v>0</v>
      </c>
      <c r="T4032" t="s">
        <v>124</v>
      </c>
    </row>
    <row r="4033">
      <c r="A4033" t="s">
        <v>7209</v>
      </c>
      <c r="B4033" t="s">
        <v>7199</v>
      </c>
      <c r="C4033" s="2">
        <v>2021</v>
      </c>
      <c r="D4033" s="10">
        <v>8</v>
      </c>
      <c r="E4033" s="10">
        <v>1</v>
      </c>
      <c r="F4033" t="s">
        <v>4102</v>
      </c>
      <c r="G4033">
        <v>114</v>
      </c>
      <c r="H4033" t="s">
        <v>128</v>
      </c>
      <c r="I4033" t="s">
        <v>136</v>
      </c>
      <c r="J4033" s="10" t="str">
        <f>VLOOKUP(I4033,Categories!A:B,2,FALSE)</f>
        <v>อื่นๆ</v>
      </c>
      <c r="K4033" t="s">
        <v>425</v>
      </c>
      <c r="L4033" s="10" t="str">
        <f>VLOOKUP(K4033,Accounts!A:B,2,FALSE)</f>
        <v>Cash</v>
      </c>
      <c r="M4033" t="s">
        <v>178</v>
      </c>
      <c r="N4033" s="10" t="str">
        <f>VLOOKUP(M4033,Accounts!A:B,2,FALSE)</f>
        <v>SCB</v>
      </c>
      <c r="O4033" t="s">
        <v>125</v>
      </c>
      <c r="Q4033" t="s">
        <v>126</v>
      </c>
      <c r="R4033" t="s">
        <v>124</v>
      </c>
      <c r="S4033" t="b">
        <v>0</v>
      </c>
      <c r="T4033" t="s">
        <v>124</v>
      </c>
    </row>
    <row r="4034">
      <c r="A4034" t="s">
        <v>7210</v>
      </c>
      <c r="B4034" t="s">
        <v>7199</v>
      </c>
      <c r="C4034" s="2">
        <v>2021</v>
      </c>
      <c r="D4034" s="10">
        <v>8</v>
      </c>
      <c r="E4034" s="10">
        <v>1</v>
      </c>
      <c r="F4034" t="s">
        <v>326</v>
      </c>
      <c r="G4034">
        <v>45</v>
      </c>
      <c r="H4034" t="s">
        <v>69</v>
      </c>
      <c r="I4034" t="s">
        <v>150</v>
      </c>
      <c r="J4034" s="10" t="str">
        <f>VLOOKUP(I4034,Categories!A:B,2,FALSE)</f>
        <v xml:space="preserve">Food &amp; Coff</v>
      </c>
      <c r="K4034" t="s">
        <v>123</v>
      </c>
      <c r="L4034" s="10" t="str">
        <f>VLOOKUP(K4034,Accounts!A:B,2,FALSE)</f>
        <v>KBank</v>
      </c>
      <c r="M4034" t="s">
        <v>124</v>
      </c>
      <c r="N4034" s="10"/>
      <c r="O4034" t="s">
        <v>125</v>
      </c>
      <c r="Q4034" t="s">
        <v>126</v>
      </c>
      <c r="R4034" t="s">
        <v>124</v>
      </c>
      <c r="S4034" t="b">
        <v>0</v>
      </c>
      <c r="T4034" t="s">
        <v>124</v>
      </c>
    </row>
    <row r="4035">
      <c r="A4035" t="s">
        <v>7211</v>
      </c>
      <c r="B4035" t="s">
        <v>7212</v>
      </c>
      <c r="C4035" s="2">
        <v>2021</v>
      </c>
      <c r="D4035" s="10">
        <v>7</v>
      </c>
      <c r="E4035" s="10">
        <v>31</v>
      </c>
      <c r="F4035" t="s">
        <v>6351</v>
      </c>
      <c r="G4035">
        <v>-160435</v>
      </c>
      <c r="H4035" t="s">
        <v>206</v>
      </c>
      <c r="I4035" t="s">
        <v>281</v>
      </c>
      <c r="J4035" s="10" t="str">
        <f>VLOOKUP(I4035,Categories!A:B,2,FALSE)</f>
        <v>Others</v>
      </c>
      <c r="K4035" t="s">
        <v>6537</v>
      </c>
      <c r="L4035" s="10" t="str">
        <f>VLOOKUP(K4035,Accounts!A:B,2,FALSE)</f>
        <v xml:space="preserve">Condo Recieve</v>
      </c>
      <c r="M4035" t="s">
        <v>124</v>
      </c>
      <c r="N4035" s="10"/>
      <c r="O4035" t="s">
        <v>125</v>
      </c>
      <c r="Q4035" t="s">
        <v>126</v>
      </c>
      <c r="R4035" t="s">
        <v>124</v>
      </c>
      <c r="S4035" t="b">
        <v>0</v>
      </c>
      <c r="T4035" t="s">
        <v>124</v>
      </c>
    </row>
    <row r="4036">
      <c r="A4036" t="s">
        <v>7213</v>
      </c>
      <c r="B4036" t="s">
        <v>7212</v>
      </c>
      <c r="C4036" s="2">
        <v>2021</v>
      </c>
      <c r="D4036" s="10">
        <v>7</v>
      </c>
      <c r="E4036" s="10">
        <v>31</v>
      </c>
      <c r="F4036" t="s">
        <v>1045</v>
      </c>
      <c r="G4036">
        <v>-1890</v>
      </c>
      <c r="H4036" t="s">
        <v>206</v>
      </c>
      <c r="I4036" t="s">
        <v>281</v>
      </c>
      <c r="J4036" s="10" t="str">
        <f>VLOOKUP(I4036,Categories!A:B,2,FALSE)</f>
        <v>Others</v>
      </c>
      <c r="K4036" t="s">
        <v>1311</v>
      </c>
      <c r="L4036" s="10" t="str">
        <f>VLOOKUP(K4036,Accounts!A:B,2,FALSE)</f>
        <v xml:space="preserve">Netflix in Adv</v>
      </c>
      <c r="M4036" t="s">
        <v>124</v>
      </c>
      <c r="N4036" s="10"/>
      <c r="O4036" t="s">
        <v>125</v>
      </c>
      <c r="Q4036" t="s">
        <v>126</v>
      </c>
      <c r="R4036" t="s">
        <v>124</v>
      </c>
      <c r="S4036" t="b">
        <v>0</v>
      </c>
      <c r="T4036" t="s">
        <v>124</v>
      </c>
    </row>
    <row r="4037">
      <c r="A4037" t="s">
        <v>7214</v>
      </c>
      <c r="B4037" t="s">
        <v>7212</v>
      </c>
      <c r="C4037" s="2">
        <v>2021</v>
      </c>
      <c r="D4037" s="10">
        <v>7</v>
      </c>
      <c r="E4037" s="10">
        <v>31</v>
      </c>
      <c r="F4037" t="s">
        <v>1879</v>
      </c>
      <c r="G4037">
        <v>84101.369999999995</v>
      </c>
      <c r="H4037" t="s">
        <v>206</v>
      </c>
      <c r="I4037" t="s">
        <v>254</v>
      </c>
      <c r="J4037" s="10" t="str">
        <f>VLOOKUP(I4037,Categories!A:B,2,FALSE)</f>
        <v xml:space="preserve">Modified Bal.</v>
      </c>
      <c r="K4037" t="s">
        <v>6537</v>
      </c>
      <c r="L4037" s="10" t="str">
        <f>VLOOKUP(K4037,Accounts!A:B,2,FALSE)</f>
        <v xml:space="preserve">Condo Recieve</v>
      </c>
      <c r="M4037" t="s">
        <v>124</v>
      </c>
      <c r="N4037" s="10"/>
      <c r="O4037" t="s">
        <v>255</v>
      </c>
      <c r="Q4037" t="s">
        <v>126</v>
      </c>
      <c r="R4037" t="s">
        <v>124</v>
      </c>
      <c r="S4037" t="b">
        <v>0</v>
      </c>
      <c r="T4037" t="s">
        <v>124</v>
      </c>
    </row>
    <row r="4038">
      <c r="A4038" t="s">
        <v>7215</v>
      </c>
      <c r="B4038" t="s">
        <v>7212</v>
      </c>
      <c r="C4038" s="2">
        <v>2021</v>
      </c>
      <c r="D4038" s="10">
        <v>7</v>
      </c>
      <c r="E4038" s="10">
        <v>31</v>
      </c>
      <c r="F4038" t="s">
        <v>2619</v>
      </c>
      <c r="G4038">
        <v>69792.789999999994</v>
      </c>
      <c r="H4038" t="s">
        <v>206</v>
      </c>
      <c r="I4038" t="s">
        <v>254</v>
      </c>
      <c r="J4038" s="10" t="str">
        <f>VLOOKUP(I4038,Categories!A:B,2,FALSE)</f>
        <v xml:space="preserve">Modified Bal.</v>
      </c>
      <c r="K4038" t="s">
        <v>178</v>
      </c>
      <c r="L4038" s="10" t="str">
        <f>VLOOKUP(K4038,Accounts!A:B,2,FALSE)</f>
        <v>SCB</v>
      </c>
      <c r="M4038" t="s">
        <v>124</v>
      </c>
      <c r="N4038" s="10"/>
      <c r="O4038" t="s">
        <v>255</v>
      </c>
      <c r="Q4038" t="s">
        <v>126</v>
      </c>
      <c r="R4038" t="s">
        <v>124</v>
      </c>
      <c r="S4038" t="b">
        <v>0</v>
      </c>
      <c r="T4038" t="s">
        <v>124</v>
      </c>
    </row>
    <row r="4039">
      <c r="A4039" t="s">
        <v>7216</v>
      </c>
      <c r="B4039" t="s">
        <v>7217</v>
      </c>
      <c r="C4039" s="2">
        <v>2021</v>
      </c>
      <c r="D4039" s="10">
        <v>7</v>
      </c>
      <c r="E4039" s="10">
        <v>28</v>
      </c>
      <c r="F4039" t="s">
        <v>121</v>
      </c>
      <c r="G4039">
        <v>4000</v>
      </c>
      <c r="H4039" t="s">
        <v>69</v>
      </c>
      <c r="I4039" t="s">
        <v>144</v>
      </c>
      <c r="J4039" s="10" t="str">
        <f>VLOOKUP(I4039,Categories!A:B,2,FALSE)</f>
        <v xml:space="preserve">Family paid</v>
      </c>
      <c r="K4039" t="s">
        <v>178</v>
      </c>
      <c r="L4039" s="10" t="str">
        <f>VLOOKUP(K4039,Accounts!A:B,2,FALSE)</f>
        <v>SCB</v>
      </c>
      <c r="M4039" t="s">
        <v>124</v>
      </c>
      <c r="N4039" s="10"/>
      <c r="O4039" t="s">
        <v>125</v>
      </c>
      <c r="Q4039" t="s">
        <v>126</v>
      </c>
      <c r="R4039" t="s">
        <v>124</v>
      </c>
      <c r="S4039" t="b">
        <v>0</v>
      </c>
      <c r="T4039" t="s">
        <v>124</v>
      </c>
    </row>
    <row r="4040">
      <c r="A4040" t="s">
        <v>7218</v>
      </c>
      <c r="B4040" t="s">
        <v>7219</v>
      </c>
      <c r="C4040" s="2">
        <v>2021</v>
      </c>
      <c r="D4040" s="10">
        <v>7</v>
      </c>
      <c r="E4040" s="10">
        <v>27</v>
      </c>
      <c r="F4040" t="s">
        <v>2616</v>
      </c>
      <c r="G4040">
        <v>14401</v>
      </c>
      <c r="H4040" t="s">
        <v>128</v>
      </c>
      <c r="I4040" t="s">
        <v>136</v>
      </c>
      <c r="J4040" s="10" t="str">
        <f>VLOOKUP(I4040,Categories!A:B,2,FALSE)</f>
        <v>อื่นๆ</v>
      </c>
      <c r="K4040" t="s">
        <v>178</v>
      </c>
      <c r="L4040" s="10" t="str">
        <f>VLOOKUP(K4040,Accounts!A:B,2,FALSE)</f>
        <v>SCB</v>
      </c>
      <c r="M4040" t="s">
        <v>1308</v>
      </c>
      <c r="N4040" s="10" t="str">
        <f>VLOOKUP(M4040,Accounts!A:B,2,FALSE)</f>
        <v xml:space="preserve">UOB Privilages</v>
      </c>
      <c r="O4040" t="s">
        <v>125</v>
      </c>
      <c r="Q4040" t="s">
        <v>126</v>
      </c>
      <c r="R4040" t="s">
        <v>124</v>
      </c>
      <c r="S4040" t="b">
        <v>0</v>
      </c>
      <c r="T4040" t="s">
        <v>124</v>
      </c>
    </row>
    <row r="4041">
      <c r="A4041" t="s">
        <v>7220</v>
      </c>
      <c r="B4041" t="s">
        <v>7221</v>
      </c>
      <c r="C4041" s="2">
        <v>2021</v>
      </c>
      <c r="D4041" s="10">
        <v>7</v>
      </c>
      <c r="E4041" s="10">
        <v>26</v>
      </c>
      <c r="F4041" t="s">
        <v>1259</v>
      </c>
      <c r="G4041">
        <v>10000</v>
      </c>
      <c r="H4041" t="s">
        <v>128</v>
      </c>
      <c r="I4041" t="s">
        <v>136</v>
      </c>
      <c r="J4041" s="10" t="str">
        <f>VLOOKUP(I4041,Categories!A:B,2,FALSE)</f>
        <v>อื่นๆ</v>
      </c>
      <c r="K4041" t="s">
        <v>178</v>
      </c>
      <c r="L4041" s="10" t="str">
        <f>VLOOKUP(K4041,Accounts!A:B,2,FALSE)</f>
        <v>SCB</v>
      </c>
      <c r="M4041" t="s">
        <v>123</v>
      </c>
      <c r="N4041" s="10" t="str">
        <f>VLOOKUP(M4041,Accounts!A:B,2,FALSE)</f>
        <v>KBank</v>
      </c>
      <c r="O4041" t="s">
        <v>125</v>
      </c>
      <c r="Q4041" t="s">
        <v>126</v>
      </c>
      <c r="R4041" t="s">
        <v>124</v>
      </c>
      <c r="S4041" t="b">
        <v>0</v>
      </c>
      <c r="T4041" t="s">
        <v>124</v>
      </c>
    </row>
    <row r="4042">
      <c r="A4042" t="s">
        <v>7222</v>
      </c>
      <c r="B4042" t="s">
        <v>7221</v>
      </c>
      <c r="C4042" s="2">
        <v>2021</v>
      </c>
      <c r="D4042" s="10">
        <v>7</v>
      </c>
      <c r="E4042" s="10">
        <v>26</v>
      </c>
      <c r="F4042" t="s">
        <v>1259</v>
      </c>
      <c r="G4042">
        <v>1415.1700000000001</v>
      </c>
      <c r="H4042" t="s">
        <v>69</v>
      </c>
      <c r="I4042" t="s">
        <v>139</v>
      </c>
      <c r="J4042" s="10" t="str">
        <f>VLOOKUP(I4042,Categories!A:B,2,FALSE)</f>
        <v>Condo</v>
      </c>
      <c r="K4042" t="s">
        <v>123</v>
      </c>
      <c r="L4042" s="10" t="str">
        <f>VLOOKUP(K4042,Accounts!A:B,2,FALSE)</f>
        <v>KBank</v>
      </c>
      <c r="M4042" t="s">
        <v>124</v>
      </c>
      <c r="N4042" s="10"/>
      <c r="O4042" t="s">
        <v>7223</v>
      </c>
      <c r="Q4042" t="s">
        <v>126</v>
      </c>
      <c r="R4042" t="s">
        <v>124</v>
      </c>
      <c r="S4042" t="b">
        <v>0</v>
      </c>
      <c r="T4042" t="s">
        <v>124</v>
      </c>
    </row>
    <row r="4043">
      <c r="A4043" t="s">
        <v>7224</v>
      </c>
      <c r="B4043" t="s">
        <v>7225</v>
      </c>
      <c r="C4043" s="2">
        <v>2021</v>
      </c>
      <c r="D4043" s="10">
        <v>7</v>
      </c>
      <c r="E4043" s="10">
        <v>25</v>
      </c>
      <c r="F4043" t="s">
        <v>121</v>
      </c>
      <c r="G4043">
        <v>167.22999999999999</v>
      </c>
      <c r="H4043" t="s">
        <v>69</v>
      </c>
      <c r="I4043" t="s">
        <v>443</v>
      </c>
      <c r="J4043" s="10" t="str">
        <f>VLOOKUP(I4043,Categories!A:B,2,FALSE)</f>
        <v xml:space="preserve">City SV Interest</v>
      </c>
      <c r="K4043" t="s">
        <v>178</v>
      </c>
      <c r="L4043" s="10" t="str">
        <f>VLOOKUP(K4043,Accounts!A:B,2,FALSE)</f>
        <v>SCB</v>
      </c>
      <c r="M4043" t="s">
        <v>124</v>
      </c>
      <c r="N4043" s="10"/>
      <c r="O4043" t="s">
        <v>125</v>
      </c>
      <c r="Q4043" t="s">
        <v>126</v>
      </c>
      <c r="R4043" t="s">
        <v>124</v>
      </c>
      <c r="S4043" t="b">
        <v>0</v>
      </c>
      <c r="T4043" t="s">
        <v>124</v>
      </c>
    </row>
    <row r="4044">
      <c r="A4044" t="s">
        <v>7226</v>
      </c>
      <c r="B4044" t="s">
        <v>7225</v>
      </c>
      <c r="C4044" s="2">
        <v>2021</v>
      </c>
      <c r="D4044" s="10">
        <v>7</v>
      </c>
      <c r="E4044" s="10">
        <v>25</v>
      </c>
      <c r="F4044" t="s">
        <v>121</v>
      </c>
      <c r="G4044">
        <v>733.87</v>
      </c>
      <c r="H4044" t="s">
        <v>69</v>
      </c>
      <c r="I4044" t="s">
        <v>199</v>
      </c>
      <c r="J4044" s="10" t="str">
        <f>VLOOKUP(I4044,Categories!A:B,2,FALSE)</f>
        <v xml:space="preserve">Home Chomthong Interest</v>
      </c>
      <c r="K4044" t="s">
        <v>178</v>
      </c>
      <c r="L4044" s="10" t="str">
        <f>VLOOKUP(K4044,Accounts!A:B,2,FALSE)</f>
        <v>SCB</v>
      </c>
      <c r="M4044" t="s">
        <v>124</v>
      </c>
      <c r="N4044" s="10"/>
      <c r="O4044" t="s">
        <v>125</v>
      </c>
      <c r="Q4044" t="s">
        <v>126</v>
      </c>
      <c r="R4044" t="s">
        <v>124</v>
      </c>
      <c r="S4044" t="b">
        <v>0</v>
      </c>
      <c r="T4044" t="s">
        <v>124</v>
      </c>
    </row>
    <row r="4045">
      <c r="A4045" t="s">
        <v>7227</v>
      </c>
      <c r="B4045" t="s">
        <v>7225</v>
      </c>
      <c r="C4045" s="2">
        <v>2021</v>
      </c>
      <c r="D4045" s="10">
        <v>7</v>
      </c>
      <c r="E4045" s="10">
        <v>25</v>
      </c>
      <c r="F4045" t="s">
        <v>121</v>
      </c>
      <c r="G4045">
        <v>9240</v>
      </c>
      <c r="H4045" t="s">
        <v>128</v>
      </c>
      <c r="I4045" t="s">
        <v>136</v>
      </c>
      <c r="J4045" s="10" t="str">
        <f>VLOOKUP(I4045,Categories!A:B,2,FALSE)</f>
        <v>อื่นๆ</v>
      </c>
      <c r="K4045" t="s">
        <v>178</v>
      </c>
      <c r="L4045" s="10" t="str">
        <f>VLOOKUP(K4045,Accounts!A:B,2,FALSE)</f>
        <v>SCB</v>
      </c>
      <c r="M4045" t="s">
        <v>1246</v>
      </c>
      <c r="N4045" s="10" t="str">
        <f>VLOOKUP(M4045,Accounts!A:B,2,FALSE)</f>
        <v xml:space="preserve">Car Loan</v>
      </c>
      <c r="O4045" t="s">
        <v>125</v>
      </c>
      <c r="Q4045" t="s">
        <v>126</v>
      </c>
      <c r="R4045" t="s">
        <v>124</v>
      </c>
      <c r="S4045" t="b">
        <v>0</v>
      </c>
      <c r="T4045" t="s">
        <v>124</v>
      </c>
    </row>
    <row r="4046">
      <c r="A4046" t="s">
        <v>7228</v>
      </c>
      <c r="B4046" t="s">
        <v>7225</v>
      </c>
      <c r="C4046" s="2">
        <v>2021</v>
      </c>
      <c r="D4046" s="10">
        <v>7</v>
      </c>
      <c r="E4046" s="10">
        <v>25</v>
      </c>
      <c r="F4046" t="s">
        <v>121</v>
      </c>
      <c r="G4046">
        <v>6665</v>
      </c>
      <c r="H4046" t="s">
        <v>128</v>
      </c>
      <c r="I4046" t="s">
        <v>136</v>
      </c>
      <c r="J4046" s="10" t="str">
        <f>VLOOKUP(I4046,Categories!A:B,2,FALSE)</f>
        <v>อื่นๆ</v>
      </c>
      <c r="K4046" t="s">
        <v>178</v>
      </c>
      <c r="L4046" s="10" t="str">
        <f>VLOOKUP(K4046,Accounts!A:B,2,FALSE)</f>
        <v>SCB</v>
      </c>
      <c r="M4046" t="s">
        <v>1244</v>
      </c>
      <c r="N4046" s="10" t="str">
        <f>VLOOKUP(M4046,Accounts!A:B,2,FALSE)</f>
        <v xml:space="preserve">Home chomthong Loan</v>
      </c>
      <c r="O4046" t="s">
        <v>125</v>
      </c>
      <c r="Q4046" t="s">
        <v>126</v>
      </c>
      <c r="R4046" t="s">
        <v>124</v>
      </c>
      <c r="S4046" t="b">
        <v>0</v>
      </c>
      <c r="T4046" t="s">
        <v>124</v>
      </c>
    </row>
    <row r="4047">
      <c r="A4047" t="s">
        <v>7229</v>
      </c>
      <c r="B4047" t="s">
        <v>7225</v>
      </c>
      <c r="C4047" s="2">
        <v>2021</v>
      </c>
      <c r="D4047" s="10">
        <v>7</v>
      </c>
      <c r="E4047" s="10">
        <v>25</v>
      </c>
      <c r="F4047" t="s">
        <v>121</v>
      </c>
      <c r="G4047">
        <v>500</v>
      </c>
      <c r="H4047" t="s">
        <v>128</v>
      </c>
      <c r="I4047" t="s">
        <v>136</v>
      </c>
      <c r="J4047" s="10" t="str">
        <f>VLOOKUP(I4047,Categories!A:B,2,FALSE)</f>
        <v>อื่นๆ</v>
      </c>
      <c r="K4047" t="s">
        <v>178</v>
      </c>
      <c r="L4047" s="10" t="str">
        <f>VLOOKUP(K4047,Accounts!A:B,2,FALSE)</f>
        <v>SCB</v>
      </c>
      <c r="M4047" t="s">
        <v>201</v>
      </c>
      <c r="N4047" s="10" t="str">
        <f>VLOOKUP(M4047,Accounts!A:B,2,FALSE)</f>
        <v>Coop</v>
      </c>
      <c r="O4047" t="s">
        <v>125</v>
      </c>
      <c r="Q4047" t="s">
        <v>126</v>
      </c>
      <c r="R4047" t="s">
        <v>124</v>
      </c>
      <c r="S4047" t="b">
        <v>0</v>
      </c>
      <c r="T4047" t="s">
        <v>124</v>
      </c>
    </row>
    <row r="4048">
      <c r="A4048" t="s">
        <v>7230</v>
      </c>
      <c r="B4048" t="s">
        <v>7225</v>
      </c>
      <c r="C4048" s="2">
        <v>2021</v>
      </c>
      <c r="D4048" s="10">
        <v>7</v>
      </c>
      <c r="E4048" s="10">
        <v>25</v>
      </c>
      <c r="F4048" t="s">
        <v>121</v>
      </c>
      <c r="G4048">
        <v>1917.8</v>
      </c>
      <c r="H4048" t="s">
        <v>128</v>
      </c>
      <c r="I4048" t="s">
        <v>136</v>
      </c>
      <c r="J4048" s="10" t="str">
        <f>VLOOKUP(I4048,Categories!A:B,2,FALSE)</f>
        <v>อื่นๆ</v>
      </c>
      <c r="K4048" t="s">
        <v>178</v>
      </c>
      <c r="L4048" s="10" t="str">
        <f>VLOOKUP(K4048,Accounts!A:B,2,FALSE)</f>
        <v>SCB</v>
      </c>
      <c r="M4048" t="s">
        <v>203</v>
      </c>
      <c r="N4048" s="10" t="str">
        <f>VLOOKUP(M4048,Accounts!A:B,2,FALSE)</f>
        <v xml:space="preserve">Provident Fund</v>
      </c>
      <c r="O4048" t="s">
        <v>125</v>
      </c>
      <c r="Q4048" t="s">
        <v>126</v>
      </c>
      <c r="R4048" t="s">
        <v>124</v>
      </c>
      <c r="S4048" t="b">
        <v>0</v>
      </c>
      <c r="T4048" t="s">
        <v>124</v>
      </c>
    </row>
    <row r="4049">
      <c r="A4049" t="s">
        <v>7231</v>
      </c>
      <c r="B4049" t="s">
        <v>7225</v>
      </c>
      <c r="C4049" s="2">
        <v>2021</v>
      </c>
      <c r="D4049" s="10">
        <v>7</v>
      </c>
      <c r="E4049" s="10">
        <v>25</v>
      </c>
      <c r="F4049" t="s">
        <v>121</v>
      </c>
      <c r="G4049">
        <v>95890</v>
      </c>
      <c r="H4049" t="s">
        <v>206</v>
      </c>
      <c r="I4049" t="s">
        <v>207</v>
      </c>
      <c r="J4049" s="10" t="str">
        <f>VLOOKUP(I4049,Categories!A:B,2,FALSE)</f>
        <v>Salary</v>
      </c>
      <c r="K4049" t="s">
        <v>178</v>
      </c>
      <c r="L4049" s="10" t="str">
        <f>VLOOKUP(K4049,Accounts!A:B,2,FALSE)</f>
        <v>SCB</v>
      </c>
      <c r="M4049" t="s">
        <v>124</v>
      </c>
      <c r="N4049" s="10"/>
      <c r="O4049" t="s">
        <v>125</v>
      </c>
      <c r="Q4049" t="s">
        <v>126</v>
      </c>
      <c r="R4049" t="s">
        <v>124</v>
      </c>
      <c r="S4049" t="b">
        <v>0</v>
      </c>
      <c r="T4049" t="s">
        <v>124</v>
      </c>
    </row>
    <row r="4050">
      <c r="A4050" t="s">
        <v>7232</v>
      </c>
      <c r="B4050" t="s">
        <v>7225</v>
      </c>
      <c r="C4050" s="2">
        <v>2021</v>
      </c>
      <c r="D4050" s="10">
        <v>7</v>
      </c>
      <c r="E4050" s="10">
        <v>25</v>
      </c>
      <c r="F4050" t="s">
        <v>1925</v>
      </c>
      <c r="G4050">
        <v>90</v>
      </c>
      <c r="H4050" t="s">
        <v>128</v>
      </c>
      <c r="I4050" t="s">
        <v>136</v>
      </c>
      <c r="J4050" s="10" t="str">
        <f>VLOOKUP(I4050,Categories!A:B,2,FALSE)</f>
        <v>อื่นๆ</v>
      </c>
      <c r="K4050" t="s">
        <v>893</v>
      </c>
      <c r="L4050" s="10" t="str">
        <f>VLOOKUP(K4050,Accounts!A:B,2,FALSE)</f>
        <v>Shopee</v>
      </c>
      <c r="M4050" t="s">
        <v>178</v>
      </c>
      <c r="N4050" s="10" t="str">
        <f>VLOOKUP(M4050,Accounts!A:B,2,FALSE)</f>
        <v>SCB</v>
      </c>
      <c r="O4050" t="s">
        <v>7233</v>
      </c>
      <c r="Q4050" t="s">
        <v>126</v>
      </c>
      <c r="R4050" t="s">
        <v>124</v>
      </c>
      <c r="S4050" t="b">
        <v>0</v>
      </c>
      <c r="T4050" t="s">
        <v>124</v>
      </c>
    </row>
    <row r="4051">
      <c r="A4051" t="s">
        <v>7234</v>
      </c>
      <c r="B4051" t="s">
        <v>7225</v>
      </c>
      <c r="C4051" s="2">
        <v>2021</v>
      </c>
      <c r="D4051" s="10">
        <v>7</v>
      </c>
      <c r="E4051" s="10">
        <v>25</v>
      </c>
      <c r="F4051" t="s">
        <v>2004</v>
      </c>
      <c r="G4051">
        <v>118</v>
      </c>
      <c r="H4051" t="s">
        <v>69</v>
      </c>
      <c r="I4051" t="s">
        <v>150</v>
      </c>
      <c r="J4051" s="10" t="str">
        <f>VLOOKUP(I4051,Categories!A:B,2,FALSE)</f>
        <v xml:space="preserve">Food &amp; Coff</v>
      </c>
      <c r="K4051" t="s">
        <v>893</v>
      </c>
      <c r="L4051" s="10" t="str">
        <f>VLOOKUP(K4051,Accounts!A:B,2,FALSE)</f>
        <v>Shopee</v>
      </c>
      <c r="M4051" t="s">
        <v>124</v>
      </c>
      <c r="N4051" s="10"/>
      <c r="O4051" t="s">
        <v>7235</v>
      </c>
      <c r="Q4051" t="s">
        <v>126</v>
      </c>
      <c r="R4051" t="s">
        <v>124</v>
      </c>
      <c r="S4051" t="b">
        <v>0</v>
      </c>
      <c r="T4051" t="s">
        <v>124</v>
      </c>
    </row>
    <row r="4052">
      <c r="A4052" t="s">
        <v>7236</v>
      </c>
      <c r="B4052" t="s">
        <v>7237</v>
      </c>
      <c r="C4052" s="2">
        <v>2021</v>
      </c>
      <c r="D4052" s="10">
        <v>7</v>
      </c>
      <c r="E4052" s="10">
        <v>20</v>
      </c>
      <c r="F4052" t="s">
        <v>4244</v>
      </c>
      <c r="G4052">
        <v>14401.5</v>
      </c>
      <c r="H4052" t="s">
        <v>69</v>
      </c>
      <c r="I4052" t="s">
        <v>1508</v>
      </c>
      <c r="J4052" s="10" t="str">
        <f>VLOOKUP(I4052,Categories!A:B,2,FALSE)</f>
        <v>Other</v>
      </c>
      <c r="K4052" t="s">
        <v>1308</v>
      </c>
      <c r="L4052" s="10" t="str">
        <f>VLOOKUP(K4052,Accounts!A:B,2,FALSE)</f>
        <v xml:space="preserve">UOB Privilages</v>
      </c>
      <c r="M4052" t="s">
        <v>124</v>
      </c>
      <c r="N4052" s="10"/>
      <c r="O4052" t="s">
        <v>7238</v>
      </c>
      <c r="Q4052" t="s">
        <v>126</v>
      </c>
      <c r="R4052" t="s">
        <v>124</v>
      </c>
      <c r="S4052" t="b">
        <v>0</v>
      </c>
      <c r="T4052" t="s">
        <v>124</v>
      </c>
    </row>
    <row r="4053">
      <c r="A4053" t="s">
        <v>7239</v>
      </c>
      <c r="B4053" t="s">
        <v>7240</v>
      </c>
      <c r="C4053" s="2">
        <v>2021</v>
      </c>
      <c r="D4053" s="10">
        <v>7</v>
      </c>
      <c r="E4053" s="10">
        <v>18</v>
      </c>
      <c r="F4053" t="s">
        <v>373</v>
      </c>
      <c r="G4053">
        <v>25476</v>
      </c>
      <c r="H4053" t="s">
        <v>69</v>
      </c>
      <c r="I4053" t="s">
        <v>1508</v>
      </c>
      <c r="J4053" s="10" t="str">
        <f>VLOOKUP(I4053,Categories!A:B,2,FALSE)</f>
        <v>Other</v>
      </c>
      <c r="K4053" t="s">
        <v>178</v>
      </c>
      <c r="L4053" s="10" t="str">
        <f>VLOOKUP(K4053,Accounts!A:B,2,FALSE)</f>
        <v>SCB</v>
      </c>
      <c r="M4053" t="s">
        <v>124</v>
      </c>
      <c r="N4053" s="10"/>
      <c r="O4053" t="s">
        <v>7241</v>
      </c>
      <c r="Q4053" t="s">
        <v>126</v>
      </c>
      <c r="R4053" t="s">
        <v>124</v>
      </c>
      <c r="S4053" t="b">
        <v>0</v>
      </c>
      <c r="T4053" t="s">
        <v>124</v>
      </c>
    </row>
    <row r="4054">
      <c r="A4054" t="s">
        <v>7242</v>
      </c>
      <c r="B4054" t="s">
        <v>7240</v>
      </c>
      <c r="C4054" s="2">
        <v>2021</v>
      </c>
      <c r="D4054" s="10">
        <v>7</v>
      </c>
      <c r="E4054" s="10">
        <v>18</v>
      </c>
      <c r="F4054" t="s">
        <v>4102</v>
      </c>
      <c r="G4054">
        <v>1781</v>
      </c>
      <c r="H4054" t="s">
        <v>69</v>
      </c>
      <c r="I4054" t="s">
        <v>1508</v>
      </c>
      <c r="J4054" s="10" t="str">
        <f>VLOOKUP(I4054,Categories!A:B,2,FALSE)</f>
        <v>Other</v>
      </c>
      <c r="K4054" t="s">
        <v>743</v>
      </c>
      <c r="L4054" s="10" t="str">
        <f>VLOOKUP(K4054,Accounts!A:B,2,FALSE)</f>
        <v>HOMEPRO</v>
      </c>
      <c r="M4054" t="s">
        <v>124</v>
      </c>
      <c r="N4054" s="10"/>
      <c r="O4054" t="s">
        <v>7243</v>
      </c>
      <c r="Q4054" t="s">
        <v>126</v>
      </c>
      <c r="R4054" t="s">
        <v>124</v>
      </c>
      <c r="S4054" t="b">
        <v>0</v>
      </c>
      <c r="T4054" t="s">
        <v>124</v>
      </c>
    </row>
    <row r="4055">
      <c r="A4055" t="s">
        <v>7244</v>
      </c>
      <c r="B4055" t="s">
        <v>7245</v>
      </c>
      <c r="C4055" s="2">
        <v>2021</v>
      </c>
      <c r="D4055" s="10">
        <v>7</v>
      </c>
      <c r="E4055" s="10">
        <v>15</v>
      </c>
      <c r="F4055" t="s">
        <v>121</v>
      </c>
      <c r="G4055">
        <v>315</v>
      </c>
      <c r="H4055" t="s">
        <v>128</v>
      </c>
      <c r="I4055" t="s">
        <v>136</v>
      </c>
      <c r="J4055" s="10" t="str">
        <f>VLOOKUP(I4055,Categories!A:B,2,FALSE)</f>
        <v>อื่นๆ</v>
      </c>
      <c r="K4055" t="s">
        <v>178</v>
      </c>
      <c r="L4055" s="10" t="str">
        <f>VLOOKUP(K4055,Accounts!A:B,2,FALSE)</f>
        <v>SCB</v>
      </c>
      <c r="M4055" t="s">
        <v>1311</v>
      </c>
      <c r="N4055" s="10" t="str">
        <f>VLOOKUP(M4055,Accounts!A:B,2,FALSE)</f>
        <v xml:space="preserve">Netflix in Adv</v>
      </c>
      <c r="O4055" t="s">
        <v>125</v>
      </c>
      <c r="Q4055" t="s">
        <v>126</v>
      </c>
      <c r="R4055" t="s">
        <v>124</v>
      </c>
      <c r="S4055" t="b">
        <v>0</v>
      </c>
      <c r="T4055" t="s">
        <v>124</v>
      </c>
    </row>
    <row r="4056">
      <c r="A4056" t="s">
        <v>7246</v>
      </c>
      <c r="B4056" t="s">
        <v>7247</v>
      </c>
      <c r="C4056" s="2">
        <v>2021</v>
      </c>
      <c r="D4056" s="10">
        <v>7</v>
      </c>
      <c r="E4056" s="10">
        <v>14</v>
      </c>
      <c r="F4056" t="s">
        <v>367</v>
      </c>
      <c r="G4056">
        <v>890</v>
      </c>
      <c r="H4056" t="s">
        <v>69</v>
      </c>
      <c r="I4056" t="s">
        <v>1508</v>
      </c>
      <c r="J4056" s="10" t="str">
        <f>VLOOKUP(I4056,Categories!A:B,2,FALSE)</f>
        <v>Other</v>
      </c>
      <c r="K4056" t="s">
        <v>178</v>
      </c>
      <c r="L4056" s="10" t="str">
        <f>VLOOKUP(K4056,Accounts!A:B,2,FALSE)</f>
        <v>SCB</v>
      </c>
      <c r="M4056" t="s">
        <v>124</v>
      </c>
      <c r="N4056" s="10"/>
      <c r="O4056" t="s">
        <v>7248</v>
      </c>
      <c r="Q4056" t="s">
        <v>126</v>
      </c>
      <c r="R4056" t="s">
        <v>124</v>
      </c>
      <c r="S4056" t="b">
        <v>0</v>
      </c>
      <c r="T4056" t="s">
        <v>124</v>
      </c>
    </row>
    <row r="4057">
      <c r="A4057" t="s">
        <v>7249</v>
      </c>
      <c r="B4057" t="s">
        <v>7250</v>
      </c>
      <c r="C4057" s="2">
        <v>2021</v>
      </c>
      <c r="D4057" s="10">
        <v>7</v>
      </c>
      <c r="E4057" s="10">
        <v>11</v>
      </c>
      <c r="F4057" t="s">
        <v>1032</v>
      </c>
      <c r="G4057">
        <v>11265.17</v>
      </c>
      <c r="H4057" t="s">
        <v>128</v>
      </c>
      <c r="I4057" t="s">
        <v>136</v>
      </c>
      <c r="J4057" s="10" t="str">
        <f>VLOOKUP(I4057,Categories!A:B,2,FALSE)</f>
        <v>อื่นๆ</v>
      </c>
      <c r="K4057" t="s">
        <v>178</v>
      </c>
      <c r="L4057" s="10" t="str">
        <f>VLOOKUP(K4057,Accounts!A:B,2,FALSE)</f>
        <v>SCB</v>
      </c>
      <c r="M4057" t="s">
        <v>743</v>
      </c>
      <c r="N4057" s="10" t="str">
        <f>VLOOKUP(M4057,Accounts!A:B,2,FALSE)</f>
        <v>HOMEPRO</v>
      </c>
      <c r="O4057" t="s">
        <v>7251</v>
      </c>
      <c r="Q4057" t="s">
        <v>126</v>
      </c>
      <c r="R4057" t="s">
        <v>124</v>
      </c>
      <c r="S4057" t="b">
        <v>0</v>
      </c>
      <c r="T4057" t="s">
        <v>124</v>
      </c>
    </row>
    <row r="4058">
      <c r="A4058" t="s">
        <v>7252</v>
      </c>
      <c r="B4058" t="s">
        <v>7250</v>
      </c>
      <c r="C4058" s="2">
        <v>2021</v>
      </c>
      <c r="D4058" s="10">
        <v>7</v>
      </c>
      <c r="E4058" s="10">
        <v>11</v>
      </c>
      <c r="F4058" t="s">
        <v>3595</v>
      </c>
      <c r="G4058">
        <v>746.89999999999998</v>
      </c>
      <c r="H4058" t="s">
        <v>69</v>
      </c>
      <c r="I4058" t="s">
        <v>1508</v>
      </c>
      <c r="J4058" s="10" t="str">
        <f>VLOOKUP(I4058,Categories!A:B,2,FALSE)</f>
        <v>Other</v>
      </c>
      <c r="K4058" t="s">
        <v>743</v>
      </c>
      <c r="L4058" s="10" t="str">
        <f>VLOOKUP(K4058,Accounts!A:B,2,FALSE)</f>
        <v>HOMEPRO</v>
      </c>
      <c r="M4058" t="s">
        <v>124</v>
      </c>
      <c r="N4058" s="10"/>
      <c r="O4058" t="s">
        <v>1680</v>
      </c>
      <c r="Q4058" t="s">
        <v>126</v>
      </c>
      <c r="R4058" t="s">
        <v>124</v>
      </c>
      <c r="S4058" t="b">
        <v>0</v>
      </c>
      <c r="T4058" t="s">
        <v>124</v>
      </c>
    </row>
    <row r="4059">
      <c r="A4059" t="s">
        <v>7253</v>
      </c>
      <c r="B4059" t="s">
        <v>7254</v>
      </c>
      <c r="C4059" s="2">
        <v>2021</v>
      </c>
      <c r="D4059" s="10">
        <v>7</v>
      </c>
      <c r="E4059" s="10">
        <v>10</v>
      </c>
      <c r="F4059" t="s">
        <v>2972</v>
      </c>
      <c r="G4059">
        <v>2522</v>
      </c>
      <c r="H4059" t="s">
        <v>69</v>
      </c>
      <c r="I4059" t="s">
        <v>1508</v>
      </c>
      <c r="J4059" s="10" t="str">
        <f>VLOOKUP(I4059,Categories!A:B,2,FALSE)</f>
        <v>Other</v>
      </c>
      <c r="K4059" t="s">
        <v>743</v>
      </c>
      <c r="L4059" s="10" t="str">
        <f>VLOOKUP(K4059,Accounts!A:B,2,FALSE)</f>
        <v>HOMEPRO</v>
      </c>
      <c r="M4059" t="s">
        <v>124</v>
      </c>
      <c r="N4059" s="10"/>
      <c r="O4059" t="s">
        <v>7255</v>
      </c>
      <c r="Q4059" t="s">
        <v>126</v>
      </c>
      <c r="R4059" t="s">
        <v>124</v>
      </c>
      <c r="S4059" t="b">
        <v>0</v>
      </c>
      <c r="T4059" t="s">
        <v>124</v>
      </c>
    </row>
    <row r="4060">
      <c r="A4060" t="s">
        <v>7256</v>
      </c>
      <c r="B4060" t="s">
        <v>7254</v>
      </c>
      <c r="C4060" s="2">
        <v>2021</v>
      </c>
      <c r="D4060" s="10">
        <v>7</v>
      </c>
      <c r="E4060" s="10">
        <v>10</v>
      </c>
      <c r="F4060" t="s">
        <v>3450</v>
      </c>
      <c r="G4060">
        <v>4566</v>
      </c>
      <c r="H4060" t="s">
        <v>69</v>
      </c>
      <c r="I4060" t="s">
        <v>1508</v>
      </c>
      <c r="J4060" s="10" t="str">
        <f>VLOOKUP(I4060,Categories!A:B,2,FALSE)</f>
        <v>Other</v>
      </c>
      <c r="K4060" t="s">
        <v>743</v>
      </c>
      <c r="L4060" s="10" t="str">
        <f>VLOOKUP(K4060,Accounts!A:B,2,FALSE)</f>
        <v>HOMEPRO</v>
      </c>
      <c r="M4060" t="s">
        <v>124</v>
      </c>
      <c r="N4060" s="10"/>
      <c r="O4060" t="s">
        <v>7257</v>
      </c>
      <c r="Q4060" t="s">
        <v>126</v>
      </c>
      <c r="R4060" t="s">
        <v>124</v>
      </c>
      <c r="S4060" t="b">
        <v>0</v>
      </c>
      <c r="T4060" t="s">
        <v>124</v>
      </c>
    </row>
    <row r="4061">
      <c r="A4061" t="s">
        <v>7258</v>
      </c>
      <c r="B4061" t="s">
        <v>7254</v>
      </c>
      <c r="C4061" s="2">
        <v>2021</v>
      </c>
      <c r="D4061" s="10">
        <v>7</v>
      </c>
      <c r="E4061" s="10">
        <v>10</v>
      </c>
      <c r="F4061" t="s">
        <v>3450</v>
      </c>
      <c r="G4061">
        <v>694.20000000000005</v>
      </c>
      <c r="H4061" t="s">
        <v>69</v>
      </c>
      <c r="I4061" t="s">
        <v>1508</v>
      </c>
      <c r="J4061" s="10" t="str">
        <f>VLOOKUP(I4061,Categories!A:B,2,FALSE)</f>
        <v>Other</v>
      </c>
      <c r="K4061" t="s">
        <v>743</v>
      </c>
      <c r="L4061" s="10" t="str">
        <f>VLOOKUP(K4061,Accounts!A:B,2,FALSE)</f>
        <v>HOMEPRO</v>
      </c>
      <c r="M4061" t="s">
        <v>124</v>
      </c>
      <c r="N4061" s="10"/>
      <c r="O4061" t="s">
        <v>7259</v>
      </c>
      <c r="Q4061" t="s">
        <v>126</v>
      </c>
      <c r="R4061" t="s">
        <v>124</v>
      </c>
      <c r="S4061" t="b">
        <v>0</v>
      </c>
      <c r="T4061" t="s">
        <v>124</v>
      </c>
    </row>
    <row r="4062">
      <c r="A4062" t="s">
        <v>7260</v>
      </c>
      <c r="B4062" t="s">
        <v>7261</v>
      </c>
      <c r="C4062" s="2">
        <v>2021</v>
      </c>
      <c r="D4062" s="10">
        <v>7</v>
      </c>
      <c r="E4062" s="10">
        <v>6</v>
      </c>
      <c r="F4062" t="s">
        <v>380</v>
      </c>
      <c r="G4062">
        <v>25000</v>
      </c>
      <c r="H4062" t="s">
        <v>69</v>
      </c>
      <c r="I4062" t="s">
        <v>1508</v>
      </c>
      <c r="J4062" s="10" t="str">
        <f>VLOOKUP(I4062,Categories!A:B,2,FALSE)</f>
        <v>Other</v>
      </c>
      <c r="K4062" t="s">
        <v>130</v>
      </c>
      <c r="L4062" s="10" t="str">
        <f>VLOOKUP(K4062,Accounts!A:B,2,FALSE)</f>
        <v xml:space="preserve">KTC JCB</v>
      </c>
      <c r="M4062" t="s">
        <v>124</v>
      </c>
      <c r="N4062" s="10"/>
      <c r="O4062" t="s">
        <v>7262</v>
      </c>
      <c r="Q4062" t="s">
        <v>126</v>
      </c>
      <c r="R4062" t="s">
        <v>124</v>
      </c>
      <c r="S4062" t="b">
        <v>0</v>
      </c>
      <c r="T4062" t="s">
        <v>124</v>
      </c>
    </row>
    <row r="4063">
      <c r="A4063" t="s">
        <v>7263</v>
      </c>
      <c r="B4063" t="s">
        <v>7264</v>
      </c>
      <c r="C4063" s="2">
        <v>2021</v>
      </c>
      <c r="D4063" s="10">
        <v>7</v>
      </c>
      <c r="E4063" s="10">
        <v>4</v>
      </c>
      <c r="F4063" t="s">
        <v>361</v>
      </c>
      <c r="G4063">
        <v>960</v>
      </c>
      <c r="H4063" t="s">
        <v>69</v>
      </c>
      <c r="I4063" t="s">
        <v>1508</v>
      </c>
      <c r="J4063" s="10" t="str">
        <f>VLOOKUP(I4063,Categories!A:B,2,FALSE)</f>
        <v>Other</v>
      </c>
      <c r="K4063" t="s">
        <v>743</v>
      </c>
      <c r="L4063" s="10" t="str">
        <f>VLOOKUP(K4063,Accounts!A:B,2,FALSE)</f>
        <v>HOMEPRO</v>
      </c>
      <c r="M4063" t="s">
        <v>124</v>
      </c>
      <c r="N4063" s="10"/>
      <c r="O4063" t="s">
        <v>7265</v>
      </c>
      <c r="Q4063" t="s">
        <v>126</v>
      </c>
      <c r="R4063" t="s">
        <v>124</v>
      </c>
      <c r="S4063" t="b">
        <v>0</v>
      </c>
      <c r="T4063" t="s">
        <v>124</v>
      </c>
    </row>
    <row r="4064">
      <c r="A4064" t="s">
        <v>7266</v>
      </c>
      <c r="B4064" t="s">
        <v>7267</v>
      </c>
      <c r="C4064" s="2">
        <v>2021</v>
      </c>
      <c r="D4064" s="10">
        <v>7</v>
      </c>
      <c r="E4064" s="10">
        <v>1</v>
      </c>
      <c r="F4064" t="s">
        <v>367</v>
      </c>
      <c r="G4064">
        <v>3900</v>
      </c>
      <c r="H4064" t="s">
        <v>69</v>
      </c>
      <c r="I4064" t="s">
        <v>1508</v>
      </c>
      <c r="J4064" s="10" t="str">
        <f>VLOOKUP(I4064,Categories!A:B,2,FALSE)</f>
        <v>Other</v>
      </c>
      <c r="K4064" t="s">
        <v>178</v>
      </c>
      <c r="L4064" s="10" t="str">
        <f>VLOOKUP(K4064,Accounts!A:B,2,FALSE)</f>
        <v>SCB</v>
      </c>
      <c r="M4064" t="s">
        <v>124</v>
      </c>
      <c r="N4064" s="10"/>
      <c r="O4064" t="s">
        <v>7268</v>
      </c>
      <c r="Q4064" t="s">
        <v>126</v>
      </c>
      <c r="R4064" t="s">
        <v>124</v>
      </c>
      <c r="S4064" t="b">
        <v>0</v>
      </c>
      <c r="T4064" t="s">
        <v>124</v>
      </c>
    </row>
    <row r="4065">
      <c r="A4065" t="s">
        <v>7269</v>
      </c>
      <c r="B4065" t="s">
        <v>7267</v>
      </c>
      <c r="C4065" s="2">
        <v>2021</v>
      </c>
      <c r="D4065" s="10">
        <v>7</v>
      </c>
      <c r="E4065" s="10">
        <v>1</v>
      </c>
      <c r="F4065" t="s">
        <v>3704</v>
      </c>
      <c r="G4065">
        <v>2400</v>
      </c>
      <c r="H4065" t="s">
        <v>69</v>
      </c>
      <c r="I4065" t="s">
        <v>1508</v>
      </c>
      <c r="J4065" s="10" t="str">
        <f>VLOOKUP(I4065,Categories!A:B,2,FALSE)</f>
        <v>Other</v>
      </c>
      <c r="K4065" t="s">
        <v>178</v>
      </c>
      <c r="L4065" s="10" t="str">
        <f>VLOOKUP(K4065,Accounts!A:B,2,FALSE)</f>
        <v>SCB</v>
      </c>
      <c r="M4065" t="s">
        <v>124</v>
      </c>
      <c r="N4065" s="10"/>
      <c r="O4065" t="s">
        <v>7270</v>
      </c>
      <c r="Q4065" t="s">
        <v>126</v>
      </c>
      <c r="R4065" t="s">
        <v>124</v>
      </c>
      <c r="S4065" t="b">
        <v>0</v>
      </c>
      <c r="T4065" t="s">
        <v>124</v>
      </c>
    </row>
    <row r="4066">
      <c r="A4066" t="s">
        <v>7271</v>
      </c>
      <c r="B4066" t="s">
        <v>7272</v>
      </c>
      <c r="C4066" s="2">
        <v>2021</v>
      </c>
      <c r="D4066" s="10">
        <v>6</v>
      </c>
      <c r="E4066" s="10">
        <v>10</v>
      </c>
      <c r="F4066" t="s">
        <v>2972</v>
      </c>
      <c r="G4066">
        <v>2522</v>
      </c>
      <c r="H4066" t="s">
        <v>69</v>
      </c>
      <c r="I4066" t="s">
        <v>1508</v>
      </c>
      <c r="J4066" s="10" t="str">
        <f>VLOOKUP(I4066,Categories!A:B,2,FALSE)</f>
        <v>Other</v>
      </c>
      <c r="K4066" t="s">
        <v>743</v>
      </c>
      <c r="L4066" s="10" t="str">
        <f>VLOOKUP(K4066,Accounts!A:B,2,FALSE)</f>
        <v>HOMEPRO</v>
      </c>
      <c r="M4066" t="s">
        <v>124</v>
      </c>
      <c r="N4066" s="10"/>
      <c r="O4066" t="s">
        <v>7273</v>
      </c>
      <c r="Q4066" t="s">
        <v>126</v>
      </c>
      <c r="R4066" t="s">
        <v>124</v>
      </c>
      <c r="S4066" t="b">
        <v>0</v>
      </c>
      <c r="T4066" t="s">
        <v>124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2" width="21.125"/>
  </cols>
  <sheetData>
    <row r="1">
      <c r="A1" t="s">
        <v>103</v>
      </c>
      <c r="B1" t="s">
        <v>7274</v>
      </c>
      <c r="C1" t="s">
        <v>7275</v>
      </c>
      <c r="D1" t="s">
        <v>7276</v>
      </c>
      <c r="E1" t="s">
        <v>7277</v>
      </c>
      <c r="F1" t="s">
        <v>7278</v>
      </c>
      <c r="G1" t="s">
        <v>7279</v>
      </c>
      <c r="H1" t="s">
        <v>7280</v>
      </c>
      <c r="I1" t="s">
        <v>7281</v>
      </c>
      <c r="J1" t="s">
        <v>7282</v>
      </c>
    </row>
    <row r="2">
      <c r="A2" t="s">
        <v>123</v>
      </c>
      <c r="B2" t="s">
        <v>7283</v>
      </c>
      <c r="C2" t="s">
        <v>7284</v>
      </c>
      <c r="D2" t="s">
        <v>7285</v>
      </c>
      <c r="E2">
        <v>0</v>
      </c>
      <c r="F2" t="s">
        <v>7286</v>
      </c>
      <c r="G2" t="b">
        <v>1</v>
      </c>
      <c r="H2" t="b">
        <v>1</v>
      </c>
      <c r="I2" t="s">
        <v>124</v>
      </c>
      <c r="J2" t="b">
        <v>0</v>
      </c>
    </row>
    <row r="3">
      <c r="A3" t="s">
        <v>7287</v>
      </c>
      <c r="B3" t="s">
        <v>7288</v>
      </c>
      <c r="C3" t="s">
        <v>7284</v>
      </c>
      <c r="D3" t="s">
        <v>7289</v>
      </c>
      <c r="E3">
        <v>0</v>
      </c>
      <c r="F3" t="s">
        <v>7286</v>
      </c>
      <c r="G3" t="b">
        <v>1</v>
      </c>
      <c r="H3" t="b">
        <v>1</v>
      </c>
      <c r="I3" t="s">
        <v>124</v>
      </c>
      <c r="J3" t="b">
        <v>0</v>
      </c>
    </row>
    <row r="4">
      <c r="A4" t="s">
        <v>131</v>
      </c>
      <c r="B4" t="s">
        <v>7290</v>
      </c>
      <c r="C4" t="s">
        <v>7291</v>
      </c>
      <c r="D4" t="s">
        <v>7292</v>
      </c>
      <c r="E4">
        <v>0</v>
      </c>
      <c r="F4" t="s">
        <v>131</v>
      </c>
      <c r="G4" t="b">
        <v>1</v>
      </c>
      <c r="H4" t="s">
        <v>124</v>
      </c>
      <c r="I4" t="b">
        <v>1</v>
      </c>
      <c r="J4" t="b">
        <v>0</v>
      </c>
    </row>
    <row r="5">
      <c r="A5" t="s">
        <v>743</v>
      </c>
      <c r="B5" t="s">
        <v>7293</v>
      </c>
      <c r="C5" t="s">
        <v>7284</v>
      </c>
      <c r="D5" t="s">
        <v>7294</v>
      </c>
      <c r="E5">
        <v>0</v>
      </c>
      <c r="F5" t="s">
        <v>7295</v>
      </c>
      <c r="G5" t="b">
        <v>0</v>
      </c>
      <c r="H5" t="s">
        <v>124</v>
      </c>
      <c r="I5" t="s">
        <v>124</v>
      </c>
      <c r="J5" t="b">
        <v>0</v>
      </c>
    </row>
    <row r="6">
      <c r="A6" t="s">
        <v>178</v>
      </c>
      <c r="B6" t="s">
        <v>7296</v>
      </c>
      <c r="C6" t="s">
        <v>7284</v>
      </c>
      <c r="D6" t="s">
        <v>7294</v>
      </c>
      <c r="E6">
        <v>0</v>
      </c>
      <c r="F6" t="s">
        <v>7286</v>
      </c>
      <c r="G6" t="b">
        <v>0</v>
      </c>
      <c r="H6" t="s">
        <v>124</v>
      </c>
      <c r="I6" t="s">
        <v>124</v>
      </c>
      <c r="J6" t="b">
        <v>0</v>
      </c>
    </row>
    <row r="7">
      <c r="A7" t="s">
        <v>130</v>
      </c>
      <c r="B7" t="s">
        <v>7297</v>
      </c>
      <c r="C7" t="s">
        <v>7284</v>
      </c>
      <c r="D7" t="s">
        <v>7294</v>
      </c>
      <c r="E7">
        <v>0</v>
      </c>
      <c r="F7" t="s">
        <v>7295</v>
      </c>
      <c r="G7" t="b">
        <v>0</v>
      </c>
      <c r="H7" t="s">
        <v>124</v>
      </c>
      <c r="I7" t="s">
        <v>124</v>
      </c>
      <c r="J7" t="b">
        <v>0</v>
      </c>
    </row>
    <row r="8">
      <c r="A8" t="s">
        <v>1311</v>
      </c>
      <c r="B8" t="s">
        <v>7298</v>
      </c>
      <c r="C8" t="s">
        <v>7284</v>
      </c>
      <c r="D8" t="s">
        <v>7294</v>
      </c>
      <c r="E8">
        <v>0</v>
      </c>
      <c r="F8" t="s">
        <v>7299</v>
      </c>
      <c r="G8" t="b">
        <v>0</v>
      </c>
      <c r="H8" t="s">
        <v>124</v>
      </c>
      <c r="I8" t="s">
        <v>124</v>
      </c>
      <c r="J8" t="b">
        <v>0</v>
      </c>
    </row>
    <row r="9">
      <c r="A9" t="s">
        <v>1308</v>
      </c>
      <c r="B9" t="s">
        <v>7300</v>
      </c>
      <c r="C9" t="s">
        <v>7284</v>
      </c>
      <c r="D9" t="s">
        <v>7294</v>
      </c>
      <c r="E9">
        <v>0</v>
      </c>
      <c r="F9" t="s">
        <v>7295</v>
      </c>
      <c r="G9" t="b">
        <v>0</v>
      </c>
      <c r="H9" t="s">
        <v>124</v>
      </c>
      <c r="I9" t="s">
        <v>124</v>
      </c>
      <c r="J9" t="b">
        <v>0</v>
      </c>
    </row>
    <row r="10">
      <c r="A10" t="s">
        <v>1246</v>
      </c>
      <c r="B10" t="s">
        <v>7301</v>
      </c>
      <c r="C10" t="s">
        <v>7284</v>
      </c>
      <c r="D10" t="s">
        <v>7294</v>
      </c>
      <c r="E10">
        <v>0</v>
      </c>
      <c r="F10" t="s">
        <v>7302</v>
      </c>
      <c r="G10" t="b">
        <v>0</v>
      </c>
      <c r="H10" t="s">
        <v>124</v>
      </c>
      <c r="I10" t="s">
        <v>124</v>
      </c>
      <c r="J10" t="b">
        <v>0</v>
      </c>
    </row>
    <row r="11">
      <c r="A11" t="s">
        <v>1244</v>
      </c>
      <c r="B11" t="s">
        <v>7303</v>
      </c>
      <c r="C11" t="s">
        <v>7284</v>
      </c>
      <c r="D11" t="s">
        <v>7294</v>
      </c>
      <c r="E11">
        <v>0</v>
      </c>
      <c r="F11" t="s">
        <v>7302</v>
      </c>
      <c r="G11" t="b">
        <v>0</v>
      </c>
      <c r="H11" t="s">
        <v>124</v>
      </c>
      <c r="I11" t="s">
        <v>124</v>
      </c>
      <c r="J11" t="b">
        <v>0</v>
      </c>
    </row>
    <row r="12">
      <c r="A12" t="s">
        <v>201</v>
      </c>
      <c r="B12" t="s">
        <v>7304</v>
      </c>
      <c r="C12" t="s">
        <v>7284</v>
      </c>
      <c r="D12" t="s">
        <v>7294</v>
      </c>
      <c r="E12">
        <v>0</v>
      </c>
      <c r="F12" t="s">
        <v>7302</v>
      </c>
      <c r="G12" t="b">
        <v>0</v>
      </c>
      <c r="H12" t="s">
        <v>124</v>
      </c>
      <c r="I12" t="s">
        <v>124</v>
      </c>
      <c r="J12" t="b">
        <v>0</v>
      </c>
    </row>
    <row r="13">
      <c r="A13" t="s">
        <v>203</v>
      </c>
      <c r="B13" t="s">
        <v>7305</v>
      </c>
      <c r="C13" t="s">
        <v>7284</v>
      </c>
      <c r="D13" t="s">
        <v>7294</v>
      </c>
      <c r="E13">
        <v>0</v>
      </c>
      <c r="F13" t="s">
        <v>7302</v>
      </c>
      <c r="G13" t="b">
        <v>0</v>
      </c>
      <c r="H13" t="s">
        <v>124</v>
      </c>
      <c r="I13" t="s">
        <v>124</v>
      </c>
      <c r="J13" t="b">
        <v>0</v>
      </c>
    </row>
    <row r="14">
      <c r="A14" t="s">
        <v>893</v>
      </c>
      <c r="B14" t="s">
        <v>7306</v>
      </c>
      <c r="C14" t="s">
        <v>7284</v>
      </c>
      <c r="D14" t="s">
        <v>7294</v>
      </c>
      <c r="E14">
        <v>0</v>
      </c>
      <c r="F14" t="s">
        <v>7299</v>
      </c>
      <c r="G14" t="b">
        <v>0</v>
      </c>
      <c r="H14" t="s">
        <v>124</v>
      </c>
      <c r="I14" t="s">
        <v>124</v>
      </c>
      <c r="J14" t="b">
        <v>0</v>
      </c>
    </row>
    <row r="15">
      <c r="A15" t="s">
        <v>6537</v>
      </c>
      <c r="B15" t="s">
        <v>7307</v>
      </c>
      <c r="C15" t="s">
        <v>7284</v>
      </c>
      <c r="D15" t="s">
        <v>7294</v>
      </c>
      <c r="E15">
        <v>0</v>
      </c>
      <c r="F15" t="s">
        <v>7299</v>
      </c>
      <c r="G15" t="b">
        <v>0</v>
      </c>
      <c r="H15" t="s">
        <v>124</v>
      </c>
      <c r="I15" t="s">
        <v>124</v>
      </c>
      <c r="J15" t="b">
        <v>0</v>
      </c>
    </row>
    <row r="16">
      <c r="A16" t="s">
        <v>2317</v>
      </c>
      <c r="B16" t="s">
        <v>7308</v>
      </c>
      <c r="C16" t="s">
        <v>7284</v>
      </c>
      <c r="D16" t="s">
        <v>7294</v>
      </c>
      <c r="E16">
        <v>0</v>
      </c>
      <c r="F16" t="s">
        <v>7286</v>
      </c>
      <c r="G16" t="b">
        <v>0</v>
      </c>
      <c r="H16" t="s">
        <v>124</v>
      </c>
      <c r="I16" t="s">
        <v>124</v>
      </c>
      <c r="J16" t="b">
        <v>0</v>
      </c>
    </row>
    <row r="17">
      <c r="A17" t="s">
        <v>425</v>
      </c>
      <c r="B17" t="s">
        <v>7309</v>
      </c>
      <c r="C17" t="s">
        <v>7284</v>
      </c>
      <c r="D17" t="s">
        <v>7294</v>
      </c>
      <c r="E17">
        <v>0</v>
      </c>
      <c r="F17" t="s">
        <v>7310</v>
      </c>
      <c r="G17" t="b">
        <v>0</v>
      </c>
      <c r="H17" t="s">
        <v>124</v>
      </c>
      <c r="I17" t="s">
        <v>124</v>
      </c>
      <c r="J17" t="b">
        <v>0</v>
      </c>
    </row>
    <row r="18">
      <c r="A18" t="s">
        <v>5806</v>
      </c>
      <c r="B18" t="s">
        <v>7311</v>
      </c>
      <c r="C18" t="s">
        <v>7284</v>
      </c>
      <c r="D18" t="s">
        <v>7294</v>
      </c>
      <c r="E18">
        <v>0</v>
      </c>
      <c r="F18" t="s">
        <v>7299</v>
      </c>
      <c r="G18" t="b">
        <v>0</v>
      </c>
      <c r="H18" t="s">
        <v>124</v>
      </c>
      <c r="I18" t="s">
        <v>124</v>
      </c>
      <c r="J18" t="b">
        <v>0</v>
      </c>
    </row>
    <row r="19">
      <c r="A19" t="s">
        <v>747</v>
      </c>
      <c r="B19" t="s">
        <v>7312</v>
      </c>
      <c r="C19" t="s">
        <v>7284</v>
      </c>
      <c r="D19" t="s">
        <v>7294</v>
      </c>
      <c r="E19">
        <v>0</v>
      </c>
      <c r="F19" t="s">
        <v>7295</v>
      </c>
      <c r="G19" t="b">
        <v>0</v>
      </c>
      <c r="H19" t="s">
        <v>124</v>
      </c>
      <c r="I19" t="s">
        <v>124</v>
      </c>
      <c r="J19" t="b">
        <v>0</v>
      </c>
    </row>
    <row r="20">
      <c r="A20" t="s">
        <v>1421</v>
      </c>
      <c r="B20" t="s">
        <v>87</v>
      </c>
      <c r="C20" t="s">
        <v>7284</v>
      </c>
      <c r="D20" t="s">
        <v>7294</v>
      </c>
      <c r="E20">
        <v>0</v>
      </c>
      <c r="F20" t="s">
        <v>7286</v>
      </c>
      <c r="G20" t="b">
        <v>0</v>
      </c>
      <c r="H20" t="s">
        <v>124</v>
      </c>
      <c r="I20" t="s">
        <v>124</v>
      </c>
      <c r="J20" t="b">
        <v>0</v>
      </c>
    </row>
    <row r="21">
      <c r="A21" t="s">
        <v>5238</v>
      </c>
      <c r="B21" t="s">
        <v>7313</v>
      </c>
      <c r="C21" t="s">
        <v>7284</v>
      </c>
      <c r="D21" t="s">
        <v>7294</v>
      </c>
      <c r="E21">
        <v>0</v>
      </c>
      <c r="F21" t="s">
        <v>7302</v>
      </c>
      <c r="G21" t="b">
        <v>0</v>
      </c>
      <c r="H21" t="s">
        <v>124</v>
      </c>
      <c r="I21" t="s">
        <v>124</v>
      </c>
      <c r="J21" t="b">
        <v>0</v>
      </c>
    </row>
    <row r="22">
      <c r="A22" t="s">
        <v>844</v>
      </c>
      <c r="B22" t="s">
        <v>7314</v>
      </c>
      <c r="C22" t="s">
        <v>7284</v>
      </c>
      <c r="D22" t="s">
        <v>7294</v>
      </c>
      <c r="E22">
        <v>0</v>
      </c>
      <c r="F22" t="s">
        <v>7286</v>
      </c>
      <c r="G22" t="b">
        <v>0</v>
      </c>
      <c r="H22" t="s">
        <v>124</v>
      </c>
      <c r="I22" t="s">
        <v>124</v>
      </c>
      <c r="J22" t="b">
        <v>0</v>
      </c>
    </row>
    <row r="23">
      <c r="A23" t="s">
        <v>1313</v>
      </c>
      <c r="B23" t="s">
        <v>7315</v>
      </c>
      <c r="C23" t="s">
        <v>7284</v>
      </c>
      <c r="D23" t="s">
        <v>7294</v>
      </c>
      <c r="E23">
        <v>0</v>
      </c>
      <c r="F23" t="s">
        <v>7299</v>
      </c>
      <c r="G23" t="b">
        <v>0</v>
      </c>
      <c r="H23" t="s">
        <v>124</v>
      </c>
      <c r="I23" t="s">
        <v>124</v>
      </c>
      <c r="J23" t="b">
        <v>0</v>
      </c>
    </row>
    <row r="24">
      <c r="A24" t="s">
        <v>5803</v>
      </c>
      <c r="B24" t="s">
        <v>7316</v>
      </c>
      <c r="C24" t="s">
        <v>7284</v>
      </c>
      <c r="D24" t="s">
        <v>7294</v>
      </c>
      <c r="E24">
        <v>0</v>
      </c>
      <c r="F24" t="s">
        <v>7299</v>
      </c>
      <c r="G24" t="b">
        <v>0</v>
      </c>
      <c r="H24" t="s">
        <v>124</v>
      </c>
      <c r="I24" t="s">
        <v>124</v>
      </c>
      <c r="J24" t="b">
        <v>0</v>
      </c>
    </row>
    <row r="25">
      <c r="A25" t="s">
        <v>5552</v>
      </c>
      <c r="B25" t="s">
        <v>7317</v>
      </c>
      <c r="C25" t="s">
        <v>7284</v>
      </c>
      <c r="D25" t="s">
        <v>7294</v>
      </c>
      <c r="E25">
        <v>0</v>
      </c>
      <c r="F25" t="s">
        <v>7295</v>
      </c>
      <c r="G25" t="b">
        <v>0</v>
      </c>
      <c r="H25" t="s">
        <v>124</v>
      </c>
      <c r="I25" t="s">
        <v>124</v>
      </c>
      <c r="J25" t="b">
        <v>0</v>
      </c>
    </row>
    <row r="26">
      <c r="A26" t="s">
        <v>766</v>
      </c>
      <c r="B26" t="s">
        <v>7318</v>
      </c>
      <c r="C26" t="s">
        <v>7284</v>
      </c>
      <c r="D26" t="s">
        <v>7294</v>
      </c>
      <c r="E26">
        <v>0</v>
      </c>
      <c r="F26" t="s">
        <v>7286</v>
      </c>
      <c r="G26" t="b">
        <v>0</v>
      </c>
      <c r="H26" t="s">
        <v>124</v>
      </c>
      <c r="I26" t="s">
        <v>124</v>
      </c>
      <c r="J26" t="b">
        <v>0</v>
      </c>
    </row>
    <row r="27">
      <c r="A27" t="s">
        <v>710</v>
      </c>
      <c r="B27" t="s">
        <v>7319</v>
      </c>
      <c r="C27" t="s">
        <v>7284</v>
      </c>
      <c r="D27" t="s">
        <v>7294</v>
      </c>
      <c r="E27">
        <v>0</v>
      </c>
      <c r="F27" t="s">
        <v>7299</v>
      </c>
      <c r="G27" t="b">
        <v>0</v>
      </c>
      <c r="H27" t="s">
        <v>124</v>
      </c>
      <c r="I27" t="s">
        <v>124</v>
      </c>
      <c r="J27" t="b">
        <v>0</v>
      </c>
    </row>
    <row r="28">
      <c r="A28" t="s">
        <v>213</v>
      </c>
      <c r="B28" t="s">
        <v>7320</v>
      </c>
      <c r="C28" t="s">
        <v>7284</v>
      </c>
      <c r="D28" t="s">
        <v>7294</v>
      </c>
      <c r="E28">
        <v>0</v>
      </c>
      <c r="F28" t="s">
        <v>7286</v>
      </c>
      <c r="G28" t="b">
        <v>0</v>
      </c>
      <c r="H28" t="s">
        <v>124</v>
      </c>
      <c r="I28" t="s">
        <v>124</v>
      </c>
      <c r="J28" t="b">
        <v>0</v>
      </c>
    </row>
    <row r="29">
      <c r="A29" t="s">
        <v>215</v>
      </c>
      <c r="B29" t="s">
        <v>7321</v>
      </c>
      <c r="C29" t="s">
        <v>7284</v>
      </c>
      <c r="D29" t="s">
        <v>7294</v>
      </c>
      <c r="E29">
        <v>0</v>
      </c>
      <c r="F29" t="s">
        <v>7302</v>
      </c>
      <c r="G29" t="b">
        <v>0</v>
      </c>
      <c r="H29" t="s">
        <v>124</v>
      </c>
      <c r="I29" t="s">
        <v>124</v>
      </c>
      <c r="J29" t="b">
        <v>0</v>
      </c>
    </row>
    <row r="30">
      <c r="A30" t="s">
        <v>2513</v>
      </c>
      <c r="B30" t="s">
        <v>7322</v>
      </c>
      <c r="C30" t="s">
        <v>7284</v>
      </c>
      <c r="D30" t="s">
        <v>7294</v>
      </c>
      <c r="E30">
        <v>0</v>
      </c>
      <c r="F30" t="s">
        <v>7299</v>
      </c>
      <c r="G30" t="b">
        <v>0</v>
      </c>
      <c r="H30" t="s">
        <v>124</v>
      </c>
      <c r="I30" t="s">
        <v>124</v>
      </c>
      <c r="J30" t="b">
        <v>0</v>
      </c>
    </row>
    <row r="31">
      <c r="A31" t="s">
        <v>3248</v>
      </c>
      <c r="B31" t="s">
        <v>7323</v>
      </c>
      <c r="C31" t="s">
        <v>7284</v>
      </c>
      <c r="D31" t="s">
        <v>7294</v>
      </c>
      <c r="E31">
        <v>0</v>
      </c>
      <c r="F31" t="s">
        <v>7302</v>
      </c>
      <c r="G31" t="b">
        <v>0</v>
      </c>
      <c r="H31" t="s">
        <v>124</v>
      </c>
      <c r="I31" t="s">
        <v>124</v>
      </c>
      <c r="J31" t="b">
        <v>0</v>
      </c>
    </row>
    <row r="32">
      <c r="A32" t="s">
        <v>2862</v>
      </c>
      <c r="B32" t="s">
        <v>7324</v>
      </c>
      <c r="C32" t="s">
        <v>7284</v>
      </c>
      <c r="D32" t="s">
        <v>7294</v>
      </c>
      <c r="E32">
        <v>0</v>
      </c>
      <c r="F32" t="s">
        <v>7295</v>
      </c>
      <c r="G32" t="b">
        <v>0</v>
      </c>
      <c r="H32" t="s">
        <v>124</v>
      </c>
      <c r="I32" t="s">
        <v>124</v>
      </c>
      <c r="J32" t="b">
        <v>0</v>
      </c>
    </row>
    <row r="33">
      <c r="A33" t="s">
        <v>2520</v>
      </c>
      <c r="B33" t="s">
        <v>7325</v>
      </c>
      <c r="C33" t="s">
        <v>7284</v>
      </c>
      <c r="D33" t="s">
        <v>7294</v>
      </c>
      <c r="E33">
        <v>0</v>
      </c>
      <c r="F33" t="s">
        <v>7299</v>
      </c>
      <c r="G33" t="b">
        <v>0</v>
      </c>
      <c r="H33" t="s">
        <v>124</v>
      </c>
      <c r="I33" t="s">
        <v>124</v>
      </c>
      <c r="J33" t="b">
        <v>0</v>
      </c>
    </row>
    <row r="34">
      <c r="A34" t="s">
        <v>2349</v>
      </c>
      <c r="B34" t="s">
        <v>7326</v>
      </c>
      <c r="C34" t="s">
        <v>7284</v>
      </c>
      <c r="D34" t="s">
        <v>7294</v>
      </c>
      <c r="E34">
        <v>0</v>
      </c>
      <c r="F34" t="s">
        <v>7299</v>
      </c>
      <c r="G34" t="b">
        <v>0</v>
      </c>
      <c r="H34" t="s">
        <v>124</v>
      </c>
      <c r="I34" t="s">
        <v>124</v>
      </c>
      <c r="J34" t="b">
        <v>0</v>
      </c>
    </row>
    <row r="35">
      <c r="A35" t="s">
        <v>2516</v>
      </c>
      <c r="B35" t="s">
        <v>7327</v>
      </c>
      <c r="C35" t="s">
        <v>7284</v>
      </c>
      <c r="D35" t="s">
        <v>7294</v>
      </c>
      <c r="E35">
        <v>0</v>
      </c>
      <c r="F35" t="s">
        <v>7286</v>
      </c>
      <c r="G35" t="b">
        <v>0</v>
      </c>
      <c r="H35" t="s">
        <v>124</v>
      </c>
      <c r="I35" t="s">
        <v>124</v>
      </c>
      <c r="J35" t="b">
        <v>0</v>
      </c>
    </row>
    <row r="36">
      <c r="A36" t="s">
        <v>1760</v>
      </c>
      <c r="B36" t="s">
        <v>7328</v>
      </c>
      <c r="C36" t="s">
        <v>7284</v>
      </c>
      <c r="D36" t="s">
        <v>7294</v>
      </c>
      <c r="E36">
        <v>0</v>
      </c>
      <c r="F36" t="s">
        <v>7295</v>
      </c>
      <c r="G36" t="b">
        <v>0</v>
      </c>
      <c r="H36" t="s">
        <v>124</v>
      </c>
      <c r="I36" t="s">
        <v>124</v>
      </c>
      <c r="J36" t="b">
        <v>0</v>
      </c>
    </row>
    <row r="37">
      <c r="A37" t="s">
        <v>2518</v>
      </c>
      <c r="B37" t="s">
        <v>7329</v>
      </c>
      <c r="C37" t="s">
        <v>7284</v>
      </c>
      <c r="D37" t="s">
        <v>7294</v>
      </c>
      <c r="E37">
        <v>0</v>
      </c>
      <c r="F37" t="s">
        <v>7299</v>
      </c>
      <c r="G37" t="b">
        <v>0</v>
      </c>
      <c r="H37" t="s">
        <v>124</v>
      </c>
      <c r="I37" t="s">
        <v>124</v>
      </c>
      <c r="J37" t="b">
        <v>0</v>
      </c>
    </row>
    <row r="38">
      <c r="A38" t="s">
        <v>2504</v>
      </c>
      <c r="B38" t="s">
        <v>7330</v>
      </c>
      <c r="C38" t="s">
        <v>7284</v>
      </c>
      <c r="D38" t="s">
        <v>7294</v>
      </c>
      <c r="E38">
        <v>0</v>
      </c>
      <c r="F38" t="s">
        <v>7310</v>
      </c>
      <c r="G38" t="b">
        <v>0</v>
      </c>
      <c r="H38" t="s">
        <v>124</v>
      </c>
      <c r="I38" t="s">
        <v>124</v>
      </c>
      <c r="J38" t="b">
        <v>0</v>
      </c>
    </row>
    <row r="39">
      <c r="A39" t="s">
        <v>3084</v>
      </c>
      <c r="B39" t="s">
        <v>7331</v>
      </c>
      <c r="C39" t="s">
        <v>7284</v>
      </c>
      <c r="D39" t="s">
        <v>7294</v>
      </c>
      <c r="E39">
        <v>0</v>
      </c>
      <c r="F39" t="s">
        <v>7310</v>
      </c>
      <c r="G39" t="b">
        <v>0</v>
      </c>
      <c r="H39" t="s">
        <v>124</v>
      </c>
      <c r="I39" t="s">
        <v>124</v>
      </c>
      <c r="J39" t="b">
        <v>0</v>
      </c>
    </row>
    <row r="40">
      <c r="A40" t="s">
        <v>137</v>
      </c>
      <c r="B40" t="s">
        <v>7332</v>
      </c>
      <c r="C40" t="s">
        <v>7284</v>
      </c>
      <c r="D40" t="s">
        <v>7294</v>
      </c>
      <c r="E40">
        <v>0</v>
      </c>
      <c r="F40" t="s">
        <v>7286</v>
      </c>
      <c r="G40" t="b">
        <v>0</v>
      </c>
      <c r="H40" t="s">
        <v>124</v>
      </c>
      <c r="I40" t="s">
        <v>124</v>
      </c>
      <c r="J40" t="b">
        <v>0</v>
      </c>
    </row>
    <row r="41">
      <c r="A41" t="s">
        <v>235</v>
      </c>
      <c r="B41" t="s">
        <v>7333</v>
      </c>
      <c r="C41" t="s">
        <v>7284</v>
      </c>
      <c r="D41" t="s">
        <v>7294</v>
      </c>
      <c r="E41">
        <v>0</v>
      </c>
      <c r="F41" t="s">
        <v>7310</v>
      </c>
      <c r="G41" t="b">
        <v>0</v>
      </c>
      <c r="H41" t="s">
        <v>124</v>
      </c>
      <c r="I41" t="s">
        <v>124</v>
      </c>
      <c r="J41" t="b">
        <v>0</v>
      </c>
    </row>
    <row r="42">
      <c r="A42" t="s">
        <v>1824</v>
      </c>
      <c r="B42" t="s">
        <v>7334</v>
      </c>
      <c r="C42" t="s">
        <v>7284</v>
      </c>
      <c r="D42" t="s">
        <v>7294</v>
      </c>
      <c r="E42">
        <v>0</v>
      </c>
      <c r="F42" t="s">
        <v>7299</v>
      </c>
      <c r="G42" t="b">
        <v>0</v>
      </c>
      <c r="H42" t="s">
        <v>124</v>
      </c>
      <c r="I42" t="s">
        <v>124</v>
      </c>
      <c r="J42" t="b">
        <v>0</v>
      </c>
    </row>
    <row r="43">
      <c r="A43" t="s">
        <v>855</v>
      </c>
      <c r="B43" t="s">
        <v>7335</v>
      </c>
      <c r="C43" t="s">
        <v>7284</v>
      </c>
      <c r="D43" t="s">
        <v>7294</v>
      </c>
      <c r="E43">
        <v>0</v>
      </c>
      <c r="F43" t="s">
        <v>7286</v>
      </c>
      <c r="G43" t="b">
        <v>0</v>
      </c>
      <c r="H43" t="s">
        <v>124</v>
      </c>
      <c r="I43" t="s">
        <v>124</v>
      </c>
      <c r="J43" t="b">
        <v>0</v>
      </c>
    </row>
    <row r="44">
      <c r="A44" t="s">
        <v>1315</v>
      </c>
      <c r="B44" t="s">
        <v>7336</v>
      </c>
      <c r="C44" t="s">
        <v>7284</v>
      </c>
      <c r="D44" t="s">
        <v>7294</v>
      </c>
      <c r="E44">
        <v>0</v>
      </c>
      <c r="F44" t="s">
        <v>7299</v>
      </c>
      <c r="G44" t="b">
        <v>0</v>
      </c>
      <c r="H44" t="s">
        <v>124</v>
      </c>
      <c r="I44" t="s">
        <v>124</v>
      </c>
      <c r="J44" t="b">
        <v>0</v>
      </c>
    </row>
    <row r="45">
      <c r="A45" t="s">
        <v>7302</v>
      </c>
      <c r="B45" t="s">
        <v>7321</v>
      </c>
      <c r="C45" t="s">
        <v>7337</v>
      </c>
      <c r="D45" t="s">
        <v>7338</v>
      </c>
      <c r="E45">
        <v>0</v>
      </c>
      <c r="F45" t="s">
        <v>7302</v>
      </c>
      <c r="G45" t="b">
        <v>1</v>
      </c>
      <c r="H45" t="s">
        <v>124</v>
      </c>
      <c r="I45" t="s">
        <v>124</v>
      </c>
      <c r="J45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1">
      <c r="A1" t="s">
        <v>103</v>
      </c>
      <c r="B1" t="s">
        <v>7274</v>
      </c>
      <c r="C1" t="s">
        <v>7339</v>
      </c>
      <c r="D1" t="s">
        <v>7275</v>
      </c>
      <c r="E1" t="s">
        <v>7276</v>
      </c>
      <c r="F1" t="s">
        <v>7340</v>
      </c>
      <c r="G1" t="s">
        <v>7279</v>
      </c>
    </row>
    <row r="2">
      <c r="A2" t="s">
        <v>7341</v>
      </c>
      <c r="B2" t="s">
        <v>7342</v>
      </c>
      <c r="C2" t="s">
        <v>7343</v>
      </c>
      <c r="D2" t="s">
        <v>7344</v>
      </c>
      <c r="E2" t="s">
        <v>7289</v>
      </c>
      <c r="G2" t="b">
        <v>0</v>
      </c>
    </row>
    <row r="3">
      <c r="A3" t="s">
        <v>7345</v>
      </c>
      <c r="B3" t="s">
        <v>7346</v>
      </c>
      <c r="C3" t="s">
        <v>7347</v>
      </c>
      <c r="D3" t="s">
        <v>7348</v>
      </c>
      <c r="E3" t="s">
        <v>7349</v>
      </c>
      <c r="G3" t="b">
        <v>0</v>
      </c>
    </row>
    <row r="4">
      <c r="A4" t="s">
        <v>7350</v>
      </c>
      <c r="B4" t="s">
        <v>7351</v>
      </c>
      <c r="C4" t="s">
        <v>7352</v>
      </c>
      <c r="D4" t="s">
        <v>7353</v>
      </c>
      <c r="E4" t="s">
        <v>7289</v>
      </c>
      <c r="G4" t="b">
        <v>0</v>
      </c>
    </row>
    <row r="5">
      <c r="A5" t="s">
        <v>7354</v>
      </c>
      <c r="B5" t="s">
        <v>7355</v>
      </c>
      <c r="C5" t="s">
        <v>7356</v>
      </c>
      <c r="D5" t="s">
        <v>7357</v>
      </c>
      <c r="E5" t="s">
        <v>7349</v>
      </c>
      <c r="G5" t="b">
        <v>0</v>
      </c>
    </row>
    <row r="6">
      <c r="A6" t="s">
        <v>7358</v>
      </c>
      <c r="B6" t="s">
        <v>7359</v>
      </c>
      <c r="C6" t="s">
        <v>7360</v>
      </c>
      <c r="D6" t="s">
        <v>7361</v>
      </c>
      <c r="E6" t="s">
        <v>7349</v>
      </c>
      <c r="G6" t="b">
        <v>0</v>
      </c>
    </row>
    <row r="7">
      <c r="A7" t="s">
        <v>206</v>
      </c>
      <c r="B7" t="s">
        <v>7362</v>
      </c>
      <c r="C7" t="s">
        <v>7363</v>
      </c>
      <c r="D7" t="s">
        <v>7364</v>
      </c>
      <c r="E7" t="s">
        <v>7365</v>
      </c>
      <c r="G7" t="b">
        <v>0</v>
      </c>
    </row>
    <row r="8">
      <c r="A8" t="s">
        <v>7366</v>
      </c>
      <c r="B8" t="s">
        <v>7367</v>
      </c>
      <c r="C8" t="s">
        <v>7368</v>
      </c>
      <c r="D8" t="s">
        <v>7369</v>
      </c>
      <c r="E8" t="s">
        <v>7292</v>
      </c>
      <c r="G8" t="b">
        <v>1</v>
      </c>
    </row>
    <row r="9">
      <c r="A9" t="s">
        <v>136</v>
      </c>
      <c r="B9" t="s">
        <v>129</v>
      </c>
      <c r="C9" t="s">
        <v>98</v>
      </c>
      <c r="D9" t="s">
        <v>7370</v>
      </c>
      <c r="E9" t="s">
        <v>7292</v>
      </c>
      <c r="G9" t="b">
        <v>0</v>
      </c>
    </row>
    <row r="10">
      <c r="A10" t="s">
        <v>7371</v>
      </c>
      <c r="B10" t="s">
        <v>7372</v>
      </c>
      <c r="C10" t="s">
        <v>7372</v>
      </c>
      <c r="D10" t="s">
        <v>7370</v>
      </c>
      <c r="E10" t="s">
        <v>7292</v>
      </c>
      <c r="G10" t="b">
        <v>0</v>
      </c>
    </row>
    <row r="11">
      <c r="A11" t="s">
        <v>1508</v>
      </c>
      <c r="B11" t="s">
        <v>98</v>
      </c>
      <c r="C11" t="s">
        <v>98</v>
      </c>
      <c r="D11" t="s">
        <v>7370</v>
      </c>
      <c r="E11" t="s">
        <v>7292</v>
      </c>
      <c r="F11" t="s">
        <v>7371</v>
      </c>
      <c r="G11" t="b">
        <v>0</v>
      </c>
    </row>
    <row r="12">
      <c r="A12" t="s">
        <v>7373</v>
      </c>
      <c r="B12" t="s">
        <v>82</v>
      </c>
      <c r="C12" t="s">
        <v>82</v>
      </c>
      <c r="D12" t="s">
        <v>7370</v>
      </c>
      <c r="E12" t="s">
        <v>7292</v>
      </c>
      <c r="G12" t="b">
        <v>0</v>
      </c>
    </row>
    <row r="13">
      <c r="A13" t="s">
        <v>443</v>
      </c>
      <c r="B13" t="s">
        <v>76</v>
      </c>
      <c r="C13" t="s">
        <v>76</v>
      </c>
      <c r="D13" t="s">
        <v>7370</v>
      </c>
      <c r="E13" t="s">
        <v>7292</v>
      </c>
      <c r="F13" t="s">
        <v>7373</v>
      </c>
      <c r="G13" t="b">
        <v>0</v>
      </c>
    </row>
    <row r="14">
      <c r="A14" t="s">
        <v>199</v>
      </c>
      <c r="B14" t="s">
        <v>86</v>
      </c>
      <c r="C14" t="s">
        <v>86</v>
      </c>
      <c r="D14" t="s">
        <v>7370</v>
      </c>
      <c r="E14" t="s">
        <v>7292</v>
      </c>
      <c r="F14" t="s">
        <v>7373</v>
      </c>
      <c r="G14" t="b">
        <v>0</v>
      </c>
    </row>
    <row r="15">
      <c r="A15" t="s">
        <v>207</v>
      </c>
      <c r="B15" t="s">
        <v>7374</v>
      </c>
      <c r="C15" t="s">
        <v>7374</v>
      </c>
      <c r="D15" t="s">
        <v>7370</v>
      </c>
      <c r="E15" t="s">
        <v>7292</v>
      </c>
      <c r="F15" t="s">
        <v>206</v>
      </c>
      <c r="G15" t="b">
        <v>0</v>
      </c>
    </row>
    <row r="16">
      <c r="A16" t="s">
        <v>150</v>
      </c>
      <c r="B16" t="s">
        <v>83</v>
      </c>
      <c r="C16" t="s">
        <v>83</v>
      </c>
      <c r="D16" t="s">
        <v>7370</v>
      </c>
      <c r="E16" t="s">
        <v>7292</v>
      </c>
      <c r="F16" t="s">
        <v>7371</v>
      </c>
      <c r="G16" t="b">
        <v>0</v>
      </c>
    </row>
    <row r="17">
      <c r="A17" t="s">
        <v>139</v>
      </c>
      <c r="B17" t="s">
        <v>77</v>
      </c>
      <c r="C17" t="s">
        <v>77</v>
      </c>
      <c r="D17" t="s">
        <v>7370</v>
      </c>
      <c r="E17" t="s">
        <v>7292</v>
      </c>
      <c r="F17" t="s">
        <v>7373</v>
      </c>
      <c r="G17" t="b">
        <v>0</v>
      </c>
    </row>
    <row r="18">
      <c r="A18" t="s">
        <v>7375</v>
      </c>
      <c r="B18" t="s">
        <v>80</v>
      </c>
      <c r="C18" t="s">
        <v>80</v>
      </c>
      <c r="D18" t="s">
        <v>7370</v>
      </c>
      <c r="E18" t="s">
        <v>7292</v>
      </c>
      <c r="G18" t="b">
        <v>0</v>
      </c>
    </row>
    <row r="19">
      <c r="A19" t="s">
        <v>144</v>
      </c>
      <c r="B19" t="s">
        <v>80</v>
      </c>
      <c r="C19" t="s">
        <v>80</v>
      </c>
      <c r="D19" t="s">
        <v>7370</v>
      </c>
      <c r="E19" t="s">
        <v>7292</v>
      </c>
      <c r="F19" t="s">
        <v>7375</v>
      </c>
      <c r="G19" t="b">
        <v>0</v>
      </c>
    </row>
    <row r="20">
      <c r="A20" t="s">
        <v>281</v>
      </c>
      <c r="B20" t="s">
        <v>7376</v>
      </c>
      <c r="C20" t="s">
        <v>7376</v>
      </c>
      <c r="D20" t="s">
        <v>7370</v>
      </c>
      <c r="E20" t="s">
        <v>7292</v>
      </c>
      <c r="F20" t="s">
        <v>206</v>
      </c>
      <c r="G20" t="b">
        <v>0</v>
      </c>
    </row>
    <row r="21">
      <c r="A21" t="s">
        <v>254</v>
      </c>
      <c r="B21" t="s">
        <v>94</v>
      </c>
      <c r="C21" t="s">
        <v>94</v>
      </c>
      <c r="D21" t="s">
        <v>7370</v>
      </c>
      <c r="E21" t="s">
        <v>7292</v>
      </c>
      <c r="F21" t="s">
        <v>136</v>
      </c>
      <c r="G21" t="b">
        <v>0</v>
      </c>
    </row>
    <row r="22">
      <c r="A22" t="s">
        <v>157</v>
      </c>
      <c r="B22" t="s">
        <v>74</v>
      </c>
      <c r="C22" t="s">
        <v>74</v>
      </c>
      <c r="D22" t="s">
        <v>7370</v>
      </c>
      <c r="E22" t="s">
        <v>7292</v>
      </c>
      <c r="F22" t="s">
        <v>7354</v>
      </c>
      <c r="G22" t="b">
        <v>0</v>
      </c>
    </row>
    <row r="23">
      <c r="A23" t="s">
        <v>7377</v>
      </c>
      <c r="B23" t="s">
        <v>7378</v>
      </c>
      <c r="C23" t="s">
        <v>7378</v>
      </c>
      <c r="D23" t="s">
        <v>7370</v>
      </c>
      <c r="E23" t="s">
        <v>7292</v>
      </c>
      <c r="G23" t="b">
        <v>0</v>
      </c>
    </row>
    <row r="24">
      <c r="A24" t="s">
        <v>160</v>
      </c>
      <c r="B24" t="s">
        <v>81</v>
      </c>
      <c r="C24" t="s">
        <v>81</v>
      </c>
      <c r="D24" t="s">
        <v>7370</v>
      </c>
      <c r="E24" t="s">
        <v>7292</v>
      </c>
      <c r="F24" t="s">
        <v>7377</v>
      </c>
      <c r="G24" t="b">
        <v>0</v>
      </c>
    </row>
    <row r="25">
      <c r="A25" t="s">
        <v>152</v>
      </c>
      <c r="B25" t="s">
        <v>97</v>
      </c>
      <c r="C25" t="s">
        <v>97</v>
      </c>
      <c r="D25" t="s">
        <v>7370</v>
      </c>
      <c r="E25" t="s">
        <v>7292</v>
      </c>
      <c r="F25" t="s">
        <v>7377</v>
      </c>
      <c r="G25" t="b">
        <v>0</v>
      </c>
    </row>
    <row r="26">
      <c r="A26" t="s">
        <v>6324</v>
      </c>
      <c r="B26" t="s">
        <v>96</v>
      </c>
      <c r="C26" t="s">
        <v>96</v>
      </c>
      <c r="D26" t="s">
        <v>7370</v>
      </c>
      <c r="E26" t="s">
        <v>7292</v>
      </c>
      <c r="F26" t="s">
        <v>7354</v>
      </c>
      <c r="G26" t="b">
        <v>0</v>
      </c>
    </row>
    <row r="27">
      <c r="A27" t="s">
        <v>1903</v>
      </c>
      <c r="B27" t="s">
        <v>95</v>
      </c>
      <c r="C27" t="s">
        <v>95</v>
      </c>
      <c r="D27" t="s">
        <v>7370</v>
      </c>
      <c r="E27" t="s">
        <v>7292</v>
      </c>
      <c r="F27" t="s">
        <v>7371</v>
      </c>
      <c r="G27" t="b">
        <v>0</v>
      </c>
    </row>
    <row r="28">
      <c r="A28" t="s">
        <v>1339</v>
      </c>
      <c r="B28" t="s">
        <v>92</v>
      </c>
      <c r="C28" t="s">
        <v>92</v>
      </c>
      <c r="D28" t="s">
        <v>7370</v>
      </c>
      <c r="E28" t="s">
        <v>7292</v>
      </c>
      <c r="F28" t="s">
        <v>7354</v>
      </c>
      <c r="G28" t="b">
        <v>0</v>
      </c>
    </row>
    <row r="29">
      <c r="A29" t="s">
        <v>1455</v>
      </c>
      <c r="B29" t="s">
        <v>93</v>
      </c>
      <c r="C29" t="s">
        <v>93</v>
      </c>
      <c r="D29" t="s">
        <v>7370</v>
      </c>
      <c r="E29" t="s">
        <v>7292</v>
      </c>
      <c r="F29" t="s">
        <v>136</v>
      </c>
      <c r="G29" t="b">
        <v>0</v>
      </c>
    </row>
    <row r="30">
      <c r="A30" t="s">
        <v>122</v>
      </c>
      <c r="B30" t="s">
        <v>98</v>
      </c>
      <c r="C30" t="s">
        <v>98</v>
      </c>
      <c r="D30" t="s">
        <v>7370</v>
      </c>
      <c r="E30" t="s">
        <v>7292</v>
      </c>
      <c r="F30" t="s">
        <v>136</v>
      </c>
      <c r="G30" t="b">
        <v>0</v>
      </c>
    </row>
    <row r="31">
      <c r="A31" t="s">
        <v>1679</v>
      </c>
      <c r="B31" t="s">
        <v>78</v>
      </c>
      <c r="C31" t="s">
        <v>78</v>
      </c>
      <c r="D31" t="s">
        <v>7370</v>
      </c>
      <c r="E31" t="s">
        <v>7292</v>
      </c>
      <c r="F31" t="s">
        <v>7371</v>
      </c>
      <c r="G31" t="b">
        <v>0</v>
      </c>
    </row>
    <row r="32">
      <c r="A32" t="s">
        <v>3276</v>
      </c>
      <c r="B32" t="s">
        <v>84</v>
      </c>
      <c r="C32" t="s">
        <v>84</v>
      </c>
      <c r="D32" t="s">
        <v>7370</v>
      </c>
      <c r="E32" t="s">
        <v>7292</v>
      </c>
      <c r="F32" t="s">
        <v>7371</v>
      </c>
      <c r="G32" t="b">
        <v>0</v>
      </c>
    </row>
    <row r="33">
      <c r="A33" t="s">
        <v>614</v>
      </c>
      <c r="B33" t="s">
        <v>75</v>
      </c>
      <c r="C33" t="s">
        <v>75</v>
      </c>
      <c r="D33" t="s">
        <v>7370</v>
      </c>
      <c r="E33" t="s">
        <v>7292</v>
      </c>
      <c r="F33" t="s">
        <v>7354</v>
      </c>
      <c r="G33" t="b">
        <v>0</v>
      </c>
    </row>
    <row r="34">
      <c r="A34" t="s">
        <v>3504</v>
      </c>
      <c r="B34" t="s">
        <v>79</v>
      </c>
      <c r="C34" t="s">
        <v>79</v>
      </c>
      <c r="D34" t="s">
        <v>7370</v>
      </c>
      <c r="E34" t="s">
        <v>7292</v>
      </c>
      <c r="F34" t="s">
        <v>7371</v>
      </c>
      <c r="G34" t="b">
        <v>0</v>
      </c>
    </row>
    <row r="35">
      <c r="A35" t="s">
        <v>141</v>
      </c>
      <c r="B35" t="s">
        <v>98</v>
      </c>
      <c r="C35" t="s">
        <v>98</v>
      </c>
      <c r="D35" t="s">
        <v>7370</v>
      </c>
      <c r="E35" t="s">
        <v>7292</v>
      </c>
      <c r="F35" t="s">
        <v>7354</v>
      </c>
      <c r="G35" t="b">
        <v>0</v>
      </c>
    </row>
    <row r="36">
      <c r="A36" t="s">
        <v>259</v>
      </c>
      <c r="B36" t="s">
        <v>100</v>
      </c>
      <c r="C36" t="s">
        <v>100</v>
      </c>
      <c r="D36" t="s">
        <v>7370</v>
      </c>
      <c r="E36" t="s">
        <v>7292</v>
      </c>
      <c r="F36" t="s">
        <v>7375</v>
      </c>
      <c r="G36" t="b">
        <v>0</v>
      </c>
    </row>
    <row r="37">
      <c r="A37" t="s">
        <v>1882</v>
      </c>
      <c r="B37" t="s">
        <v>102</v>
      </c>
      <c r="C37" t="s">
        <v>102</v>
      </c>
      <c r="D37" t="s">
        <v>7370</v>
      </c>
      <c r="E37" t="s">
        <v>7292</v>
      </c>
      <c r="F37" t="s">
        <v>7371</v>
      </c>
      <c r="G37" t="b">
        <v>0</v>
      </c>
    </row>
    <row r="38">
      <c r="A38" t="s">
        <v>338</v>
      </c>
      <c r="B38" t="s">
        <v>101</v>
      </c>
      <c r="C38" t="s">
        <v>101</v>
      </c>
      <c r="D38" t="s">
        <v>7370</v>
      </c>
      <c r="E38" t="s">
        <v>7292</v>
      </c>
      <c r="F38" t="s">
        <v>7354</v>
      </c>
      <c r="G38" t="b">
        <v>0</v>
      </c>
    </row>
    <row r="39">
      <c r="A39" t="s">
        <v>6119</v>
      </c>
      <c r="B39" t="s">
        <v>91</v>
      </c>
      <c r="C39" t="s">
        <v>91</v>
      </c>
      <c r="D39" t="s">
        <v>7370</v>
      </c>
      <c r="E39" t="s">
        <v>7292</v>
      </c>
      <c r="F39" t="s">
        <v>7377</v>
      </c>
      <c r="G39" t="b">
        <v>0</v>
      </c>
    </row>
    <row r="40">
      <c r="A40" t="s">
        <v>134</v>
      </c>
      <c r="B40" t="s">
        <v>87</v>
      </c>
      <c r="C40" t="s">
        <v>87</v>
      </c>
      <c r="D40" t="s">
        <v>7370</v>
      </c>
      <c r="E40" t="s">
        <v>7292</v>
      </c>
      <c r="F40" t="s">
        <v>7375</v>
      </c>
      <c r="G40" t="b">
        <v>0</v>
      </c>
    </row>
    <row r="41">
      <c r="A41" t="s">
        <v>195</v>
      </c>
      <c r="B41" t="s">
        <v>99</v>
      </c>
      <c r="C41" t="s">
        <v>99</v>
      </c>
      <c r="D41" t="s">
        <v>7370</v>
      </c>
      <c r="E41" t="s">
        <v>7292</v>
      </c>
      <c r="F41" t="s">
        <v>7373</v>
      </c>
      <c r="G41" t="b">
        <v>0</v>
      </c>
    </row>
    <row r="42">
      <c r="A42" t="s">
        <v>531</v>
      </c>
      <c r="B42" t="s">
        <v>7379</v>
      </c>
      <c r="C42" t="s">
        <v>7379</v>
      </c>
      <c r="D42" t="s">
        <v>7370</v>
      </c>
      <c r="E42" t="s">
        <v>7292</v>
      </c>
      <c r="F42" t="s">
        <v>206</v>
      </c>
      <c r="G42" t="b">
        <v>0</v>
      </c>
    </row>
    <row r="43">
      <c r="A43" t="s">
        <v>169</v>
      </c>
      <c r="B43" t="s">
        <v>73</v>
      </c>
      <c r="C43" t="s">
        <v>73</v>
      </c>
      <c r="D43" t="s">
        <v>7370</v>
      </c>
      <c r="E43" t="s">
        <v>7292</v>
      </c>
      <c r="F43" t="s">
        <v>7354</v>
      </c>
      <c r="G43" t="b">
        <v>0</v>
      </c>
    </row>
    <row r="44">
      <c r="A44" t="s">
        <v>155</v>
      </c>
      <c r="B44" t="s">
        <v>85</v>
      </c>
      <c r="C44" t="s">
        <v>85</v>
      </c>
      <c r="D44" t="s">
        <v>7370</v>
      </c>
      <c r="E44" t="s">
        <v>7292</v>
      </c>
      <c r="F44" t="s">
        <v>7354</v>
      </c>
      <c r="G44" t="b">
        <v>0</v>
      </c>
    </row>
    <row r="45">
      <c r="A45" t="s">
        <v>824</v>
      </c>
      <c r="B45" t="s">
        <v>98</v>
      </c>
      <c r="C45" t="s">
        <v>98</v>
      </c>
      <c r="D45" t="s">
        <v>7370</v>
      </c>
      <c r="E45" t="s">
        <v>7292</v>
      </c>
      <c r="F45" t="s">
        <v>7377</v>
      </c>
      <c r="G45" t="b">
        <v>0</v>
      </c>
    </row>
    <row r="46">
      <c r="A46" t="s">
        <v>446</v>
      </c>
      <c r="B46" t="s">
        <v>90</v>
      </c>
      <c r="C46" t="s">
        <v>90</v>
      </c>
      <c r="D46" t="s">
        <v>7370</v>
      </c>
      <c r="E46" t="s">
        <v>7292</v>
      </c>
      <c r="F46" t="s">
        <v>7373</v>
      </c>
      <c r="G46" t="b">
        <v>0</v>
      </c>
    </row>
    <row r="47">
      <c r="A47" t="s">
        <v>197</v>
      </c>
      <c r="B47" t="s">
        <v>88</v>
      </c>
      <c r="C47" t="s">
        <v>88</v>
      </c>
      <c r="D47" t="s">
        <v>7370</v>
      </c>
      <c r="E47" t="s">
        <v>7292</v>
      </c>
      <c r="F47" t="s">
        <v>7373</v>
      </c>
      <c r="G47" t="b">
        <v>0</v>
      </c>
    </row>
    <row r="48">
      <c r="A48" t="s">
        <v>1040</v>
      </c>
      <c r="B48" t="s">
        <v>89</v>
      </c>
      <c r="C48" t="s">
        <v>89</v>
      </c>
      <c r="D48" t="s">
        <v>7370</v>
      </c>
      <c r="E48" t="s">
        <v>7292</v>
      </c>
      <c r="F48" t="s">
        <v>7373</v>
      </c>
      <c r="G48" t="b">
        <v>0</v>
      </c>
    </row>
    <row r="49">
      <c r="A49" t="s">
        <v>408</v>
      </c>
      <c r="B49" t="s">
        <v>82</v>
      </c>
      <c r="C49" t="s">
        <v>82</v>
      </c>
      <c r="D49" t="s">
        <v>7370</v>
      </c>
      <c r="E49" t="s">
        <v>7292</v>
      </c>
      <c r="F49" t="s">
        <v>7373</v>
      </c>
      <c r="G49" t="b">
        <v>0</v>
      </c>
    </row>
    <row r="50">
      <c r="A50" t="s">
        <v>7380</v>
      </c>
      <c r="B50" t="s">
        <v>7381</v>
      </c>
      <c r="C50" t="s">
        <v>7381</v>
      </c>
      <c r="D50" t="s">
        <v>7284</v>
      </c>
      <c r="E50" t="s">
        <v>7349</v>
      </c>
      <c r="G50" t="b">
        <v>1</v>
      </c>
    </row>
    <row r="51">
      <c r="A51" t="s">
        <v>7382</v>
      </c>
      <c r="B51" t="s">
        <v>7383</v>
      </c>
      <c r="C51" t="s">
        <v>7383</v>
      </c>
      <c r="D51" t="s">
        <v>7384</v>
      </c>
      <c r="E51" t="s">
        <v>7349</v>
      </c>
      <c r="F51" t="s">
        <v>7380</v>
      </c>
      <c r="G51" t="b">
        <v>1</v>
      </c>
    </row>
    <row r="52">
      <c r="A52" t="s">
        <v>7385</v>
      </c>
      <c r="B52" t="s">
        <v>7386</v>
      </c>
      <c r="C52" t="s">
        <v>7386</v>
      </c>
      <c r="D52" t="s">
        <v>7387</v>
      </c>
      <c r="E52" t="s">
        <v>7338</v>
      </c>
      <c r="F52" t="s">
        <v>206</v>
      </c>
      <c r="G52" t="b">
        <v>1</v>
      </c>
    </row>
    <row r="53">
      <c r="A53" t="s">
        <v>7388</v>
      </c>
      <c r="B53" t="s">
        <v>7389</v>
      </c>
      <c r="C53" t="s">
        <v>7389</v>
      </c>
      <c r="D53" t="s">
        <v>7291</v>
      </c>
      <c r="E53" t="s">
        <v>7390</v>
      </c>
      <c r="F53" t="s">
        <v>206</v>
      </c>
      <c r="G53" t="b">
        <v>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1">
      <c r="A1" t="s">
        <v>7391</v>
      </c>
      <c r="B1" t="s">
        <v>7392</v>
      </c>
      <c r="C1" t="s">
        <v>7393</v>
      </c>
      <c r="D1" t="s">
        <v>7394</v>
      </c>
      <c r="E1" t="s">
        <v>7395</v>
      </c>
    </row>
    <row r="2">
      <c r="A2" t="s">
        <v>7341</v>
      </c>
      <c r="B2" t="s">
        <v>7396</v>
      </c>
      <c r="C2">
        <v>500</v>
      </c>
      <c r="D2">
        <v>1500</v>
      </c>
      <c r="E2">
        <v>6000</v>
      </c>
    </row>
    <row r="3">
      <c r="A3" t="s">
        <v>7345</v>
      </c>
      <c r="B3" t="s">
        <v>7396</v>
      </c>
      <c r="C3">
        <v>0</v>
      </c>
      <c r="D3">
        <v>0</v>
      </c>
      <c r="E3">
        <v>0</v>
      </c>
    </row>
    <row r="4">
      <c r="A4" t="s">
        <v>7350</v>
      </c>
      <c r="B4" t="s">
        <v>7396</v>
      </c>
      <c r="C4">
        <v>0</v>
      </c>
      <c r="D4">
        <v>0</v>
      </c>
      <c r="E4">
        <v>0</v>
      </c>
    </row>
    <row r="5">
      <c r="A5" t="s">
        <v>7358</v>
      </c>
      <c r="B5" t="s">
        <v>7396</v>
      </c>
      <c r="C5">
        <v>0</v>
      </c>
      <c r="D5">
        <v>0</v>
      </c>
      <c r="E5">
        <v>0</v>
      </c>
    </row>
    <row r="6">
      <c r="A6" t="s">
        <v>7366</v>
      </c>
      <c r="B6" t="s">
        <v>7396</v>
      </c>
      <c r="C6">
        <v>0</v>
      </c>
      <c r="D6">
        <v>0</v>
      </c>
      <c r="E6">
        <v>0</v>
      </c>
    </row>
    <row r="7">
      <c r="A7" t="s">
        <v>1508</v>
      </c>
      <c r="B7" t="s">
        <v>7396</v>
      </c>
      <c r="C7">
        <v>0</v>
      </c>
      <c r="D7">
        <v>0</v>
      </c>
      <c r="E7">
        <v>0</v>
      </c>
    </row>
    <row r="8">
      <c r="A8" t="s">
        <v>443</v>
      </c>
      <c r="B8" t="s">
        <v>7396</v>
      </c>
      <c r="C8">
        <v>0</v>
      </c>
      <c r="D8">
        <v>0</v>
      </c>
      <c r="E8">
        <v>0</v>
      </c>
    </row>
    <row r="9">
      <c r="A9" t="s">
        <v>199</v>
      </c>
      <c r="B9" t="s">
        <v>7396</v>
      </c>
      <c r="C9">
        <v>0</v>
      </c>
      <c r="D9">
        <v>0</v>
      </c>
      <c r="E9">
        <v>0</v>
      </c>
    </row>
    <row r="10">
      <c r="A10" t="s">
        <v>150</v>
      </c>
      <c r="B10" t="s">
        <v>7396</v>
      </c>
      <c r="C10">
        <v>0</v>
      </c>
      <c r="D10">
        <v>0</v>
      </c>
      <c r="E10">
        <v>0</v>
      </c>
    </row>
    <row r="11">
      <c r="A11" t="s">
        <v>139</v>
      </c>
      <c r="B11" t="s">
        <v>7396</v>
      </c>
      <c r="C11">
        <v>0</v>
      </c>
      <c r="D11">
        <v>0</v>
      </c>
      <c r="E11">
        <v>0</v>
      </c>
    </row>
    <row r="12">
      <c r="A12" t="s">
        <v>144</v>
      </c>
      <c r="B12" t="s">
        <v>7396</v>
      </c>
      <c r="C12">
        <v>0</v>
      </c>
      <c r="D12">
        <v>0</v>
      </c>
      <c r="E12">
        <v>0</v>
      </c>
    </row>
    <row r="13">
      <c r="A13" t="s">
        <v>254</v>
      </c>
      <c r="B13" t="s">
        <v>7396</v>
      </c>
      <c r="C13">
        <v>0</v>
      </c>
      <c r="D13">
        <v>0</v>
      </c>
      <c r="E13">
        <v>0</v>
      </c>
    </row>
    <row r="14">
      <c r="A14" t="s">
        <v>157</v>
      </c>
      <c r="B14" t="s">
        <v>7396</v>
      </c>
      <c r="C14">
        <v>0</v>
      </c>
      <c r="D14">
        <v>0</v>
      </c>
      <c r="E14">
        <v>0</v>
      </c>
    </row>
    <row r="15">
      <c r="A15" t="s">
        <v>160</v>
      </c>
      <c r="B15" t="s">
        <v>7396</v>
      </c>
      <c r="C15">
        <v>0</v>
      </c>
      <c r="D15">
        <v>0</v>
      </c>
      <c r="E15">
        <v>0</v>
      </c>
    </row>
    <row r="16">
      <c r="A16" t="s">
        <v>152</v>
      </c>
      <c r="B16" t="s">
        <v>7396</v>
      </c>
      <c r="C16">
        <v>0</v>
      </c>
      <c r="D16">
        <v>0</v>
      </c>
      <c r="E16">
        <v>0</v>
      </c>
    </row>
    <row r="17">
      <c r="A17" t="s">
        <v>6324</v>
      </c>
      <c r="B17" t="s">
        <v>7396</v>
      </c>
      <c r="C17">
        <v>0</v>
      </c>
      <c r="D17">
        <v>0</v>
      </c>
      <c r="E17">
        <v>0</v>
      </c>
    </row>
    <row r="18">
      <c r="A18" t="s">
        <v>1903</v>
      </c>
      <c r="B18" t="s">
        <v>7396</v>
      </c>
      <c r="C18">
        <v>0</v>
      </c>
      <c r="D18">
        <v>0</v>
      </c>
      <c r="E18">
        <v>0</v>
      </c>
    </row>
    <row r="19">
      <c r="A19" t="s">
        <v>1339</v>
      </c>
      <c r="B19" t="s">
        <v>7396</v>
      </c>
      <c r="C19">
        <v>0</v>
      </c>
      <c r="D19">
        <v>0</v>
      </c>
      <c r="E19">
        <v>0</v>
      </c>
    </row>
    <row r="20">
      <c r="A20" t="s">
        <v>1455</v>
      </c>
      <c r="B20" t="s">
        <v>7396</v>
      </c>
      <c r="C20">
        <v>0</v>
      </c>
      <c r="D20">
        <v>0</v>
      </c>
      <c r="E20">
        <v>0</v>
      </c>
    </row>
    <row r="21">
      <c r="A21" t="s">
        <v>122</v>
      </c>
      <c r="B21" t="s">
        <v>7396</v>
      </c>
      <c r="C21">
        <v>0</v>
      </c>
      <c r="D21">
        <v>0</v>
      </c>
      <c r="E21">
        <v>0</v>
      </c>
    </row>
    <row r="22">
      <c r="A22" t="s">
        <v>1679</v>
      </c>
      <c r="B22" t="s">
        <v>7396</v>
      </c>
      <c r="C22">
        <v>0</v>
      </c>
      <c r="D22">
        <v>0</v>
      </c>
      <c r="E22">
        <v>0</v>
      </c>
    </row>
    <row r="23">
      <c r="A23" t="s">
        <v>3276</v>
      </c>
      <c r="B23" t="s">
        <v>7396</v>
      </c>
      <c r="C23">
        <v>0</v>
      </c>
      <c r="D23">
        <v>0</v>
      </c>
      <c r="E23">
        <v>0</v>
      </c>
    </row>
    <row r="24">
      <c r="A24" t="s">
        <v>614</v>
      </c>
      <c r="B24" t="s">
        <v>7396</v>
      </c>
      <c r="C24">
        <v>0</v>
      </c>
      <c r="D24">
        <v>0</v>
      </c>
      <c r="E24">
        <v>0</v>
      </c>
    </row>
    <row r="25">
      <c r="A25" t="s">
        <v>3504</v>
      </c>
      <c r="B25" t="s">
        <v>7396</v>
      </c>
      <c r="C25">
        <v>0</v>
      </c>
      <c r="D25">
        <v>0</v>
      </c>
      <c r="E25">
        <v>0</v>
      </c>
    </row>
    <row r="26">
      <c r="A26" t="s">
        <v>141</v>
      </c>
      <c r="B26" t="s">
        <v>7396</v>
      </c>
      <c r="C26">
        <v>0</v>
      </c>
      <c r="D26">
        <v>0</v>
      </c>
      <c r="E26">
        <v>0</v>
      </c>
    </row>
    <row r="27">
      <c r="A27" t="s">
        <v>259</v>
      </c>
      <c r="B27" t="s">
        <v>7396</v>
      </c>
      <c r="C27">
        <v>0</v>
      </c>
      <c r="D27">
        <v>0</v>
      </c>
      <c r="E27">
        <v>0</v>
      </c>
    </row>
    <row r="28">
      <c r="A28" t="s">
        <v>1882</v>
      </c>
      <c r="B28" t="s">
        <v>7396</v>
      </c>
      <c r="C28">
        <v>0</v>
      </c>
      <c r="D28">
        <v>0</v>
      </c>
      <c r="E28">
        <v>0</v>
      </c>
    </row>
    <row r="29">
      <c r="A29" t="s">
        <v>338</v>
      </c>
      <c r="B29" t="s">
        <v>7396</v>
      </c>
      <c r="C29">
        <v>0</v>
      </c>
      <c r="D29">
        <v>0</v>
      </c>
      <c r="E29">
        <v>0</v>
      </c>
    </row>
    <row r="30">
      <c r="A30" t="s">
        <v>6119</v>
      </c>
      <c r="B30" t="s">
        <v>7396</v>
      </c>
      <c r="C30">
        <v>0</v>
      </c>
      <c r="D30">
        <v>0</v>
      </c>
      <c r="E30">
        <v>0</v>
      </c>
    </row>
    <row r="31">
      <c r="A31" t="s">
        <v>134</v>
      </c>
      <c r="B31" t="s">
        <v>7396</v>
      </c>
      <c r="C31">
        <v>0</v>
      </c>
      <c r="D31">
        <v>0</v>
      </c>
      <c r="E31">
        <v>0</v>
      </c>
    </row>
    <row r="32">
      <c r="A32" t="s">
        <v>195</v>
      </c>
      <c r="B32" t="s">
        <v>7396</v>
      </c>
      <c r="C32">
        <v>0</v>
      </c>
      <c r="D32">
        <v>0</v>
      </c>
      <c r="E32">
        <v>0</v>
      </c>
    </row>
    <row r="33">
      <c r="A33" t="s">
        <v>169</v>
      </c>
      <c r="B33" t="s">
        <v>7396</v>
      </c>
      <c r="C33">
        <v>0</v>
      </c>
      <c r="D33">
        <v>0</v>
      </c>
      <c r="E33">
        <v>0</v>
      </c>
    </row>
    <row r="34">
      <c r="A34" t="s">
        <v>155</v>
      </c>
      <c r="B34" t="s">
        <v>7396</v>
      </c>
      <c r="C34">
        <v>0</v>
      </c>
      <c r="D34">
        <v>0</v>
      </c>
      <c r="E34">
        <v>0</v>
      </c>
    </row>
    <row r="35">
      <c r="A35" t="s">
        <v>824</v>
      </c>
      <c r="B35" t="s">
        <v>7396</v>
      </c>
      <c r="C35">
        <v>0</v>
      </c>
      <c r="D35">
        <v>0</v>
      </c>
      <c r="E35">
        <v>0</v>
      </c>
    </row>
    <row r="36">
      <c r="A36" t="s">
        <v>446</v>
      </c>
      <c r="B36" t="s">
        <v>7396</v>
      </c>
      <c r="C36">
        <v>0</v>
      </c>
      <c r="D36">
        <v>0</v>
      </c>
      <c r="E36">
        <v>0</v>
      </c>
    </row>
    <row r="37">
      <c r="A37" t="s">
        <v>197</v>
      </c>
      <c r="B37" t="s">
        <v>7396</v>
      </c>
      <c r="C37">
        <v>0</v>
      </c>
      <c r="D37">
        <v>0</v>
      </c>
      <c r="E37">
        <v>0</v>
      </c>
    </row>
    <row r="38">
      <c r="A38" t="s">
        <v>1040</v>
      </c>
      <c r="B38" t="s">
        <v>7396</v>
      </c>
      <c r="C38">
        <v>0</v>
      </c>
      <c r="D38">
        <v>0</v>
      </c>
      <c r="E38">
        <v>0</v>
      </c>
    </row>
    <row r="39">
      <c r="A39" t="s">
        <v>408</v>
      </c>
      <c r="B39" t="s">
        <v>7396</v>
      </c>
      <c r="C39">
        <v>0</v>
      </c>
      <c r="D39">
        <v>0</v>
      </c>
      <c r="E39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1">
      <c r="A1" t="s">
        <v>103</v>
      </c>
      <c r="B1" t="s">
        <v>7274</v>
      </c>
    </row>
    <row r="2">
      <c r="A2" t="s">
        <v>7397</v>
      </c>
      <c r="B2" t="s">
        <v>7398</v>
      </c>
    </row>
    <row r="3">
      <c r="A3" t="s">
        <v>7399</v>
      </c>
      <c r="B3" t="s">
        <v>7400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1">
      <c r="A1" t="s">
        <v>103</v>
      </c>
      <c r="B1" t="s">
        <v>7401</v>
      </c>
      <c r="C1" t="s">
        <v>7274</v>
      </c>
      <c r="D1" t="s">
        <v>7402</v>
      </c>
      <c r="E1" t="s">
        <v>7403</v>
      </c>
      <c r="F1" t="s">
        <v>7404</v>
      </c>
      <c r="G1" t="s">
        <v>7405</v>
      </c>
      <c r="H1" t="s">
        <v>7406</v>
      </c>
      <c r="I1" t="s">
        <v>7407</v>
      </c>
      <c r="J1" t="s">
        <v>115</v>
      </c>
      <c r="K1" t="s">
        <v>7408</v>
      </c>
      <c r="L1" t="s">
        <v>7409</v>
      </c>
      <c r="M1" t="s">
        <v>7410</v>
      </c>
      <c r="N1" t="s">
        <v>7411</v>
      </c>
    </row>
    <row r="2">
      <c r="A2" t="s">
        <v>7397</v>
      </c>
      <c r="B2" t="s">
        <v>7397</v>
      </c>
      <c r="C2" t="s">
        <v>7412</v>
      </c>
      <c r="D2">
        <v>50</v>
      </c>
      <c r="E2">
        <v>1000</v>
      </c>
      <c r="F2" t="s">
        <v>67</v>
      </c>
      <c r="G2">
        <v>50000</v>
      </c>
      <c r="H2">
        <v>50000</v>
      </c>
      <c r="I2" t="s">
        <v>7413</v>
      </c>
      <c r="J2" t="s">
        <v>128</v>
      </c>
      <c r="K2">
        <v>50</v>
      </c>
      <c r="L2" t="b">
        <v>0</v>
      </c>
      <c r="M2">
        <v>nan</v>
      </c>
      <c r="N2">
        <v>nan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2026-07-05T09:08:30Z</dcterms:modified>
</cp:coreProperties>
</file>